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原始資料" sheetId="2" state="visible" r:id="rId2"/>
    <sheet xmlns:r="http://schemas.openxmlformats.org/officeDocument/2006/relationships" name="反向題設定" sheetId="3" state="visible" r:id="rId3"/>
    <sheet xmlns:r="http://schemas.openxmlformats.org/officeDocument/2006/relationships" name="項目分析" sheetId="4" state="visible" r:id="rId4"/>
    <sheet xmlns:r="http://schemas.openxmlformats.org/officeDocument/2006/relationships" name="計分" sheetId="5" state="visible" r:id="rId5"/>
    <sheet xmlns:r="http://schemas.openxmlformats.org/officeDocument/2006/relationships" name="校正總分" sheetId="6" state="visible" r:id="rId6"/>
    <sheet xmlns:r="http://schemas.openxmlformats.org/officeDocument/2006/relationships" name="平方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Microsoft JhengHei"/>
      <b val="1"/>
      <color rgb="007A2033"/>
      <sz val="16"/>
    </font>
    <font>
      <name val="Microsoft JhengHei"/>
      <color rgb="005F6E84"/>
      <sz val="10"/>
    </font>
    <font>
      <name val="Microsoft JhengHei"/>
      <sz val="11"/>
    </font>
    <font>
      <name val="Microsoft JhengHei"/>
      <b val="1"/>
      <color rgb="001C2F52"/>
      <sz val="13"/>
    </font>
    <font>
      <name val="Microsoft JhengHei"/>
      <b val="1"/>
      <sz val="11"/>
    </font>
    <font>
      <name val="Microsoft JhengHei"/>
      <b val="1"/>
      <color rgb="001C2F52"/>
      <sz val="11"/>
    </font>
    <font>
      <name val="Microsoft JhengHei"/>
      <color rgb="005F6E84"/>
      <sz val="11"/>
    </font>
    <font>
      <name val="Microsoft JhengHei"/>
      <b val="1"/>
      <color rgb="00FFFFFF"/>
      <sz val="11"/>
    </font>
    <font>
      <name val="Microsoft JhengHei"/>
      <b val="1"/>
      <color rgb="001C2F52"/>
      <sz val="14"/>
    </font>
    <font>
      <name val="Microsoft JhengHei"/>
      <b val="1"/>
      <color rgb="007A2033"/>
      <sz val="11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C2F52"/>
      </patternFill>
    </fill>
    <fill>
      <patternFill patternType="solid">
        <fgColor rgb="00F2EEE6"/>
      </patternFill>
    </fill>
  </fills>
  <borders count="2">
    <border>
      <left/>
      <right/>
      <top/>
      <bottom/>
      <diagonal/>
    </border>
    <border>
      <left style="thin">
        <color rgb="00D9CFB9"/>
      </left>
      <right style="thin">
        <color rgb="00D9CFB9"/>
      </right>
      <top style="thin">
        <color rgb="00D9CFB9"/>
      </top>
      <bottom style="thin">
        <color rgb="00D9CFB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Microsoft JhengHei"/>
        <b val="1"/>
        <color rgb="00A33A32"/>
      </font>
      <fill>
        <patternFill patternType="solid">
          <fgColor rgb="00FBECEB"/>
        </patternFill>
      </fill>
    </dxf>
    <dxf>
      <font>
        <name val="Microsoft JhengHei"/>
        <b val="1"/>
        <color rgb="002F6B4C"/>
      </font>
    </dxf>
    <dxf>
      <font>
        <name val="Microsoft JhengHei"/>
        <b val="1"/>
        <color rgb="008A5A12"/>
      </font>
      <fill>
        <patternFill patternType="solid">
          <fgColor rgb="00FBF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期中團體作業　項目分析範本</t>
        </is>
      </c>
    </row>
    <row r="2">
      <c r="B2" s="2" t="inlineStr">
        <is>
          <t>員工意向調查 HRM922　2026 Fall　國立中山大學人力資源管理研究所　王豫萱</t>
        </is>
      </c>
    </row>
    <row r="3">
      <c r="B3" s="3" t="inlineStr"/>
    </row>
    <row r="4">
      <c r="B4" s="4" t="inlineStr">
        <is>
          <t>使用前</t>
        </is>
      </c>
    </row>
    <row r="5">
      <c r="B5" s="3" t="inlineStr">
        <is>
          <t>先完成草率作答篩檢，刪除要剔除的填答者；作答秒數、檢核題等非題目欄位也先刪除，只留編號與題目</t>
        </is>
      </c>
    </row>
    <row r="6">
      <c r="B6" s="3" t="inlineStr"/>
    </row>
    <row r="7">
      <c r="B7" s="4" t="inlineStr">
        <is>
          <t>操作步驟</t>
        </is>
      </c>
    </row>
    <row r="8">
      <c r="B8" s="3" t="inlineStr">
        <is>
          <t>1　原始資料：從 A1 貼上，第 1 列為欄位名稱（編號、題目代號），第 2 列起每列一位填答者；最多 40 題、500 人</t>
        </is>
      </c>
    </row>
    <row r="9">
      <c r="B9" s="3" t="inlineStr">
        <is>
          <t>2　反向題設定：B2 填量尺點數（五點量表填 5、六點量表填 6、七點量表填 7）；C 欄把反向題選為「是」</t>
        </is>
      </c>
    </row>
    <row r="10">
      <c r="B10" s="3" t="inlineStr">
        <is>
          <t>3　計分、校正總分：自動完成反向計分與總分，不需要填寫</t>
        </is>
      </c>
    </row>
    <row r="11">
      <c r="B11" s="3" t="inlineStr">
        <is>
          <t>4　項目分析：查看每一題的決斷值與校正題總相關，依判定欄決定保留或檢查</t>
        </is>
      </c>
    </row>
    <row r="12">
      <c r="B12" s="3" t="inlineStr"/>
    </row>
    <row r="13">
      <c r="B13" s="4" t="inlineStr">
        <is>
          <t>判讀標準</t>
        </is>
      </c>
    </row>
    <row r="14">
      <c r="B14" s="3" t="inlineStr">
        <is>
          <t>決斷值（CR）：總分前 27% 為高分組、後 27% 為低分組，比較兩組在該題的平均數；t 值 3.00 以上表示該題能區分高低分者</t>
        </is>
      </c>
    </row>
    <row r="15">
      <c r="B15" s="3" t="inlineStr">
        <is>
          <t>校正題總相關：該題與「其他題目總分」的相關；.30 以上表示該題與其他題目測的方向一致</t>
        </is>
      </c>
    </row>
    <row r="16">
      <c r="B16" s="3" t="inlineStr">
        <is>
          <t>刪除後 α：刪掉該題、其餘題目的 Cronbach’s α；高於全量表 α 表示這一題拉低了一致性，以底色標示</t>
        </is>
      </c>
    </row>
    <row r="17">
      <c r="B17" s="3" t="inlineStr">
        <is>
          <t>出現負相關時，多半是反向題沒有設定反向計分，先回反向題設定檢查</t>
        </is>
      </c>
    </row>
    <row r="18">
      <c r="B18" s="3" t="inlineStr">
        <is>
          <t>項目分析只是第一關，是否刪題還要看探索性因素分析的負荷量與題目內容，刪題理由寫入企劃書 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>
      <c r="A1" s="5" t="inlineStr">
        <is>
          <t>編號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</cols>
  <sheetData>
    <row r="1">
      <c r="A1" s="7" t="n"/>
    </row>
    <row r="2">
      <c r="A2" s="8" t="inlineStr">
        <is>
          <t>量尺點數</t>
        </is>
      </c>
      <c r="B2" s="9" t="n">
        <v>6</v>
      </c>
      <c r="C2" s="10" t="inlineStr">
        <is>
          <t>五點量表填 5、六點填 6、七點填 7；反向計分＝（量尺點數＋1）－原始分數，例如六點量表為 7 減原始分數、五點量表為 6 減原始分數</t>
        </is>
      </c>
    </row>
    <row r="3"/>
    <row r="4">
      <c r="A4" s="11" t="inlineStr">
        <is>
          <t>順序</t>
        </is>
      </c>
      <c r="B4" s="11" t="inlineStr">
        <is>
          <t>題目代號</t>
        </is>
      </c>
      <c r="C4" s="11" t="inlineStr">
        <is>
          <t>反向題</t>
        </is>
      </c>
    </row>
    <row r="5">
      <c r="A5" s="12" t="n">
        <v>1</v>
      </c>
      <c r="B5" s="12">
        <f>IF(INDEX(原始資料!$B$1:$AO$1,1)="","",INDEX(原始資料!$B$1:$AO$1,1))</f>
        <v/>
      </c>
      <c r="C5" s="13" t="n"/>
    </row>
    <row r="6">
      <c r="A6" s="12" t="n">
        <v>2</v>
      </c>
      <c r="B6" s="12">
        <f>IF(INDEX(原始資料!$B$1:$AO$1,2)="","",INDEX(原始資料!$B$1:$AO$1,2))</f>
        <v/>
      </c>
      <c r="C6" s="13" t="n"/>
    </row>
    <row r="7">
      <c r="A7" s="12" t="n">
        <v>3</v>
      </c>
      <c r="B7" s="12">
        <f>IF(INDEX(原始資料!$B$1:$AO$1,3)="","",INDEX(原始資料!$B$1:$AO$1,3))</f>
        <v/>
      </c>
      <c r="C7" s="13" t="n"/>
    </row>
    <row r="8">
      <c r="A8" s="12" t="n">
        <v>4</v>
      </c>
      <c r="B8" s="12">
        <f>IF(INDEX(原始資料!$B$1:$AO$1,4)="","",INDEX(原始資料!$B$1:$AO$1,4))</f>
        <v/>
      </c>
      <c r="C8" s="13" t="n"/>
    </row>
    <row r="9">
      <c r="A9" s="12" t="n">
        <v>5</v>
      </c>
      <c r="B9" s="12">
        <f>IF(INDEX(原始資料!$B$1:$AO$1,5)="","",INDEX(原始資料!$B$1:$AO$1,5))</f>
        <v/>
      </c>
      <c r="C9" s="13" t="n"/>
    </row>
    <row r="10">
      <c r="A10" s="12" t="n">
        <v>6</v>
      </c>
      <c r="B10" s="12">
        <f>IF(INDEX(原始資料!$B$1:$AO$1,6)="","",INDEX(原始資料!$B$1:$AO$1,6))</f>
        <v/>
      </c>
      <c r="C10" s="13" t="n"/>
    </row>
    <row r="11">
      <c r="A11" s="12" t="n">
        <v>7</v>
      </c>
      <c r="B11" s="12">
        <f>IF(INDEX(原始資料!$B$1:$AO$1,7)="","",INDEX(原始資料!$B$1:$AO$1,7))</f>
        <v/>
      </c>
      <c r="C11" s="13" t="n"/>
    </row>
    <row r="12">
      <c r="A12" s="12" t="n">
        <v>8</v>
      </c>
      <c r="B12" s="12">
        <f>IF(INDEX(原始資料!$B$1:$AO$1,8)="","",INDEX(原始資料!$B$1:$AO$1,8))</f>
        <v/>
      </c>
      <c r="C12" s="13" t="n"/>
    </row>
    <row r="13">
      <c r="A13" s="12" t="n">
        <v>9</v>
      </c>
      <c r="B13" s="12">
        <f>IF(INDEX(原始資料!$B$1:$AO$1,9)="","",INDEX(原始資料!$B$1:$AO$1,9))</f>
        <v/>
      </c>
      <c r="C13" s="13" t="n"/>
    </row>
    <row r="14">
      <c r="A14" s="12" t="n">
        <v>10</v>
      </c>
      <c r="B14" s="12">
        <f>IF(INDEX(原始資料!$B$1:$AO$1,10)="","",INDEX(原始資料!$B$1:$AO$1,10))</f>
        <v/>
      </c>
      <c r="C14" s="13" t="n"/>
    </row>
    <row r="15">
      <c r="A15" s="12" t="n">
        <v>11</v>
      </c>
      <c r="B15" s="12">
        <f>IF(INDEX(原始資料!$B$1:$AO$1,11)="","",INDEX(原始資料!$B$1:$AO$1,11))</f>
        <v/>
      </c>
      <c r="C15" s="13" t="n"/>
    </row>
    <row r="16">
      <c r="A16" s="12" t="n">
        <v>12</v>
      </c>
      <c r="B16" s="12">
        <f>IF(INDEX(原始資料!$B$1:$AO$1,12)="","",INDEX(原始資料!$B$1:$AO$1,12))</f>
        <v/>
      </c>
      <c r="C16" s="13" t="n"/>
    </row>
    <row r="17">
      <c r="A17" s="12" t="n">
        <v>13</v>
      </c>
      <c r="B17" s="12">
        <f>IF(INDEX(原始資料!$B$1:$AO$1,13)="","",INDEX(原始資料!$B$1:$AO$1,13))</f>
        <v/>
      </c>
      <c r="C17" s="13" t="n"/>
    </row>
    <row r="18">
      <c r="A18" s="12" t="n">
        <v>14</v>
      </c>
      <c r="B18" s="12">
        <f>IF(INDEX(原始資料!$B$1:$AO$1,14)="","",INDEX(原始資料!$B$1:$AO$1,14))</f>
        <v/>
      </c>
      <c r="C18" s="13" t="n"/>
    </row>
    <row r="19">
      <c r="A19" s="12" t="n">
        <v>15</v>
      </c>
      <c r="B19" s="12">
        <f>IF(INDEX(原始資料!$B$1:$AO$1,15)="","",INDEX(原始資料!$B$1:$AO$1,15))</f>
        <v/>
      </c>
      <c r="C19" s="13" t="n"/>
    </row>
    <row r="20">
      <c r="A20" s="12" t="n">
        <v>16</v>
      </c>
      <c r="B20" s="12">
        <f>IF(INDEX(原始資料!$B$1:$AO$1,16)="","",INDEX(原始資料!$B$1:$AO$1,16))</f>
        <v/>
      </c>
      <c r="C20" s="13" t="n"/>
    </row>
    <row r="21">
      <c r="A21" s="12" t="n">
        <v>17</v>
      </c>
      <c r="B21" s="12">
        <f>IF(INDEX(原始資料!$B$1:$AO$1,17)="","",INDEX(原始資料!$B$1:$AO$1,17))</f>
        <v/>
      </c>
      <c r="C21" s="13" t="n"/>
    </row>
    <row r="22">
      <c r="A22" s="12" t="n">
        <v>18</v>
      </c>
      <c r="B22" s="12">
        <f>IF(INDEX(原始資料!$B$1:$AO$1,18)="","",INDEX(原始資料!$B$1:$AO$1,18))</f>
        <v/>
      </c>
      <c r="C22" s="13" t="n"/>
    </row>
    <row r="23">
      <c r="A23" s="12" t="n">
        <v>19</v>
      </c>
      <c r="B23" s="12">
        <f>IF(INDEX(原始資料!$B$1:$AO$1,19)="","",INDEX(原始資料!$B$1:$AO$1,19))</f>
        <v/>
      </c>
      <c r="C23" s="13" t="n"/>
    </row>
    <row r="24">
      <c r="A24" s="12" t="n">
        <v>20</v>
      </c>
      <c r="B24" s="12">
        <f>IF(INDEX(原始資料!$B$1:$AO$1,20)="","",INDEX(原始資料!$B$1:$AO$1,20))</f>
        <v/>
      </c>
      <c r="C24" s="13" t="n"/>
    </row>
    <row r="25">
      <c r="A25" s="12" t="n">
        <v>21</v>
      </c>
      <c r="B25" s="12">
        <f>IF(INDEX(原始資料!$B$1:$AO$1,21)="","",INDEX(原始資料!$B$1:$AO$1,21))</f>
        <v/>
      </c>
      <c r="C25" s="13" t="n"/>
    </row>
    <row r="26">
      <c r="A26" s="12" t="n">
        <v>22</v>
      </c>
      <c r="B26" s="12">
        <f>IF(INDEX(原始資料!$B$1:$AO$1,22)="","",INDEX(原始資料!$B$1:$AO$1,22))</f>
        <v/>
      </c>
      <c r="C26" s="13" t="n"/>
    </row>
    <row r="27">
      <c r="A27" s="12" t="n">
        <v>23</v>
      </c>
      <c r="B27" s="12">
        <f>IF(INDEX(原始資料!$B$1:$AO$1,23)="","",INDEX(原始資料!$B$1:$AO$1,23))</f>
        <v/>
      </c>
      <c r="C27" s="13" t="n"/>
    </row>
    <row r="28">
      <c r="A28" s="12" t="n">
        <v>24</v>
      </c>
      <c r="B28" s="12">
        <f>IF(INDEX(原始資料!$B$1:$AO$1,24)="","",INDEX(原始資料!$B$1:$AO$1,24))</f>
        <v/>
      </c>
      <c r="C28" s="13" t="n"/>
    </row>
    <row r="29">
      <c r="A29" s="12" t="n">
        <v>25</v>
      </c>
      <c r="B29" s="12">
        <f>IF(INDEX(原始資料!$B$1:$AO$1,25)="","",INDEX(原始資料!$B$1:$AO$1,25))</f>
        <v/>
      </c>
      <c r="C29" s="13" t="n"/>
    </row>
    <row r="30">
      <c r="A30" s="12" t="n">
        <v>26</v>
      </c>
      <c r="B30" s="12">
        <f>IF(INDEX(原始資料!$B$1:$AO$1,26)="","",INDEX(原始資料!$B$1:$AO$1,26))</f>
        <v/>
      </c>
      <c r="C30" s="13" t="n"/>
    </row>
    <row r="31">
      <c r="A31" s="12" t="n">
        <v>27</v>
      </c>
      <c r="B31" s="12">
        <f>IF(INDEX(原始資料!$B$1:$AO$1,27)="","",INDEX(原始資料!$B$1:$AO$1,27))</f>
        <v/>
      </c>
      <c r="C31" s="13" t="n"/>
    </row>
    <row r="32">
      <c r="A32" s="12" t="n">
        <v>28</v>
      </c>
      <c r="B32" s="12">
        <f>IF(INDEX(原始資料!$B$1:$AO$1,28)="","",INDEX(原始資料!$B$1:$AO$1,28))</f>
        <v/>
      </c>
      <c r="C32" s="13" t="n"/>
    </row>
    <row r="33">
      <c r="A33" s="12" t="n">
        <v>29</v>
      </c>
      <c r="B33" s="12">
        <f>IF(INDEX(原始資料!$B$1:$AO$1,29)="","",INDEX(原始資料!$B$1:$AO$1,29))</f>
        <v/>
      </c>
      <c r="C33" s="13" t="n"/>
    </row>
    <row r="34">
      <c r="A34" s="12" t="n">
        <v>30</v>
      </c>
      <c r="B34" s="12">
        <f>IF(INDEX(原始資料!$B$1:$AO$1,30)="","",INDEX(原始資料!$B$1:$AO$1,30))</f>
        <v/>
      </c>
      <c r="C34" s="13" t="n"/>
    </row>
    <row r="35">
      <c r="A35" s="12" t="n">
        <v>31</v>
      </c>
      <c r="B35" s="12">
        <f>IF(INDEX(原始資料!$B$1:$AO$1,31)="","",INDEX(原始資料!$B$1:$AO$1,31))</f>
        <v/>
      </c>
      <c r="C35" s="13" t="n"/>
    </row>
    <row r="36">
      <c r="A36" s="12" t="n">
        <v>32</v>
      </c>
      <c r="B36" s="12">
        <f>IF(INDEX(原始資料!$B$1:$AO$1,32)="","",INDEX(原始資料!$B$1:$AO$1,32))</f>
        <v/>
      </c>
      <c r="C36" s="13" t="n"/>
    </row>
    <row r="37">
      <c r="A37" s="12" t="n">
        <v>33</v>
      </c>
      <c r="B37" s="12">
        <f>IF(INDEX(原始資料!$B$1:$AO$1,33)="","",INDEX(原始資料!$B$1:$AO$1,33))</f>
        <v/>
      </c>
      <c r="C37" s="13" t="n"/>
    </row>
    <row r="38">
      <c r="A38" s="12" t="n">
        <v>34</v>
      </c>
      <c r="B38" s="12">
        <f>IF(INDEX(原始資料!$B$1:$AO$1,34)="","",INDEX(原始資料!$B$1:$AO$1,34))</f>
        <v/>
      </c>
      <c r="C38" s="13" t="n"/>
    </row>
    <row r="39">
      <c r="A39" s="12" t="n">
        <v>35</v>
      </c>
      <c r="B39" s="12">
        <f>IF(INDEX(原始資料!$B$1:$AO$1,35)="","",INDEX(原始資料!$B$1:$AO$1,35))</f>
        <v/>
      </c>
      <c r="C39" s="13" t="n"/>
    </row>
    <row r="40">
      <c r="A40" s="12" t="n">
        <v>36</v>
      </c>
      <c r="B40" s="12">
        <f>IF(INDEX(原始資料!$B$1:$AO$1,36)="","",INDEX(原始資料!$B$1:$AO$1,36))</f>
        <v/>
      </c>
      <c r="C40" s="13" t="n"/>
    </row>
    <row r="41">
      <c r="A41" s="12" t="n">
        <v>37</v>
      </c>
      <c r="B41" s="12">
        <f>IF(INDEX(原始資料!$B$1:$AO$1,37)="","",INDEX(原始資料!$B$1:$AO$1,37))</f>
        <v/>
      </c>
      <c r="C41" s="13" t="n"/>
    </row>
    <row r="42">
      <c r="A42" s="12" t="n">
        <v>38</v>
      </c>
      <c r="B42" s="12">
        <f>IF(INDEX(原始資料!$B$1:$AO$1,38)="","",INDEX(原始資料!$B$1:$AO$1,38))</f>
        <v/>
      </c>
      <c r="C42" s="13" t="n"/>
    </row>
    <row r="43">
      <c r="A43" s="12" t="n">
        <v>39</v>
      </c>
      <c r="B43" s="12">
        <f>IF(INDEX(原始資料!$B$1:$AO$1,39)="","",INDEX(原始資料!$B$1:$AO$1,39))</f>
        <v/>
      </c>
      <c r="C43" s="13" t="n"/>
    </row>
    <row r="44">
      <c r="A44" s="12" t="n">
        <v>40</v>
      </c>
      <c r="B44" s="12">
        <f>IF(INDEX(原始資料!$B$1:$AO$1,40)="","",INDEX(原始資料!$B$1:$AO$1,40))</f>
        <v/>
      </c>
      <c r="C44" s="13" t="n"/>
    </row>
  </sheetData>
  <dataValidations count="1">
    <dataValidation sqref="C5:C4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44" customWidth="1" min="10" max="10"/>
    <col hidden="1" width="12" customWidth="1" min="11" max="11"/>
    <col hidden="1" width="12" customWidth="1" min="12" max="12"/>
  </cols>
  <sheetData>
    <row r="1">
      <c r="A1" s="14" t="inlineStr">
        <is>
          <t>項目分析</t>
        </is>
      </c>
    </row>
    <row r="2">
      <c r="A2" s="10" t="inlineStr">
        <is>
          <t>全部自動計算；判定欄為「檢查」的題目，回到題目內容與因素分析結果再決定是否刪除</t>
        </is>
      </c>
    </row>
    <row r="3"/>
    <row r="4">
      <c r="A4" s="8" t="inlineStr">
        <is>
          <t>有效樣本數</t>
        </is>
      </c>
      <c r="C4" s="15">
        <f>COUNT(計分!$AP$2:$AP$501)</f>
        <v/>
      </c>
    </row>
    <row r="5">
      <c r="A5" s="8" t="inlineStr">
        <is>
          <t>高分組切點（總分 ≥）</t>
        </is>
      </c>
      <c r="C5" s="16">
        <f>IF(C4&lt;2,"",PERCENTILE(計分!$AP$2:$AP$501,0.73))</f>
        <v/>
      </c>
    </row>
    <row r="6">
      <c r="A6" s="8" t="inlineStr">
        <is>
          <t>低分組切點（總分 ≤）</t>
        </is>
      </c>
      <c r="C6" s="16">
        <f>IF(C4&lt;2,"",PERCENTILE(計分!$AP$2:$AP$501,0.27))</f>
        <v/>
      </c>
    </row>
    <row r="7">
      <c r="A7" s="8" t="inlineStr">
        <is>
          <t>高分組人數</t>
        </is>
      </c>
      <c r="C7" s="15">
        <f>COUNTIF(計分!$AQ$2:$AQ$501,"高")</f>
        <v/>
      </c>
    </row>
    <row r="8">
      <c r="A8" s="8" t="inlineStr">
        <is>
          <t>低分組人數</t>
        </is>
      </c>
      <c r="C8" s="15">
        <f>COUNTIF(計分!$AQ$2:$AQ$501,"低")</f>
        <v/>
      </c>
    </row>
    <row r="9">
      <c r="A9" s="8" t="inlineStr">
        <is>
          <t>全量表 α</t>
        </is>
      </c>
      <c r="C9" s="17">
        <f>IF(COUNT(C12:C51)&lt;3,"",COUNT(C12:C51)/(COUNT(C12:C51)-1)*(1-SUMSQ(D12:D51)/VAR(計分!$AP$2:$AP$501)))</f>
        <v/>
      </c>
    </row>
    <row r="10">
      <c r="A10" s="18" t="inlineStr">
        <is>
          <t>判讀標準：決斷值 3.00 以上、校正題總相關 .30 以上為保留；刪除後 α 高於全量表 α 時以底色標示。三項都只是參考，刪題還要看因素分析與題目內容</t>
        </is>
      </c>
    </row>
    <row r="11">
      <c r="A11" s="11" t="inlineStr">
        <is>
          <t>題目代號</t>
        </is>
      </c>
      <c r="B11" s="11" t="inlineStr">
        <is>
          <t>反向題</t>
        </is>
      </c>
      <c r="C11" s="11" t="inlineStr">
        <is>
          <t>平均數</t>
        </is>
      </c>
      <c r="D11" s="11" t="inlineStr">
        <is>
          <t>標準差</t>
        </is>
      </c>
      <c r="E11" s="11" t="inlineStr">
        <is>
          <t>高分組平均</t>
        </is>
      </c>
      <c r="F11" s="11" t="inlineStr">
        <is>
          <t>低分組平均</t>
        </is>
      </c>
      <c r="G11" s="11" t="inlineStr">
        <is>
          <t>決斷值 CR</t>
        </is>
      </c>
      <c r="H11" s="11" t="inlineStr">
        <is>
          <t>校正題總相關</t>
        </is>
      </c>
      <c r="I11" s="11" t="inlineStr">
        <is>
          <t>刪除後 α</t>
        </is>
      </c>
      <c r="J11" s="11" t="inlineStr">
        <is>
          <t>判定</t>
        </is>
      </c>
      <c r="K11" s="11" t="inlineStr">
        <is>
          <t>高分組變異數</t>
        </is>
      </c>
      <c r="L11" s="11" t="inlineStr">
        <is>
          <t>低分組變異數</t>
        </is>
      </c>
    </row>
    <row r="12">
      <c r="A12" s="12">
        <f>反向題設定!B5</f>
        <v/>
      </c>
      <c r="B12" s="12">
        <f>IF(A12="","",IF(反向題設定!C5="是","是",""))</f>
        <v/>
      </c>
      <c r="C12" s="19">
        <f>IF(OR(A12="",COUNT(計分!B$2:B$501)&lt;2),"",AVERAGE(計分!B$2:B$501))</f>
        <v/>
      </c>
      <c r="D12" s="19">
        <f>IF(C12="","",STDEV(計分!B$2:B$501))</f>
        <v/>
      </c>
      <c r="E12" s="19">
        <f>IF(OR(C12="",$C$7&lt;2),"",AVERAGEIFS(計分!B$2:B$501,計分!$AQ$2:$AQ$501,"高"))</f>
        <v/>
      </c>
      <c r="F12" s="19">
        <f>IF(OR(C12="",$C$8&lt;2),"",AVERAGEIFS(計分!B$2:B$501,計分!$AQ$2:$AQ$501,"低"))</f>
        <v/>
      </c>
      <c r="G12" s="19">
        <f>IF(OR(E12="",F12=""),"",IF(K12/$C$7+L12/$C$8=0,"",(E12-F12)/SQRT(K12/$C$7+L12/$C$8)))</f>
        <v/>
      </c>
      <c r="H12" s="19">
        <f>IF(C12="","",CORREL(計分!B$2:B$501,校正總分!B$2:B$501))</f>
        <v/>
      </c>
      <c r="I12" s="20">
        <f>IF(OR(C12="",$C$9=""),"",(COUNT($C$12:$C$51)-1)/(COUNT($C$12:$C$51)-2)*(1-(SUMSQ($D$12:$D$51)-D12^2)/VAR(校正總分!B$2:B$501)))</f>
        <v/>
      </c>
      <c r="J12" s="21">
        <f>IF(OR(G12="",H12=""),"",IF(H12&lt;0,"檢查：負相關，確認是否漏了反向計分",IF(AND(G12&gt;=3,H12&gt;=0.3),IF(I12&gt;$C$9,"保留；刪除後 α 略升，對照因素分析","保留"),IF(H12&lt;0.3,"檢查：校正題總相關低於 .30","檢查：決斷值低於 3.00"))))</f>
        <v/>
      </c>
      <c r="K12" s="19">
        <f>IF(E12="","",(SUMIFS(平方!B$2:B$501,計分!$AQ$2:$AQ$501,"高")-$C$7*E12^2)/($C$7-1))</f>
        <v/>
      </c>
      <c r="L12" s="19">
        <f>IF(F12="","",(SUMIFS(平方!B$2:B$501,計分!$AQ$2:$AQ$501,"低")-$C$8*F12^2)/($C$8-1))</f>
        <v/>
      </c>
    </row>
    <row r="13">
      <c r="A13" s="12">
        <f>反向題設定!B6</f>
        <v/>
      </c>
      <c r="B13" s="12">
        <f>IF(A13="","",IF(反向題設定!C6="是","是",""))</f>
        <v/>
      </c>
      <c r="C13" s="19">
        <f>IF(OR(A13="",COUNT(計分!C$2:C$501)&lt;2),"",AVERAGE(計分!C$2:C$501))</f>
        <v/>
      </c>
      <c r="D13" s="19">
        <f>IF(C13="","",STDEV(計分!C$2:C$501))</f>
        <v/>
      </c>
      <c r="E13" s="19">
        <f>IF(OR(C13="",$C$7&lt;2),"",AVERAGEIFS(計分!C$2:C$501,計分!$AQ$2:$AQ$501,"高"))</f>
        <v/>
      </c>
      <c r="F13" s="19">
        <f>IF(OR(C13="",$C$8&lt;2),"",AVERAGEIFS(計分!C$2:C$501,計分!$AQ$2:$AQ$501,"低"))</f>
        <v/>
      </c>
      <c r="G13" s="19">
        <f>IF(OR(E13="",F13=""),"",IF(K13/$C$7+L13/$C$8=0,"",(E13-F13)/SQRT(K13/$C$7+L13/$C$8)))</f>
        <v/>
      </c>
      <c r="H13" s="19">
        <f>IF(C13="","",CORREL(計分!C$2:C$501,校正總分!C$2:C$501))</f>
        <v/>
      </c>
      <c r="I13" s="20">
        <f>IF(OR(C13="",$C$9=""),"",(COUNT($C$12:$C$51)-1)/(COUNT($C$12:$C$51)-2)*(1-(SUMSQ($D$12:$D$51)-D13^2)/VAR(校正總分!C$2:C$501)))</f>
        <v/>
      </c>
      <c r="J13" s="21">
        <f>IF(OR(G13="",H13=""),"",IF(H13&lt;0,"檢查：負相關，確認是否漏了反向計分",IF(AND(G13&gt;=3,H13&gt;=0.3),IF(I13&gt;$C$9,"保留；刪除後 α 略升，對照因素分析","保留"),IF(H13&lt;0.3,"檢查：校正題總相關低於 .30","檢查：決斷值低於 3.00"))))</f>
        <v/>
      </c>
      <c r="K13" s="19">
        <f>IF(E13="","",(SUMIFS(平方!C$2:C$501,計分!$AQ$2:$AQ$501,"高")-$C$7*E13^2)/($C$7-1))</f>
        <v/>
      </c>
      <c r="L13" s="19">
        <f>IF(F13="","",(SUMIFS(平方!C$2:C$501,計分!$AQ$2:$AQ$501,"低")-$C$8*F13^2)/($C$8-1))</f>
        <v/>
      </c>
    </row>
    <row r="14">
      <c r="A14" s="12">
        <f>反向題設定!B7</f>
        <v/>
      </c>
      <c r="B14" s="12">
        <f>IF(A14="","",IF(反向題設定!C7="是","是",""))</f>
        <v/>
      </c>
      <c r="C14" s="19">
        <f>IF(OR(A14="",COUNT(計分!D$2:D$501)&lt;2),"",AVERAGE(計分!D$2:D$501))</f>
        <v/>
      </c>
      <c r="D14" s="19">
        <f>IF(C14="","",STDEV(計分!D$2:D$501))</f>
        <v/>
      </c>
      <c r="E14" s="19">
        <f>IF(OR(C14="",$C$7&lt;2),"",AVERAGEIFS(計分!D$2:D$501,計分!$AQ$2:$AQ$501,"高"))</f>
        <v/>
      </c>
      <c r="F14" s="19">
        <f>IF(OR(C14="",$C$8&lt;2),"",AVERAGEIFS(計分!D$2:D$501,計分!$AQ$2:$AQ$501,"低"))</f>
        <v/>
      </c>
      <c r="G14" s="19">
        <f>IF(OR(E14="",F14=""),"",IF(K14/$C$7+L14/$C$8=0,"",(E14-F14)/SQRT(K14/$C$7+L14/$C$8)))</f>
        <v/>
      </c>
      <c r="H14" s="19">
        <f>IF(C14="","",CORREL(計分!D$2:D$501,校正總分!D$2:D$501))</f>
        <v/>
      </c>
      <c r="I14" s="20">
        <f>IF(OR(C14="",$C$9=""),"",(COUNT($C$12:$C$51)-1)/(COUNT($C$12:$C$51)-2)*(1-(SUMSQ($D$12:$D$51)-D14^2)/VAR(校正總分!D$2:D$501)))</f>
        <v/>
      </c>
      <c r="J14" s="21">
        <f>IF(OR(G14="",H14=""),"",IF(H14&lt;0,"檢查：負相關，確認是否漏了反向計分",IF(AND(G14&gt;=3,H14&gt;=0.3),IF(I14&gt;$C$9,"保留；刪除後 α 略升，對照因素分析","保留"),IF(H14&lt;0.3,"檢查：校正題總相關低於 .30","檢查：決斷值低於 3.00"))))</f>
        <v/>
      </c>
      <c r="K14" s="19">
        <f>IF(E14="","",(SUMIFS(平方!D$2:D$501,計分!$AQ$2:$AQ$501,"高")-$C$7*E14^2)/($C$7-1))</f>
        <v/>
      </c>
      <c r="L14" s="19">
        <f>IF(F14="","",(SUMIFS(平方!D$2:D$501,計分!$AQ$2:$AQ$501,"低")-$C$8*F14^2)/($C$8-1))</f>
        <v/>
      </c>
    </row>
    <row r="15">
      <c r="A15" s="12">
        <f>反向題設定!B8</f>
        <v/>
      </c>
      <c r="B15" s="12">
        <f>IF(A15="","",IF(反向題設定!C8="是","是",""))</f>
        <v/>
      </c>
      <c r="C15" s="19">
        <f>IF(OR(A15="",COUNT(計分!E$2:E$501)&lt;2),"",AVERAGE(計分!E$2:E$501))</f>
        <v/>
      </c>
      <c r="D15" s="19">
        <f>IF(C15="","",STDEV(計分!E$2:E$501))</f>
        <v/>
      </c>
      <c r="E15" s="19">
        <f>IF(OR(C15="",$C$7&lt;2),"",AVERAGEIFS(計分!E$2:E$501,計分!$AQ$2:$AQ$501,"高"))</f>
        <v/>
      </c>
      <c r="F15" s="19">
        <f>IF(OR(C15="",$C$8&lt;2),"",AVERAGEIFS(計分!E$2:E$501,計分!$AQ$2:$AQ$501,"低"))</f>
        <v/>
      </c>
      <c r="G15" s="19">
        <f>IF(OR(E15="",F15=""),"",IF(K15/$C$7+L15/$C$8=0,"",(E15-F15)/SQRT(K15/$C$7+L15/$C$8)))</f>
        <v/>
      </c>
      <c r="H15" s="19">
        <f>IF(C15="","",CORREL(計分!E$2:E$501,校正總分!E$2:E$501))</f>
        <v/>
      </c>
      <c r="I15" s="20">
        <f>IF(OR(C15="",$C$9=""),"",(COUNT($C$12:$C$51)-1)/(COUNT($C$12:$C$51)-2)*(1-(SUMSQ($D$12:$D$51)-D15^2)/VAR(校正總分!E$2:E$501)))</f>
        <v/>
      </c>
      <c r="J15" s="21">
        <f>IF(OR(G15="",H15=""),"",IF(H15&lt;0,"檢查：負相關，確認是否漏了反向計分",IF(AND(G15&gt;=3,H15&gt;=0.3),IF(I15&gt;$C$9,"保留；刪除後 α 略升，對照因素分析","保留"),IF(H15&lt;0.3,"檢查：校正題總相關低於 .30","檢查：決斷值低於 3.00"))))</f>
        <v/>
      </c>
      <c r="K15" s="19">
        <f>IF(E15="","",(SUMIFS(平方!E$2:E$501,計分!$AQ$2:$AQ$501,"高")-$C$7*E15^2)/($C$7-1))</f>
        <v/>
      </c>
      <c r="L15" s="19">
        <f>IF(F15="","",(SUMIFS(平方!E$2:E$501,計分!$AQ$2:$AQ$501,"低")-$C$8*F15^2)/($C$8-1))</f>
        <v/>
      </c>
    </row>
    <row r="16">
      <c r="A16" s="12">
        <f>反向題設定!B9</f>
        <v/>
      </c>
      <c r="B16" s="12">
        <f>IF(A16="","",IF(反向題設定!C9="是","是",""))</f>
        <v/>
      </c>
      <c r="C16" s="19">
        <f>IF(OR(A16="",COUNT(計分!F$2:F$501)&lt;2),"",AVERAGE(計分!F$2:F$501))</f>
        <v/>
      </c>
      <c r="D16" s="19">
        <f>IF(C16="","",STDEV(計分!F$2:F$501))</f>
        <v/>
      </c>
      <c r="E16" s="19">
        <f>IF(OR(C16="",$C$7&lt;2),"",AVERAGEIFS(計分!F$2:F$501,計分!$AQ$2:$AQ$501,"高"))</f>
        <v/>
      </c>
      <c r="F16" s="19">
        <f>IF(OR(C16="",$C$8&lt;2),"",AVERAGEIFS(計分!F$2:F$501,計分!$AQ$2:$AQ$501,"低"))</f>
        <v/>
      </c>
      <c r="G16" s="19">
        <f>IF(OR(E16="",F16=""),"",IF(K16/$C$7+L16/$C$8=0,"",(E16-F16)/SQRT(K16/$C$7+L16/$C$8)))</f>
        <v/>
      </c>
      <c r="H16" s="19">
        <f>IF(C16="","",CORREL(計分!F$2:F$501,校正總分!F$2:F$501))</f>
        <v/>
      </c>
      <c r="I16" s="20">
        <f>IF(OR(C16="",$C$9=""),"",(COUNT($C$12:$C$51)-1)/(COUNT($C$12:$C$51)-2)*(1-(SUMSQ($D$12:$D$51)-D16^2)/VAR(校正總分!F$2:F$501)))</f>
        <v/>
      </c>
      <c r="J16" s="21">
        <f>IF(OR(G16="",H16=""),"",IF(H16&lt;0,"檢查：負相關，確認是否漏了反向計分",IF(AND(G16&gt;=3,H16&gt;=0.3),IF(I16&gt;$C$9,"保留；刪除後 α 略升，對照因素分析","保留"),IF(H16&lt;0.3,"檢查：校正題總相關低於 .30","檢查：決斷值低於 3.00"))))</f>
        <v/>
      </c>
      <c r="K16" s="19">
        <f>IF(E16="","",(SUMIFS(平方!F$2:F$501,計分!$AQ$2:$AQ$501,"高")-$C$7*E16^2)/($C$7-1))</f>
        <v/>
      </c>
      <c r="L16" s="19">
        <f>IF(F16="","",(SUMIFS(平方!F$2:F$501,計分!$AQ$2:$AQ$501,"低")-$C$8*F16^2)/($C$8-1))</f>
        <v/>
      </c>
    </row>
    <row r="17">
      <c r="A17" s="12">
        <f>反向題設定!B10</f>
        <v/>
      </c>
      <c r="B17" s="12">
        <f>IF(A17="","",IF(反向題設定!C10="是","是",""))</f>
        <v/>
      </c>
      <c r="C17" s="19">
        <f>IF(OR(A17="",COUNT(計分!G$2:G$501)&lt;2),"",AVERAGE(計分!G$2:G$501))</f>
        <v/>
      </c>
      <c r="D17" s="19">
        <f>IF(C17="","",STDEV(計分!G$2:G$501))</f>
        <v/>
      </c>
      <c r="E17" s="19">
        <f>IF(OR(C17="",$C$7&lt;2),"",AVERAGEIFS(計分!G$2:G$501,計分!$AQ$2:$AQ$501,"高"))</f>
        <v/>
      </c>
      <c r="F17" s="19">
        <f>IF(OR(C17="",$C$8&lt;2),"",AVERAGEIFS(計分!G$2:G$501,計分!$AQ$2:$AQ$501,"低"))</f>
        <v/>
      </c>
      <c r="G17" s="19">
        <f>IF(OR(E17="",F17=""),"",IF(K17/$C$7+L17/$C$8=0,"",(E17-F17)/SQRT(K17/$C$7+L17/$C$8)))</f>
        <v/>
      </c>
      <c r="H17" s="19">
        <f>IF(C17="","",CORREL(計分!G$2:G$501,校正總分!G$2:G$501))</f>
        <v/>
      </c>
      <c r="I17" s="20">
        <f>IF(OR(C17="",$C$9=""),"",(COUNT($C$12:$C$51)-1)/(COUNT($C$12:$C$51)-2)*(1-(SUMSQ($D$12:$D$51)-D17^2)/VAR(校正總分!G$2:G$501)))</f>
        <v/>
      </c>
      <c r="J17" s="21">
        <f>IF(OR(G17="",H17=""),"",IF(H17&lt;0,"檢查：負相關，確認是否漏了反向計分",IF(AND(G17&gt;=3,H17&gt;=0.3),IF(I17&gt;$C$9,"保留；刪除後 α 略升，對照因素分析","保留"),IF(H17&lt;0.3,"檢查：校正題總相關低於 .30","檢查：決斷值低於 3.00"))))</f>
        <v/>
      </c>
      <c r="K17" s="19">
        <f>IF(E17="","",(SUMIFS(平方!G$2:G$501,計分!$AQ$2:$AQ$501,"高")-$C$7*E17^2)/($C$7-1))</f>
        <v/>
      </c>
      <c r="L17" s="19">
        <f>IF(F17="","",(SUMIFS(平方!G$2:G$501,計分!$AQ$2:$AQ$501,"低")-$C$8*F17^2)/($C$8-1))</f>
        <v/>
      </c>
    </row>
    <row r="18">
      <c r="A18" s="12">
        <f>反向題設定!B11</f>
        <v/>
      </c>
      <c r="B18" s="12">
        <f>IF(A18="","",IF(反向題設定!C11="是","是",""))</f>
        <v/>
      </c>
      <c r="C18" s="19">
        <f>IF(OR(A18="",COUNT(計分!H$2:H$501)&lt;2),"",AVERAGE(計分!H$2:H$501))</f>
        <v/>
      </c>
      <c r="D18" s="19">
        <f>IF(C18="","",STDEV(計分!H$2:H$501))</f>
        <v/>
      </c>
      <c r="E18" s="19">
        <f>IF(OR(C18="",$C$7&lt;2),"",AVERAGEIFS(計分!H$2:H$501,計分!$AQ$2:$AQ$501,"高"))</f>
        <v/>
      </c>
      <c r="F18" s="19">
        <f>IF(OR(C18="",$C$8&lt;2),"",AVERAGEIFS(計分!H$2:H$501,計分!$AQ$2:$AQ$501,"低"))</f>
        <v/>
      </c>
      <c r="G18" s="19">
        <f>IF(OR(E18="",F18=""),"",IF(K18/$C$7+L18/$C$8=0,"",(E18-F18)/SQRT(K18/$C$7+L18/$C$8)))</f>
        <v/>
      </c>
      <c r="H18" s="19">
        <f>IF(C18="","",CORREL(計分!H$2:H$501,校正總分!H$2:H$501))</f>
        <v/>
      </c>
      <c r="I18" s="20">
        <f>IF(OR(C18="",$C$9=""),"",(COUNT($C$12:$C$51)-1)/(COUNT($C$12:$C$51)-2)*(1-(SUMSQ($D$12:$D$51)-D18^2)/VAR(校正總分!H$2:H$501)))</f>
        <v/>
      </c>
      <c r="J18" s="21">
        <f>IF(OR(G18="",H18=""),"",IF(H18&lt;0,"檢查：負相關，確認是否漏了反向計分",IF(AND(G18&gt;=3,H18&gt;=0.3),IF(I18&gt;$C$9,"保留；刪除後 α 略升，對照因素分析","保留"),IF(H18&lt;0.3,"檢查：校正題總相關低於 .30","檢查：決斷值低於 3.00"))))</f>
        <v/>
      </c>
      <c r="K18" s="19">
        <f>IF(E18="","",(SUMIFS(平方!H$2:H$501,計分!$AQ$2:$AQ$501,"高")-$C$7*E18^2)/($C$7-1))</f>
        <v/>
      </c>
      <c r="L18" s="19">
        <f>IF(F18="","",(SUMIFS(平方!H$2:H$501,計分!$AQ$2:$AQ$501,"低")-$C$8*F18^2)/($C$8-1))</f>
        <v/>
      </c>
    </row>
    <row r="19">
      <c r="A19" s="12">
        <f>反向題設定!B12</f>
        <v/>
      </c>
      <c r="B19" s="12">
        <f>IF(A19="","",IF(反向題設定!C12="是","是",""))</f>
        <v/>
      </c>
      <c r="C19" s="19">
        <f>IF(OR(A19="",COUNT(計分!I$2:I$501)&lt;2),"",AVERAGE(計分!I$2:I$501))</f>
        <v/>
      </c>
      <c r="D19" s="19">
        <f>IF(C19="","",STDEV(計分!I$2:I$501))</f>
        <v/>
      </c>
      <c r="E19" s="19">
        <f>IF(OR(C19="",$C$7&lt;2),"",AVERAGEIFS(計分!I$2:I$501,計分!$AQ$2:$AQ$501,"高"))</f>
        <v/>
      </c>
      <c r="F19" s="19">
        <f>IF(OR(C19="",$C$8&lt;2),"",AVERAGEIFS(計分!I$2:I$501,計分!$AQ$2:$AQ$501,"低"))</f>
        <v/>
      </c>
      <c r="G19" s="19">
        <f>IF(OR(E19="",F19=""),"",IF(K19/$C$7+L19/$C$8=0,"",(E19-F19)/SQRT(K19/$C$7+L19/$C$8)))</f>
        <v/>
      </c>
      <c r="H19" s="19">
        <f>IF(C19="","",CORREL(計分!I$2:I$501,校正總分!I$2:I$501))</f>
        <v/>
      </c>
      <c r="I19" s="20">
        <f>IF(OR(C19="",$C$9=""),"",(COUNT($C$12:$C$51)-1)/(COUNT($C$12:$C$51)-2)*(1-(SUMSQ($D$12:$D$51)-D19^2)/VAR(校正總分!I$2:I$501)))</f>
        <v/>
      </c>
      <c r="J19" s="21">
        <f>IF(OR(G19="",H19=""),"",IF(H19&lt;0,"檢查：負相關，確認是否漏了反向計分",IF(AND(G19&gt;=3,H19&gt;=0.3),IF(I19&gt;$C$9,"保留；刪除後 α 略升，對照因素分析","保留"),IF(H19&lt;0.3,"檢查：校正題總相關低於 .30","檢查：決斷值低於 3.00"))))</f>
        <v/>
      </c>
      <c r="K19" s="19">
        <f>IF(E19="","",(SUMIFS(平方!I$2:I$501,計分!$AQ$2:$AQ$501,"高")-$C$7*E19^2)/($C$7-1))</f>
        <v/>
      </c>
      <c r="L19" s="19">
        <f>IF(F19="","",(SUMIFS(平方!I$2:I$501,計分!$AQ$2:$AQ$501,"低")-$C$8*F19^2)/($C$8-1))</f>
        <v/>
      </c>
    </row>
    <row r="20">
      <c r="A20" s="12">
        <f>反向題設定!B13</f>
        <v/>
      </c>
      <c r="B20" s="12">
        <f>IF(A20="","",IF(反向題設定!C13="是","是",""))</f>
        <v/>
      </c>
      <c r="C20" s="19">
        <f>IF(OR(A20="",COUNT(計分!J$2:J$501)&lt;2),"",AVERAGE(計分!J$2:J$501))</f>
        <v/>
      </c>
      <c r="D20" s="19">
        <f>IF(C20="","",STDEV(計分!J$2:J$501))</f>
        <v/>
      </c>
      <c r="E20" s="19">
        <f>IF(OR(C20="",$C$7&lt;2),"",AVERAGEIFS(計分!J$2:J$501,計分!$AQ$2:$AQ$501,"高"))</f>
        <v/>
      </c>
      <c r="F20" s="19">
        <f>IF(OR(C20="",$C$8&lt;2),"",AVERAGEIFS(計分!J$2:J$501,計分!$AQ$2:$AQ$501,"低"))</f>
        <v/>
      </c>
      <c r="G20" s="19">
        <f>IF(OR(E20="",F20=""),"",IF(K20/$C$7+L20/$C$8=0,"",(E20-F20)/SQRT(K20/$C$7+L20/$C$8)))</f>
        <v/>
      </c>
      <c r="H20" s="19">
        <f>IF(C20="","",CORREL(計分!J$2:J$501,校正總分!J$2:J$501))</f>
        <v/>
      </c>
      <c r="I20" s="20">
        <f>IF(OR(C20="",$C$9=""),"",(COUNT($C$12:$C$51)-1)/(COUNT($C$12:$C$51)-2)*(1-(SUMSQ($D$12:$D$51)-D20^2)/VAR(校正總分!J$2:J$501)))</f>
        <v/>
      </c>
      <c r="J20" s="21">
        <f>IF(OR(G20="",H20=""),"",IF(H20&lt;0,"檢查：負相關，確認是否漏了反向計分",IF(AND(G20&gt;=3,H20&gt;=0.3),IF(I20&gt;$C$9,"保留；刪除後 α 略升，對照因素分析","保留"),IF(H20&lt;0.3,"檢查：校正題總相關低於 .30","檢查：決斷值低於 3.00"))))</f>
        <v/>
      </c>
      <c r="K20" s="19">
        <f>IF(E20="","",(SUMIFS(平方!J$2:J$501,計分!$AQ$2:$AQ$501,"高")-$C$7*E20^2)/($C$7-1))</f>
        <v/>
      </c>
      <c r="L20" s="19">
        <f>IF(F20="","",(SUMIFS(平方!J$2:J$501,計分!$AQ$2:$AQ$501,"低")-$C$8*F20^2)/($C$8-1))</f>
        <v/>
      </c>
    </row>
    <row r="21">
      <c r="A21" s="12">
        <f>反向題設定!B14</f>
        <v/>
      </c>
      <c r="B21" s="12">
        <f>IF(A21="","",IF(反向題設定!C14="是","是",""))</f>
        <v/>
      </c>
      <c r="C21" s="19">
        <f>IF(OR(A21="",COUNT(計分!K$2:K$501)&lt;2),"",AVERAGE(計分!K$2:K$501))</f>
        <v/>
      </c>
      <c r="D21" s="19">
        <f>IF(C21="","",STDEV(計分!K$2:K$501))</f>
        <v/>
      </c>
      <c r="E21" s="19">
        <f>IF(OR(C21="",$C$7&lt;2),"",AVERAGEIFS(計分!K$2:K$501,計分!$AQ$2:$AQ$501,"高"))</f>
        <v/>
      </c>
      <c r="F21" s="19">
        <f>IF(OR(C21="",$C$8&lt;2),"",AVERAGEIFS(計分!K$2:K$501,計分!$AQ$2:$AQ$501,"低"))</f>
        <v/>
      </c>
      <c r="G21" s="19">
        <f>IF(OR(E21="",F21=""),"",IF(K21/$C$7+L21/$C$8=0,"",(E21-F21)/SQRT(K21/$C$7+L21/$C$8)))</f>
        <v/>
      </c>
      <c r="H21" s="19">
        <f>IF(C21="","",CORREL(計分!K$2:K$501,校正總分!K$2:K$501))</f>
        <v/>
      </c>
      <c r="I21" s="20">
        <f>IF(OR(C21="",$C$9=""),"",(COUNT($C$12:$C$51)-1)/(COUNT($C$12:$C$51)-2)*(1-(SUMSQ($D$12:$D$51)-D21^2)/VAR(校正總分!K$2:K$501)))</f>
        <v/>
      </c>
      <c r="J21" s="21">
        <f>IF(OR(G21="",H21=""),"",IF(H21&lt;0,"檢查：負相關，確認是否漏了反向計分",IF(AND(G21&gt;=3,H21&gt;=0.3),IF(I21&gt;$C$9,"保留；刪除後 α 略升，對照因素分析","保留"),IF(H21&lt;0.3,"檢查：校正題總相關低於 .30","檢查：決斷值低於 3.00"))))</f>
        <v/>
      </c>
      <c r="K21" s="19">
        <f>IF(E21="","",(SUMIFS(平方!K$2:K$501,計分!$AQ$2:$AQ$501,"高")-$C$7*E21^2)/($C$7-1))</f>
        <v/>
      </c>
      <c r="L21" s="19">
        <f>IF(F21="","",(SUMIFS(平方!K$2:K$501,計分!$AQ$2:$AQ$501,"低")-$C$8*F21^2)/($C$8-1))</f>
        <v/>
      </c>
    </row>
    <row r="22">
      <c r="A22" s="12">
        <f>反向題設定!B15</f>
        <v/>
      </c>
      <c r="B22" s="12">
        <f>IF(A22="","",IF(反向題設定!C15="是","是",""))</f>
        <v/>
      </c>
      <c r="C22" s="19">
        <f>IF(OR(A22="",COUNT(計分!L$2:L$501)&lt;2),"",AVERAGE(計分!L$2:L$501))</f>
        <v/>
      </c>
      <c r="D22" s="19">
        <f>IF(C22="","",STDEV(計分!L$2:L$501))</f>
        <v/>
      </c>
      <c r="E22" s="19">
        <f>IF(OR(C22="",$C$7&lt;2),"",AVERAGEIFS(計分!L$2:L$501,計分!$AQ$2:$AQ$501,"高"))</f>
        <v/>
      </c>
      <c r="F22" s="19">
        <f>IF(OR(C22="",$C$8&lt;2),"",AVERAGEIFS(計分!L$2:L$501,計分!$AQ$2:$AQ$501,"低"))</f>
        <v/>
      </c>
      <c r="G22" s="19">
        <f>IF(OR(E22="",F22=""),"",IF(K22/$C$7+L22/$C$8=0,"",(E22-F22)/SQRT(K22/$C$7+L22/$C$8)))</f>
        <v/>
      </c>
      <c r="H22" s="19">
        <f>IF(C22="","",CORREL(計分!L$2:L$501,校正總分!L$2:L$501))</f>
        <v/>
      </c>
      <c r="I22" s="20">
        <f>IF(OR(C22="",$C$9=""),"",(COUNT($C$12:$C$51)-1)/(COUNT($C$12:$C$51)-2)*(1-(SUMSQ($D$12:$D$51)-D22^2)/VAR(校正總分!L$2:L$501)))</f>
        <v/>
      </c>
      <c r="J22" s="21">
        <f>IF(OR(G22="",H22=""),"",IF(H22&lt;0,"檢查：負相關，確認是否漏了反向計分",IF(AND(G22&gt;=3,H22&gt;=0.3),IF(I22&gt;$C$9,"保留；刪除後 α 略升，對照因素分析","保留"),IF(H22&lt;0.3,"檢查：校正題總相關低於 .30","檢查：決斷值低於 3.00"))))</f>
        <v/>
      </c>
      <c r="K22" s="19">
        <f>IF(E22="","",(SUMIFS(平方!L$2:L$501,計分!$AQ$2:$AQ$501,"高")-$C$7*E22^2)/($C$7-1))</f>
        <v/>
      </c>
      <c r="L22" s="19">
        <f>IF(F22="","",(SUMIFS(平方!L$2:L$501,計分!$AQ$2:$AQ$501,"低")-$C$8*F22^2)/($C$8-1))</f>
        <v/>
      </c>
    </row>
    <row r="23">
      <c r="A23" s="12">
        <f>反向題設定!B16</f>
        <v/>
      </c>
      <c r="B23" s="12">
        <f>IF(A23="","",IF(反向題設定!C16="是","是",""))</f>
        <v/>
      </c>
      <c r="C23" s="19">
        <f>IF(OR(A23="",COUNT(計分!M$2:M$501)&lt;2),"",AVERAGE(計分!M$2:M$501))</f>
        <v/>
      </c>
      <c r="D23" s="19">
        <f>IF(C23="","",STDEV(計分!M$2:M$501))</f>
        <v/>
      </c>
      <c r="E23" s="19">
        <f>IF(OR(C23="",$C$7&lt;2),"",AVERAGEIFS(計分!M$2:M$501,計分!$AQ$2:$AQ$501,"高"))</f>
        <v/>
      </c>
      <c r="F23" s="19">
        <f>IF(OR(C23="",$C$8&lt;2),"",AVERAGEIFS(計分!M$2:M$501,計分!$AQ$2:$AQ$501,"低"))</f>
        <v/>
      </c>
      <c r="G23" s="19">
        <f>IF(OR(E23="",F23=""),"",IF(K23/$C$7+L23/$C$8=0,"",(E23-F23)/SQRT(K23/$C$7+L23/$C$8)))</f>
        <v/>
      </c>
      <c r="H23" s="19">
        <f>IF(C23="","",CORREL(計分!M$2:M$501,校正總分!M$2:M$501))</f>
        <v/>
      </c>
      <c r="I23" s="20">
        <f>IF(OR(C23="",$C$9=""),"",(COUNT($C$12:$C$51)-1)/(COUNT($C$12:$C$51)-2)*(1-(SUMSQ($D$12:$D$51)-D23^2)/VAR(校正總分!M$2:M$501)))</f>
        <v/>
      </c>
      <c r="J23" s="21">
        <f>IF(OR(G23="",H23=""),"",IF(H23&lt;0,"檢查：負相關，確認是否漏了反向計分",IF(AND(G23&gt;=3,H23&gt;=0.3),IF(I23&gt;$C$9,"保留；刪除後 α 略升，對照因素分析","保留"),IF(H23&lt;0.3,"檢查：校正題總相關低於 .30","檢查：決斷值低於 3.00"))))</f>
        <v/>
      </c>
      <c r="K23" s="19">
        <f>IF(E23="","",(SUMIFS(平方!M$2:M$501,計分!$AQ$2:$AQ$501,"高")-$C$7*E23^2)/($C$7-1))</f>
        <v/>
      </c>
      <c r="L23" s="19">
        <f>IF(F23="","",(SUMIFS(平方!M$2:M$501,計分!$AQ$2:$AQ$501,"低")-$C$8*F23^2)/($C$8-1))</f>
        <v/>
      </c>
    </row>
    <row r="24">
      <c r="A24" s="12">
        <f>反向題設定!B17</f>
        <v/>
      </c>
      <c r="B24" s="12">
        <f>IF(A24="","",IF(反向題設定!C17="是","是",""))</f>
        <v/>
      </c>
      <c r="C24" s="19">
        <f>IF(OR(A24="",COUNT(計分!N$2:N$501)&lt;2),"",AVERAGE(計分!N$2:N$501))</f>
        <v/>
      </c>
      <c r="D24" s="19">
        <f>IF(C24="","",STDEV(計分!N$2:N$501))</f>
        <v/>
      </c>
      <c r="E24" s="19">
        <f>IF(OR(C24="",$C$7&lt;2),"",AVERAGEIFS(計分!N$2:N$501,計分!$AQ$2:$AQ$501,"高"))</f>
        <v/>
      </c>
      <c r="F24" s="19">
        <f>IF(OR(C24="",$C$8&lt;2),"",AVERAGEIFS(計分!N$2:N$501,計分!$AQ$2:$AQ$501,"低"))</f>
        <v/>
      </c>
      <c r="G24" s="19">
        <f>IF(OR(E24="",F24=""),"",IF(K24/$C$7+L24/$C$8=0,"",(E24-F24)/SQRT(K24/$C$7+L24/$C$8)))</f>
        <v/>
      </c>
      <c r="H24" s="19">
        <f>IF(C24="","",CORREL(計分!N$2:N$501,校正總分!N$2:N$501))</f>
        <v/>
      </c>
      <c r="I24" s="20">
        <f>IF(OR(C24="",$C$9=""),"",(COUNT($C$12:$C$51)-1)/(COUNT($C$12:$C$51)-2)*(1-(SUMSQ($D$12:$D$51)-D24^2)/VAR(校正總分!N$2:N$501)))</f>
        <v/>
      </c>
      <c r="J24" s="21">
        <f>IF(OR(G24="",H24=""),"",IF(H24&lt;0,"檢查：負相關，確認是否漏了反向計分",IF(AND(G24&gt;=3,H24&gt;=0.3),IF(I24&gt;$C$9,"保留；刪除後 α 略升，對照因素分析","保留"),IF(H24&lt;0.3,"檢查：校正題總相關低於 .30","檢查：決斷值低於 3.00"))))</f>
        <v/>
      </c>
      <c r="K24" s="19">
        <f>IF(E24="","",(SUMIFS(平方!N$2:N$501,計分!$AQ$2:$AQ$501,"高")-$C$7*E24^2)/($C$7-1))</f>
        <v/>
      </c>
      <c r="L24" s="19">
        <f>IF(F24="","",(SUMIFS(平方!N$2:N$501,計分!$AQ$2:$AQ$501,"低")-$C$8*F24^2)/($C$8-1))</f>
        <v/>
      </c>
    </row>
    <row r="25">
      <c r="A25" s="12">
        <f>反向題設定!B18</f>
        <v/>
      </c>
      <c r="B25" s="12">
        <f>IF(A25="","",IF(反向題設定!C18="是","是",""))</f>
        <v/>
      </c>
      <c r="C25" s="19">
        <f>IF(OR(A25="",COUNT(計分!O$2:O$501)&lt;2),"",AVERAGE(計分!O$2:O$501))</f>
        <v/>
      </c>
      <c r="D25" s="19">
        <f>IF(C25="","",STDEV(計分!O$2:O$501))</f>
        <v/>
      </c>
      <c r="E25" s="19">
        <f>IF(OR(C25="",$C$7&lt;2),"",AVERAGEIFS(計分!O$2:O$501,計分!$AQ$2:$AQ$501,"高"))</f>
        <v/>
      </c>
      <c r="F25" s="19">
        <f>IF(OR(C25="",$C$8&lt;2),"",AVERAGEIFS(計分!O$2:O$501,計分!$AQ$2:$AQ$501,"低"))</f>
        <v/>
      </c>
      <c r="G25" s="19">
        <f>IF(OR(E25="",F25=""),"",IF(K25/$C$7+L25/$C$8=0,"",(E25-F25)/SQRT(K25/$C$7+L25/$C$8)))</f>
        <v/>
      </c>
      <c r="H25" s="19">
        <f>IF(C25="","",CORREL(計分!O$2:O$501,校正總分!O$2:O$501))</f>
        <v/>
      </c>
      <c r="I25" s="20">
        <f>IF(OR(C25="",$C$9=""),"",(COUNT($C$12:$C$51)-1)/(COUNT($C$12:$C$51)-2)*(1-(SUMSQ($D$12:$D$51)-D25^2)/VAR(校正總分!O$2:O$501)))</f>
        <v/>
      </c>
      <c r="J25" s="21">
        <f>IF(OR(G25="",H25=""),"",IF(H25&lt;0,"檢查：負相關，確認是否漏了反向計分",IF(AND(G25&gt;=3,H25&gt;=0.3),IF(I25&gt;$C$9,"保留；刪除後 α 略升，對照因素分析","保留"),IF(H25&lt;0.3,"檢查：校正題總相關低於 .30","檢查：決斷值低於 3.00"))))</f>
        <v/>
      </c>
      <c r="K25" s="19">
        <f>IF(E25="","",(SUMIFS(平方!O$2:O$501,計分!$AQ$2:$AQ$501,"高")-$C$7*E25^2)/($C$7-1))</f>
        <v/>
      </c>
      <c r="L25" s="19">
        <f>IF(F25="","",(SUMIFS(平方!O$2:O$501,計分!$AQ$2:$AQ$501,"低")-$C$8*F25^2)/($C$8-1))</f>
        <v/>
      </c>
    </row>
    <row r="26">
      <c r="A26" s="12">
        <f>反向題設定!B19</f>
        <v/>
      </c>
      <c r="B26" s="12">
        <f>IF(A26="","",IF(反向題設定!C19="是","是",""))</f>
        <v/>
      </c>
      <c r="C26" s="19">
        <f>IF(OR(A26="",COUNT(計分!P$2:P$501)&lt;2),"",AVERAGE(計分!P$2:P$501))</f>
        <v/>
      </c>
      <c r="D26" s="19">
        <f>IF(C26="","",STDEV(計分!P$2:P$501))</f>
        <v/>
      </c>
      <c r="E26" s="19">
        <f>IF(OR(C26="",$C$7&lt;2),"",AVERAGEIFS(計分!P$2:P$501,計分!$AQ$2:$AQ$501,"高"))</f>
        <v/>
      </c>
      <c r="F26" s="19">
        <f>IF(OR(C26="",$C$8&lt;2),"",AVERAGEIFS(計分!P$2:P$501,計分!$AQ$2:$AQ$501,"低"))</f>
        <v/>
      </c>
      <c r="G26" s="19">
        <f>IF(OR(E26="",F26=""),"",IF(K26/$C$7+L26/$C$8=0,"",(E26-F26)/SQRT(K26/$C$7+L26/$C$8)))</f>
        <v/>
      </c>
      <c r="H26" s="19">
        <f>IF(C26="","",CORREL(計分!P$2:P$501,校正總分!P$2:P$501))</f>
        <v/>
      </c>
      <c r="I26" s="20">
        <f>IF(OR(C26="",$C$9=""),"",(COUNT($C$12:$C$51)-1)/(COUNT($C$12:$C$51)-2)*(1-(SUMSQ($D$12:$D$51)-D26^2)/VAR(校正總分!P$2:P$501)))</f>
        <v/>
      </c>
      <c r="J26" s="21">
        <f>IF(OR(G26="",H26=""),"",IF(H26&lt;0,"檢查：負相關，確認是否漏了反向計分",IF(AND(G26&gt;=3,H26&gt;=0.3),IF(I26&gt;$C$9,"保留；刪除後 α 略升，對照因素分析","保留"),IF(H26&lt;0.3,"檢查：校正題總相關低於 .30","檢查：決斷值低於 3.00"))))</f>
        <v/>
      </c>
      <c r="K26" s="19">
        <f>IF(E26="","",(SUMIFS(平方!P$2:P$501,計分!$AQ$2:$AQ$501,"高")-$C$7*E26^2)/($C$7-1))</f>
        <v/>
      </c>
      <c r="L26" s="19">
        <f>IF(F26="","",(SUMIFS(平方!P$2:P$501,計分!$AQ$2:$AQ$501,"低")-$C$8*F26^2)/($C$8-1))</f>
        <v/>
      </c>
    </row>
    <row r="27">
      <c r="A27" s="12">
        <f>反向題設定!B20</f>
        <v/>
      </c>
      <c r="B27" s="12">
        <f>IF(A27="","",IF(反向題設定!C20="是","是",""))</f>
        <v/>
      </c>
      <c r="C27" s="19">
        <f>IF(OR(A27="",COUNT(計分!Q$2:Q$501)&lt;2),"",AVERAGE(計分!Q$2:Q$501))</f>
        <v/>
      </c>
      <c r="D27" s="19">
        <f>IF(C27="","",STDEV(計分!Q$2:Q$501))</f>
        <v/>
      </c>
      <c r="E27" s="19">
        <f>IF(OR(C27="",$C$7&lt;2),"",AVERAGEIFS(計分!Q$2:Q$501,計分!$AQ$2:$AQ$501,"高"))</f>
        <v/>
      </c>
      <c r="F27" s="19">
        <f>IF(OR(C27="",$C$8&lt;2),"",AVERAGEIFS(計分!Q$2:Q$501,計分!$AQ$2:$AQ$501,"低"))</f>
        <v/>
      </c>
      <c r="G27" s="19">
        <f>IF(OR(E27="",F27=""),"",IF(K27/$C$7+L27/$C$8=0,"",(E27-F27)/SQRT(K27/$C$7+L27/$C$8)))</f>
        <v/>
      </c>
      <c r="H27" s="19">
        <f>IF(C27="","",CORREL(計分!Q$2:Q$501,校正總分!Q$2:Q$501))</f>
        <v/>
      </c>
      <c r="I27" s="20">
        <f>IF(OR(C27="",$C$9=""),"",(COUNT($C$12:$C$51)-1)/(COUNT($C$12:$C$51)-2)*(1-(SUMSQ($D$12:$D$51)-D27^2)/VAR(校正總分!Q$2:Q$501)))</f>
        <v/>
      </c>
      <c r="J27" s="21">
        <f>IF(OR(G27="",H27=""),"",IF(H27&lt;0,"檢查：負相關，確認是否漏了反向計分",IF(AND(G27&gt;=3,H27&gt;=0.3),IF(I27&gt;$C$9,"保留；刪除後 α 略升，對照因素分析","保留"),IF(H27&lt;0.3,"檢查：校正題總相關低於 .30","檢查：決斷值低於 3.00"))))</f>
        <v/>
      </c>
      <c r="K27" s="19">
        <f>IF(E27="","",(SUMIFS(平方!Q$2:Q$501,計分!$AQ$2:$AQ$501,"高")-$C$7*E27^2)/($C$7-1))</f>
        <v/>
      </c>
      <c r="L27" s="19">
        <f>IF(F27="","",(SUMIFS(平方!Q$2:Q$501,計分!$AQ$2:$AQ$501,"低")-$C$8*F27^2)/($C$8-1))</f>
        <v/>
      </c>
    </row>
    <row r="28">
      <c r="A28" s="12">
        <f>反向題設定!B21</f>
        <v/>
      </c>
      <c r="B28" s="12">
        <f>IF(A28="","",IF(反向題設定!C21="是","是",""))</f>
        <v/>
      </c>
      <c r="C28" s="19">
        <f>IF(OR(A28="",COUNT(計分!R$2:R$501)&lt;2),"",AVERAGE(計分!R$2:R$501))</f>
        <v/>
      </c>
      <c r="D28" s="19">
        <f>IF(C28="","",STDEV(計分!R$2:R$501))</f>
        <v/>
      </c>
      <c r="E28" s="19">
        <f>IF(OR(C28="",$C$7&lt;2),"",AVERAGEIFS(計分!R$2:R$501,計分!$AQ$2:$AQ$501,"高"))</f>
        <v/>
      </c>
      <c r="F28" s="19">
        <f>IF(OR(C28="",$C$8&lt;2),"",AVERAGEIFS(計分!R$2:R$501,計分!$AQ$2:$AQ$501,"低"))</f>
        <v/>
      </c>
      <c r="G28" s="19">
        <f>IF(OR(E28="",F28=""),"",IF(K28/$C$7+L28/$C$8=0,"",(E28-F28)/SQRT(K28/$C$7+L28/$C$8)))</f>
        <v/>
      </c>
      <c r="H28" s="19">
        <f>IF(C28="","",CORREL(計分!R$2:R$501,校正總分!R$2:R$501))</f>
        <v/>
      </c>
      <c r="I28" s="20">
        <f>IF(OR(C28="",$C$9=""),"",(COUNT($C$12:$C$51)-1)/(COUNT($C$12:$C$51)-2)*(1-(SUMSQ($D$12:$D$51)-D28^2)/VAR(校正總分!R$2:R$501)))</f>
        <v/>
      </c>
      <c r="J28" s="21">
        <f>IF(OR(G28="",H28=""),"",IF(H28&lt;0,"檢查：負相關，確認是否漏了反向計分",IF(AND(G28&gt;=3,H28&gt;=0.3),IF(I28&gt;$C$9,"保留；刪除後 α 略升，對照因素分析","保留"),IF(H28&lt;0.3,"檢查：校正題總相關低於 .30","檢查：決斷值低於 3.00"))))</f>
        <v/>
      </c>
      <c r="K28" s="19">
        <f>IF(E28="","",(SUMIFS(平方!R$2:R$501,計分!$AQ$2:$AQ$501,"高")-$C$7*E28^2)/($C$7-1))</f>
        <v/>
      </c>
      <c r="L28" s="19">
        <f>IF(F28="","",(SUMIFS(平方!R$2:R$501,計分!$AQ$2:$AQ$501,"低")-$C$8*F28^2)/($C$8-1))</f>
        <v/>
      </c>
    </row>
    <row r="29">
      <c r="A29" s="12">
        <f>反向題設定!B22</f>
        <v/>
      </c>
      <c r="B29" s="12">
        <f>IF(A29="","",IF(反向題設定!C22="是","是",""))</f>
        <v/>
      </c>
      <c r="C29" s="19">
        <f>IF(OR(A29="",COUNT(計分!S$2:S$501)&lt;2),"",AVERAGE(計分!S$2:S$501))</f>
        <v/>
      </c>
      <c r="D29" s="19">
        <f>IF(C29="","",STDEV(計分!S$2:S$501))</f>
        <v/>
      </c>
      <c r="E29" s="19">
        <f>IF(OR(C29="",$C$7&lt;2),"",AVERAGEIFS(計分!S$2:S$501,計分!$AQ$2:$AQ$501,"高"))</f>
        <v/>
      </c>
      <c r="F29" s="19">
        <f>IF(OR(C29="",$C$8&lt;2),"",AVERAGEIFS(計分!S$2:S$501,計分!$AQ$2:$AQ$501,"低"))</f>
        <v/>
      </c>
      <c r="G29" s="19">
        <f>IF(OR(E29="",F29=""),"",IF(K29/$C$7+L29/$C$8=0,"",(E29-F29)/SQRT(K29/$C$7+L29/$C$8)))</f>
        <v/>
      </c>
      <c r="H29" s="19">
        <f>IF(C29="","",CORREL(計分!S$2:S$501,校正總分!S$2:S$501))</f>
        <v/>
      </c>
      <c r="I29" s="20">
        <f>IF(OR(C29="",$C$9=""),"",(COUNT($C$12:$C$51)-1)/(COUNT($C$12:$C$51)-2)*(1-(SUMSQ($D$12:$D$51)-D29^2)/VAR(校正總分!S$2:S$501)))</f>
        <v/>
      </c>
      <c r="J29" s="21">
        <f>IF(OR(G29="",H29=""),"",IF(H29&lt;0,"檢查：負相關，確認是否漏了反向計分",IF(AND(G29&gt;=3,H29&gt;=0.3),IF(I29&gt;$C$9,"保留；刪除後 α 略升，對照因素分析","保留"),IF(H29&lt;0.3,"檢查：校正題總相關低於 .30","檢查：決斷值低於 3.00"))))</f>
        <v/>
      </c>
      <c r="K29" s="19">
        <f>IF(E29="","",(SUMIFS(平方!S$2:S$501,計分!$AQ$2:$AQ$501,"高")-$C$7*E29^2)/($C$7-1))</f>
        <v/>
      </c>
      <c r="L29" s="19">
        <f>IF(F29="","",(SUMIFS(平方!S$2:S$501,計分!$AQ$2:$AQ$501,"低")-$C$8*F29^2)/($C$8-1))</f>
        <v/>
      </c>
    </row>
    <row r="30">
      <c r="A30" s="12">
        <f>反向題設定!B23</f>
        <v/>
      </c>
      <c r="B30" s="12">
        <f>IF(A30="","",IF(反向題設定!C23="是","是",""))</f>
        <v/>
      </c>
      <c r="C30" s="19">
        <f>IF(OR(A30="",COUNT(計分!T$2:T$501)&lt;2),"",AVERAGE(計分!T$2:T$501))</f>
        <v/>
      </c>
      <c r="D30" s="19">
        <f>IF(C30="","",STDEV(計分!T$2:T$501))</f>
        <v/>
      </c>
      <c r="E30" s="19">
        <f>IF(OR(C30="",$C$7&lt;2),"",AVERAGEIFS(計分!T$2:T$501,計分!$AQ$2:$AQ$501,"高"))</f>
        <v/>
      </c>
      <c r="F30" s="19">
        <f>IF(OR(C30="",$C$8&lt;2),"",AVERAGEIFS(計分!T$2:T$501,計分!$AQ$2:$AQ$501,"低"))</f>
        <v/>
      </c>
      <c r="G30" s="19">
        <f>IF(OR(E30="",F30=""),"",IF(K30/$C$7+L30/$C$8=0,"",(E30-F30)/SQRT(K30/$C$7+L30/$C$8)))</f>
        <v/>
      </c>
      <c r="H30" s="19">
        <f>IF(C30="","",CORREL(計分!T$2:T$501,校正總分!T$2:T$501))</f>
        <v/>
      </c>
      <c r="I30" s="20">
        <f>IF(OR(C30="",$C$9=""),"",(COUNT($C$12:$C$51)-1)/(COUNT($C$12:$C$51)-2)*(1-(SUMSQ($D$12:$D$51)-D30^2)/VAR(校正總分!T$2:T$501)))</f>
        <v/>
      </c>
      <c r="J30" s="21">
        <f>IF(OR(G30="",H30=""),"",IF(H30&lt;0,"檢查：負相關，確認是否漏了反向計分",IF(AND(G30&gt;=3,H30&gt;=0.3),IF(I30&gt;$C$9,"保留；刪除後 α 略升，對照因素分析","保留"),IF(H30&lt;0.3,"檢查：校正題總相關低於 .30","檢查：決斷值低於 3.00"))))</f>
        <v/>
      </c>
      <c r="K30" s="19">
        <f>IF(E30="","",(SUMIFS(平方!T$2:T$501,計分!$AQ$2:$AQ$501,"高")-$C$7*E30^2)/($C$7-1))</f>
        <v/>
      </c>
      <c r="L30" s="19">
        <f>IF(F30="","",(SUMIFS(平方!T$2:T$501,計分!$AQ$2:$AQ$501,"低")-$C$8*F30^2)/($C$8-1))</f>
        <v/>
      </c>
    </row>
    <row r="31">
      <c r="A31" s="12">
        <f>反向題設定!B24</f>
        <v/>
      </c>
      <c r="B31" s="12">
        <f>IF(A31="","",IF(反向題設定!C24="是","是",""))</f>
        <v/>
      </c>
      <c r="C31" s="19">
        <f>IF(OR(A31="",COUNT(計分!U$2:U$501)&lt;2),"",AVERAGE(計分!U$2:U$501))</f>
        <v/>
      </c>
      <c r="D31" s="19">
        <f>IF(C31="","",STDEV(計分!U$2:U$501))</f>
        <v/>
      </c>
      <c r="E31" s="19">
        <f>IF(OR(C31="",$C$7&lt;2),"",AVERAGEIFS(計分!U$2:U$501,計分!$AQ$2:$AQ$501,"高"))</f>
        <v/>
      </c>
      <c r="F31" s="19">
        <f>IF(OR(C31="",$C$8&lt;2),"",AVERAGEIFS(計分!U$2:U$501,計分!$AQ$2:$AQ$501,"低"))</f>
        <v/>
      </c>
      <c r="G31" s="19">
        <f>IF(OR(E31="",F31=""),"",IF(K31/$C$7+L31/$C$8=0,"",(E31-F31)/SQRT(K31/$C$7+L31/$C$8)))</f>
        <v/>
      </c>
      <c r="H31" s="19">
        <f>IF(C31="","",CORREL(計分!U$2:U$501,校正總分!U$2:U$501))</f>
        <v/>
      </c>
      <c r="I31" s="20">
        <f>IF(OR(C31="",$C$9=""),"",(COUNT($C$12:$C$51)-1)/(COUNT($C$12:$C$51)-2)*(1-(SUMSQ($D$12:$D$51)-D31^2)/VAR(校正總分!U$2:U$501)))</f>
        <v/>
      </c>
      <c r="J31" s="21">
        <f>IF(OR(G31="",H31=""),"",IF(H31&lt;0,"檢查：負相關，確認是否漏了反向計分",IF(AND(G31&gt;=3,H31&gt;=0.3),IF(I31&gt;$C$9,"保留；刪除後 α 略升，對照因素分析","保留"),IF(H31&lt;0.3,"檢查：校正題總相關低於 .30","檢查：決斷值低於 3.00"))))</f>
        <v/>
      </c>
      <c r="K31" s="19">
        <f>IF(E31="","",(SUMIFS(平方!U$2:U$501,計分!$AQ$2:$AQ$501,"高")-$C$7*E31^2)/($C$7-1))</f>
        <v/>
      </c>
      <c r="L31" s="19">
        <f>IF(F31="","",(SUMIFS(平方!U$2:U$501,計分!$AQ$2:$AQ$501,"低")-$C$8*F31^2)/($C$8-1))</f>
        <v/>
      </c>
    </row>
    <row r="32">
      <c r="A32" s="12">
        <f>反向題設定!B25</f>
        <v/>
      </c>
      <c r="B32" s="12">
        <f>IF(A32="","",IF(反向題設定!C25="是","是",""))</f>
        <v/>
      </c>
      <c r="C32" s="19">
        <f>IF(OR(A32="",COUNT(計分!V$2:V$501)&lt;2),"",AVERAGE(計分!V$2:V$501))</f>
        <v/>
      </c>
      <c r="D32" s="19">
        <f>IF(C32="","",STDEV(計分!V$2:V$501))</f>
        <v/>
      </c>
      <c r="E32" s="19">
        <f>IF(OR(C32="",$C$7&lt;2),"",AVERAGEIFS(計分!V$2:V$501,計分!$AQ$2:$AQ$501,"高"))</f>
        <v/>
      </c>
      <c r="F32" s="19">
        <f>IF(OR(C32="",$C$8&lt;2),"",AVERAGEIFS(計分!V$2:V$501,計分!$AQ$2:$AQ$501,"低"))</f>
        <v/>
      </c>
      <c r="G32" s="19">
        <f>IF(OR(E32="",F32=""),"",IF(K32/$C$7+L32/$C$8=0,"",(E32-F32)/SQRT(K32/$C$7+L32/$C$8)))</f>
        <v/>
      </c>
      <c r="H32" s="19">
        <f>IF(C32="","",CORREL(計分!V$2:V$501,校正總分!V$2:V$501))</f>
        <v/>
      </c>
      <c r="I32" s="20">
        <f>IF(OR(C32="",$C$9=""),"",(COUNT($C$12:$C$51)-1)/(COUNT($C$12:$C$51)-2)*(1-(SUMSQ($D$12:$D$51)-D32^2)/VAR(校正總分!V$2:V$501)))</f>
        <v/>
      </c>
      <c r="J32" s="21">
        <f>IF(OR(G32="",H32=""),"",IF(H32&lt;0,"檢查：負相關，確認是否漏了反向計分",IF(AND(G32&gt;=3,H32&gt;=0.3),IF(I32&gt;$C$9,"保留；刪除後 α 略升，對照因素分析","保留"),IF(H32&lt;0.3,"檢查：校正題總相關低於 .30","檢查：決斷值低於 3.00"))))</f>
        <v/>
      </c>
      <c r="K32" s="19">
        <f>IF(E32="","",(SUMIFS(平方!V$2:V$501,計分!$AQ$2:$AQ$501,"高")-$C$7*E32^2)/($C$7-1))</f>
        <v/>
      </c>
      <c r="L32" s="19">
        <f>IF(F32="","",(SUMIFS(平方!V$2:V$501,計分!$AQ$2:$AQ$501,"低")-$C$8*F32^2)/($C$8-1))</f>
        <v/>
      </c>
    </row>
    <row r="33">
      <c r="A33" s="12">
        <f>反向題設定!B26</f>
        <v/>
      </c>
      <c r="B33" s="12">
        <f>IF(A33="","",IF(反向題設定!C26="是","是",""))</f>
        <v/>
      </c>
      <c r="C33" s="19">
        <f>IF(OR(A33="",COUNT(計分!W$2:W$501)&lt;2),"",AVERAGE(計分!W$2:W$501))</f>
        <v/>
      </c>
      <c r="D33" s="19">
        <f>IF(C33="","",STDEV(計分!W$2:W$501))</f>
        <v/>
      </c>
      <c r="E33" s="19">
        <f>IF(OR(C33="",$C$7&lt;2),"",AVERAGEIFS(計分!W$2:W$501,計分!$AQ$2:$AQ$501,"高"))</f>
        <v/>
      </c>
      <c r="F33" s="19">
        <f>IF(OR(C33="",$C$8&lt;2),"",AVERAGEIFS(計分!W$2:W$501,計分!$AQ$2:$AQ$501,"低"))</f>
        <v/>
      </c>
      <c r="G33" s="19">
        <f>IF(OR(E33="",F33=""),"",IF(K33/$C$7+L33/$C$8=0,"",(E33-F33)/SQRT(K33/$C$7+L33/$C$8)))</f>
        <v/>
      </c>
      <c r="H33" s="19">
        <f>IF(C33="","",CORREL(計分!W$2:W$501,校正總分!W$2:W$501))</f>
        <v/>
      </c>
      <c r="I33" s="20">
        <f>IF(OR(C33="",$C$9=""),"",(COUNT($C$12:$C$51)-1)/(COUNT($C$12:$C$51)-2)*(1-(SUMSQ($D$12:$D$51)-D33^2)/VAR(校正總分!W$2:W$501)))</f>
        <v/>
      </c>
      <c r="J33" s="21">
        <f>IF(OR(G33="",H33=""),"",IF(H33&lt;0,"檢查：負相關，確認是否漏了反向計分",IF(AND(G33&gt;=3,H33&gt;=0.3),IF(I33&gt;$C$9,"保留；刪除後 α 略升，對照因素分析","保留"),IF(H33&lt;0.3,"檢查：校正題總相關低於 .30","檢查：決斷值低於 3.00"))))</f>
        <v/>
      </c>
      <c r="K33" s="19">
        <f>IF(E33="","",(SUMIFS(平方!W$2:W$501,計分!$AQ$2:$AQ$501,"高")-$C$7*E33^2)/($C$7-1))</f>
        <v/>
      </c>
      <c r="L33" s="19">
        <f>IF(F33="","",(SUMIFS(平方!W$2:W$501,計分!$AQ$2:$AQ$501,"低")-$C$8*F33^2)/($C$8-1))</f>
        <v/>
      </c>
    </row>
    <row r="34">
      <c r="A34" s="12">
        <f>反向題設定!B27</f>
        <v/>
      </c>
      <c r="B34" s="12">
        <f>IF(A34="","",IF(反向題設定!C27="是","是",""))</f>
        <v/>
      </c>
      <c r="C34" s="19">
        <f>IF(OR(A34="",COUNT(計分!X$2:X$501)&lt;2),"",AVERAGE(計分!X$2:X$501))</f>
        <v/>
      </c>
      <c r="D34" s="19">
        <f>IF(C34="","",STDEV(計分!X$2:X$501))</f>
        <v/>
      </c>
      <c r="E34" s="19">
        <f>IF(OR(C34="",$C$7&lt;2),"",AVERAGEIFS(計分!X$2:X$501,計分!$AQ$2:$AQ$501,"高"))</f>
        <v/>
      </c>
      <c r="F34" s="19">
        <f>IF(OR(C34="",$C$8&lt;2),"",AVERAGEIFS(計分!X$2:X$501,計分!$AQ$2:$AQ$501,"低"))</f>
        <v/>
      </c>
      <c r="G34" s="19">
        <f>IF(OR(E34="",F34=""),"",IF(K34/$C$7+L34/$C$8=0,"",(E34-F34)/SQRT(K34/$C$7+L34/$C$8)))</f>
        <v/>
      </c>
      <c r="H34" s="19">
        <f>IF(C34="","",CORREL(計分!X$2:X$501,校正總分!X$2:X$501))</f>
        <v/>
      </c>
      <c r="I34" s="20">
        <f>IF(OR(C34="",$C$9=""),"",(COUNT($C$12:$C$51)-1)/(COUNT($C$12:$C$51)-2)*(1-(SUMSQ($D$12:$D$51)-D34^2)/VAR(校正總分!X$2:X$501)))</f>
        <v/>
      </c>
      <c r="J34" s="21">
        <f>IF(OR(G34="",H34=""),"",IF(H34&lt;0,"檢查：負相關，確認是否漏了反向計分",IF(AND(G34&gt;=3,H34&gt;=0.3),IF(I34&gt;$C$9,"保留；刪除後 α 略升，對照因素分析","保留"),IF(H34&lt;0.3,"檢查：校正題總相關低於 .30","檢查：決斷值低於 3.00"))))</f>
        <v/>
      </c>
      <c r="K34" s="19">
        <f>IF(E34="","",(SUMIFS(平方!X$2:X$501,計分!$AQ$2:$AQ$501,"高")-$C$7*E34^2)/($C$7-1))</f>
        <v/>
      </c>
      <c r="L34" s="19">
        <f>IF(F34="","",(SUMIFS(平方!X$2:X$501,計分!$AQ$2:$AQ$501,"低")-$C$8*F34^2)/($C$8-1))</f>
        <v/>
      </c>
    </row>
    <row r="35">
      <c r="A35" s="12">
        <f>反向題設定!B28</f>
        <v/>
      </c>
      <c r="B35" s="12">
        <f>IF(A35="","",IF(反向題設定!C28="是","是",""))</f>
        <v/>
      </c>
      <c r="C35" s="19">
        <f>IF(OR(A35="",COUNT(計分!Y$2:Y$501)&lt;2),"",AVERAGE(計分!Y$2:Y$501))</f>
        <v/>
      </c>
      <c r="D35" s="19">
        <f>IF(C35="","",STDEV(計分!Y$2:Y$501))</f>
        <v/>
      </c>
      <c r="E35" s="19">
        <f>IF(OR(C35="",$C$7&lt;2),"",AVERAGEIFS(計分!Y$2:Y$501,計分!$AQ$2:$AQ$501,"高"))</f>
        <v/>
      </c>
      <c r="F35" s="19">
        <f>IF(OR(C35="",$C$8&lt;2),"",AVERAGEIFS(計分!Y$2:Y$501,計分!$AQ$2:$AQ$501,"低"))</f>
        <v/>
      </c>
      <c r="G35" s="19">
        <f>IF(OR(E35="",F35=""),"",IF(K35/$C$7+L35/$C$8=0,"",(E35-F35)/SQRT(K35/$C$7+L35/$C$8)))</f>
        <v/>
      </c>
      <c r="H35" s="19">
        <f>IF(C35="","",CORREL(計分!Y$2:Y$501,校正總分!Y$2:Y$501))</f>
        <v/>
      </c>
      <c r="I35" s="20">
        <f>IF(OR(C35="",$C$9=""),"",(COUNT($C$12:$C$51)-1)/(COUNT($C$12:$C$51)-2)*(1-(SUMSQ($D$12:$D$51)-D35^2)/VAR(校正總分!Y$2:Y$501)))</f>
        <v/>
      </c>
      <c r="J35" s="21">
        <f>IF(OR(G35="",H35=""),"",IF(H35&lt;0,"檢查：負相關，確認是否漏了反向計分",IF(AND(G35&gt;=3,H35&gt;=0.3),IF(I35&gt;$C$9,"保留；刪除後 α 略升，對照因素分析","保留"),IF(H35&lt;0.3,"檢查：校正題總相關低於 .30","檢查：決斷值低於 3.00"))))</f>
        <v/>
      </c>
      <c r="K35" s="19">
        <f>IF(E35="","",(SUMIFS(平方!Y$2:Y$501,計分!$AQ$2:$AQ$501,"高")-$C$7*E35^2)/($C$7-1))</f>
        <v/>
      </c>
      <c r="L35" s="19">
        <f>IF(F35="","",(SUMIFS(平方!Y$2:Y$501,計分!$AQ$2:$AQ$501,"低")-$C$8*F35^2)/($C$8-1))</f>
        <v/>
      </c>
    </row>
    <row r="36">
      <c r="A36" s="12">
        <f>反向題設定!B29</f>
        <v/>
      </c>
      <c r="B36" s="12">
        <f>IF(A36="","",IF(反向題設定!C29="是","是",""))</f>
        <v/>
      </c>
      <c r="C36" s="19">
        <f>IF(OR(A36="",COUNT(計分!Z$2:Z$501)&lt;2),"",AVERAGE(計分!Z$2:Z$501))</f>
        <v/>
      </c>
      <c r="D36" s="19">
        <f>IF(C36="","",STDEV(計分!Z$2:Z$501))</f>
        <v/>
      </c>
      <c r="E36" s="19">
        <f>IF(OR(C36="",$C$7&lt;2),"",AVERAGEIFS(計分!Z$2:Z$501,計分!$AQ$2:$AQ$501,"高"))</f>
        <v/>
      </c>
      <c r="F36" s="19">
        <f>IF(OR(C36="",$C$8&lt;2),"",AVERAGEIFS(計分!Z$2:Z$501,計分!$AQ$2:$AQ$501,"低"))</f>
        <v/>
      </c>
      <c r="G36" s="19">
        <f>IF(OR(E36="",F36=""),"",IF(K36/$C$7+L36/$C$8=0,"",(E36-F36)/SQRT(K36/$C$7+L36/$C$8)))</f>
        <v/>
      </c>
      <c r="H36" s="19">
        <f>IF(C36="","",CORREL(計分!Z$2:Z$501,校正總分!Z$2:Z$501))</f>
        <v/>
      </c>
      <c r="I36" s="20">
        <f>IF(OR(C36="",$C$9=""),"",(COUNT($C$12:$C$51)-1)/(COUNT($C$12:$C$51)-2)*(1-(SUMSQ($D$12:$D$51)-D36^2)/VAR(校正總分!Z$2:Z$501)))</f>
        <v/>
      </c>
      <c r="J36" s="21">
        <f>IF(OR(G36="",H36=""),"",IF(H36&lt;0,"檢查：負相關，確認是否漏了反向計分",IF(AND(G36&gt;=3,H36&gt;=0.3),IF(I36&gt;$C$9,"保留；刪除後 α 略升，對照因素分析","保留"),IF(H36&lt;0.3,"檢查：校正題總相關低於 .30","檢查：決斷值低於 3.00"))))</f>
        <v/>
      </c>
      <c r="K36" s="19">
        <f>IF(E36="","",(SUMIFS(平方!Z$2:Z$501,計分!$AQ$2:$AQ$501,"高")-$C$7*E36^2)/($C$7-1))</f>
        <v/>
      </c>
      <c r="L36" s="19">
        <f>IF(F36="","",(SUMIFS(平方!Z$2:Z$501,計分!$AQ$2:$AQ$501,"低")-$C$8*F36^2)/($C$8-1))</f>
        <v/>
      </c>
    </row>
    <row r="37">
      <c r="A37" s="12">
        <f>反向題設定!B30</f>
        <v/>
      </c>
      <c r="B37" s="12">
        <f>IF(A37="","",IF(反向題設定!C30="是","是",""))</f>
        <v/>
      </c>
      <c r="C37" s="19">
        <f>IF(OR(A37="",COUNT(計分!AA$2:AA$501)&lt;2),"",AVERAGE(計分!AA$2:AA$501))</f>
        <v/>
      </c>
      <c r="D37" s="19">
        <f>IF(C37="","",STDEV(計分!AA$2:AA$501))</f>
        <v/>
      </c>
      <c r="E37" s="19">
        <f>IF(OR(C37="",$C$7&lt;2),"",AVERAGEIFS(計分!AA$2:AA$501,計分!$AQ$2:$AQ$501,"高"))</f>
        <v/>
      </c>
      <c r="F37" s="19">
        <f>IF(OR(C37="",$C$8&lt;2),"",AVERAGEIFS(計分!AA$2:AA$501,計分!$AQ$2:$AQ$501,"低"))</f>
        <v/>
      </c>
      <c r="G37" s="19">
        <f>IF(OR(E37="",F37=""),"",IF(K37/$C$7+L37/$C$8=0,"",(E37-F37)/SQRT(K37/$C$7+L37/$C$8)))</f>
        <v/>
      </c>
      <c r="H37" s="19">
        <f>IF(C37="","",CORREL(計分!AA$2:AA$501,校正總分!AA$2:AA$501))</f>
        <v/>
      </c>
      <c r="I37" s="20">
        <f>IF(OR(C37="",$C$9=""),"",(COUNT($C$12:$C$51)-1)/(COUNT($C$12:$C$51)-2)*(1-(SUMSQ($D$12:$D$51)-D37^2)/VAR(校正總分!AA$2:AA$501)))</f>
        <v/>
      </c>
      <c r="J37" s="21">
        <f>IF(OR(G37="",H37=""),"",IF(H37&lt;0,"檢查：負相關，確認是否漏了反向計分",IF(AND(G37&gt;=3,H37&gt;=0.3),IF(I37&gt;$C$9,"保留；刪除後 α 略升，對照因素分析","保留"),IF(H37&lt;0.3,"檢查：校正題總相關低於 .30","檢查：決斷值低於 3.00"))))</f>
        <v/>
      </c>
      <c r="K37" s="19">
        <f>IF(E37="","",(SUMIFS(平方!AA$2:AA$501,計分!$AQ$2:$AQ$501,"高")-$C$7*E37^2)/($C$7-1))</f>
        <v/>
      </c>
      <c r="L37" s="19">
        <f>IF(F37="","",(SUMIFS(平方!AA$2:AA$501,計分!$AQ$2:$AQ$501,"低")-$C$8*F37^2)/($C$8-1))</f>
        <v/>
      </c>
    </row>
    <row r="38">
      <c r="A38" s="12">
        <f>反向題設定!B31</f>
        <v/>
      </c>
      <c r="B38" s="12">
        <f>IF(A38="","",IF(反向題設定!C31="是","是",""))</f>
        <v/>
      </c>
      <c r="C38" s="19">
        <f>IF(OR(A38="",COUNT(計分!AB$2:AB$501)&lt;2),"",AVERAGE(計分!AB$2:AB$501))</f>
        <v/>
      </c>
      <c r="D38" s="19">
        <f>IF(C38="","",STDEV(計分!AB$2:AB$501))</f>
        <v/>
      </c>
      <c r="E38" s="19">
        <f>IF(OR(C38="",$C$7&lt;2),"",AVERAGEIFS(計分!AB$2:AB$501,計分!$AQ$2:$AQ$501,"高"))</f>
        <v/>
      </c>
      <c r="F38" s="19">
        <f>IF(OR(C38="",$C$8&lt;2),"",AVERAGEIFS(計分!AB$2:AB$501,計分!$AQ$2:$AQ$501,"低"))</f>
        <v/>
      </c>
      <c r="G38" s="19">
        <f>IF(OR(E38="",F38=""),"",IF(K38/$C$7+L38/$C$8=0,"",(E38-F38)/SQRT(K38/$C$7+L38/$C$8)))</f>
        <v/>
      </c>
      <c r="H38" s="19">
        <f>IF(C38="","",CORREL(計分!AB$2:AB$501,校正總分!AB$2:AB$501))</f>
        <v/>
      </c>
      <c r="I38" s="20">
        <f>IF(OR(C38="",$C$9=""),"",(COUNT($C$12:$C$51)-1)/(COUNT($C$12:$C$51)-2)*(1-(SUMSQ($D$12:$D$51)-D38^2)/VAR(校正總分!AB$2:AB$501)))</f>
        <v/>
      </c>
      <c r="J38" s="21">
        <f>IF(OR(G38="",H38=""),"",IF(H38&lt;0,"檢查：負相關，確認是否漏了反向計分",IF(AND(G38&gt;=3,H38&gt;=0.3),IF(I38&gt;$C$9,"保留；刪除後 α 略升，對照因素分析","保留"),IF(H38&lt;0.3,"檢查：校正題總相關低於 .30","檢查：決斷值低於 3.00"))))</f>
        <v/>
      </c>
      <c r="K38" s="19">
        <f>IF(E38="","",(SUMIFS(平方!AB$2:AB$501,計分!$AQ$2:$AQ$501,"高")-$C$7*E38^2)/($C$7-1))</f>
        <v/>
      </c>
      <c r="L38" s="19">
        <f>IF(F38="","",(SUMIFS(平方!AB$2:AB$501,計分!$AQ$2:$AQ$501,"低")-$C$8*F38^2)/($C$8-1))</f>
        <v/>
      </c>
    </row>
    <row r="39">
      <c r="A39" s="12">
        <f>反向題設定!B32</f>
        <v/>
      </c>
      <c r="B39" s="12">
        <f>IF(A39="","",IF(反向題設定!C32="是","是",""))</f>
        <v/>
      </c>
      <c r="C39" s="19">
        <f>IF(OR(A39="",COUNT(計分!AC$2:AC$501)&lt;2),"",AVERAGE(計分!AC$2:AC$501))</f>
        <v/>
      </c>
      <c r="D39" s="19">
        <f>IF(C39="","",STDEV(計分!AC$2:AC$501))</f>
        <v/>
      </c>
      <c r="E39" s="19">
        <f>IF(OR(C39="",$C$7&lt;2),"",AVERAGEIFS(計分!AC$2:AC$501,計分!$AQ$2:$AQ$501,"高"))</f>
        <v/>
      </c>
      <c r="F39" s="19">
        <f>IF(OR(C39="",$C$8&lt;2),"",AVERAGEIFS(計分!AC$2:AC$501,計分!$AQ$2:$AQ$501,"低"))</f>
        <v/>
      </c>
      <c r="G39" s="19">
        <f>IF(OR(E39="",F39=""),"",IF(K39/$C$7+L39/$C$8=0,"",(E39-F39)/SQRT(K39/$C$7+L39/$C$8)))</f>
        <v/>
      </c>
      <c r="H39" s="19">
        <f>IF(C39="","",CORREL(計分!AC$2:AC$501,校正總分!AC$2:AC$501))</f>
        <v/>
      </c>
      <c r="I39" s="20">
        <f>IF(OR(C39="",$C$9=""),"",(COUNT($C$12:$C$51)-1)/(COUNT($C$12:$C$51)-2)*(1-(SUMSQ($D$12:$D$51)-D39^2)/VAR(校正總分!AC$2:AC$501)))</f>
        <v/>
      </c>
      <c r="J39" s="21">
        <f>IF(OR(G39="",H39=""),"",IF(H39&lt;0,"檢查：負相關，確認是否漏了反向計分",IF(AND(G39&gt;=3,H39&gt;=0.3),IF(I39&gt;$C$9,"保留；刪除後 α 略升，對照因素分析","保留"),IF(H39&lt;0.3,"檢查：校正題總相關低於 .30","檢查：決斷值低於 3.00"))))</f>
        <v/>
      </c>
      <c r="K39" s="19">
        <f>IF(E39="","",(SUMIFS(平方!AC$2:AC$501,計分!$AQ$2:$AQ$501,"高")-$C$7*E39^2)/($C$7-1))</f>
        <v/>
      </c>
      <c r="L39" s="19">
        <f>IF(F39="","",(SUMIFS(平方!AC$2:AC$501,計分!$AQ$2:$AQ$501,"低")-$C$8*F39^2)/($C$8-1))</f>
        <v/>
      </c>
    </row>
    <row r="40">
      <c r="A40" s="12">
        <f>反向題設定!B33</f>
        <v/>
      </c>
      <c r="B40" s="12">
        <f>IF(A40="","",IF(反向題設定!C33="是","是",""))</f>
        <v/>
      </c>
      <c r="C40" s="19">
        <f>IF(OR(A40="",COUNT(計分!AD$2:AD$501)&lt;2),"",AVERAGE(計分!AD$2:AD$501))</f>
        <v/>
      </c>
      <c r="D40" s="19">
        <f>IF(C40="","",STDEV(計分!AD$2:AD$501))</f>
        <v/>
      </c>
      <c r="E40" s="19">
        <f>IF(OR(C40="",$C$7&lt;2),"",AVERAGEIFS(計分!AD$2:AD$501,計分!$AQ$2:$AQ$501,"高"))</f>
        <v/>
      </c>
      <c r="F40" s="19">
        <f>IF(OR(C40="",$C$8&lt;2),"",AVERAGEIFS(計分!AD$2:AD$501,計分!$AQ$2:$AQ$501,"低"))</f>
        <v/>
      </c>
      <c r="G40" s="19">
        <f>IF(OR(E40="",F40=""),"",IF(K40/$C$7+L40/$C$8=0,"",(E40-F40)/SQRT(K40/$C$7+L40/$C$8)))</f>
        <v/>
      </c>
      <c r="H40" s="19">
        <f>IF(C40="","",CORREL(計分!AD$2:AD$501,校正總分!AD$2:AD$501))</f>
        <v/>
      </c>
      <c r="I40" s="20">
        <f>IF(OR(C40="",$C$9=""),"",(COUNT($C$12:$C$51)-1)/(COUNT($C$12:$C$51)-2)*(1-(SUMSQ($D$12:$D$51)-D40^2)/VAR(校正總分!AD$2:AD$501)))</f>
        <v/>
      </c>
      <c r="J40" s="21">
        <f>IF(OR(G40="",H40=""),"",IF(H40&lt;0,"檢查：負相關，確認是否漏了反向計分",IF(AND(G40&gt;=3,H40&gt;=0.3),IF(I40&gt;$C$9,"保留；刪除後 α 略升，對照因素分析","保留"),IF(H40&lt;0.3,"檢查：校正題總相關低於 .30","檢查：決斷值低於 3.00"))))</f>
        <v/>
      </c>
      <c r="K40" s="19">
        <f>IF(E40="","",(SUMIFS(平方!AD$2:AD$501,計分!$AQ$2:$AQ$501,"高")-$C$7*E40^2)/($C$7-1))</f>
        <v/>
      </c>
      <c r="L40" s="19">
        <f>IF(F40="","",(SUMIFS(平方!AD$2:AD$501,計分!$AQ$2:$AQ$501,"低")-$C$8*F40^2)/($C$8-1))</f>
        <v/>
      </c>
    </row>
    <row r="41">
      <c r="A41" s="12">
        <f>反向題設定!B34</f>
        <v/>
      </c>
      <c r="B41" s="12">
        <f>IF(A41="","",IF(反向題設定!C34="是","是",""))</f>
        <v/>
      </c>
      <c r="C41" s="19">
        <f>IF(OR(A41="",COUNT(計分!AE$2:AE$501)&lt;2),"",AVERAGE(計分!AE$2:AE$501))</f>
        <v/>
      </c>
      <c r="D41" s="19">
        <f>IF(C41="","",STDEV(計分!AE$2:AE$501))</f>
        <v/>
      </c>
      <c r="E41" s="19">
        <f>IF(OR(C41="",$C$7&lt;2),"",AVERAGEIFS(計分!AE$2:AE$501,計分!$AQ$2:$AQ$501,"高"))</f>
        <v/>
      </c>
      <c r="F41" s="19">
        <f>IF(OR(C41="",$C$8&lt;2),"",AVERAGEIFS(計分!AE$2:AE$501,計分!$AQ$2:$AQ$501,"低"))</f>
        <v/>
      </c>
      <c r="G41" s="19">
        <f>IF(OR(E41="",F41=""),"",IF(K41/$C$7+L41/$C$8=0,"",(E41-F41)/SQRT(K41/$C$7+L41/$C$8)))</f>
        <v/>
      </c>
      <c r="H41" s="19">
        <f>IF(C41="","",CORREL(計分!AE$2:AE$501,校正總分!AE$2:AE$501))</f>
        <v/>
      </c>
      <c r="I41" s="20">
        <f>IF(OR(C41="",$C$9=""),"",(COUNT($C$12:$C$51)-1)/(COUNT($C$12:$C$51)-2)*(1-(SUMSQ($D$12:$D$51)-D41^2)/VAR(校正總分!AE$2:AE$501)))</f>
        <v/>
      </c>
      <c r="J41" s="21">
        <f>IF(OR(G41="",H41=""),"",IF(H41&lt;0,"檢查：負相關，確認是否漏了反向計分",IF(AND(G41&gt;=3,H41&gt;=0.3),IF(I41&gt;$C$9,"保留；刪除後 α 略升，對照因素分析","保留"),IF(H41&lt;0.3,"檢查：校正題總相關低於 .30","檢查：決斷值低於 3.00"))))</f>
        <v/>
      </c>
      <c r="K41" s="19">
        <f>IF(E41="","",(SUMIFS(平方!AE$2:AE$501,計分!$AQ$2:$AQ$501,"高")-$C$7*E41^2)/($C$7-1))</f>
        <v/>
      </c>
      <c r="L41" s="19">
        <f>IF(F41="","",(SUMIFS(平方!AE$2:AE$501,計分!$AQ$2:$AQ$501,"低")-$C$8*F41^2)/($C$8-1))</f>
        <v/>
      </c>
    </row>
    <row r="42">
      <c r="A42" s="12">
        <f>反向題設定!B35</f>
        <v/>
      </c>
      <c r="B42" s="12">
        <f>IF(A42="","",IF(反向題設定!C35="是","是",""))</f>
        <v/>
      </c>
      <c r="C42" s="19">
        <f>IF(OR(A42="",COUNT(計分!AF$2:AF$501)&lt;2),"",AVERAGE(計分!AF$2:AF$501))</f>
        <v/>
      </c>
      <c r="D42" s="19">
        <f>IF(C42="","",STDEV(計分!AF$2:AF$501))</f>
        <v/>
      </c>
      <c r="E42" s="19">
        <f>IF(OR(C42="",$C$7&lt;2),"",AVERAGEIFS(計分!AF$2:AF$501,計分!$AQ$2:$AQ$501,"高"))</f>
        <v/>
      </c>
      <c r="F42" s="19">
        <f>IF(OR(C42="",$C$8&lt;2),"",AVERAGEIFS(計分!AF$2:AF$501,計分!$AQ$2:$AQ$501,"低"))</f>
        <v/>
      </c>
      <c r="G42" s="19">
        <f>IF(OR(E42="",F42=""),"",IF(K42/$C$7+L42/$C$8=0,"",(E42-F42)/SQRT(K42/$C$7+L42/$C$8)))</f>
        <v/>
      </c>
      <c r="H42" s="19">
        <f>IF(C42="","",CORREL(計分!AF$2:AF$501,校正總分!AF$2:AF$501))</f>
        <v/>
      </c>
      <c r="I42" s="20">
        <f>IF(OR(C42="",$C$9=""),"",(COUNT($C$12:$C$51)-1)/(COUNT($C$12:$C$51)-2)*(1-(SUMSQ($D$12:$D$51)-D42^2)/VAR(校正總分!AF$2:AF$501)))</f>
        <v/>
      </c>
      <c r="J42" s="21">
        <f>IF(OR(G42="",H42=""),"",IF(H42&lt;0,"檢查：負相關，確認是否漏了反向計分",IF(AND(G42&gt;=3,H42&gt;=0.3),IF(I42&gt;$C$9,"保留；刪除後 α 略升，對照因素分析","保留"),IF(H42&lt;0.3,"檢查：校正題總相關低於 .30","檢查：決斷值低於 3.00"))))</f>
        <v/>
      </c>
      <c r="K42" s="19">
        <f>IF(E42="","",(SUMIFS(平方!AF$2:AF$501,計分!$AQ$2:$AQ$501,"高")-$C$7*E42^2)/($C$7-1))</f>
        <v/>
      </c>
      <c r="L42" s="19">
        <f>IF(F42="","",(SUMIFS(平方!AF$2:AF$501,計分!$AQ$2:$AQ$501,"低")-$C$8*F42^2)/($C$8-1))</f>
        <v/>
      </c>
    </row>
    <row r="43">
      <c r="A43" s="12">
        <f>反向題設定!B36</f>
        <v/>
      </c>
      <c r="B43" s="12">
        <f>IF(A43="","",IF(反向題設定!C36="是","是",""))</f>
        <v/>
      </c>
      <c r="C43" s="19">
        <f>IF(OR(A43="",COUNT(計分!AG$2:AG$501)&lt;2),"",AVERAGE(計分!AG$2:AG$501))</f>
        <v/>
      </c>
      <c r="D43" s="19">
        <f>IF(C43="","",STDEV(計分!AG$2:AG$501))</f>
        <v/>
      </c>
      <c r="E43" s="19">
        <f>IF(OR(C43="",$C$7&lt;2),"",AVERAGEIFS(計分!AG$2:AG$501,計分!$AQ$2:$AQ$501,"高"))</f>
        <v/>
      </c>
      <c r="F43" s="19">
        <f>IF(OR(C43="",$C$8&lt;2),"",AVERAGEIFS(計分!AG$2:AG$501,計分!$AQ$2:$AQ$501,"低"))</f>
        <v/>
      </c>
      <c r="G43" s="19">
        <f>IF(OR(E43="",F43=""),"",IF(K43/$C$7+L43/$C$8=0,"",(E43-F43)/SQRT(K43/$C$7+L43/$C$8)))</f>
        <v/>
      </c>
      <c r="H43" s="19">
        <f>IF(C43="","",CORREL(計分!AG$2:AG$501,校正總分!AG$2:AG$501))</f>
        <v/>
      </c>
      <c r="I43" s="20">
        <f>IF(OR(C43="",$C$9=""),"",(COUNT($C$12:$C$51)-1)/(COUNT($C$12:$C$51)-2)*(1-(SUMSQ($D$12:$D$51)-D43^2)/VAR(校正總分!AG$2:AG$501)))</f>
        <v/>
      </c>
      <c r="J43" s="21">
        <f>IF(OR(G43="",H43=""),"",IF(H43&lt;0,"檢查：負相關，確認是否漏了反向計分",IF(AND(G43&gt;=3,H43&gt;=0.3),IF(I43&gt;$C$9,"保留；刪除後 α 略升，對照因素分析","保留"),IF(H43&lt;0.3,"檢查：校正題總相關低於 .30","檢查：決斷值低於 3.00"))))</f>
        <v/>
      </c>
      <c r="K43" s="19">
        <f>IF(E43="","",(SUMIFS(平方!AG$2:AG$501,計分!$AQ$2:$AQ$501,"高")-$C$7*E43^2)/($C$7-1))</f>
        <v/>
      </c>
      <c r="L43" s="19">
        <f>IF(F43="","",(SUMIFS(平方!AG$2:AG$501,計分!$AQ$2:$AQ$501,"低")-$C$8*F43^2)/($C$8-1))</f>
        <v/>
      </c>
    </row>
    <row r="44">
      <c r="A44" s="12">
        <f>反向題設定!B37</f>
        <v/>
      </c>
      <c r="B44" s="12">
        <f>IF(A44="","",IF(反向題設定!C37="是","是",""))</f>
        <v/>
      </c>
      <c r="C44" s="19">
        <f>IF(OR(A44="",COUNT(計分!AH$2:AH$501)&lt;2),"",AVERAGE(計分!AH$2:AH$501))</f>
        <v/>
      </c>
      <c r="D44" s="19">
        <f>IF(C44="","",STDEV(計分!AH$2:AH$501))</f>
        <v/>
      </c>
      <c r="E44" s="19">
        <f>IF(OR(C44="",$C$7&lt;2),"",AVERAGEIFS(計分!AH$2:AH$501,計分!$AQ$2:$AQ$501,"高"))</f>
        <v/>
      </c>
      <c r="F44" s="19">
        <f>IF(OR(C44="",$C$8&lt;2),"",AVERAGEIFS(計分!AH$2:AH$501,計分!$AQ$2:$AQ$501,"低"))</f>
        <v/>
      </c>
      <c r="G44" s="19">
        <f>IF(OR(E44="",F44=""),"",IF(K44/$C$7+L44/$C$8=0,"",(E44-F44)/SQRT(K44/$C$7+L44/$C$8)))</f>
        <v/>
      </c>
      <c r="H44" s="19">
        <f>IF(C44="","",CORREL(計分!AH$2:AH$501,校正總分!AH$2:AH$501))</f>
        <v/>
      </c>
      <c r="I44" s="20">
        <f>IF(OR(C44="",$C$9=""),"",(COUNT($C$12:$C$51)-1)/(COUNT($C$12:$C$51)-2)*(1-(SUMSQ($D$12:$D$51)-D44^2)/VAR(校正總分!AH$2:AH$501)))</f>
        <v/>
      </c>
      <c r="J44" s="21">
        <f>IF(OR(G44="",H44=""),"",IF(H44&lt;0,"檢查：負相關，確認是否漏了反向計分",IF(AND(G44&gt;=3,H44&gt;=0.3),IF(I44&gt;$C$9,"保留；刪除後 α 略升，對照因素分析","保留"),IF(H44&lt;0.3,"檢查：校正題總相關低於 .30","檢查：決斷值低於 3.00"))))</f>
        <v/>
      </c>
      <c r="K44" s="19">
        <f>IF(E44="","",(SUMIFS(平方!AH$2:AH$501,計分!$AQ$2:$AQ$501,"高")-$C$7*E44^2)/($C$7-1))</f>
        <v/>
      </c>
      <c r="L44" s="19">
        <f>IF(F44="","",(SUMIFS(平方!AH$2:AH$501,計分!$AQ$2:$AQ$501,"低")-$C$8*F44^2)/($C$8-1))</f>
        <v/>
      </c>
    </row>
    <row r="45">
      <c r="A45" s="12">
        <f>反向題設定!B38</f>
        <v/>
      </c>
      <c r="B45" s="12">
        <f>IF(A45="","",IF(反向題設定!C38="是","是",""))</f>
        <v/>
      </c>
      <c r="C45" s="19">
        <f>IF(OR(A45="",COUNT(計分!AI$2:AI$501)&lt;2),"",AVERAGE(計分!AI$2:AI$501))</f>
        <v/>
      </c>
      <c r="D45" s="19">
        <f>IF(C45="","",STDEV(計分!AI$2:AI$501))</f>
        <v/>
      </c>
      <c r="E45" s="19">
        <f>IF(OR(C45="",$C$7&lt;2),"",AVERAGEIFS(計分!AI$2:AI$501,計分!$AQ$2:$AQ$501,"高"))</f>
        <v/>
      </c>
      <c r="F45" s="19">
        <f>IF(OR(C45="",$C$8&lt;2),"",AVERAGEIFS(計分!AI$2:AI$501,計分!$AQ$2:$AQ$501,"低"))</f>
        <v/>
      </c>
      <c r="G45" s="19">
        <f>IF(OR(E45="",F45=""),"",IF(K45/$C$7+L45/$C$8=0,"",(E45-F45)/SQRT(K45/$C$7+L45/$C$8)))</f>
        <v/>
      </c>
      <c r="H45" s="19">
        <f>IF(C45="","",CORREL(計分!AI$2:AI$501,校正總分!AI$2:AI$501))</f>
        <v/>
      </c>
      <c r="I45" s="20">
        <f>IF(OR(C45="",$C$9=""),"",(COUNT($C$12:$C$51)-1)/(COUNT($C$12:$C$51)-2)*(1-(SUMSQ($D$12:$D$51)-D45^2)/VAR(校正總分!AI$2:AI$501)))</f>
        <v/>
      </c>
      <c r="J45" s="21">
        <f>IF(OR(G45="",H45=""),"",IF(H45&lt;0,"檢查：負相關，確認是否漏了反向計分",IF(AND(G45&gt;=3,H45&gt;=0.3),IF(I45&gt;$C$9,"保留；刪除後 α 略升，對照因素分析","保留"),IF(H45&lt;0.3,"檢查：校正題總相關低於 .30","檢查：決斷值低於 3.00"))))</f>
        <v/>
      </c>
      <c r="K45" s="19">
        <f>IF(E45="","",(SUMIFS(平方!AI$2:AI$501,計分!$AQ$2:$AQ$501,"高")-$C$7*E45^2)/($C$7-1))</f>
        <v/>
      </c>
      <c r="L45" s="19">
        <f>IF(F45="","",(SUMIFS(平方!AI$2:AI$501,計分!$AQ$2:$AQ$501,"低")-$C$8*F45^2)/($C$8-1))</f>
        <v/>
      </c>
    </row>
    <row r="46">
      <c r="A46" s="12">
        <f>反向題設定!B39</f>
        <v/>
      </c>
      <c r="B46" s="12">
        <f>IF(A46="","",IF(反向題設定!C39="是","是",""))</f>
        <v/>
      </c>
      <c r="C46" s="19">
        <f>IF(OR(A46="",COUNT(計分!AJ$2:AJ$501)&lt;2),"",AVERAGE(計分!AJ$2:AJ$501))</f>
        <v/>
      </c>
      <c r="D46" s="19">
        <f>IF(C46="","",STDEV(計分!AJ$2:AJ$501))</f>
        <v/>
      </c>
      <c r="E46" s="19">
        <f>IF(OR(C46="",$C$7&lt;2),"",AVERAGEIFS(計分!AJ$2:AJ$501,計分!$AQ$2:$AQ$501,"高"))</f>
        <v/>
      </c>
      <c r="F46" s="19">
        <f>IF(OR(C46="",$C$8&lt;2),"",AVERAGEIFS(計分!AJ$2:AJ$501,計分!$AQ$2:$AQ$501,"低"))</f>
        <v/>
      </c>
      <c r="G46" s="19">
        <f>IF(OR(E46="",F46=""),"",IF(K46/$C$7+L46/$C$8=0,"",(E46-F46)/SQRT(K46/$C$7+L46/$C$8)))</f>
        <v/>
      </c>
      <c r="H46" s="19">
        <f>IF(C46="","",CORREL(計分!AJ$2:AJ$501,校正總分!AJ$2:AJ$501))</f>
        <v/>
      </c>
      <c r="I46" s="20">
        <f>IF(OR(C46="",$C$9=""),"",(COUNT($C$12:$C$51)-1)/(COUNT($C$12:$C$51)-2)*(1-(SUMSQ($D$12:$D$51)-D46^2)/VAR(校正總分!AJ$2:AJ$501)))</f>
        <v/>
      </c>
      <c r="J46" s="21">
        <f>IF(OR(G46="",H46=""),"",IF(H46&lt;0,"檢查：負相關，確認是否漏了反向計分",IF(AND(G46&gt;=3,H46&gt;=0.3),IF(I46&gt;$C$9,"保留；刪除後 α 略升，對照因素分析","保留"),IF(H46&lt;0.3,"檢查：校正題總相關低於 .30","檢查：決斷值低於 3.00"))))</f>
        <v/>
      </c>
      <c r="K46" s="19">
        <f>IF(E46="","",(SUMIFS(平方!AJ$2:AJ$501,計分!$AQ$2:$AQ$501,"高")-$C$7*E46^2)/($C$7-1))</f>
        <v/>
      </c>
      <c r="L46" s="19">
        <f>IF(F46="","",(SUMIFS(平方!AJ$2:AJ$501,計分!$AQ$2:$AQ$501,"低")-$C$8*F46^2)/($C$8-1))</f>
        <v/>
      </c>
    </row>
    <row r="47">
      <c r="A47" s="12">
        <f>反向題設定!B40</f>
        <v/>
      </c>
      <c r="B47" s="12">
        <f>IF(A47="","",IF(反向題設定!C40="是","是",""))</f>
        <v/>
      </c>
      <c r="C47" s="19">
        <f>IF(OR(A47="",COUNT(計分!AK$2:AK$501)&lt;2),"",AVERAGE(計分!AK$2:AK$501))</f>
        <v/>
      </c>
      <c r="D47" s="19">
        <f>IF(C47="","",STDEV(計分!AK$2:AK$501))</f>
        <v/>
      </c>
      <c r="E47" s="19">
        <f>IF(OR(C47="",$C$7&lt;2),"",AVERAGEIFS(計分!AK$2:AK$501,計分!$AQ$2:$AQ$501,"高"))</f>
        <v/>
      </c>
      <c r="F47" s="19">
        <f>IF(OR(C47="",$C$8&lt;2),"",AVERAGEIFS(計分!AK$2:AK$501,計分!$AQ$2:$AQ$501,"低"))</f>
        <v/>
      </c>
      <c r="G47" s="19">
        <f>IF(OR(E47="",F47=""),"",IF(K47/$C$7+L47/$C$8=0,"",(E47-F47)/SQRT(K47/$C$7+L47/$C$8)))</f>
        <v/>
      </c>
      <c r="H47" s="19">
        <f>IF(C47="","",CORREL(計分!AK$2:AK$501,校正總分!AK$2:AK$501))</f>
        <v/>
      </c>
      <c r="I47" s="20">
        <f>IF(OR(C47="",$C$9=""),"",(COUNT($C$12:$C$51)-1)/(COUNT($C$12:$C$51)-2)*(1-(SUMSQ($D$12:$D$51)-D47^2)/VAR(校正總分!AK$2:AK$501)))</f>
        <v/>
      </c>
      <c r="J47" s="21">
        <f>IF(OR(G47="",H47=""),"",IF(H47&lt;0,"檢查：負相關，確認是否漏了反向計分",IF(AND(G47&gt;=3,H47&gt;=0.3),IF(I47&gt;$C$9,"保留；刪除後 α 略升，對照因素分析","保留"),IF(H47&lt;0.3,"檢查：校正題總相關低於 .30","檢查：決斷值低於 3.00"))))</f>
        <v/>
      </c>
      <c r="K47" s="19">
        <f>IF(E47="","",(SUMIFS(平方!AK$2:AK$501,計分!$AQ$2:$AQ$501,"高")-$C$7*E47^2)/($C$7-1))</f>
        <v/>
      </c>
      <c r="L47" s="19">
        <f>IF(F47="","",(SUMIFS(平方!AK$2:AK$501,計分!$AQ$2:$AQ$501,"低")-$C$8*F47^2)/($C$8-1))</f>
        <v/>
      </c>
    </row>
    <row r="48">
      <c r="A48" s="12">
        <f>反向題設定!B41</f>
        <v/>
      </c>
      <c r="B48" s="12">
        <f>IF(A48="","",IF(反向題設定!C41="是","是",""))</f>
        <v/>
      </c>
      <c r="C48" s="19">
        <f>IF(OR(A48="",COUNT(計分!AL$2:AL$501)&lt;2),"",AVERAGE(計分!AL$2:AL$501))</f>
        <v/>
      </c>
      <c r="D48" s="19">
        <f>IF(C48="","",STDEV(計分!AL$2:AL$501))</f>
        <v/>
      </c>
      <c r="E48" s="19">
        <f>IF(OR(C48="",$C$7&lt;2),"",AVERAGEIFS(計分!AL$2:AL$501,計分!$AQ$2:$AQ$501,"高"))</f>
        <v/>
      </c>
      <c r="F48" s="19">
        <f>IF(OR(C48="",$C$8&lt;2),"",AVERAGEIFS(計分!AL$2:AL$501,計分!$AQ$2:$AQ$501,"低"))</f>
        <v/>
      </c>
      <c r="G48" s="19">
        <f>IF(OR(E48="",F48=""),"",IF(K48/$C$7+L48/$C$8=0,"",(E48-F48)/SQRT(K48/$C$7+L48/$C$8)))</f>
        <v/>
      </c>
      <c r="H48" s="19">
        <f>IF(C48="","",CORREL(計分!AL$2:AL$501,校正總分!AL$2:AL$501))</f>
        <v/>
      </c>
      <c r="I48" s="20">
        <f>IF(OR(C48="",$C$9=""),"",(COUNT($C$12:$C$51)-1)/(COUNT($C$12:$C$51)-2)*(1-(SUMSQ($D$12:$D$51)-D48^2)/VAR(校正總分!AL$2:AL$501)))</f>
        <v/>
      </c>
      <c r="J48" s="21">
        <f>IF(OR(G48="",H48=""),"",IF(H48&lt;0,"檢查：負相關，確認是否漏了反向計分",IF(AND(G48&gt;=3,H48&gt;=0.3),IF(I48&gt;$C$9,"保留；刪除後 α 略升，對照因素分析","保留"),IF(H48&lt;0.3,"檢查：校正題總相關低於 .30","檢查：決斷值低於 3.00"))))</f>
        <v/>
      </c>
      <c r="K48" s="19">
        <f>IF(E48="","",(SUMIFS(平方!AL$2:AL$501,計分!$AQ$2:$AQ$501,"高")-$C$7*E48^2)/($C$7-1))</f>
        <v/>
      </c>
      <c r="L48" s="19">
        <f>IF(F48="","",(SUMIFS(平方!AL$2:AL$501,計分!$AQ$2:$AQ$501,"低")-$C$8*F48^2)/($C$8-1))</f>
        <v/>
      </c>
    </row>
    <row r="49">
      <c r="A49" s="12">
        <f>反向題設定!B42</f>
        <v/>
      </c>
      <c r="B49" s="12">
        <f>IF(A49="","",IF(反向題設定!C42="是","是",""))</f>
        <v/>
      </c>
      <c r="C49" s="19">
        <f>IF(OR(A49="",COUNT(計分!AM$2:AM$501)&lt;2),"",AVERAGE(計分!AM$2:AM$501))</f>
        <v/>
      </c>
      <c r="D49" s="19">
        <f>IF(C49="","",STDEV(計分!AM$2:AM$501))</f>
        <v/>
      </c>
      <c r="E49" s="19">
        <f>IF(OR(C49="",$C$7&lt;2),"",AVERAGEIFS(計分!AM$2:AM$501,計分!$AQ$2:$AQ$501,"高"))</f>
        <v/>
      </c>
      <c r="F49" s="19">
        <f>IF(OR(C49="",$C$8&lt;2),"",AVERAGEIFS(計分!AM$2:AM$501,計分!$AQ$2:$AQ$501,"低"))</f>
        <v/>
      </c>
      <c r="G49" s="19">
        <f>IF(OR(E49="",F49=""),"",IF(K49/$C$7+L49/$C$8=0,"",(E49-F49)/SQRT(K49/$C$7+L49/$C$8)))</f>
        <v/>
      </c>
      <c r="H49" s="19">
        <f>IF(C49="","",CORREL(計分!AM$2:AM$501,校正總分!AM$2:AM$501))</f>
        <v/>
      </c>
      <c r="I49" s="20">
        <f>IF(OR(C49="",$C$9=""),"",(COUNT($C$12:$C$51)-1)/(COUNT($C$12:$C$51)-2)*(1-(SUMSQ($D$12:$D$51)-D49^2)/VAR(校正總分!AM$2:AM$501)))</f>
        <v/>
      </c>
      <c r="J49" s="21">
        <f>IF(OR(G49="",H49=""),"",IF(H49&lt;0,"檢查：負相關，確認是否漏了反向計分",IF(AND(G49&gt;=3,H49&gt;=0.3),IF(I49&gt;$C$9,"保留；刪除後 α 略升，對照因素分析","保留"),IF(H49&lt;0.3,"檢查：校正題總相關低於 .30","檢查：決斷值低於 3.00"))))</f>
        <v/>
      </c>
      <c r="K49" s="19">
        <f>IF(E49="","",(SUMIFS(平方!AM$2:AM$501,計分!$AQ$2:$AQ$501,"高")-$C$7*E49^2)/($C$7-1))</f>
        <v/>
      </c>
      <c r="L49" s="19">
        <f>IF(F49="","",(SUMIFS(平方!AM$2:AM$501,計分!$AQ$2:$AQ$501,"低")-$C$8*F49^2)/($C$8-1))</f>
        <v/>
      </c>
    </row>
    <row r="50">
      <c r="A50" s="12">
        <f>反向題設定!B43</f>
        <v/>
      </c>
      <c r="B50" s="12">
        <f>IF(A50="","",IF(反向題設定!C43="是","是",""))</f>
        <v/>
      </c>
      <c r="C50" s="19">
        <f>IF(OR(A50="",COUNT(計分!AN$2:AN$501)&lt;2),"",AVERAGE(計分!AN$2:AN$501))</f>
        <v/>
      </c>
      <c r="D50" s="19">
        <f>IF(C50="","",STDEV(計分!AN$2:AN$501))</f>
        <v/>
      </c>
      <c r="E50" s="19">
        <f>IF(OR(C50="",$C$7&lt;2),"",AVERAGEIFS(計分!AN$2:AN$501,計分!$AQ$2:$AQ$501,"高"))</f>
        <v/>
      </c>
      <c r="F50" s="19">
        <f>IF(OR(C50="",$C$8&lt;2),"",AVERAGEIFS(計分!AN$2:AN$501,計分!$AQ$2:$AQ$501,"低"))</f>
        <v/>
      </c>
      <c r="G50" s="19">
        <f>IF(OR(E50="",F50=""),"",IF(K50/$C$7+L50/$C$8=0,"",(E50-F50)/SQRT(K50/$C$7+L50/$C$8)))</f>
        <v/>
      </c>
      <c r="H50" s="19">
        <f>IF(C50="","",CORREL(計分!AN$2:AN$501,校正總分!AN$2:AN$501))</f>
        <v/>
      </c>
      <c r="I50" s="20">
        <f>IF(OR(C50="",$C$9=""),"",(COUNT($C$12:$C$51)-1)/(COUNT($C$12:$C$51)-2)*(1-(SUMSQ($D$12:$D$51)-D50^2)/VAR(校正總分!AN$2:AN$501)))</f>
        <v/>
      </c>
      <c r="J50" s="21">
        <f>IF(OR(G50="",H50=""),"",IF(H50&lt;0,"檢查：負相關，確認是否漏了反向計分",IF(AND(G50&gt;=3,H50&gt;=0.3),IF(I50&gt;$C$9,"保留；刪除後 α 略升，對照因素分析","保留"),IF(H50&lt;0.3,"檢查：校正題總相關低於 .30","檢查：決斷值低於 3.00"))))</f>
        <v/>
      </c>
      <c r="K50" s="19">
        <f>IF(E50="","",(SUMIFS(平方!AN$2:AN$501,計分!$AQ$2:$AQ$501,"高")-$C$7*E50^2)/($C$7-1))</f>
        <v/>
      </c>
      <c r="L50" s="19">
        <f>IF(F50="","",(SUMIFS(平方!AN$2:AN$501,計分!$AQ$2:$AQ$501,"低")-$C$8*F50^2)/($C$8-1))</f>
        <v/>
      </c>
    </row>
    <row r="51">
      <c r="A51" s="12">
        <f>反向題設定!B44</f>
        <v/>
      </c>
      <c r="B51" s="12">
        <f>IF(A51="","",IF(反向題設定!C44="是","是",""))</f>
        <v/>
      </c>
      <c r="C51" s="19">
        <f>IF(OR(A51="",COUNT(計分!AO$2:AO$501)&lt;2),"",AVERAGE(計分!AO$2:AO$501))</f>
        <v/>
      </c>
      <c r="D51" s="19">
        <f>IF(C51="","",STDEV(計分!AO$2:AO$501))</f>
        <v/>
      </c>
      <c r="E51" s="19">
        <f>IF(OR(C51="",$C$7&lt;2),"",AVERAGEIFS(計分!AO$2:AO$501,計分!$AQ$2:$AQ$501,"高"))</f>
        <v/>
      </c>
      <c r="F51" s="19">
        <f>IF(OR(C51="",$C$8&lt;2),"",AVERAGEIFS(計分!AO$2:AO$501,計分!$AQ$2:$AQ$501,"低"))</f>
        <v/>
      </c>
      <c r="G51" s="19">
        <f>IF(OR(E51="",F51=""),"",IF(K51/$C$7+L51/$C$8=0,"",(E51-F51)/SQRT(K51/$C$7+L51/$C$8)))</f>
        <v/>
      </c>
      <c r="H51" s="19">
        <f>IF(C51="","",CORREL(計分!AO$2:AO$501,校正總分!AO$2:AO$501))</f>
        <v/>
      </c>
      <c r="I51" s="20">
        <f>IF(OR(C51="",$C$9=""),"",(COUNT($C$12:$C$51)-1)/(COUNT($C$12:$C$51)-2)*(1-(SUMSQ($D$12:$D$51)-D51^2)/VAR(校正總分!AO$2:AO$501)))</f>
        <v/>
      </c>
      <c r="J51" s="21">
        <f>IF(OR(G51="",H51=""),"",IF(H51&lt;0,"檢查：負相關，確認是否漏了反向計分",IF(AND(G51&gt;=3,H51&gt;=0.3),IF(I51&gt;$C$9,"保留；刪除後 α 略升，對照因素分析","保留"),IF(H51&lt;0.3,"檢查：校正題總相關低於 .30","檢查：決斷值低於 3.00"))))</f>
        <v/>
      </c>
      <c r="K51" s="19">
        <f>IF(E51="","",(SUMIFS(平方!AO$2:AO$501,計分!$AQ$2:$AQ$501,"高")-$C$7*E51^2)/($C$7-1))</f>
        <v/>
      </c>
      <c r="L51" s="19">
        <f>IF(F51="","",(SUMIFS(平方!AO$2:AO$501,計分!$AQ$2:$AQ$501,"低")-$C$8*F51^2)/($C$8-1))</f>
        <v/>
      </c>
    </row>
  </sheetData>
  <mergeCells count="6">
    <mergeCell ref="A4:B4"/>
    <mergeCell ref="A7:B7"/>
    <mergeCell ref="A5:B5"/>
    <mergeCell ref="A9:B9"/>
    <mergeCell ref="A8:B8"/>
    <mergeCell ref="A6:B6"/>
  </mergeCells>
  <conditionalFormatting sqref="A12:J51">
    <cfRule type="expression" priority="1" dxfId="0">
      <formula>LEFT($J12,2)="檢查"</formula>
    </cfRule>
  </conditionalFormatting>
  <conditionalFormatting sqref="J12:J51">
    <cfRule type="expression" priority="2" dxfId="1">
      <formula>LEFT($J12,2)="保留"</formula>
    </cfRule>
  </conditionalFormatting>
  <conditionalFormatting sqref="I12:I51">
    <cfRule type="expression" priority="3" dxfId="2">
      <formula>AND(ISNUMBER($I12),$I12&gt;$C$9)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>
      <c r="A1" s="22" t="inlineStr">
        <is>
          <t>編號</t>
        </is>
      </c>
      <c r="B1" s="22">
        <f>IF(原始資料!B1="","",原始資料!B1)</f>
        <v/>
      </c>
      <c r="C1" s="22">
        <f>IF(原始資料!C1="","",原始資料!C1)</f>
        <v/>
      </c>
      <c r="D1" s="22">
        <f>IF(原始資料!D1="","",原始資料!D1)</f>
        <v/>
      </c>
      <c r="E1" s="22">
        <f>IF(原始資料!E1="","",原始資料!E1)</f>
        <v/>
      </c>
      <c r="F1" s="22">
        <f>IF(原始資料!F1="","",原始資料!F1)</f>
        <v/>
      </c>
      <c r="G1" s="22">
        <f>IF(原始資料!G1="","",原始資料!G1)</f>
        <v/>
      </c>
      <c r="H1" s="22">
        <f>IF(原始資料!H1="","",原始資料!H1)</f>
        <v/>
      </c>
      <c r="I1" s="22">
        <f>IF(原始資料!I1="","",原始資料!I1)</f>
        <v/>
      </c>
      <c r="J1" s="22">
        <f>IF(原始資料!J1="","",原始資料!J1)</f>
        <v/>
      </c>
      <c r="K1" s="22">
        <f>IF(原始資料!K1="","",原始資料!K1)</f>
        <v/>
      </c>
      <c r="L1" s="22">
        <f>IF(原始資料!L1="","",原始資料!L1)</f>
        <v/>
      </c>
      <c r="M1" s="22">
        <f>IF(原始資料!M1="","",原始資料!M1)</f>
        <v/>
      </c>
      <c r="N1" s="22">
        <f>IF(原始資料!N1="","",原始資料!N1)</f>
        <v/>
      </c>
      <c r="O1" s="22">
        <f>IF(原始資料!O1="","",原始資料!O1)</f>
        <v/>
      </c>
      <c r="P1" s="22">
        <f>IF(原始資料!P1="","",原始資料!P1)</f>
        <v/>
      </c>
      <c r="Q1" s="22">
        <f>IF(原始資料!Q1="","",原始資料!Q1)</f>
        <v/>
      </c>
      <c r="R1" s="22">
        <f>IF(原始資料!R1="","",原始資料!R1)</f>
        <v/>
      </c>
      <c r="S1" s="22">
        <f>IF(原始資料!S1="","",原始資料!S1)</f>
        <v/>
      </c>
      <c r="T1" s="22">
        <f>IF(原始資料!T1="","",原始資料!T1)</f>
        <v/>
      </c>
      <c r="U1" s="22">
        <f>IF(原始資料!U1="","",原始資料!U1)</f>
        <v/>
      </c>
      <c r="V1" s="22">
        <f>IF(原始資料!V1="","",原始資料!V1)</f>
        <v/>
      </c>
      <c r="W1" s="22">
        <f>IF(原始資料!W1="","",原始資料!W1)</f>
        <v/>
      </c>
      <c r="X1" s="22">
        <f>IF(原始資料!X1="","",原始資料!X1)</f>
        <v/>
      </c>
      <c r="Y1" s="22">
        <f>IF(原始資料!Y1="","",原始資料!Y1)</f>
        <v/>
      </c>
      <c r="Z1" s="22">
        <f>IF(原始資料!Z1="","",原始資料!Z1)</f>
        <v/>
      </c>
      <c r="AA1" s="22">
        <f>IF(原始資料!AA1="","",原始資料!AA1)</f>
        <v/>
      </c>
      <c r="AB1" s="22">
        <f>IF(原始資料!AB1="","",原始資料!AB1)</f>
        <v/>
      </c>
      <c r="AC1" s="22">
        <f>IF(原始資料!AC1="","",原始資料!AC1)</f>
        <v/>
      </c>
      <c r="AD1" s="22">
        <f>IF(原始資料!AD1="","",原始資料!AD1)</f>
        <v/>
      </c>
      <c r="AE1" s="22">
        <f>IF(原始資料!AE1="","",原始資料!AE1)</f>
        <v/>
      </c>
      <c r="AF1" s="22">
        <f>IF(原始資料!AF1="","",原始資料!AF1)</f>
        <v/>
      </c>
      <c r="AG1" s="22">
        <f>IF(原始資料!AG1="","",原始資料!AG1)</f>
        <v/>
      </c>
      <c r="AH1" s="22">
        <f>IF(原始資料!AH1="","",原始資料!AH1)</f>
        <v/>
      </c>
      <c r="AI1" s="22">
        <f>IF(原始資料!AI1="","",原始資料!AI1)</f>
        <v/>
      </c>
      <c r="AJ1" s="22">
        <f>IF(原始資料!AJ1="","",原始資料!AJ1)</f>
        <v/>
      </c>
      <c r="AK1" s="22">
        <f>IF(原始資料!AK1="","",原始資料!AK1)</f>
        <v/>
      </c>
      <c r="AL1" s="22">
        <f>IF(原始資料!AL1="","",原始資料!AL1)</f>
        <v/>
      </c>
      <c r="AM1" s="22">
        <f>IF(原始資料!AM1="","",原始資料!AM1)</f>
        <v/>
      </c>
      <c r="AN1" s="22">
        <f>IF(原始資料!AN1="","",原始資料!AN1)</f>
        <v/>
      </c>
      <c r="AO1" s="22">
        <f>IF(原始資料!AO1="","",原始資料!AO1)</f>
        <v/>
      </c>
      <c r="AP1" s="22" t="inlineStr">
        <is>
          <t>總分</t>
        </is>
      </c>
      <c r="AQ1" s="22" t="inlineStr">
        <is>
          <t>組別</t>
        </is>
      </c>
    </row>
    <row r="2">
      <c r="A2">
        <f>IF(原始資料!A2="","",原始資料!A2)</f>
        <v/>
      </c>
      <c r="B2">
        <f>IF(原始資料!B2="","",IF(反向題設定!$C$5="是",反向題設定!$B$2+1-原始資料!B2,原始資料!B2))</f>
        <v/>
      </c>
      <c r="C2">
        <f>IF(原始資料!C2="","",IF(反向題設定!$C$6="是",反向題設定!$B$2+1-原始資料!C2,原始資料!C2))</f>
        <v/>
      </c>
      <c r="D2">
        <f>IF(原始資料!D2="","",IF(反向題設定!$C$7="是",反向題設定!$B$2+1-原始資料!D2,原始資料!D2))</f>
        <v/>
      </c>
      <c r="E2">
        <f>IF(原始資料!E2="","",IF(反向題設定!$C$8="是",反向題設定!$B$2+1-原始資料!E2,原始資料!E2))</f>
        <v/>
      </c>
      <c r="F2">
        <f>IF(原始資料!F2="","",IF(反向題設定!$C$9="是",反向題設定!$B$2+1-原始資料!F2,原始資料!F2))</f>
        <v/>
      </c>
      <c r="G2">
        <f>IF(原始資料!G2="","",IF(反向題設定!$C$10="是",反向題設定!$B$2+1-原始資料!G2,原始資料!G2))</f>
        <v/>
      </c>
      <c r="H2">
        <f>IF(原始資料!H2="","",IF(反向題設定!$C$11="是",反向題設定!$B$2+1-原始資料!H2,原始資料!H2))</f>
        <v/>
      </c>
      <c r="I2">
        <f>IF(原始資料!I2="","",IF(反向題設定!$C$12="是",反向題設定!$B$2+1-原始資料!I2,原始資料!I2))</f>
        <v/>
      </c>
      <c r="J2">
        <f>IF(原始資料!J2="","",IF(反向題設定!$C$13="是",反向題設定!$B$2+1-原始資料!J2,原始資料!J2))</f>
        <v/>
      </c>
      <c r="K2">
        <f>IF(原始資料!K2="","",IF(反向題設定!$C$14="是",反向題設定!$B$2+1-原始資料!K2,原始資料!K2))</f>
        <v/>
      </c>
      <c r="L2">
        <f>IF(原始資料!L2="","",IF(反向題設定!$C$15="是",反向題設定!$B$2+1-原始資料!L2,原始資料!L2))</f>
        <v/>
      </c>
      <c r="M2">
        <f>IF(原始資料!M2="","",IF(反向題設定!$C$16="是",反向題設定!$B$2+1-原始資料!M2,原始資料!M2))</f>
        <v/>
      </c>
      <c r="N2">
        <f>IF(原始資料!N2="","",IF(反向題設定!$C$17="是",反向題設定!$B$2+1-原始資料!N2,原始資料!N2))</f>
        <v/>
      </c>
      <c r="O2">
        <f>IF(原始資料!O2="","",IF(反向題設定!$C$18="是",反向題設定!$B$2+1-原始資料!O2,原始資料!O2))</f>
        <v/>
      </c>
      <c r="P2">
        <f>IF(原始資料!P2="","",IF(反向題設定!$C$19="是",反向題設定!$B$2+1-原始資料!P2,原始資料!P2))</f>
        <v/>
      </c>
      <c r="Q2">
        <f>IF(原始資料!Q2="","",IF(反向題設定!$C$20="是",反向題設定!$B$2+1-原始資料!Q2,原始資料!Q2))</f>
        <v/>
      </c>
      <c r="R2">
        <f>IF(原始資料!R2="","",IF(反向題設定!$C$21="是",反向題設定!$B$2+1-原始資料!R2,原始資料!R2))</f>
        <v/>
      </c>
      <c r="S2">
        <f>IF(原始資料!S2="","",IF(反向題設定!$C$22="是",反向題設定!$B$2+1-原始資料!S2,原始資料!S2))</f>
        <v/>
      </c>
      <c r="T2">
        <f>IF(原始資料!T2="","",IF(反向題設定!$C$23="是",反向題設定!$B$2+1-原始資料!T2,原始資料!T2))</f>
        <v/>
      </c>
      <c r="U2">
        <f>IF(原始資料!U2="","",IF(反向題設定!$C$24="是",反向題設定!$B$2+1-原始資料!U2,原始資料!U2))</f>
        <v/>
      </c>
      <c r="V2">
        <f>IF(原始資料!V2="","",IF(反向題設定!$C$25="是",反向題設定!$B$2+1-原始資料!V2,原始資料!V2))</f>
        <v/>
      </c>
      <c r="W2">
        <f>IF(原始資料!W2="","",IF(反向題設定!$C$26="是",反向題設定!$B$2+1-原始資料!W2,原始資料!W2))</f>
        <v/>
      </c>
      <c r="X2">
        <f>IF(原始資料!X2="","",IF(反向題設定!$C$27="是",反向題設定!$B$2+1-原始資料!X2,原始資料!X2))</f>
        <v/>
      </c>
      <c r="Y2">
        <f>IF(原始資料!Y2="","",IF(反向題設定!$C$28="是",反向題設定!$B$2+1-原始資料!Y2,原始資料!Y2))</f>
        <v/>
      </c>
      <c r="Z2">
        <f>IF(原始資料!Z2="","",IF(反向題設定!$C$29="是",反向題設定!$B$2+1-原始資料!Z2,原始資料!Z2))</f>
        <v/>
      </c>
      <c r="AA2">
        <f>IF(原始資料!AA2="","",IF(反向題設定!$C$30="是",反向題設定!$B$2+1-原始資料!AA2,原始資料!AA2))</f>
        <v/>
      </c>
      <c r="AB2">
        <f>IF(原始資料!AB2="","",IF(反向題設定!$C$31="是",反向題設定!$B$2+1-原始資料!AB2,原始資料!AB2))</f>
        <v/>
      </c>
      <c r="AC2">
        <f>IF(原始資料!AC2="","",IF(反向題設定!$C$32="是",反向題設定!$B$2+1-原始資料!AC2,原始資料!AC2))</f>
        <v/>
      </c>
      <c r="AD2">
        <f>IF(原始資料!AD2="","",IF(反向題設定!$C$33="是",反向題設定!$B$2+1-原始資料!AD2,原始資料!AD2))</f>
        <v/>
      </c>
      <c r="AE2">
        <f>IF(原始資料!AE2="","",IF(反向題設定!$C$34="是",反向題設定!$B$2+1-原始資料!AE2,原始資料!AE2))</f>
        <v/>
      </c>
      <c r="AF2">
        <f>IF(原始資料!AF2="","",IF(反向題設定!$C$35="是",反向題設定!$B$2+1-原始資料!AF2,原始資料!AF2))</f>
        <v/>
      </c>
      <c r="AG2">
        <f>IF(原始資料!AG2="","",IF(反向題設定!$C$36="是",反向題設定!$B$2+1-原始資料!AG2,原始資料!AG2))</f>
        <v/>
      </c>
      <c r="AH2">
        <f>IF(原始資料!AH2="","",IF(反向題設定!$C$37="是",反向題設定!$B$2+1-原始資料!AH2,原始資料!AH2))</f>
        <v/>
      </c>
      <c r="AI2">
        <f>IF(原始資料!AI2="","",IF(反向題設定!$C$38="是",反向題設定!$B$2+1-原始資料!AI2,原始資料!AI2))</f>
        <v/>
      </c>
      <c r="AJ2">
        <f>IF(原始資料!AJ2="","",IF(反向題設定!$C$39="是",反向題設定!$B$2+1-原始資料!AJ2,原始資料!AJ2))</f>
        <v/>
      </c>
      <c r="AK2">
        <f>IF(原始資料!AK2="","",IF(反向題設定!$C$40="是",反向題設定!$B$2+1-原始資料!AK2,原始資料!AK2))</f>
        <v/>
      </c>
      <c r="AL2">
        <f>IF(原始資料!AL2="","",IF(反向題設定!$C$41="是",反向題設定!$B$2+1-原始資料!AL2,原始資料!AL2))</f>
        <v/>
      </c>
      <c r="AM2">
        <f>IF(原始資料!AM2="","",IF(反向題設定!$C$42="是",反向題設定!$B$2+1-原始資料!AM2,原始資料!AM2))</f>
        <v/>
      </c>
      <c r="AN2">
        <f>IF(原始資料!AN2="","",IF(反向題設定!$C$43="是",反向題設定!$B$2+1-原始資料!AN2,原始資料!AN2))</f>
        <v/>
      </c>
      <c r="AO2">
        <f>IF(原始資料!AO2="","",IF(反向題設定!$C$44="是",反向題設定!$B$2+1-原始資料!AO2,原始資料!AO2))</f>
        <v/>
      </c>
      <c r="AP2">
        <f>IF(COUNT(B2:AO2)=0,"",SUM(B2:AO2))</f>
        <v/>
      </c>
      <c r="AQ2">
        <f>IF(AP2="","",IF(AP2&gt;=項目分析!$C$5,"高",IF(AP2&lt;=項目分析!$C$6,"低","")))</f>
        <v/>
      </c>
    </row>
    <row r="3">
      <c r="A3">
        <f>IF(原始資料!A3="","",原始資料!A3)</f>
        <v/>
      </c>
      <c r="B3">
        <f>IF(原始資料!B3="","",IF(反向題設定!$C$5="是",反向題設定!$B$2+1-原始資料!B3,原始資料!B3))</f>
        <v/>
      </c>
      <c r="C3">
        <f>IF(原始資料!C3="","",IF(反向題設定!$C$6="是",反向題設定!$B$2+1-原始資料!C3,原始資料!C3))</f>
        <v/>
      </c>
      <c r="D3">
        <f>IF(原始資料!D3="","",IF(反向題設定!$C$7="是",反向題設定!$B$2+1-原始資料!D3,原始資料!D3))</f>
        <v/>
      </c>
      <c r="E3">
        <f>IF(原始資料!E3="","",IF(反向題設定!$C$8="是",反向題設定!$B$2+1-原始資料!E3,原始資料!E3))</f>
        <v/>
      </c>
      <c r="F3">
        <f>IF(原始資料!F3="","",IF(反向題設定!$C$9="是",反向題設定!$B$2+1-原始資料!F3,原始資料!F3))</f>
        <v/>
      </c>
      <c r="G3">
        <f>IF(原始資料!G3="","",IF(反向題設定!$C$10="是",反向題設定!$B$2+1-原始資料!G3,原始資料!G3))</f>
        <v/>
      </c>
      <c r="H3">
        <f>IF(原始資料!H3="","",IF(反向題設定!$C$11="是",反向題設定!$B$2+1-原始資料!H3,原始資料!H3))</f>
        <v/>
      </c>
      <c r="I3">
        <f>IF(原始資料!I3="","",IF(反向題設定!$C$12="是",反向題設定!$B$2+1-原始資料!I3,原始資料!I3))</f>
        <v/>
      </c>
      <c r="J3">
        <f>IF(原始資料!J3="","",IF(反向題設定!$C$13="是",反向題設定!$B$2+1-原始資料!J3,原始資料!J3))</f>
        <v/>
      </c>
      <c r="K3">
        <f>IF(原始資料!K3="","",IF(反向題設定!$C$14="是",反向題設定!$B$2+1-原始資料!K3,原始資料!K3))</f>
        <v/>
      </c>
      <c r="L3">
        <f>IF(原始資料!L3="","",IF(反向題設定!$C$15="是",反向題設定!$B$2+1-原始資料!L3,原始資料!L3))</f>
        <v/>
      </c>
      <c r="M3">
        <f>IF(原始資料!M3="","",IF(反向題設定!$C$16="是",反向題設定!$B$2+1-原始資料!M3,原始資料!M3))</f>
        <v/>
      </c>
      <c r="N3">
        <f>IF(原始資料!N3="","",IF(反向題設定!$C$17="是",反向題設定!$B$2+1-原始資料!N3,原始資料!N3))</f>
        <v/>
      </c>
      <c r="O3">
        <f>IF(原始資料!O3="","",IF(反向題設定!$C$18="是",反向題設定!$B$2+1-原始資料!O3,原始資料!O3))</f>
        <v/>
      </c>
      <c r="P3">
        <f>IF(原始資料!P3="","",IF(反向題設定!$C$19="是",反向題設定!$B$2+1-原始資料!P3,原始資料!P3))</f>
        <v/>
      </c>
      <c r="Q3">
        <f>IF(原始資料!Q3="","",IF(反向題設定!$C$20="是",反向題設定!$B$2+1-原始資料!Q3,原始資料!Q3))</f>
        <v/>
      </c>
      <c r="R3">
        <f>IF(原始資料!R3="","",IF(反向題設定!$C$21="是",反向題設定!$B$2+1-原始資料!R3,原始資料!R3))</f>
        <v/>
      </c>
      <c r="S3">
        <f>IF(原始資料!S3="","",IF(反向題設定!$C$22="是",反向題設定!$B$2+1-原始資料!S3,原始資料!S3))</f>
        <v/>
      </c>
      <c r="T3">
        <f>IF(原始資料!T3="","",IF(反向題設定!$C$23="是",反向題設定!$B$2+1-原始資料!T3,原始資料!T3))</f>
        <v/>
      </c>
      <c r="U3">
        <f>IF(原始資料!U3="","",IF(反向題設定!$C$24="是",反向題設定!$B$2+1-原始資料!U3,原始資料!U3))</f>
        <v/>
      </c>
      <c r="V3">
        <f>IF(原始資料!V3="","",IF(反向題設定!$C$25="是",反向題設定!$B$2+1-原始資料!V3,原始資料!V3))</f>
        <v/>
      </c>
      <c r="W3">
        <f>IF(原始資料!W3="","",IF(反向題設定!$C$26="是",反向題設定!$B$2+1-原始資料!W3,原始資料!W3))</f>
        <v/>
      </c>
      <c r="X3">
        <f>IF(原始資料!X3="","",IF(反向題設定!$C$27="是",反向題設定!$B$2+1-原始資料!X3,原始資料!X3))</f>
        <v/>
      </c>
      <c r="Y3">
        <f>IF(原始資料!Y3="","",IF(反向題設定!$C$28="是",反向題設定!$B$2+1-原始資料!Y3,原始資料!Y3))</f>
        <v/>
      </c>
      <c r="Z3">
        <f>IF(原始資料!Z3="","",IF(反向題設定!$C$29="是",反向題設定!$B$2+1-原始資料!Z3,原始資料!Z3))</f>
        <v/>
      </c>
      <c r="AA3">
        <f>IF(原始資料!AA3="","",IF(反向題設定!$C$30="是",反向題設定!$B$2+1-原始資料!AA3,原始資料!AA3))</f>
        <v/>
      </c>
      <c r="AB3">
        <f>IF(原始資料!AB3="","",IF(反向題設定!$C$31="是",反向題設定!$B$2+1-原始資料!AB3,原始資料!AB3))</f>
        <v/>
      </c>
      <c r="AC3">
        <f>IF(原始資料!AC3="","",IF(反向題設定!$C$32="是",反向題設定!$B$2+1-原始資料!AC3,原始資料!AC3))</f>
        <v/>
      </c>
      <c r="AD3">
        <f>IF(原始資料!AD3="","",IF(反向題設定!$C$33="是",反向題設定!$B$2+1-原始資料!AD3,原始資料!AD3))</f>
        <v/>
      </c>
      <c r="AE3">
        <f>IF(原始資料!AE3="","",IF(反向題設定!$C$34="是",反向題設定!$B$2+1-原始資料!AE3,原始資料!AE3))</f>
        <v/>
      </c>
      <c r="AF3">
        <f>IF(原始資料!AF3="","",IF(反向題設定!$C$35="是",反向題設定!$B$2+1-原始資料!AF3,原始資料!AF3))</f>
        <v/>
      </c>
      <c r="AG3">
        <f>IF(原始資料!AG3="","",IF(反向題設定!$C$36="是",反向題設定!$B$2+1-原始資料!AG3,原始資料!AG3))</f>
        <v/>
      </c>
      <c r="AH3">
        <f>IF(原始資料!AH3="","",IF(反向題設定!$C$37="是",反向題設定!$B$2+1-原始資料!AH3,原始資料!AH3))</f>
        <v/>
      </c>
      <c r="AI3">
        <f>IF(原始資料!AI3="","",IF(反向題設定!$C$38="是",反向題設定!$B$2+1-原始資料!AI3,原始資料!AI3))</f>
        <v/>
      </c>
      <c r="AJ3">
        <f>IF(原始資料!AJ3="","",IF(反向題設定!$C$39="是",反向題設定!$B$2+1-原始資料!AJ3,原始資料!AJ3))</f>
        <v/>
      </c>
      <c r="AK3">
        <f>IF(原始資料!AK3="","",IF(反向題設定!$C$40="是",反向題設定!$B$2+1-原始資料!AK3,原始資料!AK3))</f>
        <v/>
      </c>
      <c r="AL3">
        <f>IF(原始資料!AL3="","",IF(反向題設定!$C$41="是",反向題設定!$B$2+1-原始資料!AL3,原始資料!AL3))</f>
        <v/>
      </c>
      <c r="AM3">
        <f>IF(原始資料!AM3="","",IF(反向題設定!$C$42="是",反向題設定!$B$2+1-原始資料!AM3,原始資料!AM3))</f>
        <v/>
      </c>
      <c r="AN3">
        <f>IF(原始資料!AN3="","",IF(反向題設定!$C$43="是",反向題設定!$B$2+1-原始資料!AN3,原始資料!AN3))</f>
        <v/>
      </c>
      <c r="AO3">
        <f>IF(原始資料!AO3="","",IF(反向題設定!$C$44="是",反向題設定!$B$2+1-原始資料!AO3,原始資料!AO3))</f>
        <v/>
      </c>
      <c r="AP3">
        <f>IF(COUNT(B3:AO3)=0,"",SUM(B3:AO3))</f>
        <v/>
      </c>
      <c r="AQ3">
        <f>IF(AP3="","",IF(AP3&gt;=項目分析!$C$5,"高",IF(AP3&lt;=項目分析!$C$6,"低","")))</f>
        <v/>
      </c>
    </row>
    <row r="4">
      <c r="A4">
        <f>IF(原始資料!A4="","",原始資料!A4)</f>
        <v/>
      </c>
      <c r="B4">
        <f>IF(原始資料!B4="","",IF(反向題設定!$C$5="是",反向題設定!$B$2+1-原始資料!B4,原始資料!B4))</f>
        <v/>
      </c>
      <c r="C4">
        <f>IF(原始資料!C4="","",IF(反向題設定!$C$6="是",反向題設定!$B$2+1-原始資料!C4,原始資料!C4))</f>
        <v/>
      </c>
      <c r="D4">
        <f>IF(原始資料!D4="","",IF(反向題設定!$C$7="是",反向題設定!$B$2+1-原始資料!D4,原始資料!D4))</f>
        <v/>
      </c>
      <c r="E4">
        <f>IF(原始資料!E4="","",IF(反向題設定!$C$8="是",反向題設定!$B$2+1-原始資料!E4,原始資料!E4))</f>
        <v/>
      </c>
      <c r="F4">
        <f>IF(原始資料!F4="","",IF(反向題設定!$C$9="是",反向題設定!$B$2+1-原始資料!F4,原始資料!F4))</f>
        <v/>
      </c>
      <c r="G4">
        <f>IF(原始資料!G4="","",IF(反向題設定!$C$10="是",反向題設定!$B$2+1-原始資料!G4,原始資料!G4))</f>
        <v/>
      </c>
      <c r="H4">
        <f>IF(原始資料!H4="","",IF(反向題設定!$C$11="是",反向題設定!$B$2+1-原始資料!H4,原始資料!H4))</f>
        <v/>
      </c>
      <c r="I4">
        <f>IF(原始資料!I4="","",IF(反向題設定!$C$12="是",反向題設定!$B$2+1-原始資料!I4,原始資料!I4))</f>
        <v/>
      </c>
      <c r="J4">
        <f>IF(原始資料!J4="","",IF(反向題設定!$C$13="是",反向題設定!$B$2+1-原始資料!J4,原始資料!J4))</f>
        <v/>
      </c>
      <c r="K4">
        <f>IF(原始資料!K4="","",IF(反向題設定!$C$14="是",反向題設定!$B$2+1-原始資料!K4,原始資料!K4))</f>
        <v/>
      </c>
      <c r="L4">
        <f>IF(原始資料!L4="","",IF(反向題設定!$C$15="是",反向題設定!$B$2+1-原始資料!L4,原始資料!L4))</f>
        <v/>
      </c>
      <c r="M4">
        <f>IF(原始資料!M4="","",IF(反向題設定!$C$16="是",反向題設定!$B$2+1-原始資料!M4,原始資料!M4))</f>
        <v/>
      </c>
      <c r="N4">
        <f>IF(原始資料!N4="","",IF(反向題設定!$C$17="是",反向題設定!$B$2+1-原始資料!N4,原始資料!N4))</f>
        <v/>
      </c>
      <c r="O4">
        <f>IF(原始資料!O4="","",IF(反向題設定!$C$18="是",反向題設定!$B$2+1-原始資料!O4,原始資料!O4))</f>
        <v/>
      </c>
      <c r="P4">
        <f>IF(原始資料!P4="","",IF(反向題設定!$C$19="是",反向題設定!$B$2+1-原始資料!P4,原始資料!P4))</f>
        <v/>
      </c>
      <c r="Q4">
        <f>IF(原始資料!Q4="","",IF(反向題設定!$C$20="是",反向題設定!$B$2+1-原始資料!Q4,原始資料!Q4))</f>
        <v/>
      </c>
      <c r="R4">
        <f>IF(原始資料!R4="","",IF(反向題設定!$C$21="是",反向題設定!$B$2+1-原始資料!R4,原始資料!R4))</f>
        <v/>
      </c>
      <c r="S4">
        <f>IF(原始資料!S4="","",IF(反向題設定!$C$22="是",反向題設定!$B$2+1-原始資料!S4,原始資料!S4))</f>
        <v/>
      </c>
      <c r="T4">
        <f>IF(原始資料!T4="","",IF(反向題設定!$C$23="是",反向題設定!$B$2+1-原始資料!T4,原始資料!T4))</f>
        <v/>
      </c>
      <c r="U4">
        <f>IF(原始資料!U4="","",IF(反向題設定!$C$24="是",反向題設定!$B$2+1-原始資料!U4,原始資料!U4))</f>
        <v/>
      </c>
      <c r="V4">
        <f>IF(原始資料!V4="","",IF(反向題設定!$C$25="是",反向題設定!$B$2+1-原始資料!V4,原始資料!V4))</f>
        <v/>
      </c>
      <c r="W4">
        <f>IF(原始資料!W4="","",IF(反向題設定!$C$26="是",反向題設定!$B$2+1-原始資料!W4,原始資料!W4))</f>
        <v/>
      </c>
      <c r="X4">
        <f>IF(原始資料!X4="","",IF(反向題設定!$C$27="是",反向題設定!$B$2+1-原始資料!X4,原始資料!X4))</f>
        <v/>
      </c>
      <c r="Y4">
        <f>IF(原始資料!Y4="","",IF(反向題設定!$C$28="是",反向題設定!$B$2+1-原始資料!Y4,原始資料!Y4))</f>
        <v/>
      </c>
      <c r="Z4">
        <f>IF(原始資料!Z4="","",IF(反向題設定!$C$29="是",反向題設定!$B$2+1-原始資料!Z4,原始資料!Z4))</f>
        <v/>
      </c>
      <c r="AA4">
        <f>IF(原始資料!AA4="","",IF(反向題設定!$C$30="是",反向題設定!$B$2+1-原始資料!AA4,原始資料!AA4))</f>
        <v/>
      </c>
      <c r="AB4">
        <f>IF(原始資料!AB4="","",IF(反向題設定!$C$31="是",反向題設定!$B$2+1-原始資料!AB4,原始資料!AB4))</f>
        <v/>
      </c>
      <c r="AC4">
        <f>IF(原始資料!AC4="","",IF(反向題設定!$C$32="是",反向題設定!$B$2+1-原始資料!AC4,原始資料!AC4))</f>
        <v/>
      </c>
      <c r="AD4">
        <f>IF(原始資料!AD4="","",IF(反向題設定!$C$33="是",反向題設定!$B$2+1-原始資料!AD4,原始資料!AD4))</f>
        <v/>
      </c>
      <c r="AE4">
        <f>IF(原始資料!AE4="","",IF(反向題設定!$C$34="是",反向題設定!$B$2+1-原始資料!AE4,原始資料!AE4))</f>
        <v/>
      </c>
      <c r="AF4">
        <f>IF(原始資料!AF4="","",IF(反向題設定!$C$35="是",反向題設定!$B$2+1-原始資料!AF4,原始資料!AF4))</f>
        <v/>
      </c>
      <c r="AG4">
        <f>IF(原始資料!AG4="","",IF(反向題設定!$C$36="是",反向題設定!$B$2+1-原始資料!AG4,原始資料!AG4))</f>
        <v/>
      </c>
      <c r="AH4">
        <f>IF(原始資料!AH4="","",IF(反向題設定!$C$37="是",反向題設定!$B$2+1-原始資料!AH4,原始資料!AH4))</f>
        <v/>
      </c>
      <c r="AI4">
        <f>IF(原始資料!AI4="","",IF(反向題設定!$C$38="是",反向題設定!$B$2+1-原始資料!AI4,原始資料!AI4))</f>
        <v/>
      </c>
      <c r="AJ4">
        <f>IF(原始資料!AJ4="","",IF(反向題設定!$C$39="是",反向題設定!$B$2+1-原始資料!AJ4,原始資料!AJ4))</f>
        <v/>
      </c>
      <c r="AK4">
        <f>IF(原始資料!AK4="","",IF(反向題設定!$C$40="是",反向題設定!$B$2+1-原始資料!AK4,原始資料!AK4))</f>
        <v/>
      </c>
      <c r="AL4">
        <f>IF(原始資料!AL4="","",IF(反向題設定!$C$41="是",反向題設定!$B$2+1-原始資料!AL4,原始資料!AL4))</f>
        <v/>
      </c>
      <c r="AM4">
        <f>IF(原始資料!AM4="","",IF(反向題設定!$C$42="是",反向題設定!$B$2+1-原始資料!AM4,原始資料!AM4))</f>
        <v/>
      </c>
      <c r="AN4">
        <f>IF(原始資料!AN4="","",IF(反向題設定!$C$43="是",反向題設定!$B$2+1-原始資料!AN4,原始資料!AN4))</f>
        <v/>
      </c>
      <c r="AO4">
        <f>IF(原始資料!AO4="","",IF(反向題設定!$C$44="是",反向題設定!$B$2+1-原始資料!AO4,原始資料!AO4))</f>
        <v/>
      </c>
      <c r="AP4">
        <f>IF(COUNT(B4:AO4)=0,"",SUM(B4:AO4))</f>
        <v/>
      </c>
      <c r="AQ4">
        <f>IF(AP4="","",IF(AP4&gt;=項目分析!$C$5,"高",IF(AP4&lt;=項目分析!$C$6,"低","")))</f>
        <v/>
      </c>
    </row>
    <row r="5">
      <c r="A5">
        <f>IF(原始資料!A5="","",原始資料!A5)</f>
        <v/>
      </c>
      <c r="B5">
        <f>IF(原始資料!B5="","",IF(反向題設定!$C$5="是",反向題設定!$B$2+1-原始資料!B5,原始資料!B5))</f>
        <v/>
      </c>
      <c r="C5">
        <f>IF(原始資料!C5="","",IF(反向題設定!$C$6="是",反向題設定!$B$2+1-原始資料!C5,原始資料!C5))</f>
        <v/>
      </c>
      <c r="D5">
        <f>IF(原始資料!D5="","",IF(反向題設定!$C$7="是",反向題設定!$B$2+1-原始資料!D5,原始資料!D5))</f>
        <v/>
      </c>
      <c r="E5">
        <f>IF(原始資料!E5="","",IF(反向題設定!$C$8="是",反向題設定!$B$2+1-原始資料!E5,原始資料!E5))</f>
        <v/>
      </c>
      <c r="F5">
        <f>IF(原始資料!F5="","",IF(反向題設定!$C$9="是",反向題設定!$B$2+1-原始資料!F5,原始資料!F5))</f>
        <v/>
      </c>
      <c r="G5">
        <f>IF(原始資料!G5="","",IF(反向題設定!$C$10="是",反向題設定!$B$2+1-原始資料!G5,原始資料!G5))</f>
        <v/>
      </c>
      <c r="H5">
        <f>IF(原始資料!H5="","",IF(反向題設定!$C$11="是",反向題設定!$B$2+1-原始資料!H5,原始資料!H5))</f>
        <v/>
      </c>
      <c r="I5">
        <f>IF(原始資料!I5="","",IF(反向題設定!$C$12="是",反向題設定!$B$2+1-原始資料!I5,原始資料!I5))</f>
        <v/>
      </c>
      <c r="J5">
        <f>IF(原始資料!J5="","",IF(反向題設定!$C$13="是",反向題設定!$B$2+1-原始資料!J5,原始資料!J5))</f>
        <v/>
      </c>
      <c r="K5">
        <f>IF(原始資料!K5="","",IF(反向題設定!$C$14="是",反向題設定!$B$2+1-原始資料!K5,原始資料!K5))</f>
        <v/>
      </c>
      <c r="L5">
        <f>IF(原始資料!L5="","",IF(反向題設定!$C$15="是",反向題設定!$B$2+1-原始資料!L5,原始資料!L5))</f>
        <v/>
      </c>
      <c r="M5">
        <f>IF(原始資料!M5="","",IF(反向題設定!$C$16="是",反向題設定!$B$2+1-原始資料!M5,原始資料!M5))</f>
        <v/>
      </c>
      <c r="N5">
        <f>IF(原始資料!N5="","",IF(反向題設定!$C$17="是",反向題設定!$B$2+1-原始資料!N5,原始資料!N5))</f>
        <v/>
      </c>
      <c r="O5">
        <f>IF(原始資料!O5="","",IF(反向題設定!$C$18="是",反向題設定!$B$2+1-原始資料!O5,原始資料!O5))</f>
        <v/>
      </c>
      <c r="P5">
        <f>IF(原始資料!P5="","",IF(反向題設定!$C$19="是",反向題設定!$B$2+1-原始資料!P5,原始資料!P5))</f>
        <v/>
      </c>
      <c r="Q5">
        <f>IF(原始資料!Q5="","",IF(反向題設定!$C$20="是",反向題設定!$B$2+1-原始資料!Q5,原始資料!Q5))</f>
        <v/>
      </c>
      <c r="R5">
        <f>IF(原始資料!R5="","",IF(反向題設定!$C$21="是",反向題設定!$B$2+1-原始資料!R5,原始資料!R5))</f>
        <v/>
      </c>
      <c r="S5">
        <f>IF(原始資料!S5="","",IF(反向題設定!$C$22="是",反向題設定!$B$2+1-原始資料!S5,原始資料!S5))</f>
        <v/>
      </c>
      <c r="T5">
        <f>IF(原始資料!T5="","",IF(反向題設定!$C$23="是",反向題設定!$B$2+1-原始資料!T5,原始資料!T5))</f>
        <v/>
      </c>
      <c r="U5">
        <f>IF(原始資料!U5="","",IF(反向題設定!$C$24="是",反向題設定!$B$2+1-原始資料!U5,原始資料!U5))</f>
        <v/>
      </c>
      <c r="V5">
        <f>IF(原始資料!V5="","",IF(反向題設定!$C$25="是",反向題設定!$B$2+1-原始資料!V5,原始資料!V5))</f>
        <v/>
      </c>
      <c r="W5">
        <f>IF(原始資料!W5="","",IF(反向題設定!$C$26="是",反向題設定!$B$2+1-原始資料!W5,原始資料!W5))</f>
        <v/>
      </c>
      <c r="X5">
        <f>IF(原始資料!X5="","",IF(反向題設定!$C$27="是",反向題設定!$B$2+1-原始資料!X5,原始資料!X5))</f>
        <v/>
      </c>
      <c r="Y5">
        <f>IF(原始資料!Y5="","",IF(反向題設定!$C$28="是",反向題設定!$B$2+1-原始資料!Y5,原始資料!Y5))</f>
        <v/>
      </c>
      <c r="Z5">
        <f>IF(原始資料!Z5="","",IF(反向題設定!$C$29="是",反向題設定!$B$2+1-原始資料!Z5,原始資料!Z5))</f>
        <v/>
      </c>
      <c r="AA5">
        <f>IF(原始資料!AA5="","",IF(反向題設定!$C$30="是",反向題設定!$B$2+1-原始資料!AA5,原始資料!AA5))</f>
        <v/>
      </c>
      <c r="AB5">
        <f>IF(原始資料!AB5="","",IF(反向題設定!$C$31="是",反向題設定!$B$2+1-原始資料!AB5,原始資料!AB5))</f>
        <v/>
      </c>
      <c r="AC5">
        <f>IF(原始資料!AC5="","",IF(反向題設定!$C$32="是",反向題設定!$B$2+1-原始資料!AC5,原始資料!AC5))</f>
        <v/>
      </c>
      <c r="AD5">
        <f>IF(原始資料!AD5="","",IF(反向題設定!$C$33="是",反向題設定!$B$2+1-原始資料!AD5,原始資料!AD5))</f>
        <v/>
      </c>
      <c r="AE5">
        <f>IF(原始資料!AE5="","",IF(反向題設定!$C$34="是",反向題設定!$B$2+1-原始資料!AE5,原始資料!AE5))</f>
        <v/>
      </c>
      <c r="AF5">
        <f>IF(原始資料!AF5="","",IF(反向題設定!$C$35="是",反向題設定!$B$2+1-原始資料!AF5,原始資料!AF5))</f>
        <v/>
      </c>
      <c r="AG5">
        <f>IF(原始資料!AG5="","",IF(反向題設定!$C$36="是",反向題設定!$B$2+1-原始資料!AG5,原始資料!AG5))</f>
        <v/>
      </c>
      <c r="AH5">
        <f>IF(原始資料!AH5="","",IF(反向題設定!$C$37="是",反向題設定!$B$2+1-原始資料!AH5,原始資料!AH5))</f>
        <v/>
      </c>
      <c r="AI5">
        <f>IF(原始資料!AI5="","",IF(反向題設定!$C$38="是",反向題設定!$B$2+1-原始資料!AI5,原始資料!AI5))</f>
        <v/>
      </c>
      <c r="AJ5">
        <f>IF(原始資料!AJ5="","",IF(反向題設定!$C$39="是",反向題設定!$B$2+1-原始資料!AJ5,原始資料!AJ5))</f>
        <v/>
      </c>
      <c r="AK5">
        <f>IF(原始資料!AK5="","",IF(反向題設定!$C$40="是",反向題設定!$B$2+1-原始資料!AK5,原始資料!AK5))</f>
        <v/>
      </c>
      <c r="AL5">
        <f>IF(原始資料!AL5="","",IF(反向題設定!$C$41="是",反向題設定!$B$2+1-原始資料!AL5,原始資料!AL5))</f>
        <v/>
      </c>
      <c r="AM5">
        <f>IF(原始資料!AM5="","",IF(反向題設定!$C$42="是",反向題設定!$B$2+1-原始資料!AM5,原始資料!AM5))</f>
        <v/>
      </c>
      <c r="AN5">
        <f>IF(原始資料!AN5="","",IF(反向題設定!$C$43="是",反向題設定!$B$2+1-原始資料!AN5,原始資料!AN5))</f>
        <v/>
      </c>
      <c r="AO5">
        <f>IF(原始資料!AO5="","",IF(反向題設定!$C$44="是",反向題設定!$B$2+1-原始資料!AO5,原始資料!AO5))</f>
        <v/>
      </c>
      <c r="AP5">
        <f>IF(COUNT(B5:AO5)=0,"",SUM(B5:AO5))</f>
        <v/>
      </c>
      <c r="AQ5">
        <f>IF(AP5="","",IF(AP5&gt;=項目分析!$C$5,"高",IF(AP5&lt;=項目分析!$C$6,"低","")))</f>
        <v/>
      </c>
    </row>
    <row r="6">
      <c r="A6">
        <f>IF(原始資料!A6="","",原始資料!A6)</f>
        <v/>
      </c>
      <c r="B6">
        <f>IF(原始資料!B6="","",IF(反向題設定!$C$5="是",反向題設定!$B$2+1-原始資料!B6,原始資料!B6))</f>
        <v/>
      </c>
      <c r="C6">
        <f>IF(原始資料!C6="","",IF(反向題設定!$C$6="是",反向題設定!$B$2+1-原始資料!C6,原始資料!C6))</f>
        <v/>
      </c>
      <c r="D6">
        <f>IF(原始資料!D6="","",IF(反向題設定!$C$7="是",反向題設定!$B$2+1-原始資料!D6,原始資料!D6))</f>
        <v/>
      </c>
      <c r="E6">
        <f>IF(原始資料!E6="","",IF(反向題設定!$C$8="是",反向題設定!$B$2+1-原始資料!E6,原始資料!E6))</f>
        <v/>
      </c>
      <c r="F6">
        <f>IF(原始資料!F6="","",IF(反向題設定!$C$9="是",反向題設定!$B$2+1-原始資料!F6,原始資料!F6))</f>
        <v/>
      </c>
      <c r="G6">
        <f>IF(原始資料!G6="","",IF(反向題設定!$C$10="是",反向題設定!$B$2+1-原始資料!G6,原始資料!G6))</f>
        <v/>
      </c>
      <c r="H6">
        <f>IF(原始資料!H6="","",IF(反向題設定!$C$11="是",反向題設定!$B$2+1-原始資料!H6,原始資料!H6))</f>
        <v/>
      </c>
      <c r="I6">
        <f>IF(原始資料!I6="","",IF(反向題設定!$C$12="是",反向題設定!$B$2+1-原始資料!I6,原始資料!I6))</f>
        <v/>
      </c>
      <c r="J6">
        <f>IF(原始資料!J6="","",IF(反向題設定!$C$13="是",反向題設定!$B$2+1-原始資料!J6,原始資料!J6))</f>
        <v/>
      </c>
      <c r="K6">
        <f>IF(原始資料!K6="","",IF(反向題設定!$C$14="是",反向題設定!$B$2+1-原始資料!K6,原始資料!K6))</f>
        <v/>
      </c>
      <c r="L6">
        <f>IF(原始資料!L6="","",IF(反向題設定!$C$15="是",反向題設定!$B$2+1-原始資料!L6,原始資料!L6))</f>
        <v/>
      </c>
      <c r="M6">
        <f>IF(原始資料!M6="","",IF(反向題設定!$C$16="是",反向題設定!$B$2+1-原始資料!M6,原始資料!M6))</f>
        <v/>
      </c>
      <c r="N6">
        <f>IF(原始資料!N6="","",IF(反向題設定!$C$17="是",反向題設定!$B$2+1-原始資料!N6,原始資料!N6))</f>
        <v/>
      </c>
      <c r="O6">
        <f>IF(原始資料!O6="","",IF(反向題設定!$C$18="是",反向題設定!$B$2+1-原始資料!O6,原始資料!O6))</f>
        <v/>
      </c>
      <c r="P6">
        <f>IF(原始資料!P6="","",IF(反向題設定!$C$19="是",反向題設定!$B$2+1-原始資料!P6,原始資料!P6))</f>
        <v/>
      </c>
      <c r="Q6">
        <f>IF(原始資料!Q6="","",IF(反向題設定!$C$20="是",反向題設定!$B$2+1-原始資料!Q6,原始資料!Q6))</f>
        <v/>
      </c>
      <c r="R6">
        <f>IF(原始資料!R6="","",IF(反向題設定!$C$21="是",反向題設定!$B$2+1-原始資料!R6,原始資料!R6))</f>
        <v/>
      </c>
      <c r="S6">
        <f>IF(原始資料!S6="","",IF(反向題設定!$C$22="是",反向題設定!$B$2+1-原始資料!S6,原始資料!S6))</f>
        <v/>
      </c>
      <c r="T6">
        <f>IF(原始資料!T6="","",IF(反向題設定!$C$23="是",反向題設定!$B$2+1-原始資料!T6,原始資料!T6))</f>
        <v/>
      </c>
      <c r="U6">
        <f>IF(原始資料!U6="","",IF(反向題設定!$C$24="是",反向題設定!$B$2+1-原始資料!U6,原始資料!U6))</f>
        <v/>
      </c>
      <c r="V6">
        <f>IF(原始資料!V6="","",IF(反向題設定!$C$25="是",反向題設定!$B$2+1-原始資料!V6,原始資料!V6))</f>
        <v/>
      </c>
      <c r="W6">
        <f>IF(原始資料!W6="","",IF(反向題設定!$C$26="是",反向題設定!$B$2+1-原始資料!W6,原始資料!W6))</f>
        <v/>
      </c>
      <c r="X6">
        <f>IF(原始資料!X6="","",IF(反向題設定!$C$27="是",反向題設定!$B$2+1-原始資料!X6,原始資料!X6))</f>
        <v/>
      </c>
      <c r="Y6">
        <f>IF(原始資料!Y6="","",IF(反向題設定!$C$28="是",反向題設定!$B$2+1-原始資料!Y6,原始資料!Y6))</f>
        <v/>
      </c>
      <c r="Z6">
        <f>IF(原始資料!Z6="","",IF(反向題設定!$C$29="是",反向題設定!$B$2+1-原始資料!Z6,原始資料!Z6))</f>
        <v/>
      </c>
      <c r="AA6">
        <f>IF(原始資料!AA6="","",IF(反向題設定!$C$30="是",反向題設定!$B$2+1-原始資料!AA6,原始資料!AA6))</f>
        <v/>
      </c>
      <c r="AB6">
        <f>IF(原始資料!AB6="","",IF(反向題設定!$C$31="是",反向題設定!$B$2+1-原始資料!AB6,原始資料!AB6))</f>
        <v/>
      </c>
      <c r="AC6">
        <f>IF(原始資料!AC6="","",IF(反向題設定!$C$32="是",反向題設定!$B$2+1-原始資料!AC6,原始資料!AC6))</f>
        <v/>
      </c>
      <c r="AD6">
        <f>IF(原始資料!AD6="","",IF(反向題設定!$C$33="是",反向題設定!$B$2+1-原始資料!AD6,原始資料!AD6))</f>
        <v/>
      </c>
      <c r="AE6">
        <f>IF(原始資料!AE6="","",IF(反向題設定!$C$34="是",反向題設定!$B$2+1-原始資料!AE6,原始資料!AE6))</f>
        <v/>
      </c>
      <c r="AF6">
        <f>IF(原始資料!AF6="","",IF(反向題設定!$C$35="是",反向題設定!$B$2+1-原始資料!AF6,原始資料!AF6))</f>
        <v/>
      </c>
      <c r="AG6">
        <f>IF(原始資料!AG6="","",IF(反向題設定!$C$36="是",反向題設定!$B$2+1-原始資料!AG6,原始資料!AG6))</f>
        <v/>
      </c>
      <c r="AH6">
        <f>IF(原始資料!AH6="","",IF(反向題設定!$C$37="是",反向題設定!$B$2+1-原始資料!AH6,原始資料!AH6))</f>
        <v/>
      </c>
      <c r="AI6">
        <f>IF(原始資料!AI6="","",IF(反向題設定!$C$38="是",反向題設定!$B$2+1-原始資料!AI6,原始資料!AI6))</f>
        <v/>
      </c>
      <c r="AJ6">
        <f>IF(原始資料!AJ6="","",IF(反向題設定!$C$39="是",反向題設定!$B$2+1-原始資料!AJ6,原始資料!AJ6))</f>
        <v/>
      </c>
      <c r="AK6">
        <f>IF(原始資料!AK6="","",IF(反向題設定!$C$40="是",反向題設定!$B$2+1-原始資料!AK6,原始資料!AK6))</f>
        <v/>
      </c>
      <c r="AL6">
        <f>IF(原始資料!AL6="","",IF(反向題設定!$C$41="是",反向題設定!$B$2+1-原始資料!AL6,原始資料!AL6))</f>
        <v/>
      </c>
      <c r="AM6">
        <f>IF(原始資料!AM6="","",IF(反向題設定!$C$42="是",反向題設定!$B$2+1-原始資料!AM6,原始資料!AM6))</f>
        <v/>
      </c>
      <c r="AN6">
        <f>IF(原始資料!AN6="","",IF(反向題設定!$C$43="是",反向題設定!$B$2+1-原始資料!AN6,原始資料!AN6))</f>
        <v/>
      </c>
      <c r="AO6">
        <f>IF(原始資料!AO6="","",IF(反向題設定!$C$44="是",反向題設定!$B$2+1-原始資料!AO6,原始資料!AO6))</f>
        <v/>
      </c>
      <c r="AP6">
        <f>IF(COUNT(B6:AO6)=0,"",SUM(B6:AO6))</f>
        <v/>
      </c>
      <c r="AQ6">
        <f>IF(AP6="","",IF(AP6&gt;=項目分析!$C$5,"高",IF(AP6&lt;=項目分析!$C$6,"低","")))</f>
        <v/>
      </c>
    </row>
    <row r="7">
      <c r="A7">
        <f>IF(原始資料!A7="","",原始資料!A7)</f>
        <v/>
      </c>
      <c r="B7">
        <f>IF(原始資料!B7="","",IF(反向題設定!$C$5="是",反向題設定!$B$2+1-原始資料!B7,原始資料!B7))</f>
        <v/>
      </c>
      <c r="C7">
        <f>IF(原始資料!C7="","",IF(反向題設定!$C$6="是",反向題設定!$B$2+1-原始資料!C7,原始資料!C7))</f>
        <v/>
      </c>
      <c r="D7">
        <f>IF(原始資料!D7="","",IF(反向題設定!$C$7="是",反向題設定!$B$2+1-原始資料!D7,原始資料!D7))</f>
        <v/>
      </c>
      <c r="E7">
        <f>IF(原始資料!E7="","",IF(反向題設定!$C$8="是",反向題設定!$B$2+1-原始資料!E7,原始資料!E7))</f>
        <v/>
      </c>
      <c r="F7">
        <f>IF(原始資料!F7="","",IF(反向題設定!$C$9="是",反向題設定!$B$2+1-原始資料!F7,原始資料!F7))</f>
        <v/>
      </c>
      <c r="G7">
        <f>IF(原始資料!G7="","",IF(反向題設定!$C$10="是",反向題設定!$B$2+1-原始資料!G7,原始資料!G7))</f>
        <v/>
      </c>
      <c r="H7">
        <f>IF(原始資料!H7="","",IF(反向題設定!$C$11="是",反向題設定!$B$2+1-原始資料!H7,原始資料!H7))</f>
        <v/>
      </c>
      <c r="I7">
        <f>IF(原始資料!I7="","",IF(反向題設定!$C$12="是",反向題設定!$B$2+1-原始資料!I7,原始資料!I7))</f>
        <v/>
      </c>
      <c r="J7">
        <f>IF(原始資料!J7="","",IF(反向題設定!$C$13="是",反向題設定!$B$2+1-原始資料!J7,原始資料!J7))</f>
        <v/>
      </c>
      <c r="K7">
        <f>IF(原始資料!K7="","",IF(反向題設定!$C$14="是",反向題設定!$B$2+1-原始資料!K7,原始資料!K7))</f>
        <v/>
      </c>
      <c r="L7">
        <f>IF(原始資料!L7="","",IF(反向題設定!$C$15="是",反向題設定!$B$2+1-原始資料!L7,原始資料!L7))</f>
        <v/>
      </c>
      <c r="M7">
        <f>IF(原始資料!M7="","",IF(反向題設定!$C$16="是",反向題設定!$B$2+1-原始資料!M7,原始資料!M7))</f>
        <v/>
      </c>
      <c r="N7">
        <f>IF(原始資料!N7="","",IF(反向題設定!$C$17="是",反向題設定!$B$2+1-原始資料!N7,原始資料!N7))</f>
        <v/>
      </c>
      <c r="O7">
        <f>IF(原始資料!O7="","",IF(反向題設定!$C$18="是",反向題設定!$B$2+1-原始資料!O7,原始資料!O7))</f>
        <v/>
      </c>
      <c r="P7">
        <f>IF(原始資料!P7="","",IF(反向題設定!$C$19="是",反向題設定!$B$2+1-原始資料!P7,原始資料!P7))</f>
        <v/>
      </c>
      <c r="Q7">
        <f>IF(原始資料!Q7="","",IF(反向題設定!$C$20="是",反向題設定!$B$2+1-原始資料!Q7,原始資料!Q7))</f>
        <v/>
      </c>
      <c r="R7">
        <f>IF(原始資料!R7="","",IF(反向題設定!$C$21="是",反向題設定!$B$2+1-原始資料!R7,原始資料!R7))</f>
        <v/>
      </c>
      <c r="S7">
        <f>IF(原始資料!S7="","",IF(反向題設定!$C$22="是",反向題設定!$B$2+1-原始資料!S7,原始資料!S7))</f>
        <v/>
      </c>
      <c r="T7">
        <f>IF(原始資料!T7="","",IF(反向題設定!$C$23="是",反向題設定!$B$2+1-原始資料!T7,原始資料!T7))</f>
        <v/>
      </c>
      <c r="U7">
        <f>IF(原始資料!U7="","",IF(反向題設定!$C$24="是",反向題設定!$B$2+1-原始資料!U7,原始資料!U7))</f>
        <v/>
      </c>
      <c r="V7">
        <f>IF(原始資料!V7="","",IF(反向題設定!$C$25="是",反向題設定!$B$2+1-原始資料!V7,原始資料!V7))</f>
        <v/>
      </c>
      <c r="W7">
        <f>IF(原始資料!W7="","",IF(反向題設定!$C$26="是",反向題設定!$B$2+1-原始資料!W7,原始資料!W7))</f>
        <v/>
      </c>
      <c r="X7">
        <f>IF(原始資料!X7="","",IF(反向題設定!$C$27="是",反向題設定!$B$2+1-原始資料!X7,原始資料!X7))</f>
        <v/>
      </c>
      <c r="Y7">
        <f>IF(原始資料!Y7="","",IF(反向題設定!$C$28="是",反向題設定!$B$2+1-原始資料!Y7,原始資料!Y7))</f>
        <v/>
      </c>
      <c r="Z7">
        <f>IF(原始資料!Z7="","",IF(反向題設定!$C$29="是",反向題設定!$B$2+1-原始資料!Z7,原始資料!Z7))</f>
        <v/>
      </c>
      <c r="AA7">
        <f>IF(原始資料!AA7="","",IF(反向題設定!$C$30="是",反向題設定!$B$2+1-原始資料!AA7,原始資料!AA7))</f>
        <v/>
      </c>
      <c r="AB7">
        <f>IF(原始資料!AB7="","",IF(反向題設定!$C$31="是",反向題設定!$B$2+1-原始資料!AB7,原始資料!AB7))</f>
        <v/>
      </c>
      <c r="AC7">
        <f>IF(原始資料!AC7="","",IF(反向題設定!$C$32="是",反向題設定!$B$2+1-原始資料!AC7,原始資料!AC7))</f>
        <v/>
      </c>
      <c r="AD7">
        <f>IF(原始資料!AD7="","",IF(反向題設定!$C$33="是",反向題設定!$B$2+1-原始資料!AD7,原始資料!AD7))</f>
        <v/>
      </c>
      <c r="AE7">
        <f>IF(原始資料!AE7="","",IF(反向題設定!$C$34="是",反向題設定!$B$2+1-原始資料!AE7,原始資料!AE7))</f>
        <v/>
      </c>
      <c r="AF7">
        <f>IF(原始資料!AF7="","",IF(反向題設定!$C$35="是",反向題設定!$B$2+1-原始資料!AF7,原始資料!AF7))</f>
        <v/>
      </c>
      <c r="AG7">
        <f>IF(原始資料!AG7="","",IF(反向題設定!$C$36="是",反向題設定!$B$2+1-原始資料!AG7,原始資料!AG7))</f>
        <v/>
      </c>
      <c r="AH7">
        <f>IF(原始資料!AH7="","",IF(反向題設定!$C$37="是",反向題設定!$B$2+1-原始資料!AH7,原始資料!AH7))</f>
        <v/>
      </c>
      <c r="AI7">
        <f>IF(原始資料!AI7="","",IF(反向題設定!$C$38="是",反向題設定!$B$2+1-原始資料!AI7,原始資料!AI7))</f>
        <v/>
      </c>
      <c r="AJ7">
        <f>IF(原始資料!AJ7="","",IF(反向題設定!$C$39="是",反向題設定!$B$2+1-原始資料!AJ7,原始資料!AJ7))</f>
        <v/>
      </c>
      <c r="AK7">
        <f>IF(原始資料!AK7="","",IF(反向題設定!$C$40="是",反向題設定!$B$2+1-原始資料!AK7,原始資料!AK7))</f>
        <v/>
      </c>
      <c r="AL7">
        <f>IF(原始資料!AL7="","",IF(反向題設定!$C$41="是",反向題設定!$B$2+1-原始資料!AL7,原始資料!AL7))</f>
        <v/>
      </c>
      <c r="AM7">
        <f>IF(原始資料!AM7="","",IF(反向題設定!$C$42="是",反向題設定!$B$2+1-原始資料!AM7,原始資料!AM7))</f>
        <v/>
      </c>
      <c r="AN7">
        <f>IF(原始資料!AN7="","",IF(反向題設定!$C$43="是",反向題設定!$B$2+1-原始資料!AN7,原始資料!AN7))</f>
        <v/>
      </c>
      <c r="AO7">
        <f>IF(原始資料!AO7="","",IF(反向題設定!$C$44="是",反向題設定!$B$2+1-原始資料!AO7,原始資料!AO7))</f>
        <v/>
      </c>
      <c r="AP7">
        <f>IF(COUNT(B7:AO7)=0,"",SUM(B7:AO7))</f>
        <v/>
      </c>
      <c r="AQ7">
        <f>IF(AP7="","",IF(AP7&gt;=項目分析!$C$5,"高",IF(AP7&lt;=項目分析!$C$6,"低","")))</f>
        <v/>
      </c>
    </row>
    <row r="8">
      <c r="A8">
        <f>IF(原始資料!A8="","",原始資料!A8)</f>
        <v/>
      </c>
      <c r="B8">
        <f>IF(原始資料!B8="","",IF(反向題設定!$C$5="是",反向題設定!$B$2+1-原始資料!B8,原始資料!B8))</f>
        <v/>
      </c>
      <c r="C8">
        <f>IF(原始資料!C8="","",IF(反向題設定!$C$6="是",反向題設定!$B$2+1-原始資料!C8,原始資料!C8))</f>
        <v/>
      </c>
      <c r="D8">
        <f>IF(原始資料!D8="","",IF(反向題設定!$C$7="是",反向題設定!$B$2+1-原始資料!D8,原始資料!D8))</f>
        <v/>
      </c>
      <c r="E8">
        <f>IF(原始資料!E8="","",IF(反向題設定!$C$8="是",反向題設定!$B$2+1-原始資料!E8,原始資料!E8))</f>
        <v/>
      </c>
      <c r="F8">
        <f>IF(原始資料!F8="","",IF(反向題設定!$C$9="是",反向題設定!$B$2+1-原始資料!F8,原始資料!F8))</f>
        <v/>
      </c>
      <c r="G8">
        <f>IF(原始資料!G8="","",IF(反向題設定!$C$10="是",反向題設定!$B$2+1-原始資料!G8,原始資料!G8))</f>
        <v/>
      </c>
      <c r="H8">
        <f>IF(原始資料!H8="","",IF(反向題設定!$C$11="是",反向題設定!$B$2+1-原始資料!H8,原始資料!H8))</f>
        <v/>
      </c>
      <c r="I8">
        <f>IF(原始資料!I8="","",IF(反向題設定!$C$12="是",反向題設定!$B$2+1-原始資料!I8,原始資料!I8))</f>
        <v/>
      </c>
      <c r="J8">
        <f>IF(原始資料!J8="","",IF(反向題設定!$C$13="是",反向題設定!$B$2+1-原始資料!J8,原始資料!J8))</f>
        <v/>
      </c>
      <c r="K8">
        <f>IF(原始資料!K8="","",IF(反向題設定!$C$14="是",反向題設定!$B$2+1-原始資料!K8,原始資料!K8))</f>
        <v/>
      </c>
      <c r="L8">
        <f>IF(原始資料!L8="","",IF(反向題設定!$C$15="是",反向題設定!$B$2+1-原始資料!L8,原始資料!L8))</f>
        <v/>
      </c>
      <c r="M8">
        <f>IF(原始資料!M8="","",IF(反向題設定!$C$16="是",反向題設定!$B$2+1-原始資料!M8,原始資料!M8))</f>
        <v/>
      </c>
      <c r="N8">
        <f>IF(原始資料!N8="","",IF(反向題設定!$C$17="是",反向題設定!$B$2+1-原始資料!N8,原始資料!N8))</f>
        <v/>
      </c>
      <c r="O8">
        <f>IF(原始資料!O8="","",IF(反向題設定!$C$18="是",反向題設定!$B$2+1-原始資料!O8,原始資料!O8))</f>
        <v/>
      </c>
      <c r="P8">
        <f>IF(原始資料!P8="","",IF(反向題設定!$C$19="是",反向題設定!$B$2+1-原始資料!P8,原始資料!P8))</f>
        <v/>
      </c>
      <c r="Q8">
        <f>IF(原始資料!Q8="","",IF(反向題設定!$C$20="是",反向題設定!$B$2+1-原始資料!Q8,原始資料!Q8))</f>
        <v/>
      </c>
      <c r="R8">
        <f>IF(原始資料!R8="","",IF(反向題設定!$C$21="是",反向題設定!$B$2+1-原始資料!R8,原始資料!R8))</f>
        <v/>
      </c>
      <c r="S8">
        <f>IF(原始資料!S8="","",IF(反向題設定!$C$22="是",反向題設定!$B$2+1-原始資料!S8,原始資料!S8))</f>
        <v/>
      </c>
      <c r="T8">
        <f>IF(原始資料!T8="","",IF(反向題設定!$C$23="是",反向題設定!$B$2+1-原始資料!T8,原始資料!T8))</f>
        <v/>
      </c>
      <c r="U8">
        <f>IF(原始資料!U8="","",IF(反向題設定!$C$24="是",反向題設定!$B$2+1-原始資料!U8,原始資料!U8))</f>
        <v/>
      </c>
      <c r="V8">
        <f>IF(原始資料!V8="","",IF(反向題設定!$C$25="是",反向題設定!$B$2+1-原始資料!V8,原始資料!V8))</f>
        <v/>
      </c>
      <c r="W8">
        <f>IF(原始資料!W8="","",IF(反向題設定!$C$26="是",反向題設定!$B$2+1-原始資料!W8,原始資料!W8))</f>
        <v/>
      </c>
      <c r="X8">
        <f>IF(原始資料!X8="","",IF(反向題設定!$C$27="是",反向題設定!$B$2+1-原始資料!X8,原始資料!X8))</f>
        <v/>
      </c>
      <c r="Y8">
        <f>IF(原始資料!Y8="","",IF(反向題設定!$C$28="是",反向題設定!$B$2+1-原始資料!Y8,原始資料!Y8))</f>
        <v/>
      </c>
      <c r="Z8">
        <f>IF(原始資料!Z8="","",IF(反向題設定!$C$29="是",反向題設定!$B$2+1-原始資料!Z8,原始資料!Z8))</f>
        <v/>
      </c>
      <c r="AA8">
        <f>IF(原始資料!AA8="","",IF(反向題設定!$C$30="是",反向題設定!$B$2+1-原始資料!AA8,原始資料!AA8))</f>
        <v/>
      </c>
      <c r="AB8">
        <f>IF(原始資料!AB8="","",IF(反向題設定!$C$31="是",反向題設定!$B$2+1-原始資料!AB8,原始資料!AB8))</f>
        <v/>
      </c>
      <c r="AC8">
        <f>IF(原始資料!AC8="","",IF(反向題設定!$C$32="是",反向題設定!$B$2+1-原始資料!AC8,原始資料!AC8))</f>
        <v/>
      </c>
      <c r="AD8">
        <f>IF(原始資料!AD8="","",IF(反向題設定!$C$33="是",反向題設定!$B$2+1-原始資料!AD8,原始資料!AD8))</f>
        <v/>
      </c>
      <c r="AE8">
        <f>IF(原始資料!AE8="","",IF(反向題設定!$C$34="是",反向題設定!$B$2+1-原始資料!AE8,原始資料!AE8))</f>
        <v/>
      </c>
      <c r="AF8">
        <f>IF(原始資料!AF8="","",IF(反向題設定!$C$35="是",反向題設定!$B$2+1-原始資料!AF8,原始資料!AF8))</f>
        <v/>
      </c>
      <c r="AG8">
        <f>IF(原始資料!AG8="","",IF(反向題設定!$C$36="是",反向題設定!$B$2+1-原始資料!AG8,原始資料!AG8))</f>
        <v/>
      </c>
      <c r="AH8">
        <f>IF(原始資料!AH8="","",IF(反向題設定!$C$37="是",反向題設定!$B$2+1-原始資料!AH8,原始資料!AH8))</f>
        <v/>
      </c>
      <c r="AI8">
        <f>IF(原始資料!AI8="","",IF(反向題設定!$C$38="是",反向題設定!$B$2+1-原始資料!AI8,原始資料!AI8))</f>
        <v/>
      </c>
      <c r="AJ8">
        <f>IF(原始資料!AJ8="","",IF(反向題設定!$C$39="是",反向題設定!$B$2+1-原始資料!AJ8,原始資料!AJ8))</f>
        <v/>
      </c>
      <c r="AK8">
        <f>IF(原始資料!AK8="","",IF(反向題設定!$C$40="是",反向題設定!$B$2+1-原始資料!AK8,原始資料!AK8))</f>
        <v/>
      </c>
      <c r="AL8">
        <f>IF(原始資料!AL8="","",IF(反向題設定!$C$41="是",反向題設定!$B$2+1-原始資料!AL8,原始資料!AL8))</f>
        <v/>
      </c>
      <c r="AM8">
        <f>IF(原始資料!AM8="","",IF(反向題設定!$C$42="是",反向題設定!$B$2+1-原始資料!AM8,原始資料!AM8))</f>
        <v/>
      </c>
      <c r="AN8">
        <f>IF(原始資料!AN8="","",IF(反向題設定!$C$43="是",反向題設定!$B$2+1-原始資料!AN8,原始資料!AN8))</f>
        <v/>
      </c>
      <c r="AO8">
        <f>IF(原始資料!AO8="","",IF(反向題設定!$C$44="是",反向題設定!$B$2+1-原始資料!AO8,原始資料!AO8))</f>
        <v/>
      </c>
      <c r="AP8">
        <f>IF(COUNT(B8:AO8)=0,"",SUM(B8:AO8))</f>
        <v/>
      </c>
      <c r="AQ8">
        <f>IF(AP8="","",IF(AP8&gt;=項目分析!$C$5,"高",IF(AP8&lt;=項目分析!$C$6,"低","")))</f>
        <v/>
      </c>
    </row>
    <row r="9">
      <c r="A9">
        <f>IF(原始資料!A9="","",原始資料!A9)</f>
        <v/>
      </c>
      <c r="B9">
        <f>IF(原始資料!B9="","",IF(反向題設定!$C$5="是",反向題設定!$B$2+1-原始資料!B9,原始資料!B9))</f>
        <v/>
      </c>
      <c r="C9">
        <f>IF(原始資料!C9="","",IF(反向題設定!$C$6="是",反向題設定!$B$2+1-原始資料!C9,原始資料!C9))</f>
        <v/>
      </c>
      <c r="D9">
        <f>IF(原始資料!D9="","",IF(反向題設定!$C$7="是",反向題設定!$B$2+1-原始資料!D9,原始資料!D9))</f>
        <v/>
      </c>
      <c r="E9">
        <f>IF(原始資料!E9="","",IF(反向題設定!$C$8="是",反向題設定!$B$2+1-原始資料!E9,原始資料!E9))</f>
        <v/>
      </c>
      <c r="F9">
        <f>IF(原始資料!F9="","",IF(反向題設定!$C$9="是",反向題設定!$B$2+1-原始資料!F9,原始資料!F9))</f>
        <v/>
      </c>
      <c r="G9">
        <f>IF(原始資料!G9="","",IF(反向題設定!$C$10="是",反向題設定!$B$2+1-原始資料!G9,原始資料!G9))</f>
        <v/>
      </c>
      <c r="H9">
        <f>IF(原始資料!H9="","",IF(反向題設定!$C$11="是",反向題設定!$B$2+1-原始資料!H9,原始資料!H9))</f>
        <v/>
      </c>
      <c r="I9">
        <f>IF(原始資料!I9="","",IF(反向題設定!$C$12="是",反向題設定!$B$2+1-原始資料!I9,原始資料!I9))</f>
        <v/>
      </c>
      <c r="J9">
        <f>IF(原始資料!J9="","",IF(反向題設定!$C$13="是",反向題設定!$B$2+1-原始資料!J9,原始資料!J9))</f>
        <v/>
      </c>
      <c r="K9">
        <f>IF(原始資料!K9="","",IF(反向題設定!$C$14="是",反向題設定!$B$2+1-原始資料!K9,原始資料!K9))</f>
        <v/>
      </c>
      <c r="L9">
        <f>IF(原始資料!L9="","",IF(反向題設定!$C$15="是",反向題設定!$B$2+1-原始資料!L9,原始資料!L9))</f>
        <v/>
      </c>
      <c r="M9">
        <f>IF(原始資料!M9="","",IF(反向題設定!$C$16="是",反向題設定!$B$2+1-原始資料!M9,原始資料!M9))</f>
        <v/>
      </c>
      <c r="N9">
        <f>IF(原始資料!N9="","",IF(反向題設定!$C$17="是",反向題設定!$B$2+1-原始資料!N9,原始資料!N9))</f>
        <v/>
      </c>
      <c r="O9">
        <f>IF(原始資料!O9="","",IF(反向題設定!$C$18="是",反向題設定!$B$2+1-原始資料!O9,原始資料!O9))</f>
        <v/>
      </c>
      <c r="P9">
        <f>IF(原始資料!P9="","",IF(反向題設定!$C$19="是",反向題設定!$B$2+1-原始資料!P9,原始資料!P9))</f>
        <v/>
      </c>
      <c r="Q9">
        <f>IF(原始資料!Q9="","",IF(反向題設定!$C$20="是",反向題設定!$B$2+1-原始資料!Q9,原始資料!Q9))</f>
        <v/>
      </c>
      <c r="R9">
        <f>IF(原始資料!R9="","",IF(反向題設定!$C$21="是",反向題設定!$B$2+1-原始資料!R9,原始資料!R9))</f>
        <v/>
      </c>
      <c r="S9">
        <f>IF(原始資料!S9="","",IF(反向題設定!$C$22="是",反向題設定!$B$2+1-原始資料!S9,原始資料!S9))</f>
        <v/>
      </c>
      <c r="T9">
        <f>IF(原始資料!T9="","",IF(反向題設定!$C$23="是",反向題設定!$B$2+1-原始資料!T9,原始資料!T9))</f>
        <v/>
      </c>
      <c r="U9">
        <f>IF(原始資料!U9="","",IF(反向題設定!$C$24="是",反向題設定!$B$2+1-原始資料!U9,原始資料!U9))</f>
        <v/>
      </c>
      <c r="V9">
        <f>IF(原始資料!V9="","",IF(反向題設定!$C$25="是",反向題設定!$B$2+1-原始資料!V9,原始資料!V9))</f>
        <v/>
      </c>
      <c r="W9">
        <f>IF(原始資料!W9="","",IF(反向題設定!$C$26="是",反向題設定!$B$2+1-原始資料!W9,原始資料!W9))</f>
        <v/>
      </c>
      <c r="X9">
        <f>IF(原始資料!X9="","",IF(反向題設定!$C$27="是",反向題設定!$B$2+1-原始資料!X9,原始資料!X9))</f>
        <v/>
      </c>
      <c r="Y9">
        <f>IF(原始資料!Y9="","",IF(反向題設定!$C$28="是",反向題設定!$B$2+1-原始資料!Y9,原始資料!Y9))</f>
        <v/>
      </c>
      <c r="Z9">
        <f>IF(原始資料!Z9="","",IF(反向題設定!$C$29="是",反向題設定!$B$2+1-原始資料!Z9,原始資料!Z9))</f>
        <v/>
      </c>
      <c r="AA9">
        <f>IF(原始資料!AA9="","",IF(反向題設定!$C$30="是",反向題設定!$B$2+1-原始資料!AA9,原始資料!AA9))</f>
        <v/>
      </c>
      <c r="AB9">
        <f>IF(原始資料!AB9="","",IF(反向題設定!$C$31="是",反向題設定!$B$2+1-原始資料!AB9,原始資料!AB9))</f>
        <v/>
      </c>
      <c r="AC9">
        <f>IF(原始資料!AC9="","",IF(反向題設定!$C$32="是",反向題設定!$B$2+1-原始資料!AC9,原始資料!AC9))</f>
        <v/>
      </c>
      <c r="AD9">
        <f>IF(原始資料!AD9="","",IF(反向題設定!$C$33="是",反向題設定!$B$2+1-原始資料!AD9,原始資料!AD9))</f>
        <v/>
      </c>
      <c r="AE9">
        <f>IF(原始資料!AE9="","",IF(反向題設定!$C$34="是",反向題設定!$B$2+1-原始資料!AE9,原始資料!AE9))</f>
        <v/>
      </c>
      <c r="AF9">
        <f>IF(原始資料!AF9="","",IF(反向題設定!$C$35="是",反向題設定!$B$2+1-原始資料!AF9,原始資料!AF9))</f>
        <v/>
      </c>
      <c r="AG9">
        <f>IF(原始資料!AG9="","",IF(反向題設定!$C$36="是",反向題設定!$B$2+1-原始資料!AG9,原始資料!AG9))</f>
        <v/>
      </c>
      <c r="AH9">
        <f>IF(原始資料!AH9="","",IF(反向題設定!$C$37="是",反向題設定!$B$2+1-原始資料!AH9,原始資料!AH9))</f>
        <v/>
      </c>
      <c r="AI9">
        <f>IF(原始資料!AI9="","",IF(反向題設定!$C$38="是",反向題設定!$B$2+1-原始資料!AI9,原始資料!AI9))</f>
        <v/>
      </c>
      <c r="AJ9">
        <f>IF(原始資料!AJ9="","",IF(反向題設定!$C$39="是",反向題設定!$B$2+1-原始資料!AJ9,原始資料!AJ9))</f>
        <v/>
      </c>
      <c r="AK9">
        <f>IF(原始資料!AK9="","",IF(反向題設定!$C$40="是",反向題設定!$B$2+1-原始資料!AK9,原始資料!AK9))</f>
        <v/>
      </c>
      <c r="AL9">
        <f>IF(原始資料!AL9="","",IF(反向題設定!$C$41="是",反向題設定!$B$2+1-原始資料!AL9,原始資料!AL9))</f>
        <v/>
      </c>
      <c r="AM9">
        <f>IF(原始資料!AM9="","",IF(反向題設定!$C$42="是",反向題設定!$B$2+1-原始資料!AM9,原始資料!AM9))</f>
        <v/>
      </c>
      <c r="AN9">
        <f>IF(原始資料!AN9="","",IF(反向題設定!$C$43="是",反向題設定!$B$2+1-原始資料!AN9,原始資料!AN9))</f>
        <v/>
      </c>
      <c r="AO9">
        <f>IF(原始資料!AO9="","",IF(反向題設定!$C$44="是",反向題設定!$B$2+1-原始資料!AO9,原始資料!AO9))</f>
        <v/>
      </c>
      <c r="AP9">
        <f>IF(COUNT(B9:AO9)=0,"",SUM(B9:AO9))</f>
        <v/>
      </c>
      <c r="AQ9">
        <f>IF(AP9="","",IF(AP9&gt;=項目分析!$C$5,"高",IF(AP9&lt;=項目分析!$C$6,"低","")))</f>
        <v/>
      </c>
    </row>
    <row r="10">
      <c r="A10">
        <f>IF(原始資料!A10="","",原始資料!A10)</f>
        <v/>
      </c>
      <c r="B10">
        <f>IF(原始資料!B10="","",IF(反向題設定!$C$5="是",反向題設定!$B$2+1-原始資料!B10,原始資料!B10))</f>
        <v/>
      </c>
      <c r="C10">
        <f>IF(原始資料!C10="","",IF(反向題設定!$C$6="是",反向題設定!$B$2+1-原始資料!C10,原始資料!C10))</f>
        <v/>
      </c>
      <c r="D10">
        <f>IF(原始資料!D10="","",IF(反向題設定!$C$7="是",反向題設定!$B$2+1-原始資料!D10,原始資料!D10))</f>
        <v/>
      </c>
      <c r="E10">
        <f>IF(原始資料!E10="","",IF(反向題設定!$C$8="是",反向題設定!$B$2+1-原始資料!E10,原始資料!E10))</f>
        <v/>
      </c>
      <c r="F10">
        <f>IF(原始資料!F10="","",IF(反向題設定!$C$9="是",反向題設定!$B$2+1-原始資料!F10,原始資料!F10))</f>
        <v/>
      </c>
      <c r="G10">
        <f>IF(原始資料!G10="","",IF(反向題設定!$C$10="是",反向題設定!$B$2+1-原始資料!G10,原始資料!G10))</f>
        <v/>
      </c>
      <c r="H10">
        <f>IF(原始資料!H10="","",IF(反向題設定!$C$11="是",反向題設定!$B$2+1-原始資料!H10,原始資料!H10))</f>
        <v/>
      </c>
      <c r="I10">
        <f>IF(原始資料!I10="","",IF(反向題設定!$C$12="是",反向題設定!$B$2+1-原始資料!I10,原始資料!I10))</f>
        <v/>
      </c>
      <c r="J10">
        <f>IF(原始資料!J10="","",IF(反向題設定!$C$13="是",反向題設定!$B$2+1-原始資料!J10,原始資料!J10))</f>
        <v/>
      </c>
      <c r="K10">
        <f>IF(原始資料!K10="","",IF(反向題設定!$C$14="是",反向題設定!$B$2+1-原始資料!K10,原始資料!K10))</f>
        <v/>
      </c>
      <c r="L10">
        <f>IF(原始資料!L10="","",IF(反向題設定!$C$15="是",反向題設定!$B$2+1-原始資料!L10,原始資料!L10))</f>
        <v/>
      </c>
      <c r="M10">
        <f>IF(原始資料!M10="","",IF(反向題設定!$C$16="是",反向題設定!$B$2+1-原始資料!M10,原始資料!M10))</f>
        <v/>
      </c>
      <c r="N10">
        <f>IF(原始資料!N10="","",IF(反向題設定!$C$17="是",反向題設定!$B$2+1-原始資料!N10,原始資料!N10))</f>
        <v/>
      </c>
      <c r="O10">
        <f>IF(原始資料!O10="","",IF(反向題設定!$C$18="是",反向題設定!$B$2+1-原始資料!O10,原始資料!O10))</f>
        <v/>
      </c>
      <c r="P10">
        <f>IF(原始資料!P10="","",IF(反向題設定!$C$19="是",反向題設定!$B$2+1-原始資料!P10,原始資料!P10))</f>
        <v/>
      </c>
      <c r="Q10">
        <f>IF(原始資料!Q10="","",IF(反向題設定!$C$20="是",反向題設定!$B$2+1-原始資料!Q10,原始資料!Q10))</f>
        <v/>
      </c>
      <c r="R10">
        <f>IF(原始資料!R10="","",IF(反向題設定!$C$21="是",反向題設定!$B$2+1-原始資料!R10,原始資料!R10))</f>
        <v/>
      </c>
      <c r="S10">
        <f>IF(原始資料!S10="","",IF(反向題設定!$C$22="是",反向題設定!$B$2+1-原始資料!S10,原始資料!S10))</f>
        <v/>
      </c>
      <c r="T10">
        <f>IF(原始資料!T10="","",IF(反向題設定!$C$23="是",反向題設定!$B$2+1-原始資料!T10,原始資料!T10))</f>
        <v/>
      </c>
      <c r="U10">
        <f>IF(原始資料!U10="","",IF(反向題設定!$C$24="是",反向題設定!$B$2+1-原始資料!U10,原始資料!U10))</f>
        <v/>
      </c>
      <c r="V10">
        <f>IF(原始資料!V10="","",IF(反向題設定!$C$25="是",反向題設定!$B$2+1-原始資料!V10,原始資料!V10))</f>
        <v/>
      </c>
      <c r="W10">
        <f>IF(原始資料!W10="","",IF(反向題設定!$C$26="是",反向題設定!$B$2+1-原始資料!W10,原始資料!W10))</f>
        <v/>
      </c>
      <c r="X10">
        <f>IF(原始資料!X10="","",IF(反向題設定!$C$27="是",反向題設定!$B$2+1-原始資料!X10,原始資料!X10))</f>
        <v/>
      </c>
      <c r="Y10">
        <f>IF(原始資料!Y10="","",IF(反向題設定!$C$28="是",反向題設定!$B$2+1-原始資料!Y10,原始資料!Y10))</f>
        <v/>
      </c>
      <c r="Z10">
        <f>IF(原始資料!Z10="","",IF(反向題設定!$C$29="是",反向題設定!$B$2+1-原始資料!Z10,原始資料!Z10))</f>
        <v/>
      </c>
      <c r="AA10">
        <f>IF(原始資料!AA10="","",IF(反向題設定!$C$30="是",反向題設定!$B$2+1-原始資料!AA10,原始資料!AA10))</f>
        <v/>
      </c>
      <c r="AB10">
        <f>IF(原始資料!AB10="","",IF(反向題設定!$C$31="是",反向題設定!$B$2+1-原始資料!AB10,原始資料!AB10))</f>
        <v/>
      </c>
      <c r="AC10">
        <f>IF(原始資料!AC10="","",IF(反向題設定!$C$32="是",反向題設定!$B$2+1-原始資料!AC10,原始資料!AC10))</f>
        <v/>
      </c>
      <c r="AD10">
        <f>IF(原始資料!AD10="","",IF(反向題設定!$C$33="是",反向題設定!$B$2+1-原始資料!AD10,原始資料!AD10))</f>
        <v/>
      </c>
      <c r="AE10">
        <f>IF(原始資料!AE10="","",IF(反向題設定!$C$34="是",反向題設定!$B$2+1-原始資料!AE10,原始資料!AE10))</f>
        <v/>
      </c>
      <c r="AF10">
        <f>IF(原始資料!AF10="","",IF(反向題設定!$C$35="是",反向題設定!$B$2+1-原始資料!AF10,原始資料!AF10))</f>
        <v/>
      </c>
      <c r="AG10">
        <f>IF(原始資料!AG10="","",IF(反向題設定!$C$36="是",反向題設定!$B$2+1-原始資料!AG10,原始資料!AG10))</f>
        <v/>
      </c>
      <c r="AH10">
        <f>IF(原始資料!AH10="","",IF(反向題設定!$C$37="是",反向題設定!$B$2+1-原始資料!AH10,原始資料!AH10))</f>
        <v/>
      </c>
      <c r="AI10">
        <f>IF(原始資料!AI10="","",IF(反向題設定!$C$38="是",反向題設定!$B$2+1-原始資料!AI10,原始資料!AI10))</f>
        <v/>
      </c>
      <c r="AJ10">
        <f>IF(原始資料!AJ10="","",IF(反向題設定!$C$39="是",反向題設定!$B$2+1-原始資料!AJ10,原始資料!AJ10))</f>
        <v/>
      </c>
      <c r="AK10">
        <f>IF(原始資料!AK10="","",IF(反向題設定!$C$40="是",反向題設定!$B$2+1-原始資料!AK10,原始資料!AK10))</f>
        <v/>
      </c>
      <c r="AL10">
        <f>IF(原始資料!AL10="","",IF(反向題設定!$C$41="是",反向題設定!$B$2+1-原始資料!AL10,原始資料!AL10))</f>
        <v/>
      </c>
      <c r="AM10">
        <f>IF(原始資料!AM10="","",IF(反向題設定!$C$42="是",反向題設定!$B$2+1-原始資料!AM10,原始資料!AM10))</f>
        <v/>
      </c>
      <c r="AN10">
        <f>IF(原始資料!AN10="","",IF(反向題設定!$C$43="是",反向題設定!$B$2+1-原始資料!AN10,原始資料!AN10))</f>
        <v/>
      </c>
      <c r="AO10">
        <f>IF(原始資料!AO10="","",IF(反向題設定!$C$44="是",反向題設定!$B$2+1-原始資料!AO10,原始資料!AO10))</f>
        <v/>
      </c>
      <c r="AP10">
        <f>IF(COUNT(B10:AO10)=0,"",SUM(B10:AO10))</f>
        <v/>
      </c>
      <c r="AQ10">
        <f>IF(AP10="","",IF(AP10&gt;=項目分析!$C$5,"高",IF(AP10&lt;=項目分析!$C$6,"低","")))</f>
        <v/>
      </c>
    </row>
    <row r="11">
      <c r="A11">
        <f>IF(原始資料!A11="","",原始資料!A11)</f>
        <v/>
      </c>
      <c r="B11">
        <f>IF(原始資料!B11="","",IF(反向題設定!$C$5="是",反向題設定!$B$2+1-原始資料!B11,原始資料!B11))</f>
        <v/>
      </c>
      <c r="C11">
        <f>IF(原始資料!C11="","",IF(反向題設定!$C$6="是",反向題設定!$B$2+1-原始資料!C11,原始資料!C11))</f>
        <v/>
      </c>
      <c r="D11">
        <f>IF(原始資料!D11="","",IF(反向題設定!$C$7="是",反向題設定!$B$2+1-原始資料!D11,原始資料!D11))</f>
        <v/>
      </c>
      <c r="E11">
        <f>IF(原始資料!E11="","",IF(反向題設定!$C$8="是",反向題設定!$B$2+1-原始資料!E11,原始資料!E11))</f>
        <v/>
      </c>
      <c r="F11">
        <f>IF(原始資料!F11="","",IF(反向題設定!$C$9="是",反向題設定!$B$2+1-原始資料!F11,原始資料!F11))</f>
        <v/>
      </c>
      <c r="G11">
        <f>IF(原始資料!G11="","",IF(反向題設定!$C$10="是",反向題設定!$B$2+1-原始資料!G11,原始資料!G11))</f>
        <v/>
      </c>
      <c r="H11">
        <f>IF(原始資料!H11="","",IF(反向題設定!$C$11="是",反向題設定!$B$2+1-原始資料!H11,原始資料!H11))</f>
        <v/>
      </c>
      <c r="I11">
        <f>IF(原始資料!I11="","",IF(反向題設定!$C$12="是",反向題設定!$B$2+1-原始資料!I11,原始資料!I11))</f>
        <v/>
      </c>
      <c r="J11">
        <f>IF(原始資料!J11="","",IF(反向題設定!$C$13="是",反向題設定!$B$2+1-原始資料!J11,原始資料!J11))</f>
        <v/>
      </c>
      <c r="K11">
        <f>IF(原始資料!K11="","",IF(反向題設定!$C$14="是",反向題設定!$B$2+1-原始資料!K11,原始資料!K11))</f>
        <v/>
      </c>
      <c r="L11">
        <f>IF(原始資料!L11="","",IF(反向題設定!$C$15="是",反向題設定!$B$2+1-原始資料!L11,原始資料!L11))</f>
        <v/>
      </c>
      <c r="M11">
        <f>IF(原始資料!M11="","",IF(反向題設定!$C$16="是",反向題設定!$B$2+1-原始資料!M11,原始資料!M11))</f>
        <v/>
      </c>
      <c r="N11">
        <f>IF(原始資料!N11="","",IF(反向題設定!$C$17="是",反向題設定!$B$2+1-原始資料!N11,原始資料!N11))</f>
        <v/>
      </c>
      <c r="O11">
        <f>IF(原始資料!O11="","",IF(反向題設定!$C$18="是",反向題設定!$B$2+1-原始資料!O11,原始資料!O11))</f>
        <v/>
      </c>
      <c r="P11">
        <f>IF(原始資料!P11="","",IF(反向題設定!$C$19="是",反向題設定!$B$2+1-原始資料!P11,原始資料!P11))</f>
        <v/>
      </c>
      <c r="Q11">
        <f>IF(原始資料!Q11="","",IF(反向題設定!$C$20="是",反向題設定!$B$2+1-原始資料!Q11,原始資料!Q11))</f>
        <v/>
      </c>
      <c r="R11">
        <f>IF(原始資料!R11="","",IF(反向題設定!$C$21="是",反向題設定!$B$2+1-原始資料!R11,原始資料!R11))</f>
        <v/>
      </c>
      <c r="S11">
        <f>IF(原始資料!S11="","",IF(反向題設定!$C$22="是",反向題設定!$B$2+1-原始資料!S11,原始資料!S11))</f>
        <v/>
      </c>
      <c r="T11">
        <f>IF(原始資料!T11="","",IF(反向題設定!$C$23="是",反向題設定!$B$2+1-原始資料!T11,原始資料!T11))</f>
        <v/>
      </c>
      <c r="U11">
        <f>IF(原始資料!U11="","",IF(反向題設定!$C$24="是",反向題設定!$B$2+1-原始資料!U11,原始資料!U11))</f>
        <v/>
      </c>
      <c r="V11">
        <f>IF(原始資料!V11="","",IF(反向題設定!$C$25="是",反向題設定!$B$2+1-原始資料!V11,原始資料!V11))</f>
        <v/>
      </c>
      <c r="W11">
        <f>IF(原始資料!W11="","",IF(反向題設定!$C$26="是",反向題設定!$B$2+1-原始資料!W11,原始資料!W11))</f>
        <v/>
      </c>
      <c r="X11">
        <f>IF(原始資料!X11="","",IF(反向題設定!$C$27="是",反向題設定!$B$2+1-原始資料!X11,原始資料!X11))</f>
        <v/>
      </c>
      <c r="Y11">
        <f>IF(原始資料!Y11="","",IF(反向題設定!$C$28="是",反向題設定!$B$2+1-原始資料!Y11,原始資料!Y11))</f>
        <v/>
      </c>
      <c r="Z11">
        <f>IF(原始資料!Z11="","",IF(反向題設定!$C$29="是",反向題設定!$B$2+1-原始資料!Z11,原始資料!Z11))</f>
        <v/>
      </c>
      <c r="AA11">
        <f>IF(原始資料!AA11="","",IF(反向題設定!$C$30="是",反向題設定!$B$2+1-原始資料!AA11,原始資料!AA11))</f>
        <v/>
      </c>
      <c r="AB11">
        <f>IF(原始資料!AB11="","",IF(反向題設定!$C$31="是",反向題設定!$B$2+1-原始資料!AB11,原始資料!AB11))</f>
        <v/>
      </c>
      <c r="AC11">
        <f>IF(原始資料!AC11="","",IF(反向題設定!$C$32="是",反向題設定!$B$2+1-原始資料!AC11,原始資料!AC11))</f>
        <v/>
      </c>
      <c r="AD11">
        <f>IF(原始資料!AD11="","",IF(反向題設定!$C$33="是",反向題設定!$B$2+1-原始資料!AD11,原始資料!AD11))</f>
        <v/>
      </c>
      <c r="AE11">
        <f>IF(原始資料!AE11="","",IF(反向題設定!$C$34="是",反向題設定!$B$2+1-原始資料!AE11,原始資料!AE11))</f>
        <v/>
      </c>
      <c r="AF11">
        <f>IF(原始資料!AF11="","",IF(反向題設定!$C$35="是",反向題設定!$B$2+1-原始資料!AF11,原始資料!AF11))</f>
        <v/>
      </c>
      <c r="AG11">
        <f>IF(原始資料!AG11="","",IF(反向題設定!$C$36="是",反向題設定!$B$2+1-原始資料!AG11,原始資料!AG11))</f>
        <v/>
      </c>
      <c r="AH11">
        <f>IF(原始資料!AH11="","",IF(反向題設定!$C$37="是",反向題設定!$B$2+1-原始資料!AH11,原始資料!AH11))</f>
        <v/>
      </c>
      <c r="AI11">
        <f>IF(原始資料!AI11="","",IF(反向題設定!$C$38="是",反向題設定!$B$2+1-原始資料!AI11,原始資料!AI11))</f>
        <v/>
      </c>
      <c r="AJ11">
        <f>IF(原始資料!AJ11="","",IF(反向題設定!$C$39="是",反向題設定!$B$2+1-原始資料!AJ11,原始資料!AJ11))</f>
        <v/>
      </c>
      <c r="AK11">
        <f>IF(原始資料!AK11="","",IF(反向題設定!$C$40="是",反向題設定!$B$2+1-原始資料!AK11,原始資料!AK11))</f>
        <v/>
      </c>
      <c r="AL11">
        <f>IF(原始資料!AL11="","",IF(反向題設定!$C$41="是",反向題設定!$B$2+1-原始資料!AL11,原始資料!AL11))</f>
        <v/>
      </c>
      <c r="AM11">
        <f>IF(原始資料!AM11="","",IF(反向題設定!$C$42="是",反向題設定!$B$2+1-原始資料!AM11,原始資料!AM11))</f>
        <v/>
      </c>
      <c r="AN11">
        <f>IF(原始資料!AN11="","",IF(反向題設定!$C$43="是",反向題設定!$B$2+1-原始資料!AN11,原始資料!AN11))</f>
        <v/>
      </c>
      <c r="AO11">
        <f>IF(原始資料!AO11="","",IF(反向題設定!$C$44="是",反向題設定!$B$2+1-原始資料!AO11,原始資料!AO11))</f>
        <v/>
      </c>
      <c r="AP11">
        <f>IF(COUNT(B11:AO11)=0,"",SUM(B11:AO11))</f>
        <v/>
      </c>
      <c r="AQ11">
        <f>IF(AP11="","",IF(AP11&gt;=項目分析!$C$5,"高",IF(AP11&lt;=項目分析!$C$6,"低","")))</f>
        <v/>
      </c>
    </row>
    <row r="12">
      <c r="A12">
        <f>IF(原始資料!A12="","",原始資料!A12)</f>
        <v/>
      </c>
      <c r="B12">
        <f>IF(原始資料!B12="","",IF(反向題設定!$C$5="是",反向題設定!$B$2+1-原始資料!B12,原始資料!B12))</f>
        <v/>
      </c>
      <c r="C12">
        <f>IF(原始資料!C12="","",IF(反向題設定!$C$6="是",反向題設定!$B$2+1-原始資料!C12,原始資料!C12))</f>
        <v/>
      </c>
      <c r="D12">
        <f>IF(原始資料!D12="","",IF(反向題設定!$C$7="是",反向題設定!$B$2+1-原始資料!D12,原始資料!D12))</f>
        <v/>
      </c>
      <c r="E12">
        <f>IF(原始資料!E12="","",IF(反向題設定!$C$8="是",反向題設定!$B$2+1-原始資料!E12,原始資料!E12))</f>
        <v/>
      </c>
      <c r="F12">
        <f>IF(原始資料!F12="","",IF(反向題設定!$C$9="是",反向題設定!$B$2+1-原始資料!F12,原始資料!F12))</f>
        <v/>
      </c>
      <c r="G12">
        <f>IF(原始資料!G12="","",IF(反向題設定!$C$10="是",反向題設定!$B$2+1-原始資料!G12,原始資料!G12))</f>
        <v/>
      </c>
      <c r="H12">
        <f>IF(原始資料!H12="","",IF(反向題設定!$C$11="是",反向題設定!$B$2+1-原始資料!H12,原始資料!H12))</f>
        <v/>
      </c>
      <c r="I12">
        <f>IF(原始資料!I12="","",IF(反向題設定!$C$12="是",反向題設定!$B$2+1-原始資料!I12,原始資料!I12))</f>
        <v/>
      </c>
      <c r="J12">
        <f>IF(原始資料!J12="","",IF(反向題設定!$C$13="是",反向題設定!$B$2+1-原始資料!J12,原始資料!J12))</f>
        <v/>
      </c>
      <c r="K12">
        <f>IF(原始資料!K12="","",IF(反向題設定!$C$14="是",反向題設定!$B$2+1-原始資料!K12,原始資料!K12))</f>
        <v/>
      </c>
      <c r="L12">
        <f>IF(原始資料!L12="","",IF(反向題設定!$C$15="是",反向題設定!$B$2+1-原始資料!L12,原始資料!L12))</f>
        <v/>
      </c>
      <c r="M12">
        <f>IF(原始資料!M12="","",IF(反向題設定!$C$16="是",反向題設定!$B$2+1-原始資料!M12,原始資料!M12))</f>
        <v/>
      </c>
      <c r="N12">
        <f>IF(原始資料!N12="","",IF(反向題設定!$C$17="是",反向題設定!$B$2+1-原始資料!N12,原始資料!N12))</f>
        <v/>
      </c>
      <c r="O12">
        <f>IF(原始資料!O12="","",IF(反向題設定!$C$18="是",反向題設定!$B$2+1-原始資料!O12,原始資料!O12))</f>
        <v/>
      </c>
      <c r="P12">
        <f>IF(原始資料!P12="","",IF(反向題設定!$C$19="是",反向題設定!$B$2+1-原始資料!P12,原始資料!P12))</f>
        <v/>
      </c>
      <c r="Q12">
        <f>IF(原始資料!Q12="","",IF(反向題設定!$C$20="是",反向題設定!$B$2+1-原始資料!Q12,原始資料!Q12))</f>
        <v/>
      </c>
      <c r="R12">
        <f>IF(原始資料!R12="","",IF(反向題設定!$C$21="是",反向題設定!$B$2+1-原始資料!R12,原始資料!R12))</f>
        <v/>
      </c>
      <c r="S12">
        <f>IF(原始資料!S12="","",IF(反向題設定!$C$22="是",反向題設定!$B$2+1-原始資料!S12,原始資料!S12))</f>
        <v/>
      </c>
      <c r="T12">
        <f>IF(原始資料!T12="","",IF(反向題設定!$C$23="是",反向題設定!$B$2+1-原始資料!T12,原始資料!T12))</f>
        <v/>
      </c>
      <c r="U12">
        <f>IF(原始資料!U12="","",IF(反向題設定!$C$24="是",反向題設定!$B$2+1-原始資料!U12,原始資料!U12))</f>
        <v/>
      </c>
      <c r="V12">
        <f>IF(原始資料!V12="","",IF(反向題設定!$C$25="是",反向題設定!$B$2+1-原始資料!V12,原始資料!V12))</f>
        <v/>
      </c>
      <c r="W12">
        <f>IF(原始資料!W12="","",IF(反向題設定!$C$26="是",反向題設定!$B$2+1-原始資料!W12,原始資料!W12))</f>
        <v/>
      </c>
      <c r="X12">
        <f>IF(原始資料!X12="","",IF(反向題設定!$C$27="是",反向題設定!$B$2+1-原始資料!X12,原始資料!X12))</f>
        <v/>
      </c>
      <c r="Y12">
        <f>IF(原始資料!Y12="","",IF(反向題設定!$C$28="是",反向題設定!$B$2+1-原始資料!Y12,原始資料!Y12))</f>
        <v/>
      </c>
      <c r="Z12">
        <f>IF(原始資料!Z12="","",IF(反向題設定!$C$29="是",反向題設定!$B$2+1-原始資料!Z12,原始資料!Z12))</f>
        <v/>
      </c>
      <c r="AA12">
        <f>IF(原始資料!AA12="","",IF(反向題設定!$C$30="是",反向題設定!$B$2+1-原始資料!AA12,原始資料!AA12))</f>
        <v/>
      </c>
      <c r="AB12">
        <f>IF(原始資料!AB12="","",IF(反向題設定!$C$31="是",反向題設定!$B$2+1-原始資料!AB12,原始資料!AB12))</f>
        <v/>
      </c>
      <c r="AC12">
        <f>IF(原始資料!AC12="","",IF(反向題設定!$C$32="是",反向題設定!$B$2+1-原始資料!AC12,原始資料!AC12))</f>
        <v/>
      </c>
      <c r="AD12">
        <f>IF(原始資料!AD12="","",IF(反向題設定!$C$33="是",反向題設定!$B$2+1-原始資料!AD12,原始資料!AD12))</f>
        <v/>
      </c>
      <c r="AE12">
        <f>IF(原始資料!AE12="","",IF(反向題設定!$C$34="是",反向題設定!$B$2+1-原始資料!AE12,原始資料!AE12))</f>
        <v/>
      </c>
      <c r="AF12">
        <f>IF(原始資料!AF12="","",IF(反向題設定!$C$35="是",反向題設定!$B$2+1-原始資料!AF12,原始資料!AF12))</f>
        <v/>
      </c>
      <c r="AG12">
        <f>IF(原始資料!AG12="","",IF(反向題設定!$C$36="是",反向題設定!$B$2+1-原始資料!AG12,原始資料!AG12))</f>
        <v/>
      </c>
      <c r="AH12">
        <f>IF(原始資料!AH12="","",IF(反向題設定!$C$37="是",反向題設定!$B$2+1-原始資料!AH12,原始資料!AH12))</f>
        <v/>
      </c>
      <c r="AI12">
        <f>IF(原始資料!AI12="","",IF(反向題設定!$C$38="是",反向題設定!$B$2+1-原始資料!AI12,原始資料!AI12))</f>
        <v/>
      </c>
      <c r="AJ12">
        <f>IF(原始資料!AJ12="","",IF(反向題設定!$C$39="是",反向題設定!$B$2+1-原始資料!AJ12,原始資料!AJ12))</f>
        <v/>
      </c>
      <c r="AK12">
        <f>IF(原始資料!AK12="","",IF(反向題設定!$C$40="是",反向題設定!$B$2+1-原始資料!AK12,原始資料!AK12))</f>
        <v/>
      </c>
      <c r="AL12">
        <f>IF(原始資料!AL12="","",IF(反向題設定!$C$41="是",反向題設定!$B$2+1-原始資料!AL12,原始資料!AL12))</f>
        <v/>
      </c>
      <c r="AM12">
        <f>IF(原始資料!AM12="","",IF(反向題設定!$C$42="是",反向題設定!$B$2+1-原始資料!AM12,原始資料!AM12))</f>
        <v/>
      </c>
      <c r="AN12">
        <f>IF(原始資料!AN12="","",IF(反向題設定!$C$43="是",反向題設定!$B$2+1-原始資料!AN12,原始資料!AN12))</f>
        <v/>
      </c>
      <c r="AO12">
        <f>IF(原始資料!AO12="","",IF(反向題設定!$C$44="是",反向題設定!$B$2+1-原始資料!AO12,原始資料!AO12))</f>
        <v/>
      </c>
      <c r="AP12">
        <f>IF(COUNT(B12:AO12)=0,"",SUM(B12:AO12))</f>
        <v/>
      </c>
      <c r="AQ12">
        <f>IF(AP12="","",IF(AP12&gt;=項目分析!$C$5,"高",IF(AP12&lt;=項目分析!$C$6,"低","")))</f>
        <v/>
      </c>
    </row>
    <row r="13">
      <c r="A13">
        <f>IF(原始資料!A13="","",原始資料!A13)</f>
        <v/>
      </c>
      <c r="B13">
        <f>IF(原始資料!B13="","",IF(反向題設定!$C$5="是",反向題設定!$B$2+1-原始資料!B13,原始資料!B13))</f>
        <v/>
      </c>
      <c r="C13">
        <f>IF(原始資料!C13="","",IF(反向題設定!$C$6="是",反向題設定!$B$2+1-原始資料!C13,原始資料!C13))</f>
        <v/>
      </c>
      <c r="D13">
        <f>IF(原始資料!D13="","",IF(反向題設定!$C$7="是",反向題設定!$B$2+1-原始資料!D13,原始資料!D13))</f>
        <v/>
      </c>
      <c r="E13">
        <f>IF(原始資料!E13="","",IF(反向題設定!$C$8="是",反向題設定!$B$2+1-原始資料!E13,原始資料!E13))</f>
        <v/>
      </c>
      <c r="F13">
        <f>IF(原始資料!F13="","",IF(反向題設定!$C$9="是",反向題設定!$B$2+1-原始資料!F13,原始資料!F13))</f>
        <v/>
      </c>
      <c r="G13">
        <f>IF(原始資料!G13="","",IF(反向題設定!$C$10="是",反向題設定!$B$2+1-原始資料!G13,原始資料!G13))</f>
        <v/>
      </c>
      <c r="H13">
        <f>IF(原始資料!H13="","",IF(反向題設定!$C$11="是",反向題設定!$B$2+1-原始資料!H13,原始資料!H13))</f>
        <v/>
      </c>
      <c r="I13">
        <f>IF(原始資料!I13="","",IF(反向題設定!$C$12="是",反向題設定!$B$2+1-原始資料!I13,原始資料!I13))</f>
        <v/>
      </c>
      <c r="J13">
        <f>IF(原始資料!J13="","",IF(反向題設定!$C$13="是",反向題設定!$B$2+1-原始資料!J13,原始資料!J13))</f>
        <v/>
      </c>
      <c r="K13">
        <f>IF(原始資料!K13="","",IF(反向題設定!$C$14="是",反向題設定!$B$2+1-原始資料!K13,原始資料!K13))</f>
        <v/>
      </c>
      <c r="L13">
        <f>IF(原始資料!L13="","",IF(反向題設定!$C$15="是",反向題設定!$B$2+1-原始資料!L13,原始資料!L13))</f>
        <v/>
      </c>
      <c r="M13">
        <f>IF(原始資料!M13="","",IF(反向題設定!$C$16="是",反向題設定!$B$2+1-原始資料!M13,原始資料!M13))</f>
        <v/>
      </c>
      <c r="N13">
        <f>IF(原始資料!N13="","",IF(反向題設定!$C$17="是",反向題設定!$B$2+1-原始資料!N13,原始資料!N13))</f>
        <v/>
      </c>
      <c r="O13">
        <f>IF(原始資料!O13="","",IF(反向題設定!$C$18="是",反向題設定!$B$2+1-原始資料!O13,原始資料!O13))</f>
        <v/>
      </c>
      <c r="P13">
        <f>IF(原始資料!P13="","",IF(反向題設定!$C$19="是",反向題設定!$B$2+1-原始資料!P13,原始資料!P13))</f>
        <v/>
      </c>
      <c r="Q13">
        <f>IF(原始資料!Q13="","",IF(反向題設定!$C$20="是",反向題設定!$B$2+1-原始資料!Q13,原始資料!Q13))</f>
        <v/>
      </c>
      <c r="R13">
        <f>IF(原始資料!R13="","",IF(反向題設定!$C$21="是",反向題設定!$B$2+1-原始資料!R13,原始資料!R13))</f>
        <v/>
      </c>
      <c r="S13">
        <f>IF(原始資料!S13="","",IF(反向題設定!$C$22="是",反向題設定!$B$2+1-原始資料!S13,原始資料!S13))</f>
        <v/>
      </c>
      <c r="T13">
        <f>IF(原始資料!T13="","",IF(反向題設定!$C$23="是",反向題設定!$B$2+1-原始資料!T13,原始資料!T13))</f>
        <v/>
      </c>
      <c r="U13">
        <f>IF(原始資料!U13="","",IF(反向題設定!$C$24="是",反向題設定!$B$2+1-原始資料!U13,原始資料!U13))</f>
        <v/>
      </c>
      <c r="V13">
        <f>IF(原始資料!V13="","",IF(反向題設定!$C$25="是",反向題設定!$B$2+1-原始資料!V13,原始資料!V13))</f>
        <v/>
      </c>
      <c r="W13">
        <f>IF(原始資料!W13="","",IF(反向題設定!$C$26="是",反向題設定!$B$2+1-原始資料!W13,原始資料!W13))</f>
        <v/>
      </c>
      <c r="X13">
        <f>IF(原始資料!X13="","",IF(反向題設定!$C$27="是",反向題設定!$B$2+1-原始資料!X13,原始資料!X13))</f>
        <v/>
      </c>
      <c r="Y13">
        <f>IF(原始資料!Y13="","",IF(反向題設定!$C$28="是",反向題設定!$B$2+1-原始資料!Y13,原始資料!Y13))</f>
        <v/>
      </c>
      <c r="Z13">
        <f>IF(原始資料!Z13="","",IF(反向題設定!$C$29="是",反向題設定!$B$2+1-原始資料!Z13,原始資料!Z13))</f>
        <v/>
      </c>
      <c r="AA13">
        <f>IF(原始資料!AA13="","",IF(反向題設定!$C$30="是",反向題設定!$B$2+1-原始資料!AA13,原始資料!AA13))</f>
        <v/>
      </c>
      <c r="AB13">
        <f>IF(原始資料!AB13="","",IF(反向題設定!$C$31="是",反向題設定!$B$2+1-原始資料!AB13,原始資料!AB13))</f>
        <v/>
      </c>
      <c r="AC13">
        <f>IF(原始資料!AC13="","",IF(反向題設定!$C$32="是",反向題設定!$B$2+1-原始資料!AC13,原始資料!AC13))</f>
        <v/>
      </c>
      <c r="AD13">
        <f>IF(原始資料!AD13="","",IF(反向題設定!$C$33="是",反向題設定!$B$2+1-原始資料!AD13,原始資料!AD13))</f>
        <v/>
      </c>
      <c r="AE13">
        <f>IF(原始資料!AE13="","",IF(反向題設定!$C$34="是",反向題設定!$B$2+1-原始資料!AE13,原始資料!AE13))</f>
        <v/>
      </c>
      <c r="AF13">
        <f>IF(原始資料!AF13="","",IF(反向題設定!$C$35="是",反向題設定!$B$2+1-原始資料!AF13,原始資料!AF13))</f>
        <v/>
      </c>
      <c r="AG13">
        <f>IF(原始資料!AG13="","",IF(反向題設定!$C$36="是",反向題設定!$B$2+1-原始資料!AG13,原始資料!AG13))</f>
        <v/>
      </c>
      <c r="AH13">
        <f>IF(原始資料!AH13="","",IF(反向題設定!$C$37="是",反向題設定!$B$2+1-原始資料!AH13,原始資料!AH13))</f>
        <v/>
      </c>
      <c r="AI13">
        <f>IF(原始資料!AI13="","",IF(反向題設定!$C$38="是",反向題設定!$B$2+1-原始資料!AI13,原始資料!AI13))</f>
        <v/>
      </c>
      <c r="AJ13">
        <f>IF(原始資料!AJ13="","",IF(反向題設定!$C$39="是",反向題設定!$B$2+1-原始資料!AJ13,原始資料!AJ13))</f>
        <v/>
      </c>
      <c r="AK13">
        <f>IF(原始資料!AK13="","",IF(反向題設定!$C$40="是",反向題設定!$B$2+1-原始資料!AK13,原始資料!AK13))</f>
        <v/>
      </c>
      <c r="AL13">
        <f>IF(原始資料!AL13="","",IF(反向題設定!$C$41="是",反向題設定!$B$2+1-原始資料!AL13,原始資料!AL13))</f>
        <v/>
      </c>
      <c r="AM13">
        <f>IF(原始資料!AM13="","",IF(反向題設定!$C$42="是",反向題設定!$B$2+1-原始資料!AM13,原始資料!AM13))</f>
        <v/>
      </c>
      <c r="AN13">
        <f>IF(原始資料!AN13="","",IF(反向題設定!$C$43="是",反向題設定!$B$2+1-原始資料!AN13,原始資料!AN13))</f>
        <v/>
      </c>
      <c r="AO13">
        <f>IF(原始資料!AO13="","",IF(反向題設定!$C$44="是",反向題設定!$B$2+1-原始資料!AO13,原始資料!AO13))</f>
        <v/>
      </c>
      <c r="AP13">
        <f>IF(COUNT(B13:AO13)=0,"",SUM(B13:AO13))</f>
        <v/>
      </c>
      <c r="AQ13">
        <f>IF(AP13="","",IF(AP13&gt;=項目分析!$C$5,"高",IF(AP13&lt;=項目分析!$C$6,"低","")))</f>
        <v/>
      </c>
    </row>
    <row r="14">
      <c r="A14">
        <f>IF(原始資料!A14="","",原始資料!A14)</f>
        <v/>
      </c>
      <c r="B14">
        <f>IF(原始資料!B14="","",IF(反向題設定!$C$5="是",反向題設定!$B$2+1-原始資料!B14,原始資料!B14))</f>
        <v/>
      </c>
      <c r="C14">
        <f>IF(原始資料!C14="","",IF(反向題設定!$C$6="是",反向題設定!$B$2+1-原始資料!C14,原始資料!C14))</f>
        <v/>
      </c>
      <c r="D14">
        <f>IF(原始資料!D14="","",IF(反向題設定!$C$7="是",反向題設定!$B$2+1-原始資料!D14,原始資料!D14))</f>
        <v/>
      </c>
      <c r="E14">
        <f>IF(原始資料!E14="","",IF(反向題設定!$C$8="是",反向題設定!$B$2+1-原始資料!E14,原始資料!E14))</f>
        <v/>
      </c>
      <c r="F14">
        <f>IF(原始資料!F14="","",IF(反向題設定!$C$9="是",反向題設定!$B$2+1-原始資料!F14,原始資料!F14))</f>
        <v/>
      </c>
      <c r="G14">
        <f>IF(原始資料!G14="","",IF(反向題設定!$C$10="是",反向題設定!$B$2+1-原始資料!G14,原始資料!G14))</f>
        <v/>
      </c>
      <c r="H14">
        <f>IF(原始資料!H14="","",IF(反向題設定!$C$11="是",反向題設定!$B$2+1-原始資料!H14,原始資料!H14))</f>
        <v/>
      </c>
      <c r="I14">
        <f>IF(原始資料!I14="","",IF(反向題設定!$C$12="是",反向題設定!$B$2+1-原始資料!I14,原始資料!I14))</f>
        <v/>
      </c>
      <c r="J14">
        <f>IF(原始資料!J14="","",IF(反向題設定!$C$13="是",反向題設定!$B$2+1-原始資料!J14,原始資料!J14))</f>
        <v/>
      </c>
      <c r="K14">
        <f>IF(原始資料!K14="","",IF(反向題設定!$C$14="是",反向題設定!$B$2+1-原始資料!K14,原始資料!K14))</f>
        <v/>
      </c>
      <c r="L14">
        <f>IF(原始資料!L14="","",IF(反向題設定!$C$15="是",反向題設定!$B$2+1-原始資料!L14,原始資料!L14))</f>
        <v/>
      </c>
      <c r="M14">
        <f>IF(原始資料!M14="","",IF(反向題設定!$C$16="是",反向題設定!$B$2+1-原始資料!M14,原始資料!M14))</f>
        <v/>
      </c>
      <c r="N14">
        <f>IF(原始資料!N14="","",IF(反向題設定!$C$17="是",反向題設定!$B$2+1-原始資料!N14,原始資料!N14))</f>
        <v/>
      </c>
      <c r="O14">
        <f>IF(原始資料!O14="","",IF(反向題設定!$C$18="是",反向題設定!$B$2+1-原始資料!O14,原始資料!O14))</f>
        <v/>
      </c>
      <c r="P14">
        <f>IF(原始資料!P14="","",IF(反向題設定!$C$19="是",反向題設定!$B$2+1-原始資料!P14,原始資料!P14))</f>
        <v/>
      </c>
      <c r="Q14">
        <f>IF(原始資料!Q14="","",IF(反向題設定!$C$20="是",反向題設定!$B$2+1-原始資料!Q14,原始資料!Q14))</f>
        <v/>
      </c>
      <c r="R14">
        <f>IF(原始資料!R14="","",IF(反向題設定!$C$21="是",反向題設定!$B$2+1-原始資料!R14,原始資料!R14))</f>
        <v/>
      </c>
      <c r="S14">
        <f>IF(原始資料!S14="","",IF(反向題設定!$C$22="是",反向題設定!$B$2+1-原始資料!S14,原始資料!S14))</f>
        <v/>
      </c>
      <c r="T14">
        <f>IF(原始資料!T14="","",IF(反向題設定!$C$23="是",反向題設定!$B$2+1-原始資料!T14,原始資料!T14))</f>
        <v/>
      </c>
      <c r="U14">
        <f>IF(原始資料!U14="","",IF(反向題設定!$C$24="是",反向題設定!$B$2+1-原始資料!U14,原始資料!U14))</f>
        <v/>
      </c>
      <c r="V14">
        <f>IF(原始資料!V14="","",IF(反向題設定!$C$25="是",反向題設定!$B$2+1-原始資料!V14,原始資料!V14))</f>
        <v/>
      </c>
      <c r="W14">
        <f>IF(原始資料!W14="","",IF(反向題設定!$C$26="是",反向題設定!$B$2+1-原始資料!W14,原始資料!W14))</f>
        <v/>
      </c>
      <c r="X14">
        <f>IF(原始資料!X14="","",IF(反向題設定!$C$27="是",反向題設定!$B$2+1-原始資料!X14,原始資料!X14))</f>
        <v/>
      </c>
      <c r="Y14">
        <f>IF(原始資料!Y14="","",IF(反向題設定!$C$28="是",反向題設定!$B$2+1-原始資料!Y14,原始資料!Y14))</f>
        <v/>
      </c>
      <c r="Z14">
        <f>IF(原始資料!Z14="","",IF(反向題設定!$C$29="是",反向題設定!$B$2+1-原始資料!Z14,原始資料!Z14))</f>
        <v/>
      </c>
      <c r="AA14">
        <f>IF(原始資料!AA14="","",IF(反向題設定!$C$30="是",反向題設定!$B$2+1-原始資料!AA14,原始資料!AA14))</f>
        <v/>
      </c>
      <c r="AB14">
        <f>IF(原始資料!AB14="","",IF(反向題設定!$C$31="是",反向題設定!$B$2+1-原始資料!AB14,原始資料!AB14))</f>
        <v/>
      </c>
      <c r="AC14">
        <f>IF(原始資料!AC14="","",IF(反向題設定!$C$32="是",反向題設定!$B$2+1-原始資料!AC14,原始資料!AC14))</f>
        <v/>
      </c>
      <c r="AD14">
        <f>IF(原始資料!AD14="","",IF(反向題設定!$C$33="是",反向題設定!$B$2+1-原始資料!AD14,原始資料!AD14))</f>
        <v/>
      </c>
      <c r="AE14">
        <f>IF(原始資料!AE14="","",IF(反向題設定!$C$34="是",反向題設定!$B$2+1-原始資料!AE14,原始資料!AE14))</f>
        <v/>
      </c>
      <c r="AF14">
        <f>IF(原始資料!AF14="","",IF(反向題設定!$C$35="是",反向題設定!$B$2+1-原始資料!AF14,原始資料!AF14))</f>
        <v/>
      </c>
      <c r="AG14">
        <f>IF(原始資料!AG14="","",IF(反向題設定!$C$36="是",反向題設定!$B$2+1-原始資料!AG14,原始資料!AG14))</f>
        <v/>
      </c>
      <c r="AH14">
        <f>IF(原始資料!AH14="","",IF(反向題設定!$C$37="是",反向題設定!$B$2+1-原始資料!AH14,原始資料!AH14))</f>
        <v/>
      </c>
      <c r="AI14">
        <f>IF(原始資料!AI14="","",IF(反向題設定!$C$38="是",反向題設定!$B$2+1-原始資料!AI14,原始資料!AI14))</f>
        <v/>
      </c>
      <c r="AJ14">
        <f>IF(原始資料!AJ14="","",IF(反向題設定!$C$39="是",反向題設定!$B$2+1-原始資料!AJ14,原始資料!AJ14))</f>
        <v/>
      </c>
      <c r="AK14">
        <f>IF(原始資料!AK14="","",IF(反向題設定!$C$40="是",反向題設定!$B$2+1-原始資料!AK14,原始資料!AK14))</f>
        <v/>
      </c>
      <c r="AL14">
        <f>IF(原始資料!AL14="","",IF(反向題設定!$C$41="是",反向題設定!$B$2+1-原始資料!AL14,原始資料!AL14))</f>
        <v/>
      </c>
      <c r="AM14">
        <f>IF(原始資料!AM14="","",IF(反向題設定!$C$42="是",反向題設定!$B$2+1-原始資料!AM14,原始資料!AM14))</f>
        <v/>
      </c>
      <c r="AN14">
        <f>IF(原始資料!AN14="","",IF(反向題設定!$C$43="是",反向題設定!$B$2+1-原始資料!AN14,原始資料!AN14))</f>
        <v/>
      </c>
      <c r="AO14">
        <f>IF(原始資料!AO14="","",IF(反向題設定!$C$44="是",反向題設定!$B$2+1-原始資料!AO14,原始資料!AO14))</f>
        <v/>
      </c>
      <c r="AP14">
        <f>IF(COUNT(B14:AO14)=0,"",SUM(B14:AO14))</f>
        <v/>
      </c>
      <c r="AQ14">
        <f>IF(AP14="","",IF(AP14&gt;=項目分析!$C$5,"高",IF(AP14&lt;=項目分析!$C$6,"低","")))</f>
        <v/>
      </c>
    </row>
    <row r="15">
      <c r="A15">
        <f>IF(原始資料!A15="","",原始資料!A15)</f>
        <v/>
      </c>
      <c r="B15">
        <f>IF(原始資料!B15="","",IF(反向題設定!$C$5="是",反向題設定!$B$2+1-原始資料!B15,原始資料!B15))</f>
        <v/>
      </c>
      <c r="C15">
        <f>IF(原始資料!C15="","",IF(反向題設定!$C$6="是",反向題設定!$B$2+1-原始資料!C15,原始資料!C15))</f>
        <v/>
      </c>
      <c r="D15">
        <f>IF(原始資料!D15="","",IF(反向題設定!$C$7="是",反向題設定!$B$2+1-原始資料!D15,原始資料!D15))</f>
        <v/>
      </c>
      <c r="E15">
        <f>IF(原始資料!E15="","",IF(反向題設定!$C$8="是",反向題設定!$B$2+1-原始資料!E15,原始資料!E15))</f>
        <v/>
      </c>
      <c r="F15">
        <f>IF(原始資料!F15="","",IF(反向題設定!$C$9="是",反向題設定!$B$2+1-原始資料!F15,原始資料!F15))</f>
        <v/>
      </c>
      <c r="G15">
        <f>IF(原始資料!G15="","",IF(反向題設定!$C$10="是",反向題設定!$B$2+1-原始資料!G15,原始資料!G15))</f>
        <v/>
      </c>
      <c r="H15">
        <f>IF(原始資料!H15="","",IF(反向題設定!$C$11="是",反向題設定!$B$2+1-原始資料!H15,原始資料!H15))</f>
        <v/>
      </c>
      <c r="I15">
        <f>IF(原始資料!I15="","",IF(反向題設定!$C$12="是",反向題設定!$B$2+1-原始資料!I15,原始資料!I15))</f>
        <v/>
      </c>
      <c r="J15">
        <f>IF(原始資料!J15="","",IF(反向題設定!$C$13="是",反向題設定!$B$2+1-原始資料!J15,原始資料!J15))</f>
        <v/>
      </c>
      <c r="K15">
        <f>IF(原始資料!K15="","",IF(反向題設定!$C$14="是",反向題設定!$B$2+1-原始資料!K15,原始資料!K15))</f>
        <v/>
      </c>
      <c r="L15">
        <f>IF(原始資料!L15="","",IF(反向題設定!$C$15="是",反向題設定!$B$2+1-原始資料!L15,原始資料!L15))</f>
        <v/>
      </c>
      <c r="M15">
        <f>IF(原始資料!M15="","",IF(反向題設定!$C$16="是",反向題設定!$B$2+1-原始資料!M15,原始資料!M15))</f>
        <v/>
      </c>
      <c r="N15">
        <f>IF(原始資料!N15="","",IF(反向題設定!$C$17="是",反向題設定!$B$2+1-原始資料!N15,原始資料!N15))</f>
        <v/>
      </c>
      <c r="O15">
        <f>IF(原始資料!O15="","",IF(反向題設定!$C$18="是",反向題設定!$B$2+1-原始資料!O15,原始資料!O15))</f>
        <v/>
      </c>
      <c r="P15">
        <f>IF(原始資料!P15="","",IF(反向題設定!$C$19="是",反向題設定!$B$2+1-原始資料!P15,原始資料!P15))</f>
        <v/>
      </c>
      <c r="Q15">
        <f>IF(原始資料!Q15="","",IF(反向題設定!$C$20="是",反向題設定!$B$2+1-原始資料!Q15,原始資料!Q15))</f>
        <v/>
      </c>
      <c r="R15">
        <f>IF(原始資料!R15="","",IF(反向題設定!$C$21="是",反向題設定!$B$2+1-原始資料!R15,原始資料!R15))</f>
        <v/>
      </c>
      <c r="S15">
        <f>IF(原始資料!S15="","",IF(反向題設定!$C$22="是",反向題設定!$B$2+1-原始資料!S15,原始資料!S15))</f>
        <v/>
      </c>
      <c r="T15">
        <f>IF(原始資料!T15="","",IF(反向題設定!$C$23="是",反向題設定!$B$2+1-原始資料!T15,原始資料!T15))</f>
        <v/>
      </c>
      <c r="U15">
        <f>IF(原始資料!U15="","",IF(反向題設定!$C$24="是",反向題設定!$B$2+1-原始資料!U15,原始資料!U15))</f>
        <v/>
      </c>
      <c r="V15">
        <f>IF(原始資料!V15="","",IF(反向題設定!$C$25="是",反向題設定!$B$2+1-原始資料!V15,原始資料!V15))</f>
        <v/>
      </c>
      <c r="W15">
        <f>IF(原始資料!W15="","",IF(反向題設定!$C$26="是",反向題設定!$B$2+1-原始資料!W15,原始資料!W15))</f>
        <v/>
      </c>
      <c r="X15">
        <f>IF(原始資料!X15="","",IF(反向題設定!$C$27="是",反向題設定!$B$2+1-原始資料!X15,原始資料!X15))</f>
        <v/>
      </c>
      <c r="Y15">
        <f>IF(原始資料!Y15="","",IF(反向題設定!$C$28="是",反向題設定!$B$2+1-原始資料!Y15,原始資料!Y15))</f>
        <v/>
      </c>
      <c r="Z15">
        <f>IF(原始資料!Z15="","",IF(反向題設定!$C$29="是",反向題設定!$B$2+1-原始資料!Z15,原始資料!Z15))</f>
        <v/>
      </c>
      <c r="AA15">
        <f>IF(原始資料!AA15="","",IF(反向題設定!$C$30="是",反向題設定!$B$2+1-原始資料!AA15,原始資料!AA15))</f>
        <v/>
      </c>
      <c r="AB15">
        <f>IF(原始資料!AB15="","",IF(反向題設定!$C$31="是",反向題設定!$B$2+1-原始資料!AB15,原始資料!AB15))</f>
        <v/>
      </c>
      <c r="AC15">
        <f>IF(原始資料!AC15="","",IF(反向題設定!$C$32="是",反向題設定!$B$2+1-原始資料!AC15,原始資料!AC15))</f>
        <v/>
      </c>
      <c r="AD15">
        <f>IF(原始資料!AD15="","",IF(反向題設定!$C$33="是",反向題設定!$B$2+1-原始資料!AD15,原始資料!AD15))</f>
        <v/>
      </c>
      <c r="AE15">
        <f>IF(原始資料!AE15="","",IF(反向題設定!$C$34="是",反向題設定!$B$2+1-原始資料!AE15,原始資料!AE15))</f>
        <v/>
      </c>
      <c r="AF15">
        <f>IF(原始資料!AF15="","",IF(反向題設定!$C$35="是",反向題設定!$B$2+1-原始資料!AF15,原始資料!AF15))</f>
        <v/>
      </c>
      <c r="AG15">
        <f>IF(原始資料!AG15="","",IF(反向題設定!$C$36="是",反向題設定!$B$2+1-原始資料!AG15,原始資料!AG15))</f>
        <v/>
      </c>
      <c r="AH15">
        <f>IF(原始資料!AH15="","",IF(反向題設定!$C$37="是",反向題設定!$B$2+1-原始資料!AH15,原始資料!AH15))</f>
        <v/>
      </c>
      <c r="AI15">
        <f>IF(原始資料!AI15="","",IF(反向題設定!$C$38="是",反向題設定!$B$2+1-原始資料!AI15,原始資料!AI15))</f>
        <v/>
      </c>
      <c r="AJ15">
        <f>IF(原始資料!AJ15="","",IF(反向題設定!$C$39="是",反向題設定!$B$2+1-原始資料!AJ15,原始資料!AJ15))</f>
        <v/>
      </c>
      <c r="AK15">
        <f>IF(原始資料!AK15="","",IF(反向題設定!$C$40="是",反向題設定!$B$2+1-原始資料!AK15,原始資料!AK15))</f>
        <v/>
      </c>
      <c r="AL15">
        <f>IF(原始資料!AL15="","",IF(反向題設定!$C$41="是",反向題設定!$B$2+1-原始資料!AL15,原始資料!AL15))</f>
        <v/>
      </c>
      <c r="AM15">
        <f>IF(原始資料!AM15="","",IF(反向題設定!$C$42="是",反向題設定!$B$2+1-原始資料!AM15,原始資料!AM15))</f>
        <v/>
      </c>
      <c r="AN15">
        <f>IF(原始資料!AN15="","",IF(反向題設定!$C$43="是",反向題設定!$B$2+1-原始資料!AN15,原始資料!AN15))</f>
        <v/>
      </c>
      <c r="AO15">
        <f>IF(原始資料!AO15="","",IF(反向題設定!$C$44="是",反向題設定!$B$2+1-原始資料!AO15,原始資料!AO15))</f>
        <v/>
      </c>
      <c r="AP15">
        <f>IF(COUNT(B15:AO15)=0,"",SUM(B15:AO15))</f>
        <v/>
      </c>
      <c r="AQ15">
        <f>IF(AP15="","",IF(AP15&gt;=項目分析!$C$5,"高",IF(AP15&lt;=項目分析!$C$6,"低","")))</f>
        <v/>
      </c>
    </row>
    <row r="16">
      <c r="A16">
        <f>IF(原始資料!A16="","",原始資料!A16)</f>
        <v/>
      </c>
      <c r="B16">
        <f>IF(原始資料!B16="","",IF(反向題設定!$C$5="是",反向題設定!$B$2+1-原始資料!B16,原始資料!B16))</f>
        <v/>
      </c>
      <c r="C16">
        <f>IF(原始資料!C16="","",IF(反向題設定!$C$6="是",反向題設定!$B$2+1-原始資料!C16,原始資料!C16))</f>
        <v/>
      </c>
      <c r="D16">
        <f>IF(原始資料!D16="","",IF(反向題設定!$C$7="是",反向題設定!$B$2+1-原始資料!D16,原始資料!D16))</f>
        <v/>
      </c>
      <c r="E16">
        <f>IF(原始資料!E16="","",IF(反向題設定!$C$8="是",反向題設定!$B$2+1-原始資料!E16,原始資料!E16))</f>
        <v/>
      </c>
      <c r="F16">
        <f>IF(原始資料!F16="","",IF(反向題設定!$C$9="是",反向題設定!$B$2+1-原始資料!F16,原始資料!F16))</f>
        <v/>
      </c>
      <c r="G16">
        <f>IF(原始資料!G16="","",IF(反向題設定!$C$10="是",反向題設定!$B$2+1-原始資料!G16,原始資料!G16))</f>
        <v/>
      </c>
      <c r="H16">
        <f>IF(原始資料!H16="","",IF(反向題設定!$C$11="是",反向題設定!$B$2+1-原始資料!H16,原始資料!H16))</f>
        <v/>
      </c>
      <c r="I16">
        <f>IF(原始資料!I16="","",IF(反向題設定!$C$12="是",反向題設定!$B$2+1-原始資料!I16,原始資料!I16))</f>
        <v/>
      </c>
      <c r="J16">
        <f>IF(原始資料!J16="","",IF(反向題設定!$C$13="是",反向題設定!$B$2+1-原始資料!J16,原始資料!J16))</f>
        <v/>
      </c>
      <c r="K16">
        <f>IF(原始資料!K16="","",IF(反向題設定!$C$14="是",反向題設定!$B$2+1-原始資料!K16,原始資料!K16))</f>
        <v/>
      </c>
      <c r="L16">
        <f>IF(原始資料!L16="","",IF(反向題設定!$C$15="是",反向題設定!$B$2+1-原始資料!L16,原始資料!L16))</f>
        <v/>
      </c>
      <c r="M16">
        <f>IF(原始資料!M16="","",IF(反向題設定!$C$16="是",反向題設定!$B$2+1-原始資料!M16,原始資料!M16))</f>
        <v/>
      </c>
      <c r="N16">
        <f>IF(原始資料!N16="","",IF(反向題設定!$C$17="是",反向題設定!$B$2+1-原始資料!N16,原始資料!N16))</f>
        <v/>
      </c>
      <c r="O16">
        <f>IF(原始資料!O16="","",IF(反向題設定!$C$18="是",反向題設定!$B$2+1-原始資料!O16,原始資料!O16))</f>
        <v/>
      </c>
      <c r="P16">
        <f>IF(原始資料!P16="","",IF(反向題設定!$C$19="是",反向題設定!$B$2+1-原始資料!P16,原始資料!P16))</f>
        <v/>
      </c>
      <c r="Q16">
        <f>IF(原始資料!Q16="","",IF(反向題設定!$C$20="是",反向題設定!$B$2+1-原始資料!Q16,原始資料!Q16))</f>
        <v/>
      </c>
      <c r="R16">
        <f>IF(原始資料!R16="","",IF(反向題設定!$C$21="是",反向題設定!$B$2+1-原始資料!R16,原始資料!R16))</f>
        <v/>
      </c>
      <c r="S16">
        <f>IF(原始資料!S16="","",IF(反向題設定!$C$22="是",反向題設定!$B$2+1-原始資料!S16,原始資料!S16))</f>
        <v/>
      </c>
      <c r="T16">
        <f>IF(原始資料!T16="","",IF(反向題設定!$C$23="是",反向題設定!$B$2+1-原始資料!T16,原始資料!T16))</f>
        <v/>
      </c>
      <c r="U16">
        <f>IF(原始資料!U16="","",IF(反向題設定!$C$24="是",反向題設定!$B$2+1-原始資料!U16,原始資料!U16))</f>
        <v/>
      </c>
      <c r="V16">
        <f>IF(原始資料!V16="","",IF(反向題設定!$C$25="是",反向題設定!$B$2+1-原始資料!V16,原始資料!V16))</f>
        <v/>
      </c>
      <c r="W16">
        <f>IF(原始資料!W16="","",IF(反向題設定!$C$26="是",反向題設定!$B$2+1-原始資料!W16,原始資料!W16))</f>
        <v/>
      </c>
      <c r="X16">
        <f>IF(原始資料!X16="","",IF(反向題設定!$C$27="是",反向題設定!$B$2+1-原始資料!X16,原始資料!X16))</f>
        <v/>
      </c>
      <c r="Y16">
        <f>IF(原始資料!Y16="","",IF(反向題設定!$C$28="是",反向題設定!$B$2+1-原始資料!Y16,原始資料!Y16))</f>
        <v/>
      </c>
      <c r="Z16">
        <f>IF(原始資料!Z16="","",IF(反向題設定!$C$29="是",反向題設定!$B$2+1-原始資料!Z16,原始資料!Z16))</f>
        <v/>
      </c>
      <c r="AA16">
        <f>IF(原始資料!AA16="","",IF(反向題設定!$C$30="是",反向題設定!$B$2+1-原始資料!AA16,原始資料!AA16))</f>
        <v/>
      </c>
      <c r="AB16">
        <f>IF(原始資料!AB16="","",IF(反向題設定!$C$31="是",反向題設定!$B$2+1-原始資料!AB16,原始資料!AB16))</f>
        <v/>
      </c>
      <c r="AC16">
        <f>IF(原始資料!AC16="","",IF(反向題設定!$C$32="是",反向題設定!$B$2+1-原始資料!AC16,原始資料!AC16))</f>
        <v/>
      </c>
      <c r="AD16">
        <f>IF(原始資料!AD16="","",IF(反向題設定!$C$33="是",反向題設定!$B$2+1-原始資料!AD16,原始資料!AD16))</f>
        <v/>
      </c>
      <c r="AE16">
        <f>IF(原始資料!AE16="","",IF(反向題設定!$C$34="是",反向題設定!$B$2+1-原始資料!AE16,原始資料!AE16))</f>
        <v/>
      </c>
      <c r="AF16">
        <f>IF(原始資料!AF16="","",IF(反向題設定!$C$35="是",反向題設定!$B$2+1-原始資料!AF16,原始資料!AF16))</f>
        <v/>
      </c>
      <c r="AG16">
        <f>IF(原始資料!AG16="","",IF(反向題設定!$C$36="是",反向題設定!$B$2+1-原始資料!AG16,原始資料!AG16))</f>
        <v/>
      </c>
      <c r="AH16">
        <f>IF(原始資料!AH16="","",IF(反向題設定!$C$37="是",反向題設定!$B$2+1-原始資料!AH16,原始資料!AH16))</f>
        <v/>
      </c>
      <c r="AI16">
        <f>IF(原始資料!AI16="","",IF(反向題設定!$C$38="是",反向題設定!$B$2+1-原始資料!AI16,原始資料!AI16))</f>
        <v/>
      </c>
      <c r="AJ16">
        <f>IF(原始資料!AJ16="","",IF(反向題設定!$C$39="是",反向題設定!$B$2+1-原始資料!AJ16,原始資料!AJ16))</f>
        <v/>
      </c>
      <c r="AK16">
        <f>IF(原始資料!AK16="","",IF(反向題設定!$C$40="是",反向題設定!$B$2+1-原始資料!AK16,原始資料!AK16))</f>
        <v/>
      </c>
      <c r="AL16">
        <f>IF(原始資料!AL16="","",IF(反向題設定!$C$41="是",反向題設定!$B$2+1-原始資料!AL16,原始資料!AL16))</f>
        <v/>
      </c>
      <c r="AM16">
        <f>IF(原始資料!AM16="","",IF(反向題設定!$C$42="是",反向題設定!$B$2+1-原始資料!AM16,原始資料!AM16))</f>
        <v/>
      </c>
      <c r="AN16">
        <f>IF(原始資料!AN16="","",IF(反向題設定!$C$43="是",反向題設定!$B$2+1-原始資料!AN16,原始資料!AN16))</f>
        <v/>
      </c>
      <c r="AO16">
        <f>IF(原始資料!AO16="","",IF(反向題設定!$C$44="是",反向題設定!$B$2+1-原始資料!AO16,原始資料!AO16))</f>
        <v/>
      </c>
      <c r="AP16">
        <f>IF(COUNT(B16:AO16)=0,"",SUM(B16:AO16))</f>
        <v/>
      </c>
      <c r="AQ16">
        <f>IF(AP16="","",IF(AP16&gt;=項目分析!$C$5,"高",IF(AP16&lt;=項目分析!$C$6,"低","")))</f>
        <v/>
      </c>
    </row>
    <row r="17">
      <c r="A17">
        <f>IF(原始資料!A17="","",原始資料!A17)</f>
        <v/>
      </c>
      <c r="B17">
        <f>IF(原始資料!B17="","",IF(反向題設定!$C$5="是",反向題設定!$B$2+1-原始資料!B17,原始資料!B17))</f>
        <v/>
      </c>
      <c r="C17">
        <f>IF(原始資料!C17="","",IF(反向題設定!$C$6="是",反向題設定!$B$2+1-原始資料!C17,原始資料!C17))</f>
        <v/>
      </c>
      <c r="D17">
        <f>IF(原始資料!D17="","",IF(反向題設定!$C$7="是",反向題設定!$B$2+1-原始資料!D17,原始資料!D17))</f>
        <v/>
      </c>
      <c r="E17">
        <f>IF(原始資料!E17="","",IF(反向題設定!$C$8="是",反向題設定!$B$2+1-原始資料!E17,原始資料!E17))</f>
        <v/>
      </c>
      <c r="F17">
        <f>IF(原始資料!F17="","",IF(反向題設定!$C$9="是",反向題設定!$B$2+1-原始資料!F17,原始資料!F17))</f>
        <v/>
      </c>
      <c r="G17">
        <f>IF(原始資料!G17="","",IF(反向題設定!$C$10="是",反向題設定!$B$2+1-原始資料!G17,原始資料!G17))</f>
        <v/>
      </c>
      <c r="H17">
        <f>IF(原始資料!H17="","",IF(反向題設定!$C$11="是",反向題設定!$B$2+1-原始資料!H17,原始資料!H17))</f>
        <v/>
      </c>
      <c r="I17">
        <f>IF(原始資料!I17="","",IF(反向題設定!$C$12="是",反向題設定!$B$2+1-原始資料!I17,原始資料!I17))</f>
        <v/>
      </c>
      <c r="J17">
        <f>IF(原始資料!J17="","",IF(反向題設定!$C$13="是",反向題設定!$B$2+1-原始資料!J17,原始資料!J17))</f>
        <v/>
      </c>
      <c r="K17">
        <f>IF(原始資料!K17="","",IF(反向題設定!$C$14="是",反向題設定!$B$2+1-原始資料!K17,原始資料!K17))</f>
        <v/>
      </c>
      <c r="L17">
        <f>IF(原始資料!L17="","",IF(反向題設定!$C$15="是",反向題設定!$B$2+1-原始資料!L17,原始資料!L17))</f>
        <v/>
      </c>
      <c r="M17">
        <f>IF(原始資料!M17="","",IF(反向題設定!$C$16="是",反向題設定!$B$2+1-原始資料!M17,原始資料!M17))</f>
        <v/>
      </c>
      <c r="N17">
        <f>IF(原始資料!N17="","",IF(反向題設定!$C$17="是",反向題設定!$B$2+1-原始資料!N17,原始資料!N17))</f>
        <v/>
      </c>
      <c r="O17">
        <f>IF(原始資料!O17="","",IF(反向題設定!$C$18="是",反向題設定!$B$2+1-原始資料!O17,原始資料!O17))</f>
        <v/>
      </c>
      <c r="P17">
        <f>IF(原始資料!P17="","",IF(反向題設定!$C$19="是",反向題設定!$B$2+1-原始資料!P17,原始資料!P17))</f>
        <v/>
      </c>
      <c r="Q17">
        <f>IF(原始資料!Q17="","",IF(反向題設定!$C$20="是",反向題設定!$B$2+1-原始資料!Q17,原始資料!Q17))</f>
        <v/>
      </c>
      <c r="R17">
        <f>IF(原始資料!R17="","",IF(反向題設定!$C$21="是",反向題設定!$B$2+1-原始資料!R17,原始資料!R17))</f>
        <v/>
      </c>
      <c r="S17">
        <f>IF(原始資料!S17="","",IF(反向題設定!$C$22="是",反向題設定!$B$2+1-原始資料!S17,原始資料!S17))</f>
        <v/>
      </c>
      <c r="T17">
        <f>IF(原始資料!T17="","",IF(反向題設定!$C$23="是",反向題設定!$B$2+1-原始資料!T17,原始資料!T17))</f>
        <v/>
      </c>
      <c r="U17">
        <f>IF(原始資料!U17="","",IF(反向題設定!$C$24="是",反向題設定!$B$2+1-原始資料!U17,原始資料!U17))</f>
        <v/>
      </c>
      <c r="V17">
        <f>IF(原始資料!V17="","",IF(反向題設定!$C$25="是",反向題設定!$B$2+1-原始資料!V17,原始資料!V17))</f>
        <v/>
      </c>
      <c r="W17">
        <f>IF(原始資料!W17="","",IF(反向題設定!$C$26="是",反向題設定!$B$2+1-原始資料!W17,原始資料!W17))</f>
        <v/>
      </c>
      <c r="X17">
        <f>IF(原始資料!X17="","",IF(反向題設定!$C$27="是",反向題設定!$B$2+1-原始資料!X17,原始資料!X17))</f>
        <v/>
      </c>
      <c r="Y17">
        <f>IF(原始資料!Y17="","",IF(反向題設定!$C$28="是",反向題設定!$B$2+1-原始資料!Y17,原始資料!Y17))</f>
        <v/>
      </c>
      <c r="Z17">
        <f>IF(原始資料!Z17="","",IF(反向題設定!$C$29="是",反向題設定!$B$2+1-原始資料!Z17,原始資料!Z17))</f>
        <v/>
      </c>
      <c r="AA17">
        <f>IF(原始資料!AA17="","",IF(反向題設定!$C$30="是",反向題設定!$B$2+1-原始資料!AA17,原始資料!AA17))</f>
        <v/>
      </c>
      <c r="AB17">
        <f>IF(原始資料!AB17="","",IF(反向題設定!$C$31="是",反向題設定!$B$2+1-原始資料!AB17,原始資料!AB17))</f>
        <v/>
      </c>
      <c r="AC17">
        <f>IF(原始資料!AC17="","",IF(反向題設定!$C$32="是",反向題設定!$B$2+1-原始資料!AC17,原始資料!AC17))</f>
        <v/>
      </c>
      <c r="AD17">
        <f>IF(原始資料!AD17="","",IF(反向題設定!$C$33="是",反向題設定!$B$2+1-原始資料!AD17,原始資料!AD17))</f>
        <v/>
      </c>
      <c r="AE17">
        <f>IF(原始資料!AE17="","",IF(反向題設定!$C$34="是",反向題設定!$B$2+1-原始資料!AE17,原始資料!AE17))</f>
        <v/>
      </c>
      <c r="AF17">
        <f>IF(原始資料!AF17="","",IF(反向題設定!$C$35="是",反向題設定!$B$2+1-原始資料!AF17,原始資料!AF17))</f>
        <v/>
      </c>
      <c r="AG17">
        <f>IF(原始資料!AG17="","",IF(反向題設定!$C$36="是",反向題設定!$B$2+1-原始資料!AG17,原始資料!AG17))</f>
        <v/>
      </c>
      <c r="AH17">
        <f>IF(原始資料!AH17="","",IF(反向題設定!$C$37="是",反向題設定!$B$2+1-原始資料!AH17,原始資料!AH17))</f>
        <v/>
      </c>
      <c r="AI17">
        <f>IF(原始資料!AI17="","",IF(反向題設定!$C$38="是",反向題設定!$B$2+1-原始資料!AI17,原始資料!AI17))</f>
        <v/>
      </c>
      <c r="AJ17">
        <f>IF(原始資料!AJ17="","",IF(反向題設定!$C$39="是",反向題設定!$B$2+1-原始資料!AJ17,原始資料!AJ17))</f>
        <v/>
      </c>
      <c r="AK17">
        <f>IF(原始資料!AK17="","",IF(反向題設定!$C$40="是",反向題設定!$B$2+1-原始資料!AK17,原始資料!AK17))</f>
        <v/>
      </c>
      <c r="AL17">
        <f>IF(原始資料!AL17="","",IF(反向題設定!$C$41="是",反向題設定!$B$2+1-原始資料!AL17,原始資料!AL17))</f>
        <v/>
      </c>
      <c r="AM17">
        <f>IF(原始資料!AM17="","",IF(反向題設定!$C$42="是",反向題設定!$B$2+1-原始資料!AM17,原始資料!AM17))</f>
        <v/>
      </c>
      <c r="AN17">
        <f>IF(原始資料!AN17="","",IF(反向題設定!$C$43="是",反向題設定!$B$2+1-原始資料!AN17,原始資料!AN17))</f>
        <v/>
      </c>
      <c r="AO17">
        <f>IF(原始資料!AO17="","",IF(反向題設定!$C$44="是",反向題設定!$B$2+1-原始資料!AO17,原始資料!AO17))</f>
        <v/>
      </c>
      <c r="AP17">
        <f>IF(COUNT(B17:AO17)=0,"",SUM(B17:AO17))</f>
        <v/>
      </c>
      <c r="AQ17">
        <f>IF(AP17="","",IF(AP17&gt;=項目分析!$C$5,"高",IF(AP17&lt;=項目分析!$C$6,"低","")))</f>
        <v/>
      </c>
    </row>
    <row r="18">
      <c r="A18">
        <f>IF(原始資料!A18="","",原始資料!A18)</f>
        <v/>
      </c>
      <c r="B18">
        <f>IF(原始資料!B18="","",IF(反向題設定!$C$5="是",反向題設定!$B$2+1-原始資料!B18,原始資料!B18))</f>
        <v/>
      </c>
      <c r="C18">
        <f>IF(原始資料!C18="","",IF(反向題設定!$C$6="是",反向題設定!$B$2+1-原始資料!C18,原始資料!C18))</f>
        <v/>
      </c>
      <c r="D18">
        <f>IF(原始資料!D18="","",IF(反向題設定!$C$7="是",反向題設定!$B$2+1-原始資料!D18,原始資料!D18))</f>
        <v/>
      </c>
      <c r="E18">
        <f>IF(原始資料!E18="","",IF(反向題設定!$C$8="是",反向題設定!$B$2+1-原始資料!E18,原始資料!E18))</f>
        <v/>
      </c>
      <c r="F18">
        <f>IF(原始資料!F18="","",IF(反向題設定!$C$9="是",反向題設定!$B$2+1-原始資料!F18,原始資料!F18))</f>
        <v/>
      </c>
      <c r="G18">
        <f>IF(原始資料!G18="","",IF(反向題設定!$C$10="是",反向題設定!$B$2+1-原始資料!G18,原始資料!G18))</f>
        <v/>
      </c>
      <c r="H18">
        <f>IF(原始資料!H18="","",IF(反向題設定!$C$11="是",反向題設定!$B$2+1-原始資料!H18,原始資料!H18))</f>
        <v/>
      </c>
      <c r="I18">
        <f>IF(原始資料!I18="","",IF(反向題設定!$C$12="是",反向題設定!$B$2+1-原始資料!I18,原始資料!I18))</f>
        <v/>
      </c>
      <c r="J18">
        <f>IF(原始資料!J18="","",IF(反向題設定!$C$13="是",反向題設定!$B$2+1-原始資料!J18,原始資料!J18))</f>
        <v/>
      </c>
      <c r="K18">
        <f>IF(原始資料!K18="","",IF(反向題設定!$C$14="是",反向題設定!$B$2+1-原始資料!K18,原始資料!K18))</f>
        <v/>
      </c>
      <c r="L18">
        <f>IF(原始資料!L18="","",IF(反向題設定!$C$15="是",反向題設定!$B$2+1-原始資料!L18,原始資料!L18))</f>
        <v/>
      </c>
      <c r="M18">
        <f>IF(原始資料!M18="","",IF(反向題設定!$C$16="是",反向題設定!$B$2+1-原始資料!M18,原始資料!M18))</f>
        <v/>
      </c>
      <c r="N18">
        <f>IF(原始資料!N18="","",IF(反向題設定!$C$17="是",反向題設定!$B$2+1-原始資料!N18,原始資料!N18))</f>
        <v/>
      </c>
      <c r="O18">
        <f>IF(原始資料!O18="","",IF(反向題設定!$C$18="是",反向題設定!$B$2+1-原始資料!O18,原始資料!O18))</f>
        <v/>
      </c>
      <c r="P18">
        <f>IF(原始資料!P18="","",IF(反向題設定!$C$19="是",反向題設定!$B$2+1-原始資料!P18,原始資料!P18))</f>
        <v/>
      </c>
      <c r="Q18">
        <f>IF(原始資料!Q18="","",IF(反向題設定!$C$20="是",反向題設定!$B$2+1-原始資料!Q18,原始資料!Q18))</f>
        <v/>
      </c>
      <c r="R18">
        <f>IF(原始資料!R18="","",IF(反向題設定!$C$21="是",反向題設定!$B$2+1-原始資料!R18,原始資料!R18))</f>
        <v/>
      </c>
      <c r="S18">
        <f>IF(原始資料!S18="","",IF(反向題設定!$C$22="是",反向題設定!$B$2+1-原始資料!S18,原始資料!S18))</f>
        <v/>
      </c>
      <c r="T18">
        <f>IF(原始資料!T18="","",IF(反向題設定!$C$23="是",反向題設定!$B$2+1-原始資料!T18,原始資料!T18))</f>
        <v/>
      </c>
      <c r="U18">
        <f>IF(原始資料!U18="","",IF(反向題設定!$C$24="是",反向題設定!$B$2+1-原始資料!U18,原始資料!U18))</f>
        <v/>
      </c>
      <c r="V18">
        <f>IF(原始資料!V18="","",IF(反向題設定!$C$25="是",反向題設定!$B$2+1-原始資料!V18,原始資料!V18))</f>
        <v/>
      </c>
      <c r="W18">
        <f>IF(原始資料!W18="","",IF(反向題設定!$C$26="是",反向題設定!$B$2+1-原始資料!W18,原始資料!W18))</f>
        <v/>
      </c>
      <c r="X18">
        <f>IF(原始資料!X18="","",IF(反向題設定!$C$27="是",反向題設定!$B$2+1-原始資料!X18,原始資料!X18))</f>
        <v/>
      </c>
      <c r="Y18">
        <f>IF(原始資料!Y18="","",IF(反向題設定!$C$28="是",反向題設定!$B$2+1-原始資料!Y18,原始資料!Y18))</f>
        <v/>
      </c>
      <c r="Z18">
        <f>IF(原始資料!Z18="","",IF(反向題設定!$C$29="是",反向題設定!$B$2+1-原始資料!Z18,原始資料!Z18))</f>
        <v/>
      </c>
      <c r="AA18">
        <f>IF(原始資料!AA18="","",IF(反向題設定!$C$30="是",反向題設定!$B$2+1-原始資料!AA18,原始資料!AA18))</f>
        <v/>
      </c>
      <c r="AB18">
        <f>IF(原始資料!AB18="","",IF(反向題設定!$C$31="是",反向題設定!$B$2+1-原始資料!AB18,原始資料!AB18))</f>
        <v/>
      </c>
      <c r="AC18">
        <f>IF(原始資料!AC18="","",IF(反向題設定!$C$32="是",反向題設定!$B$2+1-原始資料!AC18,原始資料!AC18))</f>
        <v/>
      </c>
      <c r="AD18">
        <f>IF(原始資料!AD18="","",IF(反向題設定!$C$33="是",反向題設定!$B$2+1-原始資料!AD18,原始資料!AD18))</f>
        <v/>
      </c>
      <c r="AE18">
        <f>IF(原始資料!AE18="","",IF(反向題設定!$C$34="是",反向題設定!$B$2+1-原始資料!AE18,原始資料!AE18))</f>
        <v/>
      </c>
      <c r="AF18">
        <f>IF(原始資料!AF18="","",IF(反向題設定!$C$35="是",反向題設定!$B$2+1-原始資料!AF18,原始資料!AF18))</f>
        <v/>
      </c>
      <c r="AG18">
        <f>IF(原始資料!AG18="","",IF(反向題設定!$C$36="是",反向題設定!$B$2+1-原始資料!AG18,原始資料!AG18))</f>
        <v/>
      </c>
      <c r="AH18">
        <f>IF(原始資料!AH18="","",IF(反向題設定!$C$37="是",反向題設定!$B$2+1-原始資料!AH18,原始資料!AH18))</f>
        <v/>
      </c>
      <c r="AI18">
        <f>IF(原始資料!AI18="","",IF(反向題設定!$C$38="是",反向題設定!$B$2+1-原始資料!AI18,原始資料!AI18))</f>
        <v/>
      </c>
      <c r="AJ18">
        <f>IF(原始資料!AJ18="","",IF(反向題設定!$C$39="是",反向題設定!$B$2+1-原始資料!AJ18,原始資料!AJ18))</f>
        <v/>
      </c>
      <c r="AK18">
        <f>IF(原始資料!AK18="","",IF(反向題設定!$C$40="是",反向題設定!$B$2+1-原始資料!AK18,原始資料!AK18))</f>
        <v/>
      </c>
      <c r="AL18">
        <f>IF(原始資料!AL18="","",IF(反向題設定!$C$41="是",反向題設定!$B$2+1-原始資料!AL18,原始資料!AL18))</f>
        <v/>
      </c>
      <c r="AM18">
        <f>IF(原始資料!AM18="","",IF(反向題設定!$C$42="是",反向題設定!$B$2+1-原始資料!AM18,原始資料!AM18))</f>
        <v/>
      </c>
      <c r="AN18">
        <f>IF(原始資料!AN18="","",IF(反向題設定!$C$43="是",反向題設定!$B$2+1-原始資料!AN18,原始資料!AN18))</f>
        <v/>
      </c>
      <c r="AO18">
        <f>IF(原始資料!AO18="","",IF(反向題設定!$C$44="是",反向題設定!$B$2+1-原始資料!AO18,原始資料!AO18))</f>
        <v/>
      </c>
      <c r="AP18">
        <f>IF(COUNT(B18:AO18)=0,"",SUM(B18:AO18))</f>
        <v/>
      </c>
      <c r="AQ18">
        <f>IF(AP18="","",IF(AP18&gt;=項目分析!$C$5,"高",IF(AP18&lt;=項目分析!$C$6,"低","")))</f>
        <v/>
      </c>
    </row>
    <row r="19">
      <c r="A19">
        <f>IF(原始資料!A19="","",原始資料!A19)</f>
        <v/>
      </c>
      <c r="B19">
        <f>IF(原始資料!B19="","",IF(反向題設定!$C$5="是",反向題設定!$B$2+1-原始資料!B19,原始資料!B19))</f>
        <v/>
      </c>
      <c r="C19">
        <f>IF(原始資料!C19="","",IF(反向題設定!$C$6="是",反向題設定!$B$2+1-原始資料!C19,原始資料!C19))</f>
        <v/>
      </c>
      <c r="D19">
        <f>IF(原始資料!D19="","",IF(反向題設定!$C$7="是",反向題設定!$B$2+1-原始資料!D19,原始資料!D19))</f>
        <v/>
      </c>
      <c r="E19">
        <f>IF(原始資料!E19="","",IF(反向題設定!$C$8="是",反向題設定!$B$2+1-原始資料!E19,原始資料!E19))</f>
        <v/>
      </c>
      <c r="F19">
        <f>IF(原始資料!F19="","",IF(反向題設定!$C$9="是",反向題設定!$B$2+1-原始資料!F19,原始資料!F19))</f>
        <v/>
      </c>
      <c r="G19">
        <f>IF(原始資料!G19="","",IF(反向題設定!$C$10="是",反向題設定!$B$2+1-原始資料!G19,原始資料!G19))</f>
        <v/>
      </c>
      <c r="H19">
        <f>IF(原始資料!H19="","",IF(反向題設定!$C$11="是",反向題設定!$B$2+1-原始資料!H19,原始資料!H19))</f>
        <v/>
      </c>
      <c r="I19">
        <f>IF(原始資料!I19="","",IF(反向題設定!$C$12="是",反向題設定!$B$2+1-原始資料!I19,原始資料!I19))</f>
        <v/>
      </c>
      <c r="J19">
        <f>IF(原始資料!J19="","",IF(反向題設定!$C$13="是",反向題設定!$B$2+1-原始資料!J19,原始資料!J19))</f>
        <v/>
      </c>
      <c r="K19">
        <f>IF(原始資料!K19="","",IF(反向題設定!$C$14="是",反向題設定!$B$2+1-原始資料!K19,原始資料!K19))</f>
        <v/>
      </c>
      <c r="L19">
        <f>IF(原始資料!L19="","",IF(反向題設定!$C$15="是",反向題設定!$B$2+1-原始資料!L19,原始資料!L19))</f>
        <v/>
      </c>
      <c r="M19">
        <f>IF(原始資料!M19="","",IF(反向題設定!$C$16="是",反向題設定!$B$2+1-原始資料!M19,原始資料!M19))</f>
        <v/>
      </c>
      <c r="N19">
        <f>IF(原始資料!N19="","",IF(反向題設定!$C$17="是",反向題設定!$B$2+1-原始資料!N19,原始資料!N19))</f>
        <v/>
      </c>
      <c r="O19">
        <f>IF(原始資料!O19="","",IF(反向題設定!$C$18="是",反向題設定!$B$2+1-原始資料!O19,原始資料!O19))</f>
        <v/>
      </c>
      <c r="P19">
        <f>IF(原始資料!P19="","",IF(反向題設定!$C$19="是",反向題設定!$B$2+1-原始資料!P19,原始資料!P19))</f>
        <v/>
      </c>
      <c r="Q19">
        <f>IF(原始資料!Q19="","",IF(反向題設定!$C$20="是",反向題設定!$B$2+1-原始資料!Q19,原始資料!Q19))</f>
        <v/>
      </c>
      <c r="R19">
        <f>IF(原始資料!R19="","",IF(反向題設定!$C$21="是",反向題設定!$B$2+1-原始資料!R19,原始資料!R19))</f>
        <v/>
      </c>
      <c r="S19">
        <f>IF(原始資料!S19="","",IF(反向題設定!$C$22="是",反向題設定!$B$2+1-原始資料!S19,原始資料!S19))</f>
        <v/>
      </c>
      <c r="T19">
        <f>IF(原始資料!T19="","",IF(反向題設定!$C$23="是",反向題設定!$B$2+1-原始資料!T19,原始資料!T19))</f>
        <v/>
      </c>
      <c r="U19">
        <f>IF(原始資料!U19="","",IF(反向題設定!$C$24="是",反向題設定!$B$2+1-原始資料!U19,原始資料!U19))</f>
        <v/>
      </c>
      <c r="V19">
        <f>IF(原始資料!V19="","",IF(反向題設定!$C$25="是",反向題設定!$B$2+1-原始資料!V19,原始資料!V19))</f>
        <v/>
      </c>
      <c r="W19">
        <f>IF(原始資料!W19="","",IF(反向題設定!$C$26="是",反向題設定!$B$2+1-原始資料!W19,原始資料!W19))</f>
        <v/>
      </c>
      <c r="X19">
        <f>IF(原始資料!X19="","",IF(反向題設定!$C$27="是",反向題設定!$B$2+1-原始資料!X19,原始資料!X19))</f>
        <v/>
      </c>
      <c r="Y19">
        <f>IF(原始資料!Y19="","",IF(反向題設定!$C$28="是",反向題設定!$B$2+1-原始資料!Y19,原始資料!Y19))</f>
        <v/>
      </c>
      <c r="Z19">
        <f>IF(原始資料!Z19="","",IF(反向題設定!$C$29="是",反向題設定!$B$2+1-原始資料!Z19,原始資料!Z19))</f>
        <v/>
      </c>
      <c r="AA19">
        <f>IF(原始資料!AA19="","",IF(反向題設定!$C$30="是",反向題設定!$B$2+1-原始資料!AA19,原始資料!AA19))</f>
        <v/>
      </c>
      <c r="AB19">
        <f>IF(原始資料!AB19="","",IF(反向題設定!$C$31="是",反向題設定!$B$2+1-原始資料!AB19,原始資料!AB19))</f>
        <v/>
      </c>
      <c r="AC19">
        <f>IF(原始資料!AC19="","",IF(反向題設定!$C$32="是",反向題設定!$B$2+1-原始資料!AC19,原始資料!AC19))</f>
        <v/>
      </c>
      <c r="AD19">
        <f>IF(原始資料!AD19="","",IF(反向題設定!$C$33="是",反向題設定!$B$2+1-原始資料!AD19,原始資料!AD19))</f>
        <v/>
      </c>
      <c r="AE19">
        <f>IF(原始資料!AE19="","",IF(反向題設定!$C$34="是",反向題設定!$B$2+1-原始資料!AE19,原始資料!AE19))</f>
        <v/>
      </c>
      <c r="AF19">
        <f>IF(原始資料!AF19="","",IF(反向題設定!$C$35="是",反向題設定!$B$2+1-原始資料!AF19,原始資料!AF19))</f>
        <v/>
      </c>
      <c r="AG19">
        <f>IF(原始資料!AG19="","",IF(反向題設定!$C$36="是",反向題設定!$B$2+1-原始資料!AG19,原始資料!AG19))</f>
        <v/>
      </c>
      <c r="AH19">
        <f>IF(原始資料!AH19="","",IF(反向題設定!$C$37="是",反向題設定!$B$2+1-原始資料!AH19,原始資料!AH19))</f>
        <v/>
      </c>
      <c r="AI19">
        <f>IF(原始資料!AI19="","",IF(反向題設定!$C$38="是",反向題設定!$B$2+1-原始資料!AI19,原始資料!AI19))</f>
        <v/>
      </c>
      <c r="AJ19">
        <f>IF(原始資料!AJ19="","",IF(反向題設定!$C$39="是",反向題設定!$B$2+1-原始資料!AJ19,原始資料!AJ19))</f>
        <v/>
      </c>
      <c r="AK19">
        <f>IF(原始資料!AK19="","",IF(反向題設定!$C$40="是",反向題設定!$B$2+1-原始資料!AK19,原始資料!AK19))</f>
        <v/>
      </c>
      <c r="AL19">
        <f>IF(原始資料!AL19="","",IF(反向題設定!$C$41="是",反向題設定!$B$2+1-原始資料!AL19,原始資料!AL19))</f>
        <v/>
      </c>
      <c r="AM19">
        <f>IF(原始資料!AM19="","",IF(反向題設定!$C$42="是",反向題設定!$B$2+1-原始資料!AM19,原始資料!AM19))</f>
        <v/>
      </c>
      <c r="AN19">
        <f>IF(原始資料!AN19="","",IF(反向題設定!$C$43="是",反向題設定!$B$2+1-原始資料!AN19,原始資料!AN19))</f>
        <v/>
      </c>
      <c r="AO19">
        <f>IF(原始資料!AO19="","",IF(反向題設定!$C$44="是",反向題設定!$B$2+1-原始資料!AO19,原始資料!AO19))</f>
        <v/>
      </c>
      <c r="AP19">
        <f>IF(COUNT(B19:AO19)=0,"",SUM(B19:AO19))</f>
        <v/>
      </c>
      <c r="AQ19">
        <f>IF(AP19="","",IF(AP19&gt;=項目分析!$C$5,"高",IF(AP19&lt;=項目分析!$C$6,"低","")))</f>
        <v/>
      </c>
    </row>
    <row r="20">
      <c r="A20">
        <f>IF(原始資料!A20="","",原始資料!A20)</f>
        <v/>
      </c>
      <c r="B20">
        <f>IF(原始資料!B20="","",IF(反向題設定!$C$5="是",反向題設定!$B$2+1-原始資料!B20,原始資料!B20))</f>
        <v/>
      </c>
      <c r="C20">
        <f>IF(原始資料!C20="","",IF(反向題設定!$C$6="是",反向題設定!$B$2+1-原始資料!C20,原始資料!C20))</f>
        <v/>
      </c>
      <c r="D20">
        <f>IF(原始資料!D20="","",IF(反向題設定!$C$7="是",反向題設定!$B$2+1-原始資料!D20,原始資料!D20))</f>
        <v/>
      </c>
      <c r="E20">
        <f>IF(原始資料!E20="","",IF(反向題設定!$C$8="是",反向題設定!$B$2+1-原始資料!E20,原始資料!E20))</f>
        <v/>
      </c>
      <c r="F20">
        <f>IF(原始資料!F20="","",IF(反向題設定!$C$9="是",反向題設定!$B$2+1-原始資料!F20,原始資料!F20))</f>
        <v/>
      </c>
      <c r="G20">
        <f>IF(原始資料!G20="","",IF(反向題設定!$C$10="是",反向題設定!$B$2+1-原始資料!G20,原始資料!G20))</f>
        <v/>
      </c>
      <c r="H20">
        <f>IF(原始資料!H20="","",IF(反向題設定!$C$11="是",反向題設定!$B$2+1-原始資料!H20,原始資料!H20))</f>
        <v/>
      </c>
      <c r="I20">
        <f>IF(原始資料!I20="","",IF(反向題設定!$C$12="是",反向題設定!$B$2+1-原始資料!I20,原始資料!I20))</f>
        <v/>
      </c>
      <c r="J20">
        <f>IF(原始資料!J20="","",IF(反向題設定!$C$13="是",反向題設定!$B$2+1-原始資料!J20,原始資料!J20))</f>
        <v/>
      </c>
      <c r="K20">
        <f>IF(原始資料!K20="","",IF(反向題設定!$C$14="是",反向題設定!$B$2+1-原始資料!K20,原始資料!K20))</f>
        <v/>
      </c>
      <c r="L20">
        <f>IF(原始資料!L20="","",IF(反向題設定!$C$15="是",反向題設定!$B$2+1-原始資料!L20,原始資料!L20))</f>
        <v/>
      </c>
      <c r="M20">
        <f>IF(原始資料!M20="","",IF(反向題設定!$C$16="是",反向題設定!$B$2+1-原始資料!M20,原始資料!M20))</f>
        <v/>
      </c>
      <c r="N20">
        <f>IF(原始資料!N20="","",IF(反向題設定!$C$17="是",反向題設定!$B$2+1-原始資料!N20,原始資料!N20))</f>
        <v/>
      </c>
      <c r="O20">
        <f>IF(原始資料!O20="","",IF(反向題設定!$C$18="是",反向題設定!$B$2+1-原始資料!O20,原始資料!O20))</f>
        <v/>
      </c>
      <c r="P20">
        <f>IF(原始資料!P20="","",IF(反向題設定!$C$19="是",反向題設定!$B$2+1-原始資料!P20,原始資料!P20))</f>
        <v/>
      </c>
      <c r="Q20">
        <f>IF(原始資料!Q20="","",IF(反向題設定!$C$20="是",反向題設定!$B$2+1-原始資料!Q20,原始資料!Q20))</f>
        <v/>
      </c>
      <c r="R20">
        <f>IF(原始資料!R20="","",IF(反向題設定!$C$21="是",反向題設定!$B$2+1-原始資料!R20,原始資料!R20))</f>
        <v/>
      </c>
      <c r="S20">
        <f>IF(原始資料!S20="","",IF(反向題設定!$C$22="是",反向題設定!$B$2+1-原始資料!S20,原始資料!S20))</f>
        <v/>
      </c>
      <c r="T20">
        <f>IF(原始資料!T20="","",IF(反向題設定!$C$23="是",反向題設定!$B$2+1-原始資料!T20,原始資料!T20))</f>
        <v/>
      </c>
      <c r="U20">
        <f>IF(原始資料!U20="","",IF(反向題設定!$C$24="是",反向題設定!$B$2+1-原始資料!U20,原始資料!U20))</f>
        <v/>
      </c>
      <c r="V20">
        <f>IF(原始資料!V20="","",IF(反向題設定!$C$25="是",反向題設定!$B$2+1-原始資料!V20,原始資料!V20))</f>
        <v/>
      </c>
      <c r="W20">
        <f>IF(原始資料!W20="","",IF(反向題設定!$C$26="是",反向題設定!$B$2+1-原始資料!W20,原始資料!W20))</f>
        <v/>
      </c>
      <c r="X20">
        <f>IF(原始資料!X20="","",IF(反向題設定!$C$27="是",反向題設定!$B$2+1-原始資料!X20,原始資料!X20))</f>
        <v/>
      </c>
      <c r="Y20">
        <f>IF(原始資料!Y20="","",IF(反向題設定!$C$28="是",反向題設定!$B$2+1-原始資料!Y20,原始資料!Y20))</f>
        <v/>
      </c>
      <c r="Z20">
        <f>IF(原始資料!Z20="","",IF(反向題設定!$C$29="是",反向題設定!$B$2+1-原始資料!Z20,原始資料!Z20))</f>
        <v/>
      </c>
      <c r="AA20">
        <f>IF(原始資料!AA20="","",IF(反向題設定!$C$30="是",反向題設定!$B$2+1-原始資料!AA20,原始資料!AA20))</f>
        <v/>
      </c>
      <c r="AB20">
        <f>IF(原始資料!AB20="","",IF(反向題設定!$C$31="是",反向題設定!$B$2+1-原始資料!AB20,原始資料!AB20))</f>
        <v/>
      </c>
      <c r="AC20">
        <f>IF(原始資料!AC20="","",IF(反向題設定!$C$32="是",反向題設定!$B$2+1-原始資料!AC20,原始資料!AC20))</f>
        <v/>
      </c>
      <c r="AD20">
        <f>IF(原始資料!AD20="","",IF(反向題設定!$C$33="是",反向題設定!$B$2+1-原始資料!AD20,原始資料!AD20))</f>
        <v/>
      </c>
      <c r="AE20">
        <f>IF(原始資料!AE20="","",IF(反向題設定!$C$34="是",反向題設定!$B$2+1-原始資料!AE20,原始資料!AE20))</f>
        <v/>
      </c>
      <c r="AF20">
        <f>IF(原始資料!AF20="","",IF(反向題設定!$C$35="是",反向題設定!$B$2+1-原始資料!AF20,原始資料!AF20))</f>
        <v/>
      </c>
      <c r="AG20">
        <f>IF(原始資料!AG20="","",IF(反向題設定!$C$36="是",反向題設定!$B$2+1-原始資料!AG20,原始資料!AG20))</f>
        <v/>
      </c>
      <c r="AH20">
        <f>IF(原始資料!AH20="","",IF(反向題設定!$C$37="是",反向題設定!$B$2+1-原始資料!AH20,原始資料!AH20))</f>
        <v/>
      </c>
      <c r="AI20">
        <f>IF(原始資料!AI20="","",IF(反向題設定!$C$38="是",反向題設定!$B$2+1-原始資料!AI20,原始資料!AI20))</f>
        <v/>
      </c>
      <c r="AJ20">
        <f>IF(原始資料!AJ20="","",IF(反向題設定!$C$39="是",反向題設定!$B$2+1-原始資料!AJ20,原始資料!AJ20))</f>
        <v/>
      </c>
      <c r="AK20">
        <f>IF(原始資料!AK20="","",IF(反向題設定!$C$40="是",反向題設定!$B$2+1-原始資料!AK20,原始資料!AK20))</f>
        <v/>
      </c>
      <c r="AL20">
        <f>IF(原始資料!AL20="","",IF(反向題設定!$C$41="是",反向題設定!$B$2+1-原始資料!AL20,原始資料!AL20))</f>
        <v/>
      </c>
      <c r="AM20">
        <f>IF(原始資料!AM20="","",IF(反向題設定!$C$42="是",反向題設定!$B$2+1-原始資料!AM20,原始資料!AM20))</f>
        <v/>
      </c>
      <c r="AN20">
        <f>IF(原始資料!AN20="","",IF(反向題設定!$C$43="是",反向題設定!$B$2+1-原始資料!AN20,原始資料!AN20))</f>
        <v/>
      </c>
      <c r="AO20">
        <f>IF(原始資料!AO20="","",IF(反向題設定!$C$44="是",反向題設定!$B$2+1-原始資料!AO20,原始資料!AO20))</f>
        <v/>
      </c>
      <c r="AP20">
        <f>IF(COUNT(B20:AO20)=0,"",SUM(B20:AO20))</f>
        <v/>
      </c>
      <c r="AQ20">
        <f>IF(AP20="","",IF(AP20&gt;=項目分析!$C$5,"高",IF(AP20&lt;=項目分析!$C$6,"低","")))</f>
        <v/>
      </c>
    </row>
    <row r="21">
      <c r="A21">
        <f>IF(原始資料!A21="","",原始資料!A21)</f>
        <v/>
      </c>
      <c r="B21">
        <f>IF(原始資料!B21="","",IF(反向題設定!$C$5="是",反向題設定!$B$2+1-原始資料!B21,原始資料!B21))</f>
        <v/>
      </c>
      <c r="C21">
        <f>IF(原始資料!C21="","",IF(反向題設定!$C$6="是",反向題設定!$B$2+1-原始資料!C21,原始資料!C21))</f>
        <v/>
      </c>
      <c r="D21">
        <f>IF(原始資料!D21="","",IF(反向題設定!$C$7="是",反向題設定!$B$2+1-原始資料!D21,原始資料!D21))</f>
        <v/>
      </c>
      <c r="E21">
        <f>IF(原始資料!E21="","",IF(反向題設定!$C$8="是",反向題設定!$B$2+1-原始資料!E21,原始資料!E21))</f>
        <v/>
      </c>
      <c r="F21">
        <f>IF(原始資料!F21="","",IF(反向題設定!$C$9="是",反向題設定!$B$2+1-原始資料!F21,原始資料!F21))</f>
        <v/>
      </c>
      <c r="G21">
        <f>IF(原始資料!G21="","",IF(反向題設定!$C$10="是",反向題設定!$B$2+1-原始資料!G21,原始資料!G21))</f>
        <v/>
      </c>
      <c r="H21">
        <f>IF(原始資料!H21="","",IF(反向題設定!$C$11="是",反向題設定!$B$2+1-原始資料!H21,原始資料!H21))</f>
        <v/>
      </c>
      <c r="I21">
        <f>IF(原始資料!I21="","",IF(反向題設定!$C$12="是",反向題設定!$B$2+1-原始資料!I21,原始資料!I21))</f>
        <v/>
      </c>
      <c r="J21">
        <f>IF(原始資料!J21="","",IF(反向題設定!$C$13="是",反向題設定!$B$2+1-原始資料!J21,原始資料!J21))</f>
        <v/>
      </c>
      <c r="K21">
        <f>IF(原始資料!K21="","",IF(反向題設定!$C$14="是",反向題設定!$B$2+1-原始資料!K21,原始資料!K21))</f>
        <v/>
      </c>
      <c r="L21">
        <f>IF(原始資料!L21="","",IF(反向題設定!$C$15="是",反向題設定!$B$2+1-原始資料!L21,原始資料!L21))</f>
        <v/>
      </c>
      <c r="M21">
        <f>IF(原始資料!M21="","",IF(反向題設定!$C$16="是",反向題設定!$B$2+1-原始資料!M21,原始資料!M21))</f>
        <v/>
      </c>
      <c r="N21">
        <f>IF(原始資料!N21="","",IF(反向題設定!$C$17="是",反向題設定!$B$2+1-原始資料!N21,原始資料!N21))</f>
        <v/>
      </c>
      <c r="O21">
        <f>IF(原始資料!O21="","",IF(反向題設定!$C$18="是",反向題設定!$B$2+1-原始資料!O21,原始資料!O21))</f>
        <v/>
      </c>
      <c r="P21">
        <f>IF(原始資料!P21="","",IF(反向題設定!$C$19="是",反向題設定!$B$2+1-原始資料!P21,原始資料!P21))</f>
        <v/>
      </c>
      <c r="Q21">
        <f>IF(原始資料!Q21="","",IF(反向題設定!$C$20="是",反向題設定!$B$2+1-原始資料!Q21,原始資料!Q21))</f>
        <v/>
      </c>
      <c r="R21">
        <f>IF(原始資料!R21="","",IF(反向題設定!$C$21="是",反向題設定!$B$2+1-原始資料!R21,原始資料!R21))</f>
        <v/>
      </c>
      <c r="S21">
        <f>IF(原始資料!S21="","",IF(反向題設定!$C$22="是",反向題設定!$B$2+1-原始資料!S21,原始資料!S21))</f>
        <v/>
      </c>
      <c r="T21">
        <f>IF(原始資料!T21="","",IF(反向題設定!$C$23="是",反向題設定!$B$2+1-原始資料!T21,原始資料!T21))</f>
        <v/>
      </c>
      <c r="U21">
        <f>IF(原始資料!U21="","",IF(反向題設定!$C$24="是",反向題設定!$B$2+1-原始資料!U21,原始資料!U21))</f>
        <v/>
      </c>
      <c r="V21">
        <f>IF(原始資料!V21="","",IF(反向題設定!$C$25="是",反向題設定!$B$2+1-原始資料!V21,原始資料!V21))</f>
        <v/>
      </c>
      <c r="W21">
        <f>IF(原始資料!W21="","",IF(反向題設定!$C$26="是",反向題設定!$B$2+1-原始資料!W21,原始資料!W21))</f>
        <v/>
      </c>
      <c r="X21">
        <f>IF(原始資料!X21="","",IF(反向題設定!$C$27="是",反向題設定!$B$2+1-原始資料!X21,原始資料!X21))</f>
        <v/>
      </c>
      <c r="Y21">
        <f>IF(原始資料!Y21="","",IF(反向題設定!$C$28="是",反向題設定!$B$2+1-原始資料!Y21,原始資料!Y21))</f>
        <v/>
      </c>
      <c r="Z21">
        <f>IF(原始資料!Z21="","",IF(反向題設定!$C$29="是",反向題設定!$B$2+1-原始資料!Z21,原始資料!Z21))</f>
        <v/>
      </c>
      <c r="AA21">
        <f>IF(原始資料!AA21="","",IF(反向題設定!$C$30="是",反向題設定!$B$2+1-原始資料!AA21,原始資料!AA21))</f>
        <v/>
      </c>
      <c r="AB21">
        <f>IF(原始資料!AB21="","",IF(反向題設定!$C$31="是",反向題設定!$B$2+1-原始資料!AB21,原始資料!AB21))</f>
        <v/>
      </c>
      <c r="AC21">
        <f>IF(原始資料!AC21="","",IF(反向題設定!$C$32="是",反向題設定!$B$2+1-原始資料!AC21,原始資料!AC21))</f>
        <v/>
      </c>
      <c r="AD21">
        <f>IF(原始資料!AD21="","",IF(反向題設定!$C$33="是",反向題設定!$B$2+1-原始資料!AD21,原始資料!AD21))</f>
        <v/>
      </c>
      <c r="AE21">
        <f>IF(原始資料!AE21="","",IF(反向題設定!$C$34="是",反向題設定!$B$2+1-原始資料!AE21,原始資料!AE21))</f>
        <v/>
      </c>
      <c r="AF21">
        <f>IF(原始資料!AF21="","",IF(反向題設定!$C$35="是",反向題設定!$B$2+1-原始資料!AF21,原始資料!AF21))</f>
        <v/>
      </c>
      <c r="AG21">
        <f>IF(原始資料!AG21="","",IF(反向題設定!$C$36="是",反向題設定!$B$2+1-原始資料!AG21,原始資料!AG21))</f>
        <v/>
      </c>
      <c r="AH21">
        <f>IF(原始資料!AH21="","",IF(反向題設定!$C$37="是",反向題設定!$B$2+1-原始資料!AH21,原始資料!AH21))</f>
        <v/>
      </c>
      <c r="AI21">
        <f>IF(原始資料!AI21="","",IF(反向題設定!$C$38="是",反向題設定!$B$2+1-原始資料!AI21,原始資料!AI21))</f>
        <v/>
      </c>
      <c r="AJ21">
        <f>IF(原始資料!AJ21="","",IF(反向題設定!$C$39="是",反向題設定!$B$2+1-原始資料!AJ21,原始資料!AJ21))</f>
        <v/>
      </c>
      <c r="AK21">
        <f>IF(原始資料!AK21="","",IF(反向題設定!$C$40="是",反向題設定!$B$2+1-原始資料!AK21,原始資料!AK21))</f>
        <v/>
      </c>
      <c r="AL21">
        <f>IF(原始資料!AL21="","",IF(反向題設定!$C$41="是",反向題設定!$B$2+1-原始資料!AL21,原始資料!AL21))</f>
        <v/>
      </c>
      <c r="AM21">
        <f>IF(原始資料!AM21="","",IF(反向題設定!$C$42="是",反向題設定!$B$2+1-原始資料!AM21,原始資料!AM21))</f>
        <v/>
      </c>
      <c r="AN21">
        <f>IF(原始資料!AN21="","",IF(反向題設定!$C$43="是",反向題設定!$B$2+1-原始資料!AN21,原始資料!AN21))</f>
        <v/>
      </c>
      <c r="AO21">
        <f>IF(原始資料!AO21="","",IF(反向題設定!$C$44="是",反向題設定!$B$2+1-原始資料!AO21,原始資料!AO21))</f>
        <v/>
      </c>
      <c r="AP21">
        <f>IF(COUNT(B21:AO21)=0,"",SUM(B21:AO21))</f>
        <v/>
      </c>
      <c r="AQ21">
        <f>IF(AP21="","",IF(AP21&gt;=項目分析!$C$5,"高",IF(AP21&lt;=項目分析!$C$6,"低","")))</f>
        <v/>
      </c>
    </row>
    <row r="22">
      <c r="A22">
        <f>IF(原始資料!A22="","",原始資料!A22)</f>
        <v/>
      </c>
      <c r="B22">
        <f>IF(原始資料!B22="","",IF(反向題設定!$C$5="是",反向題設定!$B$2+1-原始資料!B22,原始資料!B22))</f>
        <v/>
      </c>
      <c r="C22">
        <f>IF(原始資料!C22="","",IF(反向題設定!$C$6="是",反向題設定!$B$2+1-原始資料!C22,原始資料!C22))</f>
        <v/>
      </c>
      <c r="D22">
        <f>IF(原始資料!D22="","",IF(反向題設定!$C$7="是",反向題設定!$B$2+1-原始資料!D22,原始資料!D22))</f>
        <v/>
      </c>
      <c r="E22">
        <f>IF(原始資料!E22="","",IF(反向題設定!$C$8="是",反向題設定!$B$2+1-原始資料!E22,原始資料!E22))</f>
        <v/>
      </c>
      <c r="F22">
        <f>IF(原始資料!F22="","",IF(反向題設定!$C$9="是",反向題設定!$B$2+1-原始資料!F22,原始資料!F22))</f>
        <v/>
      </c>
      <c r="G22">
        <f>IF(原始資料!G22="","",IF(反向題設定!$C$10="是",反向題設定!$B$2+1-原始資料!G22,原始資料!G22))</f>
        <v/>
      </c>
      <c r="H22">
        <f>IF(原始資料!H22="","",IF(反向題設定!$C$11="是",反向題設定!$B$2+1-原始資料!H22,原始資料!H22))</f>
        <v/>
      </c>
      <c r="I22">
        <f>IF(原始資料!I22="","",IF(反向題設定!$C$12="是",反向題設定!$B$2+1-原始資料!I22,原始資料!I22))</f>
        <v/>
      </c>
      <c r="J22">
        <f>IF(原始資料!J22="","",IF(反向題設定!$C$13="是",反向題設定!$B$2+1-原始資料!J22,原始資料!J22))</f>
        <v/>
      </c>
      <c r="K22">
        <f>IF(原始資料!K22="","",IF(反向題設定!$C$14="是",反向題設定!$B$2+1-原始資料!K22,原始資料!K22))</f>
        <v/>
      </c>
      <c r="L22">
        <f>IF(原始資料!L22="","",IF(反向題設定!$C$15="是",反向題設定!$B$2+1-原始資料!L22,原始資料!L22))</f>
        <v/>
      </c>
      <c r="M22">
        <f>IF(原始資料!M22="","",IF(反向題設定!$C$16="是",反向題設定!$B$2+1-原始資料!M22,原始資料!M22))</f>
        <v/>
      </c>
      <c r="N22">
        <f>IF(原始資料!N22="","",IF(反向題設定!$C$17="是",反向題設定!$B$2+1-原始資料!N22,原始資料!N22))</f>
        <v/>
      </c>
      <c r="O22">
        <f>IF(原始資料!O22="","",IF(反向題設定!$C$18="是",反向題設定!$B$2+1-原始資料!O22,原始資料!O22))</f>
        <v/>
      </c>
      <c r="P22">
        <f>IF(原始資料!P22="","",IF(反向題設定!$C$19="是",反向題設定!$B$2+1-原始資料!P22,原始資料!P22))</f>
        <v/>
      </c>
      <c r="Q22">
        <f>IF(原始資料!Q22="","",IF(反向題設定!$C$20="是",反向題設定!$B$2+1-原始資料!Q22,原始資料!Q22))</f>
        <v/>
      </c>
      <c r="R22">
        <f>IF(原始資料!R22="","",IF(反向題設定!$C$21="是",反向題設定!$B$2+1-原始資料!R22,原始資料!R22))</f>
        <v/>
      </c>
      <c r="S22">
        <f>IF(原始資料!S22="","",IF(反向題設定!$C$22="是",反向題設定!$B$2+1-原始資料!S22,原始資料!S22))</f>
        <v/>
      </c>
      <c r="T22">
        <f>IF(原始資料!T22="","",IF(反向題設定!$C$23="是",反向題設定!$B$2+1-原始資料!T22,原始資料!T22))</f>
        <v/>
      </c>
      <c r="U22">
        <f>IF(原始資料!U22="","",IF(反向題設定!$C$24="是",反向題設定!$B$2+1-原始資料!U22,原始資料!U22))</f>
        <v/>
      </c>
      <c r="V22">
        <f>IF(原始資料!V22="","",IF(反向題設定!$C$25="是",反向題設定!$B$2+1-原始資料!V22,原始資料!V22))</f>
        <v/>
      </c>
      <c r="W22">
        <f>IF(原始資料!W22="","",IF(反向題設定!$C$26="是",反向題設定!$B$2+1-原始資料!W22,原始資料!W22))</f>
        <v/>
      </c>
      <c r="X22">
        <f>IF(原始資料!X22="","",IF(反向題設定!$C$27="是",反向題設定!$B$2+1-原始資料!X22,原始資料!X22))</f>
        <v/>
      </c>
      <c r="Y22">
        <f>IF(原始資料!Y22="","",IF(反向題設定!$C$28="是",反向題設定!$B$2+1-原始資料!Y22,原始資料!Y22))</f>
        <v/>
      </c>
      <c r="Z22">
        <f>IF(原始資料!Z22="","",IF(反向題設定!$C$29="是",反向題設定!$B$2+1-原始資料!Z22,原始資料!Z22))</f>
        <v/>
      </c>
      <c r="AA22">
        <f>IF(原始資料!AA22="","",IF(反向題設定!$C$30="是",反向題設定!$B$2+1-原始資料!AA22,原始資料!AA22))</f>
        <v/>
      </c>
      <c r="AB22">
        <f>IF(原始資料!AB22="","",IF(反向題設定!$C$31="是",反向題設定!$B$2+1-原始資料!AB22,原始資料!AB22))</f>
        <v/>
      </c>
      <c r="AC22">
        <f>IF(原始資料!AC22="","",IF(反向題設定!$C$32="是",反向題設定!$B$2+1-原始資料!AC22,原始資料!AC22))</f>
        <v/>
      </c>
      <c r="AD22">
        <f>IF(原始資料!AD22="","",IF(反向題設定!$C$33="是",反向題設定!$B$2+1-原始資料!AD22,原始資料!AD22))</f>
        <v/>
      </c>
      <c r="AE22">
        <f>IF(原始資料!AE22="","",IF(反向題設定!$C$34="是",反向題設定!$B$2+1-原始資料!AE22,原始資料!AE22))</f>
        <v/>
      </c>
      <c r="AF22">
        <f>IF(原始資料!AF22="","",IF(反向題設定!$C$35="是",反向題設定!$B$2+1-原始資料!AF22,原始資料!AF22))</f>
        <v/>
      </c>
      <c r="AG22">
        <f>IF(原始資料!AG22="","",IF(反向題設定!$C$36="是",反向題設定!$B$2+1-原始資料!AG22,原始資料!AG22))</f>
        <v/>
      </c>
      <c r="AH22">
        <f>IF(原始資料!AH22="","",IF(反向題設定!$C$37="是",反向題設定!$B$2+1-原始資料!AH22,原始資料!AH22))</f>
        <v/>
      </c>
      <c r="AI22">
        <f>IF(原始資料!AI22="","",IF(反向題設定!$C$38="是",反向題設定!$B$2+1-原始資料!AI22,原始資料!AI22))</f>
        <v/>
      </c>
      <c r="AJ22">
        <f>IF(原始資料!AJ22="","",IF(反向題設定!$C$39="是",反向題設定!$B$2+1-原始資料!AJ22,原始資料!AJ22))</f>
        <v/>
      </c>
      <c r="AK22">
        <f>IF(原始資料!AK22="","",IF(反向題設定!$C$40="是",反向題設定!$B$2+1-原始資料!AK22,原始資料!AK22))</f>
        <v/>
      </c>
      <c r="AL22">
        <f>IF(原始資料!AL22="","",IF(反向題設定!$C$41="是",反向題設定!$B$2+1-原始資料!AL22,原始資料!AL22))</f>
        <v/>
      </c>
      <c r="AM22">
        <f>IF(原始資料!AM22="","",IF(反向題設定!$C$42="是",反向題設定!$B$2+1-原始資料!AM22,原始資料!AM22))</f>
        <v/>
      </c>
      <c r="AN22">
        <f>IF(原始資料!AN22="","",IF(反向題設定!$C$43="是",反向題設定!$B$2+1-原始資料!AN22,原始資料!AN22))</f>
        <v/>
      </c>
      <c r="AO22">
        <f>IF(原始資料!AO22="","",IF(反向題設定!$C$44="是",反向題設定!$B$2+1-原始資料!AO22,原始資料!AO22))</f>
        <v/>
      </c>
      <c r="AP22">
        <f>IF(COUNT(B22:AO22)=0,"",SUM(B22:AO22))</f>
        <v/>
      </c>
      <c r="AQ22">
        <f>IF(AP22="","",IF(AP22&gt;=項目分析!$C$5,"高",IF(AP22&lt;=項目分析!$C$6,"低","")))</f>
        <v/>
      </c>
    </row>
    <row r="23">
      <c r="A23">
        <f>IF(原始資料!A23="","",原始資料!A23)</f>
        <v/>
      </c>
      <c r="B23">
        <f>IF(原始資料!B23="","",IF(反向題設定!$C$5="是",反向題設定!$B$2+1-原始資料!B23,原始資料!B23))</f>
        <v/>
      </c>
      <c r="C23">
        <f>IF(原始資料!C23="","",IF(反向題設定!$C$6="是",反向題設定!$B$2+1-原始資料!C23,原始資料!C23))</f>
        <v/>
      </c>
      <c r="D23">
        <f>IF(原始資料!D23="","",IF(反向題設定!$C$7="是",反向題設定!$B$2+1-原始資料!D23,原始資料!D23))</f>
        <v/>
      </c>
      <c r="E23">
        <f>IF(原始資料!E23="","",IF(反向題設定!$C$8="是",反向題設定!$B$2+1-原始資料!E23,原始資料!E23))</f>
        <v/>
      </c>
      <c r="F23">
        <f>IF(原始資料!F23="","",IF(反向題設定!$C$9="是",反向題設定!$B$2+1-原始資料!F23,原始資料!F23))</f>
        <v/>
      </c>
      <c r="G23">
        <f>IF(原始資料!G23="","",IF(反向題設定!$C$10="是",反向題設定!$B$2+1-原始資料!G23,原始資料!G23))</f>
        <v/>
      </c>
      <c r="H23">
        <f>IF(原始資料!H23="","",IF(反向題設定!$C$11="是",反向題設定!$B$2+1-原始資料!H23,原始資料!H23))</f>
        <v/>
      </c>
      <c r="I23">
        <f>IF(原始資料!I23="","",IF(反向題設定!$C$12="是",反向題設定!$B$2+1-原始資料!I23,原始資料!I23))</f>
        <v/>
      </c>
      <c r="J23">
        <f>IF(原始資料!J23="","",IF(反向題設定!$C$13="是",反向題設定!$B$2+1-原始資料!J23,原始資料!J23))</f>
        <v/>
      </c>
      <c r="K23">
        <f>IF(原始資料!K23="","",IF(反向題設定!$C$14="是",反向題設定!$B$2+1-原始資料!K23,原始資料!K23))</f>
        <v/>
      </c>
      <c r="L23">
        <f>IF(原始資料!L23="","",IF(反向題設定!$C$15="是",反向題設定!$B$2+1-原始資料!L23,原始資料!L23))</f>
        <v/>
      </c>
      <c r="M23">
        <f>IF(原始資料!M23="","",IF(反向題設定!$C$16="是",反向題設定!$B$2+1-原始資料!M23,原始資料!M23))</f>
        <v/>
      </c>
      <c r="N23">
        <f>IF(原始資料!N23="","",IF(反向題設定!$C$17="是",反向題設定!$B$2+1-原始資料!N23,原始資料!N23))</f>
        <v/>
      </c>
      <c r="O23">
        <f>IF(原始資料!O23="","",IF(反向題設定!$C$18="是",反向題設定!$B$2+1-原始資料!O23,原始資料!O23))</f>
        <v/>
      </c>
      <c r="P23">
        <f>IF(原始資料!P23="","",IF(反向題設定!$C$19="是",反向題設定!$B$2+1-原始資料!P23,原始資料!P23))</f>
        <v/>
      </c>
      <c r="Q23">
        <f>IF(原始資料!Q23="","",IF(反向題設定!$C$20="是",反向題設定!$B$2+1-原始資料!Q23,原始資料!Q23))</f>
        <v/>
      </c>
      <c r="R23">
        <f>IF(原始資料!R23="","",IF(反向題設定!$C$21="是",反向題設定!$B$2+1-原始資料!R23,原始資料!R23))</f>
        <v/>
      </c>
      <c r="S23">
        <f>IF(原始資料!S23="","",IF(反向題設定!$C$22="是",反向題設定!$B$2+1-原始資料!S23,原始資料!S23))</f>
        <v/>
      </c>
      <c r="T23">
        <f>IF(原始資料!T23="","",IF(反向題設定!$C$23="是",反向題設定!$B$2+1-原始資料!T23,原始資料!T23))</f>
        <v/>
      </c>
      <c r="U23">
        <f>IF(原始資料!U23="","",IF(反向題設定!$C$24="是",反向題設定!$B$2+1-原始資料!U23,原始資料!U23))</f>
        <v/>
      </c>
      <c r="V23">
        <f>IF(原始資料!V23="","",IF(反向題設定!$C$25="是",反向題設定!$B$2+1-原始資料!V23,原始資料!V23))</f>
        <v/>
      </c>
      <c r="W23">
        <f>IF(原始資料!W23="","",IF(反向題設定!$C$26="是",反向題設定!$B$2+1-原始資料!W23,原始資料!W23))</f>
        <v/>
      </c>
      <c r="X23">
        <f>IF(原始資料!X23="","",IF(反向題設定!$C$27="是",反向題設定!$B$2+1-原始資料!X23,原始資料!X23))</f>
        <v/>
      </c>
      <c r="Y23">
        <f>IF(原始資料!Y23="","",IF(反向題設定!$C$28="是",反向題設定!$B$2+1-原始資料!Y23,原始資料!Y23))</f>
        <v/>
      </c>
      <c r="Z23">
        <f>IF(原始資料!Z23="","",IF(反向題設定!$C$29="是",反向題設定!$B$2+1-原始資料!Z23,原始資料!Z23))</f>
        <v/>
      </c>
      <c r="AA23">
        <f>IF(原始資料!AA23="","",IF(反向題設定!$C$30="是",反向題設定!$B$2+1-原始資料!AA23,原始資料!AA23))</f>
        <v/>
      </c>
      <c r="AB23">
        <f>IF(原始資料!AB23="","",IF(反向題設定!$C$31="是",反向題設定!$B$2+1-原始資料!AB23,原始資料!AB23))</f>
        <v/>
      </c>
      <c r="AC23">
        <f>IF(原始資料!AC23="","",IF(反向題設定!$C$32="是",反向題設定!$B$2+1-原始資料!AC23,原始資料!AC23))</f>
        <v/>
      </c>
      <c r="AD23">
        <f>IF(原始資料!AD23="","",IF(反向題設定!$C$33="是",反向題設定!$B$2+1-原始資料!AD23,原始資料!AD23))</f>
        <v/>
      </c>
      <c r="AE23">
        <f>IF(原始資料!AE23="","",IF(反向題設定!$C$34="是",反向題設定!$B$2+1-原始資料!AE23,原始資料!AE23))</f>
        <v/>
      </c>
      <c r="AF23">
        <f>IF(原始資料!AF23="","",IF(反向題設定!$C$35="是",反向題設定!$B$2+1-原始資料!AF23,原始資料!AF23))</f>
        <v/>
      </c>
      <c r="AG23">
        <f>IF(原始資料!AG23="","",IF(反向題設定!$C$36="是",反向題設定!$B$2+1-原始資料!AG23,原始資料!AG23))</f>
        <v/>
      </c>
      <c r="AH23">
        <f>IF(原始資料!AH23="","",IF(反向題設定!$C$37="是",反向題設定!$B$2+1-原始資料!AH23,原始資料!AH23))</f>
        <v/>
      </c>
      <c r="AI23">
        <f>IF(原始資料!AI23="","",IF(反向題設定!$C$38="是",反向題設定!$B$2+1-原始資料!AI23,原始資料!AI23))</f>
        <v/>
      </c>
      <c r="AJ23">
        <f>IF(原始資料!AJ23="","",IF(反向題設定!$C$39="是",反向題設定!$B$2+1-原始資料!AJ23,原始資料!AJ23))</f>
        <v/>
      </c>
      <c r="AK23">
        <f>IF(原始資料!AK23="","",IF(反向題設定!$C$40="是",反向題設定!$B$2+1-原始資料!AK23,原始資料!AK23))</f>
        <v/>
      </c>
      <c r="AL23">
        <f>IF(原始資料!AL23="","",IF(反向題設定!$C$41="是",反向題設定!$B$2+1-原始資料!AL23,原始資料!AL23))</f>
        <v/>
      </c>
      <c r="AM23">
        <f>IF(原始資料!AM23="","",IF(反向題設定!$C$42="是",反向題設定!$B$2+1-原始資料!AM23,原始資料!AM23))</f>
        <v/>
      </c>
      <c r="AN23">
        <f>IF(原始資料!AN23="","",IF(反向題設定!$C$43="是",反向題設定!$B$2+1-原始資料!AN23,原始資料!AN23))</f>
        <v/>
      </c>
      <c r="AO23">
        <f>IF(原始資料!AO23="","",IF(反向題設定!$C$44="是",反向題設定!$B$2+1-原始資料!AO23,原始資料!AO23))</f>
        <v/>
      </c>
      <c r="AP23">
        <f>IF(COUNT(B23:AO23)=0,"",SUM(B23:AO23))</f>
        <v/>
      </c>
      <c r="AQ23">
        <f>IF(AP23="","",IF(AP23&gt;=項目分析!$C$5,"高",IF(AP23&lt;=項目分析!$C$6,"低","")))</f>
        <v/>
      </c>
    </row>
    <row r="24">
      <c r="A24">
        <f>IF(原始資料!A24="","",原始資料!A24)</f>
        <v/>
      </c>
      <c r="B24">
        <f>IF(原始資料!B24="","",IF(反向題設定!$C$5="是",反向題設定!$B$2+1-原始資料!B24,原始資料!B24))</f>
        <v/>
      </c>
      <c r="C24">
        <f>IF(原始資料!C24="","",IF(反向題設定!$C$6="是",反向題設定!$B$2+1-原始資料!C24,原始資料!C24))</f>
        <v/>
      </c>
      <c r="D24">
        <f>IF(原始資料!D24="","",IF(反向題設定!$C$7="是",反向題設定!$B$2+1-原始資料!D24,原始資料!D24))</f>
        <v/>
      </c>
      <c r="E24">
        <f>IF(原始資料!E24="","",IF(反向題設定!$C$8="是",反向題設定!$B$2+1-原始資料!E24,原始資料!E24))</f>
        <v/>
      </c>
      <c r="F24">
        <f>IF(原始資料!F24="","",IF(反向題設定!$C$9="是",反向題設定!$B$2+1-原始資料!F24,原始資料!F24))</f>
        <v/>
      </c>
      <c r="G24">
        <f>IF(原始資料!G24="","",IF(反向題設定!$C$10="是",反向題設定!$B$2+1-原始資料!G24,原始資料!G24))</f>
        <v/>
      </c>
      <c r="H24">
        <f>IF(原始資料!H24="","",IF(反向題設定!$C$11="是",反向題設定!$B$2+1-原始資料!H24,原始資料!H24))</f>
        <v/>
      </c>
      <c r="I24">
        <f>IF(原始資料!I24="","",IF(反向題設定!$C$12="是",反向題設定!$B$2+1-原始資料!I24,原始資料!I24))</f>
        <v/>
      </c>
      <c r="J24">
        <f>IF(原始資料!J24="","",IF(反向題設定!$C$13="是",反向題設定!$B$2+1-原始資料!J24,原始資料!J24))</f>
        <v/>
      </c>
      <c r="K24">
        <f>IF(原始資料!K24="","",IF(反向題設定!$C$14="是",反向題設定!$B$2+1-原始資料!K24,原始資料!K24))</f>
        <v/>
      </c>
      <c r="L24">
        <f>IF(原始資料!L24="","",IF(反向題設定!$C$15="是",反向題設定!$B$2+1-原始資料!L24,原始資料!L24))</f>
        <v/>
      </c>
      <c r="M24">
        <f>IF(原始資料!M24="","",IF(反向題設定!$C$16="是",反向題設定!$B$2+1-原始資料!M24,原始資料!M24))</f>
        <v/>
      </c>
      <c r="N24">
        <f>IF(原始資料!N24="","",IF(反向題設定!$C$17="是",反向題設定!$B$2+1-原始資料!N24,原始資料!N24))</f>
        <v/>
      </c>
      <c r="O24">
        <f>IF(原始資料!O24="","",IF(反向題設定!$C$18="是",反向題設定!$B$2+1-原始資料!O24,原始資料!O24))</f>
        <v/>
      </c>
      <c r="P24">
        <f>IF(原始資料!P24="","",IF(反向題設定!$C$19="是",反向題設定!$B$2+1-原始資料!P24,原始資料!P24))</f>
        <v/>
      </c>
      <c r="Q24">
        <f>IF(原始資料!Q24="","",IF(反向題設定!$C$20="是",反向題設定!$B$2+1-原始資料!Q24,原始資料!Q24))</f>
        <v/>
      </c>
      <c r="R24">
        <f>IF(原始資料!R24="","",IF(反向題設定!$C$21="是",反向題設定!$B$2+1-原始資料!R24,原始資料!R24))</f>
        <v/>
      </c>
      <c r="S24">
        <f>IF(原始資料!S24="","",IF(反向題設定!$C$22="是",反向題設定!$B$2+1-原始資料!S24,原始資料!S24))</f>
        <v/>
      </c>
      <c r="T24">
        <f>IF(原始資料!T24="","",IF(反向題設定!$C$23="是",反向題設定!$B$2+1-原始資料!T24,原始資料!T24))</f>
        <v/>
      </c>
      <c r="U24">
        <f>IF(原始資料!U24="","",IF(反向題設定!$C$24="是",反向題設定!$B$2+1-原始資料!U24,原始資料!U24))</f>
        <v/>
      </c>
      <c r="V24">
        <f>IF(原始資料!V24="","",IF(反向題設定!$C$25="是",反向題設定!$B$2+1-原始資料!V24,原始資料!V24))</f>
        <v/>
      </c>
      <c r="W24">
        <f>IF(原始資料!W24="","",IF(反向題設定!$C$26="是",反向題設定!$B$2+1-原始資料!W24,原始資料!W24))</f>
        <v/>
      </c>
      <c r="X24">
        <f>IF(原始資料!X24="","",IF(反向題設定!$C$27="是",反向題設定!$B$2+1-原始資料!X24,原始資料!X24))</f>
        <v/>
      </c>
      <c r="Y24">
        <f>IF(原始資料!Y24="","",IF(反向題設定!$C$28="是",反向題設定!$B$2+1-原始資料!Y24,原始資料!Y24))</f>
        <v/>
      </c>
      <c r="Z24">
        <f>IF(原始資料!Z24="","",IF(反向題設定!$C$29="是",反向題設定!$B$2+1-原始資料!Z24,原始資料!Z24))</f>
        <v/>
      </c>
      <c r="AA24">
        <f>IF(原始資料!AA24="","",IF(反向題設定!$C$30="是",反向題設定!$B$2+1-原始資料!AA24,原始資料!AA24))</f>
        <v/>
      </c>
      <c r="AB24">
        <f>IF(原始資料!AB24="","",IF(反向題設定!$C$31="是",反向題設定!$B$2+1-原始資料!AB24,原始資料!AB24))</f>
        <v/>
      </c>
      <c r="AC24">
        <f>IF(原始資料!AC24="","",IF(反向題設定!$C$32="是",反向題設定!$B$2+1-原始資料!AC24,原始資料!AC24))</f>
        <v/>
      </c>
      <c r="AD24">
        <f>IF(原始資料!AD24="","",IF(反向題設定!$C$33="是",反向題設定!$B$2+1-原始資料!AD24,原始資料!AD24))</f>
        <v/>
      </c>
      <c r="AE24">
        <f>IF(原始資料!AE24="","",IF(反向題設定!$C$34="是",反向題設定!$B$2+1-原始資料!AE24,原始資料!AE24))</f>
        <v/>
      </c>
      <c r="AF24">
        <f>IF(原始資料!AF24="","",IF(反向題設定!$C$35="是",反向題設定!$B$2+1-原始資料!AF24,原始資料!AF24))</f>
        <v/>
      </c>
      <c r="AG24">
        <f>IF(原始資料!AG24="","",IF(反向題設定!$C$36="是",反向題設定!$B$2+1-原始資料!AG24,原始資料!AG24))</f>
        <v/>
      </c>
      <c r="AH24">
        <f>IF(原始資料!AH24="","",IF(反向題設定!$C$37="是",反向題設定!$B$2+1-原始資料!AH24,原始資料!AH24))</f>
        <v/>
      </c>
      <c r="AI24">
        <f>IF(原始資料!AI24="","",IF(反向題設定!$C$38="是",反向題設定!$B$2+1-原始資料!AI24,原始資料!AI24))</f>
        <v/>
      </c>
      <c r="AJ24">
        <f>IF(原始資料!AJ24="","",IF(反向題設定!$C$39="是",反向題設定!$B$2+1-原始資料!AJ24,原始資料!AJ24))</f>
        <v/>
      </c>
      <c r="AK24">
        <f>IF(原始資料!AK24="","",IF(反向題設定!$C$40="是",反向題設定!$B$2+1-原始資料!AK24,原始資料!AK24))</f>
        <v/>
      </c>
      <c r="AL24">
        <f>IF(原始資料!AL24="","",IF(反向題設定!$C$41="是",反向題設定!$B$2+1-原始資料!AL24,原始資料!AL24))</f>
        <v/>
      </c>
      <c r="AM24">
        <f>IF(原始資料!AM24="","",IF(反向題設定!$C$42="是",反向題設定!$B$2+1-原始資料!AM24,原始資料!AM24))</f>
        <v/>
      </c>
      <c r="AN24">
        <f>IF(原始資料!AN24="","",IF(反向題設定!$C$43="是",反向題設定!$B$2+1-原始資料!AN24,原始資料!AN24))</f>
        <v/>
      </c>
      <c r="AO24">
        <f>IF(原始資料!AO24="","",IF(反向題設定!$C$44="是",反向題設定!$B$2+1-原始資料!AO24,原始資料!AO24))</f>
        <v/>
      </c>
      <c r="AP24">
        <f>IF(COUNT(B24:AO24)=0,"",SUM(B24:AO24))</f>
        <v/>
      </c>
      <c r="AQ24">
        <f>IF(AP24="","",IF(AP24&gt;=項目分析!$C$5,"高",IF(AP24&lt;=項目分析!$C$6,"低","")))</f>
        <v/>
      </c>
    </row>
    <row r="25">
      <c r="A25">
        <f>IF(原始資料!A25="","",原始資料!A25)</f>
        <v/>
      </c>
      <c r="B25">
        <f>IF(原始資料!B25="","",IF(反向題設定!$C$5="是",反向題設定!$B$2+1-原始資料!B25,原始資料!B25))</f>
        <v/>
      </c>
      <c r="C25">
        <f>IF(原始資料!C25="","",IF(反向題設定!$C$6="是",反向題設定!$B$2+1-原始資料!C25,原始資料!C25))</f>
        <v/>
      </c>
      <c r="D25">
        <f>IF(原始資料!D25="","",IF(反向題設定!$C$7="是",反向題設定!$B$2+1-原始資料!D25,原始資料!D25))</f>
        <v/>
      </c>
      <c r="E25">
        <f>IF(原始資料!E25="","",IF(反向題設定!$C$8="是",反向題設定!$B$2+1-原始資料!E25,原始資料!E25))</f>
        <v/>
      </c>
      <c r="F25">
        <f>IF(原始資料!F25="","",IF(反向題設定!$C$9="是",反向題設定!$B$2+1-原始資料!F25,原始資料!F25))</f>
        <v/>
      </c>
      <c r="G25">
        <f>IF(原始資料!G25="","",IF(反向題設定!$C$10="是",反向題設定!$B$2+1-原始資料!G25,原始資料!G25))</f>
        <v/>
      </c>
      <c r="H25">
        <f>IF(原始資料!H25="","",IF(反向題設定!$C$11="是",反向題設定!$B$2+1-原始資料!H25,原始資料!H25))</f>
        <v/>
      </c>
      <c r="I25">
        <f>IF(原始資料!I25="","",IF(反向題設定!$C$12="是",反向題設定!$B$2+1-原始資料!I25,原始資料!I25))</f>
        <v/>
      </c>
      <c r="J25">
        <f>IF(原始資料!J25="","",IF(反向題設定!$C$13="是",反向題設定!$B$2+1-原始資料!J25,原始資料!J25))</f>
        <v/>
      </c>
      <c r="K25">
        <f>IF(原始資料!K25="","",IF(反向題設定!$C$14="是",反向題設定!$B$2+1-原始資料!K25,原始資料!K25))</f>
        <v/>
      </c>
      <c r="L25">
        <f>IF(原始資料!L25="","",IF(反向題設定!$C$15="是",反向題設定!$B$2+1-原始資料!L25,原始資料!L25))</f>
        <v/>
      </c>
      <c r="M25">
        <f>IF(原始資料!M25="","",IF(反向題設定!$C$16="是",反向題設定!$B$2+1-原始資料!M25,原始資料!M25))</f>
        <v/>
      </c>
      <c r="N25">
        <f>IF(原始資料!N25="","",IF(反向題設定!$C$17="是",反向題設定!$B$2+1-原始資料!N25,原始資料!N25))</f>
        <v/>
      </c>
      <c r="O25">
        <f>IF(原始資料!O25="","",IF(反向題設定!$C$18="是",反向題設定!$B$2+1-原始資料!O25,原始資料!O25))</f>
        <v/>
      </c>
      <c r="P25">
        <f>IF(原始資料!P25="","",IF(反向題設定!$C$19="是",反向題設定!$B$2+1-原始資料!P25,原始資料!P25))</f>
        <v/>
      </c>
      <c r="Q25">
        <f>IF(原始資料!Q25="","",IF(反向題設定!$C$20="是",反向題設定!$B$2+1-原始資料!Q25,原始資料!Q25))</f>
        <v/>
      </c>
      <c r="R25">
        <f>IF(原始資料!R25="","",IF(反向題設定!$C$21="是",反向題設定!$B$2+1-原始資料!R25,原始資料!R25))</f>
        <v/>
      </c>
      <c r="S25">
        <f>IF(原始資料!S25="","",IF(反向題設定!$C$22="是",反向題設定!$B$2+1-原始資料!S25,原始資料!S25))</f>
        <v/>
      </c>
      <c r="T25">
        <f>IF(原始資料!T25="","",IF(反向題設定!$C$23="是",反向題設定!$B$2+1-原始資料!T25,原始資料!T25))</f>
        <v/>
      </c>
      <c r="U25">
        <f>IF(原始資料!U25="","",IF(反向題設定!$C$24="是",反向題設定!$B$2+1-原始資料!U25,原始資料!U25))</f>
        <v/>
      </c>
      <c r="V25">
        <f>IF(原始資料!V25="","",IF(反向題設定!$C$25="是",反向題設定!$B$2+1-原始資料!V25,原始資料!V25))</f>
        <v/>
      </c>
      <c r="W25">
        <f>IF(原始資料!W25="","",IF(反向題設定!$C$26="是",反向題設定!$B$2+1-原始資料!W25,原始資料!W25))</f>
        <v/>
      </c>
      <c r="X25">
        <f>IF(原始資料!X25="","",IF(反向題設定!$C$27="是",反向題設定!$B$2+1-原始資料!X25,原始資料!X25))</f>
        <v/>
      </c>
      <c r="Y25">
        <f>IF(原始資料!Y25="","",IF(反向題設定!$C$28="是",反向題設定!$B$2+1-原始資料!Y25,原始資料!Y25))</f>
        <v/>
      </c>
      <c r="Z25">
        <f>IF(原始資料!Z25="","",IF(反向題設定!$C$29="是",反向題設定!$B$2+1-原始資料!Z25,原始資料!Z25))</f>
        <v/>
      </c>
      <c r="AA25">
        <f>IF(原始資料!AA25="","",IF(反向題設定!$C$30="是",反向題設定!$B$2+1-原始資料!AA25,原始資料!AA25))</f>
        <v/>
      </c>
      <c r="AB25">
        <f>IF(原始資料!AB25="","",IF(反向題設定!$C$31="是",反向題設定!$B$2+1-原始資料!AB25,原始資料!AB25))</f>
        <v/>
      </c>
      <c r="AC25">
        <f>IF(原始資料!AC25="","",IF(反向題設定!$C$32="是",反向題設定!$B$2+1-原始資料!AC25,原始資料!AC25))</f>
        <v/>
      </c>
      <c r="AD25">
        <f>IF(原始資料!AD25="","",IF(反向題設定!$C$33="是",反向題設定!$B$2+1-原始資料!AD25,原始資料!AD25))</f>
        <v/>
      </c>
      <c r="AE25">
        <f>IF(原始資料!AE25="","",IF(反向題設定!$C$34="是",反向題設定!$B$2+1-原始資料!AE25,原始資料!AE25))</f>
        <v/>
      </c>
      <c r="AF25">
        <f>IF(原始資料!AF25="","",IF(反向題設定!$C$35="是",反向題設定!$B$2+1-原始資料!AF25,原始資料!AF25))</f>
        <v/>
      </c>
      <c r="AG25">
        <f>IF(原始資料!AG25="","",IF(反向題設定!$C$36="是",反向題設定!$B$2+1-原始資料!AG25,原始資料!AG25))</f>
        <v/>
      </c>
      <c r="AH25">
        <f>IF(原始資料!AH25="","",IF(反向題設定!$C$37="是",反向題設定!$B$2+1-原始資料!AH25,原始資料!AH25))</f>
        <v/>
      </c>
      <c r="AI25">
        <f>IF(原始資料!AI25="","",IF(反向題設定!$C$38="是",反向題設定!$B$2+1-原始資料!AI25,原始資料!AI25))</f>
        <v/>
      </c>
      <c r="AJ25">
        <f>IF(原始資料!AJ25="","",IF(反向題設定!$C$39="是",反向題設定!$B$2+1-原始資料!AJ25,原始資料!AJ25))</f>
        <v/>
      </c>
      <c r="AK25">
        <f>IF(原始資料!AK25="","",IF(反向題設定!$C$40="是",反向題設定!$B$2+1-原始資料!AK25,原始資料!AK25))</f>
        <v/>
      </c>
      <c r="AL25">
        <f>IF(原始資料!AL25="","",IF(反向題設定!$C$41="是",反向題設定!$B$2+1-原始資料!AL25,原始資料!AL25))</f>
        <v/>
      </c>
      <c r="AM25">
        <f>IF(原始資料!AM25="","",IF(反向題設定!$C$42="是",反向題設定!$B$2+1-原始資料!AM25,原始資料!AM25))</f>
        <v/>
      </c>
      <c r="AN25">
        <f>IF(原始資料!AN25="","",IF(反向題設定!$C$43="是",反向題設定!$B$2+1-原始資料!AN25,原始資料!AN25))</f>
        <v/>
      </c>
      <c r="AO25">
        <f>IF(原始資料!AO25="","",IF(反向題設定!$C$44="是",反向題設定!$B$2+1-原始資料!AO25,原始資料!AO25))</f>
        <v/>
      </c>
      <c r="AP25">
        <f>IF(COUNT(B25:AO25)=0,"",SUM(B25:AO25))</f>
        <v/>
      </c>
      <c r="AQ25">
        <f>IF(AP25="","",IF(AP25&gt;=項目分析!$C$5,"高",IF(AP25&lt;=項目分析!$C$6,"低","")))</f>
        <v/>
      </c>
    </row>
    <row r="26">
      <c r="A26">
        <f>IF(原始資料!A26="","",原始資料!A26)</f>
        <v/>
      </c>
      <c r="B26">
        <f>IF(原始資料!B26="","",IF(反向題設定!$C$5="是",反向題設定!$B$2+1-原始資料!B26,原始資料!B26))</f>
        <v/>
      </c>
      <c r="C26">
        <f>IF(原始資料!C26="","",IF(反向題設定!$C$6="是",反向題設定!$B$2+1-原始資料!C26,原始資料!C26))</f>
        <v/>
      </c>
      <c r="D26">
        <f>IF(原始資料!D26="","",IF(反向題設定!$C$7="是",反向題設定!$B$2+1-原始資料!D26,原始資料!D26))</f>
        <v/>
      </c>
      <c r="E26">
        <f>IF(原始資料!E26="","",IF(反向題設定!$C$8="是",反向題設定!$B$2+1-原始資料!E26,原始資料!E26))</f>
        <v/>
      </c>
      <c r="F26">
        <f>IF(原始資料!F26="","",IF(反向題設定!$C$9="是",反向題設定!$B$2+1-原始資料!F26,原始資料!F26))</f>
        <v/>
      </c>
      <c r="G26">
        <f>IF(原始資料!G26="","",IF(反向題設定!$C$10="是",反向題設定!$B$2+1-原始資料!G26,原始資料!G26))</f>
        <v/>
      </c>
      <c r="H26">
        <f>IF(原始資料!H26="","",IF(反向題設定!$C$11="是",反向題設定!$B$2+1-原始資料!H26,原始資料!H26))</f>
        <v/>
      </c>
      <c r="I26">
        <f>IF(原始資料!I26="","",IF(反向題設定!$C$12="是",反向題設定!$B$2+1-原始資料!I26,原始資料!I26))</f>
        <v/>
      </c>
      <c r="J26">
        <f>IF(原始資料!J26="","",IF(反向題設定!$C$13="是",反向題設定!$B$2+1-原始資料!J26,原始資料!J26))</f>
        <v/>
      </c>
      <c r="K26">
        <f>IF(原始資料!K26="","",IF(反向題設定!$C$14="是",反向題設定!$B$2+1-原始資料!K26,原始資料!K26))</f>
        <v/>
      </c>
      <c r="L26">
        <f>IF(原始資料!L26="","",IF(反向題設定!$C$15="是",反向題設定!$B$2+1-原始資料!L26,原始資料!L26))</f>
        <v/>
      </c>
      <c r="M26">
        <f>IF(原始資料!M26="","",IF(反向題設定!$C$16="是",反向題設定!$B$2+1-原始資料!M26,原始資料!M26))</f>
        <v/>
      </c>
      <c r="N26">
        <f>IF(原始資料!N26="","",IF(反向題設定!$C$17="是",反向題設定!$B$2+1-原始資料!N26,原始資料!N26))</f>
        <v/>
      </c>
      <c r="O26">
        <f>IF(原始資料!O26="","",IF(反向題設定!$C$18="是",反向題設定!$B$2+1-原始資料!O26,原始資料!O26))</f>
        <v/>
      </c>
      <c r="P26">
        <f>IF(原始資料!P26="","",IF(反向題設定!$C$19="是",反向題設定!$B$2+1-原始資料!P26,原始資料!P26))</f>
        <v/>
      </c>
      <c r="Q26">
        <f>IF(原始資料!Q26="","",IF(反向題設定!$C$20="是",反向題設定!$B$2+1-原始資料!Q26,原始資料!Q26))</f>
        <v/>
      </c>
      <c r="R26">
        <f>IF(原始資料!R26="","",IF(反向題設定!$C$21="是",反向題設定!$B$2+1-原始資料!R26,原始資料!R26))</f>
        <v/>
      </c>
      <c r="S26">
        <f>IF(原始資料!S26="","",IF(反向題設定!$C$22="是",反向題設定!$B$2+1-原始資料!S26,原始資料!S26))</f>
        <v/>
      </c>
      <c r="T26">
        <f>IF(原始資料!T26="","",IF(反向題設定!$C$23="是",反向題設定!$B$2+1-原始資料!T26,原始資料!T26))</f>
        <v/>
      </c>
      <c r="U26">
        <f>IF(原始資料!U26="","",IF(反向題設定!$C$24="是",反向題設定!$B$2+1-原始資料!U26,原始資料!U26))</f>
        <v/>
      </c>
      <c r="V26">
        <f>IF(原始資料!V26="","",IF(反向題設定!$C$25="是",反向題設定!$B$2+1-原始資料!V26,原始資料!V26))</f>
        <v/>
      </c>
      <c r="W26">
        <f>IF(原始資料!W26="","",IF(反向題設定!$C$26="是",反向題設定!$B$2+1-原始資料!W26,原始資料!W26))</f>
        <v/>
      </c>
      <c r="X26">
        <f>IF(原始資料!X26="","",IF(反向題設定!$C$27="是",反向題設定!$B$2+1-原始資料!X26,原始資料!X26))</f>
        <v/>
      </c>
      <c r="Y26">
        <f>IF(原始資料!Y26="","",IF(反向題設定!$C$28="是",反向題設定!$B$2+1-原始資料!Y26,原始資料!Y26))</f>
        <v/>
      </c>
      <c r="Z26">
        <f>IF(原始資料!Z26="","",IF(反向題設定!$C$29="是",反向題設定!$B$2+1-原始資料!Z26,原始資料!Z26))</f>
        <v/>
      </c>
      <c r="AA26">
        <f>IF(原始資料!AA26="","",IF(反向題設定!$C$30="是",反向題設定!$B$2+1-原始資料!AA26,原始資料!AA26))</f>
        <v/>
      </c>
      <c r="AB26">
        <f>IF(原始資料!AB26="","",IF(反向題設定!$C$31="是",反向題設定!$B$2+1-原始資料!AB26,原始資料!AB26))</f>
        <v/>
      </c>
      <c r="AC26">
        <f>IF(原始資料!AC26="","",IF(反向題設定!$C$32="是",反向題設定!$B$2+1-原始資料!AC26,原始資料!AC26))</f>
        <v/>
      </c>
      <c r="AD26">
        <f>IF(原始資料!AD26="","",IF(反向題設定!$C$33="是",反向題設定!$B$2+1-原始資料!AD26,原始資料!AD26))</f>
        <v/>
      </c>
      <c r="AE26">
        <f>IF(原始資料!AE26="","",IF(反向題設定!$C$34="是",反向題設定!$B$2+1-原始資料!AE26,原始資料!AE26))</f>
        <v/>
      </c>
      <c r="AF26">
        <f>IF(原始資料!AF26="","",IF(反向題設定!$C$35="是",反向題設定!$B$2+1-原始資料!AF26,原始資料!AF26))</f>
        <v/>
      </c>
      <c r="AG26">
        <f>IF(原始資料!AG26="","",IF(反向題設定!$C$36="是",反向題設定!$B$2+1-原始資料!AG26,原始資料!AG26))</f>
        <v/>
      </c>
      <c r="AH26">
        <f>IF(原始資料!AH26="","",IF(反向題設定!$C$37="是",反向題設定!$B$2+1-原始資料!AH26,原始資料!AH26))</f>
        <v/>
      </c>
      <c r="AI26">
        <f>IF(原始資料!AI26="","",IF(反向題設定!$C$38="是",反向題設定!$B$2+1-原始資料!AI26,原始資料!AI26))</f>
        <v/>
      </c>
      <c r="AJ26">
        <f>IF(原始資料!AJ26="","",IF(反向題設定!$C$39="是",反向題設定!$B$2+1-原始資料!AJ26,原始資料!AJ26))</f>
        <v/>
      </c>
      <c r="AK26">
        <f>IF(原始資料!AK26="","",IF(反向題設定!$C$40="是",反向題設定!$B$2+1-原始資料!AK26,原始資料!AK26))</f>
        <v/>
      </c>
      <c r="AL26">
        <f>IF(原始資料!AL26="","",IF(反向題設定!$C$41="是",反向題設定!$B$2+1-原始資料!AL26,原始資料!AL26))</f>
        <v/>
      </c>
      <c r="AM26">
        <f>IF(原始資料!AM26="","",IF(反向題設定!$C$42="是",反向題設定!$B$2+1-原始資料!AM26,原始資料!AM26))</f>
        <v/>
      </c>
      <c r="AN26">
        <f>IF(原始資料!AN26="","",IF(反向題設定!$C$43="是",反向題設定!$B$2+1-原始資料!AN26,原始資料!AN26))</f>
        <v/>
      </c>
      <c r="AO26">
        <f>IF(原始資料!AO26="","",IF(反向題設定!$C$44="是",反向題設定!$B$2+1-原始資料!AO26,原始資料!AO26))</f>
        <v/>
      </c>
      <c r="AP26">
        <f>IF(COUNT(B26:AO26)=0,"",SUM(B26:AO26))</f>
        <v/>
      </c>
      <c r="AQ26">
        <f>IF(AP26="","",IF(AP26&gt;=項目分析!$C$5,"高",IF(AP26&lt;=項目分析!$C$6,"低","")))</f>
        <v/>
      </c>
    </row>
    <row r="27">
      <c r="A27">
        <f>IF(原始資料!A27="","",原始資料!A27)</f>
        <v/>
      </c>
      <c r="B27">
        <f>IF(原始資料!B27="","",IF(反向題設定!$C$5="是",反向題設定!$B$2+1-原始資料!B27,原始資料!B27))</f>
        <v/>
      </c>
      <c r="C27">
        <f>IF(原始資料!C27="","",IF(反向題設定!$C$6="是",反向題設定!$B$2+1-原始資料!C27,原始資料!C27))</f>
        <v/>
      </c>
      <c r="D27">
        <f>IF(原始資料!D27="","",IF(反向題設定!$C$7="是",反向題設定!$B$2+1-原始資料!D27,原始資料!D27))</f>
        <v/>
      </c>
      <c r="E27">
        <f>IF(原始資料!E27="","",IF(反向題設定!$C$8="是",反向題設定!$B$2+1-原始資料!E27,原始資料!E27))</f>
        <v/>
      </c>
      <c r="F27">
        <f>IF(原始資料!F27="","",IF(反向題設定!$C$9="是",反向題設定!$B$2+1-原始資料!F27,原始資料!F27))</f>
        <v/>
      </c>
      <c r="G27">
        <f>IF(原始資料!G27="","",IF(反向題設定!$C$10="是",反向題設定!$B$2+1-原始資料!G27,原始資料!G27))</f>
        <v/>
      </c>
      <c r="H27">
        <f>IF(原始資料!H27="","",IF(反向題設定!$C$11="是",反向題設定!$B$2+1-原始資料!H27,原始資料!H27))</f>
        <v/>
      </c>
      <c r="I27">
        <f>IF(原始資料!I27="","",IF(反向題設定!$C$12="是",反向題設定!$B$2+1-原始資料!I27,原始資料!I27))</f>
        <v/>
      </c>
      <c r="J27">
        <f>IF(原始資料!J27="","",IF(反向題設定!$C$13="是",反向題設定!$B$2+1-原始資料!J27,原始資料!J27))</f>
        <v/>
      </c>
      <c r="K27">
        <f>IF(原始資料!K27="","",IF(反向題設定!$C$14="是",反向題設定!$B$2+1-原始資料!K27,原始資料!K27))</f>
        <v/>
      </c>
      <c r="L27">
        <f>IF(原始資料!L27="","",IF(反向題設定!$C$15="是",反向題設定!$B$2+1-原始資料!L27,原始資料!L27))</f>
        <v/>
      </c>
      <c r="M27">
        <f>IF(原始資料!M27="","",IF(反向題設定!$C$16="是",反向題設定!$B$2+1-原始資料!M27,原始資料!M27))</f>
        <v/>
      </c>
      <c r="N27">
        <f>IF(原始資料!N27="","",IF(反向題設定!$C$17="是",反向題設定!$B$2+1-原始資料!N27,原始資料!N27))</f>
        <v/>
      </c>
      <c r="O27">
        <f>IF(原始資料!O27="","",IF(反向題設定!$C$18="是",反向題設定!$B$2+1-原始資料!O27,原始資料!O27))</f>
        <v/>
      </c>
      <c r="P27">
        <f>IF(原始資料!P27="","",IF(反向題設定!$C$19="是",反向題設定!$B$2+1-原始資料!P27,原始資料!P27))</f>
        <v/>
      </c>
      <c r="Q27">
        <f>IF(原始資料!Q27="","",IF(反向題設定!$C$20="是",反向題設定!$B$2+1-原始資料!Q27,原始資料!Q27))</f>
        <v/>
      </c>
      <c r="R27">
        <f>IF(原始資料!R27="","",IF(反向題設定!$C$21="是",反向題設定!$B$2+1-原始資料!R27,原始資料!R27))</f>
        <v/>
      </c>
      <c r="S27">
        <f>IF(原始資料!S27="","",IF(反向題設定!$C$22="是",反向題設定!$B$2+1-原始資料!S27,原始資料!S27))</f>
        <v/>
      </c>
      <c r="T27">
        <f>IF(原始資料!T27="","",IF(反向題設定!$C$23="是",反向題設定!$B$2+1-原始資料!T27,原始資料!T27))</f>
        <v/>
      </c>
      <c r="U27">
        <f>IF(原始資料!U27="","",IF(反向題設定!$C$24="是",反向題設定!$B$2+1-原始資料!U27,原始資料!U27))</f>
        <v/>
      </c>
      <c r="V27">
        <f>IF(原始資料!V27="","",IF(反向題設定!$C$25="是",反向題設定!$B$2+1-原始資料!V27,原始資料!V27))</f>
        <v/>
      </c>
      <c r="W27">
        <f>IF(原始資料!W27="","",IF(反向題設定!$C$26="是",反向題設定!$B$2+1-原始資料!W27,原始資料!W27))</f>
        <v/>
      </c>
      <c r="X27">
        <f>IF(原始資料!X27="","",IF(反向題設定!$C$27="是",反向題設定!$B$2+1-原始資料!X27,原始資料!X27))</f>
        <v/>
      </c>
      <c r="Y27">
        <f>IF(原始資料!Y27="","",IF(反向題設定!$C$28="是",反向題設定!$B$2+1-原始資料!Y27,原始資料!Y27))</f>
        <v/>
      </c>
      <c r="Z27">
        <f>IF(原始資料!Z27="","",IF(反向題設定!$C$29="是",反向題設定!$B$2+1-原始資料!Z27,原始資料!Z27))</f>
        <v/>
      </c>
      <c r="AA27">
        <f>IF(原始資料!AA27="","",IF(反向題設定!$C$30="是",反向題設定!$B$2+1-原始資料!AA27,原始資料!AA27))</f>
        <v/>
      </c>
      <c r="AB27">
        <f>IF(原始資料!AB27="","",IF(反向題設定!$C$31="是",反向題設定!$B$2+1-原始資料!AB27,原始資料!AB27))</f>
        <v/>
      </c>
      <c r="AC27">
        <f>IF(原始資料!AC27="","",IF(反向題設定!$C$32="是",反向題設定!$B$2+1-原始資料!AC27,原始資料!AC27))</f>
        <v/>
      </c>
      <c r="AD27">
        <f>IF(原始資料!AD27="","",IF(反向題設定!$C$33="是",反向題設定!$B$2+1-原始資料!AD27,原始資料!AD27))</f>
        <v/>
      </c>
      <c r="AE27">
        <f>IF(原始資料!AE27="","",IF(反向題設定!$C$34="是",反向題設定!$B$2+1-原始資料!AE27,原始資料!AE27))</f>
        <v/>
      </c>
      <c r="AF27">
        <f>IF(原始資料!AF27="","",IF(反向題設定!$C$35="是",反向題設定!$B$2+1-原始資料!AF27,原始資料!AF27))</f>
        <v/>
      </c>
      <c r="AG27">
        <f>IF(原始資料!AG27="","",IF(反向題設定!$C$36="是",反向題設定!$B$2+1-原始資料!AG27,原始資料!AG27))</f>
        <v/>
      </c>
      <c r="AH27">
        <f>IF(原始資料!AH27="","",IF(反向題設定!$C$37="是",反向題設定!$B$2+1-原始資料!AH27,原始資料!AH27))</f>
        <v/>
      </c>
      <c r="AI27">
        <f>IF(原始資料!AI27="","",IF(反向題設定!$C$38="是",反向題設定!$B$2+1-原始資料!AI27,原始資料!AI27))</f>
        <v/>
      </c>
      <c r="AJ27">
        <f>IF(原始資料!AJ27="","",IF(反向題設定!$C$39="是",反向題設定!$B$2+1-原始資料!AJ27,原始資料!AJ27))</f>
        <v/>
      </c>
      <c r="AK27">
        <f>IF(原始資料!AK27="","",IF(反向題設定!$C$40="是",反向題設定!$B$2+1-原始資料!AK27,原始資料!AK27))</f>
        <v/>
      </c>
      <c r="AL27">
        <f>IF(原始資料!AL27="","",IF(反向題設定!$C$41="是",反向題設定!$B$2+1-原始資料!AL27,原始資料!AL27))</f>
        <v/>
      </c>
      <c r="AM27">
        <f>IF(原始資料!AM27="","",IF(反向題設定!$C$42="是",反向題設定!$B$2+1-原始資料!AM27,原始資料!AM27))</f>
        <v/>
      </c>
      <c r="AN27">
        <f>IF(原始資料!AN27="","",IF(反向題設定!$C$43="是",反向題設定!$B$2+1-原始資料!AN27,原始資料!AN27))</f>
        <v/>
      </c>
      <c r="AO27">
        <f>IF(原始資料!AO27="","",IF(反向題設定!$C$44="是",反向題設定!$B$2+1-原始資料!AO27,原始資料!AO27))</f>
        <v/>
      </c>
      <c r="AP27">
        <f>IF(COUNT(B27:AO27)=0,"",SUM(B27:AO27))</f>
        <v/>
      </c>
      <c r="AQ27">
        <f>IF(AP27="","",IF(AP27&gt;=項目分析!$C$5,"高",IF(AP27&lt;=項目分析!$C$6,"低","")))</f>
        <v/>
      </c>
    </row>
    <row r="28">
      <c r="A28">
        <f>IF(原始資料!A28="","",原始資料!A28)</f>
        <v/>
      </c>
      <c r="B28">
        <f>IF(原始資料!B28="","",IF(反向題設定!$C$5="是",反向題設定!$B$2+1-原始資料!B28,原始資料!B28))</f>
        <v/>
      </c>
      <c r="C28">
        <f>IF(原始資料!C28="","",IF(反向題設定!$C$6="是",反向題設定!$B$2+1-原始資料!C28,原始資料!C28))</f>
        <v/>
      </c>
      <c r="D28">
        <f>IF(原始資料!D28="","",IF(反向題設定!$C$7="是",反向題設定!$B$2+1-原始資料!D28,原始資料!D28))</f>
        <v/>
      </c>
      <c r="E28">
        <f>IF(原始資料!E28="","",IF(反向題設定!$C$8="是",反向題設定!$B$2+1-原始資料!E28,原始資料!E28))</f>
        <v/>
      </c>
      <c r="F28">
        <f>IF(原始資料!F28="","",IF(反向題設定!$C$9="是",反向題設定!$B$2+1-原始資料!F28,原始資料!F28))</f>
        <v/>
      </c>
      <c r="G28">
        <f>IF(原始資料!G28="","",IF(反向題設定!$C$10="是",反向題設定!$B$2+1-原始資料!G28,原始資料!G28))</f>
        <v/>
      </c>
      <c r="H28">
        <f>IF(原始資料!H28="","",IF(反向題設定!$C$11="是",反向題設定!$B$2+1-原始資料!H28,原始資料!H28))</f>
        <v/>
      </c>
      <c r="I28">
        <f>IF(原始資料!I28="","",IF(反向題設定!$C$12="是",反向題設定!$B$2+1-原始資料!I28,原始資料!I28))</f>
        <v/>
      </c>
      <c r="J28">
        <f>IF(原始資料!J28="","",IF(反向題設定!$C$13="是",反向題設定!$B$2+1-原始資料!J28,原始資料!J28))</f>
        <v/>
      </c>
      <c r="K28">
        <f>IF(原始資料!K28="","",IF(反向題設定!$C$14="是",反向題設定!$B$2+1-原始資料!K28,原始資料!K28))</f>
        <v/>
      </c>
      <c r="L28">
        <f>IF(原始資料!L28="","",IF(反向題設定!$C$15="是",反向題設定!$B$2+1-原始資料!L28,原始資料!L28))</f>
        <v/>
      </c>
      <c r="M28">
        <f>IF(原始資料!M28="","",IF(反向題設定!$C$16="是",反向題設定!$B$2+1-原始資料!M28,原始資料!M28))</f>
        <v/>
      </c>
      <c r="N28">
        <f>IF(原始資料!N28="","",IF(反向題設定!$C$17="是",反向題設定!$B$2+1-原始資料!N28,原始資料!N28))</f>
        <v/>
      </c>
      <c r="O28">
        <f>IF(原始資料!O28="","",IF(反向題設定!$C$18="是",反向題設定!$B$2+1-原始資料!O28,原始資料!O28))</f>
        <v/>
      </c>
      <c r="P28">
        <f>IF(原始資料!P28="","",IF(反向題設定!$C$19="是",反向題設定!$B$2+1-原始資料!P28,原始資料!P28))</f>
        <v/>
      </c>
      <c r="Q28">
        <f>IF(原始資料!Q28="","",IF(反向題設定!$C$20="是",反向題設定!$B$2+1-原始資料!Q28,原始資料!Q28))</f>
        <v/>
      </c>
      <c r="R28">
        <f>IF(原始資料!R28="","",IF(反向題設定!$C$21="是",反向題設定!$B$2+1-原始資料!R28,原始資料!R28))</f>
        <v/>
      </c>
      <c r="S28">
        <f>IF(原始資料!S28="","",IF(反向題設定!$C$22="是",反向題設定!$B$2+1-原始資料!S28,原始資料!S28))</f>
        <v/>
      </c>
      <c r="T28">
        <f>IF(原始資料!T28="","",IF(反向題設定!$C$23="是",反向題設定!$B$2+1-原始資料!T28,原始資料!T28))</f>
        <v/>
      </c>
      <c r="U28">
        <f>IF(原始資料!U28="","",IF(反向題設定!$C$24="是",反向題設定!$B$2+1-原始資料!U28,原始資料!U28))</f>
        <v/>
      </c>
      <c r="V28">
        <f>IF(原始資料!V28="","",IF(反向題設定!$C$25="是",反向題設定!$B$2+1-原始資料!V28,原始資料!V28))</f>
        <v/>
      </c>
      <c r="W28">
        <f>IF(原始資料!W28="","",IF(反向題設定!$C$26="是",反向題設定!$B$2+1-原始資料!W28,原始資料!W28))</f>
        <v/>
      </c>
      <c r="X28">
        <f>IF(原始資料!X28="","",IF(反向題設定!$C$27="是",反向題設定!$B$2+1-原始資料!X28,原始資料!X28))</f>
        <v/>
      </c>
      <c r="Y28">
        <f>IF(原始資料!Y28="","",IF(反向題設定!$C$28="是",反向題設定!$B$2+1-原始資料!Y28,原始資料!Y28))</f>
        <v/>
      </c>
      <c r="Z28">
        <f>IF(原始資料!Z28="","",IF(反向題設定!$C$29="是",反向題設定!$B$2+1-原始資料!Z28,原始資料!Z28))</f>
        <v/>
      </c>
      <c r="AA28">
        <f>IF(原始資料!AA28="","",IF(反向題設定!$C$30="是",反向題設定!$B$2+1-原始資料!AA28,原始資料!AA28))</f>
        <v/>
      </c>
      <c r="AB28">
        <f>IF(原始資料!AB28="","",IF(反向題設定!$C$31="是",反向題設定!$B$2+1-原始資料!AB28,原始資料!AB28))</f>
        <v/>
      </c>
      <c r="AC28">
        <f>IF(原始資料!AC28="","",IF(反向題設定!$C$32="是",反向題設定!$B$2+1-原始資料!AC28,原始資料!AC28))</f>
        <v/>
      </c>
      <c r="AD28">
        <f>IF(原始資料!AD28="","",IF(反向題設定!$C$33="是",反向題設定!$B$2+1-原始資料!AD28,原始資料!AD28))</f>
        <v/>
      </c>
      <c r="AE28">
        <f>IF(原始資料!AE28="","",IF(反向題設定!$C$34="是",反向題設定!$B$2+1-原始資料!AE28,原始資料!AE28))</f>
        <v/>
      </c>
      <c r="AF28">
        <f>IF(原始資料!AF28="","",IF(反向題設定!$C$35="是",反向題設定!$B$2+1-原始資料!AF28,原始資料!AF28))</f>
        <v/>
      </c>
      <c r="AG28">
        <f>IF(原始資料!AG28="","",IF(反向題設定!$C$36="是",反向題設定!$B$2+1-原始資料!AG28,原始資料!AG28))</f>
        <v/>
      </c>
      <c r="AH28">
        <f>IF(原始資料!AH28="","",IF(反向題設定!$C$37="是",反向題設定!$B$2+1-原始資料!AH28,原始資料!AH28))</f>
        <v/>
      </c>
      <c r="AI28">
        <f>IF(原始資料!AI28="","",IF(反向題設定!$C$38="是",反向題設定!$B$2+1-原始資料!AI28,原始資料!AI28))</f>
        <v/>
      </c>
      <c r="AJ28">
        <f>IF(原始資料!AJ28="","",IF(反向題設定!$C$39="是",反向題設定!$B$2+1-原始資料!AJ28,原始資料!AJ28))</f>
        <v/>
      </c>
      <c r="AK28">
        <f>IF(原始資料!AK28="","",IF(反向題設定!$C$40="是",反向題設定!$B$2+1-原始資料!AK28,原始資料!AK28))</f>
        <v/>
      </c>
      <c r="AL28">
        <f>IF(原始資料!AL28="","",IF(反向題設定!$C$41="是",反向題設定!$B$2+1-原始資料!AL28,原始資料!AL28))</f>
        <v/>
      </c>
      <c r="AM28">
        <f>IF(原始資料!AM28="","",IF(反向題設定!$C$42="是",反向題設定!$B$2+1-原始資料!AM28,原始資料!AM28))</f>
        <v/>
      </c>
      <c r="AN28">
        <f>IF(原始資料!AN28="","",IF(反向題設定!$C$43="是",反向題設定!$B$2+1-原始資料!AN28,原始資料!AN28))</f>
        <v/>
      </c>
      <c r="AO28">
        <f>IF(原始資料!AO28="","",IF(反向題設定!$C$44="是",反向題設定!$B$2+1-原始資料!AO28,原始資料!AO28))</f>
        <v/>
      </c>
      <c r="AP28">
        <f>IF(COUNT(B28:AO28)=0,"",SUM(B28:AO28))</f>
        <v/>
      </c>
      <c r="AQ28">
        <f>IF(AP28="","",IF(AP28&gt;=項目分析!$C$5,"高",IF(AP28&lt;=項目分析!$C$6,"低","")))</f>
        <v/>
      </c>
    </row>
    <row r="29">
      <c r="A29">
        <f>IF(原始資料!A29="","",原始資料!A29)</f>
        <v/>
      </c>
      <c r="B29">
        <f>IF(原始資料!B29="","",IF(反向題設定!$C$5="是",反向題設定!$B$2+1-原始資料!B29,原始資料!B29))</f>
        <v/>
      </c>
      <c r="C29">
        <f>IF(原始資料!C29="","",IF(反向題設定!$C$6="是",反向題設定!$B$2+1-原始資料!C29,原始資料!C29))</f>
        <v/>
      </c>
      <c r="D29">
        <f>IF(原始資料!D29="","",IF(反向題設定!$C$7="是",反向題設定!$B$2+1-原始資料!D29,原始資料!D29))</f>
        <v/>
      </c>
      <c r="E29">
        <f>IF(原始資料!E29="","",IF(反向題設定!$C$8="是",反向題設定!$B$2+1-原始資料!E29,原始資料!E29))</f>
        <v/>
      </c>
      <c r="F29">
        <f>IF(原始資料!F29="","",IF(反向題設定!$C$9="是",反向題設定!$B$2+1-原始資料!F29,原始資料!F29))</f>
        <v/>
      </c>
      <c r="G29">
        <f>IF(原始資料!G29="","",IF(反向題設定!$C$10="是",反向題設定!$B$2+1-原始資料!G29,原始資料!G29))</f>
        <v/>
      </c>
      <c r="H29">
        <f>IF(原始資料!H29="","",IF(反向題設定!$C$11="是",反向題設定!$B$2+1-原始資料!H29,原始資料!H29))</f>
        <v/>
      </c>
      <c r="I29">
        <f>IF(原始資料!I29="","",IF(反向題設定!$C$12="是",反向題設定!$B$2+1-原始資料!I29,原始資料!I29))</f>
        <v/>
      </c>
      <c r="J29">
        <f>IF(原始資料!J29="","",IF(反向題設定!$C$13="是",反向題設定!$B$2+1-原始資料!J29,原始資料!J29))</f>
        <v/>
      </c>
      <c r="K29">
        <f>IF(原始資料!K29="","",IF(反向題設定!$C$14="是",反向題設定!$B$2+1-原始資料!K29,原始資料!K29))</f>
        <v/>
      </c>
      <c r="L29">
        <f>IF(原始資料!L29="","",IF(反向題設定!$C$15="是",反向題設定!$B$2+1-原始資料!L29,原始資料!L29))</f>
        <v/>
      </c>
      <c r="M29">
        <f>IF(原始資料!M29="","",IF(反向題設定!$C$16="是",反向題設定!$B$2+1-原始資料!M29,原始資料!M29))</f>
        <v/>
      </c>
      <c r="N29">
        <f>IF(原始資料!N29="","",IF(反向題設定!$C$17="是",反向題設定!$B$2+1-原始資料!N29,原始資料!N29))</f>
        <v/>
      </c>
      <c r="O29">
        <f>IF(原始資料!O29="","",IF(反向題設定!$C$18="是",反向題設定!$B$2+1-原始資料!O29,原始資料!O29))</f>
        <v/>
      </c>
      <c r="P29">
        <f>IF(原始資料!P29="","",IF(反向題設定!$C$19="是",反向題設定!$B$2+1-原始資料!P29,原始資料!P29))</f>
        <v/>
      </c>
      <c r="Q29">
        <f>IF(原始資料!Q29="","",IF(反向題設定!$C$20="是",反向題設定!$B$2+1-原始資料!Q29,原始資料!Q29))</f>
        <v/>
      </c>
      <c r="R29">
        <f>IF(原始資料!R29="","",IF(反向題設定!$C$21="是",反向題設定!$B$2+1-原始資料!R29,原始資料!R29))</f>
        <v/>
      </c>
      <c r="S29">
        <f>IF(原始資料!S29="","",IF(反向題設定!$C$22="是",反向題設定!$B$2+1-原始資料!S29,原始資料!S29))</f>
        <v/>
      </c>
      <c r="T29">
        <f>IF(原始資料!T29="","",IF(反向題設定!$C$23="是",反向題設定!$B$2+1-原始資料!T29,原始資料!T29))</f>
        <v/>
      </c>
      <c r="U29">
        <f>IF(原始資料!U29="","",IF(反向題設定!$C$24="是",反向題設定!$B$2+1-原始資料!U29,原始資料!U29))</f>
        <v/>
      </c>
      <c r="V29">
        <f>IF(原始資料!V29="","",IF(反向題設定!$C$25="是",反向題設定!$B$2+1-原始資料!V29,原始資料!V29))</f>
        <v/>
      </c>
      <c r="W29">
        <f>IF(原始資料!W29="","",IF(反向題設定!$C$26="是",反向題設定!$B$2+1-原始資料!W29,原始資料!W29))</f>
        <v/>
      </c>
      <c r="X29">
        <f>IF(原始資料!X29="","",IF(反向題設定!$C$27="是",反向題設定!$B$2+1-原始資料!X29,原始資料!X29))</f>
        <v/>
      </c>
      <c r="Y29">
        <f>IF(原始資料!Y29="","",IF(反向題設定!$C$28="是",反向題設定!$B$2+1-原始資料!Y29,原始資料!Y29))</f>
        <v/>
      </c>
      <c r="Z29">
        <f>IF(原始資料!Z29="","",IF(反向題設定!$C$29="是",反向題設定!$B$2+1-原始資料!Z29,原始資料!Z29))</f>
        <v/>
      </c>
      <c r="AA29">
        <f>IF(原始資料!AA29="","",IF(反向題設定!$C$30="是",反向題設定!$B$2+1-原始資料!AA29,原始資料!AA29))</f>
        <v/>
      </c>
      <c r="AB29">
        <f>IF(原始資料!AB29="","",IF(反向題設定!$C$31="是",反向題設定!$B$2+1-原始資料!AB29,原始資料!AB29))</f>
        <v/>
      </c>
      <c r="AC29">
        <f>IF(原始資料!AC29="","",IF(反向題設定!$C$32="是",反向題設定!$B$2+1-原始資料!AC29,原始資料!AC29))</f>
        <v/>
      </c>
      <c r="AD29">
        <f>IF(原始資料!AD29="","",IF(反向題設定!$C$33="是",反向題設定!$B$2+1-原始資料!AD29,原始資料!AD29))</f>
        <v/>
      </c>
      <c r="AE29">
        <f>IF(原始資料!AE29="","",IF(反向題設定!$C$34="是",反向題設定!$B$2+1-原始資料!AE29,原始資料!AE29))</f>
        <v/>
      </c>
      <c r="AF29">
        <f>IF(原始資料!AF29="","",IF(反向題設定!$C$35="是",反向題設定!$B$2+1-原始資料!AF29,原始資料!AF29))</f>
        <v/>
      </c>
      <c r="AG29">
        <f>IF(原始資料!AG29="","",IF(反向題設定!$C$36="是",反向題設定!$B$2+1-原始資料!AG29,原始資料!AG29))</f>
        <v/>
      </c>
      <c r="AH29">
        <f>IF(原始資料!AH29="","",IF(反向題設定!$C$37="是",反向題設定!$B$2+1-原始資料!AH29,原始資料!AH29))</f>
        <v/>
      </c>
      <c r="AI29">
        <f>IF(原始資料!AI29="","",IF(反向題設定!$C$38="是",反向題設定!$B$2+1-原始資料!AI29,原始資料!AI29))</f>
        <v/>
      </c>
      <c r="AJ29">
        <f>IF(原始資料!AJ29="","",IF(反向題設定!$C$39="是",反向題設定!$B$2+1-原始資料!AJ29,原始資料!AJ29))</f>
        <v/>
      </c>
      <c r="AK29">
        <f>IF(原始資料!AK29="","",IF(反向題設定!$C$40="是",反向題設定!$B$2+1-原始資料!AK29,原始資料!AK29))</f>
        <v/>
      </c>
      <c r="AL29">
        <f>IF(原始資料!AL29="","",IF(反向題設定!$C$41="是",反向題設定!$B$2+1-原始資料!AL29,原始資料!AL29))</f>
        <v/>
      </c>
      <c r="AM29">
        <f>IF(原始資料!AM29="","",IF(反向題設定!$C$42="是",反向題設定!$B$2+1-原始資料!AM29,原始資料!AM29))</f>
        <v/>
      </c>
      <c r="AN29">
        <f>IF(原始資料!AN29="","",IF(反向題設定!$C$43="是",反向題設定!$B$2+1-原始資料!AN29,原始資料!AN29))</f>
        <v/>
      </c>
      <c r="AO29">
        <f>IF(原始資料!AO29="","",IF(反向題設定!$C$44="是",反向題設定!$B$2+1-原始資料!AO29,原始資料!AO29))</f>
        <v/>
      </c>
      <c r="AP29">
        <f>IF(COUNT(B29:AO29)=0,"",SUM(B29:AO29))</f>
        <v/>
      </c>
      <c r="AQ29">
        <f>IF(AP29="","",IF(AP29&gt;=項目分析!$C$5,"高",IF(AP29&lt;=項目分析!$C$6,"低","")))</f>
        <v/>
      </c>
    </row>
    <row r="30">
      <c r="A30">
        <f>IF(原始資料!A30="","",原始資料!A30)</f>
        <v/>
      </c>
      <c r="B30">
        <f>IF(原始資料!B30="","",IF(反向題設定!$C$5="是",反向題設定!$B$2+1-原始資料!B30,原始資料!B30))</f>
        <v/>
      </c>
      <c r="C30">
        <f>IF(原始資料!C30="","",IF(反向題設定!$C$6="是",反向題設定!$B$2+1-原始資料!C30,原始資料!C30))</f>
        <v/>
      </c>
      <c r="D30">
        <f>IF(原始資料!D30="","",IF(反向題設定!$C$7="是",反向題設定!$B$2+1-原始資料!D30,原始資料!D30))</f>
        <v/>
      </c>
      <c r="E30">
        <f>IF(原始資料!E30="","",IF(反向題設定!$C$8="是",反向題設定!$B$2+1-原始資料!E30,原始資料!E30))</f>
        <v/>
      </c>
      <c r="F30">
        <f>IF(原始資料!F30="","",IF(反向題設定!$C$9="是",反向題設定!$B$2+1-原始資料!F30,原始資料!F30))</f>
        <v/>
      </c>
      <c r="G30">
        <f>IF(原始資料!G30="","",IF(反向題設定!$C$10="是",反向題設定!$B$2+1-原始資料!G30,原始資料!G30))</f>
        <v/>
      </c>
      <c r="H30">
        <f>IF(原始資料!H30="","",IF(反向題設定!$C$11="是",反向題設定!$B$2+1-原始資料!H30,原始資料!H30))</f>
        <v/>
      </c>
      <c r="I30">
        <f>IF(原始資料!I30="","",IF(反向題設定!$C$12="是",反向題設定!$B$2+1-原始資料!I30,原始資料!I30))</f>
        <v/>
      </c>
      <c r="J30">
        <f>IF(原始資料!J30="","",IF(反向題設定!$C$13="是",反向題設定!$B$2+1-原始資料!J30,原始資料!J30))</f>
        <v/>
      </c>
      <c r="K30">
        <f>IF(原始資料!K30="","",IF(反向題設定!$C$14="是",反向題設定!$B$2+1-原始資料!K30,原始資料!K30))</f>
        <v/>
      </c>
      <c r="L30">
        <f>IF(原始資料!L30="","",IF(反向題設定!$C$15="是",反向題設定!$B$2+1-原始資料!L30,原始資料!L30))</f>
        <v/>
      </c>
      <c r="M30">
        <f>IF(原始資料!M30="","",IF(反向題設定!$C$16="是",反向題設定!$B$2+1-原始資料!M30,原始資料!M30))</f>
        <v/>
      </c>
      <c r="N30">
        <f>IF(原始資料!N30="","",IF(反向題設定!$C$17="是",反向題設定!$B$2+1-原始資料!N30,原始資料!N30))</f>
        <v/>
      </c>
      <c r="O30">
        <f>IF(原始資料!O30="","",IF(反向題設定!$C$18="是",反向題設定!$B$2+1-原始資料!O30,原始資料!O30))</f>
        <v/>
      </c>
      <c r="P30">
        <f>IF(原始資料!P30="","",IF(反向題設定!$C$19="是",反向題設定!$B$2+1-原始資料!P30,原始資料!P30))</f>
        <v/>
      </c>
      <c r="Q30">
        <f>IF(原始資料!Q30="","",IF(反向題設定!$C$20="是",反向題設定!$B$2+1-原始資料!Q30,原始資料!Q30))</f>
        <v/>
      </c>
      <c r="R30">
        <f>IF(原始資料!R30="","",IF(反向題設定!$C$21="是",反向題設定!$B$2+1-原始資料!R30,原始資料!R30))</f>
        <v/>
      </c>
      <c r="S30">
        <f>IF(原始資料!S30="","",IF(反向題設定!$C$22="是",反向題設定!$B$2+1-原始資料!S30,原始資料!S30))</f>
        <v/>
      </c>
      <c r="T30">
        <f>IF(原始資料!T30="","",IF(反向題設定!$C$23="是",反向題設定!$B$2+1-原始資料!T30,原始資料!T30))</f>
        <v/>
      </c>
      <c r="U30">
        <f>IF(原始資料!U30="","",IF(反向題設定!$C$24="是",反向題設定!$B$2+1-原始資料!U30,原始資料!U30))</f>
        <v/>
      </c>
      <c r="V30">
        <f>IF(原始資料!V30="","",IF(反向題設定!$C$25="是",反向題設定!$B$2+1-原始資料!V30,原始資料!V30))</f>
        <v/>
      </c>
      <c r="W30">
        <f>IF(原始資料!W30="","",IF(反向題設定!$C$26="是",反向題設定!$B$2+1-原始資料!W30,原始資料!W30))</f>
        <v/>
      </c>
      <c r="X30">
        <f>IF(原始資料!X30="","",IF(反向題設定!$C$27="是",反向題設定!$B$2+1-原始資料!X30,原始資料!X30))</f>
        <v/>
      </c>
      <c r="Y30">
        <f>IF(原始資料!Y30="","",IF(反向題設定!$C$28="是",反向題設定!$B$2+1-原始資料!Y30,原始資料!Y30))</f>
        <v/>
      </c>
      <c r="Z30">
        <f>IF(原始資料!Z30="","",IF(反向題設定!$C$29="是",反向題設定!$B$2+1-原始資料!Z30,原始資料!Z30))</f>
        <v/>
      </c>
      <c r="AA30">
        <f>IF(原始資料!AA30="","",IF(反向題設定!$C$30="是",反向題設定!$B$2+1-原始資料!AA30,原始資料!AA30))</f>
        <v/>
      </c>
      <c r="AB30">
        <f>IF(原始資料!AB30="","",IF(反向題設定!$C$31="是",反向題設定!$B$2+1-原始資料!AB30,原始資料!AB30))</f>
        <v/>
      </c>
      <c r="AC30">
        <f>IF(原始資料!AC30="","",IF(反向題設定!$C$32="是",反向題設定!$B$2+1-原始資料!AC30,原始資料!AC30))</f>
        <v/>
      </c>
      <c r="AD30">
        <f>IF(原始資料!AD30="","",IF(反向題設定!$C$33="是",反向題設定!$B$2+1-原始資料!AD30,原始資料!AD30))</f>
        <v/>
      </c>
      <c r="AE30">
        <f>IF(原始資料!AE30="","",IF(反向題設定!$C$34="是",反向題設定!$B$2+1-原始資料!AE30,原始資料!AE30))</f>
        <v/>
      </c>
      <c r="AF30">
        <f>IF(原始資料!AF30="","",IF(反向題設定!$C$35="是",反向題設定!$B$2+1-原始資料!AF30,原始資料!AF30))</f>
        <v/>
      </c>
      <c r="AG30">
        <f>IF(原始資料!AG30="","",IF(反向題設定!$C$36="是",反向題設定!$B$2+1-原始資料!AG30,原始資料!AG30))</f>
        <v/>
      </c>
      <c r="AH30">
        <f>IF(原始資料!AH30="","",IF(反向題設定!$C$37="是",反向題設定!$B$2+1-原始資料!AH30,原始資料!AH30))</f>
        <v/>
      </c>
      <c r="AI30">
        <f>IF(原始資料!AI30="","",IF(反向題設定!$C$38="是",反向題設定!$B$2+1-原始資料!AI30,原始資料!AI30))</f>
        <v/>
      </c>
      <c r="AJ30">
        <f>IF(原始資料!AJ30="","",IF(反向題設定!$C$39="是",反向題設定!$B$2+1-原始資料!AJ30,原始資料!AJ30))</f>
        <v/>
      </c>
      <c r="AK30">
        <f>IF(原始資料!AK30="","",IF(反向題設定!$C$40="是",反向題設定!$B$2+1-原始資料!AK30,原始資料!AK30))</f>
        <v/>
      </c>
      <c r="AL30">
        <f>IF(原始資料!AL30="","",IF(反向題設定!$C$41="是",反向題設定!$B$2+1-原始資料!AL30,原始資料!AL30))</f>
        <v/>
      </c>
      <c r="AM30">
        <f>IF(原始資料!AM30="","",IF(反向題設定!$C$42="是",反向題設定!$B$2+1-原始資料!AM30,原始資料!AM30))</f>
        <v/>
      </c>
      <c r="AN30">
        <f>IF(原始資料!AN30="","",IF(反向題設定!$C$43="是",反向題設定!$B$2+1-原始資料!AN30,原始資料!AN30))</f>
        <v/>
      </c>
      <c r="AO30">
        <f>IF(原始資料!AO30="","",IF(反向題設定!$C$44="是",反向題設定!$B$2+1-原始資料!AO30,原始資料!AO30))</f>
        <v/>
      </c>
      <c r="AP30">
        <f>IF(COUNT(B30:AO30)=0,"",SUM(B30:AO30))</f>
        <v/>
      </c>
      <c r="AQ30">
        <f>IF(AP30="","",IF(AP30&gt;=項目分析!$C$5,"高",IF(AP30&lt;=項目分析!$C$6,"低","")))</f>
        <v/>
      </c>
    </row>
    <row r="31">
      <c r="A31">
        <f>IF(原始資料!A31="","",原始資料!A31)</f>
        <v/>
      </c>
      <c r="B31">
        <f>IF(原始資料!B31="","",IF(反向題設定!$C$5="是",反向題設定!$B$2+1-原始資料!B31,原始資料!B31))</f>
        <v/>
      </c>
      <c r="C31">
        <f>IF(原始資料!C31="","",IF(反向題設定!$C$6="是",反向題設定!$B$2+1-原始資料!C31,原始資料!C31))</f>
        <v/>
      </c>
      <c r="D31">
        <f>IF(原始資料!D31="","",IF(反向題設定!$C$7="是",反向題設定!$B$2+1-原始資料!D31,原始資料!D31))</f>
        <v/>
      </c>
      <c r="E31">
        <f>IF(原始資料!E31="","",IF(反向題設定!$C$8="是",反向題設定!$B$2+1-原始資料!E31,原始資料!E31))</f>
        <v/>
      </c>
      <c r="F31">
        <f>IF(原始資料!F31="","",IF(反向題設定!$C$9="是",反向題設定!$B$2+1-原始資料!F31,原始資料!F31))</f>
        <v/>
      </c>
      <c r="G31">
        <f>IF(原始資料!G31="","",IF(反向題設定!$C$10="是",反向題設定!$B$2+1-原始資料!G31,原始資料!G31))</f>
        <v/>
      </c>
      <c r="H31">
        <f>IF(原始資料!H31="","",IF(反向題設定!$C$11="是",反向題設定!$B$2+1-原始資料!H31,原始資料!H31))</f>
        <v/>
      </c>
      <c r="I31">
        <f>IF(原始資料!I31="","",IF(反向題設定!$C$12="是",反向題設定!$B$2+1-原始資料!I31,原始資料!I31))</f>
        <v/>
      </c>
      <c r="J31">
        <f>IF(原始資料!J31="","",IF(反向題設定!$C$13="是",反向題設定!$B$2+1-原始資料!J31,原始資料!J31))</f>
        <v/>
      </c>
      <c r="K31">
        <f>IF(原始資料!K31="","",IF(反向題設定!$C$14="是",反向題設定!$B$2+1-原始資料!K31,原始資料!K31))</f>
        <v/>
      </c>
      <c r="L31">
        <f>IF(原始資料!L31="","",IF(反向題設定!$C$15="是",反向題設定!$B$2+1-原始資料!L31,原始資料!L31))</f>
        <v/>
      </c>
      <c r="M31">
        <f>IF(原始資料!M31="","",IF(反向題設定!$C$16="是",反向題設定!$B$2+1-原始資料!M31,原始資料!M31))</f>
        <v/>
      </c>
      <c r="N31">
        <f>IF(原始資料!N31="","",IF(反向題設定!$C$17="是",反向題設定!$B$2+1-原始資料!N31,原始資料!N31))</f>
        <v/>
      </c>
      <c r="O31">
        <f>IF(原始資料!O31="","",IF(反向題設定!$C$18="是",反向題設定!$B$2+1-原始資料!O31,原始資料!O31))</f>
        <v/>
      </c>
      <c r="P31">
        <f>IF(原始資料!P31="","",IF(反向題設定!$C$19="是",反向題設定!$B$2+1-原始資料!P31,原始資料!P31))</f>
        <v/>
      </c>
      <c r="Q31">
        <f>IF(原始資料!Q31="","",IF(反向題設定!$C$20="是",反向題設定!$B$2+1-原始資料!Q31,原始資料!Q31))</f>
        <v/>
      </c>
      <c r="R31">
        <f>IF(原始資料!R31="","",IF(反向題設定!$C$21="是",反向題設定!$B$2+1-原始資料!R31,原始資料!R31))</f>
        <v/>
      </c>
      <c r="S31">
        <f>IF(原始資料!S31="","",IF(反向題設定!$C$22="是",反向題設定!$B$2+1-原始資料!S31,原始資料!S31))</f>
        <v/>
      </c>
      <c r="T31">
        <f>IF(原始資料!T31="","",IF(反向題設定!$C$23="是",反向題設定!$B$2+1-原始資料!T31,原始資料!T31))</f>
        <v/>
      </c>
      <c r="U31">
        <f>IF(原始資料!U31="","",IF(反向題設定!$C$24="是",反向題設定!$B$2+1-原始資料!U31,原始資料!U31))</f>
        <v/>
      </c>
      <c r="V31">
        <f>IF(原始資料!V31="","",IF(反向題設定!$C$25="是",反向題設定!$B$2+1-原始資料!V31,原始資料!V31))</f>
        <v/>
      </c>
      <c r="W31">
        <f>IF(原始資料!W31="","",IF(反向題設定!$C$26="是",反向題設定!$B$2+1-原始資料!W31,原始資料!W31))</f>
        <v/>
      </c>
      <c r="X31">
        <f>IF(原始資料!X31="","",IF(反向題設定!$C$27="是",反向題設定!$B$2+1-原始資料!X31,原始資料!X31))</f>
        <v/>
      </c>
      <c r="Y31">
        <f>IF(原始資料!Y31="","",IF(反向題設定!$C$28="是",反向題設定!$B$2+1-原始資料!Y31,原始資料!Y31))</f>
        <v/>
      </c>
      <c r="Z31">
        <f>IF(原始資料!Z31="","",IF(反向題設定!$C$29="是",反向題設定!$B$2+1-原始資料!Z31,原始資料!Z31))</f>
        <v/>
      </c>
      <c r="AA31">
        <f>IF(原始資料!AA31="","",IF(反向題設定!$C$30="是",反向題設定!$B$2+1-原始資料!AA31,原始資料!AA31))</f>
        <v/>
      </c>
      <c r="AB31">
        <f>IF(原始資料!AB31="","",IF(反向題設定!$C$31="是",反向題設定!$B$2+1-原始資料!AB31,原始資料!AB31))</f>
        <v/>
      </c>
      <c r="AC31">
        <f>IF(原始資料!AC31="","",IF(反向題設定!$C$32="是",反向題設定!$B$2+1-原始資料!AC31,原始資料!AC31))</f>
        <v/>
      </c>
      <c r="AD31">
        <f>IF(原始資料!AD31="","",IF(反向題設定!$C$33="是",反向題設定!$B$2+1-原始資料!AD31,原始資料!AD31))</f>
        <v/>
      </c>
      <c r="AE31">
        <f>IF(原始資料!AE31="","",IF(反向題設定!$C$34="是",反向題設定!$B$2+1-原始資料!AE31,原始資料!AE31))</f>
        <v/>
      </c>
      <c r="AF31">
        <f>IF(原始資料!AF31="","",IF(反向題設定!$C$35="是",反向題設定!$B$2+1-原始資料!AF31,原始資料!AF31))</f>
        <v/>
      </c>
      <c r="AG31">
        <f>IF(原始資料!AG31="","",IF(反向題設定!$C$36="是",反向題設定!$B$2+1-原始資料!AG31,原始資料!AG31))</f>
        <v/>
      </c>
      <c r="AH31">
        <f>IF(原始資料!AH31="","",IF(反向題設定!$C$37="是",反向題設定!$B$2+1-原始資料!AH31,原始資料!AH31))</f>
        <v/>
      </c>
      <c r="AI31">
        <f>IF(原始資料!AI31="","",IF(反向題設定!$C$38="是",反向題設定!$B$2+1-原始資料!AI31,原始資料!AI31))</f>
        <v/>
      </c>
      <c r="AJ31">
        <f>IF(原始資料!AJ31="","",IF(反向題設定!$C$39="是",反向題設定!$B$2+1-原始資料!AJ31,原始資料!AJ31))</f>
        <v/>
      </c>
      <c r="AK31">
        <f>IF(原始資料!AK31="","",IF(反向題設定!$C$40="是",反向題設定!$B$2+1-原始資料!AK31,原始資料!AK31))</f>
        <v/>
      </c>
      <c r="AL31">
        <f>IF(原始資料!AL31="","",IF(反向題設定!$C$41="是",反向題設定!$B$2+1-原始資料!AL31,原始資料!AL31))</f>
        <v/>
      </c>
      <c r="AM31">
        <f>IF(原始資料!AM31="","",IF(反向題設定!$C$42="是",反向題設定!$B$2+1-原始資料!AM31,原始資料!AM31))</f>
        <v/>
      </c>
      <c r="AN31">
        <f>IF(原始資料!AN31="","",IF(反向題設定!$C$43="是",反向題設定!$B$2+1-原始資料!AN31,原始資料!AN31))</f>
        <v/>
      </c>
      <c r="AO31">
        <f>IF(原始資料!AO31="","",IF(反向題設定!$C$44="是",反向題設定!$B$2+1-原始資料!AO31,原始資料!AO31))</f>
        <v/>
      </c>
      <c r="AP31">
        <f>IF(COUNT(B31:AO31)=0,"",SUM(B31:AO31))</f>
        <v/>
      </c>
      <c r="AQ31">
        <f>IF(AP31="","",IF(AP31&gt;=項目分析!$C$5,"高",IF(AP31&lt;=項目分析!$C$6,"低","")))</f>
        <v/>
      </c>
    </row>
    <row r="32">
      <c r="A32">
        <f>IF(原始資料!A32="","",原始資料!A32)</f>
        <v/>
      </c>
      <c r="B32">
        <f>IF(原始資料!B32="","",IF(反向題設定!$C$5="是",反向題設定!$B$2+1-原始資料!B32,原始資料!B32))</f>
        <v/>
      </c>
      <c r="C32">
        <f>IF(原始資料!C32="","",IF(反向題設定!$C$6="是",反向題設定!$B$2+1-原始資料!C32,原始資料!C32))</f>
        <v/>
      </c>
      <c r="D32">
        <f>IF(原始資料!D32="","",IF(反向題設定!$C$7="是",反向題設定!$B$2+1-原始資料!D32,原始資料!D32))</f>
        <v/>
      </c>
      <c r="E32">
        <f>IF(原始資料!E32="","",IF(反向題設定!$C$8="是",反向題設定!$B$2+1-原始資料!E32,原始資料!E32))</f>
        <v/>
      </c>
      <c r="F32">
        <f>IF(原始資料!F32="","",IF(反向題設定!$C$9="是",反向題設定!$B$2+1-原始資料!F32,原始資料!F32))</f>
        <v/>
      </c>
      <c r="G32">
        <f>IF(原始資料!G32="","",IF(反向題設定!$C$10="是",反向題設定!$B$2+1-原始資料!G32,原始資料!G32))</f>
        <v/>
      </c>
      <c r="H32">
        <f>IF(原始資料!H32="","",IF(反向題設定!$C$11="是",反向題設定!$B$2+1-原始資料!H32,原始資料!H32))</f>
        <v/>
      </c>
      <c r="I32">
        <f>IF(原始資料!I32="","",IF(反向題設定!$C$12="是",反向題設定!$B$2+1-原始資料!I32,原始資料!I32))</f>
        <v/>
      </c>
      <c r="J32">
        <f>IF(原始資料!J32="","",IF(反向題設定!$C$13="是",反向題設定!$B$2+1-原始資料!J32,原始資料!J32))</f>
        <v/>
      </c>
      <c r="K32">
        <f>IF(原始資料!K32="","",IF(反向題設定!$C$14="是",反向題設定!$B$2+1-原始資料!K32,原始資料!K32))</f>
        <v/>
      </c>
      <c r="L32">
        <f>IF(原始資料!L32="","",IF(反向題設定!$C$15="是",反向題設定!$B$2+1-原始資料!L32,原始資料!L32))</f>
        <v/>
      </c>
      <c r="M32">
        <f>IF(原始資料!M32="","",IF(反向題設定!$C$16="是",反向題設定!$B$2+1-原始資料!M32,原始資料!M32))</f>
        <v/>
      </c>
      <c r="N32">
        <f>IF(原始資料!N32="","",IF(反向題設定!$C$17="是",反向題設定!$B$2+1-原始資料!N32,原始資料!N32))</f>
        <v/>
      </c>
      <c r="O32">
        <f>IF(原始資料!O32="","",IF(反向題設定!$C$18="是",反向題設定!$B$2+1-原始資料!O32,原始資料!O32))</f>
        <v/>
      </c>
      <c r="P32">
        <f>IF(原始資料!P32="","",IF(反向題設定!$C$19="是",反向題設定!$B$2+1-原始資料!P32,原始資料!P32))</f>
        <v/>
      </c>
      <c r="Q32">
        <f>IF(原始資料!Q32="","",IF(反向題設定!$C$20="是",反向題設定!$B$2+1-原始資料!Q32,原始資料!Q32))</f>
        <v/>
      </c>
      <c r="R32">
        <f>IF(原始資料!R32="","",IF(反向題設定!$C$21="是",反向題設定!$B$2+1-原始資料!R32,原始資料!R32))</f>
        <v/>
      </c>
      <c r="S32">
        <f>IF(原始資料!S32="","",IF(反向題設定!$C$22="是",反向題設定!$B$2+1-原始資料!S32,原始資料!S32))</f>
        <v/>
      </c>
      <c r="T32">
        <f>IF(原始資料!T32="","",IF(反向題設定!$C$23="是",反向題設定!$B$2+1-原始資料!T32,原始資料!T32))</f>
        <v/>
      </c>
      <c r="U32">
        <f>IF(原始資料!U32="","",IF(反向題設定!$C$24="是",反向題設定!$B$2+1-原始資料!U32,原始資料!U32))</f>
        <v/>
      </c>
      <c r="V32">
        <f>IF(原始資料!V32="","",IF(反向題設定!$C$25="是",反向題設定!$B$2+1-原始資料!V32,原始資料!V32))</f>
        <v/>
      </c>
      <c r="W32">
        <f>IF(原始資料!W32="","",IF(反向題設定!$C$26="是",反向題設定!$B$2+1-原始資料!W32,原始資料!W32))</f>
        <v/>
      </c>
      <c r="X32">
        <f>IF(原始資料!X32="","",IF(反向題設定!$C$27="是",反向題設定!$B$2+1-原始資料!X32,原始資料!X32))</f>
        <v/>
      </c>
      <c r="Y32">
        <f>IF(原始資料!Y32="","",IF(反向題設定!$C$28="是",反向題設定!$B$2+1-原始資料!Y32,原始資料!Y32))</f>
        <v/>
      </c>
      <c r="Z32">
        <f>IF(原始資料!Z32="","",IF(反向題設定!$C$29="是",反向題設定!$B$2+1-原始資料!Z32,原始資料!Z32))</f>
        <v/>
      </c>
      <c r="AA32">
        <f>IF(原始資料!AA32="","",IF(反向題設定!$C$30="是",反向題設定!$B$2+1-原始資料!AA32,原始資料!AA32))</f>
        <v/>
      </c>
      <c r="AB32">
        <f>IF(原始資料!AB32="","",IF(反向題設定!$C$31="是",反向題設定!$B$2+1-原始資料!AB32,原始資料!AB32))</f>
        <v/>
      </c>
      <c r="AC32">
        <f>IF(原始資料!AC32="","",IF(反向題設定!$C$32="是",反向題設定!$B$2+1-原始資料!AC32,原始資料!AC32))</f>
        <v/>
      </c>
      <c r="AD32">
        <f>IF(原始資料!AD32="","",IF(反向題設定!$C$33="是",反向題設定!$B$2+1-原始資料!AD32,原始資料!AD32))</f>
        <v/>
      </c>
      <c r="AE32">
        <f>IF(原始資料!AE32="","",IF(反向題設定!$C$34="是",反向題設定!$B$2+1-原始資料!AE32,原始資料!AE32))</f>
        <v/>
      </c>
      <c r="AF32">
        <f>IF(原始資料!AF32="","",IF(反向題設定!$C$35="是",反向題設定!$B$2+1-原始資料!AF32,原始資料!AF32))</f>
        <v/>
      </c>
      <c r="AG32">
        <f>IF(原始資料!AG32="","",IF(反向題設定!$C$36="是",反向題設定!$B$2+1-原始資料!AG32,原始資料!AG32))</f>
        <v/>
      </c>
      <c r="AH32">
        <f>IF(原始資料!AH32="","",IF(反向題設定!$C$37="是",反向題設定!$B$2+1-原始資料!AH32,原始資料!AH32))</f>
        <v/>
      </c>
      <c r="AI32">
        <f>IF(原始資料!AI32="","",IF(反向題設定!$C$38="是",反向題設定!$B$2+1-原始資料!AI32,原始資料!AI32))</f>
        <v/>
      </c>
      <c r="AJ32">
        <f>IF(原始資料!AJ32="","",IF(反向題設定!$C$39="是",反向題設定!$B$2+1-原始資料!AJ32,原始資料!AJ32))</f>
        <v/>
      </c>
      <c r="AK32">
        <f>IF(原始資料!AK32="","",IF(反向題設定!$C$40="是",反向題設定!$B$2+1-原始資料!AK32,原始資料!AK32))</f>
        <v/>
      </c>
      <c r="AL32">
        <f>IF(原始資料!AL32="","",IF(反向題設定!$C$41="是",反向題設定!$B$2+1-原始資料!AL32,原始資料!AL32))</f>
        <v/>
      </c>
      <c r="AM32">
        <f>IF(原始資料!AM32="","",IF(反向題設定!$C$42="是",反向題設定!$B$2+1-原始資料!AM32,原始資料!AM32))</f>
        <v/>
      </c>
      <c r="AN32">
        <f>IF(原始資料!AN32="","",IF(反向題設定!$C$43="是",反向題設定!$B$2+1-原始資料!AN32,原始資料!AN32))</f>
        <v/>
      </c>
      <c r="AO32">
        <f>IF(原始資料!AO32="","",IF(反向題設定!$C$44="是",反向題設定!$B$2+1-原始資料!AO32,原始資料!AO32))</f>
        <v/>
      </c>
      <c r="AP32">
        <f>IF(COUNT(B32:AO32)=0,"",SUM(B32:AO32))</f>
        <v/>
      </c>
      <c r="AQ32">
        <f>IF(AP32="","",IF(AP32&gt;=項目分析!$C$5,"高",IF(AP32&lt;=項目分析!$C$6,"低","")))</f>
        <v/>
      </c>
    </row>
    <row r="33">
      <c r="A33">
        <f>IF(原始資料!A33="","",原始資料!A33)</f>
        <v/>
      </c>
      <c r="B33">
        <f>IF(原始資料!B33="","",IF(反向題設定!$C$5="是",反向題設定!$B$2+1-原始資料!B33,原始資料!B33))</f>
        <v/>
      </c>
      <c r="C33">
        <f>IF(原始資料!C33="","",IF(反向題設定!$C$6="是",反向題設定!$B$2+1-原始資料!C33,原始資料!C33))</f>
        <v/>
      </c>
      <c r="D33">
        <f>IF(原始資料!D33="","",IF(反向題設定!$C$7="是",反向題設定!$B$2+1-原始資料!D33,原始資料!D33))</f>
        <v/>
      </c>
      <c r="E33">
        <f>IF(原始資料!E33="","",IF(反向題設定!$C$8="是",反向題設定!$B$2+1-原始資料!E33,原始資料!E33))</f>
        <v/>
      </c>
      <c r="F33">
        <f>IF(原始資料!F33="","",IF(反向題設定!$C$9="是",反向題設定!$B$2+1-原始資料!F33,原始資料!F33))</f>
        <v/>
      </c>
      <c r="G33">
        <f>IF(原始資料!G33="","",IF(反向題設定!$C$10="是",反向題設定!$B$2+1-原始資料!G33,原始資料!G33))</f>
        <v/>
      </c>
      <c r="H33">
        <f>IF(原始資料!H33="","",IF(反向題設定!$C$11="是",反向題設定!$B$2+1-原始資料!H33,原始資料!H33))</f>
        <v/>
      </c>
      <c r="I33">
        <f>IF(原始資料!I33="","",IF(反向題設定!$C$12="是",反向題設定!$B$2+1-原始資料!I33,原始資料!I33))</f>
        <v/>
      </c>
      <c r="J33">
        <f>IF(原始資料!J33="","",IF(反向題設定!$C$13="是",反向題設定!$B$2+1-原始資料!J33,原始資料!J33))</f>
        <v/>
      </c>
      <c r="K33">
        <f>IF(原始資料!K33="","",IF(反向題設定!$C$14="是",反向題設定!$B$2+1-原始資料!K33,原始資料!K33))</f>
        <v/>
      </c>
      <c r="L33">
        <f>IF(原始資料!L33="","",IF(反向題設定!$C$15="是",反向題設定!$B$2+1-原始資料!L33,原始資料!L33))</f>
        <v/>
      </c>
      <c r="M33">
        <f>IF(原始資料!M33="","",IF(反向題設定!$C$16="是",反向題設定!$B$2+1-原始資料!M33,原始資料!M33))</f>
        <v/>
      </c>
      <c r="N33">
        <f>IF(原始資料!N33="","",IF(反向題設定!$C$17="是",反向題設定!$B$2+1-原始資料!N33,原始資料!N33))</f>
        <v/>
      </c>
      <c r="O33">
        <f>IF(原始資料!O33="","",IF(反向題設定!$C$18="是",反向題設定!$B$2+1-原始資料!O33,原始資料!O33))</f>
        <v/>
      </c>
      <c r="P33">
        <f>IF(原始資料!P33="","",IF(反向題設定!$C$19="是",反向題設定!$B$2+1-原始資料!P33,原始資料!P33))</f>
        <v/>
      </c>
      <c r="Q33">
        <f>IF(原始資料!Q33="","",IF(反向題設定!$C$20="是",反向題設定!$B$2+1-原始資料!Q33,原始資料!Q33))</f>
        <v/>
      </c>
      <c r="R33">
        <f>IF(原始資料!R33="","",IF(反向題設定!$C$21="是",反向題設定!$B$2+1-原始資料!R33,原始資料!R33))</f>
        <v/>
      </c>
      <c r="S33">
        <f>IF(原始資料!S33="","",IF(反向題設定!$C$22="是",反向題設定!$B$2+1-原始資料!S33,原始資料!S33))</f>
        <v/>
      </c>
      <c r="T33">
        <f>IF(原始資料!T33="","",IF(反向題設定!$C$23="是",反向題設定!$B$2+1-原始資料!T33,原始資料!T33))</f>
        <v/>
      </c>
      <c r="U33">
        <f>IF(原始資料!U33="","",IF(反向題設定!$C$24="是",反向題設定!$B$2+1-原始資料!U33,原始資料!U33))</f>
        <v/>
      </c>
      <c r="V33">
        <f>IF(原始資料!V33="","",IF(反向題設定!$C$25="是",反向題設定!$B$2+1-原始資料!V33,原始資料!V33))</f>
        <v/>
      </c>
      <c r="W33">
        <f>IF(原始資料!W33="","",IF(反向題設定!$C$26="是",反向題設定!$B$2+1-原始資料!W33,原始資料!W33))</f>
        <v/>
      </c>
      <c r="X33">
        <f>IF(原始資料!X33="","",IF(反向題設定!$C$27="是",反向題設定!$B$2+1-原始資料!X33,原始資料!X33))</f>
        <v/>
      </c>
      <c r="Y33">
        <f>IF(原始資料!Y33="","",IF(反向題設定!$C$28="是",反向題設定!$B$2+1-原始資料!Y33,原始資料!Y33))</f>
        <v/>
      </c>
      <c r="Z33">
        <f>IF(原始資料!Z33="","",IF(反向題設定!$C$29="是",反向題設定!$B$2+1-原始資料!Z33,原始資料!Z33))</f>
        <v/>
      </c>
      <c r="AA33">
        <f>IF(原始資料!AA33="","",IF(反向題設定!$C$30="是",反向題設定!$B$2+1-原始資料!AA33,原始資料!AA33))</f>
        <v/>
      </c>
      <c r="AB33">
        <f>IF(原始資料!AB33="","",IF(反向題設定!$C$31="是",反向題設定!$B$2+1-原始資料!AB33,原始資料!AB33))</f>
        <v/>
      </c>
      <c r="AC33">
        <f>IF(原始資料!AC33="","",IF(反向題設定!$C$32="是",反向題設定!$B$2+1-原始資料!AC33,原始資料!AC33))</f>
        <v/>
      </c>
      <c r="AD33">
        <f>IF(原始資料!AD33="","",IF(反向題設定!$C$33="是",反向題設定!$B$2+1-原始資料!AD33,原始資料!AD33))</f>
        <v/>
      </c>
      <c r="AE33">
        <f>IF(原始資料!AE33="","",IF(反向題設定!$C$34="是",反向題設定!$B$2+1-原始資料!AE33,原始資料!AE33))</f>
        <v/>
      </c>
      <c r="AF33">
        <f>IF(原始資料!AF33="","",IF(反向題設定!$C$35="是",反向題設定!$B$2+1-原始資料!AF33,原始資料!AF33))</f>
        <v/>
      </c>
      <c r="AG33">
        <f>IF(原始資料!AG33="","",IF(反向題設定!$C$36="是",反向題設定!$B$2+1-原始資料!AG33,原始資料!AG33))</f>
        <v/>
      </c>
      <c r="AH33">
        <f>IF(原始資料!AH33="","",IF(反向題設定!$C$37="是",反向題設定!$B$2+1-原始資料!AH33,原始資料!AH33))</f>
        <v/>
      </c>
      <c r="AI33">
        <f>IF(原始資料!AI33="","",IF(反向題設定!$C$38="是",反向題設定!$B$2+1-原始資料!AI33,原始資料!AI33))</f>
        <v/>
      </c>
      <c r="AJ33">
        <f>IF(原始資料!AJ33="","",IF(反向題設定!$C$39="是",反向題設定!$B$2+1-原始資料!AJ33,原始資料!AJ33))</f>
        <v/>
      </c>
      <c r="AK33">
        <f>IF(原始資料!AK33="","",IF(反向題設定!$C$40="是",反向題設定!$B$2+1-原始資料!AK33,原始資料!AK33))</f>
        <v/>
      </c>
      <c r="AL33">
        <f>IF(原始資料!AL33="","",IF(反向題設定!$C$41="是",反向題設定!$B$2+1-原始資料!AL33,原始資料!AL33))</f>
        <v/>
      </c>
      <c r="AM33">
        <f>IF(原始資料!AM33="","",IF(反向題設定!$C$42="是",反向題設定!$B$2+1-原始資料!AM33,原始資料!AM33))</f>
        <v/>
      </c>
      <c r="AN33">
        <f>IF(原始資料!AN33="","",IF(反向題設定!$C$43="是",反向題設定!$B$2+1-原始資料!AN33,原始資料!AN33))</f>
        <v/>
      </c>
      <c r="AO33">
        <f>IF(原始資料!AO33="","",IF(反向題設定!$C$44="是",反向題設定!$B$2+1-原始資料!AO33,原始資料!AO33))</f>
        <v/>
      </c>
      <c r="AP33">
        <f>IF(COUNT(B33:AO33)=0,"",SUM(B33:AO33))</f>
        <v/>
      </c>
      <c r="AQ33">
        <f>IF(AP33="","",IF(AP33&gt;=項目分析!$C$5,"高",IF(AP33&lt;=項目分析!$C$6,"低","")))</f>
        <v/>
      </c>
    </row>
    <row r="34">
      <c r="A34">
        <f>IF(原始資料!A34="","",原始資料!A34)</f>
        <v/>
      </c>
      <c r="B34">
        <f>IF(原始資料!B34="","",IF(反向題設定!$C$5="是",反向題設定!$B$2+1-原始資料!B34,原始資料!B34))</f>
        <v/>
      </c>
      <c r="C34">
        <f>IF(原始資料!C34="","",IF(反向題設定!$C$6="是",反向題設定!$B$2+1-原始資料!C34,原始資料!C34))</f>
        <v/>
      </c>
      <c r="D34">
        <f>IF(原始資料!D34="","",IF(反向題設定!$C$7="是",反向題設定!$B$2+1-原始資料!D34,原始資料!D34))</f>
        <v/>
      </c>
      <c r="E34">
        <f>IF(原始資料!E34="","",IF(反向題設定!$C$8="是",反向題設定!$B$2+1-原始資料!E34,原始資料!E34))</f>
        <v/>
      </c>
      <c r="F34">
        <f>IF(原始資料!F34="","",IF(反向題設定!$C$9="是",反向題設定!$B$2+1-原始資料!F34,原始資料!F34))</f>
        <v/>
      </c>
      <c r="G34">
        <f>IF(原始資料!G34="","",IF(反向題設定!$C$10="是",反向題設定!$B$2+1-原始資料!G34,原始資料!G34))</f>
        <v/>
      </c>
      <c r="H34">
        <f>IF(原始資料!H34="","",IF(反向題設定!$C$11="是",反向題設定!$B$2+1-原始資料!H34,原始資料!H34))</f>
        <v/>
      </c>
      <c r="I34">
        <f>IF(原始資料!I34="","",IF(反向題設定!$C$12="是",反向題設定!$B$2+1-原始資料!I34,原始資料!I34))</f>
        <v/>
      </c>
      <c r="J34">
        <f>IF(原始資料!J34="","",IF(反向題設定!$C$13="是",反向題設定!$B$2+1-原始資料!J34,原始資料!J34))</f>
        <v/>
      </c>
      <c r="K34">
        <f>IF(原始資料!K34="","",IF(反向題設定!$C$14="是",反向題設定!$B$2+1-原始資料!K34,原始資料!K34))</f>
        <v/>
      </c>
      <c r="L34">
        <f>IF(原始資料!L34="","",IF(反向題設定!$C$15="是",反向題設定!$B$2+1-原始資料!L34,原始資料!L34))</f>
        <v/>
      </c>
      <c r="M34">
        <f>IF(原始資料!M34="","",IF(反向題設定!$C$16="是",反向題設定!$B$2+1-原始資料!M34,原始資料!M34))</f>
        <v/>
      </c>
      <c r="N34">
        <f>IF(原始資料!N34="","",IF(反向題設定!$C$17="是",反向題設定!$B$2+1-原始資料!N34,原始資料!N34))</f>
        <v/>
      </c>
      <c r="O34">
        <f>IF(原始資料!O34="","",IF(反向題設定!$C$18="是",反向題設定!$B$2+1-原始資料!O34,原始資料!O34))</f>
        <v/>
      </c>
      <c r="P34">
        <f>IF(原始資料!P34="","",IF(反向題設定!$C$19="是",反向題設定!$B$2+1-原始資料!P34,原始資料!P34))</f>
        <v/>
      </c>
      <c r="Q34">
        <f>IF(原始資料!Q34="","",IF(反向題設定!$C$20="是",反向題設定!$B$2+1-原始資料!Q34,原始資料!Q34))</f>
        <v/>
      </c>
      <c r="R34">
        <f>IF(原始資料!R34="","",IF(反向題設定!$C$21="是",反向題設定!$B$2+1-原始資料!R34,原始資料!R34))</f>
        <v/>
      </c>
      <c r="S34">
        <f>IF(原始資料!S34="","",IF(反向題設定!$C$22="是",反向題設定!$B$2+1-原始資料!S34,原始資料!S34))</f>
        <v/>
      </c>
      <c r="T34">
        <f>IF(原始資料!T34="","",IF(反向題設定!$C$23="是",反向題設定!$B$2+1-原始資料!T34,原始資料!T34))</f>
        <v/>
      </c>
      <c r="U34">
        <f>IF(原始資料!U34="","",IF(反向題設定!$C$24="是",反向題設定!$B$2+1-原始資料!U34,原始資料!U34))</f>
        <v/>
      </c>
      <c r="V34">
        <f>IF(原始資料!V34="","",IF(反向題設定!$C$25="是",反向題設定!$B$2+1-原始資料!V34,原始資料!V34))</f>
        <v/>
      </c>
      <c r="W34">
        <f>IF(原始資料!W34="","",IF(反向題設定!$C$26="是",反向題設定!$B$2+1-原始資料!W34,原始資料!W34))</f>
        <v/>
      </c>
      <c r="X34">
        <f>IF(原始資料!X34="","",IF(反向題設定!$C$27="是",反向題設定!$B$2+1-原始資料!X34,原始資料!X34))</f>
        <v/>
      </c>
      <c r="Y34">
        <f>IF(原始資料!Y34="","",IF(反向題設定!$C$28="是",反向題設定!$B$2+1-原始資料!Y34,原始資料!Y34))</f>
        <v/>
      </c>
      <c r="Z34">
        <f>IF(原始資料!Z34="","",IF(反向題設定!$C$29="是",反向題設定!$B$2+1-原始資料!Z34,原始資料!Z34))</f>
        <v/>
      </c>
      <c r="AA34">
        <f>IF(原始資料!AA34="","",IF(反向題設定!$C$30="是",反向題設定!$B$2+1-原始資料!AA34,原始資料!AA34))</f>
        <v/>
      </c>
      <c r="AB34">
        <f>IF(原始資料!AB34="","",IF(反向題設定!$C$31="是",反向題設定!$B$2+1-原始資料!AB34,原始資料!AB34))</f>
        <v/>
      </c>
      <c r="AC34">
        <f>IF(原始資料!AC34="","",IF(反向題設定!$C$32="是",反向題設定!$B$2+1-原始資料!AC34,原始資料!AC34))</f>
        <v/>
      </c>
      <c r="AD34">
        <f>IF(原始資料!AD34="","",IF(反向題設定!$C$33="是",反向題設定!$B$2+1-原始資料!AD34,原始資料!AD34))</f>
        <v/>
      </c>
      <c r="AE34">
        <f>IF(原始資料!AE34="","",IF(反向題設定!$C$34="是",反向題設定!$B$2+1-原始資料!AE34,原始資料!AE34))</f>
        <v/>
      </c>
      <c r="AF34">
        <f>IF(原始資料!AF34="","",IF(反向題設定!$C$35="是",反向題設定!$B$2+1-原始資料!AF34,原始資料!AF34))</f>
        <v/>
      </c>
      <c r="AG34">
        <f>IF(原始資料!AG34="","",IF(反向題設定!$C$36="是",反向題設定!$B$2+1-原始資料!AG34,原始資料!AG34))</f>
        <v/>
      </c>
      <c r="AH34">
        <f>IF(原始資料!AH34="","",IF(反向題設定!$C$37="是",反向題設定!$B$2+1-原始資料!AH34,原始資料!AH34))</f>
        <v/>
      </c>
      <c r="AI34">
        <f>IF(原始資料!AI34="","",IF(反向題設定!$C$38="是",反向題設定!$B$2+1-原始資料!AI34,原始資料!AI34))</f>
        <v/>
      </c>
      <c r="AJ34">
        <f>IF(原始資料!AJ34="","",IF(反向題設定!$C$39="是",反向題設定!$B$2+1-原始資料!AJ34,原始資料!AJ34))</f>
        <v/>
      </c>
      <c r="AK34">
        <f>IF(原始資料!AK34="","",IF(反向題設定!$C$40="是",反向題設定!$B$2+1-原始資料!AK34,原始資料!AK34))</f>
        <v/>
      </c>
      <c r="AL34">
        <f>IF(原始資料!AL34="","",IF(反向題設定!$C$41="是",反向題設定!$B$2+1-原始資料!AL34,原始資料!AL34))</f>
        <v/>
      </c>
      <c r="AM34">
        <f>IF(原始資料!AM34="","",IF(反向題設定!$C$42="是",反向題設定!$B$2+1-原始資料!AM34,原始資料!AM34))</f>
        <v/>
      </c>
      <c r="AN34">
        <f>IF(原始資料!AN34="","",IF(反向題設定!$C$43="是",反向題設定!$B$2+1-原始資料!AN34,原始資料!AN34))</f>
        <v/>
      </c>
      <c r="AO34">
        <f>IF(原始資料!AO34="","",IF(反向題設定!$C$44="是",反向題設定!$B$2+1-原始資料!AO34,原始資料!AO34))</f>
        <v/>
      </c>
      <c r="AP34">
        <f>IF(COUNT(B34:AO34)=0,"",SUM(B34:AO34))</f>
        <v/>
      </c>
      <c r="AQ34">
        <f>IF(AP34="","",IF(AP34&gt;=項目分析!$C$5,"高",IF(AP34&lt;=項目分析!$C$6,"低","")))</f>
        <v/>
      </c>
    </row>
    <row r="35">
      <c r="A35">
        <f>IF(原始資料!A35="","",原始資料!A35)</f>
        <v/>
      </c>
      <c r="B35">
        <f>IF(原始資料!B35="","",IF(反向題設定!$C$5="是",反向題設定!$B$2+1-原始資料!B35,原始資料!B35))</f>
        <v/>
      </c>
      <c r="C35">
        <f>IF(原始資料!C35="","",IF(反向題設定!$C$6="是",反向題設定!$B$2+1-原始資料!C35,原始資料!C35))</f>
        <v/>
      </c>
      <c r="D35">
        <f>IF(原始資料!D35="","",IF(反向題設定!$C$7="是",反向題設定!$B$2+1-原始資料!D35,原始資料!D35))</f>
        <v/>
      </c>
      <c r="E35">
        <f>IF(原始資料!E35="","",IF(反向題設定!$C$8="是",反向題設定!$B$2+1-原始資料!E35,原始資料!E35))</f>
        <v/>
      </c>
      <c r="F35">
        <f>IF(原始資料!F35="","",IF(反向題設定!$C$9="是",反向題設定!$B$2+1-原始資料!F35,原始資料!F35))</f>
        <v/>
      </c>
      <c r="G35">
        <f>IF(原始資料!G35="","",IF(反向題設定!$C$10="是",反向題設定!$B$2+1-原始資料!G35,原始資料!G35))</f>
        <v/>
      </c>
      <c r="H35">
        <f>IF(原始資料!H35="","",IF(反向題設定!$C$11="是",反向題設定!$B$2+1-原始資料!H35,原始資料!H35))</f>
        <v/>
      </c>
      <c r="I35">
        <f>IF(原始資料!I35="","",IF(反向題設定!$C$12="是",反向題設定!$B$2+1-原始資料!I35,原始資料!I35))</f>
        <v/>
      </c>
      <c r="J35">
        <f>IF(原始資料!J35="","",IF(反向題設定!$C$13="是",反向題設定!$B$2+1-原始資料!J35,原始資料!J35))</f>
        <v/>
      </c>
      <c r="K35">
        <f>IF(原始資料!K35="","",IF(反向題設定!$C$14="是",反向題設定!$B$2+1-原始資料!K35,原始資料!K35))</f>
        <v/>
      </c>
      <c r="L35">
        <f>IF(原始資料!L35="","",IF(反向題設定!$C$15="是",反向題設定!$B$2+1-原始資料!L35,原始資料!L35))</f>
        <v/>
      </c>
      <c r="M35">
        <f>IF(原始資料!M35="","",IF(反向題設定!$C$16="是",反向題設定!$B$2+1-原始資料!M35,原始資料!M35))</f>
        <v/>
      </c>
      <c r="N35">
        <f>IF(原始資料!N35="","",IF(反向題設定!$C$17="是",反向題設定!$B$2+1-原始資料!N35,原始資料!N35))</f>
        <v/>
      </c>
      <c r="O35">
        <f>IF(原始資料!O35="","",IF(反向題設定!$C$18="是",反向題設定!$B$2+1-原始資料!O35,原始資料!O35))</f>
        <v/>
      </c>
      <c r="P35">
        <f>IF(原始資料!P35="","",IF(反向題設定!$C$19="是",反向題設定!$B$2+1-原始資料!P35,原始資料!P35))</f>
        <v/>
      </c>
      <c r="Q35">
        <f>IF(原始資料!Q35="","",IF(反向題設定!$C$20="是",反向題設定!$B$2+1-原始資料!Q35,原始資料!Q35))</f>
        <v/>
      </c>
      <c r="R35">
        <f>IF(原始資料!R35="","",IF(反向題設定!$C$21="是",反向題設定!$B$2+1-原始資料!R35,原始資料!R35))</f>
        <v/>
      </c>
      <c r="S35">
        <f>IF(原始資料!S35="","",IF(反向題設定!$C$22="是",反向題設定!$B$2+1-原始資料!S35,原始資料!S35))</f>
        <v/>
      </c>
      <c r="T35">
        <f>IF(原始資料!T35="","",IF(反向題設定!$C$23="是",反向題設定!$B$2+1-原始資料!T35,原始資料!T35))</f>
        <v/>
      </c>
      <c r="U35">
        <f>IF(原始資料!U35="","",IF(反向題設定!$C$24="是",反向題設定!$B$2+1-原始資料!U35,原始資料!U35))</f>
        <v/>
      </c>
      <c r="V35">
        <f>IF(原始資料!V35="","",IF(反向題設定!$C$25="是",反向題設定!$B$2+1-原始資料!V35,原始資料!V35))</f>
        <v/>
      </c>
      <c r="W35">
        <f>IF(原始資料!W35="","",IF(反向題設定!$C$26="是",反向題設定!$B$2+1-原始資料!W35,原始資料!W35))</f>
        <v/>
      </c>
      <c r="X35">
        <f>IF(原始資料!X35="","",IF(反向題設定!$C$27="是",反向題設定!$B$2+1-原始資料!X35,原始資料!X35))</f>
        <v/>
      </c>
      <c r="Y35">
        <f>IF(原始資料!Y35="","",IF(反向題設定!$C$28="是",反向題設定!$B$2+1-原始資料!Y35,原始資料!Y35))</f>
        <v/>
      </c>
      <c r="Z35">
        <f>IF(原始資料!Z35="","",IF(反向題設定!$C$29="是",反向題設定!$B$2+1-原始資料!Z35,原始資料!Z35))</f>
        <v/>
      </c>
      <c r="AA35">
        <f>IF(原始資料!AA35="","",IF(反向題設定!$C$30="是",反向題設定!$B$2+1-原始資料!AA35,原始資料!AA35))</f>
        <v/>
      </c>
      <c r="AB35">
        <f>IF(原始資料!AB35="","",IF(反向題設定!$C$31="是",反向題設定!$B$2+1-原始資料!AB35,原始資料!AB35))</f>
        <v/>
      </c>
      <c r="AC35">
        <f>IF(原始資料!AC35="","",IF(反向題設定!$C$32="是",反向題設定!$B$2+1-原始資料!AC35,原始資料!AC35))</f>
        <v/>
      </c>
      <c r="AD35">
        <f>IF(原始資料!AD35="","",IF(反向題設定!$C$33="是",反向題設定!$B$2+1-原始資料!AD35,原始資料!AD35))</f>
        <v/>
      </c>
      <c r="AE35">
        <f>IF(原始資料!AE35="","",IF(反向題設定!$C$34="是",反向題設定!$B$2+1-原始資料!AE35,原始資料!AE35))</f>
        <v/>
      </c>
      <c r="AF35">
        <f>IF(原始資料!AF35="","",IF(反向題設定!$C$35="是",反向題設定!$B$2+1-原始資料!AF35,原始資料!AF35))</f>
        <v/>
      </c>
      <c r="AG35">
        <f>IF(原始資料!AG35="","",IF(反向題設定!$C$36="是",反向題設定!$B$2+1-原始資料!AG35,原始資料!AG35))</f>
        <v/>
      </c>
      <c r="AH35">
        <f>IF(原始資料!AH35="","",IF(反向題設定!$C$37="是",反向題設定!$B$2+1-原始資料!AH35,原始資料!AH35))</f>
        <v/>
      </c>
      <c r="AI35">
        <f>IF(原始資料!AI35="","",IF(反向題設定!$C$38="是",反向題設定!$B$2+1-原始資料!AI35,原始資料!AI35))</f>
        <v/>
      </c>
      <c r="AJ35">
        <f>IF(原始資料!AJ35="","",IF(反向題設定!$C$39="是",反向題設定!$B$2+1-原始資料!AJ35,原始資料!AJ35))</f>
        <v/>
      </c>
      <c r="AK35">
        <f>IF(原始資料!AK35="","",IF(反向題設定!$C$40="是",反向題設定!$B$2+1-原始資料!AK35,原始資料!AK35))</f>
        <v/>
      </c>
      <c r="AL35">
        <f>IF(原始資料!AL35="","",IF(反向題設定!$C$41="是",反向題設定!$B$2+1-原始資料!AL35,原始資料!AL35))</f>
        <v/>
      </c>
      <c r="AM35">
        <f>IF(原始資料!AM35="","",IF(反向題設定!$C$42="是",反向題設定!$B$2+1-原始資料!AM35,原始資料!AM35))</f>
        <v/>
      </c>
      <c r="AN35">
        <f>IF(原始資料!AN35="","",IF(反向題設定!$C$43="是",反向題設定!$B$2+1-原始資料!AN35,原始資料!AN35))</f>
        <v/>
      </c>
      <c r="AO35">
        <f>IF(原始資料!AO35="","",IF(反向題設定!$C$44="是",反向題設定!$B$2+1-原始資料!AO35,原始資料!AO35))</f>
        <v/>
      </c>
      <c r="AP35">
        <f>IF(COUNT(B35:AO35)=0,"",SUM(B35:AO35))</f>
        <v/>
      </c>
      <c r="AQ35">
        <f>IF(AP35="","",IF(AP35&gt;=項目分析!$C$5,"高",IF(AP35&lt;=項目分析!$C$6,"低","")))</f>
        <v/>
      </c>
    </row>
    <row r="36">
      <c r="A36">
        <f>IF(原始資料!A36="","",原始資料!A36)</f>
        <v/>
      </c>
      <c r="B36">
        <f>IF(原始資料!B36="","",IF(反向題設定!$C$5="是",反向題設定!$B$2+1-原始資料!B36,原始資料!B36))</f>
        <v/>
      </c>
      <c r="C36">
        <f>IF(原始資料!C36="","",IF(反向題設定!$C$6="是",反向題設定!$B$2+1-原始資料!C36,原始資料!C36))</f>
        <v/>
      </c>
      <c r="D36">
        <f>IF(原始資料!D36="","",IF(反向題設定!$C$7="是",反向題設定!$B$2+1-原始資料!D36,原始資料!D36))</f>
        <v/>
      </c>
      <c r="E36">
        <f>IF(原始資料!E36="","",IF(反向題設定!$C$8="是",反向題設定!$B$2+1-原始資料!E36,原始資料!E36))</f>
        <v/>
      </c>
      <c r="F36">
        <f>IF(原始資料!F36="","",IF(反向題設定!$C$9="是",反向題設定!$B$2+1-原始資料!F36,原始資料!F36))</f>
        <v/>
      </c>
      <c r="G36">
        <f>IF(原始資料!G36="","",IF(反向題設定!$C$10="是",反向題設定!$B$2+1-原始資料!G36,原始資料!G36))</f>
        <v/>
      </c>
      <c r="H36">
        <f>IF(原始資料!H36="","",IF(反向題設定!$C$11="是",反向題設定!$B$2+1-原始資料!H36,原始資料!H36))</f>
        <v/>
      </c>
      <c r="I36">
        <f>IF(原始資料!I36="","",IF(反向題設定!$C$12="是",反向題設定!$B$2+1-原始資料!I36,原始資料!I36))</f>
        <v/>
      </c>
      <c r="J36">
        <f>IF(原始資料!J36="","",IF(反向題設定!$C$13="是",反向題設定!$B$2+1-原始資料!J36,原始資料!J36))</f>
        <v/>
      </c>
      <c r="K36">
        <f>IF(原始資料!K36="","",IF(反向題設定!$C$14="是",反向題設定!$B$2+1-原始資料!K36,原始資料!K36))</f>
        <v/>
      </c>
      <c r="L36">
        <f>IF(原始資料!L36="","",IF(反向題設定!$C$15="是",反向題設定!$B$2+1-原始資料!L36,原始資料!L36))</f>
        <v/>
      </c>
      <c r="M36">
        <f>IF(原始資料!M36="","",IF(反向題設定!$C$16="是",反向題設定!$B$2+1-原始資料!M36,原始資料!M36))</f>
        <v/>
      </c>
      <c r="N36">
        <f>IF(原始資料!N36="","",IF(反向題設定!$C$17="是",反向題設定!$B$2+1-原始資料!N36,原始資料!N36))</f>
        <v/>
      </c>
      <c r="O36">
        <f>IF(原始資料!O36="","",IF(反向題設定!$C$18="是",反向題設定!$B$2+1-原始資料!O36,原始資料!O36))</f>
        <v/>
      </c>
      <c r="P36">
        <f>IF(原始資料!P36="","",IF(反向題設定!$C$19="是",反向題設定!$B$2+1-原始資料!P36,原始資料!P36))</f>
        <v/>
      </c>
      <c r="Q36">
        <f>IF(原始資料!Q36="","",IF(反向題設定!$C$20="是",反向題設定!$B$2+1-原始資料!Q36,原始資料!Q36))</f>
        <v/>
      </c>
      <c r="R36">
        <f>IF(原始資料!R36="","",IF(反向題設定!$C$21="是",反向題設定!$B$2+1-原始資料!R36,原始資料!R36))</f>
        <v/>
      </c>
      <c r="S36">
        <f>IF(原始資料!S36="","",IF(反向題設定!$C$22="是",反向題設定!$B$2+1-原始資料!S36,原始資料!S36))</f>
        <v/>
      </c>
      <c r="T36">
        <f>IF(原始資料!T36="","",IF(反向題設定!$C$23="是",反向題設定!$B$2+1-原始資料!T36,原始資料!T36))</f>
        <v/>
      </c>
      <c r="U36">
        <f>IF(原始資料!U36="","",IF(反向題設定!$C$24="是",反向題設定!$B$2+1-原始資料!U36,原始資料!U36))</f>
        <v/>
      </c>
      <c r="V36">
        <f>IF(原始資料!V36="","",IF(反向題設定!$C$25="是",反向題設定!$B$2+1-原始資料!V36,原始資料!V36))</f>
        <v/>
      </c>
      <c r="W36">
        <f>IF(原始資料!W36="","",IF(反向題設定!$C$26="是",反向題設定!$B$2+1-原始資料!W36,原始資料!W36))</f>
        <v/>
      </c>
      <c r="X36">
        <f>IF(原始資料!X36="","",IF(反向題設定!$C$27="是",反向題設定!$B$2+1-原始資料!X36,原始資料!X36))</f>
        <v/>
      </c>
      <c r="Y36">
        <f>IF(原始資料!Y36="","",IF(反向題設定!$C$28="是",反向題設定!$B$2+1-原始資料!Y36,原始資料!Y36))</f>
        <v/>
      </c>
      <c r="Z36">
        <f>IF(原始資料!Z36="","",IF(反向題設定!$C$29="是",反向題設定!$B$2+1-原始資料!Z36,原始資料!Z36))</f>
        <v/>
      </c>
      <c r="AA36">
        <f>IF(原始資料!AA36="","",IF(反向題設定!$C$30="是",反向題設定!$B$2+1-原始資料!AA36,原始資料!AA36))</f>
        <v/>
      </c>
      <c r="AB36">
        <f>IF(原始資料!AB36="","",IF(反向題設定!$C$31="是",反向題設定!$B$2+1-原始資料!AB36,原始資料!AB36))</f>
        <v/>
      </c>
      <c r="AC36">
        <f>IF(原始資料!AC36="","",IF(反向題設定!$C$32="是",反向題設定!$B$2+1-原始資料!AC36,原始資料!AC36))</f>
        <v/>
      </c>
      <c r="AD36">
        <f>IF(原始資料!AD36="","",IF(反向題設定!$C$33="是",反向題設定!$B$2+1-原始資料!AD36,原始資料!AD36))</f>
        <v/>
      </c>
      <c r="AE36">
        <f>IF(原始資料!AE36="","",IF(反向題設定!$C$34="是",反向題設定!$B$2+1-原始資料!AE36,原始資料!AE36))</f>
        <v/>
      </c>
      <c r="AF36">
        <f>IF(原始資料!AF36="","",IF(反向題設定!$C$35="是",反向題設定!$B$2+1-原始資料!AF36,原始資料!AF36))</f>
        <v/>
      </c>
      <c r="AG36">
        <f>IF(原始資料!AG36="","",IF(反向題設定!$C$36="是",反向題設定!$B$2+1-原始資料!AG36,原始資料!AG36))</f>
        <v/>
      </c>
      <c r="AH36">
        <f>IF(原始資料!AH36="","",IF(反向題設定!$C$37="是",反向題設定!$B$2+1-原始資料!AH36,原始資料!AH36))</f>
        <v/>
      </c>
      <c r="AI36">
        <f>IF(原始資料!AI36="","",IF(反向題設定!$C$38="是",反向題設定!$B$2+1-原始資料!AI36,原始資料!AI36))</f>
        <v/>
      </c>
      <c r="AJ36">
        <f>IF(原始資料!AJ36="","",IF(反向題設定!$C$39="是",反向題設定!$B$2+1-原始資料!AJ36,原始資料!AJ36))</f>
        <v/>
      </c>
      <c r="AK36">
        <f>IF(原始資料!AK36="","",IF(反向題設定!$C$40="是",反向題設定!$B$2+1-原始資料!AK36,原始資料!AK36))</f>
        <v/>
      </c>
      <c r="AL36">
        <f>IF(原始資料!AL36="","",IF(反向題設定!$C$41="是",反向題設定!$B$2+1-原始資料!AL36,原始資料!AL36))</f>
        <v/>
      </c>
      <c r="AM36">
        <f>IF(原始資料!AM36="","",IF(反向題設定!$C$42="是",反向題設定!$B$2+1-原始資料!AM36,原始資料!AM36))</f>
        <v/>
      </c>
      <c r="AN36">
        <f>IF(原始資料!AN36="","",IF(反向題設定!$C$43="是",反向題設定!$B$2+1-原始資料!AN36,原始資料!AN36))</f>
        <v/>
      </c>
      <c r="AO36">
        <f>IF(原始資料!AO36="","",IF(反向題設定!$C$44="是",反向題設定!$B$2+1-原始資料!AO36,原始資料!AO36))</f>
        <v/>
      </c>
      <c r="AP36">
        <f>IF(COUNT(B36:AO36)=0,"",SUM(B36:AO36))</f>
        <v/>
      </c>
      <c r="AQ36">
        <f>IF(AP36="","",IF(AP36&gt;=項目分析!$C$5,"高",IF(AP36&lt;=項目分析!$C$6,"低","")))</f>
        <v/>
      </c>
    </row>
    <row r="37">
      <c r="A37">
        <f>IF(原始資料!A37="","",原始資料!A37)</f>
        <v/>
      </c>
      <c r="B37">
        <f>IF(原始資料!B37="","",IF(反向題設定!$C$5="是",反向題設定!$B$2+1-原始資料!B37,原始資料!B37))</f>
        <v/>
      </c>
      <c r="C37">
        <f>IF(原始資料!C37="","",IF(反向題設定!$C$6="是",反向題設定!$B$2+1-原始資料!C37,原始資料!C37))</f>
        <v/>
      </c>
      <c r="D37">
        <f>IF(原始資料!D37="","",IF(反向題設定!$C$7="是",反向題設定!$B$2+1-原始資料!D37,原始資料!D37))</f>
        <v/>
      </c>
      <c r="E37">
        <f>IF(原始資料!E37="","",IF(反向題設定!$C$8="是",反向題設定!$B$2+1-原始資料!E37,原始資料!E37))</f>
        <v/>
      </c>
      <c r="F37">
        <f>IF(原始資料!F37="","",IF(反向題設定!$C$9="是",反向題設定!$B$2+1-原始資料!F37,原始資料!F37))</f>
        <v/>
      </c>
      <c r="G37">
        <f>IF(原始資料!G37="","",IF(反向題設定!$C$10="是",反向題設定!$B$2+1-原始資料!G37,原始資料!G37))</f>
        <v/>
      </c>
      <c r="H37">
        <f>IF(原始資料!H37="","",IF(反向題設定!$C$11="是",反向題設定!$B$2+1-原始資料!H37,原始資料!H37))</f>
        <v/>
      </c>
      <c r="I37">
        <f>IF(原始資料!I37="","",IF(反向題設定!$C$12="是",反向題設定!$B$2+1-原始資料!I37,原始資料!I37))</f>
        <v/>
      </c>
      <c r="J37">
        <f>IF(原始資料!J37="","",IF(反向題設定!$C$13="是",反向題設定!$B$2+1-原始資料!J37,原始資料!J37))</f>
        <v/>
      </c>
      <c r="K37">
        <f>IF(原始資料!K37="","",IF(反向題設定!$C$14="是",反向題設定!$B$2+1-原始資料!K37,原始資料!K37))</f>
        <v/>
      </c>
      <c r="L37">
        <f>IF(原始資料!L37="","",IF(反向題設定!$C$15="是",反向題設定!$B$2+1-原始資料!L37,原始資料!L37))</f>
        <v/>
      </c>
      <c r="M37">
        <f>IF(原始資料!M37="","",IF(反向題設定!$C$16="是",反向題設定!$B$2+1-原始資料!M37,原始資料!M37))</f>
        <v/>
      </c>
      <c r="N37">
        <f>IF(原始資料!N37="","",IF(反向題設定!$C$17="是",反向題設定!$B$2+1-原始資料!N37,原始資料!N37))</f>
        <v/>
      </c>
      <c r="O37">
        <f>IF(原始資料!O37="","",IF(反向題設定!$C$18="是",反向題設定!$B$2+1-原始資料!O37,原始資料!O37))</f>
        <v/>
      </c>
      <c r="P37">
        <f>IF(原始資料!P37="","",IF(反向題設定!$C$19="是",反向題設定!$B$2+1-原始資料!P37,原始資料!P37))</f>
        <v/>
      </c>
      <c r="Q37">
        <f>IF(原始資料!Q37="","",IF(反向題設定!$C$20="是",反向題設定!$B$2+1-原始資料!Q37,原始資料!Q37))</f>
        <v/>
      </c>
      <c r="R37">
        <f>IF(原始資料!R37="","",IF(反向題設定!$C$21="是",反向題設定!$B$2+1-原始資料!R37,原始資料!R37))</f>
        <v/>
      </c>
      <c r="S37">
        <f>IF(原始資料!S37="","",IF(反向題設定!$C$22="是",反向題設定!$B$2+1-原始資料!S37,原始資料!S37))</f>
        <v/>
      </c>
      <c r="T37">
        <f>IF(原始資料!T37="","",IF(反向題設定!$C$23="是",反向題設定!$B$2+1-原始資料!T37,原始資料!T37))</f>
        <v/>
      </c>
      <c r="U37">
        <f>IF(原始資料!U37="","",IF(反向題設定!$C$24="是",反向題設定!$B$2+1-原始資料!U37,原始資料!U37))</f>
        <v/>
      </c>
      <c r="V37">
        <f>IF(原始資料!V37="","",IF(反向題設定!$C$25="是",反向題設定!$B$2+1-原始資料!V37,原始資料!V37))</f>
        <v/>
      </c>
      <c r="W37">
        <f>IF(原始資料!W37="","",IF(反向題設定!$C$26="是",反向題設定!$B$2+1-原始資料!W37,原始資料!W37))</f>
        <v/>
      </c>
      <c r="X37">
        <f>IF(原始資料!X37="","",IF(反向題設定!$C$27="是",反向題設定!$B$2+1-原始資料!X37,原始資料!X37))</f>
        <v/>
      </c>
      <c r="Y37">
        <f>IF(原始資料!Y37="","",IF(反向題設定!$C$28="是",反向題設定!$B$2+1-原始資料!Y37,原始資料!Y37))</f>
        <v/>
      </c>
      <c r="Z37">
        <f>IF(原始資料!Z37="","",IF(反向題設定!$C$29="是",反向題設定!$B$2+1-原始資料!Z37,原始資料!Z37))</f>
        <v/>
      </c>
      <c r="AA37">
        <f>IF(原始資料!AA37="","",IF(反向題設定!$C$30="是",反向題設定!$B$2+1-原始資料!AA37,原始資料!AA37))</f>
        <v/>
      </c>
      <c r="AB37">
        <f>IF(原始資料!AB37="","",IF(反向題設定!$C$31="是",反向題設定!$B$2+1-原始資料!AB37,原始資料!AB37))</f>
        <v/>
      </c>
      <c r="AC37">
        <f>IF(原始資料!AC37="","",IF(反向題設定!$C$32="是",反向題設定!$B$2+1-原始資料!AC37,原始資料!AC37))</f>
        <v/>
      </c>
      <c r="AD37">
        <f>IF(原始資料!AD37="","",IF(反向題設定!$C$33="是",反向題設定!$B$2+1-原始資料!AD37,原始資料!AD37))</f>
        <v/>
      </c>
      <c r="AE37">
        <f>IF(原始資料!AE37="","",IF(反向題設定!$C$34="是",反向題設定!$B$2+1-原始資料!AE37,原始資料!AE37))</f>
        <v/>
      </c>
      <c r="AF37">
        <f>IF(原始資料!AF37="","",IF(反向題設定!$C$35="是",反向題設定!$B$2+1-原始資料!AF37,原始資料!AF37))</f>
        <v/>
      </c>
      <c r="AG37">
        <f>IF(原始資料!AG37="","",IF(反向題設定!$C$36="是",反向題設定!$B$2+1-原始資料!AG37,原始資料!AG37))</f>
        <v/>
      </c>
      <c r="AH37">
        <f>IF(原始資料!AH37="","",IF(反向題設定!$C$37="是",反向題設定!$B$2+1-原始資料!AH37,原始資料!AH37))</f>
        <v/>
      </c>
      <c r="AI37">
        <f>IF(原始資料!AI37="","",IF(反向題設定!$C$38="是",反向題設定!$B$2+1-原始資料!AI37,原始資料!AI37))</f>
        <v/>
      </c>
      <c r="AJ37">
        <f>IF(原始資料!AJ37="","",IF(反向題設定!$C$39="是",反向題設定!$B$2+1-原始資料!AJ37,原始資料!AJ37))</f>
        <v/>
      </c>
      <c r="AK37">
        <f>IF(原始資料!AK37="","",IF(反向題設定!$C$40="是",反向題設定!$B$2+1-原始資料!AK37,原始資料!AK37))</f>
        <v/>
      </c>
      <c r="AL37">
        <f>IF(原始資料!AL37="","",IF(反向題設定!$C$41="是",反向題設定!$B$2+1-原始資料!AL37,原始資料!AL37))</f>
        <v/>
      </c>
      <c r="AM37">
        <f>IF(原始資料!AM37="","",IF(反向題設定!$C$42="是",反向題設定!$B$2+1-原始資料!AM37,原始資料!AM37))</f>
        <v/>
      </c>
      <c r="AN37">
        <f>IF(原始資料!AN37="","",IF(反向題設定!$C$43="是",反向題設定!$B$2+1-原始資料!AN37,原始資料!AN37))</f>
        <v/>
      </c>
      <c r="AO37">
        <f>IF(原始資料!AO37="","",IF(反向題設定!$C$44="是",反向題設定!$B$2+1-原始資料!AO37,原始資料!AO37))</f>
        <v/>
      </c>
      <c r="AP37">
        <f>IF(COUNT(B37:AO37)=0,"",SUM(B37:AO37))</f>
        <v/>
      </c>
      <c r="AQ37">
        <f>IF(AP37="","",IF(AP37&gt;=項目分析!$C$5,"高",IF(AP37&lt;=項目分析!$C$6,"低","")))</f>
        <v/>
      </c>
    </row>
    <row r="38">
      <c r="A38">
        <f>IF(原始資料!A38="","",原始資料!A38)</f>
        <v/>
      </c>
      <c r="B38">
        <f>IF(原始資料!B38="","",IF(反向題設定!$C$5="是",反向題設定!$B$2+1-原始資料!B38,原始資料!B38))</f>
        <v/>
      </c>
      <c r="C38">
        <f>IF(原始資料!C38="","",IF(反向題設定!$C$6="是",反向題設定!$B$2+1-原始資料!C38,原始資料!C38))</f>
        <v/>
      </c>
      <c r="D38">
        <f>IF(原始資料!D38="","",IF(反向題設定!$C$7="是",反向題設定!$B$2+1-原始資料!D38,原始資料!D38))</f>
        <v/>
      </c>
      <c r="E38">
        <f>IF(原始資料!E38="","",IF(反向題設定!$C$8="是",反向題設定!$B$2+1-原始資料!E38,原始資料!E38))</f>
        <v/>
      </c>
      <c r="F38">
        <f>IF(原始資料!F38="","",IF(反向題設定!$C$9="是",反向題設定!$B$2+1-原始資料!F38,原始資料!F38))</f>
        <v/>
      </c>
      <c r="G38">
        <f>IF(原始資料!G38="","",IF(反向題設定!$C$10="是",反向題設定!$B$2+1-原始資料!G38,原始資料!G38))</f>
        <v/>
      </c>
      <c r="H38">
        <f>IF(原始資料!H38="","",IF(反向題設定!$C$11="是",反向題設定!$B$2+1-原始資料!H38,原始資料!H38))</f>
        <v/>
      </c>
      <c r="I38">
        <f>IF(原始資料!I38="","",IF(反向題設定!$C$12="是",反向題設定!$B$2+1-原始資料!I38,原始資料!I38))</f>
        <v/>
      </c>
      <c r="J38">
        <f>IF(原始資料!J38="","",IF(反向題設定!$C$13="是",反向題設定!$B$2+1-原始資料!J38,原始資料!J38))</f>
        <v/>
      </c>
      <c r="K38">
        <f>IF(原始資料!K38="","",IF(反向題設定!$C$14="是",反向題設定!$B$2+1-原始資料!K38,原始資料!K38))</f>
        <v/>
      </c>
      <c r="L38">
        <f>IF(原始資料!L38="","",IF(反向題設定!$C$15="是",反向題設定!$B$2+1-原始資料!L38,原始資料!L38))</f>
        <v/>
      </c>
      <c r="M38">
        <f>IF(原始資料!M38="","",IF(反向題設定!$C$16="是",反向題設定!$B$2+1-原始資料!M38,原始資料!M38))</f>
        <v/>
      </c>
      <c r="N38">
        <f>IF(原始資料!N38="","",IF(反向題設定!$C$17="是",反向題設定!$B$2+1-原始資料!N38,原始資料!N38))</f>
        <v/>
      </c>
      <c r="O38">
        <f>IF(原始資料!O38="","",IF(反向題設定!$C$18="是",反向題設定!$B$2+1-原始資料!O38,原始資料!O38))</f>
        <v/>
      </c>
      <c r="P38">
        <f>IF(原始資料!P38="","",IF(反向題設定!$C$19="是",反向題設定!$B$2+1-原始資料!P38,原始資料!P38))</f>
        <v/>
      </c>
      <c r="Q38">
        <f>IF(原始資料!Q38="","",IF(反向題設定!$C$20="是",反向題設定!$B$2+1-原始資料!Q38,原始資料!Q38))</f>
        <v/>
      </c>
      <c r="R38">
        <f>IF(原始資料!R38="","",IF(反向題設定!$C$21="是",反向題設定!$B$2+1-原始資料!R38,原始資料!R38))</f>
        <v/>
      </c>
      <c r="S38">
        <f>IF(原始資料!S38="","",IF(反向題設定!$C$22="是",反向題設定!$B$2+1-原始資料!S38,原始資料!S38))</f>
        <v/>
      </c>
      <c r="T38">
        <f>IF(原始資料!T38="","",IF(反向題設定!$C$23="是",反向題設定!$B$2+1-原始資料!T38,原始資料!T38))</f>
        <v/>
      </c>
      <c r="U38">
        <f>IF(原始資料!U38="","",IF(反向題設定!$C$24="是",反向題設定!$B$2+1-原始資料!U38,原始資料!U38))</f>
        <v/>
      </c>
      <c r="V38">
        <f>IF(原始資料!V38="","",IF(反向題設定!$C$25="是",反向題設定!$B$2+1-原始資料!V38,原始資料!V38))</f>
        <v/>
      </c>
      <c r="W38">
        <f>IF(原始資料!W38="","",IF(反向題設定!$C$26="是",反向題設定!$B$2+1-原始資料!W38,原始資料!W38))</f>
        <v/>
      </c>
      <c r="X38">
        <f>IF(原始資料!X38="","",IF(反向題設定!$C$27="是",反向題設定!$B$2+1-原始資料!X38,原始資料!X38))</f>
        <v/>
      </c>
      <c r="Y38">
        <f>IF(原始資料!Y38="","",IF(反向題設定!$C$28="是",反向題設定!$B$2+1-原始資料!Y38,原始資料!Y38))</f>
        <v/>
      </c>
      <c r="Z38">
        <f>IF(原始資料!Z38="","",IF(反向題設定!$C$29="是",反向題設定!$B$2+1-原始資料!Z38,原始資料!Z38))</f>
        <v/>
      </c>
      <c r="AA38">
        <f>IF(原始資料!AA38="","",IF(反向題設定!$C$30="是",反向題設定!$B$2+1-原始資料!AA38,原始資料!AA38))</f>
        <v/>
      </c>
      <c r="AB38">
        <f>IF(原始資料!AB38="","",IF(反向題設定!$C$31="是",反向題設定!$B$2+1-原始資料!AB38,原始資料!AB38))</f>
        <v/>
      </c>
      <c r="AC38">
        <f>IF(原始資料!AC38="","",IF(反向題設定!$C$32="是",反向題設定!$B$2+1-原始資料!AC38,原始資料!AC38))</f>
        <v/>
      </c>
      <c r="AD38">
        <f>IF(原始資料!AD38="","",IF(反向題設定!$C$33="是",反向題設定!$B$2+1-原始資料!AD38,原始資料!AD38))</f>
        <v/>
      </c>
      <c r="AE38">
        <f>IF(原始資料!AE38="","",IF(反向題設定!$C$34="是",反向題設定!$B$2+1-原始資料!AE38,原始資料!AE38))</f>
        <v/>
      </c>
      <c r="AF38">
        <f>IF(原始資料!AF38="","",IF(反向題設定!$C$35="是",反向題設定!$B$2+1-原始資料!AF38,原始資料!AF38))</f>
        <v/>
      </c>
      <c r="AG38">
        <f>IF(原始資料!AG38="","",IF(反向題設定!$C$36="是",反向題設定!$B$2+1-原始資料!AG38,原始資料!AG38))</f>
        <v/>
      </c>
      <c r="AH38">
        <f>IF(原始資料!AH38="","",IF(反向題設定!$C$37="是",反向題設定!$B$2+1-原始資料!AH38,原始資料!AH38))</f>
        <v/>
      </c>
      <c r="AI38">
        <f>IF(原始資料!AI38="","",IF(反向題設定!$C$38="是",反向題設定!$B$2+1-原始資料!AI38,原始資料!AI38))</f>
        <v/>
      </c>
      <c r="AJ38">
        <f>IF(原始資料!AJ38="","",IF(反向題設定!$C$39="是",反向題設定!$B$2+1-原始資料!AJ38,原始資料!AJ38))</f>
        <v/>
      </c>
      <c r="AK38">
        <f>IF(原始資料!AK38="","",IF(反向題設定!$C$40="是",反向題設定!$B$2+1-原始資料!AK38,原始資料!AK38))</f>
        <v/>
      </c>
      <c r="AL38">
        <f>IF(原始資料!AL38="","",IF(反向題設定!$C$41="是",反向題設定!$B$2+1-原始資料!AL38,原始資料!AL38))</f>
        <v/>
      </c>
      <c r="AM38">
        <f>IF(原始資料!AM38="","",IF(反向題設定!$C$42="是",反向題設定!$B$2+1-原始資料!AM38,原始資料!AM38))</f>
        <v/>
      </c>
      <c r="AN38">
        <f>IF(原始資料!AN38="","",IF(反向題設定!$C$43="是",反向題設定!$B$2+1-原始資料!AN38,原始資料!AN38))</f>
        <v/>
      </c>
      <c r="AO38">
        <f>IF(原始資料!AO38="","",IF(反向題設定!$C$44="是",反向題設定!$B$2+1-原始資料!AO38,原始資料!AO38))</f>
        <v/>
      </c>
      <c r="AP38">
        <f>IF(COUNT(B38:AO38)=0,"",SUM(B38:AO38))</f>
        <v/>
      </c>
      <c r="AQ38">
        <f>IF(AP38="","",IF(AP38&gt;=項目分析!$C$5,"高",IF(AP38&lt;=項目分析!$C$6,"低","")))</f>
        <v/>
      </c>
    </row>
    <row r="39">
      <c r="A39">
        <f>IF(原始資料!A39="","",原始資料!A39)</f>
        <v/>
      </c>
      <c r="B39">
        <f>IF(原始資料!B39="","",IF(反向題設定!$C$5="是",反向題設定!$B$2+1-原始資料!B39,原始資料!B39))</f>
        <v/>
      </c>
      <c r="C39">
        <f>IF(原始資料!C39="","",IF(反向題設定!$C$6="是",反向題設定!$B$2+1-原始資料!C39,原始資料!C39))</f>
        <v/>
      </c>
      <c r="D39">
        <f>IF(原始資料!D39="","",IF(反向題設定!$C$7="是",反向題設定!$B$2+1-原始資料!D39,原始資料!D39))</f>
        <v/>
      </c>
      <c r="E39">
        <f>IF(原始資料!E39="","",IF(反向題設定!$C$8="是",反向題設定!$B$2+1-原始資料!E39,原始資料!E39))</f>
        <v/>
      </c>
      <c r="F39">
        <f>IF(原始資料!F39="","",IF(反向題設定!$C$9="是",反向題設定!$B$2+1-原始資料!F39,原始資料!F39))</f>
        <v/>
      </c>
      <c r="G39">
        <f>IF(原始資料!G39="","",IF(反向題設定!$C$10="是",反向題設定!$B$2+1-原始資料!G39,原始資料!G39))</f>
        <v/>
      </c>
      <c r="H39">
        <f>IF(原始資料!H39="","",IF(反向題設定!$C$11="是",反向題設定!$B$2+1-原始資料!H39,原始資料!H39))</f>
        <v/>
      </c>
      <c r="I39">
        <f>IF(原始資料!I39="","",IF(反向題設定!$C$12="是",反向題設定!$B$2+1-原始資料!I39,原始資料!I39))</f>
        <v/>
      </c>
      <c r="J39">
        <f>IF(原始資料!J39="","",IF(反向題設定!$C$13="是",反向題設定!$B$2+1-原始資料!J39,原始資料!J39))</f>
        <v/>
      </c>
      <c r="K39">
        <f>IF(原始資料!K39="","",IF(反向題設定!$C$14="是",反向題設定!$B$2+1-原始資料!K39,原始資料!K39))</f>
        <v/>
      </c>
      <c r="L39">
        <f>IF(原始資料!L39="","",IF(反向題設定!$C$15="是",反向題設定!$B$2+1-原始資料!L39,原始資料!L39))</f>
        <v/>
      </c>
      <c r="M39">
        <f>IF(原始資料!M39="","",IF(反向題設定!$C$16="是",反向題設定!$B$2+1-原始資料!M39,原始資料!M39))</f>
        <v/>
      </c>
      <c r="N39">
        <f>IF(原始資料!N39="","",IF(反向題設定!$C$17="是",反向題設定!$B$2+1-原始資料!N39,原始資料!N39))</f>
        <v/>
      </c>
      <c r="O39">
        <f>IF(原始資料!O39="","",IF(反向題設定!$C$18="是",反向題設定!$B$2+1-原始資料!O39,原始資料!O39))</f>
        <v/>
      </c>
      <c r="P39">
        <f>IF(原始資料!P39="","",IF(反向題設定!$C$19="是",反向題設定!$B$2+1-原始資料!P39,原始資料!P39))</f>
        <v/>
      </c>
      <c r="Q39">
        <f>IF(原始資料!Q39="","",IF(反向題設定!$C$20="是",反向題設定!$B$2+1-原始資料!Q39,原始資料!Q39))</f>
        <v/>
      </c>
      <c r="R39">
        <f>IF(原始資料!R39="","",IF(反向題設定!$C$21="是",反向題設定!$B$2+1-原始資料!R39,原始資料!R39))</f>
        <v/>
      </c>
      <c r="S39">
        <f>IF(原始資料!S39="","",IF(反向題設定!$C$22="是",反向題設定!$B$2+1-原始資料!S39,原始資料!S39))</f>
        <v/>
      </c>
      <c r="T39">
        <f>IF(原始資料!T39="","",IF(反向題設定!$C$23="是",反向題設定!$B$2+1-原始資料!T39,原始資料!T39))</f>
        <v/>
      </c>
      <c r="U39">
        <f>IF(原始資料!U39="","",IF(反向題設定!$C$24="是",反向題設定!$B$2+1-原始資料!U39,原始資料!U39))</f>
        <v/>
      </c>
      <c r="V39">
        <f>IF(原始資料!V39="","",IF(反向題設定!$C$25="是",反向題設定!$B$2+1-原始資料!V39,原始資料!V39))</f>
        <v/>
      </c>
      <c r="W39">
        <f>IF(原始資料!W39="","",IF(反向題設定!$C$26="是",反向題設定!$B$2+1-原始資料!W39,原始資料!W39))</f>
        <v/>
      </c>
      <c r="X39">
        <f>IF(原始資料!X39="","",IF(反向題設定!$C$27="是",反向題設定!$B$2+1-原始資料!X39,原始資料!X39))</f>
        <v/>
      </c>
      <c r="Y39">
        <f>IF(原始資料!Y39="","",IF(反向題設定!$C$28="是",反向題設定!$B$2+1-原始資料!Y39,原始資料!Y39))</f>
        <v/>
      </c>
      <c r="Z39">
        <f>IF(原始資料!Z39="","",IF(反向題設定!$C$29="是",反向題設定!$B$2+1-原始資料!Z39,原始資料!Z39))</f>
        <v/>
      </c>
      <c r="AA39">
        <f>IF(原始資料!AA39="","",IF(反向題設定!$C$30="是",反向題設定!$B$2+1-原始資料!AA39,原始資料!AA39))</f>
        <v/>
      </c>
      <c r="AB39">
        <f>IF(原始資料!AB39="","",IF(反向題設定!$C$31="是",反向題設定!$B$2+1-原始資料!AB39,原始資料!AB39))</f>
        <v/>
      </c>
      <c r="AC39">
        <f>IF(原始資料!AC39="","",IF(反向題設定!$C$32="是",反向題設定!$B$2+1-原始資料!AC39,原始資料!AC39))</f>
        <v/>
      </c>
      <c r="AD39">
        <f>IF(原始資料!AD39="","",IF(反向題設定!$C$33="是",反向題設定!$B$2+1-原始資料!AD39,原始資料!AD39))</f>
        <v/>
      </c>
      <c r="AE39">
        <f>IF(原始資料!AE39="","",IF(反向題設定!$C$34="是",反向題設定!$B$2+1-原始資料!AE39,原始資料!AE39))</f>
        <v/>
      </c>
      <c r="AF39">
        <f>IF(原始資料!AF39="","",IF(反向題設定!$C$35="是",反向題設定!$B$2+1-原始資料!AF39,原始資料!AF39))</f>
        <v/>
      </c>
      <c r="AG39">
        <f>IF(原始資料!AG39="","",IF(反向題設定!$C$36="是",反向題設定!$B$2+1-原始資料!AG39,原始資料!AG39))</f>
        <v/>
      </c>
      <c r="AH39">
        <f>IF(原始資料!AH39="","",IF(反向題設定!$C$37="是",反向題設定!$B$2+1-原始資料!AH39,原始資料!AH39))</f>
        <v/>
      </c>
      <c r="AI39">
        <f>IF(原始資料!AI39="","",IF(反向題設定!$C$38="是",反向題設定!$B$2+1-原始資料!AI39,原始資料!AI39))</f>
        <v/>
      </c>
      <c r="AJ39">
        <f>IF(原始資料!AJ39="","",IF(反向題設定!$C$39="是",反向題設定!$B$2+1-原始資料!AJ39,原始資料!AJ39))</f>
        <v/>
      </c>
      <c r="AK39">
        <f>IF(原始資料!AK39="","",IF(反向題設定!$C$40="是",反向題設定!$B$2+1-原始資料!AK39,原始資料!AK39))</f>
        <v/>
      </c>
      <c r="AL39">
        <f>IF(原始資料!AL39="","",IF(反向題設定!$C$41="是",反向題設定!$B$2+1-原始資料!AL39,原始資料!AL39))</f>
        <v/>
      </c>
      <c r="AM39">
        <f>IF(原始資料!AM39="","",IF(反向題設定!$C$42="是",反向題設定!$B$2+1-原始資料!AM39,原始資料!AM39))</f>
        <v/>
      </c>
      <c r="AN39">
        <f>IF(原始資料!AN39="","",IF(反向題設定!$C$43="是",反向題設定!$B$2+1-原始資料!AN39,原始資料!AN39))</f>
        <v/>
      </c>
      <c r="AO39">
        <f>IF(原始資料!AO39="","",IF(反向題設定!$C$44="是",反向題設定!$B$2+1-原始資料!AO39,原始資料!AO39))</f>
        <v/>
      </c>
      <c r="AP39">
        <f>IF(COUNT(B39:AO39)=0,"",SUM(B39:AO39))</f>
        <v/>
      </c>
      <c r="AQ39">
        <f>IF(AP39="","",IF(AP39&gt;=項目分析!$C$5,"高",IF(AP39&lt;=項目分析!$C$6,"低","")))</f>
        <v/>
      </c>
    </row>
    <row r="40">
      <c r="A40">
        <f>IF(原始資料!A40="","",原始資料!A40)</f>
        <v/>
      </c>
      <c r="B40">
        <f>IF(原始資料!B40="","",IF(反向題設定!$C$5="是",反向題設定!$B$2+1-原始資料!B40,原始資料!B40))</f>
        <v/>
      </c>
      <c r="C40">
        <f>IF(原始資料!C40="","",IF(反向題設定!$C$6="是",反向題設定!$B$2+1-原始資料!C40,原始資料!C40))</f>
        <v/>
      </c>
      <c r="D40">
        <f>IF(原始資料!D40="","",IF(反向題設定!$C$7="是",反向題設定!$B$2+1-原始資料!D40,原始資料!D40))</f>
        <v/>
      </c>
      <c r="E40">
        <f>IF(原始資料!E40="","",IF(反向題設定!$C$8="是",反向題設定!$B$2+1-原始資料!E40,原始資料!E40))</f>
        <v/>
      </c>
      <c r="F40">
        <f>IF(原始資料!F40="","",IF(反向題設定!$C$9="是",反向題設定!$B$2+1-原始資料!F40,原始資料!F40))</f>
        <v/>
      </c>
      <c r="G40">
        <f>IF(原始資料!G40="","",IF(反向題設定!$C$10="是",反向題設定!$B$2+1-原始資料!G40,原始資料!G40))</f>
        <v/>
      </c>
      <c r="H40">
        <f>IF(原始資料!H40="","",IF(反向題設定!$C$11="是",反向題設定!$B$2+1-原始資料!H40,原始資料!H40))</f>
        <v/>
      </c>
      <c r="I40">
        <f>IF(原始資料!I40="","",IF(反向題設定!$C$12="是",反向題設定!$B$2+1-原始資料!I40,原始資料!I40))</f>
        <v/>
      </c>
      <c r="J40">
        <f>IF(原始資料!J40="","",IF(反向題設定!$C$13="是",反向題設定!$B$2+1-原始資料!J40,原始資料!J40))</f>
        <v/>
      </c>
      <c r="K40">
        <f>IF(原始資料!K40="","",IF(反向題設定!$C$14="是",反向題設定!$B$2+1-原始資料!K40,原始資料!K40))</f>
        <v/>
      </c>
      <c r="L40">
        <f>IF(原始資料!L40="","",IF(反向題設定!$C$15="是",反向題設定!$B$2+1-原始資料!L40,原始資料!L40))</f>
        <v/>
      </c>
      <c r="M40">
        <f>IF(原始資料!M40="","",IF(反向題設定!$C$16="是",反向題設定!$B$2+1-原始資料!M40,原始資料!M40))</f>
        <v/>
      </c>
      <c r="N40">
        <f>IF(原始資料!N40="","",IF(反向題設定!$C$17="是",反向題設定!$B$2+1-原始資料!N40,原始資料!N40))</f>
        <v/>
      </c>
      <c r="O40">
        <f>IF(原始資料!O40="","",IF(反向題設定!$C$18="是",反向題設定!$B$2+1-原始資料!O40,原始資料!O40))</f>
        <v/>
      </c>
      <c r="P40">
        <f>IF(原始資料!P40="","",IF(反向題設定!$C$19="是",反向題設定!$B$2+1-原始資料!P40,原始資料!P40))</f>
        <v/>
      </c>
      <c r="Q40">
        <f>IF(原始資料!Q40="","",IF(反向題設定!$C$20="是",反向題設定!$B$2+1-原始資料!Q40,原始資料!Q40))</f>
        <v/>
      </c>
      <c r="R40">
        <f>IF(原始資料!R40="","",IF(反向題設定!$C$21="是",反向題設定!$B$2+1-原始資料!R40,原始資料!R40))</f>
        <v/>
      </c>
      <c r="S40">
        <f>IF(原始資料!S40="","",IF(反向題設定!$C$22="是",反向題設定!$B$2+1-原始資料!S40,原始資料!S40))</f>
        <v/>
      </c>
      <c r="T40">
        <f>IF(原始資料!T40="","",IF(反向題設定!$C$23="是",反向題設定!$B$2+1-原始資料!T40,原始資料!T40))</f>
        <v/>
      </c>
      <c r="U40">
        <f>IF(原始資料!U40="","",IF(反向題設定!$C$24="是",反向題設定!$B$2+1-原始資料!U40,原始資料!U40))</f>
        <v/>
      </c>
      <c r="V40">
        <f>IF(原始資料!V40="","",IF(反向題設定!$C$25="是",反向題設定!$B$2+1-原始資料!V40,原始資料!V40))</f>
        <v/>
      </c>
      <c r="W40">
        <f>IF(原始資料!W40="","",IF(反向題設定!$C$26="是",反向題設定!$B$2+1-原始資料!W40,原始資料!W40))</f>
        <v/>
      </c>
      <c r="X40">
        <f>IF(原始資料!X40="","",IF(反向題設定!$C$27="是",反向題設定!$B$2+1-原始資料!X40,原始資料!X40))</f>
        <v/>
      </c>
      <c r="Y40">
        <f>IF(原始資料!Y40="","",IF(反向題設定!$C$28="是",反向題設定!$B$2+1-原始資料!Y40,原始資料!Y40))</f>
        <v/>
      </c>
      <c r="Z40">
        <f>IF(原始資料!Z40="","",IF(反向題設定!$C$29="是",反向題設定!$B$2+1-原始資料!Z40,原始資料!Z40))</f>
        <v/>
      </c>
      <c r="AA40">
        <f>IF(原始資料!AA40="","",IF(反向題設定!$C$30="是",反向題設定!$B$2+1-原始資料!AA40,原始資料!AA40))</f>
        <v/>
      </c>
      <c r="AB40">
        <f>IF(原始資料!AB40="","",IF(反向題設定!$C$31="是",反向題設定!$B$2+1-原始資料!AB40,原始資料!AB40))</f>
        <v/>
      </c>
      <c r="AC40">
        <f>IF(原始資料!AC40="","",IF(反向題設定!$C$32="是",反向題設定!$B$2+1-原始資料!AC40,原始資料!AC40))</f>
        <v/>
      </c>
      <c r="AD40">
        <f>IF(原始資料!AD40="","",IF(反向題設定!$C$33="是",反向題設定!$B$2+1-原始資料!AD40,原始資料!AD40))</f>
        <v/>
      </c>
      <c r="AE40">
        <f>IF(原始資料!AE40="","",IF(反向題設定!$C$34="是",反向題設定!$B$2+1-原始資料!AE40,原始資料!AE40))</f>
        <v/>
      </c>
      <c r="AF40">
        <f>IF(原始資料!AF40="","",IF(反向題設定!$C$35="是",反向題設定!$B$2+1-原始資料!AF40,原始資料!AF40))</f>
        <v/>
      </c>
      <c r="AG40">
        <f>IF(原始資料!AG40="","",IF(反向題設定!$C$36="是",反向題設定!$B$2+1-原始資料!AG40,原始資料!AG40))</f>
        <v/>
      </c>
      <c r="AH40">
        <f>IF(原始資料!AH40="","",IF(反向題設定!$C$37="是",反向題設定!$B$2+1-原始資料!AH40,原始資料!AH40))</f>
        <v/>
      </c>
      <c r="AI40">
        <f>IF(原始資料!AI40="","",IF(反向題設定!$C$38="是",反向題設定!$B$2+1-原始資料!AI40,原始資料!AI40))</f>
        <v/>
      </c>
      <c r="AJ40">
        <f>IF(原始資料!AJ40="","",IF(反向題設定!$C$39="是",反向題設定!$B$2+1-原始資料!AJ40,原始資料!AJ40))</f>
        <v/>
      </c>
      <c r="AK40">
        <f>IF(原始資料!AK40="","",IF(反向題設定!$C$40="是",反向題設定!$B$2+1-原始資料!AK40,原始資料!AK40))</f>
        <v/>
      </c>
      <c r="AL40">
        <f>IF(原始資料!AL40="","",IF(反向題設定!$C$41="是",反向題設定!$B$2+1-原始資料!AL40,原始資料!AL40))</f>
        <v/>
      </c>
      <c r="AM40">
        <f>IF(原始資料!AM40="","",IF(反向題設定!$C$42="是",反向題設定!$B$2+1-原始資料!AM40,原始資料!AM40))</f>
        <v/>
      </c>
      <c r="AN40">
        <f>IF(原始資料!AN40="","",IF(反向題設定!$C$43="是",反向題設定!$B$2+1-原始資料!AN40,原始資料!AN40))</f>
        <v/>
      </c>
      <c r="AO40">
        <f>IF(原始資料!AO40="","",IF(反向題設定!$C$44="是",反向題設定!$B$2+1-原始資料!AO40,原始資料!AO40))</f>
        <v/>
      </c>
      <c r="AP40">
        <f>IF(COUNT(B40:AO40)=0,"",SUM(B40:AO40))</f>
        <v/>
      </c>
      <c r="AQ40">
        <f>IF(AP40="","",IF(AP40&gt;=項目分析!$C$5,"高",IF(AP40&lt;=項目分析!$C$6,"低","")))</f>
        <v/>
      </c>
    </row>
    <row r="41">
      <c r="A41">
        <f>IF(原始資料!A41="","",原始資料!A41)</f>
        <v/>
      </c>
      <c r="B41">
        <f>IF(原始資料!B41="","",IF(反向題設定!$C$5="是",反向題設定!$B$2+1-原始資料!B41,原始資料!B41))</f>
        <v/>
      </c>
      <c r="C41">
        <f>IF(原始資料!C41="","",IF(反向題設定!$C$6="是",反向題設定!$B$2+1-原始資料!C41,原始資料!C41))</f>
        <v/>
      </c>
      <c r="D41">
        <f>IF(原始資料!D41="","",IF(反向題設定!$C$7="是",反向題設定!$B$2+1-原始資料!D41,原始資料!D41))</f>
        <v/>
      </c>
      <c r="E41">
        <f>IF(原始資料!E41="","",IF(反向題設定!$C$8="是",反向題設定!$B$2+1-原始資料!E41,原始資料!E41))</f>
        <v/>
      </c>
      <c r="F41">
        <f>IF(原始資料!F41="","",IF(反向題設定!$C$9="是",反向題設定!$B$2+1-原始資料!F41,原始資料!F41))</f>
        <v/>
      </c>
      <c r="G41">
        <f>IF(原始資料!G41="","",IF(反向題設定!$C$10="是",反向題設定!$B$2+1-原始資料!G41,原始資料!G41))</f>
        <v/>
      </c>
      <c r="H41">
        <f>IF(原始資料!H41="","",IF(反向題設定!$C$11="是",反向題設定!$B$2+1-原始資料!H41,原始資料!H41))</f>
        <v/>
      </c>
      <c r="I41">
        <f>IF(原始資料!I41="","",IF(反向題設定!$C$12="是",反向題設定!$B$2+1-原始資料!I41,原始資料!I41))</f>
        <v/>
      </c>
      <c r="J41">
        <f>IF(原始資料!J41="","",IF(反向題設定!$C$13="是",反向題設定!$B$2+1-原始資料!J41,原始資料!J41))</f>
        <v/>
      </c>
      <c r="K41">
        <f>IF(原始資料!K41="","",IF(反向題設定!$C$14="是",反向題設定!$B$2+1-原始資料!K41,原始資料!K41))</f>
        <v/>
      </c>
      <c r="L41">
        <f>IF(原始資料!L41="","",IF(反向題設定!$C$15="是",反向題設定!$B$2+1-原始資料!L41,原始資料!L41))</f>
        <v/>
      </c>
      <c r="M41">
        <f>IF(原始資料!M41="","",IF(反向題設定!$C$16="是",反向題設定!$B$2+1-原始資料!M41,原始資料!M41))</f>
        <v/>
      </c>
      <c r="N41">
        <f>IF(原始資料!N41="","",IF(反向題設定!$C$17="是",反向題設定!$B$2+1-原始資料!N41,原始資料!N41))</f>
        <v/>
      </c>
      <c r="O41">
        <f>IF(原始資料!O41="","",IF(反向題設定!$C$18="是",反向題設定!$B$2+1-原始資料!O41,原始資料!O41))</f>
        <v/>
      </c>
      <c r="P41">
        <f>IF(原始資料!P41="","",IF(反向題設定!$C$19="是",反向題設定!$B$2+1-原始資料!P41,原始資料!P41))</f>
        <v/>
      </c>
      <c r="Q41">
        <f>IF(原始資料!Q41="","",IF(反向題設定!$C$20="是",反向題設定!$B$2+1-原始資料!Q41,原始資料!Q41))</f>
        <v/>
      </c>
      <c r="R41">
        <f>IF(原始資料!R41="","",IF(反向題設定!$C$21="是",反向題設定!$B$2+1-原始資料!R41,原始資料!R41))</f>
        <v/>
      </c>
      <c r="S41">
        <f>IF(原始資料!S41="","",IF(反向題設定!$C$22="是",反向題設定!$B$2+1-原始資料!S41,原始資料!S41))</f>
        <v/>
      </c>
      <c r="T41">
        <f>IF(原始資料!T41="","",IF(反向題設定!$C$23="是",反向題設定!$B$2+1-原始資料!T41,原始資料!T41))</f>
        <v/>
      </c>
      <c r="U41">
        <f>IF(原始資料!U41="","",IF(反向題設定!$C$24="是",反向題設定!$B$2+1-原始資料!U41,原始資料!U41))</f>
        <v/>
      </c>
      <c r="V41">
        <f>IF(原始資料!V41="","",IF(反向題設定!$C$25="是",反向題設定!$B$2+1-原始資料!V41,原始資料!V41))</f>
        <v/>
      </c>
      <c r="W41">
        <f>IF(原始資料!W41="","",IF(反向題設定!$C$26="是",反向題設定!$B$2+1-原始資料!W41,原始資料!W41))</f>
        <v/>
      </c>
      <c r="X41">
        <f>IF(原始資料!X41="","",IF(反向題設定!$C$27="是",反向題設定!$B$2+1-原始資料!X41,原始資料!X41))</f>
        <v/>
      </c>
      <c r="Y41">
        <f>IF(原始資料!Y41="","",IF(反向題設定!$C$28="是",反向題設定!$B$2+1-原始資料!Y41,原始資料!Y41))</f>
        <v/>
      </c>
      <c r="Z41">
        <f>IF(原始資料!Z41="","",IF(反向題設定!$C$29="是",反向題設定!$B$2+1-原始資料!Z41,原始資料!Z41))</f>
        <v/>
      </c>
      <c r="AA41">
        <f>IF(原始資料!AA41="","",IF(反向題設定!$C$30="是",反向題設定!$B$2+1-原始資料!AA41,原始資料!AA41))</f>
        <v/>
      </c>
      <c r="AB41">
        <f>IF(原始資料!AB41="","",IF(反向題設定!$C$31="是",反向題設定!$B$2+1-原始資料!AB41,原始資料!AB41))</f>
        <v/>
      </c>
      <c r="AC41">
        <f>IF(原始資料!AC41="","",IF(反向題設定!$C$32="是",反向題設定!$B$2+1-原始資料!AC41,原始資料!AC41))</f>
        <v/>
      </c>
      <c r="AD41">
        <f>IF(原始資料!AD41="","",IF(反向題設定!$C$33="是",反向題設定!$B$2+1-原始資料!AD41,原始資料!AD41))</f>
        <v/>
      </c>
      <c r="AE41">
        <f>IF(原始資料!AE41="","",IF(反向題設定!$C$34="是",反向題設定!$B$2+1-原始資料!AE41,原始資料!AE41))</f>
        <v/>
      </c>
      <c r="AF41">
        <f>IF(原始資料!AF41="","",IF(反向題設定!$C$35="是",反向題設定!$B$2+1-原始資料!AF41,原始資料!AF41))</f>
        <v/>
      </c>
      <c r="AG41">
        <f>IF(原始資料!AG41="","",IF(反向題設定!$C$36="是",反向題設定!$B$2+1-原始資料!AG41,原始資料!AG41))</f>
        <v/>
      </c>
      <c r="AH41">
        <f>IF(原始資料!AH41="","",IF(反向題設定!$C$37="是",反向題設定!$B$2+1-原始資料!AH41,原始資料!AH41))</f>
        <v/>
      </c>
      <c r="AI41">
        <f>IF(原始資料!AI41="","",IF(反向題設定!$C$38="是",反向題設定!$B$2+1-原始資料!AI41,原始資料!AI41))</f>
        <v/>
      </c>
      <c r="AJ41">
        <f>IF(原始資料!AJ41="","",IF(反向題設定!$C$39="是",反向題設定!$B$2+1-原始資料!AJ41,原始資料!AJ41))</f>
        <v/>
      </c>
      <c r="AK41">
        <f>IF(原始資料!AK41="","",IF(反向題設定!$C$40="是",反向題設定!$B$2+1-原始資料!AK41,原始資料!AK41))</f>
        <v/>
      </c>
      <c r="AL41">
        <f>IF(原始資料!AL41="","",IF(反向題設定!$C$41="是",反向題設定!$B$2+1-原始資料!AL41,原始資料!AL41))</f>
        <v/>
      </c>
      <c r="AM41">
        <f>IF(原始資料!AM41="","",IF(反向題設定!$C$42="是",反向題設定!$B$2+1-原始資料!AM41,原始資料!AM41))</f>
        <v/>
      </c>
      <c r="AN41">
        <f>IF(原始資料!AN41="","",IF(反向題設定!$C$43="是",反向題設定!$B$2+1-原始資料!AN41,原始資料!AN41))</f>
        <v/>
      </c>
      <c r="AO41">
        <f>IF(原始資料!AO41="","",IF(反向題設定!$C$44="是",反向題設定!$B$2+1-原始資料!AO41,原始資料!AO41))</f>
        <v/>
      </c>
      <c r="AP41">
        <f>IF(COUNT(B41:AO41)=0,"",SUM(B41:AO41))</f>
        <v/>
      </c>
      <c r="AQ41">
        <f>IF(AP41="","",IF(AP41&gt;=項目分析!$C$5,"高",IF(AP41&lt;=項目分析!$C$6,"低","")))</f>
        <v/>
      </c>
    </row>
    <row r="42">
      <c r="A42">
        <f>IF(原始資料!A42="","",原始資料!A42)</f>
        <v/>
      </c>
      <c r="B42">
        <f>IF(原始資料!B42="","",IF(反向題設定!$C$5="是",反向題設定!$B$2+1-原始資料!B42,原始資料!B42))</f>
        <v/>
      </c>
      <c r="C42">
        <f>IF(原始資料!C42="","",IF(反向題設定!$C$6="是",反向題設定!$B$2+1-原始資料!C42,原始資料!C42))</f>
        <v/>
      </c>
      <c r="D42">
        <f>IF(原始資料!D42="","",IF(反向題設定!$C$7="是",反向題設定!$B$2+1-原始資料!D42,原始資料!D42))</f>
        <v/>
      </c>
      <c r="E42">
        <f>IF(原始資料!E42="","",IF(反向題設定!$C$8="是",反向題設定!$B$2+1-原始資料!E42,原始資料!E42))</f>
        <v/>
      </c>
      <c r="F42">
        <f>IF(原始資料!F42="","",IF(反向題設定!$C$9="是",反向題設定!$B$2+1-原始資料!F42,原始資料!F42))</f>
        <v/>
      </c>
      <c r="G42">
        <f>IF(原始資料!G42="","",IF(反向題設定!$C$10="是",反向題設定!$B$2+1-原始資料!G42,原始資料!G42))</f>
        <v/>
      </c>
      <c r="H42">
        <f>IF(原始資料!H42="","",IF(反向題設定!$C$11="是",反向題設定!$B$2+1-原始資料!H42,原始資料!H42))</f>
        <v/>
      </c>
      <c r="I42">
        <f>IF(原始資料!I42="","",IF(反向題設定!$C$12="是",反向題設定!$B$2+1-原始資料!I42,原始資料!I42))</f>
        <v/>
      </c>
      <c r="J42">
        <f>IF(原始資料!J42="","",IF(反向題設定!$C$13="是",反向題設定!$B$2+1-原始資料!J42,原始資料!J42))</f>
        <v/>
      </c>
      <c r="K42">
        <f>IF(原始資料!K42="","",IF(反向題設定!$C$14="是",反向題設定!$B$2+1-原始資料!K42,原始資料!K42))</f>
        <v/>
      </c>
      <c r="L42">
        <f>IF(原始資料!L42="","",IF(反向題設定!$C$15="是",反向題設定!$B$2+1-原始資料!L42,原始資料!L42))</f>
        <v/>
      </c>
      <c r="M42">
        <f>IF(原始資料!M42="","",IF(反向題設定!$C$16="是",反向題設定!$B$2+1-原始資料!M42,原始資料!M42))</f>
        <v/>
      </c>
      <c r="N42">
        <f>IF(原始資料!N42="","",IF(反向題設定!$C$17="是",反向題設定!$B$2+1-原始資料!N42,原始資料!N42))</f>
        <v/>
      </c>
      <c r="O42">
        <f>IF(原始資料!O42="","",IF(反向題設定!$C$18="是",反向題設定!$B$2+1-原始資料!O42,原始資料!O42))</f>
        <v/>
      </c>
      <c r="P42">
        <f>IF(原始資料!P42="","",IF(反向題設定!$C$19="是",反向題設定!$B$2+1-原始資料!P42,原始資料!P42))</f>
        <v/>
      </c>
      <c r="Q42">
        <f>IF(原始資料!Q42="","",IF(反向題設定!$C$20="是",反向題設定!$B$2+1-原始資料!Q42,原始資料!Q42))</f>
        <v/>
      </c>
      <c r="R42">
        <f>IF(原始資料!R42="","",IF(反向題設定!$C$21="是",反向題設定!$B$2+1-原始資料!R42,原始資料!R42))</f>
        <v/>
      </c>
      <c r="S42">
        <f>IF(原始資料!S42="","",IF(反向題設定!$C$22="是",反向題設定!$B$2+1-原始資料!S42,原始資料!S42))</f>
        <v/>
      </c>
      <c r="T42">
        <f>IF(原始資料!T42="","",IF(反向題設定!$C$23="是",反向題設定!$B$2+1-原始資料!T42,原始資料!T42))</f>
        <v/>
      </c>
      <c r="U42">
        <f>IF(原始資料!U42="","",IF(反向題設定!$C$24="是",反向題設定!$B$2+1-原始資料!U42,原始資料!U42))</f>
        <v/>
      </c>
      <c r="V42">
        <f>IF(原始資料!V42="","",IF(反向題設定!$C$25="是",反向題設定!$B$2+1-原始資料!V42,原始資料!V42))</f>
        <v/>
      </c>
      <c r="W42">
        <f>IF(原始資料!W42="","",IF(反向題設定!$C$26="是",反向題設定!$B$2+1-原始資料!W42,原始資料!W42))</f>
        <v/>
      </c>
      <c r="X42">
        <f>IF(原始資料!X42="","",IF(反向題設定!$C$27="是",反向題設定!$B$2+1-原始資料!X42,原始資料!X42))</f>
        <v/>
      </c>
      <c r="Y42">
        <f>IF(原始資料!Y42="","",IF(反向題設定!$C$28="是",反向題設定!$B$2+1-原始資料!Y42,原始資料!Y42))</f>
        <v/>
      </c>
      <c r="Z42">
        <f>IF(原始資料!Z42="","",IF(反向題設定!$C$29="是",反向題設定!$B$2+1-原始資料!Z42,原始資料!Z42))</f>
        <v/>
      </c>
      <c r="AA42">
        <f>IF(原始資料!AA42="","",IF(反向題設定!$C$30="是",反向題設定!$B$2+1-原始資料!AA42,原始資料!AA42))</f>
        <v/>
      </c>
      <c r="AB42">
        <f>IF(原始資料!AB42="","",IF(反向題設定!$C$31="是",反向題設定!$B$2+1-原始資料!AB42,原始資料!AB42))</f>
        <v/>
      </c>
      <c r="AC42">
        <f>IF(原始資料!AC42="","",IF(反向題設定!$C$32="是",反向題設定!$B$2+1-原始資料!AC42,原始資料!AC42))</f>
        <v/>
      </c>
      <c r="AD42">
        <f>IF(原始資料!AD42="","",IF(反向題設定!$C$33="是",反向題設定!$B$2+1-原始資料!AD42,原始資料!AD42))</f>
        <v/>
      </c>
      <c r="AE42">
        <f>IF(原始資料!AE42="","",IF(反向題設定!$C$34="是",反向題設定!$B$2+1-原始資料!AE42,原始資料!AE42))</f>
        <v/>
      </c>
      <c r="AF42">
        <f>IF(原始資料!AF42="","",IF(反向題設定!$C$35="是",反向題設定!$B$2+1-原始資料!AF42,原始資料!AF42))</f>
        <v/>
      </c>
      <c r="AG42">
        <f>IF(原始資料!AG42="","",IF(反向題設定!$C$36="是",反向題設定!$B$2+1-原始資料!AG42,原始資料!AG42))</f>
        <v/>
      </c>
      <c r="AH42">
        <f>IF(原始資料!AH42="","",IF(反向題設定!$C$37="是",反向題設定!$B$2+1-原始資料!AH42,原始資料!AH42))</f>
        <v/>
      </c>
      <c r="AI42">
        <f>IF(原始資料!AI42="","",IF(反向題設定!$C$38="是",反向題設定!$B$2+1-原始資料!AI42,原始資料!AI42))</f>
        <v/>
      </c>
      <c r="AJ42">
        <f>IF(原始資料!AJ42="","",IF(反向題設定!$C$39="是",反向題設定!$B$2+1-原始資料!AJ42,原始資料!AJ42))</f>
        <v/>
      </c>
      <c r="AK42">
        <f>IF(原始資料!AK42="","",IF(反向題設定!$C$40="是",反向題設定!$B$2+1-原始資料!AK42,原始資料!AK42))</f>
        <v/>
      </c>
      <c r="AL42">
        <f>IF(原始資料!AL42="","",IF(反向題設定!$C$41="是",反向題設定!$B$2+1-原始資料!AL42,原始資料!AL42))</f>
        <v/>
      </c>
      <c r="AM42">
        <f>IF(原始資料!AM42="","",IF(反向題設定!$C$42="是",反向題設定!$B$2+1-原始資料!AM42,原始資料!AM42))</f>
        <v/>
      </c>
      <c r="AN42">
        <f>IF(原始資料!AN42="","",IF(反向題設定!$C$43="是",反向題設定!$B$2+1-原始資料!AN42,原始資料!AN42))</f>
        <v/>
      </c>
      <c r="AO42">
        <f>IF(原始資料!AO42="","",IF(反向題設定!$C$44="是",反向題設定!$B$2+1-原始資料!AO42,原始資料!AO42))</f>
        <v/>
      </c>
      <c r="AP42">
        <f>IF(COUNT(B42:AO42)=0,"",SUM(B42:AO42))</f>
        <v/>
      </c>
      <c r="AQ42">
        <f>IF(AP42="","",IF(AP42&gt;=項目分析!$C$5,"高",IF(AP42&lt;=項目分析!$C$6,"低","")))</f>
        <v/>
      </c>
    </row>
    <row r="43">
      <c r="A43">
        <f>IF(原始資料!A43="","",原始資料!A43)</f>
        <v/>
      </c>
      <c r="B43">
        <f>IF(原始資料!B43="","",IF(反向題設定!$C$5="是",反向題設定!$B$2+1-原始資料!B43,原始資料!B43))</f>
        <v/>
      </c>
      <c r="C43">
        <f>IF(原始資料!C43="","",IF(反向題設定!$C$6="是",反向題設定!$B$2+1-原始資料!C43,原始資料!C43))</f>
        <v/>
      </c>
      <c r="D43">
        <f>IF(原始資料!D43="","",IF(反向題設定!$C$7="是",反向題設定!$B$2+1-原始資料!D43,原始資料!D43))</f>
        <v/>
      </c>
      <c r="E43">
        <f>IF(原始資料!E43="","",IF(反向題設定!$C$8="是",反向題設定!$B$2+1-原始資料!E43,原始資料!E43))</f>
        <v/>
      </c>
      <c r="F43">
        <f>IF(原始資料!F43="","",IF(反向題設定!$C$9="是",反向題設定!$B$2+1-原始資料!F43,原始資料!F43))</f>
        <v/>
      </c>
      <c r="G43">
        <f>IF(原始資料!G43="","",IF(反向題設定!$C$10="是",反向題設定!$B$2+1-原始資料!G43,原始資料!G43))</f>
        <v/>
      </c>
      <c r="H43">
        <f>IF(原始資料!H43="","",IF(反向題設定!$C$11="是",反向題設定!$B$2+1-原始資料!H43,原始資料!H43))</f>
        <v/>
      </c>
      <c r="I43">
        <f>IF(原始資料!I43="","",IF(反向題設定!$C$12="是",反向題設定!$B$2+1-原始資料!I43,原始資料!I43))</f>
        <v/>
      </c>
      <c r="J43">
        <f>IF(原始資料!J43="","",IF(反向題設定!$C$13="是",反向題設定!$B$2+1-原始資料!J43,原始資料!J43))</f>
        <v/>
      </c>
      <c r="K43">
        <f>IF(原始資料!K43="","",IF(反向題設定!$C$14="是",反向題設定!$B$2+1-原始資料!K43,原始資料!K43))</f>
        <v/>
      </c>
      <c r="L43">
        <f>IF(原始資料!L43="","",IF(反向題設定!$C$15="是",反向題設定!$B$2+1-原始資料!L43,原始資料!L43))</f>
        <v/>
      </c>
      <c r="M43">
        <f>IF(原始資料!M43="","",IF(反向題設定!$C$16="是",反向題設定!$B$2+1-原始資料!M43,原始資料!M43))</f>
        <v/>
      </c>
      <c r="N43">
        <f>IF(原始資料!N43="","",IF(反向題設定!$C$17="是",反向題設定!$B$2+1-原始資料!N43,原始資料!N43))</f>
        <v/>
      </c>
      <c r="O43">
        <f>IF(原始資料!O43="","",IF(反向題設定!$C$18="是",反向題設定!$B$2+1-原始資料!O43,原始資料!O43))</f>
        <v/>
      </c>
      <c r="P43">
        <f>IF(原始資料!P43="","",IF(反向題設定!$C$19="是",反向題設定!$B$2+1-原始資料!P43,原始資料!P43))</f>
        <v/>
      </c>
      <c r="Q43">
        <f>IF(原始資料!Q43="","",IF(反向題設定!$C$20="是",反向題設定!$B$2+1-原始資料!Q43,原始資料!Q43))</f>
        <v/>
      </c>
      <c r="R43">
        <f>IF(原始資料!R43="","",IF(反向題設定!$C$21="是",反向題設定!$B$2+1-原始資料!R43,原始資料!R43))</f>
        <v/>
      </c>
      <c r="S43">
        <f>IF(原始資料!S43="","",IF(反向題設定!$C$22="是",反向題設定!$B$2+1-原始資料!S43,原始資料!S43))</f>
        <v/>
      </c>
      <c r="T43">
        <f>IF(原始資料!T43="","",IF(反向題設定!$C$23="是",反向題設定!$B$2+1-原始資料!T43,原始資料!T43))</f>
        <v/>
      </c>
      <c r="U43">
        <f>IF(原始資料!U43="","",IF(反向題設定!$C$24="是",反向題設定!$B$2+1-原始資料!U43,原始資料!U43))</f>
        <v/>
      </c>
      <c r="V43">
        <f>IF(原始資料!V43="","",IF(反向題設定!$C$25="是",反向題設定!$B$2+1-原始資料!V43,原始資料!V43))</f>
        <v/>
      </c>
      <c r="W43">
        <f>IF(原始資料!W43="","",IF(反向題設定!$C$26="是",反向題設定!$B$2+1-原始資料!W43,原始資料!W43))</f>
        <v/>
      </c>
      <c r="X43">
        <f>IF(原始資料!X43="","",IF(反向題設定!$C$27="是",反向題設定!$B$2+1-原始資料!X43,原始資料!X43))</f>
        <v/>
      </c>
      <c r="Y43">
        <f>IF(原始資料!Y43="","",IF(反向題設定!$C$28="是",反向題設定!$B$2+1-原始資料!Y43,原始資料!Y43))</f>
        <v/>
      </c>
      <c r="Z43">
        <f>IF(原始資料!Z43="","",IF(反向題設定!$C$29="是",反向題設定!$B$2+1-原始資料!Z43,原始資料!Z43))</f>
        <v/>
      </c>
      <c r="AA43">
        <f>IF(原始資料!AA43="","",IF(反向題設定!$C$30="是",反向題設定!$B$2+1-原始資料!AA43,原始資料!AA43))</f>
        <v/>
      </c>
      <c r="AB43">
        <f>IF(原始資料!AB43="","",IF(反向題設定!$C$31="是",反向題設定!$B$2+1-原始資料!AB43,原始資料!AB43))</f>
        <v/>
      </c>
      <c r="AC43">
        <f>IF(原始資料!AC43="","",IF(反向題設定!$C$32="是",反向題設定!$B$2+1-原始資料!AC43,原始資料!AC43))</f>
        <v/>
      </c>
      <c r="AD43">
        <f>IF(原始資料!AD43="","",IF(反向題設定!$C$33="是",反向題設定!$B$2+1-原始資料!AD43,原始資料!AD43))</f>
        <v/>
      </c>
      <c r="AE43">
        <f>IF(原始資料!AE43="","",IF(反向題設定!$C$34="是",反向題設定!$B$2+1-原始資料!AE43,原始資料!AE43))</f>
        <v/>
      </c>
      <c r="AF43">
        <f>IF(原始資料!AF43="","",IF(反向題設定!$C$35="是",反向題設定!$B$2+1-原始資料!AF43,原始資料!AF43))</f>
        <v/>
      </c>
      <c r="AG43">
        <f>IF(原始資料!AG43="","",IF(反向題設定!$C$36="是",反向題設定!$B$2+1-原始資料!AG43,原始資料!AG43))</f>
        <v/>
      </c>
      <c r="AH43">
        <f>IF(原始資料!AH43="","",IF(反向題設定!$C$37="是",反向題設定!$B$2+1-原始資料!AH43,原始資料!AH43))</f>
        <v/>
      </c>
      <c r="AI43">
        <f>IF(原始資料!AI43="","",IF(反向題設定!$C$38="是",反向題設定!$B$2+1-原始資料!AI43,原始資料!AI43))</f>
        <v/>
      </c>
      <c r="AJ43">
        <f>IF(原始資料!AJ43="","",IF(反向題設定!$C$39="是",反向題設定!$B$2+1-原始資料!AJ43,原始資料!AJ43))</f>
        <v/>
      </c>
      <c r="AK43">
        <f>IF(原始資料!AK43="","",IF(反向題設定!$C$40="是",反向題設定!$B$2+1-原始資料!AK43,原始資料!AK43))</f>
        <v/>
      </c>
      <c r="AL43">
        <f>IF(原始資料!AL43="","",IF(反向題設定!$C$41="是",反向題設定!$B$2+1-原始資料!AL43,原始資料!AL43))</f>
        <v/>
      </c>
      <c r="AM43">
        <f>IF(原始資料!AM43="","",IF(反向題設定!$C$42="是",反向題設定!$B$2+1-原始資料!AM43,原始資料!AM43))</f>
        <v/>
      </c>
      <c r="AN43">
        <f>IF(原始資料!AN43="","",IF(反向題設定!$C$43="是",反向題設定!$B$2+1-原始資料!AN43,原始資料!AN43))</f>
        <v/>
      </c>
      <c r="AO43">
        <f>IF(原始資料!AO43="","",IF(反向題設定!$C$44="是",反向題設定!$B$2+1-原始資料!AO43,原始資料!AO43))</f>
        <v/>
      </c>
      <c r="AP43">
        <f>IF(COUNT(B43:AO43)=0,"",SUM(B43:AO43))</f>
        <v/>
      </c>
      <c r="AQ43">
        <f>IF(AP43="","",IF(AP43&gt;=項目分析!$C$5,"高",IF(AP43&lt;=項目分析!$C$6,"低","")))</f>
        <v/>
      </c>
    </row>
    <row r="44">
      <c r="A44">
        <f>IF(原始資料!A44="","",原始資料!A44)</f>
        <v/>
      </c>
      <c r="B44">
        <f>IF(原始資料!B44="","",IF(反向題設定!$C$5="是",反向題設定!$B$2+1-原始資料!B44,原始資料!B44))</f>
        <v/>
      </c>
      <c r="C44">
        <f>IF(原始資料!C44="","",IF(反向題設定!$C$6="是",反向題設定!$B$2+1-原始資料!C44,原始資料!C44))</f>
        <v/>
      </c>
      <c r="D44">
        <f>IF(原始資料!D44="","",IF(反向題設定!$C$7="是",反向題設定!$B$2+1-原始資料!D44,原始資料!D44))</f>
        <v/>
      </c>
      <c r="E44">
        <f>IF(原始資料!E44="","",IF(反向題設定!$C$8="是",反向題設定!$B$2+1-原始資料!E44,原始資料!E44))</f>
        <v/>
      </c>
      <c r="F44">
        <f>IF(原始資料!F44="","",IF(反向題設定!$C$9="是",反向題設定!$B$2+1-原始資料!F44,原始資料!F44))</f>
        <v/>
      </c>
      <c r="G44">
        <f>IF(原始資料!G44="","",IF(反向題設定!$C$10="是",反向題設定!$B$2+1-原始資料!G44,原始資料!G44))</f>
        <v/>
      </c>
      <c r="H44">
        <f>IF(原始資料!H44="","",IF(反向題設定!$C$11="是",反向題設定!$B$2+1-原始資料!H44,原始資料!H44))</f>
        <v/>
      </c>
      <c r="I44">
        <f>IF(原始資料!I44="","",IF(反向題設定!$C$12="是",反向題設定!$B$2+1-原始資料!I44,原始資料!I44))</f>
        <v/>
      </c>
      <c r="J44">
        <f>IF(原始資料!J44="","",IF(反向題設定!$C$13="是",反向題設定!$B$2+1-原始資料!J44,原始資料!J44))</f>
        <v/>
      </c>
      <c r="K44">
        <f>IF(原始資料!K44="","",IF(反向題設定!$C$14="是",反向題設定!$B$2+1-原始資料!K44,原始資料!K44))</f>
        <v/>
      </c>
      <c r="L44">
        <f>IF(原始資料!L44="","",IF(反向題設定!$C$15="是",反向題設定!$B$2+1-原始資料!L44,原始資料!L44))</f>
        <v/>
      </c>
      <c r="M44">
        <f>IF(原始資料!M44="","",IF(反向題設定!$C$16="是",反向題設定!$B$2+1-原始資料!M44,原始資料!M44))</f>
        <v/>
      </c>
      <c r="N44">
        <f>IF(原始資料!N44="","",IF(反向題設定!$C$17="是",反向題設定!$B$2+1-原始資料!N44,原始資料!N44))</f>
        <v/>
      </c>
      <c r="O44">
        <f>IF(原始資料!O44="","",IF(反向題設定!$C$18="是",反向題設定!$B$2+1-原始資料!O44,原始資料!O44))</f>
        <v/>
      </c>
      <c r="P44">
        <f>IF(原始資料!P44="","",IF(反向題設定!$C$19="是",反向題設定!$B$2+1-原始資料!P44,原始資料!P44))</f>
        <v/>
      </c>
      <c r="Q44">
        <f>IF(原始資料!Q44="","",IF(反向題設定!$C$20="是",反向題設定!$B$2+1-原始資料!Q44,原始資料!Q44))</f>
        <v/>
      </c>
      <c r="R44">
        <f>IF(原始資料!R44="","",IF(反向題設定!$C$21="是",反向題設定!$B$2+1-原始資料!R44,原始資料!R44))</f>
        <v/>
      </c>
      <c r="S44">
        <f>IF(原始資料!S44="","",IF(反向題設定!$C$22="是",反向題設定!$B$2+1-原始資料!S44,原始資料!S44))</f>
        <v/>
      </c>
      <c r="T44">
        <f>IF(原始資料!T44="","",IF(反向題設定!$C$23="是",反向題設定!$B$2+1-原始資料!T44,原始資料!T44))</f>
        <v/>
      </c>
      <c r="U44">
        <f>IF(原始資料!U44="","",IF(反向題設定!$C$24="是",反向題設定!$B$2+1-原始資料!U44,原始資料!U44))</f>
        <v/>
      </c>
      <c r="V44">
        <f>IF(原始資料!V44="","",IF(反向題設定!$C$25="是",反向題設定!$B$2+1-原始資料!V44,原始資料!V44))</f>
        <v/>
      </c>
      <c r="W44">
        <f>IF(原始資料!W44="","",IF(反向題設定!$C$26="是",反向題設定!$B$2+1-原始資料!W44,原始資料!W44))</f>
        <v/>
      </c>
      <c r="X44">
        <f>IF(原始資料!X44="","",IF(反向題設定!$C$27="是",反向題設定!$B$2+1-原始資料!X44,原始資料!X44))</f>
        <v/>
      </c>
      <c r="Y44">
        <f>IF(原始資料!Y44="","",IF(反向題設定!$C$28="是",反向題設定!$B$2+1-原始資料!Y44,原始資料!Y44))</f>
        <v/>
      </c>
      <c r="Z44">
        <f>IF(原始資料!Z44="","",IF(反向題設定!$C$29="是",反向題設定!$B$2+1-原始資料!Z44,原始資料!Z44))</f>
        <v/>
      </c>
      <c r="AA44">
        <f>IF(原始資料!AA44="","",IF(反向題設定!$C$30="是",反向題設定!$B$2+1-原始資料!AA44,原始資料!AA44))</f>
        <v/>
      </c>
      <c r="AB44">
        <f>IF(原始資料!AB44="","",IF(反向題設定!$C$31="是",反向題設定!$B$2+1-原始資料!AB44,原始資料!AB44))</f>
        <v/>
      </c>
      <c r="AC44">
        <f>IF(原始資料!AC44="","",IF(反向題設定!$C$32="是",反向題設定!$B$2+1-原始資料!AC44,原始資料!AC44))</f>
        <v/>
      </c>
      <c r="AD44">
        <f>IF(原始資料!AD44="","",IF(反向題設定!$C$33="是",反向題設定!$B$2+1-原始資料!AD44,原始資料!AD44))</f>
        <v/>
      </c>
      <c r="AE44">
        <f>IF(原始資料!AE44="","",IF(反向題設定!$C$34="是",反向題設定!$B$2+1-原始資料!AE44,原始資料!AE44))</f>
        <v/>
      </c>
      <c r="AF44">
        <f>IF(原始資料!AF44="","",IF(反向題設定!$C$35="是",反向題設定!$B$2+1-原始資料!AF44,原始資料!AF44))</f>
        <v/>
      </c>
      <c r="AG44">
        <f>IF(原始資料!AG44="","",IF(反向題設定!$C$36="是",反向題設定!$B$2+1-原始資料!AG44,原始資料!AG44))</f>
        <v/>
      </c>
      <c r="AH44">
        <f>IF(原始資料!AH44="","",IF(反向題設定!$C$37="是",反向題設定!$B$2+1-原始資料!AH44,原始資料!AH44))</f>
        <v/>
      </c>
      <c r="AI44">
        <f>IF(原始資料!AI44="","",IF(反向題設定!$C$38="是",反向題設定!$B$2+1-原始資料!AI44,原始資料!AI44))</f>
        <v/>
      </c>
      <c r="AJ44">
        <f>IF(原始資料!AJ44="","",IF(反向題設定!$C$39="是",反向題設定!$B$2+1-原始資料!AJ44,原始資料!AJ44))</f>
        <v/>
      </c>
      <c r="AK44">
        <f>IF(原始資料!AK44="","",IF(反向題設定!$C$40="是",反向題設定!$B$2+1-原始資料!AK44,原始資料!AK44))</f>
        <v/>
      </c>
      <c r="AL44">
        <f>IF(原始資料!AL44="","",IF(反向題設定!$C$41="是",反向題設定!$B$2+1-原始資料!AL44,原始資料!AL44))</f>
        <v/>
      </c>
      <c r="AM44">
        <f>IF(原始資料!AM44="","",IF(反向題設定!$C$42="是",反向題設定!$B$2+1-原始資料!AM44,原始資料!AM44))</f>
        <v/>
      </c>
      <c r="AN44">
        <f>IF(原始資料!AN44="","",IF(反向題設定!$C$43="是",反向題設定!$B$2+1-原始資料!AN44,原始資料!AN44))</f>
        <v/>
      </c>
      <c r="AO44">
        <f>IF(原始資料!AO44="","",IF(反向題設定!$C$44="是",反向題設定!$B$2+1-原始資料!AO44,原始資料!AO44))</f>
        <v/>
      </c>
      <c r="AP44">
        <f>IF(COUNT(B44:AO44)=0,"",SUM(B44:AO44))</f>
        <v/>
      </c>
      <c r="AQ44">
        <f>IF(AP44="","",IF(AP44&gt;=項目分析!$C$5,"高",IF(AP44&lt;=項目分析!$C$6,"低","")))</f>
        <v/>
      </c>
    </row>
    <row r="45">
      <c r="A45">
        <f>IF(原始資料!A45="","",原始資料!A45)</f>
        <v/>
      </c>
      <c r="B45">
        <f>IF(原始資料!B45="","",IF(反向題設定!$C$5="是",反向題設定!$B$2+1-原始資料!B45,原始資料!B45))</f>
        <v/>
      </c>
      <c r="C45">
        <f>IF(原始資料!C45="","",IF(反向題設定!$C$6="是",反向題設定!$B$2+1-原始資料!C45,原始資料!C45))</f>
        <v/>
      </c>
      <c r="D45">
        <f>IF(原始資料!D45="","",IF(反向題設定!$C$7="是",反向題設定!$B$2+1-原始資料!D45,原始資料!D45))</f>
        <v/>
      </c>
      <c r="E45">
        <f>IF(原始資料!E45="","",IF(反向題設定!$C$8="是",反向題設定!$B$2+1-原始資料!E45,原始資料!E45))</f>
        <v/>
      </c>
      <c r="F45">
        <f>IF(原始資料!F45="","",IF(反向題設定!$C$9="是",反向題設定!$B$2+1-原始資料!F45,原始資料!F45))</f>
        <v/>
      </c>
      <c r="G45">
        <f>IF(原始資料!G45="","",IF(反向題設定!$C$10="是",反向題設定!$B$2+1-原始資料!G45,原始資料!G45))</f>
        <v/>
      </c>
      <c r="H45">
        <f>IF(原始資料!H45="","",IF(反向題設定!$C$11="是",反向題設定!$B$2+1-原始資料!H45,原始資料!H45))</f>
        <v/>
      </c>
      <c r="I45">
        <f>IF(原始資料!I45="","",IF(反向題設定!$C$12="是",反向題設定!$B$2+1-原始資料!I45,原始資料!I45))</f>
        <v/>
      </c>
      <c r="J45">
        <f>IF(原始資料!J45="","",IF(反向題設定!$C$13="是",反向題設定!$B$2+1-原始資料!J45,原始資料!J45))</f>
        <v/>
      </c>
      <c r="K45">
        <f>IF(原始資料!K45="","",IF(反向題設定!$C$14="是",反向題設定!$B$2+1-原始資料!K45,原始資料!K45))</f>
        <v/>
      </c>
      <c r="L45">
        <f>IF(原始資料!L45="","",IF(反向題設定!$C$15="是",反向題設定!$B$2+1-原始資料!L45,原始資料!L45))</f>
        <v/>
      </c>
      <c r="M45">
        <f>IF(原始資料!M45="","",IF(反向題設定!$C$16="是",反向題設定!$B$2+1-原始資料!M45,原始資料!M45))</f>
        <v/>
      </c>
      <c r="N45">
        <f>IF(原始資料!N45="","",IF(反向題設定!$C$17="是",反向題設定!$B$2+1-原始資料!N45,原始資料!N45))</f>
        <v/>
      </c>
      <c r="O45">
        <f>IF(原始資料!O45="","",IF(反向題設定!$C$18="是",反向題設定!$B$2+1-原始資料!O45,原始資料!O45))</f>
        <v/>
      </c>
      <c r="P45">
        <f>IF(原始資料!P45="","",IF(反向題設定!$C$19="是",反向題設定!$B$2+1-原始資料!P45,原始資料!P45))</f>
        <v/>
      </c>
      <c r="Q45">
        <f>IF(原始資料!Q45="","",IF(反向題設定!$C$20="是",反向題設定!$B$2+1-原始資料!Q45,原始資料!Q45))</f>
        <v/>
      </c>
      <c r="R45">
        <f>IF(原始資料!R45="","",IF(反向題設定!$C$21="是",反向題設定!$B$2+1-原始資料!R45,原始資料!R45))</f>
        <v/>
      </c>
      <c r="S45">
        <f>IF(原始資料!S45="","",IF(反向題設定!$C$22="是",反向題設定!$B$2+1-原始資料!S45,原始資料!S45))</f>
        <v/>
      </c>
      <c r="T45">
        <f>IF(原始資料!T45="","",IF(反向題設定!$C$23="是",反向題設定!$B$2+1-原始資料!T45,原始資料!T45))</f>
        <v/>
      </c>
      <c r="U45">
        <f>IF(原始資料!U45="","",IF(反向題設定!$C$24="是",反向題設定!$B$2+1-原始資料!U45,原始資料!U45))</f>
        <v/>
      </c>
      <c r="V45">
        <f>IF(原始資料!V45="","",IF(反向題設定!$C$25="是",反向題設定!$B$2+1-原始資料!V45,原始資料!V45))</f>
        <v/>
      </c>
      <c r="W45">
        <f>IF(原始資料!W45="","",IF(反向題設定!$C$26="是",反向題設定!$B$2+1-原始資料!W45,原始資料!W45))</f>
        <v/>
      </c>
      <c r="X45">
        <f>IF(原始資料!X45="","",IF(反向題設定!$C$27="是",反向題設定!$B$2+1-原始資料!X45,原始資料!X45))</f>
        <v/>
      </c>
      <c r="Y45">
        <f>IF(原始資料!Y45="","",IF(反向題設定!$C$28="是",反向題設定!$B$2+1-原始資料!Y45,原始資料!Y45))</f>
        <v/>
      </c>
      <c r="Z45">
        <f>IF(原始資料!Z45="","",IF(反向題設定!$C$29="是",反向題設定!$B$2+1-原始資料!Z45,原始資料!Z45))</f>
        <v/>
      </c>
      <c r="AA45">
        <f>IF(原始資料!AA45="","",IF(反向題設定!$C$30="是",反向題設定!$B$2+1-原始資料!AA45,原始資料!AA45))</f>
        <v/>
      </c>
      <c r="AB45">
        <f>IF(原始資料!AB45="","",IF(反向題設定!$C$31="是",反向題設定!$B$2+1-原始資料!AB45,原始資料!AB45))</f>
        <v/>
      </c>
      <c r="AC45">
        <f>IF(原始資料!AC45="","",IF(反向題設定!$C$32="是",反向題設定!$B$2+1-原始資料!AC45,原始資料!AC45))</f>
        <v/>
      </c>
      <c r="AD45">
        <f>IF(原始資料!AD45="","",IF(反向題設定!$C$33="是",反向題設定!$B$2+1-原始資料!AD45,原始資料!AD45))</f>
        <v/>
      </c>
      <c r="AE45">
        <f>IF(原始資料!AE45="","",IF(反向題設定!$C$34="是",反向題設定!$B$2+1-原始資料!AE45,原始資料!AE45))</f>
        <v/>
      </c>
      <c r="AF45">
        <f>IF(原始資料!AF45="","",IF(反向題設定!$C$35="是",反向題設定!$B$2+1-原始資料!AF45,原始資料!AF45))</f>
        <v/>
      </c>
      <c r="AG45">
        <f>IF(原始資料!AG45="","",IF(反向題設定!$C$36="是",反向題設定!$B$2+1-原始資料!AG45,原始資料!AG45))</f>
        <v/>
      </c>
      <c r="AH45">
        <f>IF(原始資料!AH45="","",IF(反向題設定!$C$37="是",反向題設定!$B$2+1-原始資料!AH45,原始資料!AH45))</f>
        <v/>
      </c>
      <c r="AI45">
        <f>IF(原始資料!AI45="","",IF(反向題設定!$C$38="是",反向題設定!$B$2+1-原始資料!AI45,原始資料!AI45))</f>
        <v/>
      </c>
      <c r="AJ45">
        <f>IF(原始資料!AJ45="","",IF(反向題設定!$C$39="是",反向題設定!$B$2+1-原始資料!AJ45,原始資料!AJ45))</f>
        <v/>
      </c>
      <c r="AK45">
        <f>IF(原始資料!AK45="","",IF(反向題設定!$C$40="是",反向題設定!$B$2+1-原始資料!AK45,原始資料!AK45))</f>
        <v/>
      </c>
      <c r="AL45">
        <f>IF(原始資料!AL45="","",IF(反向題設定!$C$41="是",反向題設定!$B$2+1-原始資料!AL45,原始資料!AL45))</f>
        <v/>
      </c>
      <c r="AM45">
        <f>IF(原始資料!AM45="","",IF(反向題設定!$C$42="是",反向題設定!$B$2+1-原始資料!AM45,原始資料!AM45))</f>
        <v/>
      </c>
      <c r="AN45">
        <f>IF(原始資料!AN45="","",IF(反向題設定!$C$43="是",反向題設定!$B$2+1-原始資料!AN45,原始資料!AN45))</f>
        <v/>
      </c>
      <c r="AO45">
        <f>IF(原始資料!AO45="","",IF(反向題設定!$C$44="是",反向題設定!$B$2+1-原始資料!AO45,原始資料!AO45))</f>
        <v/>
      </c>
      <c r="AP45">
        <f>IF(COUNT(B45:AO45)=0,"",SUM(B45:AO45))</f>
        <v/>
      </c>
      <c r="AQ45">
        <f>IF(AP45="","",IF(AP45&gt;=項目分析!$C$5,"高",IF(AP45&lt;=項目分析!$C$6,"低","")))</f>
        <v/>
      </c>
    </row>
    <row r="46">
      <c r="A46">
        <f>IF(原始資料!A46="","",原始資料!A46)</f>
        <v/>
      </c>
      <c r="B46">
        <f>IF(原始資料!B46="","",IF(反向題設定!$C$5="是",反向題設定!$B$2+1-原始資料!B46,原始資料!B46))</f>
        <v/>
      </c>
      <c r="C46">
        <f>IF(原始資料!C46="","",IF(反向題設定!$C$6="是",反向題設定!$B$2+1-原始資料!C46,原始資料!C46))</f>
        <v/>
      </c>
      <c r="D46">
        <f>IF(原始資料!D46="","",IF(反向題設定!$C$7="是",反向題設定!$B$2+1-原始資料!D46,原始資料!D46))</f>
        <v/>
      </c>
      <c r="E46">
        <f>IF(原始資料!E46="","",IF(反向題設定!$C$8="是",反向題設定!$B$2+1-原始資料!E46,原始資料!E46))</f>
        <v/>
      </c>
      <c r="F46">
        <f>IF(原始資料!F46="","",IF(反向題設定!$C$9="是",反向題設定!$B$2+1-原始資料!F46,原始資料!F46))</f>
        <v/>
      </c>
      <c r="G46">
        <f>IF(原始資料!G46="","",IF(反向題設定!$C$10="是",反向題設定!$B$2+1-原始資料!G46,原始資料!G46))</f>
        <v/>
      </c>
      <c r="H46">
        <f>IF(原始資料!H46="","",IF(反向題設定!$C$11="是",反向題設定!$B$2+1-原始資料!H46,原始資料!H46))</f>
        <v/>
      </c>
      <c r="I46">
        <f>IF(原始資料!I46="","",IF(反向題設定!$C$12="是",反向題設定!$B$2+1-原始資料!I46,原始資料!I46))</f>
        <v/>
      </c>
      <c r="J46">
        <f>IF(原始資料!J46="","",IF(反向題設定!$C$13="是",反向題設定!$B$2+1-原始資料!J46,原始資料!J46))</f>
        <v/>
      </c>
      <c r="K46">
        <f>IF(原始資料!K46="","",IF(反向題設定!$C$14="是",反向題設定!$B$2+1-原始資料!K46,原始資料!K46))</f>
        <v/>
      </c>
      <c r="L46">
        <f>IF(原始資料!L46="","",IF(反向題設定!$C$15="是",反向題設定!$B$2+1-原始資料!L46,原始資料!L46))</f>
        <v/>
      </c>
      <c r="M46">
        <f>IF(原始資料!M46="","",IF(反向題設定!$C$16="是",反向題設定!$B$2+1-原始資料!M46,原始資料!M46))</f>
        <v/>
      </c>
      <c r="N46">
        <f>IF(原始資料!N46="","",IF(反向題設定!$C$17="是",反向題設定!$B$2+1-原始資料!N46,原始資料!N46))</f>
        <v/>
      </c>
      <c r="O46">
        <f>IF(原始資料!O46="","",IF(反向題設定!$C$18="是",反向題設定!$B$2+1-原始資料!O46,原始資料!O46))</f>
        <v/>
      </c>
      <c r="P46">
        <f>IF(原始資料!P46="","",IF(反向題設定!$C$19="是",反向題設定!$B$2+1-原始資料!P46,原始資料!P46))</f>
        <v/>
      </c>
      <c r="Q46">
        <f>IF(原始資料!Q46="","",IF(反向題設定!$C$20="是",反向題設定!$B$2+1-原始資料!Q46,原始資料!Q46))</f>
        <v/>
      </c>
      <c r="R46">
        <f>IF(原始資料!R46="","",IF(反向題設定!$C$21="是",反向題設定!$B$2+1-原始資料!R46,原始資料!R46))</f>
        <v/>
      </c>
      <c r="S46">
        <f>IF(原始資料!S46="","",IF(反向題設定!$C$22="是",反向題設定!$B$2+1-原始資料!S46,原始資料!S46))</f>
        <v/>
      </c>
      <c r="T46">
        <f>IF(原始資料!T46="","",IF(反向題設定!$C$23="是",反向題設定!$B$2+1-原始資料!T46,原始資料!T46))</f>
        <v/>
      </c>
      <c r="U46">
        <f>IF(原始資料!U46="","",IF(反向題設定!$C$24="是",反向題設定!$B$2+1-原始資料!U46,原始資料!U46))</f>
        <v/>
      </c>
      <c r="V46">
        <f>IF(原始資料!V46="","",IF(反向題設定!$C$25="是",反向題設定!$B$2+1-原始資料!V46,原始資料!V46))</f>
        <v/>
      </c>
      <c r="W46">
        <f>IF(原始資料!W46="","",IF(反向題設定!$C$26="是",反向題設定!$B$2+1-原始資料!W46,原始資料!W46))</f>
        <v/>
      </c>
      <c r="X46">
        <f>IF(原始資料!X46="","",IF(反向題設定!$C$27="是",反向題設定!$B$2+1-原始資料!X46,原始資料!X46))</f>
        <v/>
      </c>
      <c r="Y46">
        <f>IF(原始資料!Y46="","",IF(反向題設定!$C$28="是",反向題設定!$B$2+1-原始資料!Y46,原始資料!Y46))</f>
        <v/>
      </c>
      <c r="Z46">
        <f>IF(原始資料!Z46="","",IF(反向題設定!$C$29="是",反向題設定!$B$2+1-原始資料!Z46,原始資料!Z46))</f>
        <v/>
      </c>
      <c r="AA46">
        <f>IF(原始資料!AA46="","",IF(反向題設定!$C$30="是",反向題設定!$B$2+1-原始資料!AA46,原始資料!AA46))</f>
        <v/>
      </c>
      <c r="AB46">
        <f>IF(原始資料!AB46="","",IF(反向題設定!$C$31="是",反向題設定!$B$2+1-原始資料!AB46,原始資料!AB46))</f>
        <v/>
      </c>
      <c r="AC46">
        <f>IF(原始資料!AC46="","",IF(反向題設定!$C$32="是",反向題設定!$B$2+1-原始資料!AC46,原始資料!AC46))</f>
        <v/>
      </c>
      <c r="AD46">
        <f>IF(原始資料!AD46="","",IF(反向題設定!$C$33="是",反向題設定!$B$2+1-原始資料!AD46,原始資料!AD46))</f>
        <v/>
      </c>
      <c r="AE46">
        <f>IF(原始資料!AE46="","",IF(反向題設定!$C$34="是",反向題設定!$B$2+1-原始資料!AE46,原始資料!AE46))</f>
        <v/>
      </c>
      <c r="AF46">
        <f>IF(原始資料!AF46="","",IF(反向題設定!$C$35="是",反向題設定!$B$2+1-原始資料!AF46,原始資料!AF46))</f>
        <v/>
      </c>
      <c r="AG46">
        <f>IF(原始資料!AG46="","",IF(反向題設定!$C$36="是",反向題設定!$B$2+1-原始資料!AG46,原始資料!AG46))</f>
        <v/>
      </c>
      <c r="AH46">
        <f>IF(原始資料!AH46="","",IF(反向題設定!$C$37="是",反向題設定!$B$2+1-原始資料!AH46,原始資料!AH46))</f>
        <v/>
      </c>
      <c r="AI46">
        <f>IF(原始資料!AI46="","",IF(反向題設定!$C$38="是",反向題設定!$B$2+1-原始資料!AI46,原始資料!AI46))</f>
        <v/>
      </c>
      <c r="AJ46">
        <f>IF(原始資料!AJ46="","",IF(反向題設定!$C$39="是",反向題設定!$B$2+1-原始資料!AJ46,原始資料!AJ46))</f>
        <v/>
      </c>
      <c r="AK46">
        <f>IF(原始資料!AK46="","",IF(反向題設定!$C$40="是",反向題設定!$B$2+1-原始資料!AK46,原始資料!AK46))</f>
        <v/>
      </c>
      <c r="AL46">
        <f>IF(原始資料!AL46="","",IF(反向題設定!$C$41="是",反向題設定!$B$2+1-原始資料!AL46,原始資料!AL46))</f>
        <v/>
      </c>
      <c r="AM46">
        <f>IF(原始資料!AM46="","",IF(反向題設定!$C$42="是",反向題設定!$B$2+1-原始資料!AM46,原始資料!AM46))</f>
        <v/>
      </c>
      <c r="AN46">
        <f>IF(原始資料!AN46="","",IF(反向題設定!$C$43="是",反向題設定!$B$2+1-原始資料!AN46,原始資料!AN46))</f>
        <v/>
      </c>
      <c r="AO46">
        <f>IF(原始資料!AO46="","",IF(反向題設定!$C$44="是",反向題設定!$B$2+1-原始資料!AO46,原始資料!AO46))</f>
        <v/>
      </c>
      <c r="AP46">
        <f>IF(COUNT(B46:AO46)=0,"",SUM(B46:AO46))</f>
        <v/>
      </c>
      <c r="AQ46">
        <f>IF(AP46="","",IF(AP46&gt;=項目分析!$C$5,"高",IF(AP46&lt;=項目分析!$C$6,"低","")))</f>
        <v/>
      </c>
    </row>
    <row r="47">
      <c r="A47">
        <f>IF(原始資料!A47="","",原始資料!A47)</f>
        <v/>
      </c>
      <c r="B47">
        <f>IF(原始資料!B47="","",IF(反向題設定!$C$5="是",反向題設定!$B$2+1-原始資料!B47,原始資料!B47))</f>
        <v/>
      </c>
      <c r="C47">
        <f>IF(原始資料!C47="","",IF(反向題設定!$C$6="是",反向題設定!$B$2+1-原始資料!C47,原始資料!C47))</f>
        <v/>
      </c>
      <c r="D47">
        <f>IF(原始資料!D47="","",IF(反向題設定!$C$7="是",反向題設定!$B$2+1-原始資料!D47,原始資料!D47))</f>
        <v/>
      </c>
      <c r="E47">
        <f>IF(原始資料!E47="","",IF(反向題設定!$C$8="是",反向題設定!$B$2+1-原始資料!E47,原始資料!E47))</f>
        <v/>
      </c>
      <c r="F47">
        <f>IF(原始資料!F47="","",IF(反向題設定!$C$9="是",反向題設定!$B$2+1-原始資料!F47,原始資料!F47))</f>
        <v/>
      </c>
      <c r="G47">
        <f>IF(原始資料!G47="","",IF(反向題設定!$C$10="是",反向題設定!$B$2+1-原始資料!G47,原始資料!G47))</f>
        <v/>
      </c>
      <c r="H47">
        <f>IF(原始資料!H47="","",IF(反向題設定!$C$11="是",反向題設定!$B$2+1-原始資料!H47,原始資料!H47))</f>
        <v/>
      </c>
      <c r="I47">
        <f>IF(原始資料!I47="","",IF(反向題設定!$C$12="是",反向題設定!$B$2+1-原始資料!I47,原始資料!I47))</f>
        <v/>
      </c>
      <c r="J47">
        <f>IF(原始資料!J47="","",IF(反向題設定!$C$13="是",反向題設定!$B$2+1-原始資料!J47,原始資料!J47))</f>
        <v/>
      </c>
      <c r="K47">
        <f>IF(原始資料!K47="","",IF(反向題設定!$C$14="是",反向題設定!$B$2+1-原始資料!K47,原始資料!K47))</f>
        <v/>
      </c>
      <c r="L47">
        <f>IF(原始資料!L47="","",IF(反向題設定!$C$15="是",反向題設定!$B$2+1-原始資料!L47,原始資料!L47))</f>
        <v/>
      </c>
      <c r="M47">
        <f>IF(原始資料!M47="","",IF(反向題設定!$C$16="是",反向題設定!$B$2+1-原始資料!M47,原始資料!M47))</f>
        <v/>
      </c>
      <c r="N47">
        <f>IF(原始資料!N47="","",IF(反向題設定!$C$17="是",反向題設定!$B$2+1-原始資料!N47,原始資料!N47))</f>
        <v/>
      </c>
      <c r="O47">
        <f>IF(原始資料!O47="","",IF(反向題設定!$C$18="是",反向題設定!$B$2+1-原始資料!O47,原始資料!O47))</f>
        <v/>
      </c>
      <c r="P47">
        <f>IF(原始資料!P47="","",IF(反向題設定!$C$19="是",反向題設定!$B$2+1-原始資料!P47,原始資料!P47))</f>
        <v/>
      </c>
      <c r="Q47">
        <f>IF(原始資料!Q47="","",IF(反向題設定!$C$20="是",反向題設定!$B$2+1-原始資料!Q47,原始資料!Q47))</f>
        <v/>
      </c>
      <c r="R47">
        <f>IF(原始資料!R47="","",IF(反向題設定!$C$21="是",反向題設定!$B$2+1-原始資料!R47,原始資料!R47))</f>
        <v/>
      </c>
      <c r="S47">
        <f>IF(原始資料!S47="","",IF(反向題設定!$C$22="是",反向題設定!$B$2+1-原始資料!S47,原始資料!S47))</f>
        <v/>
      </c>
      <c r="T47">
        <f>IF(原始資料!T47="","",IF(反向題設定!$C$23="是",反向題設定!$B$2+1-原始資料!T47,原始資料!T47))</f>
        <v/>
      </c>
      <c r="U47">
        <f>IF(原始資料!U47="","",IF(反向題設定!$C$24="是",反向題設定!$B$2+1-原始資料!U47,原始資料!U47))</f>
        <v/>
      </c>
      <c r="V47">
        <f>IF(原始資料!V47="","",IF(反向題設定!$C$25="是",反向題設定!$B$2+1-原始資料!V47,原始資料!V47))</f>
        <v/>
      </c>
      <c r="W47">
        <f>IF(原始資料!W47="","",IF(反向題設定!$C$26="是",反向題設定!$B$2+1-原始資料!W47,原始資料!W47))</f>
        <v/>
      </c>
      <c r="X47">
        <f>IF(原始資料!X47="","",IF(反向題設定!$C$27="是",反向題設定!$B$2+1-原始資料!X47,原始資料!X47))</f>
        <v/>
      </c>
      <c r="Y47">
        <f>IF(原始資料!Y47="","",IF(反向題設定!$C$28="是",反向題設定!$B$2+1-原始資料!Y47,原始資料!Y47))</f>
        <v/>
      </c>
      <c r="Z47">
        <f>IF(原始資料!Z47="","",IF(反向題設定!$C$29="是",反向題設定!$B$2+1-原始資料!Z47,原始資料!Z47))</f>
        <v/>
      </c>
      <c r="AA47">
        <f>IF(原始資料!AA47="","",IF(反向題設定!$C$30="是",反向題設定!$B$2+1-原始資料!AA47,原始資料!AA47))</f>
        <v/>
      </c>
      <c r="AB47">
        <f>IF(原始資料!AB47="","",IF(反向題設定!$C$31="是",反向題設定!$B$2+1-原始資料!AB47,原始資料!AB47))</f>
        <v/>
      </c>
      <c r="AC47">
        <f>IF(原始資料!AC47="","",IF(反向題設定!$C$32="是",反向題設定!$B$2+1-原始資料!AC47,原始資料!AC47))</f>
        <v/>
      </c>
      <c r="AD47">
        <f>IF(原始資料!AD47="","",IF(反向題設定!$C$33="是",反向題設定!$B$2+1-原始資料!AD47,原始資料!AD47))</f>
        <v/>
      </c>
      <c r="AE47">
        <f>IF(原始資料!AE47="","",IF(反向題設定!$C$34="是",反向題設定!$B$2+1-原始資料!AE47,原始資料!AE47))</f>
        <v/>
      </c>
      <c r="AF47">
        <f>IF(原始資料!AF47="","",IF(反向題設定!$C$35="是",反向題設定!$B$2+1-原始資料!AF47,原始資料!AF47))</f>
        <v/>
      </c>
      <c r="AG47">
        <f>IF(原始資料!AG47="","",IF(反向題設定!$C$36="是",反向題設定!$B$2+1-原始資料!AG47,原始資料!AG47))</f>
        <v/>
      </c>
      <c r="AH47">
        <f>IF(原始資料!AH47="","",IF(反向題設定!$C$37="是",反向題設定!$B$2+1-原始資料!AH47,原始資料!AH47))</f>
        <v/>
      </c>
      <c r="AI47">
        <f>IF(原始資料!AI47="","",IF(反向題設定!$C$38="是",反向題設定!$B$2+1-原始資料!AI47,原始資料!AI47))</f>
        <v/>
      </c>
      <c r="AJ47">
        <f>IF(原始資料!AJ47="","",IF(反向題設定!$C$39="是",反向題設定!$B$2+1-原始資料!AJ47,原始資料!AJ47))</f>
        <v/>
      </c>
      <c r="AK47">
        <f>IF(原始資料!AK47="","",IF(反向題設定!$C$40="是",反向題設定!$B$2+1-原始資料!AK47,原始資料!AK47))</f>
        <v/>
      </c>
      <c r="AL47">
        <f>IF(原始資料!AL47="","",IF(反向題設定!$C$41="是",反向題設定!$B$2+1-原始資料!AL47,原始資料!AL47))</f>
        <v/>
      </c>
      <c r="AM47">
        <f>IF(原始資料!AM47="","",IF(反向題設定!$C$42="是",反向題設定!$B$2+1-原始資料!AM47,原始資料!AM47))</f>
        <v/>
      </c>
      <c r="AN47">
        <f>IF(原始資料!AN47="","",IF(反向題設定!$C$43="是",反向題設定!$B$2+1-原始資料!AN47,原始資料!AN47))</f>
        <v/>
      </c>
      <c r="AO47">
        <f>IF(原始資料!AO47="","",IF(反向題設定!$C$44="是",反向題設定!$B$2+1-原始資料!AO47,原始資料!AO47))</f>
        <v/>
      </c>
      <c r="AP47">
        <f>IF(COUNT(B47:AO47)=0,"",SUM(B47:AO47))</f>
        <v/>
      </c>
      <c r="AQ47">
        <f>IF(AP47="","",IF(AP47&gt;=項目分析!$C$5,"高",IF(AP47&lt;=項目分析!$C$6,"低","")))</f>
        <v/>
      </c>
    </row>
    <row r="48">
      <c r="A48">
        <f>IF(原始資料!A48="","",原始資料!A48)</f>
        <v/>
      </c>
      <c r="B48">
        <f>IF(原始資料!B48="","",IF(反向題設定!$C$5="是",反向題設定!$B$2+1-原始資料!B48,原始資料!B48))</f>
        <v/>
      </c>
      <c r="C48">
        <f>IF(原始資料!C48="","",IF(反向題設定!$C$6="是",反向題設定!$B$2+1-原始資料!C48,原始資料!C48))</f>
        <v/>
      </c>
      <c r="D48">
        <f>IF(原始資料!D48="","",IF(反向題設定!$C$7="是",反向題設定!$B$2+1-原始資料!D48,原始資料!D48))</f>
        <v/>
      </c>
      <c r="E48">
        <f>IF(原始資料!E48="","",IF(反向題設定!$C$8="是",反向題設定!$B$2+1-原始資料!E48,原始資料!E48))</f>
        <v/>
      </c>
      <c r="F48">
        <f>IF(原始資料!F48="","",IF(反向題設定!$C$9="是",反向題設定!$B$2+1-原始資料!F48,原始資料!F48))</f>
        <v/>
      </c>
      <c r="G48">
        <f>IF(原始資料!G48="","",IF(反向題設定!$C$10="是",反向題設定!$B$2+1-原始資料!G48,原始資料!G48))</f>
        <v/>
      </c>
      <c r="H48">
        <f>IF(原始資料!H48="","",IF(反向題設定!$C$11="是",反向題設定!$B$2+1-原始資料!H48,原始資料!H48))</f>
        <v/>
      </c>
      <c r="I48">
        <f>IF(原始資料!I48="","",IF(反向題設定!$C$12="是",反向題設定!$B$2+1-原始資料!I48,原始資料!I48))</f>
        <v/>
      </c>
      <c r="J48">
        <f>IF(原始資料!J48="","",IF(反向題設定!$C$13="是",反向題設定!$B$2+1-原始資料!J48,原始資料!J48))</f>
        <v/>
      </c>
      <c r="K48">
        <f>IF(原始資料!K48="","",IF(反向題設定!$C$14="是",反向題設定!$B$2+1-原始資料!K48,原始資料!K48))</f>
        <v/>
      </c>
      <c r="L48">
        <f>IF(原始資料!L48="","",IF(反向題設定!$C$15="是",反向題設定!$B$2+1-原始資料!L48,原始資料!L48))</f>
        <v/>
      </c>
      <c r="M48">
        <f>IF(原始資料!M48="","",IF(反向題設定!$C$16="是",反向題設定!$B$2+1-原始資料!M48,原始資料!M48))</f>
        <v/>
      </c>
      <c r="N48">
        <f>IF(原始資料!N48="","",IF(反向題設定!$C$17="是",反向題設定!$B$2+1-原始資料!N48,原始資料!N48))</f>
        <v/>
      </c>
      <c r="O48">
        <f>IF(原始資料!O48="","",IF(反向題設定!$C$18="是",反向題設定!$B$2+1-原始資料!O48,原始資料!O48))</f>
        <v/>
      </c>
      <c r="P48">
        <f>IF(原始資料!P48="","",IF(反向題設定!$C$19="是",反向題設定!$B$2+1-原始資料!P48,原始資料!P48))</f>
        <v/>
      </c>
      <c r="Q48">
        <f>IF(原始資料!Q48="","",IF(反向題設定!$C$20="是",反向題設定!$B$2+1-原始資料!Q48,原始資料!Q48))</f>
        <v/>
      </c>
      <c r="R48">
        <f>IF(原始資料!R48="","",IF(反向題設定!$C$21="是",反向題設定!$B$2+1-原始資料!R48,原始資料!R48))</f>
        <v/>
      </c>
      <c r="S48">
        <f>IF(原始資料!S48="","",IF(反向題設定!$C$22="是",反向題設定!$B$2+1-原始資料!S48,原始資料!S48))</f>
        <v/>
      </c>
      <c r="T48">
        <f>IF(原始資料!T48="","",IF(反向題設定!$C$23="是",反向題設定!$B$2+1-原始資料!T48,原始資料!T48))</f>
        <v/>
      </c>
      <c r="U48">
        <f>IF(原始資料!U48="","",IF(反向題設定!$C$24="是",反向題設定!$B$2+1-原始資料!U48,原始資料!U48))</f>
        <v/>
      </c>
      <c r="V48">
        <f>IF(原始資料!V48="","",IF(反向題設定!$C$25="是",反向題設定!$B$2+1-原始資料!V48,原始資料!V48))</f>
        <v/>
      </c>
      <c r="W48">
        <f>IF(原始資料!W48="","",IF(反向題設定!$C$26="是",反向題設定!$B$2+1-原始資料!W48,原始資料!W48))</f>
        <v/>
      </c>
      <c r="X48">
        <f>IF(原始資料!X48="","",IF(反向題設定!$C$27="是",反向題設定!$B$2+1-原始資料!X48,原始資料!X48))</f>
        <v/>
      </c>
      <c r="Y48">
        <f>IF(原始資料!Y48="","",IF(反向題設定!$C$28="是",反向題設定!$B$2+1-原始資料!Y48,原始資料!Y48))</f>
        <v/>
      </c>
      <c r="Z48">
        <f>IF(原始資料!Z48="","",IF(反向題設定!$C$29="是",反向題設定!$B$2+1-原始資料!Z48,原始資料!Z48))</f>
        <v/>
      </c>
      <c r="AA48">
        <f>IF(原始資料!AA48="","",IF(反向題設定!$C$30="是",反向題設定!$B$2+1-原始資料!AA48,原始資料!AA48))</f>
        <v/>
      </c>
      <c r="AB48">
        <f>IF(原始資料!AB48="","",IF(反向題設定!$C$31="是",反向題設定!$B$2+1-原始資料!AB48,原始資料!AB48))</f>
        <v/>
      </c>
      <c r="AC48">
        <f>IF(原始資料!AC48="","",IF(反向題設定!$C$32="是",反向題設定!$B$2+1-原始資料!AC48,原始資料!AC48))</f>
        <v/>
      </c>
      <c r="AD48">
        <f>IF(原始資料!AD48="","",IF(反向題設定!$C$33="是",反向題設定!$B$2+1-原始資料!AD48,原始資料!AD48))</f>
        <v/>
      </c>
      <c r="AE48">
        <f>IF(原始資料!AE48="","",IF(反向題設定!$C$34="是",反向題設定!$B$2+1-原始資料!AE48,原始資料!AE48))</f>
        <v/>
      </c>
      <c r="AF48">
        <f>IF(原始資料!AF48="","",IF(反向題設定!$C$35="是",反向題設定!$B$2+1-原始資料!AF48,原始資料!AF48))</f>
        <v/>
      </c>
      <c r="AG48">
        <f>IF(原始資料!AG48="","",IF(反向題設定!$C$36="是",反向題設定!$B$2+1-原始資料!AG48,原始資料!AG48))</f>
        <v/>
      </c>
      <c r="AH48">
        <f>IF(原始資料!AH48="","",IF(反向題設定!$C$37="是",反向題設定!$B$2+1-原始資料!AH48,原始資料!AH48))</f>
        <v/>
      </c>
      <c r="AI48">
        <f>IF(原始資料!AI48="","",IF(反向題設定!$C$38="是",反向題設定!$B$2+1-原始資料!AI48,原始資料!AI48))</f>
        <v/>
      </c>
      <c r="AJ48">
        <f>IF(原始資料!AJ48="","",IF(反向題設定!$C$39="是",反向題設定!$B$2+1-原始資料!AJ48,原始資料!AJ48))</f>
        <v/>
      </c>
      <c r="AK48">
        <f>IF(原始資料!AK48="","",IF(反向題設定!$C$40="是",反向題設定!$B$2+1-原始資料!AK48,原始資料!AK48))</f>
        <v/>
      </c>
      <c r="AL48">
        <f>IF(原始資料!AL48="","",IF(反向題設定!$C$41="是",反向題設定!$B$2+1-原始資料!AL48,原始資料!AL48))</f>
        <v/>
      </c>
      <c r="AM48">
        <f>IF(原始資料!AM48="","",IF(反向題設定!$C$42="是",反向題設定!$B$2+1-原始資料!AM48,原始資料!AM48))</f>
        <v/>
      </c>
      <c r="AN48">
        <f>IF(原始資料!AN48="","",IF(反向題設定!$C$43="是",反向題設定!$B$2+1-原始資料!AN48,原始資料!AN48))</f>
        <v/>
      </c>
      <c r="AO48">
        <f>IF(原始資料!AO48="","",IF(反向題設定!$C$44="是",反向題設定!$B$2+1-原始資料!AO48,原始資料!AO48))</f>
        <v/>
      </c>
      <c r="AP48">
        <f>IF(COUNT(B48:AO48)=0,"",SUM(B48:AO48))</f>
        <v/>
      </c>
      <c r="AQ48">
        <f>IF(AP48="","",IF(AP48&gt;=項目分析!$C$5,"高",IF(AP48&lt;=項目分析!$C$6,"低","")))</f>
        <v/>
      </c>
    </row>
    <row r="49">
      <c r="A49">
        <f>IF(原始資料!A49="","",原始資料!A49)</f>
        <v/>
      </c>
      <c r="B49">
        <f>IF(原始資料!B49="","",IF(反向題設定!$C$5="是",反向題設定!$B$2+1-原始資料!B49,原始資料!B49))</f>
        <v/>
      </c>
      <c r="C49">
        <f>IF(原始資料!C49="","",IF(反向題設定!$C$6="是",反向題設定!$B$2+1-原始資料!C49,原始資料!C49))</f>
        <v/>
      </c>
      <c r="D49">
        <f>IF(原始資料!D49="","",IF(反向題設定!$C$7="是",反向題設定!$B$2+1-原始資料!D49,原始資料!D49))</f>
        <v/>
      </c>
      <c r="E49">
        <f>IF(原始資料!E49="","",IF(反向題設定!$C$8="是",反向題設定!$B$2+1-原始資料!E49,原始資料!E49))</f>
        <v/>
      </c>
      <c r="F49">
        <f>IF(原始資料!F49="","",IF(反向題設定!$C$9="是",反向題設定!$B$2+1-原始資料!F49,原始資料!F49))</f>
        <v/>
      </c>
      <c r="G49">
        <f>IF(原始資料!G49="","",IF(反向題設定!$C$10="是",反向題設定!$B$2+1-原始資料!G49,原始資料!G49))</f>
        <v/>
      </c>
      <c r="H49">
        <f>IF(原始資料!H49="","",IF(反向題設定!$C$11="是",反向題設定!$B$2+1-原始資料!H49,原始資料!H49))</f>
        <v/>
      </c>
      <c r="I49">
        <f>IF(原始資料!I49="","",IF(反向題設定!$C$12="是",反向題設定!$B$2+1-原始資料!I49,原始資料!I49))</f>
        <v/>
      </c>
      <c r="J49">
        <f>IF(原始資料!J49="","",IF(反向題設定!$C$13="是",反向題設定!$B$2+1-原始資料!J49,原始資料!J49))</f>
        <v/>
      </c>
      <c r="K49">
        <f>IF(原始資料!K49="","",IF(反向題設定!$C$14="是",反向題設定!$B$2+1-原始資料!K49,原始資料!K49))</f>
        <v/>
      </c>
      <c r="L49">
        <f>IF(原始資料!L49="","",IF(反向題設定!$C$15="是",反向題設定!$B$2+1-原始資料!L49,原始資料!L49))</f>
        <v/>
      </c>
      <c r="M49">
        <f>IF(原始資料!M49="","",IF(反向題設定!$C$16="是",反向題設定!$B$2+1-原始資料!M49,原始資料!M49))</f>
        <v/>
      </c>
      <c r="N49">
        <f>IF(原始資料!N49="","",IF(反向題設定!$C$17="是",反向題設定!$B$2+1-原始資料!N49,原始資料!N49))</f>
        <v/>
      </c>
      <c r="O49">
        <f>IF(原始資料!O49="","",IF(反向題設定!$C$18="是",反向題設定!$B$2+1-原始資料!O49,原始資料!O49))</f>
        <v/>
      </c>
      <c r="P49">
        <f>IF(原始資料!P49="","",IF(反向題設定!$C$19="是",反向題設定!$B$2+1-原始資料!P49,原始資料!P49))</f>
        <v/>
      </c>
      <c r="Q49">
        <f>IF(原始資料!Q49="","",IF(反向題設定!$C$20="是",反向題設定!$B$2+1-原始資料!Q49,原始資料!Q49))</f>
        <v/>
      </c>
      <c r="R49">
        <f>IF(原始資料!R49="","",IF(反向題設定!$C$21="是",反向題設定!$B$2+1-原始資料!R49,原始資料!R49))</f>
        <v/>
      </c>
      <c r="S49">
        <f>IF(原始資料!S49="","",IF(反向題設定!$C$22="是",反向題設定!$B$2+1-原始資料!S49,原始資料!S49))</f>
        <v/>
      </c>
      <c r="T49">
        <f>IF(原始資料!T49="","",IF(反向題設定!$C$23="是",反向題設定!$B$2+1-原始資料!T49,原始資料!T49))</f>
        <v/>
      </c>
      <c r="U49">
        <f>IF(原始資料!U49="","",IF(反向題設定!$C$24="是",反向題設定!$B$2+1-原始資料!U49,原始資料!U49))</f>
        <v/>
      </c>
      <c r="V49">
        <f>IF(原始資料!V49="","",IF(反向題設定!$C$25="是",反向題設定!$B$2+1-原始資料!V49,原始資料!V49))</f>
        <v/>
      </c>
      <c r="W49">
        <f>IF(原始資料!W49="","",IF(反向題設定!$C$26="是",反向題設定!$B$2+1-原始資料!W49,原始資料!W49))</f>
        <v/>
      </c>
      <c r="X49">
        <f>IF(原始資料!X49="","",IF(反向題設定!$C$27="是",反向題設定!$B$2+1-原始資料!X49,原始資料!X49))</f>
        <v/>
      </c>
      <c r="Y49">
        <f>IF(原始資料!Y49="","",IF(反向題設定!$C$28="是",反向題設定!$B$2+1-原始資料!Y49,原始資料!Y49))</f>
        <v/>
      </c>
      <c r="Z49">
        <f>IF(原始資料!Z49="","",IF(反向題設定!$C$29="是",反向題設定!$B$2+1-原始資料!Z49,原始資料!Z49))</f>
        <v/>
      </c>
      <c r="AA49">
        <f>IF(原始資料!AA49="","",IF(反向題設定!$C$30="是",反向題設定!$B$2+1-原始資料!AA49,原始資料!AA49))</f>
        <v/>
      </c>
      <c r="AB49">
        <f>IF(原始資料!AB49="","",IF(反向題設定!$C$31="是",反向題設定!$B$2+1-原始資料!AB49,原始資料!AB49))</f>
        <v/>
      </c>
      <c r="AC49">
        <f>IF(原始資料!AC49="","",IF(反向題設定!$C$32="是",反向題設定!$B$2+1-原始資料!AC49,原始資料!AC49))</f>
        <v/>
      </c>
      <c r="AD49">
        <f>IF(原始資料!AD49="","",IF(反向題設定!$C$33="是",反向題設定!$B$2+1-原始資料!AD49,原始資料!AD49))</f>
        <v/>
      </c>
      <c r="AE49">
        <f>IF(原始資料!AE49="","",IF(反向題設定!$C$34="是",反向題設定!$B$2+1-原始資料!AE49,原始資料!AE49))</f>
        <v/>
      </c>
      <c r="AF49">
        <f>IF(原始資料!AF49="","",IF(反向題設定!$C$35="是",反向題設定!$B$2+1-原始資料!AF49,原始資料!AF49))</f>
        <v/>
      </c>
      <c r="AG49">
        <f>IF(原始資料!AG49="","",IF(反向題設定!$C$36="是",反向題設定!$B$2+1-原始資料!AG49,原始資料!AG49))</f>
        <v/>
      </c>
      <c r="AH49">
        <f>IF(原始資料!AH49="","",IF(反向題設定!$C$37="是",反向題設定!$B$2+1-原始資料!AH49,原始資料!AH49))</f>
        <v/>
      </c>
      <c r="AI49">
        <f>IF(原始資料!AI49="","",IF(反向題設定!$C$38="是",反向題設定!$B$2+1-原始資料!AI49,原始資料!AI49))</f>
        <v/>
      </c>
      <c r="AJ49">
        <f>IF(原始資料!AJ49="","",IF(反向題設定!$C$39="是",反向題設定!$B$2+1-原始資料!AJ49,原始資料!AJ49))</f>
        <v/>
      </c>
      <c r="AK49">
        <f>IF(原始資料!AK49="","",IF(反向題設定!$C$40="是",反向題設定!$B$2+1-原始資料!AK49,原始資料!AK49))</f>
        <v/>
      </c>
      <c r="AL49">
        <f>IF(原始資料!AL49="","",IF(反向題設定!$C$41="是",反向題設定!$B$2+1-原始資料!AL49,原始資料!AL49))</f>
        <v/>
      </c>
      <c r="AM49">
        <f>IF(原始資料!AM49="","",IF(反向題設定!$C$42="是",反向題設定!$B$2+1-原始資料!AM49,原始資料!AM49))</f>
        <v/>
      </c>
      <c r="AN49">
        <f>IF(原始資料!AN49="","",IF(反向題設定!$C$43="是",反向題設定!$B$2+1-原始資料!AN49,原始資料!AN49))</f>
        <v/>
      </c>
      <c r="AO49">
        <f>IF(原始資料!AO49="","",IF(反向題設定!$C$44="是",反向題設定!$B$2+1-原始資料!AO49,原始資料!AO49))</f>
        <v/>
      </c>
      <c r="AP49">
        <f>IF(COUNT(B49:AO49)=0,"",SUM(B49:AO49))</f>
        <v/>
      </c>
      <c r="AQ49">
        <f>IF(AP49="","",IF(AP49&gt;=項目分析!$C$5,"高",IF(AP49&lt;=項目分析!$C$6,"低","")))</f>
        <v/>
      </c>
    </row>
    <row r="50">
      <c r="A50">
        <f>IF(原始資料!A50="","",原始資料!A50)</f>
        <v/>
      </c>
      <c r="B50">
        <f>IF(原始資料!B50="","",IF(反向題設定!$C$5="是",反向題設定!$B$2+1-原始資料!B50,原始資料!B50))</f>
        <v/>
      </c>
      <c r="C50">
        <f>IF(原始資料!C50="","",IF(反向題設定!$C$6="是",反向題設定!$B$2+1-原始資料!C50,原始資料!C50))</f>
        <v/>
      </c>
      <c r="D50">
        <f>IF(原始資料!D50="","",IF(反向題設定!$C$7="是",反向題設定!$B$2+1-原始資料!D50,原始資料!D50))</f>
        <v/>
      </c>
      <c r="E50">
        <f>IF(原始資料!E50="","",IF(反向題設定!$C$8="是",反向題設定!$B$2+1-原始資料!E50,原始資料!E50))</f>
        <v/>
      </c>
      <c r="F50">
        <f>IF(原始資料!F50="","",IF(反向題設定!$C$9="是",反向題設定!$B$2+1-原始資料!F50,原始資料!F50))</f>
        <v/>
      </c>
      <c r="G50">
        <f>IF(原始資料!G50="","",IF(反向題設定!$C$10="是",反向題設定!$B$2+1-原始資料!G50,原始資料!G50))</f>
        <v/>
      </c>
      <c r="H50">
        <f>IF(原始資料!H50="","",IF(反向題設定!$C$11="是",反向題設定!$B$2+1-原始資料!H50,原始資料!H50))</f>
        <v/>
      </c>
      <c r="I50">
        <f>IF(原始資料!I50="","",IF(反向題設定!$C$12="是",反向題設定!$B$2+1-原始資料!I50,原始資料!I50))</f>
        <v/>
      </c>
      <c r="J50">
        <f>IF(原始資料!J50="","",IF(反向題設定!$C$13="是",反向題設定!$B$2+1-原始資料!J50,原始資料!J50))</f>
        <v/>
      </c>
      <c r="K50">
        <f>IF(原始資料!K50="","",IF(反向題設定!$C$14="是",反向題設定!$B$2+1-原始資料!K50,原始資料!K50))</f>
        <v/>
      </c>
      <c r="L50">
        <f>IF(原始資料!L50="","",IF(反向題設定!$C$15="是",反向題設定!$B$2+1-原始資料!L50,原始資料!L50))</f>
        <v/>
      </c>
      <c r="M50">
        <f>IF(原始資料!M50="","",IF(反向題設定!$C$16="是",反向題設定!$B$2+1-原始資料!M50,原始資料!M50))</f>
        <v/>
      </c>
      <c r="N50">
        <f>IF(原始資料!N50="","",IF(反向題設定!$C$17="是",反向題設定!$B$2+1-原始資料!N50,原始資料!N50))</f>
        <v/>
      </c>
      <c r="O50">
        <f>IF(原始資料!O50="","",IF(反向題設定!$C$18="是",反向題設定!$B$2+1-原始資料!O50,原始資料!O50))</f>
        <v/>
      </c>
      <c r="P50">
        <f>IF(原始資料!P50="","",IF(反向題設定!$C$19="是",反向題設定!$B$2+1-原始資料!P50,原始資料!P50))</f>
        <v/>
      </c>
      <c r="Q50">
        <f>IF(原始資料!Q50="","",IF(反向題設定!$C$20="是",反向題設定!$B$2+1-原始資料!Q50,原始資料!Q50))</f>
        <v/>
      </c>
      <c r="R50">
        <f>IF(原始資料!R50="","",IF(反向題設定!$C$21="是",反向題設定!$B$2+1-原始資料!R50,原始資料!R50))</f>
        <v/>
      </c>
      <c r="S50">
        <f>IF(原始資料!S50="","",IF(反向題設定!$C$22="是",反向題設定!$B$2+1-原始資料!S50,原始資料!S50))</f>
        <v/>
      </c>
      <c r="T50">
        <f>IF(原始資料!T50="","",IF(反向題設定!$C$23="是",反向題設定!$B$2+1-原始資料!T50,原始資料!T50))</f>
        <v/>
      </c>
      <c r="U50">
        <f>IF(原始資料!U50="","",IF(反向題設定!$C$24="是",反向題設定!$B$2+1-原始資料!U50,原始資料!U50))</f>
        <v/>
      </c>
      <c r="V50">
        <f>IF(原始資料!V50="","",IF(反向題設定!$C$25="是",反向題設定!$B$2+1-原始資料!V50,原始資料!V50))</f>
        <v/>
      </c>
      <c r="W50">
        <f>IF(原始資料!W50="","",IF(反向題設定!$C$26="是",反向題設定!$B$2+1-原始資料!W50,原始資料!W50))</f>
        <v/>
      </c>
      <c r="X50">
        <f>IF(原始資料!X50="","",IF(反向題設定!$C$27="是",反向題設定!$B$2+1-原始資料!X50,原始資料!X50))</f>
        <v/>
      </c>
      <c r="Y50">
        <f>IF(原始資料!Y50="","",IF(反向題設定!$C$28="是",反向題設定!$B$2+1-原始資料!Y50,原始資料!Y50))</f>
        <v/>
      </c>
      <c r="Z50">
        <f>IF(原始資料!Z50="","",IF(反向題設定!$C$29="是",反向題設定!$B$2+1-原始資料!Z50,原始資料!Z50))</f>
        <v/>
      </c>
      <c r="AA50">
        <f>IF(原始資料!AA50="","",IF(反向題設定!$C$30="是",反向題設定!$B$2+1-原始資料!AA50,原始資料!AA50))</f>
        <v/>
      </c>
      <c r="AB50">
        <f>IF(原始資料!AB50="","",IF(反向題設定!$C$31="是",反向題設定!$B$2+1-原始資料!AB50,原始資料!AB50))</f>
        <v/>
      </c>
      <c r="AC50">
        <f>IF(原始資料!AC50="","",IF(反向題設定!$C$32="是",反向題設定!$B$2+1-原始資料!AC50,原始資料!AC50))</f>
        <v/>
      </c>
      <c r="AD50">
        <f>IF(原始資料!AD50="","",IF(反向題設定!$C$33="是",反向題設定!$B$2+1-原始資料!AD50,原始資料!AD50))</f>
        <v/>
      </c>
      <c r="AE50">
        <f>IF(原始資料!AE50="","",IF(反向題設定!$C$34="是",反向題設定!$B$2+1-原始資料!AE50,原始資料!AE50))</f>
        <v/>
      </c>
      <c r="AF50">
        <f>IF(原始資料!AF50="","",IF(反向題設定!$C$35="是",反向題設定!$B$2+1-原始資料!AF50,原始資料!AF50))</f>
        <v/>
      </c>
      <c r="AG50">
        <f>IF(原始資料!AG50="","",IF(反向題設定!$C$36="是",反向題設定!$B$2+1-原始資料!AG50,原始資料!AG50))</f>
        <v/>
      </c>
      <c r="AH50">
        <f>IF(原始資料!AH50="","",IF(反向題設定!$C$37="是",反向題設定!$B$2+1-原始資料!AH50,原始資料!AH50))</f>
        <v/>
      </c>
      <c r="AI50">
        <f>IF(原始資料!AI50="","",IF(反向題設定!$C$38="是",反向題設定!$B$2+1-原始資料!AI50,原始資料!AI50))</f>
        <v/>
      </c>
      <c r="AJ50">
        <f>IF(原始資料!AJ50="","",IF(反向題設定!$C$39="是",反向題設定!$B$2+1-原始資料!AJ50,原始資料!AJ50))</f>
        <v/>
      </c>
      <c r="AK50">
        <f>IF(原始資料!AK50="","",IF(反向題設定!$C$40="是",反向題設定!$B$2+1-原始資料!AK50,原始資料!AK50))</f>
        <v/>
      </c>
      <c r="AL50">
        <f>IF(原始資料!AL50="","",IF(反向題設定!$C$41="是",反向題設定!$B$2+1-原始資料!AL50,原始資料!AL50))</f>
        <v/>
      </c>
      <c r="AM50">
        <f>IF(原始資料!AM50="","",IF(反向題設定!$C$42="是",反向題設定!$B$2+1-原始資料!AM50,原始資料!AM50))</f>
        <v/>
      </c>
      <c r="AN50">
        <f>IF(原始資料!AN50="","",IF(反向題設定!$C$43="是",反向題設定!$B$2+1-原始資料!AN50,原始資料!AN50))</f>
        <v/>
      </c>
      <c r="AO50">
        <f>IF(原始資料!AO50="","",IF(反向題設定!$C$44="是",反向題設定!$B$2+1-原始資料!AO50,原始資料!AO50))</f>
        <v/>
      </c>
      <c r="AP50">
        <f>IF(COUNT(B50:AO50)=0,"",SUM(B50:AO50))</f>
        <v/>
      </c>
      <c r="AQ50">
        <f>IF(AP50="","",IF(AP50&gt;=項目分析!$C$5,"高",IF(AP50&lt;=項目分析!$C$6,"低","")))</f>
        <v/>
      </c>
    </row>
    <row r="51">
      <c r="A51">
        <f>IF(原始資料!A51="","",原始資料!A51)</f>
        <v/>
      </c>
      <c r="B51">
        <f>IF(原始資料!B51="","",IF(反向題設定!$C$5="是",反向題設定!$B$2+1-原始資料!B51,原始資料!B51))</f>
        <v/>
      </c>
      <c r="C51">
        <f>IF(原始資料!C51="","",IF(反向題設定!$C$6="是",反向題設定!$B$2+1-原始資料!C51,原始資料!C51))</f>
        <v/>
      </c>
      <c r="D51">
        <f>IF(原始資料!D51="","",IF(反向題設定!$C$7="是",反向題設定!$B$2+1-原始資料!D51,原始資料!D51))</f>
        <v/>
      </c>
      <c r="E51">
        <f>IF(原始資料!E51="","",IF(反向題設定!$C$8="是",反向題設定!$B$2+1-原始資料!E51,原始資料!E51))</f>
        <v/>
      </c>
      <c r="F51">
        <f>IF(原始資料!F51="","",IF(反向題設定!$C$9="是",反向題設定!$B$2+1-原始資料!F51,原始資料!F51))</f>
        <v/>
      </c>
      <c r="G51">
        <f>IF(原始資料!G51="","",IF(反向題設定!$C$10="是",反向題設定!$B$2+1-原始資料!G51,原始資料!G51))</f>
        <v/>
      </c>
      <c r="H51">
        <f>IF(原始資料!H51="","",IF(反向題設定!$C$11="是",反向題設定!$B$2+1-原始資料!H51,原始資料!H51))</f>
        <v/>
      </c>
      <c r="I51">
        <f>IF(原始資料!I51="","",IF(反向題設定!$C$12="是",反向題設定!$B$2+1-原始資料!I51,原始資料!I51))</f>
        <v/>
      </c>
      <c r="J51">
        <f>IF(原始資料!J51="","",IF(反向題設定!$C$13="是",反向題設定!$B$2+1-原始資料!J51,原始資料!J51))</f>
        <v/>
      </c>
      <c r="K51">
        <f>IF(原始資料!K51="","",IF(反向題設定!$C$14="是",反向題設定!$B$2+1-原始資料!K51,原始資料!K51))</f>
        <v/>
      </c>
      <c r="L51">
        <f>IF(原始資料!L51="","",IF(反向題設定!$C$15="是",反向題設定!$B$2+1-原始資料!L51,原始資料!L51))</f>
        <v/>
      </c>
      <c r="M51">
        <f>IF(原始資料!M51="","",IF(反向題設定!$C$16="是",反向題設定!$B$2+1-原始資料!M51,原始資料!M51))</f>
        <v/>
      </c>
      <c r="N51">
        <f>IF(原始資料!N51="","",IF(反向題設定!$C$17="是",反向題設定!$B$2+1-原始資料!N51,原始資料!N51))</f>
        <v/>
      </c>
      <c r="O51">
        <f>IF(原始資料!O51="","",IF(反向題設定!$C$18="是",反向題設定!$B$2+1-原始資料!O51,原始資料!O51))</f>
        <v/>
      </c>
      <c r="P51">
        <f>IF(原始資料!P51="","",IF(反向題設定!$C$19="是",反向題設定!$B$2+1-原始資料!P51,原始資料!P51))</f>
        <v/>
      </c>
      <c r="Q51">
        <f>IF(原始資料!Q51="","",IF(反向題設定!$C$20="是",反向題設定!$B$2+1-原始資料!Q51,原始資料!Q51))</f>
        <v/>
      </c>
      <c r="R51">
        <f>IF(原始資料!R51="","",IF(反向題設定!$C$21="是",反向題設定!$B$2+1-原始資料!R51,原始資料!R51))</f>
        <v/>
      </c>
      <c r="S51">
        <f>IF(原始資料!S51="","",IF(反向題設定!$C$22="是",反向題設定!$B$2+1-原始資料!S51,原始資料!S51))</f>
        <v/>
      </c>
      <c r="T51">
        <f>IF(原始資料!T51="","",IF(反向題設定!$C$23="是",反向題設定!$B$2+1-原始資料!T51,原始資料!T51))</f>
        <v/>
      </c>
      <c r="U51">
        <f>IF(原始資料!U51="","",IF(反向題設定!$C$24="是",反向題設定!$B$2+1-原始資料!U51,原始資料!U51))</f>
        <v/>
      </c>
      <c r="V51">
        <f>IF(原始資料!V51="","",IF(反向題設定!$C$25="是",反向題設定!$B$2+1-原始資料!V51,原始資料!V51))</f>
        <v/>
      </c>
      <c r="W51">
        <f>IF(原始資料!W51="","",IF(反向題設定!$C$26="是",反向題設定!$B$2+1-原始資料!W51,原始資料!W51))</f>
        <v/>
      </c>
      <c r="X51">
        <f>IF(原始資料!X51="","",IF(反向題設定!$C$27="是",反向題設定!$B$2+1-原始資料!X51,原始資料!X51))</f>
        <v/>
      </c>
      <c r="Y51">
        <f>IF(原始資料!Y51="","",IF(反向題設定!$C$28="是",反向題設定!$B$2+1-原始資料!Y51,原始資料!Y51))</f>
        <v/>
      </c>
      <c r="Z51">
        <f>IF(原始資料!Z51="","",IF(反向題設定!$C$29="是",反向題設定!$B$2+1-原始資料!Z51,原始資料!Z51))</f>
        <v/>
      </c>
      <c r="AA51">
        <f>IF(原始資料!AA51="","",IF(反向題設定!$C$30="是",反向題設定!$B$2+1-原始資料!AA51,原始資料!AA51))</f>
        <v/>
      </c>
      <c r="AB51">
        <f>IF(原始資料!AB51="","",IF(反向題設定!$C$31="是",反向題設定!$B$2+1-原始資料!AB51,原始資料!AB51))</f>
        <v/>
      </c>
      <c r="AC51">
        <f>IF(原始資料!AC51="","",IF(反向題設定!$C$32="是",反向題設定!$B$2+1-原始資料!AC51,原始資料!AC51))</f>
        <v/>
      </c>
      <c r="AD51">
        <f>IF(原始資料!AD51="","",IF(反向題設定!$C$33="是",反向題設定!$B$2+1-原始資料!AD51,原始資料!AD51))</f>
        <v/>
      </c>
      <c r="AE51">
        <f>IF(原始資料!AE51="","",IF(反向題設定!$C$34="是",反向題設定!$B$2+1-原始資料!AE51,原始資料!AE51))</f>
        <v/>
      </c>
      <c r="AF51">
        <f>IF(原始資料!AF51="","",IF(反向題設定!$C$35="是",反向題設定!$B$2+1-原始資料!AF51,原始資料!AF51))</f>
        <v/>
      </c>
      <c r="AG51">
        <f>IF(原始資料!AG51="","",IF(反向題設定!$C$36="是",反向題設定!$B$2+1-原始資料!AG51,原始資料!AG51))</f>
        <v/>
      </c>
      <c r="AH51">
        <f>IF(原始資料!AH51="","",IF(反向題設定!$C$37="是",反向題設定!$B$2+1-原始資料!AH51,原始資料!AH51))</f>
        <v/>
      </c>
      <c r="AI51">
        <f>IF(原始資料!AI51="","",IF(反向題設定!$C$38="是",反向題設定!$B$2+1-原始資料!AI51,原始資料!AI51))</f>
        <v/>
      </c>
      <c r="AJ51">
        <f>IF(原始資料!AJ51="","",IF(反向題設定!$C$39="是",反向題設定!$B$2+1-原始資料!AJ51,原始資料!AJ51))</f>
        <v/>
      </c>
      <c r="AK51">
        <f>IF(原始資料!AK51="","",IF(反向題設定!$C$40="是",反向題設定!$B$2+1-原始資料!AK51,原始資料!AK51))</f>
        <v/>
      </c>
      <c r="AL51">
        <f>IF(原始資料!AL51="","",IF(反向題設定!$C$41="是",反向題設定!$B$2+1-原始資料!AL51,原始資料!AL51))</f>
        <v/>
      </c>
      <c r="AM51">
        <f>IF(原始資料!AM51="","",IF(反向題設定!$C$42="是",反向題設定!$B$2+1-原始資料!AM51,原始資料!AM51))</f>
        <v/>
      </c>
      <c r="AN51">
        <f>IF(原始資料!AN51="","",IF(反向題設定!$C$43="是",反向題設定!$B$2+1-原始資料!AN51,原始資料!AN51))</f>
        <v/>
      </c>
      <c r="AO51">
        <f>IF(原始資料!AO51="","",IF(反向題設定!$C$44="是",反向題設定!$B$2+1-原始資料!AO51,原始資料!AO51))</f>
        <v/>
      </c>
      <c r="AP51">
        <f>IF(COUNT(B51:AO51)=0,"",SUM(B51:AO51))</f>
        <v/>
      </c>
      <c r="AQ51">
        <f>IF(AP51="","",IF(AP51&gt;=項目分析!$C$5,"高",IF(AP51&lt;=項目分析!$C$6,"低","")))</f>
        <v/>
      </c>
    </row>
    <row r="52">
      <c r="A52">
        <f>IF(原始資料!A52="","",原始資料!A52)</f>
        <v/>
      </c>
      <c r="B52">
        <f>IF(原始資料!B52="","",IF(反向題設定!$C$5="是",反向題設定!$B$2+1-原始資料!B52,原始資料!B52))</f>
        <v/>
      </c>
      <c r="C52">
        <f>IF(原始資料!C52="","",IF(反向題設定!$C$6="是",反向題設定!$B$2+1-原始資料!C52,原始資料!C52))</f>
        <v/>
      </c>
      <c r="D52">
        <f>IF(原始資料!D52="","",IF(反向題設定!$C$7="是",反向題設定!$B$2+1-原始資料!D52,原始資料!D52))</f>
        <v/>
      </c>
      <c r="E52">
        <f>IF(原始資料!E52="","",IF(反向題設定!$C$8="是",反向題設定!$B$2+1-原始資料!E52,原始資料!E52))</f>
        <v/>
      </c>
      <c r="F52">
        <f>IF(原始資料!F52="","",IF(反向題設定!$C$9="是",反向題設定!$B$2+1-原始資料!F52,原始資料!F52))</f>
        <v/>
      </c>
      <c r="G52">
        <f>IF(原始資料!G52="","",IF(反向題設定!$C$10="是",反向題設定!$B$2+1-原始資料!G52,原始資料!G52))</f>
        <v/>
      </c>
      <c r="H52">
        <f>IF(原始資料!H52="","",IF(反向題設定!$C$11="是",反向題設定!$B$2+1-原始資料!H52,原始資料!H52))</f>
        <v/>
      </c>
      <c r="I52">
        <f>IF(原始資料!I52="","",IF(反向題設定!$C$12="是",反向題設定!$B$2+1-原始資料!I52,原始資料!I52))</f>
        <v/>
      </c>
      <c r="J52">
        <f>IF(原始資料!J52="","",IF(反向題設定!$C$13="是",反向題設定!$B$2+1-原始資料!J52,原始資料!J52))</f>
        <v/>
      </c>
      <c r="K52">
        <f>IF(原始資料!K52="","",IF(反向題設定!$C$14="是",反向題設定!$B$2+1-原始資料!K52,原始資料!K52))</f>
        <v/>
      </c>
      <c r="L52">
        <f>IF(原始資料!L52="","",IF(反向題設定!$C$15="是",反向題設定!$B$2+1-原始資料!L52,原始資料!L52))</f>
        <v/>
      </c>
      <c r="M52">
        <f>IF(原始資料!M52="","",IF(反向題設定!$C$16="是",反向題設定!$B$2+1-原始資料!M52,原始資料!M52))</f>
        <v/>
      </c>
      <c r="N52">
        <f>IF(原始資料!N52="","",IF(反向題設定!$C$17="是",反向題設定!$B$2+1-原始資料!N52,原始資料!N52))</f>
        <v/>
      </c>
      <c r="O52">
        <f>IF(原始資料!O52="","",IF(反向題設定!$C$18="是",反向題設定!$B$2+1-原始資料!O52,原始資料!O52))</f>
        <v/>
      </c>
      <c r="P52">
        <f>IF(原始資料!P52="","",IF(反向題設定!$C$19="是",反向題設定!$B$2+1-原始資料!P52,原始資料!P52))</f>
        <v/>
      </c>
      <c r="Q52">
        <f>IF(原始資料!Q52="","",IF(反向題設定!$C$20="是",反向題設定!$B$2+1-原始資料!Q52,原始資料!Q52))</f>
        <v/>
      </c>
      <c r="R52">
        <f>IF(原始資料!R52="","",IF(反向題設定!$C$21="是",反向題設定!$B$2+1-原始資料!R52,原始資料!R52))</f>
        <v/>
      </c>
      <c r="S52">
        <f>IF(原始資料!S52="","",IF(反向題設定!$C$22="是",反向題設定!$B$2+1-原始資料!S52,原始資料!S52))</f>
        <v/>
      </c>
      <c r="T52">
        <f>IF(原始資料!T52="","",IF(反向題設定!$C$23="是",反向題設定!$B$2+1-原始資料!T52,原始資料!T52))</f>
        <v/>
      </c>
      <c r="U52">
        <f>IF(原始資料!U52="","",IF(反向題設定!$C$24="是",反向題設定!$B$2+1-原始資料!U52,原始資料!U52))</f>
        <v/>
      </c>
      <c r="V52">
        <f>IF(原始資料!V52="","",IF(反向題設定!$C$25="是",反向題設定!$B$2+1-原始資料!V52,原始資料!V52))</f>
        <v/>
      </c>
      <c r="W52">
        <f>IF(原始資料!W52="","",IF(反向題設定!$C$26="是",反向題設定!$B$2+1-原始資料!W52,原始資料!W52))</f>
        <v/>
      </c>
      <c r="X52">
        <f>IF(原始資料!X52="","",IF(反向題設定!$C$27="是",反向題設定!$B$2+1-原始資料!X52,原始資料!X52))</f>
        <v/>
      </c>
      <c r="Y52">
        <f>IF(原始資料!Y52="","",IF(反向題設定!$C$28="是",反向題設定!$B$2+1-原始資料!Y52,原始資料!Y52))</f>
        <v/>
      </c>
      <c r="Z52">
        <f>IF(原始資料!Z52="","",IF(反向題設定!$C$29="是",反向題設定!$B$2+1-原始資料!Z52,原始資料!Z52))</f>
        <v/>
      </c>
      <c r="AA52">
        <f>IF(原始資料!AA52="","",IF(反向題設定!$C$30="是",反向題設定!$B$2+1-原始資料!AA52,原始資料!AA52))</f>
        <v/>
      </c>
      <c r="AB52">
        <f>IF(原始資料!AB52="","",IF(反向題設定!$C$31="是",反向題設定!$B$2+1-原始資料!AB52,原始資料!AB52))</f>
        <v/>
      </c>
      <c r="AC52">
        <f>IF(原始資料!AC52="","",IF(反向題設定!$C$32="是",反向題設定!$B$2+1-原始資料!AC52,原始資料!AC52))</f>
        <v/>
      </c>
      <c r="AD52">
        <f>IF(原始資料!AD52="","",IF(反向題設定!$C$33="是",反向題設定!$B$2+1-原始資料!AD52,原始資料!AD52))</f>
        <v/>
      </c>
      <c r="AE52">
        <f>IF(原始資料!AE52="","",IF(反向題設定!$C$34="是",反向題設定!$B$2+1-原始資料!AE52,原始資料!AE52))</f>
        <v/>
      </c>
      <c r="AF52">
        <f>IF(原始資料!AF52="","",IF(反向題設定!$C$35="是",反向題設定!$B$2+1-原始資料!AF52,原始資料!AF52))</f>
        <v/>
      </c>
      <c r="AG52">
        <f>IF(原始資料!AG52="","",IF(反向題設定!$C$36="是",反向題設定!$B$2+1-原始資料!AG52,原始資料!AG52))</f>
        <v/>
      </c>
      <c r="AH52">
        <f>IF(原始資料!AH52="","",IF(反向題設定!$C$37="是",反向題設定!$B$2+1-原始資料!AH52,原始資料!AH52))</f>
        <v/>
      </c>
      <c r="AI52">
        <f>IF(原始資料!AI52="","",IF(反向題設定!$C$38="是",反向題設定!$B$2+1-原始資料!AI52,原始資料!AI52))</f>
        <v/>
      </c>
      <c r="AJ52">
        <f>IF(原始資料!AJ52="","",IF(反向題設定!$C$39="是",反向題設定!$B$2+1-原始資料!AJ52,原始資料!AJ52))</f>
        <v/>
      </c>
      <c r="AK52">
        <f>IF(原始資料!AK52="","",IF(反向題設定!$C$40="是",反向題設定!$B$2+1-原始資料!AK52,原始資料!AK52))</f>
        <v/>
      </c>
      <c r="AL52">
        <f>IF(原始資料!AL52="","",IF(反向題設定!$C$41="是",反向題設定!$B$2+1-原始資料!AL52,原始資料!AL52))</f>
        <v/>
      </c>
      <c r="AM52">
        <f>IF(原始資料!AM52="","",IF(反向題設定!$C$42="是",反向題設定!$B$2+1-原始資料!AM52,原始資料!AM52))</f>
        <v/>
      </c>
      <c r="AN52">
        <f>IF(原始資料!AN52="","",IF(反向題設定!$C$43="是",反向題設定!$B$2+1-原始資料!AN52,原始資料!AN52))</f>
        <v/>
      </c>
      <c r="AO52">
        <f>IF(原始資料!AO52="","",IF(反向題設定!$C$44="是",反向題設定!$B$2+1-原始資料!AO52,原始資料!AO52))</f>
        <v/>
      </c>
      <c r="AP52">
        <f>IF(COUNT(B52:AO52)=0,"",SUM(B52:AO52))</f>
        <v/>
      </c>
      <c r="AQ52">
        <f>IF(AP52="","",IF(AP52&gt;=項目分析!$C$5,"高",IF(AP52&lt;=項目分析!$C$6,"低","")))</f>
        <v/>
      </c>
    </row>
    <row r="53">
      <c r="A53">
        <f>IF(原始資料!A53="","",原始資料!A53)</f>
        <v/>
      </c>
      <c r="B53">
        <f>IF(原始資料!B53="","",IF(反向題設定!$C$5="是",反向題設定!$B$2+1-原始資料!B53,原始資料!B53))</f>
        <v/>
      </c>
      <c r="C53">
        <f>IF(原始資料!C53="","",IF(反向題設定!$C$6="是",反向題設定!$B$2+1-原始資料!C53,原始資料!C53))</f>
        <v/>
      </c>
      <c r="D53">
        <f>IF(原始資料!D53="","",IF(反向題設定!$C$7="是",反向題設定!$B$2+1-原始資料!D53,原始資料!D53))</f>
        <v/>
      </c>
      <c r="E53">
        <f>IF(原始資料!E53="","",IF(反向題設定!$C$8="是",反向題設定!$B$2+1-原始資料!E53,原始資料!E53))</f>
        <v/>
      </c>
      <c r="F53">
        <f>IF(原始資料!F53="","",IF(反向題設定!$C$9="是",反向題設定!$B$2+1-原始資料!F53,原始資料!F53))</f>
        <v/>
      </c>
      <c r="G53">
        <f>IF(原始資料!G53="","",IF(反向題設定!$C$10="是",反向題設定!$B$2+1-原始資料!G53,原始資料!G53))</f>
        <v/>
      </c>
      <c r="H53">
        <f>IF(原始資料!H53="","",IF(反向題設定!$C$11="是",反向題設定!$B$2+1-原始資料!H53,原始資料!H53))</f>
        <v/>
      </c>
      <c r="I53">
        <f>IF(原始資料!I53="","",IF(反向題設定!$C$12="是",反向題設定!$B$2+1-原始資料!I53,原始資料!I53))</f>
        <v/>
      </c>
      <c r="J53">
        <f>IF(原始資料!J53="","",IF(反向題設定!$C$13="是",反向題設定!$B$2+1-原始資料!J53,原始資料!J53))</f>
        <v/>
      </c>
      <c r="K53">
        <f>IF(原始資料!K53="","",IF(反向題設定!$C$14="是",反向題設定!$B$2+1-原始資料!K53,原始資料!K53))</f>
        <v/>
      </c>
      <c r="L53">
        <f>IF(原始資料!L53="","",IF(反向題設定!$C$15="是",反向題設定!$B$2+1-原始資料!L53,原始資料!L53))</f>
        <v/>
      </c>
      <c r="M53">
        <f>IF(原始資料!M53="","",IF(反向題設定!$C$16="是",反向題設定!$B$2+1-原始資料!M53,原始資料!M53))</f>
        <v/>
      </c>
      <c r="N53">
        <f>IF(原始資料!N53="","",IF(反向題設定!$C$17="是",反向題設定!$B$2+1-原始資料!N53,原始資料!N53))</f>
        <v/>
      </c>
      <c r="O53">
        <f>IF(原始資料!O53="","",IF(反向題設定!$C$18="是",反向題設定!$B$2+1-原始資料!O53,原始資料!O53))</f>
        <v/>
      </c>
      <c r="P53">
        <f>IF(原始資料!P53="","",IF(反向題設定!$C$19="是",反向題設定!$B$2+1-原始資料!P53,原始資料!P53))</f>
        <v/>
      </c>
      <c r="Q53">
        <f>IF(原始資料!Q53="","",IF(反向題設定!$C$20="是",反向題設定!$B$2+1-原始資料!Q53,原始資料!Q53))</f>
        <v/>
      </c>
      <c r="R53">
        <f>IF(原始資料!R53="","",IF(反向題設定!$C$21="是",反向題設定!$B$2+1-原始資料!R53,原始資料!R53))</f>
        <v/>
      </c>
      <c r="S53">
        <f>IF(原始資料!S53="","",IF(反向題設定!$C$22="是",反向題設定!$B$2+1-原始資料!S53,原始資料!S53))</f>
        <v/>
      </c>
      <c r="T53">
        <f>IF(原始資料!T53="","",IF(反向題設定!$C$23="是",反向題設定!$B$2+1-原始資料!T53,原始資料!T53))</f>
        <v/>
      </c>
      <c r="U53">
        <f>IF(原始資料!U53="","",IF(反向題設定!$C$24="是",反向題設定!$B$2+1-原始資料!U53,原始資料!U53))</f>
        <v/>
      </c>
      <c r="V53">
        <f>IF(原始資料!V53="","",IF(反向題設定!$C$25="是",反向題設定!$B$2+1-原始資料!V53,原始資料!V53))</f>
        <v/>
      </c>
      <c r="W53">
        <f>IF(原始資料!W53="","",IF(反向題設定!$C$26="是",反向題設定!$B$2+1-原始資料!W53,原始資料!W53))</f>
        <v/>
      </c>
      <c r="X53">
        <f>IF(原始資料!X53="","",IF(反向題設定!$C$27="是",反向題設定!$B$2+1-原始資料!X53,原始資料!X53))</f>
        <v/>
      </c>
      <c r="Y53">
        <f>IF(原始資料!Y53="","",IF(反向題設定!$C$28="是",反向題設定!$B$2+1-原始資料!Y53,原始資料!Y53))</f>
        <v/>
      </c>
      <c r="Z53">
        <f>IF(原始資料!Z53="","",IF(反向題設定!$C$29="是",反向題設定!$B$2+1-原始資料!Z53,原始資料!Z53))</f>
        <v/>
      </c>
      <c r="AA53">
        <f>IF(原始資料!AA53="","",IF(反向題設定!$C$30="是",反向題設定!$B$2+1-原始資料!AA53,原始資料!AA53))</f>
        <v/>
      </c>
      <c r="AB53">
        <f>IF(原始資料!AB53="","",IF(反向題設定!$C$31="是",反向題設定!$B$2+1-原始資料!AB53,原始資料!AB53))</f>
        <v/>
      </c>
      <c r="AC53">
        <f>IF(原始資料!AC53="","",IF(反向題設定!$C$32="是",反向題設定!$B$2+1-原始資料!AC53,原始資料!AC53))</f>
        <v/>
      </c>
      <c r="AD53">
        <f>IF(原始資料!AD53="","",IF(反向題設定!$C$33="是",反向題設定!$B$2+1-原始資料!AD53,原始資料!AD53))</f>
        <v/>
      </c>
      <c r="AE53">
        <f>IF(原始資料!AE53="","",IF(反向題設定!$C$34="是",反向題設定!$B$2+1-原始資料!AE53,原始資料!AE53))</f>
        <v/>
      </c>
      <c r="AF53">
        <f>IF(原始資料!AF53="","",IF(反向題設定!$C$35="是",反向題設定!$B$2+1-原始資料!AF53,原始資料!AF53))</f>
        <v/>
      </c>
      <c r="AG53">
        <f>IF(原始資料!AG53="","",IF(反向題設定!$C$36="是",反向題設定!$B$2+1-原始資料!AG53,原始資料!AG53))</f>
        <v/>
      </c>
      <c r="AH53">
        <f>IF(原始資料!AH53="","",IF(反向題設定!$C$37="是",反向題設定!$B$2+1-原始資料!AH53,原始資料!AH53))</f>
        <v/>
      </c>
      <c r="AI53">
        <f>IF(原始資料!AI53="","",IF(反向題設定!$C$38="是",反向題設定!$B$2+1-原始資料!AI53,原始資料!AI53))</f>
        <v/>
      </c>
      <c r="AJ53">
        <f>IF(原始資料!AJ53="","",IF(反向題設定!$C$39="是",反向題設定!$B$2+1-原始資料!AJ53,原始資料!AJ53))</f>
        <v/>
      </c>
      <c r="AK53">
        <f>IF(原始資料!AK53="","",IF(反向題設定!$C$40="是",反向題設定!$B$2+1-原始資料!AK53,原始資料!AK53))</f>
        <v/>
      </c>
      <c r="AL53">
        <f>IF(原始資料!AL53="","",IF(反向題設定!$C$41="是",反向題設定!$B$2+1-原始資料!AL53,原始資料!AL53))</f>
        <v/>
      </c>
      <c r="AM53">
        <f>IF(原始資料!AM53="","",IF(反向題設定!$C$42="是",反向題設定!$B$2+1-原始資料!AM53,原始資料!AM53))</f>
        <v/>
      </c>
      <c r="AN53">
        <f>IF(原始資料!AN53="","",IF(反向題設定!$C$43="是",反向題設定!$B$2+1-原始資料!AN53,原始資料!AN53))</f>
        <v/>
      </c>
      <c r="AO53">
        <f>IF(原始資料!AO53="","",IF(反向題設定!$C$44="是",反向題設定!$B$2+1-原始資料!AO53,原始資料!AO53))</f>
        <v/>
      </c>
      <c r="AP53">
        <f>IF(COUNT(B53:AO53)=0,"",SUM(B53:AO53))</f>
        <v/>
      </c>
      <c r="AQ53">
        <f>IF(AP53="","",IF(AP53&gt;=項目分析!$C$5,"高",IF(AP53&lt;=項目分析!$C$6,"低","")))</f>
        <v/>
      </c>
    </row>
    <row r="54">
      <c r="A54">
        <f>IF(原始資料!A54="","",原始資料!A54)</f>
        <v/>
      </c>
      <c r="B54">
        <f>IF(原始資料!B54="","",IF(反向題設定!$C$5="是",反向題設定!$B$2+1-原始資料!B54,原始資料!B54))</f>
        <v/>
      </c>
      <c r="C54">
        <f>IF(原始資料!C54="","",IF(反向題設定!$C$6="是",反向題設定!$B$2+1-原始資料!C54,原始資料!C54))</f>
        <v/>
      </c>
      <c r="D54">
        <f>IF(原始資料!D54="","",IF(反向題設定!$C$7="是",反向題設定!$B$2+1-原始資料!D54,原始資料!D54))</f>
        <v/>
      </c>
      <c r="E54">
        <f>IF(原始資料!E54="","",IF(反向題設定!$C$8="是",反向題設定!$B$2+1-原始資料!E54,原始資料!E54))</f>
        <v/>
      </c>
      <c r="F54">
        <f>IF(原始資料!F54="","",IF(反向題設定!$C$9="是",反向題設定!$B$2+1-原始資料!F54,原始資料!F54))</f>
        <v/>
      </c>
      <c r="G54">
        <f>IF(原始資料!G54="","",IF(反向題設定!$C$10="是",反向題設定!$B$2+1-原始資料!G54,原始資料!G54))</f>
        <v/>
      </c>
      <c r="H54">
        <f>IF(原始資料!H54="","",IF(反向題設定!$C$11="是",反向題設定!$B$2+1-原始資料!H54,原始資料!H54))</f>
        <v/>
      </c>
      <c r="I54">
        <f>IF(原始資料!I54="","",IF(反向題設定!$C$12="是",反向題設定!$B$2+1-原始資料!I54,原始資料!I54))</f>
        <v/>
      </c>
      <c r="J54">
        <f>IF(原始資料!J54="","",IF(反向題設定!$C$13="是",反向題設定!$B$2+1-原始資料!J54,原始資料!J54))</f>
        <v/>
      </c>
      <c r="K54">
        <f>IF(原始資料!K54="","",IF(反向題設定!$C$14="是",反向題設定!$B$2+1-原始資料!K54,原始資料!K54))</f>
        <v/>
      </c>
      <c r="L54">
        <f>IF(原始資料!L54="","",IF(反向題設定!$C$15="是",反向題設定!$B$2+1-原始資料!L54,原始資料!L54))</f>
        <v/>
      </c>
      <c r="M54">
        <f>IF(原始資料!M54="","",IF(反向題設定!$C$16="是",反向題設定!$B$2+1-原始資料!M54,原始資料!M54))</f>
        <v/>
      </c>
      <c r="N54">
        <f>IF(原始資料!N54="","",IF(反向題設定!$C$17="是",反向題設定!$B$2+1-原始資料!N54,原始資料!N54))</f>
        <v/>
      </c>
      <c r="O54">
        <f>IF(原始資料!O54="","",IF(反向題設定!$C$18="是",反向題設定!$B$2+1-原始資料!O54,原始資料!O54))</f>
        <v/>
      </c>
      <c r="P54">
        <f>IF(原始資料!P54="","",IF(反向題設定!$C$19="是",反向題設定!$B$2+1-原始資料!P54,原始資料!P54))</f>
        <v/>
      </c>
      <c r="Q54">
        <f>IF(原始資料!Q54="","",IF(反向題設定!$C$20="是",反向題設定!$B$2+1-原始資料!Q54,原始資料!Q54))</f>
        <v/>
      </c>
      <c r="R54">
        <f>IF(原始資料!R54="","",IF(反向題設定!$C$21="是",反向題設定!$B$2+1-原始資料!R54,原始資料!R54))</f>
        <v/>
      </c>
      <c r="S54">
        <f>IF(原始資料!S54="","",IF(反向題設定!$C$22="是",反向題設定!$B$2+1-原始資料!S54,原始資料!S54))</f>
        <v/>
      </c>
      <c r="T54">
        <f>IF(原始資料!T54="","",IF(反向題設定!$C$23="是",反向題設定!$B$2+1-原始資料!T54,原始資料!T54))</f>
        <v/>
      </c>
      <c r="U54">
        <f>IF(原始資料!U54="","",IF(反向題設定!$C$24="是",反向題設定!$B$2+1-原始資料!U54,原始資料!U54))</f>
        <v/>
      </c>
      <c r="V54">
        <f>IF(原始資料!V54="","",IF(反向題設定!$C$25="是",反向題設定!$B$2+1-原始資料!V54,原始資料!V54))</f>
        <v/>
      </c>
      <c r="W54">
        <f>IF(原始資料!W54="","",IF(反向題設定!$C$26="是",反向題設定!$B$2+1-原始資料!W54,原始資料!W54))</f>
        <v/>
      </c>
      <c r="X54">
        <f>IF(原始資料!X54="","",IF(反向題設定!$C$27="是",反向題設定!$B$2+1-原始資料!X54,原始資料!X54))</f>
        <v/>
      </c>
      <c r="Y54">
        <f>IF(原始資料!Y54="","",IF(反向題設定!$C$28="是",反向題設定!$B$2+1-原始資料!Y54,原始資料!Y54))</f>
        <v/>
      </c>
      <c r="Z54">
        <f>IF(原始資料!Z54="","",IF(反向題設定!$C$29="是",反向題設定!$B$2+1-原始資料!Z54,原始資料!Z54))</f>
        <v/>
      </c>
      <c r="AA54">
        <f>IF(原始資料!AA54="","",IF(反向題設定!$C$30="是",反向題設定!$B$2+1-原始資料!AA54,原始資料!AA54))</f>
        <v/>
      </c>
      <c r="AB54">
        <f>IF(原始資料!AB54="","",IF(反向題設定!$C$31="是",反向題設定!$B$2+1-原始資料!AB54,原始資料!AB54))</f>
        <v/>
      </c>
      <c r="AC54">
        <f>IF(原始資料!AC54="","",IF(反向題設定!$C$32="是",反向題設定!$B$2+1-原始資料!AC54,原始資料!AC54))</f>
        <v/>
      </c>
      <c r="AD54">
        <f>IF(原始資料!AD54="","",IF(反向題設定!$C$33="是",反向題設定!$B$2+1-原始資料!AD54,原始資料!AD54))</f>
        <v/>
      </c>
      <c r="AE54">
        <f>IF(原始資料!AE54="","",IF(反向題設定!$C$34="是",反向題設定!$B$2+1-原始資料!AE54,原始資料!AE54))</f>
        <v/>
      </c>
      <c r="AF54">
        <f>IF(原始資料!AF54="","",IF(反向題設定!$C$35="是",反向題設定!$B$2+1-原始資料!AF54,原始資料!AF54))</f>
        <v/>
      </c>
      <c r="AG54">
        <f>IF(原始資料!AG54="","",IF(反向題設定!$C$36="是",反向題設定!$B$2+1-原始資料!AG54,原始資料!AG54))</f>
        <v/>
      </c>
      <c r="AH54">
        <f>IF(原始資料!AH54="","",IF(反向題設定!$C$37="是",反向題設定!$B$2+1-原始資料!AH54,原始資料!AH54))</f>
        <v/>
      </c>
      <c r="AI54">
        <f>IF(原始資料!AI54="","",IF(反向題設定!$C$38="是",反向題設定!$B$2+1-原始資料!AI54,原始資料!AI54))</f>
        <v/>
      </c>
      <c r="AJ54">
        <f>IF(原始資料!AJ54="","",IF(反向題設定!$C$39="是",反向題設定!$B$2+1-原始資料!AJ54,原始資料!AJ54))</f>
        <v/>
      </c>
      <c r="AK54">
        <f>IF(原始資料!AK54="","",IF(反向題設定!$C$40="是",反向題設定!$B$2+1-原始資料!AK54,原始資料!AK54))</f>
        <v/>
      </c>
      <c r="AL54">
        <f>IF(原始資料!AL54="","",IF(反向題設定!$C$41="是",反向題設定!$B$2+1-原始資料!AL54,原始資料!AL54))</f>
        <v/>
      </c>
      <c r="AM54">
        <f>IF(原始資料!AM54="","",IF(反向題設定!$C$42="是",反向題設定!$B$2+1-原始資料!AM54,原始資料!AM54))</f>
        <v/>
      </c>
      <c r="AN54">
        <f>IF(原始資料!AN54="","",IF(反向題設定!$C$43="是",反向題設定!$B$2+1-原始資料!AN54,原始資料!AN54))</f>
        <v/>
      </c>
      <c r="AO54">
        <f>IF(原始資料!AO54="","",IF(反向題設定!$C$44="是",反向題設定!$B$2+1-原始資料!AO54,原始資料!AO54))</f>
        <v/>
      </c>
      <c r="AP54">
        <f>IF(COUNT(B54:AO54)=0,"",SUM(B54:AO54))</f>
        <v/>
      </c>
      <c r="AQ54">
        <f>IF(AP54="","",IF(AP54&gt;=項目分析!$C$5,"高",IF(AP54&lt;=項目分析!$C$6,"低","")))</f>
        <v/>
      </c>
    </row>
    <row r="55">
      <c r="A55">
        <f>IF(原始資料!A55="","",原始資料!A55)</f>
        <v/>
      </c>
      <c r="B55">
        <f>IF(原始資料!B55="","",IF(反向題設定!$C$5="是",反向題設定!$B$2+1-原始資料!B55,原始資料!B55))</f>
        <v/>
      </c>
      <c r="C55">
        <f>IF(原始資料!C55="","",IF(反向題設定!$C$6="是",反向題設定!$B$2+1-原始資料!C55,原始資料!C55))</f>
        <v/>
      </c>
      <c r="D55">
        <f>IF(原始資料!D55="","",IF(反向題設定!$C$7="是",反向題設定!$B$2+1-原始資料!D55,原始資料!D55))</f>
        <v/>
      </c>
      <c r="E55">
        <f>IF(原始資料!E55="","",IF(反向題設定!$C$8="是",反向題設定!$B$2+1-原始資料!E55,原始資料!E55))</f>
        <v/>
      </c>
      <c r="F55">
        <f>IF(原始資料!F55="","",IF(反向題設定!$C$9="是",反向題設定!$B$2+1-原始資料!F55,原始資料!F55))</f>
        <v/>
      </c>
      <c r="G55">
        <f>IF(原始資料!G55="","",IF(反向題設定!$C$10="是",反向題設定!$B$2+1-原始資料!G55,原始資料!G55))</f>
        <v/>
      </c>
      <c r="H55">
        <f>IF(原始資料!H55="","",IF(反向題設定!$C$11="是",反向題設定!$B$2+1-原始資料!H55,原始資料!H55))</f>
        <v/>
      </c>
      <c r="I55">
        <f>IF(原始資料!I55="","",IF(反向題設定!$C$12="是",反向題設定!$B$2+1-原始資料!I55,原始資料!I55))</f>
        <v/>
      </c>
      <c r="J55">
        <f>IF(原始資料!J55="","",IF(反向題設定!$C$13="是",反向題設定!$B$2+1-原始資料!J55,原始資料!J55))</f>
        <v/>
      </c>
      <c r="K55">
        <f>IF(原始資料!K55="","",IF(反向題設定!$C$14="是",反向題設定!$B$2+1-原始資料!K55,原始資料!K55))</f>
        <v/>
      </c>
      <c r="L55">
        <f>IF(原始資料!L55="","",IF(反向題設定!$C$15="是",反向題設定!$B$2+1-原始資料!L55,原始資料!L55))</f>
        <v/>
      </c>
      <c r="M55">
        <f>IF(原始資料!M55="","",IF(反向題設定!$C$16="是",反向題設定!$B$2+1-原始資料!M55,原始資料!M55))</f>
        <v/>
      </c>
      <c r="N55">
        <f>IF(原始資料!N55="","",IF(反向題設定!$C$17="是",反向題設定!$B$2+1-原始資料!N55,原始資料!N55))</f>
        <v/>
      </c>
      <c r="O55">
        <f>IF(原始資料!O55="","",IF(反向題設定!$C$18="是",反向題設定!$B$2+1-原始資料!O55,原始資料!O55))</f>
        <v/>
      </c>
      <c r="P55">
        <f>IF(原始資料!P55="","",IF(反向題設定!$C$19="是",反向題設定!$B$2+1-原始資料!P55,原始資料!P55))</f>
        <v/>
      </c>
      <c r="Q55">
        <f>IF(原始資料!Q55="","",IF(反向題設定!$C$20="是",反向題設定!$B$2+1-原始資料!Q55,原始資料!Q55))</f>
        <v/>
      </c>
      <c r="R55">
        <f>IF(原始資料!R55="","",IF(反向題設定!$C$21="是",反向題設定!$B$2+1-原始資料!R55,原始資料!R55))</f>
        <v/>
      </c>
      <c r="S55">
        <f>IF(原始資料!S55="","",IF(反向題設定!$C$22="是",反向題設定!$B$2+1-原始資料!S55,原始資料!S55))</f>
        <v/>
      </c>
      <c r="T55">
        <f>IF(原始資料!T55="","",IF(反向題設定!$C$23="是",反向題設定!$B$2+1-原始資料!T55,原始資料!T55))</f>
        <v/>
      </c>
      <c r="U55">
        <f>IF(原始資料!U55="","",IF(反向題設定!$C$24="是",反向題設定!$B$2+1-原始資料!U55,原始資料!U55))</f>
        <v/>
      </c>
      <c r="V55">
        <f>IF(原始資料!V55="","",IF(反向題設定!$C$25="是",反向題設定!$B$2+1-原始資料!V55,原始資料!V55))</f>
        <v/>
      </c>
      <c r="W55">
        <f>IF(原始資料!W55="","",IF(反向題設定!$C$26="是",反向題設定!$B$2+1-原始資料!W55,原始資料!W55))</f>
        <v/>
      </c>
      <c r="X55">
        <f>IF(原始資料!X55="","",IF(反向題設定!$C$27="是",反向題設定!$B$2+1-原始資料!X55,原始資料!X55))</f>
        <v/>
      </c>
      <c r="Y55">
        <f>IF(原始資料!Y55="","",IF(反向題設定!$C$28="是",反向題設定!$B$2+1-原始資料!Y55,原始資料!Y55))</f>
        <v/>
      </c>
      <c r="Z55">
        <f>IF(原始資料!Z55="","",IF(反向題設定!$C$29="是",反向題設定!$B$2+1-原始資料!Z55,原始資料!Z55))</f>
        <v/>
      </c>
      <c r="AA55">
        <f>IF(原始資料!AA55="","",IF(反向題設定!$C$30="是",反向題設定!$B$2+1-原始資料!AA55,原始資料!AA55))</f>
        <v/>
      </c>
      <c r="AB55">
        <f>IF(原始資料!AB55="","",IF(反向題設定!$C$31="是",反向題設定!$B$2+1-原始資料!AB55,原始資料!AB55))</f>
        <v/>
      </c>
      <c r="AC55">
        <f>IF(原始資料!AC55="","",IF(反向題設定!$C$32="是",反向題設定!$B$2+1-原始資料!AC55,原始資料!AC55))</f>
        <v/>
      </c>
      <c r="AD55">
        <f>IF(原始資料!AD55="","",IF(反向題設定!$C$33="是",反向題設定!$B$2+1-原始資料!AD55,原始資料!AD55))</f>
        <v/>
      </c>
      <c r="AE55">
        <f>IF(原始資料!AE55="","",IF(反向題設定!$C$34="是",反向題設定!$B$2+1-原始資料!AE55,原始資料!AE55))</f>
        <v/>
      </c>
      <c r="AF55">
        <f>IF(原始資料!AF55="","",IF(反向題設定!$C$35="是",反向題設定!$B$2+1-原始資料!AF55,原始資料!AF55))</f>
        <v/>
      </c>
      <c r="AG55">
        <f>IF(原始資料!AG55="","",IF(反向題設定!$C$36="是",反向題設定!$B$2+1-原始資料!AG55,原始資料!AG55))</f>
        <v/>
      </c>
      <c r="AH55">
        <f>IF(原始資料!AH55="","",IF(反向題設定!$C$37="是",反向題設定!$B$2+1-原始資料!AH55,原始資料!AH55))</f>
        <v/>
      </c>
      <c r="AI55">
        <f>IF(原始資料!AI55="","",IF(反向題設定!$C$38="是",反向題設定!$B$2+1-原始資料!AI55,原始資料!AI55))</f>
        <v/>
      </c>
      <c r="AJ55">
        <f>IF(原始資料!AJ55="","",IF(反向題設定!$C$39="是",反向題設定!$B$2+1-原始資料!AJ55,原始資料!AJ55))</f>
        <v/>
      </c>
      <c r="AK55">
        <f>IF(原始資料!AK55="","",IF(反向題設定!$C$40="是",反向題設定!$B$2+1-原始資料!AK55,原始資料!AK55))</f>
        <v/>
      </c>
      <c r="AL55">
        <f>IF(原始資料!AL55="","",IF(反向題設定!$C$41="是",反向題設定!$B$2+1-原始資料!AL55,原始資料!AL55))</f>
        <v/>
      </c>
      <c r="AM55">
        <f>IF(原始資料!AM55="","",IF(反向題設定!$C$42="是",反向題設定!$B$2+1-原始資料!AM55,原始資料!AM55))</f>
        <v/>
      </c>
      <c r="AN55">
        <f>IF(原始資料!AN55="","",IF(反向題設定!$C$43="是",反向題設定!$B$2+1-原始資料!AN55,原始資料!AN55))</f>
        <v/>
      </c>
      <c r="AO55">
        <f>IF(原始資料!AO55="","",IF(反向題設定!$C$44="是",反向題設定!$B$2+1-原始資料!AO55,原始資料!AO55))</f>
        <v/>
      </c>
      <c r="AP55">
        <f>IF(COUNT(B55:AO55)=0,"",SUM(B55:AO55))</f>
        <v/>
      </c>
      <c r="AQ55">
        <f>IF(AP55="","",IF(AP55&gt;=項目分析!$C$5,"高",IF(AP55&lt;=項目分析!$C$6,"低","")))</f>
        <v/>
      </c>
    </row>
    <row r="56">
      <c r="A56">
        <f>IF(原始資料!A56="","",原始資料!A56)</f>
        <v/>
      </c>
      <c r="B56">
        <f>IF(原始資料!B56="","",IF(反向題設定!$C$5="是",反向題設定!$B$2+1-原始資料!B56,原始資料!B56))</f>
        <v/>
      </c>
      <c r="C56">
        <f>IF(原始資料!C56="","",IF(反向題設定!$C$6="是",反向題設定!$B$2+1-原始資料!C56,原始資料!C56))</f>
        <v/>
      </c>
      <c r="D56">
        <f>IF(原始資料!D56="","",IF(反向題設定!$C$7="是",反向題設定!$B$2+1-原始資料!D56,原始資料!D56))</f>
        <v/>
      </c>
      <c r="E56">
        <f>IF(原始資料!E56="","",IF(反向題設定!$C$8="是",反向題設定!$B$2+1-原始資料!E56,原始資料!E56))</f>
        <v/>
      </c>
      <c r="F56">
        <f>IF(原始資料!F56="","",IF(反向題設定!$C$9="是",反向題設定!$B$2+1-原始資料!F56,原始資料!F56))</f>
        <v/>
      </c>
      <c r="G56">
        <f>IF(原始資料!G56="","",IF(反向題設定!$C$10="是",反向題設定!$B$2+1-原始資料!G56,原始資料!G56))</f>
        <v/>
      </c>
      <c r="H56">
        <f>IF(原始資料!H56="","",IF(反向題設定!$C$11="是",反向題設定!$B$2+1-原始資料!H56,原始資料!H56))</f>
        <v/>
      </c>
      <c r="I56">
        <f>IF(原始資料!I56="","",IF(反向題設定!$C$12="是",反向題設定!$B$2+1-原始資料!I56,原始資料!I56))</f>
        <v/>
      </c>
      <c r="J56">
        <f>IF(原始資料!J56="","",IF(反向題設定!$C$13="是",反向題設定!$B$2+1-原始資料!J56,原始資料!J56))</f>
        <v/>
      </c>
      <c r="K56">
        <f>IF(原始資料!K56="","",IF(反向題設定!$C$14="是",反向題設定!$B$2+1-原始資料!K56,原始資料!K56))</f>
        <v/>
      </c>
      <c r="L56">
        <f>IF(原始資料!L56="","",IF(反向題設定!$C$15="是",反向題設定!$B$2+1-原始資料!L56,原始資料!L56))</f>
        <v/>
      </c>
      <c r="M56">
        <f>IF(原始資料!M56="","",IF(反向題設定!$C$16="是",反向題設定!$B$2+1-原始資料!M56,原始資料!M56))</f>
        <v/>
      </c>
      <c r="N56">
        <f>IF(原始資料!N56="","",IF(反向題設定!$C$17="是",反向題設定!$B$2+1-原始資料!N56,原始資料!N56))</f>
        <v/>
      </c>
      <c r="O56">
        <f>IF(原始資料!O56="","",IF(反向題設定!$C$18="是",反向題設定!$B$2+1-原始資料!O56,原始資料!O56))</f>
        <v/>
      </c>
      <c r="P56">
        <f>IF(原始資料!P56="","",IF(反向題設定!$C$19="是",反向題設定!$B$2+1-原始資料!P56,原始資料!P56))</f>
        <v/>
      </c>
      <c r="Q56">
        <f>IF(原始資料!Q56="","",IF(反向題設定!$C$20="是",反向題設定!$B$2+1-原始資料!Q56,原始資料!Q56))</f>
        <v/>
      </c>
      <c r="R56">
        <f>IF(原始資料!R56="","",IF(反向題設定!$C$21="是",反向題設定!$B$2+1-原始資料!R56,原始資料!R56))</f>
        <v/>
      </c>
      <c r="S56">
        <f>IF(原始資料!S56="","",IF(反向題設定!$C$22="是",反向題設定!$B$2+1-原始資料!S56,原始資料!S56))</f>
        <v/>
      </c>
      <c r="T56">
        <f>IF(原始資料!T56="","",IF(反向題設定!$C$23="是",反向題設定!$B$2+1-原始資料!T56,原始資料!T56))</f>
        <v/>
      </c>
      <c r="U56">
        <f>IF(原始資料!U56="","",IF(反向題設定!$C$24="是",反向題設定!$B$2+1-原始資料!U56,原始資料!U56))</f>
        <v/>
      </c>
      <c r="V56">
        <f>IF(原始資料!V56="","",IF(反向題設定!$C$25="是",反向題設定!$B$2+1-原始資料!V56,原始資料!V56))</f>
        <v/>
      </c>
      <c r="W56">
        <f>IF(原始資料!W56="","",IF(反向題設定!$C$26="是",反向題設定!$B$2+1-原始資料!W56,原始資料!W56))</f>
        <v/>
      </c>
      <c r="X56">
        <f>IF(原始資料!X56="","",IF(反向題設定!$C$27="是",反向題設定!$B$2+1-原始資料!X56,原始資料!X56))</f>
        <v/>
      </c>
      <c r="Y56">
        <f>IF(原始資料!Y56="","",IF(反向題設定!$C$28="是",反向題設定!$B$2+1-原始資料!Y56,原始資料!Y56))</f>
        <v/>
      </c>
      <c r="Z56">
        <f>IF(原始資料!Z56="","",IF(反向題設定!$C$29="是",反向題設定!$B$2+1-原始資料!Z56,原始資料!Z56))</f>
        <v/>
      </c>
      <c r="AA56">
        <f>IF(原始資料!AA56="","",IF(反向題設定!$C$30="是",反向題設定!$B$2+1-原始資料!AA56,原始資料!AA56))</f>
        <v/>
      </c>
      <c r="AB56">
        <f>IF(原始資料!AB56="","",IF(反向題設定!$C$31="是",反向題設定!$B$2+1-原始資料!AB56,原始資料!AB56))</f>
        <v/>
      </c>
      <c r="AC56">
        <f>IF(原始資料!AC56="","",IF(反向題設定!$C$32="是",反向題設定!$B$2+1-原始資料!AC56,原始資料!AC56))</f>
        <v/>
      </c>
      <c r="AD56">
        <f>IF(原始資料!AD56="","",IF(反向題設定!$C$33="是",反向題設定!$B$2+1-原始資料!AD56,原始資料!AD56))</f>
        <v/>
      </c>
      <c r="AE56">
        <f>IF(原始資料!AE56="","",IF(反向題設定!$C$34="是",反向題設定!$B$2+1-原始資料!AE56,原始資料!AE56))</f>
        <v/>
      </c>
      <c r="AF56">
        <f>IF(原始資料!AF56="","",IF(反向題設定!$C$35="是",反向題設定!$B$2+1-原始資料!AF56,原始資料!AF56))</f>
        <v/>
      </c>
      <c r="AG56">
        <f>IF(原始資料!AG56="","",IF(反向題設定!$C$36="是",反向題設定!$B$2+1-原始資料!AG56,原始資料!AG56))</f>
        <v/>
      </c>
      <c r="AH56">
        <f>IF(原始資料!AH56="","",IF(反向題設定!$C$37="是",反向題設定!$B$2+1-原始資料!AH56,原始資料!AH56))</f>
        <v/>
      </c>
      <c r="AI56">
        <f>IF(原始資料!AI56="","",IF(反向題設定!$C$38="是",反向題設定!$B$2+1-原始資料!AI56,原始資料!AI56))</f>
        <v/>
      </c>
      <c r="AJ56">
        <f>IF(原始資料!AJ56="","",IF(反向題設定!$C$39="是",反向題設定!$B$2+1-原始資料!AJ56,原始資料!AJ56))</f>
        <v/>
      </c>
      <c r="AK56">
        <f>IF(原始資料!AK56="","",IF(反向題設定!$C$40="是",反向題設定!$B$2+1-原始資料!AK56,原始資料!AK56))</f>
        <v/>
      </c>
      <c r="AL56">
        <f>IF(原始資料!AL56="","",IF(反向題設定!$C$41="是",反向題設定!$B$2+1-原始資料!AL56,原始資料!AL56))</f>
        <v/>
      </c>
      <c r="AM56">
        <f>IF(原始資料!AM56="","",IF(反向題設定!$C$42="是",反向題設定!$B$2+1-原始資料!AM56,原始資料!AM56))</f>
        <v/>
      </c>
      <c r="AN56">
        <f>IF(原始資料!AN56="","",IF(反向題設定!$C$43="是",反向題設定!$B$2+1-原始資料!AN56,原始資料!AN56))</f>
        <v/>
      </c>
      <c r="AO56">
        <f>IF(原始資料!AO56="","",IF(反向題設定!$C$44="是",反向題設定!$B$2+1-原始資料!AO56,原始資料!AO56))</f>
        <v/>
      </c>
      <c r="AP56">
        <f>IF(COUNT(B56:AO56)=0,"",SUM(B56:AO56))</f>
        <v/>
      </c>
      <c r="AQ56">
        <f>IF(AP56="","",IF(AP56&gt;=項目分析!$C$5,"高",IF(AP56&lt;=項目分析!$C$6,"低","")))</f>
        <v/>
      </c>
    </row>
    <row r="57">
      <c r="A57">
        <f>IF(原始資料!A57="","",原始資料!A57)</f>
        <v/>
      </c>
      <c r="B57">
        <f>IF(原始資料!B57="","",IF(反向題設定!$C$5="是",反向題設定!$B$2+1-原始資料!B57,原始資料!B57))</f>
        <v/>
      </c>
      <c r="C57">
        <f>IF(原始資料!C57="","",IF(反向題設定!$C$6="是",反向題設定!$B$2+1-原始資料!C57,原始資料!C57))</f>
        <v/>
      </c>
      <c r="D57">
        <f>IF(原始資料!D57="","",IF(反向題設定!$C$7="是",反向題設定!$B$2+1-原始資料!D57,原始資料!D57))</f>
        <v/>
      </c>
      <c r="E57">
        <f>IF(原始資料!E57="","",IF(反向題設定!$C$8="是",反向題設定!$B$2+1-原始資料!E57,原始資料!E57))</f>
        <v/>
      </c>
      <c r="F57">
        <f>IF(原始資料!F57="","",IF(反向題設定!$C$9="是",反向題設定!$B$2+1-原始資料!F57,原始資料!F57))</f>
        <v/>
      </c>
      <c r="G57">
        <f>IF(原始資料!G57="","",IF(反向題設定!$C$10="是",反向題設定!$B$2+1-原始資料!G57,原始資料!G57))</f>
        <v/>
      </c>
      <c r="H57">
        <f>IF(原始資料!H57="","",IF(反向題設定!$C$11="是",反向題設定!$B$2+1-原始資料!H57,原始資料!H57))</f>
        <v/>
      </c>
      <c r="I57">
        <f>IF(原始資料!I57="","",IF(反向題設定!$C$12="是",反向題設定!$B$2+1-原始資料!I57,原始資料!I57))</f>
        <v/>
      </c>
      <c r="J57">
        <f>IF(原始資料!J57="","",IF(反向題設定!$C$13="是",反向題設定!$B$2+1-原始資料!J57,原始資料!J57))</f>
        <v/>
      </c>
      <c r="K57">
        <f>IF(原始資料!K57="","",IF(反向題設定!$C$14="是",反向題設定!$B$2+1-原始資料!K57,原始資料!K57))</f>
        <v/>
      </c>
      <c r="L57">
        <f>IF(原始資料!L57="","",IF(反向題設定!$C$15="是",反向題設定!$B$2+1-原始資料!L57,原始資料!L57))</f>
        <v/>
      </c>
      <c r="M57">
        <f>IF(原始資料!M57="","",IF(反向題設定!$C$16="是",反向題設定!$B$2+1-原始資料!M57,原始資料!M57))</f>
        <v/>
      </c>
      <c r="N57">
        <f>IF(原始資料!N57="","",IF(反向題設定!$C$17="是",反向題設定!$B$2+1-原始資料!N57,原始資料!N57))</f>
        <v/>
      </c>
      <c r="O57">
        <f>IF(原始資料!O57="","",IF(反向題設定!$C$18="是",反向題設定!$B$2+1-原始資料!O57,原始資料!O57))</f>
        <v/>
      </c>
      <c r="P57">
        <f>IF(原始資料!P57="","",IF(反向題設定!$C$19="是",反向題設定!$B$2+1-原始資料!P57,原始資料!P57))</f>
        <v/>
      </c>
      <c r="Q57">
        <f>IF(原始資料!Q57="","",IF(反向題設定!$C$20="是",反向題設定!$B$2+1-原始資料!Q57,原始資料!Q57))</f>
        <v/>
      </c>
      <c r="R57">
        <f>IF(原始資料!R57="","",IF(反向題設定!$C$21="是",反向題設定!$B$2+1-原始資料!R57,原始資料!R57))</f>
        <v/>
      </c>
      <c r="S57">
        <f>IF(原始資料!S57="","",IF(反向題設定!$C$22="是",反向題設定!$B$2+1-原始資料!S57,原始資料!S57))</f>
        <v/>
      </c>
      <c r="T57">
        <f>IF(原始資料!T57="","",IF(反向題設定!$C$23="是",反向題設定!$B$2+1-原始資料!T57,原始資料!T57))</f>
        <v/>
      </c>
      <c r="U57">
        <f>IF(原始資料!U57="","",IF(反向題設定!$C$24="是",反向題設定!$B$2+1-原始資料!U57,原始資料!U57))</f>
        <v/>
      </c>
      <c r="V57">
        <f>IF(原始資料!V57="","",IF(反向題設定!$C$25="是",反向題設定!$B$2+1-原始資料!V57,原始資料!V57))</f>
        <v/>
      </c>
      <c r="W57">
        <f>IF(原始資料!W57="","",IF(反向題設定!$C$26="是",反向題設定!$B$2+1-原始資料!W57,原始資料!W57))</f>
        <v/>
      </c>
      <c r="X57">
        <f>IF(原始資料!X57="","",IF(反向題設定!$C$27="是",反向題設定!$B$2+1-原始資料!X57,原始資料!X57))</f>
        <v/>
      </c>
      <c r="Y57">
        <f>IF(原始資料!Y57="","",IF(反向題設定!$C$28="是",反向題設定!$B$2+1-原始資料!Y57,原始資料!Y57))</f>
        <v/>
      </c>
      <c r="Z57">
        <f>IF(原始資料!Z57="","",IF(反向題設定!$C$29="是",反向題設定!$B$2+1-原始資料!Z57,原始資料!Z57))</f>
        <v/>
      </c>
      <c r="AA57">
        <f>IF(原始資料!AA57="","",IF(反向題設定!$C$30="是",反向題設定!$B$2+1-原始資料!AA57,原始資料!AA57))</f>
        <v/>
      </c>
      <c r="AB57">
        <f>IF(原始資料!AB57="","",IF(反向題設定!$C$31="是",反向題設定!$B$2+1-原始資料!AB57,原始資料!AB57))</f>
        <v/>
      </c>
      <c r="AC57">
        <f>IF(原始資料!AC57="","",IF(反向題設定!$C$32="是",反向題設定!$B$2+1-原始資料!AC57,原始資料!AC57))</f>
        <v/>
      </c>
      <c r="AD57">
        <f>IF(原始資料!AD57="","",IF(反向題設定!$C$33="是",反向題設定!$B$2+1-原始資料!AD57,原始資料!AD57))</f>
        <v/>
      </c>
      <c r="AE57">
        <f>IF(原始資料!AE57="","",IF(反向題設定!$C$34="是",反向題設定!$B$2+1-原始資料!AE57,原始資料!AE57))</f>
        <v/>
      </c>
      <c r="AF57">
        <f>IF(原始資料!AF57="","",IF(反向題設定!$C$35="是",反向題設定!$B$2+1-原始資料!AF57,原始資料!AF57))</f>
        <v/>
      </c>
      <c r="AG57">
        <f>IF(原始資料!AG57="","",IF(反向題設定!$C$36="是",反向題設定!$B$2+1-原始資料!AG57,原始資料!AG57))</f>
        <v/>
      </c>
      <c r="AH57">
        <f>IF(原始資料!AH57="","",IF(反向題設定!$C$37="是",反向題設定!$B$2+1-原始資料!AH57,原始資料!AH57))</f>
        <v/>
      </c>
      <c r="AI57">
        <f>IF(原始資料!AI57="","",IF(反向題設定!$C$38="是",反向題設定!$B$2+1-原始資料!AI57,原始資料!AI57))</f>
        <v/>
      </c>
      <c r="AJ57">
        <f>IF(原始資料!AJ57="","",IF(反向題設定!$C$39="是",反向題設定!$B$2+1-原始資料!AJ57,原始資料!AJ57))</f>
        <v/>
      </c>
      <c r="AK57">
        <f>IF(原始資料!AK57="","",IF(反向題設定!$C$40="是",反向題設定!$B$2+1-原始資料!AK57,原始資料!AK57))</f>
        <v/>
      </c>
      <c r="AL57">
        <f>IF(原始資料!AL57="","",IF(反向題設定!$C$41="是",反向題設定!$B$2+1-原始資料!AL57,原始資料!AL57))</f>
        <v/>
      </c>
      <c r="AM57">
        <f>IF(原始資料!AM57="","",IF(反向題設定!$C$42="是",反向題設定!$B$2+1-原始資料!AM57,原始資料!AM57))</f>
        <v/>
      </c>
      <c r="AN57">
        <f>IF(原始資料!AN57="","",IF(反向題設定!$C$43="是",反向題設定!$B$2+1-原始資料!AN57,原始資料!AN57))</f>
        <v/>
      </c>
      <c r="AO57">
        <f>IF(原始資料!AO57="","",IF(反向題設定!$C$44="是",反向題設定!$B$2+1-原始資料!AO57,原始資料!AO57))</f>
        <v/>
      </c>
      <c r="AP57">
        <f>IF(COUNT(B57:AO57)=0,"",SUM(B57:AO57))</f>
        <v/>
      </c>
      <c r="AQ57">
        <f>IF(AP57="","",IF(AP57&gt;=項目分析!$C$5,"高",IF(AP57&lt;=項目分析!$C$6,"低","")))</f>
        <v/>
      </c>
    </row>
    <row r="58">
      <c r="A58">
        <f>IF(原始資料!A58="","",原始資料!A58)</f>
        <v/>
      </c>
      <c r="B58">
        <f>IF(原始資料!B58="","",IF(反向題設定!$C$5="是",反向題設定!$B$2+1-原始資料!B58,原始資料!B58))</f>
        <v/>
      </c>
      <c r="C58">
        <f>IF(原始資料!C58="","",IF(反向題設定!$C$6="是",反向題設定!$B$2+1-原始資料!C58,原始資料!C58))</f>
        <v/>
      </c>
      <c r="D58">
        <f>IF(原始資料!D58="","",IF(反向題設定!$C$7="是",反向題設定!$B$2+1-原始資料!D58,原始資料!D58))</f>
        <v/>
      </c>
      <c r="E58">
        <f>IF(原始資料!E58="","",IF(反向題設定!$C$8="是",反向題設定!$B$2+1-原始資料!E58,原始資料!E58))</f>
        <v/>
      </c>
      <c r="F58">
        <f>IF(原始資料!F58="","",IF(反向題設定!$C$9="是",反向題設定!$B$2+1-原始資料!F58,原始資料!F58))</f>
        <v/>
      </c>
      <c r="G58">
        <f>IF(原始資料!G58="","",IF(反向題設定!$C$10="是",反向題設定!$B$2+1-原始資料!G58,原始資料!G58))</f>
        <v/>
      </c>
      <c r="H58">
        <f>IF(原始資料!H58="","",IF(反向題設定!$C$11="是",反向題設定!$B$2+1-原始資料!H58,原始資料!H58))</f>
        <v/>
      </c>
      <c r="I58">
        <f>IF(原始資料!I58="","",IF(反向題設定!$C$12="是",反向題設定!$B$2+1-原始資料!I58,原始資料!I58))</f>
        <v/>
      </c>
      <c r="J58">
        <f>IF(原始資料!J58="","",IF(反向題設定!$C$13="是",反向題設定!$B$2+1-原始資料!J58,原始資料!J58))</f>
        <v/>
      </c>
      <c r="K58">
        <f>IF(原始資料!K58="","",IF(反向題設定!$C$14="是",反向題設定!$B$2+1-原始資料!K58,原始資料!K58))</f>
        <v/>
      </c>
      <c r="L58">
        <f>IF(原始資料!L58="","",IF(反向題設定!$C$15="是",反向題設定!$B$2+1-原始資料!L58,原始資料!L58))</f>
        <v/>
      </c>
      <c r="M58">
        <f>IF(原始資料!M58="","",IF(反向題設定!$C$16="是",反向題設定!$B$2+1-原始資料!M58,原始資料!M58))</f>
        <v/>
      </c>
      <c r="N58">
        <f>IF(原始資料!N58="","",IF(反向題設定!$C$17="是",反向題設定!$B$2+1-原始資料!N58,原始資料!N58))</f>
        <v/>
      </c>
      <c r="O58">
        <f>IF(原始資料!O58="","",IF(反向題設定!$C$18="是",反向題設定!$B$2+1-原始資料!O58,原始資料!O58))</f>
        <v/>
      </c>
      <c r="P58">
        <f>IF(原始資料!P58="","",IF(反向題設定!$C$19="是",反向題設定!$B$2+1-原始資料!P58,原始資料!P58))</f>
        <v/>
      </c>
      <c r="Q58">
        <f>IF(原始資料!Q58="","",IF(反向題設定!$C$20="是",反向題設定!$B$2+1-原始資料!Q58,原始資料!Q58))</f>
        <v/>
      </c>
      <c r="R58">
        <f>IF(原始資料!R58="","",IF(反向題設定!$C$21="是",反向題設定!$B$2+1-原始資料!R58,原始資料!R58))</f>
        <v/>
      </c>
      <c r="S58">
        <f>IF(原始資料!S58="","",IF(反向題設定!$C$22="是",反向題設定!$B$2+1-原始資料!S58,原始資料!S58))</f>
        <v/>
      </c>
      <c r="T58">
        <f>IF(原始資料!T58="","",IF(反向題設定!$C$23="是",反向題設定!$B$2+1-原始資料!T58,原始資料!T58))</f>
        <v/>
      </c>
      <c r="U58">
        <f>IF(原始資料!U58="","",IF(反向題設定!$C$24="是",反向題設定!$B$2+1-原始資料!U58,原始資料!U58))</f>
        <v/>
      </c>
      <c r="V58">
        <f>IF(原始資料!V58="","",IF(反向題設定!$C$25="是",反向題設定!$B$2+1-原始資料!V58,原始資料!V58))</f>
        <v/>
      </c>
      <c r="W58">
        <f>IF(原始資料!W58="","",IF(反向題設定!$C$26="是",反向題設定!$B$2+1-原始資料!W58,原始資料!W58))</f>
        <v/>
      </c>
      <c r="X58">
        <f>IF(原始資料!X58="","",IF(反向題設定!$C$27="是",反向題設定!$B$2+1-原始資料!X58,原始資料!X58))</f>
        <v/>
      </c>
      <c r="Y58">
        <f>IF(原始資料!Y58="","",IF(反向題設定!$C$28="是",反向題設定!$B$2+1-原始資料!Y58,原始資料!Y58))</f>
        <v/>
      </c>
      <c r="Z58">
        <f>IF(原始資料!Z58="","",IF(反向題設定!$C$29="是",反向題設定!$B$2+1-原始資料!Z58,原始資料!Z58))</f>
        <v/>
      </c>
      <c r="AA58">
        <f>IF(原始資料!AA58="","",IF(反向題設定!$C$30="是",反向題設定!$B$2+1-原始資料!AA58,原始資料!AA58))</f>
        <v/>
      </c>
      <c r="AB58">
        <f>IF(原始資料!AB58="","",IF(反向題設定!$C$31="是",反向題設定!$B$2+1-原始資料!AB58,原始資料!AB58))</f>
        <v/>
      </c>
      <c r="AC58">
        <f>IF(原始資料!AC58="","",IF(反向題設定!$C$32="是",反向題設定!$B$2+1-原始資料!AC58,原始資料!AC58))</f>
        <v/>
      </c>
      <c r="AD58">
        <f>IF(原始資料!AD58="","",IF(反向題設定!$C$33="是",反向題設定!$B$2+1-原始資料!AD58,原始資料!AD58))</f>
        <v/>
      </c>
      <c r="AE58">
        <f>IF(原始資料!AE58="","",IF(反向題設定!$C$34="是",反向題設定!$B$2+1-原始資料!AE58,原始資料!AE58))</f>
        <v/>
      </c>
      <c r="AF58">
        <f>IF(原始資料!AF58="","",IF(反向題設定!$C$35="是",反向題設定!$B$2+1-原始資料!AF58,原始資料!AF58))</f>
        <v/>
      </c>
      <c r="AG58">
        <f>IF(原始資料!AG58="","",IF(反向題設定!$C$36="是",反向題設定!$B$2+1-原始資料!AG58,原始資料!AG58))</f>
        <v/>
      </c>
      <c r="AH58">
        <f>IF(原始資料!AH58="","",IF(反向題設定!$C$37="是",反向題設定!$B$2+1-原始資料!AH58,原始資料!AH58))</f>
        <v/>
      </c>
      <c r="AI58">
        <f>IF(原始資料!AI58="","",IF(反向題設定!$C$38="是",反向題設定!$B$2+1-原始資料!AI58,原始資料!AI58))</f>
        <v/>
      </c>
      <c r="AJ58">
        <f>IF(原始資料!AJ58="","",IF(反向題設定!$C$39="是",反向題設定!$B$2+1-原始資料!AJ58,原始資料!AJ58))</f>
        <v/>
      </c>
      <c r="AK58">
        <f>IF(原始資料!AK58="","",IF(反向題設定!$C$40="是",反向題設定!$B$2+1-原始資料!AK58,原始資料!AK58))</f>
        <v/>
      </c>
      <c r="AL58">
        <f>IF(原始資料!AL58="","",IF(反向題設定!$C$41="是",反向題設定!$B$2+1-原始資料!AL58,原始資料!AL58))</f>
        <v/>
      </c>
      <c r="AM58">
        <f>IF(原始資料!AM58="","",IF(反向題設定!$C$42="是",反向題設定!$B$2+1-原始資料!AM58,原始資料!AM58))</f>
        <v/>
      </c>
      <c r="AN58">
        <f>IF(原始資料!AN58="","",IF(反向題設定!$C$43="是",反向題設定!$B$2+1-原始資料!AN58,原始資料!AN58))</f>
        <v/>
      </c>
      <c r="AO58">
        <f>IF(原始資料!AO58="","",IF(反向題設定!$C$44="是",反向題設定!$B$2+1-原始資料!AO58,原始資料!AO58))</f>
        <v/>
      </c>
      <c r="AP58">
        <f>IF(COUNT(B58:AO58)=0,"",SUM(B58:AO58))</f>
        <v/>
      </c>
      <c r="AQ58">
        <f>IF(AP58="","",IF(AP58&gt;=項目分析!$C$5,"高",IF(AP58&lt;=項目分析!$C$6,"低","")))</f>
        <v/>
      </c>
    </row>
    <row r="59">
      <c r="A59">
        <f>IF(原始資料!A59="","",原始資料!A59)</f>
        <v/>
      </c>
      <c r="B59">
        <f>IF(原始資料!B59="","",IF(反向題設定!$C$5="是",反向題設定!$B$2+1-原始資料!B59,原始資料!B59))</f>
        <v/>
      </c>
      <c r="C59">
        <f>IF(原始資料!C59="","",IF(反向題設定!$C$6="是",反向題設定!$B$2+1-原始資料!C59,原始資料!C59))</f>
        <v/>
      </c>
      <c r="D59">
        <f>IF(原始資料!D59="","",IF(反向題設定!$C$7="是",反向題設定!$B$2+1-原始資料!D59,原始資料!D59))</f>
        <v/>
      </c>
      <c r="E59">
        <f>IF(原始資料!E59="","",IF(反向題設定!$C$8="是",反向題設定!$B$2+1-原始資料!E59,原始資料!E59))</f>
        <v/>
      </c>
      <c r="F59">
        <f>IF(原始資料!F59="","",IF(反向題設定!$C$9="是",反向題設定!$B$2+1-原始資料!F59,原始資料!F59))</f>
        <v/>
      </c>
      <c r="G59">
        <f>IF(原始資料!G59="","",IF(反向題設定!$C$10="是",反向題設定!$B$2+1-原始資料!G59,原始資料!G59))</f>
        <v/>
      </c>
      <c r="H59">
        <f>IF(原始資料!H59="","",IF(反向題設定!$C$11="是",反向題設定!$B$2+1-原始資料!H59,原始資料!H59))</f>
        <v/>
      </c>
      <c r="I59">
        <f>IF(原始資料!I59="","",IF(反向題設定!$C$12="是",反向題設定!$B$2+1-原始資料!I59,原始資料!I59))</f>
        <v/>
      </c>
      <c r="J59">
        <f>IF(原始資料!J59="","",IF(反向題設定!$C$13="是",反向題設定!$B$2+1-原始資料!J59,原始資料!J59))</f>
        <v/>
      </c>
      <c r="K59">
        <f>IF(原始資料!K59="","",IF(反向題設定!$C$14="是",反向題設定!$B$2+1-原始資料!K59,原始資料!K59))</f>
        <v/>
      </c>
      <c r="L59">
        <f>IF(原始資料!L59="","",IF(反向題設定!$C$15="是",反向題設定!$B$2+1-原始資料!L59,原始資料!L59))</f>
        <v/>
      </c>
      <c r="M59">
        <f>IF(原始資料!M59="","",IF(反向題設定!$C$16="是",反向題設定!$B$2+1-原始資料!M59,原始資料!M59))</f>
        <v/>
      </c>
      <c r="N59">
        <f>IF(原始資料!N59="","",IF(反向題設定!$C$17="是",反向題設定!$B$2+1-原始資料!N59,原始資料!N59))</f>
        <v/>
      </c>
      <c r="O59">
        <f>IF(原始資料!O59="","",IF(反向題設定!$C$18="是",反向題設定!$B$2+1-原始資料!O59,原始資料!O59))</f>
        <v/>
      </c>
      <c r="P59">
        <f>IF(原始資料!P59="","",IF(反向題設定!$C$19="是",反向題設定!$B$2+1-原始資料!P59,原始資料!P59))</f>
        <v/>
      </c>
      <c r="Q59">
        <f>IF(原始資料!Q59="","",IF(反向題設定!$C$20="是",反向題設定!$B$2+1-原始資料!Q59,原始資料!Q59))</f>
        <v/>
      </c>
      <c r="R59">
        <f>IF(原始資料!R59="","",IF(反向題設定!$C$21="是",反向題設定!$B$2+1-原始資料!R59,原始資料!R59))</f>
        <v/>
      </c>
      <c r="S59">
        <f>IF(原始資料!S59="","",IF(反向題設定!$C$22="是",反向題設定!$B$2+1-原始資料!S59,原始資料!S59))</f>
        <v/>
      </c>
      <c r="T59">
        <f>IF(原始資料!T59="","",IF(反向題設定!$C$23="是",反向題設定!$B$2+1-原始資料!T59,原始資料!T59))</f>
        <v/>
      </c>
      <c r="U59">
        <f>IF(原始資料!U59="","",IF(反向題設定!$C$24="是",反向題設定!$B$2+1-原始資料!U59,原始資料!U59))</f>
        <v/>
      </c>
      <c r="V59">
        <f>IF(原始資料!V59="","",IF(反向題設定!$C$25="是",反向題設定!$B$2+1-原始資料!V59,原始資料!V59))</f>
        <v/>
      </c>
      <c r="W59">
        <f>IF(原始資料!W59="","",IF(反向題設定!$C$26="是",反向題設定!$B$2+1-原始資料!W59,原始資料!W59))</f>
        <v/>
      </c>
      <c r="X59">
        <f>IF(原始資料!X59="","",IF(反向題設定!$C$27="是",反向題設定!$B$2+1-原始資料!X59,原始資料!X59))</f>
        <v/>
      </c>
      <c r="Y59">
        <f>IF(原始資料!Y59="","",IF(反向題設定!$C$28="是",反向題設定!$B$2+1-原始資料!Y59,原始資料!Y59))</f>
        <v/>
      </c>
      <c r="Z59">
        <f>IF(原始資料!Z59="","",IF(反向題設定!$C$29="是",反向題設定!$B$2+1-原始資料!Z59,原始資料!Z59))</f>
        <v/>
      </c>
      <c r="AA59">
        <f>IF(原始資料!AA59="","",IF(反向題設定!$C$30="是",反向題設定!$B$2+1-原始資料!AA59,原始資料!AA59))</f>
        <v/>
      </c>
      <c r="AB59">
        <f>IF(原始資料!AB59="","",IF(反向題設定!$C$31="是",反向題設定!$B$2+1-原始資料!AB59,原始資料!AB59))</f>
        <v/>
      </c>
      <c r="AC59">
        <f>IF(原始資料!AC59="","",IF(反向題設定!$C$32="是",反向題設定!$B$2+1-原始資料!AC59,原始資料!AC59))</f>
        <v/>
      </c>
      <c r="AD59">
        <f>IF(原始資料!AD59="","",IF(反向題設定!$C$33="是",反向題設定!$B$2+1-原始資料!AD59,原始資料!AD59))</f>
        <v/>
      </c>
      <c r="AE59">
        <f>IF(原始資料!AE59="","",IF(反向題設定!$C$34="是",反向題設定!$B$2+1-原始資料!AE59,原始資料!AE59))</f>
        <v/>
      </c>
      <c r="AF59">
        <f>IF(原始資料!AF59="","",IF(反向題設定!$C$35="是",反向題設定!$B$2+1-原始資料!AF59,原始資料!AF59))</f>
        <v/>
      </c>
      <c r="AG59">
        <f>IF(原始資料!AG59="","",IF(反向題設定!$C$36="是",反向題設定!$B$2+1-原始資料!AG59,原始資料!AG59))</f>
        <v/>
      </c>
      <c r="AH59">
        <f>IF(原始資料!AH59="","",IF(反向題設定!$C$37="是",反向題設定!$B$2+1-原始資料!AH59,原始資料!AH59))</f>
        <v/>
      </c>
      <c r="AI59">
        <f>IF(原始資料!AI59="","",IF(反向題設定!$C$38="是",反向題設定!$B$2+1-原始資料!AI59,原始資料!AI59))</f>
        <v/>
      </c>
      <c r="AJ59">
        <f>IF(原始資料!AJ59="","",IF(反向題設定!$C$39="是",反向題設定!$B$2+1-原始資料!AJ59,原始資料!AJ59))</f>
        <v/>
      </c>
      <c r="AK59">
        <f>IF(原始資料!AK59="","",IF(反向題設定!$C$40="是",反向題設定!$B$2+1-原始資料!AK59,原始資料!AK59))</f>
        <v/>
      </c>
      <c r="AL59">
        <f>IF(原始資料!AL59="","",IF(反向題設定!$C$41="是",反向題設定!$B$2+1-原始資料!AL59,原始資料!AL59))</f>
        <v/>
      </c>
      <c r="AM59">
        <f>IF(原始資料!AM59="","",IF(反向題設定!$C$42="是",反向題設定!$B$2+1-原始資料!AM59,原始資料!AM59))</f>
        <v/>
      </c>
      <c r="AN59">
        <f>IF(原始資料!AN59="","",IF(反向題設定!$C$43="是",反向題設定!$B$2+1-原始資料!AN59,原始資料!AN59))</f>
        <v/>
      </c>
      <c r="AO59">
        <f>IF(原始資料!AO59="","",IF(反向題設定!$C$44="是",反向題設定!$B$2+1-原始資料!AO59,原始資料!AO59))</f>
        <v/>
      </c>
      <c r="AP59">
        <f>IF(COUNT(B59:AO59)=0,"",SUM(B59:AO59))</f>
        <v/>
      </c>
      <c r="AQ59">
        <f>IF(AP59="","",IF(AP59&gt;=項目分析!$C$5,"高",IF(AP59&lt;=項目分析!$C$6,"低","")))</f>
        <v/>
      </c>
    </row>
    <row r="60">
      <c r="A60">
        <f>IF(原始資料!A60="","",原始資料!A60)</f>
        <v/>
      </c>
      <c r="B60">
        <f>IF(原始資料!B60="","",IF(反向題設定!$C$5="是",反向題設定!$B$2+1-原始資料!B60,原始資料!B60))</f>
        <v/>
      </c>
      <c r="C60">
        <f>IF(原始資料!C60="","",IF(反向題設定!$C$6="是",反向題設定!$B$2+1-原始資料!C60,原始資料!C60))</f>
        <v/>
      </c>
      <c r="D60">
        <f>IF(原始資料!D60="","",IF(反向題設定!$C$7="是",反向題設定!$B$2+1-原始資料!D60,原始資料!D60))</f>
        <v/>
      </c>
      <c r="E60">
        <f>IF(原始資料!E60="","",IF(反向題設定!$C$8="是",反向題設定!$B$2+1-原始資料!E60,原始資料!E60))</f>
        <v/>
      </c>
      <c r="F60">
        <f>IF(原始資料!F60="","",IF(反向題設定!$C$9="是",反向題設定!$B$2+1-原始資料!F60,原始資料!F60))</f>
        <v/>
      </c>
      <c r="G60">
        <f>IF(原始資料!G60="","",IF(反向題設定!$C$10="是",反向題設定!$B$2+1-原始資料!G60,原始資料!G60))</f>
        <v/>
      </c>
      <c r="H60">
        <f>IF(原始資料!H60="","",IF(反向題設定!$C$11="是",反向題設定!$B$2+1-原始資料!H60,原始資料!H60))</f>
        <v/>
      </c>
      <c r="I60">
        <f>IF(原始資料!I60="","",IF(反向題設定!$C$12="是",反向題設定!$B$2+1-原始資料!I60,原始資料!I60))</f>
        <v/>
      </c>
      <c r="J60">
        <f>IF(原始資料!J60="","",IF(反向題設定!$C$13="是",反向題設定!$B$2+1-原始資料!J60,原始資料!J60))</f>
        <v/>
      </c>
      <c r="K60">
        <f>IF(原始資料!K60="","",IF(反向題設定!$C$14="是",反向題設定!$B$2+1-原始資料!K60,原始資料!K60))</f>
        <v/>
      </c>
      <c r="L60">
        <f>IF(原始資料!L60="","",IF(反向題設定!$C$15="是",反向題設定!$B$2+1-原始資料!L60,原始資料!L60))</f>
        <v/>
      </c>
      <c r="M60">
        <f>IF(原始資料!M60="","",IF(反向題設定!$C$16="是",反向題設定!$B$2+1-原始資料!M60,原始資料!M60))</f>
        <v/>
      </c>
      <c r="N60">
        <f>IF(原始資料!N60="","",IF(反向題設定!$C$17="是",反向題設定!$B$2+1-原始資料!N60,原始資料!N60))</f>
        <v/>
      </c>
      <c r="O60">
        <f>IF(原始資料!O60="","",IF(反向題設定!$C$18="是",反向題設定!$B$2+1-原始資料!O60,原始資料!O60))</f>
        <v/>
      </c>
      <c r="P60">
        <f>IF(原始資料!P60="","",IF(反向題設定!$C$19="是",反向題設定!$B$2+1-原始資料!P60,原始資料!P60))</f>
        <v/>
      </c>
      <c r="Q60">
        <f>IF(原始資料!Q60="","",IF(反向題設定!$C$20="是",反向題設定!$B$2+1-原始資料!Q60,原始資料!Q60))</f>
        <v/>
      </c>
      <c r="R60">
        <f>IF(原始資料!R60="","",IF(反向題設定!$C$21="是",反向題設定!$B$2+1-原始資料!R60,原始資料!R60))</f>
        <v/>
      </c>
      <c r="S60">
        <f>IF(原始資料!S60="","",IF(反向題設定!$C$22="是",反向題設定!$B$2+1-原始資料!S60,原始資料!S60))</f>
        <v/>
      </c>
      <c r="T60">
        <f>IF(原始資料!T60="","",IF(反向題設定!$C$23="是",反向題設定!$B$2+1-原始資料!T60,原始資料!T60))</f>
        <v/>
      </c>
      <c r="U60">
        <f>IF(原始資料!U60="","",IF(反向題設定!$C$24="是",反向題設定!$B$2+1-原始資料!U60,原始資料!U60))</f>
        <v/>
      </c>
      <c r="V60">
        <f>IF(原始資料!V60="","",IF(反向題設定!$C$25="是",反向題設定!$B$2+1-原始資料!V60,原始資料!V60))</f>
        <v/>
      </c>
      <c r="W60">
        <f>IF(原始資料!W60="","",IF(反向題設定!$C$26="是",反向題設定!$B$2+1-原始資料!W60,原始資料!W60))</f>
        <v/>
      </c>
      <c r="X60">
        <f>IF(原始資料!X60="","",IF(反向題設定!$C$27="是",反向題設定!$B$2+1-原始資料!X60,原始資料!X60))</f>
        <v/>
      </c>
      <c r="Y60">
        <f>IF(原始資料!Y60="","",IF(反向題設定!$C$28="是",反向題設定!$B$2+1-原始資料!Y60,原始資料!Y60))</f>
        <v/>
      </c>
      <c r="Z60">
        <f>IF(原始資料!Z60="","",IF(反向題設定!$C$29="是",反向題設定!$B$2+1-原始資料!Z60,原始資料!Z60))</f>
        <v/>
      </c>
      <c r="AA60">
        <f>IF(原始資料!AA60="","",IF(反向題設定!$C$30="是",反向題設定!$B$2+1-原始資料!AA60,原始資料!AA60))</f>
        <v/>
      </c>
      <c r="AB60">
        <f>IF(原始資料!AB60="","",IF(反向題設定!$C$31="是",反向題設定!$B$2+1-原始資料!AB60,原始資料!AB60))</f>
        <v/>
      </c>
      <c r="AC60">
        <f>IF(原始資料!AC60="","",IF(反向題設定!$C$32="是",反向題設定!$B$2+1-原始資料!AC60,原始資料!AC60))</f>
        <v/>
      </c>
      <c r="AD60">
        <f>IF(原始資料!AD60="","",IF(反向題設定!$C$33="是",反向題設定!$B$2+1-原始資料!AD60,原始資料!AD60))</f>
        <v/>
      </c>
      <c r="AE60">
        <f>IF(原始資料!AE60="","",IF(反向題設定!$C$34="是",反向題設定!$B$2+1-原始資料!AE60,原始資料!AE60))</f>
        <v/>
      </c>
      <c r="AF60">
        <f>IF(原始資料!AF60="","",IF(反向題設定!$C$35="是",反向題設定!$B$2+1-原始資料!AF60,原始資料!AF60))</f>
        <v/>
      </c>
      <c r="AG60">
        <f>IF(原始資料!AG60="","",IF(反向題設定!$C$36="是",反向題設定!$B$2+1-原始資料!AG60,原始資料!AG60))</f>
        <v/>
      </c>
      <c r="AH60">
        <f>IF(原始資料!AH60="","",IF(反向題設定!$C$37="是",反向題設定!$B$2+1-原始資料!AH60,原始資料!AH60))</f>
        <v/>
      </c>
      <c r="AI60">
        <f>IF(原始資料!AI60="","",IF(反向題設定!$C$38="是",反向題設定!$B$2+1-原始資料!AI60,原始資料!AI60))</f>
        <v/>
      </c>
      <c r="AJ60">
        <f>IF(原始資料!AJ60="","",IF(反向題設定!$C$39="是",反向題設定!$B$2+1-原始資料!AJ60,原始資料!AJ60))</f>
        <v/>
      </c>
      <c r="AK60">
        <f>IF(原始資料!AK60="","",IF(反向題設定!$C$40="是",反向題設定!$B$2+1-原始資料!AK60,原始資料!AK60))</f>
        <v/>
      </c>
      <c r="AL60">
        <f>IF(原始資料!AL60="","",IF(反向題設定!$C$41="是",反向題設定!$B$2+1-原始資料!AL60,原始資料!AL60))</f>
        <v/>
      </c>
      <c r="AM60">
        <f>IF(原始資料!AM60="","",IF(反向題設定!$C$42="是",反向題設定!$B$2+1-原始資料!AM60,原始資料!AM60))</f>
        <v/>
      </c>
      <c r="AN60">
        <f>IF(原始資料!AN60="","",IF(反向題設定!$C$43="是",反向題設定!$B$2+1-原始資料!AN60,原始資料!AN60))</f>
        <v/>
      </c>
      <c r="AO60">
        <f>IF(原始資料!AO60="","",IF(反向題設定!$C$44="是",反向題設定!$B$2+1-原始資料!AO60,原始資料!AO60))</f>
        <v/>
      </c>
      <c r="AP60">
        <f>IF(COUNT(B60:AO60)=0,"",SUM(B60:AO60))</f>
        <v/>
      </c>
      <c r="AQ60">
        <f>IF(AP60="","",IF(AP60&gt;=項目分析!$C$5,"高",IF(AP60&lt;=項目分析!$C$6,"低","")))</f>
        <v/>
      </c>
    </row>
    <row r="61">
      <c r="A61">
        <f>IF(原始資料!A61="","",原始資料!A61)</f>
        <v/>
      </c>
      <c r="B61">
        <f>IF(原始資料!B61="","",IF(反向題設定!$C$5="是",反向題設定!$B$2+1-原始資料!B61,原始資料!B61))</f>
        <v/>
      </c>
      <c r="C61">
        <f>IF(原始資料!C61="","",IF(反向題設定!$C$6="是",反向題設定!$B$2+1-原始資料!C61,原始資料!C61))</f>
        <v/>
      </c>
      <c r="D61">
        <f>IF(原始資料!D61="","",IF(反向題設定!$C$7="是",反向題設定!$B$2+1-原始資料!D61,原始資料!D61))</f>
        <v/>
      </c>
      <c r="E61">
        <f>IF(原始資料!E61="","",IF(反向題設定!$C$8="是",反向題設定!$B$2+1-原始資料!E61,原始資料!E61))</f>
        <v/>
      </c>
      <c r="F61">
        <f>IF(原始資料!F61="","",IF(反向題設定!$C$9="是",反向題設定!$B$2+1-原始資料!F61,原始資料!F61))</f>
        <v/>
      </c>
      <c r="G61">
        <f>IF(原始資料!G61="","",IF(反向題設定!$C$10="是",反向題設定!$B$2+1-原始資料!G61,原始資料!G61))</f>
        <v/>
      </c>
      <c r="H61">
        <f>IF(原始資料!H61="","",IF(反向題設定!$C$11="是",反向題設定!$B$2+1-原始資料!H61,原始資料!H61))</f>
        <v/>
      </c>
      <c r="I61">
        <f>IF(原始資料!I61="","",IF(反向題設定!$C$12="是",反向題設定!$B$2+1-原始資料!I61,原始資料!I61))</f>
        <v/>
      </c>
      <c r="J61">
        <f>IF(原始資料!J61="","",IF(反向題設定!$C$13="是",反向題設定!$B$2+1-原始資料!J61,原始資料!J61))</f>
        <v/>
      </c>
      <c r="K61">
        <f>IF(原始資料!K61="","",IF(反向題設定!$C$14="是",反向題設定!$B$2+1-原始資料!K61,原始資料!K61))</f>
        <v/>
      </c>
      <c r="L61">
        <f>IF(原始資料!L61="","",IF(反向題設定!$C$15="是",反向題設定!$B$2+1-原始資料!L61,原始資料!L61))</f>
        <v/>
      </c>
      <c r="M61">
        <f>IF(原始資料!M61="","",IF(反向題設定!$C$16="是",反向題設定!$B$2+1-原始資料!M61,原始資料!M61))</f>
        <v/>
      </c>
      <c r="N61">
        <f>IF(原始資料!N61="","",IF(反向題設定!$C$17="是",反向題設定!$B$2+1-原始資料!N61,原始資料!N61))</f>
        <v/>
      </c>
      <c r="O61">
        <f>IF(原始資料!O61="","",IF(反向題設定!$C$18="是",反向題設定!$B$2+1-原始資料!O61,原始資料!O61))</f>
        <v/>
      </c>
      <c r="P61">
        <f>IF(原始資料!P61="","",IF(反向題設定!$C$19="是",反向題設定!$B$2+1-原始資料!P61,原始資料!P61))</f>
        <v/>
      </c>
      <c r="Q61">
        <f>IF(原始資料!Q61="","",IF(反向題設定!$C$20="是",反向題設定!$B$2+1-原始資料!Q61,原始資料!Q61))</f>
        <v/>
      </c>
      <c r="R61">
        <f>IF(原始資料!R61="","",IF(反向題設定!$C$21="是",反向題設定!$B$2+1-原始資料!R61,原始資料!R61))</f>
        <v/>
      </c>
      <c r="S61">
        <f>IF(原始資料!S61="","",IF(反向題設定!$C$22="是",反向題設定!$B$2+1-原始資料!S61,原始資料!S61))</f>
        <v/>
      </c>
      <c r="T61">
        <f>IF(原始資料!T61="","",IF(反向題設定!$C$23="是",反向題設定!$B$2+1-原始資料!T61,原始資料!T61))</f>
        <v/>
      </c>
      <c r="U61">
        <f>IF(原始資料!U61="","",IF(反向題設定!$C$24="是",反向題設定!$B$2+1-原始資料!U61,原始資料!U61))</f>
        <v/>
      </c>
      <c r="V61">
        <f>IF(原始資料!V61="","",IF(反向題設定!$C$25="是",反向題設定!$B$2+1-原始資料!V61,原始資料!V61))</f>
        <v/>
      </c>
      <c r="W61">
        <f>IF(原始資料!W61="","",IF(反向題設定!$C$26="是",反向題設定!$B$2+1-原始資料!W61,原始資料!W61))</f>
        <v/>
      </c>
      <c r="X61">
        <f>IF(原始資料!X61="","",IF(反向題設定!$C$27="是",反向題設定!$B$2+1-原始資料!X61,原始資料!X61))</f>
        <v/>
      </c>
      <c r="Y61">
        <f>IF(原始資料!Y61="","",IF(反向題設定!$C$28="是",反向題設定!$B$2+1-原始資料!Y61,原始資料!Y61))</f>
        <v/>
      </c>
      <c r="Z61">
        <f>IF(原始資料!Z61="","",IF(反向題設定!$C$29="是",反向題設定!$B$2+1-原始資料!Z61,原始資料!Z61))</f>
        <v/>
      </c>
      <c r="AA61">
        <f>IF(原始資料!AA61="","",IF(反向題設定!$C$30="是",反向題設定!$B$2+1-原始資料!AA61,原始資料!AA61))</f>
        <v/>
      </c>
      <c r="AB61">
        <f>IF(原始資料!AB61="","",IF(反向題設定!$C$31="是",反向題設定!$B$2+1-原始資料!AB61,原始資料!AB61))</f>
        <v/>
      </c>
      <c r="AC61">
        <f>IF(原始資料!AC61="","",IF(反向題設定!$C$32="是",反向題設定!$B$2+1-原始資料!AC61,原始資料!AC61))</f>
        <v/>
      </c>
      <c r="AD61">
        <f>IF(原始資料!AD61="","",IF(反向題設定!$C$33="是",反向題設定!$B$2+1-原始資料!AD61,原始資料!AD61))</f>
        <v/>
      </c>
      <c r="AE61">
        <f>IF(原始資料!AE61="","",IF(反向題設定!$C$34="是",反向題設定!$B$2+1-原始資料!AE61,原始資料!AE61))</f>
        <v/>
      </c>
      <c r="AF61">
        <f>IF(原始資料!AF61="","",IF(反向題設定!$C$35="是",反向題設定!$B$2+1-原始資料!AF61,原始資料!AF61))</f>
        <v/>
      </c>
      <c r="AG61">
        <f>IF(原始資料!AG61="","",IF(反向題設定!$C$36="是",反向題設定!$B$2+1-原始資料!AG61,原始資料!AG61))</f>
        <v/>
      </c>
      <c r="AH61">
        <f>IF(原始資料!AH61="","",IF(反向題設定!$C$37="是",反向題設定!$B$2+1-原始資料!AH61,原始資料!AH61))</f>
        <v/>
      </c>
      <c r="AI61">
        <f>IF(原始資料!AI61="","",IF(反向題設定!$C$38="是",反向題設定!$B$2+1-原始資料!AI61,原始資料!AI61))</f>
        <v/>
      </c>
      <c r="AJ61">
        <f>IF(原始資料!AJ61="","",IF(反向題設定!$C$39="是",反向題設定!$B$2+1-原始資料!AJ61,原始資料!AJ61))</f>
        <v/>
      </c>
      <c r="AK61">
        <f>IF(原始資料!AK61="","",IF(反向題設定!$C$40="是",反向題設定!$B$2+1-原始資料!AK61,原始資料!AK61))</f>
        <v/>
      </c>
      <c r="AL61">
        <f>IF(原始資料!AL61="","",IF(反向題設定!$C$41="是",反向題設定!$B$2+1-原始資料!AL61,原始資料!AL61))</f>
        <v/>
      </c>
      <c r="AM61">
        <f>IF(原始資料!AM61="","",IF(反向題設定!$C$42="是",反向題設定!$B$2+1-原始資料!AM61,原始資料!AM61))</f>
        <v/>
      </c>
      <c r="AN61">
        <f>IF(原始資料!AN61="","",IF(反向題設定!$C$43="是",反向題設定!$B$2+1-原始資料!AN61,原始資料!AN61))</f>
        <v/>
      </c>
      <c r="AO61">
        <f>IF(原始資料!AO61="","",IF(反向題設定!$C$44="是",反向題設定!$B$2+1-原始資料!AO61,原始資料!AO61))</f>
        <v/>
      </c>
      <c r="AP61">
        <f>IF(COUNT(B61:AO61)=0,"",SUM(B61:AO61))</f>
        <v/>
      </c>
      <c r="AQ61">
        <f>IF(AP61="","",IF(AP61&gt;=項目分析!$C$5,"高",IF(AP61&lt;=項目分析!$C$6,"低","")))</f>
        <v/>
      </c>
    </row>
    <row r="62">
      <c r="A62">
        <f>IF(原始資料!A62="","",原始資料!A62)</f>
        <v/>
      </c>
      <c r="B62">
        <f>IF(原始資料!B62="","",IF(反向題設定!$C$5="是",反向題設定!$B$2+1-原始資料!B62,原始資料!B62))</f>
        <v/>
      </c>
      <c r="C62">
        <f>IF(原始資料!C62="","",IF(反向題設定!$C$6="是",反向題設定!$B$2+1-原始資料!C62,原始資料!C62))</f>
        <v/>
      </c>
      <c r="D62">
        <f>IF(原始資料!D62="","",IF(反向題設定!$C$7="是",反向題設定!$B$2+1-原始資料!D62,原始資料!D62))</f>
        <v/>
      </c>
      <c r="E62">
        <f>IF(原始資料!E62="","",IF(反向題設定!$C$8="是",反向題設定!$B$2+1-原始資料!E62,原始資料!E62))</f>
        <v/>
      </c>
      <c r="F62">
        <f>IF(原始資料!F62="","",IF(反向題設定!$C$9="是",反向題設定!$B$2+1-原始資料!F62,原始資料!F62))</f>
        <v/>
      </c>
      <c r="G62">
        <f>IF(原始資料!G62="","",IF(反向題設定!$C$10="是",反向題設定!$B$2+1-原始資料!G62,原始資料!G62))</f>
        <v/>
      </c>
      <c r="H62">
        <f>IF(原始資料!H62="","",IF(反向題設定!$C$11="是",反向題設定!$B$2+1-原始資料!H62,原始資料!H62))</f>
        <v/>
      </c>
      <c r="I62">
        <f>IF(原始資料!I62="","",IF(反向題設定!$C$12="是",反向題設定!$B$2+1-原始資料!I62,原始資料!I62))</f>
        <v/>
      </c>
      <c r="J62">
        <f>IF(原始資料!J62="","",IF(反向題設定!$C$13="是",反向題設定!$B$2+1-原始資料!J62,原始資料!J62))</f>
        <v/>
      </c>
      <c r="K62">
        <f>IF(原始資料!K62="","",IF(反向題設定!$C$14="是",反向題設定!$B$2+1-原始資料!K62,原始資料!K62))</f>
        <v/>
      </c>
      <c r="L62">
        <f>IF(原始資料!L62="","",IF(反向題設定!$C$15="是",反向題設定!$B$2+1-原始資料!L62,原始資料!L62))</f>
        <v/>
      </c>
      <c r="M62">
        <f>IF(原始資料!M62="","",IF(反向題設定!$C$16="是",反向題設定!$B$2+1-原始資料!M62,原始資料!M62))</f>
        <v/>
      </c>
      <c r="N62">
        <f>IF(原始資料!N62="","",IF(反向題設定!$C$17="是",反向題設定!$B$2+1-原始資料!N62,原始資料!N62))</f>
        <v/>
      </c>
      <c r="O62">
        <f>IF(原始資料!O62="","",IF(反向題設定!$C$18="是",反向題設定!$B$2+1-原始資料!O62,原始資料!O62))</f>
        <v/>
      </c>
      <c r="P62">
        <f>IF(原始資料!P62="","",IF(反向題設定!$C$19="是",反向題設定!$B$2+1-原始資料!P62,原始資料!P62))</f>
        <v/>
      </c>
      <c r="Q62">
        <f>IF(原始資料!Q62="","",IF(反向題設定!$C$20="是",反向題設定!$B$2+1-原始資料!Q62,原始資料!Q62))</f>
        <v/>
      </c>
      <c r="R62">
        <f>IF(原始資料!R62="","",IF(反向題設定!$C$21="是",反向題設定!$B$2+1-原始資料!R62,原始資料!R62))</f>
        <v/>
      </c>
      <c r="S62">
        <f>IF(原始資料!S62="","",IF(反向題設定!$C$22="是",反向題設定!$B$2+1-原始資料!S62,原始資料!S62))</f>
        <v/>
      </c>
      <c r="T62">
        <f>IF(原始資料!T62="","",IF(反向題設定!$C$23="是",反向題設定!$B$2+1-原始資料!T62,原始資料!T62))</f>
        <v/>
      </c>
      <c r="U62">
        <f>IF(原始資料!U62="","",IF(反向題設定!$C$24="是",反向題設定!$B$2+1-原始資料!U62,原始資料!U62))</f>
        <v/>
      </c>
      <c r="V62">
        <f>IF(原始資料!V62="","",IF(反向題設定!$C$25="是",反向題設定!$B$2+1-原始資料!V62,原始資料!V62))</f>
        <v/>
      </c>
      <c r="W62">
        <f>IF(原始資料!W62="","",IF(反向題設定!$C$26="是",反向題設定!$B$2+1-原始資料!W62,原始資料!W62))</f>
        <v/>
      </c>
      <c r="X62">
        <f>IF(原始資料!X62="","",IF(反向題設定!$C$27="是",反向題設定!$B$2+1-原始資料!X62,原始資料!X62))</f>
        <v/>
      </c>
      <c r="Y62">
        <f>IF(原始資料!Y62="","",IF(反向題設定!$C$28="是",反向題設定!$B$2+1-原始資料!Y62,原始資料!Y62))</f>
        <v/>
      </c>
      <c r="Z62">
        <f>IF(原始資料!Z62="","",IF(反向題設定!$C$29="是",反向題設定!$B$2+1-原始資料!Z62,原始資料!Z62))</f>
        <v/>
      </c>
      <c r="AA62">
        <f>IF(原始資料!AA62="","",IF(反向題設定!$C$30="是",反向題設定!$B$2+1-原始資料!AA62,原始資料!AA62))</f>
        <v/>
      </c>
      <c r="AB62">
        <f>IF(原始資料!AB62="","",IF(反向題設定!$C$31="是",反向題設定!$B$2+1-原始資料!AB62,原始資料!AB62))</f>
        <v/>
      </c>
      <c r="AC62">
        <f>IF(原始資料!AC62="","",IF(反向題設定!$C$32="是",反向題設定!$B$2+1-原始資料!AC62,原始資料!AC62))</f>
        <v/>
      </c>
      <c r="AD62">
        <f>IF(原始資料!AD62="","",IF(反向題設定!$C$33="是",反向題設定!$B$2+1-原始資料!AD62,原始資料!AD62))</f>
        <v/>
      </c>
      <c r="AE62">
        <f>IF(原始資料!AE62="","",IF(反向題設定!$C$34="是",反向題設定!$B$2+1-原始資料!AE62,原始資料!AE62))</f>
        <v/>
      </c>
      <c r="AF62">
        <f>IF(原始資料!AF62="","",IF(反向題設定!$C$35="是",反向題設定!$B$2+1-原始資料!AF62,原始資料!AF62))</f>
        <v/>
      </c>
      <c r="AG62">
        <f>IF(原始資料!AG62="","",IF(反向題設定!$C$36="是",反向題設定!$B$2+1-原始資料!AG62,原始資料!AG62))</f>
        <v/>
      </c>
      <c r="AH62">
        <f>IF(原始資料!AH62="","",IF(反向題設定!$C$37="是",反向題設定!$B$2+1-原始資料!AH62,原始資料!AH62))</f>
        <v/>
      </c>
      <c r="AI62">
        <f>IF(原始資料!AI62="","",IF(反向題設定!$C$38="是",反向題設定!$B$2+1-原始資料!AI62,原始資料!AI62))</f>
        <v/>
      </c>
      <c r="AJ62">
        <f>IF(原始資料!AJ62="","",IF(反向題設定!$C$39="是",反向題設定!$B$2+1-原始資料!AJ62,原始資料!AJ62))</f>
        <v/>
      </c>
      <c r="AK62">
        <f>IF(原始資料!AK62="","",IF(反向題設定!$C$40="是",反向題設定!$B$2+1-原始資料!AK62,原始資料!AK62))</f>
        <v/>
      </c>
      <c r="AL62">
        <f>IF(原始資料!AL62="","",IF(反向題設定!$C$41="是",反向題設定!$B$2+1-原始資料!AL62,原始資料!AL62))</f>
        <v/>
      </c>
      <c r="AM62">
        <f>IF(原始資料!AM62="","",IF(反向題設定!$C$42="是",反向題設定!$B$2+1-原始資料!AM62,原始資料!AM62))</f>
        <v/>
      </c>
      <c r="AN62">
        <f>IF(原始資料!AN62="","",IF(反向題設定!$C$43="是",反向題設定!$B$2+1-原始資料!AN62,原始資料!AN62))</f>
        <v/>
      </c>
      <c r="AO62">
        <f>IF(原始資料!AO62="","",IF(反向題設定!$C$44="是",反向題設定!$B$2+1-原始資料!AO62,原始資料!AO62))</f>
        <v/>
      </c>
      <c r="AP62">
        <f>IF(COUNT(B62:AO62)=0,"",SUM(B62:AO62))</f>
        <v/>
      </c>
      <c r="AQ62">
        <f>IF(AP62="","",IF(AP62&gt;=項目分析!$C$5,"高",IF(AP62&lt;=項目分析!$C$6,"低","")))</f>
        <v/>
      </c>
    </row>
    <row r="63">
      <c r="A63">
        <f>IF(原始資料!A63="","",原始資料!A63)</f>
        <v/>
      </c>
      <c r="B63">
        <f>IF(原始資料!B63="","",IF(反向題設定!$C$5="是",反向題設定!$B$2+1-原始資料!B63,原始資料!B63))</f>
        <v/>
      </c>
      <c r="C63">
        <f>IF(原始資料!C63="","",IF(反向題設定!$C$6="是",反向題設定!$B$2+1-原始資料!C63,原始資料!C63))</f>
        <v/>
      </c>
      <c r="D63">
        <f>IF(原始資料!D63="","",IF(反向題設定!$C$7="是",反向題設定!$B$2+1-原始資料!D63,原始資料!D63))</f>
        <v/>
      </c>
      <c r="E63">
        <f>IF(原始資料!E63="","",IF(反向題設定!$C$8="是",反向題設定!$B$2+1-原始資料!E63,原始資料!E63))</f>
        <v/>
      </c>
      <c r="F63">
        <f>IF(原始資料!F63="","",IF(反向題設定!$C$9="是",反向題設定!$B$2+1-原始資料!F63,原始資料!F63))</f>
        <v/>
      </c>
      <c r="G63">
        <f>IF(原始資料!G63="","",IF(反向題設定!$C$10="是",反向題設定!$B$2+1-原始資料!G63,原始資料!G63))</f>
        <v/>
      </c>
      <c r="H63">
        <f>IF(原始資料!H63="","",IF(反向題設定!$C$11="是",反向題設定!$B$2+1-原始資料!H63,原始資料!H63))</f>
        <v/>
      </c>
      <c r="I63">
        <f>IF(原始資料!I63="","",IF(反向題設定!$C$12="是",反向題設定!$B$2+1-原始資料!I63,原始資料!I63))</f>
        <v/>
      </c>
      <c r="J63">
        <f>IF(原始資料!J63="","",IF(反向題設定!$C$13="是",反向題設定!$B$2+1-原始資料!J63,原始資料!J63))</f>
        <v/>
      </c>
      <c r="K63">
        <f>IF(原始資料!K63="","",IF(反向題設定!$C$14="是",反向題設定!$B$2+1-原始資料!K63,原始資料!K63))</f>
        <v/>
      </c>
      <c r="L63">
        <f>IF(原始資料!L63="","",IF(反向題設定!$C$15="是",反向題設定!$B$2+1-原始資料!L63,原始資料!L63))</f>
        <v/>
      </c>
      <c r="M63">
        <f>IF(原始資料!M63="","",IF(反向題設定!$C$16="是",反向題設定!$B$2+1-原始資料!M63,原始資料!M63))</f>
        <v/>
      </c>
      <c r="N63">
        <f>IF(原始資料!N63="","",IF(反向題設定!$C$17="是",反向題設定!$B$2+1-原始資料!N63,原始資料!N63))</f>
        <v/>
      </c>
      <c r="O63">
        <f>IF(原始資料!O63="","",IF(反向題設定!$C$18="是",反向題設定!$B$2+1-原始資料!O63,原始資料!O63))</f>
        <v/>
      </c>
      <c r="P63">
        <f>IF(原始資料!P63="","",IF(反向題設定!$C$19="是",反向題設定!$B$2+1-原始資料!P63,原始資料!P63))</f>
        <v/>
      </c>
      <c r="Q63">
        <f>IF(原始資料!Q63="","",IF(反向題設定!$C$20="是",反向題設定!$B$2+1-原始資料!Q63,原始資料!Q63))</f>
        <v/>
      </c>
      <c r="R63">
        <f>IF(原始資料!R63="","",IF(反向題設定!$C$21="是",反向題設定!$B$2+1-原始資料!R63,原始資料!R63))</f>
        <v/>
      </c>
      <c r="S63">
        <f>IF(原始資料!S63="","",IF(反向題設定!$C$22="是",反向題設定!$B$2+1-原始資料!S63,原始資料!S63))</f>
        <v/>
      </c>
      <c r="T63">
        <f>IF(原始資料!T63="","",IF(反向題設定!$C$23="是",反向題設定!$B$2+1-原始資料!T63,原始資料!T63))</f>
        <v/>
      </c>
      <c r="U63">
        <f>IF(原始資料!U63="","",IF(反向題設定!$C$24="是",反向題設定!$B$2+1-原始資料!U63,原始資料!U63))</f>
        <v/>
      </c>
      <c r="V63">
        <f>IF(原始資料!V63="","",IF(反向題設定!$C$25="是",反向題設定!$B$2+1-原始資料!V63,原始資料!V63))</f>
        <v/>
      </c>
      <c r="W63">
        <f>IF(原始資料!W63="","",IF(反向題設定!$C$26="是",反向題設定!$B$2+1-原始資料!W63,原始資料!W63))</f>
        <v/>
      </c>
      <c r="X63">
        <f>IF(原始資料!X63="","",IF(反向題設定!$C$27="是",反向題設定!$B$2+1-原始資料!X63,原始資料!X63))</f>
        <v/>
      </c>
      <c r="Y63">
        <f>IF(原始資料!Y63="","",IF(反向題設定!$C$28="是",反向題設定!$B$2+1-原始資料!Y63,原始資料!Y63))</f>
        <v/>
      </c>
      <c r="Z63">
        <f>IF(原始資料!Z63="","",IF(反向題設定!$C$29="是",反向題設定!$B$2+1-原始資料!Z63,原始資料!Z63))</f>
        <v/>
      </c>
      <c r="AA63">
        <f>IF(原始資料!AA63="","",IF(反向題設定!$C$30="是",反向題設定!$B$2+1-原始資料!AA63,原始資料!AA63))</f>
        <v/>
      </c>
      <c r="AB63">
        <f>IF(原始資料!AB63="","",IF(反向題設定!$C$31="是",反向題設定!$B$2+1-原始資料!AB63,原始資料!AB63))</f>
        <v/>
      </c>
      <c r="AC63">
        <f>IF(原始資料!AC63="","",IF(反向題設定!$C$32="是",反向題設定!$B$2+1-原始資料!AC63,原始資料!AC63))</f>
        <v/>
      </c>
      <c r="AD63">
        <f>IF(原始資料!AD63="","",IF(反向題設定!$C$33="是",反向題設定!$B$2+1-原始資料!AD63,原始資料!AD63))</f>
        <v/>
      </c>
      <c r="AE63">
        <f>IF(原始資料!AE63="","",IF(反向題設定!$C$34="是",反向題設定!$B$2+1-原始資料!AE63,原始資料!AE63))</f>
        <v/>
      </c>
      <c r="AF63">
        <f>IF(原始資料!AF63="","",IF(反向題設定!$C$35="是",反向題設定!$B$2+1-原始資料!AF63,原始資料!AF63))</f>
        <v/>
      </c>
      <c r="AG63">
        <f>IF(原始資料!AG63="","",IF(反向題設定!$C$36="是",反向題設定!$B$2+1-原始資料!AG63,原始資料!AG63))</f>
        <v/>
      </c>
      <c r="AH63">
        <f>IF(原始資料!AH63="","",IF(反向題設定!$C$37="是",反向題設定!$B$2+1-原始資料!AH63,原始資料!AH63))</f>
        <v/>
      </c>
      <c r="AI63">
        <f>IF(原始資料!AI63="","",IF(反向題設定!$C$38="是",反向題設定!$B$2+1-原始資料!AI63,原始資料!AI63))</f>
        <v/>
      </c>
      <c r="AJ63">
        <f>IF(原始資料!AJ63="","",IF(反向題設定!$C$39="是",反向題設定!$B$2+1-原始資料!AJ63,原始資料!AJ63))</f>
        <v/>
      </c>
      <c r="AK63">
        <f>IF(原始資料!AK63="","",IF(反向題設定!$C$40="是",反向題設定!$B$2+1-原始資料!AK63,原始資料!AK63))</f>
        <v/>
      </c>
      <c r="AL63">
        <f>IF(原始資料!AL63="","",IF(反向題設定!$C$41="是",反向題設定!$B$2+1-原始資料!AL63,原始資料!AL63))</f>
        <v/>
      </c>
      <c r="AM63">
        <f>IF(原始資料!AM63="","",IF(反向題設定!$C$42="是",反向題設定!$B$2+1-原始資料!AM63,原始資料!AM63))</f>
        <v/>
      </c>
      <c r="AN63">
        <f>IF(原始資料!AN63="","",IF(反向題設定!$C$43="是",反向題設定!$B$2+1-原始資料!AN63,原始資料!AN63))</f>
        <v/>
      </c>
      <c r="AO63">
        <f>IF(原始資料!AO63="","",IF(反向題設定!$C$44="是",反向題設定!$B$2+1-原始資料!AO63,原始資料!AO63))</f>
        <v/>
      </c>
      <c r="AP63">
        <f>IF(COUNT(B63:AO63)=0,"",SUM(B63:AO63))</f>
        <v/>
      </c>
      <c r="AQ63">
        <f>IF(AP63="","",IF(AP63&gt;=項目分析!$C$5,"高",IF(AP63&lt;=項目分析!$C$6,"低","")))</f>
        <v/>
      </c>
    </row>
    <row r="64">
      <c r="A64">
        <f>IF(原始資料!A64="","",原始資料!A64)</f>
        <v/>
      </c>
      <c r="B64">
        <f>IF(原始資料!B64="","",IF(反向題設定!$C$5="是",反向題設定!$B$2+1-原始資料!B64,原始資料!B64))</f>
        <v/>
      </c>
      <c r="C64">
        <f>IF(原始資料!C64="","",IF(反向題設定!$C$6="是",反向題設定!$B$2+1-原始資料!C64,原始資料!C64))</f>
        <v/>
      </c>
      <c r="D64">
        <f>IF(原始資料!D64="","",IF(反向題設定!$C$7="是",反向題設定!$B$2+1-原始資料!D64,原始資料!D64))</f>
        <v/>
      </c>
      <c r="E64">
        <f>IF(原始資料!E64="","",IF(反向題設定!$C$8="是",反向題設定!$B$2+1-原始資料!E64,原始資料!E64))</f>
        <v/>
      </c>
      <c r="F64">
        <f>IF(原始資料!F64="","",IF(反向題設定!$C$9="是",反向題設定!$B$2+1-原始資料!F64,原始資料!F64))</f>
        <v/>
      </c>
      <c r="G64">
        <f>IF(原始資料!G64="","",IF(反向題設定!$C$10="是",反向題設定!$B$2+1-原始資料!G64,原始資料!G64))</f>
        <v/>
      </c>
      <c r="H64">
        <f>IF(原始資料!H64="","",IF(反向題設定!$C$11="是",反向題設定!$B$2+1-原始資料!H64,原始資料!H64))</f>
        <v/>
      </c>
      <c r="I64">
        <f>IF(原始資料!I64="","",IF(反向題設定!$C$12="是",反向題設定!$B$2+1-原始資料!I64,原始資料!I64))</f>
        <v/>
      </c>
      <c r="J64">
        <f>IF(原始資料!J64="","",IF(反向題設定!$C$13="是",反向題設定!$B$2+1-原始資料!J64,原始資料!J64))</f>
        <v/>
      </c>
      <c r="K64">
        <f>IF(原始資料!K64="","",IF(反向題設定!$C$14="是",反向題設定!$B$2+1-原始資料!K64,原始資料!K64))</f>
        <v/>
      </c>
      <c r="L64">
        <f>IF(原始資料!L64="","",IF(反向題設定!$C$15="是",反向題設定!$B$2+1-原始資料!L64,原始資料!L64))</f>
        <v/>
      </c>
      <c r="M64">
        <f>IF(原始資料!M64="","",IF(反向題設定!$C$16="是",反向題設定!$B$2+1-原始資料!M64,原始資料!M64))</f>
        <v/>
      </c>
      <c r="N64">
        <f>IF(原始資料!N64="","",IF(反向題設定!$C$17="是",反向題設定!$B$2+1-原始資料!N64,原始資料!N64))</f>
        <v/>
      </c>
      <c r="O64">
        <f>IF(原始資料!O64="","",IF(反向題設定!$C$18="是",反向題設定!$B$2+1-原始資料!O64,原始資料!O64))</f>
        <v/>
      </c>
      <c r="P64">
        <f>IF(原始資料!P64="","",IF(反向題設定!$C$19="是",反向題設定!$B$2+1-原始資料!P64,原始資料!P64))</f>
        <v/>
      </c>
      <c r="Q64">
        <f>IF(原始資料!Q64="","",IF(反向題設定!$C$20="是",反向題設定!$B$2+1-原始資料!Q64,原始資料!Q64))</f>
        <v/>
      </c>
      <c r="R64">
        <f>IF(原始資料!R64="","",IF(反向題設定!$C$21="是",反向題設定!$B$2+1-原始資料!R64,原始資料!R64))</f>
        <v/>
      </c>
      <c r="S64">
        <f>IF(原始資料!S64="","",IF(反向題設定!$C$22="是",反向題設定!$B$2+1-原始資料!S64,原始資料!S64))</f>
        <v/>
      </c>
      <c r="T64">
        <f>IF(原始資料!T64="","",IF(反向題設定!$C$23="是",反向題設定!$B$2+1-原始資料!T64,原始資料!T64))</f>
        <v/>
      </c>
      <c r="U64">
        <f>IF(原始資料!U64="","",IF(反向題設定!$C$24="是",反向題設定!$B$2+1-原始資料!U64,原始資料!U64))</f>
        <v/>
      </c>
      <c r="V64">
        <f>IF(原始資料!V64="","",IF(反向題設定!$C$25="是",反向題設定!$B$2+1-原始資料!V64,原始資料!V64))</f>
        <v/>
      </c>
      <c r="W64">
        <f>IF(原始資料!W64="","",IF(反向題設定!$C$26="是",反向題設定!$B$2+1-原始資料!W64,原始資料!W64))</f>
        <v/>
      </c>
      <c r="X64">
        <f>IF(原始資料!X64="","",IF(反向題設定!$C$27="是",反向題設定!$B$2+1-原始資料!X64,原始資料!X64))</f>
        <v/>
      </c>
      <c r="Y64">
        <f>IF(原始資料!Y64="","",IF(反向題設定!$C$28="是",反向題設定!$B$2+1-原始資料!Y64,原始資料!Y64))</f>
        <v/>
      </c>
      <c r="Z64">
        <f>IF(原始資料!Z64="","",IF(反向題設定!$C$29="是",反向題設定!$B$2+1-原始資料!Z64,原始資料!Z64))</f>
        <v/>
      </c>
      <c r="AA64">
        <f>IF(原始資料!AA64="","",IF(反向題設定!$C$30="是",反向題設定!$B$2+1-原始資料!AA64,原始資料!AA64))</f>
        <v/>
      </c>
      <c r="AB64">
        <f>IF(原始資料!AB64="","",IF(反向題設定!$C$31="是",反向題設定!$B$2+1-原始資料!AB64,原始資料!AB64))</f>
        <v/>
      </c>
      <c r="AC64">
        <f>IF(原始資料!AC64="","",IF(反向題設定!$C$32="是",反向題設定!$B$2+1-原始資料!AC64,原始資料!AC64))</f>
        <v/>
      </c>
      <c r="AD64">
        <f>IF(原始資料!AD64="","",IF(反向題設定!$C$33="是",反向題設定!$B$2+1-原始資料!AD64,原始資料!AD64))</f>
        <v/>
      </c>
      <c r="AE64">
        <f>IF(原始資料!AE64="","",IF(反向題設定!$C$34="是",反向題設定!$B$2+1-原始資料!AE64,原始資料!AE64))</f>
        <v/>
      </c>
      <c r="AF64">
        <f>IF(原始資料!AF64="","",IF(反向題設定!$C$35="是",反向題設定!$B$2+1-原始資料!AF64,原始資料!AF64))</f>
        <v/>
      </c>
      <c r="AG64">
        <f>IF(原始資料!AG64="","",IF(反向題設定!$C$36="是",反向題設定!$B$2+1-原始資料!AG64,原始資料!AG64))</f>
        <v/>
      </c>
      <c r="AH64">
        <f>IF(原始資料!AH64="","",IF(反向題設定!$C$37="是",反向題設定!$B$2+1-原始資料!AH64,原始資料!AH64))</f>
        <v/>
      </c>
      <c r="AI64">
        <f>IF(原始資料!AI64="","",IF(反向題設定!$C$38="是",反向題設定!$B$2+1-原始資料!AI64,原始資料!AI64))</f>
        <v/>
      </c>
      <c r="AJ64">
        <f>IF(原始資料!AJ64="","",IF(反向題設定!$C$39="是",反向題設定!$B$2+1-原始資料!AJ64,原始資料!AJ64))</f>
        <v/>
      </c>
      <c r="AK64">
        <f>IF(原始資料!AK64="","",IF(反向題設定!$C$40="是",反向題設定!$B$2+1-原始資料!AK64,原始資料!AK64))</f>
        <v/>
      </c>
      <c r="AL64">
        <f>IF(原始資料!AL64="","",IF(反向題設定!$C$41="是",反向題設定!$B$2+1-原始資料!AL64,原始資料!AL64))</f>
        <v/>
      </c>
      <c r="AM64">
        <f>IF(原始資料!AM64="","",IF(反向題設定!$C$42="是",反向題設定!$B$2+1-原始資料!AM64,原始資料!AM64))</f>
        <v/>
      </c>
      <c r="AN64">
        <f>IF(原始資料!AN64="","",IF(反向題設定!$C$43="是",反向題設定!$B$2+1-原始資料!AN64,原始資料!AN64))</f>
        <v/>
      </c>
      <c r="AO64">
        <f>IF(原始資料!AO64="","",IF(反向題設定!$C$44="是",反向題設定!$B$2+1-原始資料!AO64,原始資料!AO64))</f>
        <v/>
      </c>
      <c r="AP64">
        <f>IF(COUNT(B64:AO64)=0,"",SUM(B64:AO64))</f>
        <v/>
      </c>
      <c r="AQ64">
        <f>IF(AP64="","",IF(AP64&gt;=項目分析!$C$5,"高",IF(AP64&lt;=項目分析!$C$6,"低","")))</f>
        <v/>
      </c>
    </row>
    <row r="65">
      <c r="A65">
        <f>IF(原始資料!A65="","",原始資料!A65)</f>
        <v/>
      </c>
      <c r="B65">
        <f>IF(原始資料!B65="","",IF(反向題設定!$C$5="是",反向題設定!$B$2+1-原始資料!B65,原始資料!B65))</f>
        <v/>
      </c>
      <c r="C65">
        <f>IF(原始資料!C65="","",IF(反向題設定!$C$6="是",反向題設定!$B$2+1-原始資料!C65,原始資料!C65))</f>
        <v/>
      </c>
      <c r="D65">
        <f>IF(原始資料!D65="","",IF(反向題設定!$C$7="是",反向題設定!$B$2+1-原始資料!D65,原始資料!D65))</f>
        <v/>
      </c>
      <c r="E65">
        <f>IF(原始資料!E65="","",IF(反向題設定!$C$8="是",反向題設定!$B$2+1-原始資料!E65,原始資料!E65))</f>
        <v/>
      </c>
      <c r="F65">
        <f>IF(原始資料!F65="","",IF(反向題設定!$C$9="是",反向題設定!$B$2+1-原始資料!F65,原始資料!F65))</f>
        <v/>
      </c>
      <c r="G65">
        <f>IF(原始資料!G65="","",IF(反向題設定!$C$10="是",反向題設定!$B$2+1-原始資料!G65,原始資料!G65))</f>
        <v/>
      </c>
      <c r="H65">
        <f>IF(原始資料!H65="","",IF(反向題設定!$C$11="是",反向題設定!$B$2+1-原始資料!H65,原始資料!H65))</f>
        <v/>
      </c>
      <c r="I65">
        <f>IF(原始資料!I65="","",IF(反向題設定!$C$12="是",反向題設定!$B$2+1-原始資料!I65,原始資料!I65))</f>
        <v/>
      </c>
      <c r="J65">
        <f>IF(原始資料!J65="","",IF(反向題設定!$C$13="是",反向題設定!$B$2+1-原始資料!J65,原始資料!J65))</f>
        <v/>
      </c>
      <c r="K65">
        <f>IF(原始資料!K65="","",IF(反向題設定!$C$14="是",反向題設定!$B$2+1-原始資料!K65,原始資料!K65))</f>
        <v/>
      </c>
      <c r="L65">
        <f>IF(原始資料!L65="","",IF(反向題設定!$C$15="是",反向題設定!$B$2+1-原始資料!L65,原始資料!L65))</f>
        <v/>
      </c>
      <c r="M65">
        <f>IF(原始資料!M65="","",IF(反向題設定!$C$16="是",反向題設定!$B$2+1-原始資料!M65,原始資料!M65))</f>
        <v/>
      </c>
      <c r="N65">
        <f>IF(原始資料!N65="","",IF(反向題設定!$C$17="是",反向題設定!$B$2+1-原始資料!N65,原始資料!N65))</f>
        <v/>
      </c>
      <c r="O65">
        <f>IF(原始資料!O65="","",IF(反向題設定!$C$18="是",反向題設定!$B$2+1-原始資料!O65,原始資料!O65))</f>
        <v/>
      </c>
      <c r="P65">
        <f>IF(原始資料!P65="","",IF(反向題設定!$C$19="是",反向題設定!$B$2+1-原始資料!P65,原始資料!P65))</f>
        <v/>
      </c>
      <c r="Q65">
        <f>IF(原始資料!Q65="","",IF(反向題設定!$C$20="是",反向題設定!$B$2+1-原始資料!Q65,原始資料!Q65))</f>
        <v/>
      </c>
      <c r="R65">
        <f>IF(原始資料!R65="","",IF(反向題設定!$C$21="是",反向題設定!$B$2+1-原始資料!R65,原始資料!R65))</f>
        <v/>
      </c>
      <c r="S65">
        <f>IF(原始資料!S65="","",IF(反向題設定!$C$22="是",反向題設定!$B$2+1-原始資料!S65,原始資料!S65))</f>
        <v/>
      </c>
      <c r="T65">
        <f>IF(原始資料!T65="","",IF(反向題設定!$C$23="是",反向題設定!$B$2+1-原始資料!T65,原始資料!T65))</f>
        <v/>
      </c>
      <c r="U65">
        <f>IF(原始資料!U65="","",IF(反向題設定!$C$24="是",反向題設定!$B$2+1-原始資料!U65,原始資料!U65))</f>
        <v/>
      </c>
      <c r="V65">
        <f>IF(原始資料!V65="","",IF(反向題設定!$C$25="是",反向題設定!$B$2+1-原始資料!V65,原始資料!V65))</f>
        <v/>
      </c>
      <c r="W65">
        <f>IF(原始資料!W65="","",IF(反向題設定!$C$26="是",反向題設定!$B$2+1-原始資料!W65,原始資料!W65))</f>
        <v/>
      </c>
      <c r="X65">
        <f>IF(原始資料!X65="","",IF(反向題設定!$C$27="是",反向題設定!$B$2+1-原始資料!X65,原始資料!X65))</f>
        <v/>
      </c>
      <c r="Y65">
        <f>IF(原始資料!Y65="","",IF(反向題設定!$C$28="是",反向題設定!$B$2+1-原始資料!Y65,原始資料!Y65))</f>
        <v/>
      </c>
      <c r="Z65">
        <f>IF(原始資料!Z65="","",IF(反向題設定!$C$29="是",反向題設定!$B$2+1-原始資料!Z65,原始資料!Z65))</f>
        <v/>
      </c>
      <c r="AA65">
        <f>IF(原始資料!AA65="","",IF(反向題設定!$C$30="是",反向題設定!$B$2+1-原始資料!AA65,原始資料!AA65))</f>
        <v/>
      </c>
      <c r="AB65">
        <f>IF(原始資料!AB65="","",IF(反向題設定!$C$31="是",反向題設定!$B$2+1-原始資料!AB65,原始資料!AB65))</f>
        <v/>
      </c>
      <c r="AC65">
        <f>IF(原始資料!AC65="","",IF(反向題設定!$C$32="是",反向題設定!$B$2+1-原始資料!AC65,原始資料!AC65))</f>
        <v/>
      </c>
      <c r="AD65">
        <f>IF(原始資料!AD65="","",IF(反向題設定!$C$33="是",反向題設定!$B$2+1-原始資料!AD65,原始資料!AD65))</f>
        <v/>
      </c>
      <c r="AE65">
        <f>IF(原始資料!AE65="","",IF(反向題設定!$C$34="是",反向題設定!$B$2+1-原始資料!AE65,原始資料!AE65))</f>
        <v/>
      </c>
      <c r="AF65">
        <f>IF(原始資料!AF65="","",IF(反向題設定!$C$35="是",反向題設定!$B$2+1-原始資料!AF65,原始資料!AF65))</f>
        <v/>
      </c>
      <c r="AG65">
        <f>IF(原始資料!AG65="","",IF(反向題設定!$C$36="是",反向題設定!$B$2+1-原始資料!AG65,原始資料!AG65))</f>
        <v/>
      </c>
      <c r="AH65">
        <f>IF(原始資料!AH65="","",IF(反向題設定!$C$37="是",反向題設定!$B$2+1-原始資料!AH65,原始資料!AH65))</f>
        <v/>
      </c>
      <c r="AI65">
        <f>IF(原始資料!AI65="","",IF(反向題設定!$C$38="是",反向題設定!$B$2+1-原始資料!AI65,原始資料!AI65))</f>
        <v/>
      </c>
      <c r="AJ65">
        <f>IF(原始資料!AJ65="","",IF(反向題設定!$C$39="是",反向題設定!$B$2+1-原始資料!AJ65,原始資料!AJ65))</f>
        <v/>
      </c>
      <c r="AK65">
        <f>IF(原始資料!AK65="","",IF(反向題設定!$C$40="是",反向題設定!$B$2+1-原始資料!AK65,原始資料!AK65))</f>
        <v/>
      </c>
      <c r="AL65">
        <f>IF(原始資料!AL65="","",IF(反向題設定!$C$41="是",反向題設定!$B$2+1-原始資料!AL65,原始資料!AL65))</f>
        <v/>
      </c>
      <c r="AM65">
        <f>IF(原始資料!AM65="","",IF(反向題設定!$C$42="是",反向題設定!$B$2+1-原始資料!AM65,原始資料!AM65))</f>
        <v/>
      </c>
      <c r="AN65">
        <f>IF(原始資料!AN65="","",IF(反向題設定!$C$43="是",反向題設定!$B$2+1-原始資料!AN65,原始資料!AN65))</f>
        <v/>
      </c>
      <c r="AO65">
        <f>IF(原始資料!AO65="","",IF(反向題設定!$C$44="是",反向題設定!$B$2+1-原始資料!AO65,原始資料!AO65))</f>
        <v/>
      </c>
      <c r="AP65">
        <f>IF(COUNT(B65:AO65)=0,"",SUM(B65:AO65))</f>
        <v/>
      </c>
      <c r="AQ65">
        <f>IF(AP65="","",IF(AP65&gt;=項目分析!$C$5,"高",IF(AP65&lt;=項目分析!$C$6,"低","")))</f>
        <v/>
      </c>
    </row>
    <row r="66">
      <c r="A66">
        <f>IF(原始資料!A66="","",原始資料!A66)</f>
        <v/>
      </c>
      <c r="B66">
        <f>IF(原始資料!B66="","",IF(反向題設定!$C$5="是",反向題設定!$B$2+1-原始資料!B66,原始資料!B66))</f>
        <v/>
      </c>
      <c r="C66">
        <f>IF(原始資料!C66="","",IF(反向題設定!$C$6="是",反向題設定!$B$2+1-原始資料!C66,原始資料!C66))</f>
        <v/>
      </c>
      <c r="D66">
        <f>IF(原始資料!D66="","",IF(反向題設定!$C$7="是",反向題設定!$B$2+1-原始資料!D66,原始資料!D66))</f>
        <v/>
      </c>
      <c r="E66">
        <f>IF(原始資料!E66="","",IF(反向題設定!$C$8="是",反向題設定!$B$2+1-原始資料!E66,原始資料!E66))</f>
        <v/>
      </c>
      <c r="F66">
        <f>IF(原始資料!F66="","",IF(反向題設定!$C$9="是",反向題設定!$B$2+1-原始資料!F66,原始資料!F66))</f>
        <v/>
      </c>
      <c r="G66">
        <f>IF(原始資料!G66="","",IF(反向題設定!$C$10="是",反向題設定!$B$2+1-原始資料!G66,原始資料!G66))</f>
        <v/>
      </c>
      <c r="H66">
        <f>IF(原始資料!H66="","",IF(反向題設定!$C$11="是",反向題設定!$B$2+1-原始資料!H66,原始資料!H66))</f>
        <v/>
      </c>
      <c r="I66">
        <f>IF(原始資料!I66="","",IF(反向題設定!$C$12="是",反向題設定!$B$2+1-原始資料!I66,原始資料!I66))</f>
        <v/>
      </c>
      <c r="J66">
        <f>IF(原始資料!J66="","",IF(反向題設定!$C$13="是",反向題設定!$B$2+1-原始資料!J66,原始資料!J66))</f>
        <v/>
      </c>
      <c r="K66">
        <f>IF(原始資料!K66="","",IF(反向題設定!$C$14="是",反向題設定!$B$2+1-原始資料!K66,原始資料!K66))</f>
        <v/>
      </c>
      <c r="L66">
        <f>IF(原始資料!L66="","",IF(反向題設定!$C$15="是",反向題設定!$B$2+1-原始資料!L66,原始資料!L66))</f>
        <v/>
      </c>
      <c r="M66">
        <f>IF(原始資料!M66="","",IF(反向題設定!$C$16="是",反向題設定!$B$2+1-原始資料!M66,原始資料!M66))</f>
        <v/>
      </c>
      <c r="N66">
        <f>IF(原始資料!N66="","",IF(反向題設定!$C$17="是",反向題設定!$B$2+1-原始資料!N66,原始資料!N66))</f>
        <v/>
      </c>
      <c r="O66">
        <f>IF(原始資料!O66="","",IF(反向題設定!$C$18="是",反向題設定!$B$2+1-原始資料!O66,原始資料!O66))</f>
        <v/>
      </c>
      <c r="P66">
        <f>IF(原始資料!P66="","",IF(反向題設定!$C$19="是",反向題設定!$B$2+1-原始資料!P66,原始資料!P66))</f>
        <v/>
      </c>
      <c r="Q66">
        <f>IF(原始資料!Q66="","",IF(反向題設定!$C$20="是",反向題設定!$B$2+1-原始資料!Q66,原始資料!Q66))</f>
        <v/>
      </c>
      <c r="R66">
        <f>IF(原始資料!R66="","",IF(反向題設定!$C$21="是",反向題設定!$B$2+1-原始資料!R66,原始資料!R66))</f>
        <v/>
      </c>
      <c r="S66">
        <f>IF(原始資料!S66="","",IF(反向題設定!$C$22="是",反向題設定!$B$2+1-原始資料!S66,原始資料!S66))</f>
        <v/>
      </c>
      <c r="T66">
        <f>IF(原始資料!T66="","",IF(反向題設定!$C$23="是",反向題設定!$B$2+1-原始資料!T66,原始資料!T66))</f>
        <v/>
      </c>
      <c r="U66">
        <f>IF(原始資料!U66="","",IF(反向題設定!$C$24="是",反向題設定!$B$2+1-原始資料!U66,原始資料!U66))</f>
        <v/>
      </c>
      <c r="V66">
        <f>IF(原始資料!V66="","",IF(反向題設定!$C$25="是",反向題設定!$B$2+1-原始資料!V66,原始資料!V66))</f>
        <v/>
      </c>
      <c r="W66">
        <f>IF(原始資料!W66="","",IF(反向題設定!$C$26="是",反向題設定!$B$2+1-原始資料!W66,原始資料!W66))</f>
        <v/>
      </c>
      <c r="X66">
        <f>IF(原始資料!X66="","",IF(反向題設定!$C$27="是",反向題設定!$B$2+1-原始資料!X66,原始資料!X66))</f>
        <v/>
      </c>
      <c r="Y66">
        <f>IF(原始資料!Y66="","",IF(反向題設定!$C$28="是",反向題設定!$B$2+1-原始資料!Y66,原始資料!Y66))</f>
        <v/>
      </c>
      <c r="Z66">
        <f>IF(原始資料!Z66="","",IF(反向題設定!$C$29="是",反向題設定!$B$2+1-原始資料!Z66,原始資料!Z66))</f>
        <v/>
      </c>
      <c r="AA66">
        <f>IF(原始資料!AA66="","",IF(反向題設定!$C$30="是",反向題設定!$B$2+1-原始資料!AA66,原始資料!AA66))</f>
        <v/>
      </c>
      <c r="AB66">
        <f>IF(原始資料!AB66="","",IF(反向題設定!$C$31="是",反向題設定!$B$2+1-原始資料!AB66,原始資料!AB66))</f>
        <v/>
      </c>
      <c r="AC66">
        <f>IF(原始資料!AC66="","",IF(反向題設定!$C$32="是",反向題設定!$B$2+1-原始資料!AC66,原始資料!AC66))</f>
        <v/>
      </c>
      <c r="AD66">
        <f>IF(原始資料!AD66="","",IF(反向題設定!$C$33="是",反向題設定!$B$2+1-原始資料!AD66,原始資料!AD66))</f>
        <v/>
      </c>
      <c r="AE66">
        <f>IF(原始資料!AE66="","",IF(反向題設定!$C$34="是",反向題設定!$B$2+1-原始資料!AE66,原始資料!AE66))</f>
        <v/>
      </c>
      <c r="AF66">
        <f>IF(原始資料!AF66="","",IF(反向題設定!$C$35="是",反向題設定!$B$2+1-原始資料!AF66,原始資料!AF66))</f>
        <v/>
      </c>
      <c r="AG66">
        <f>IF(原始資料!AG66="","",IF(反向題設定!$C$36="是",反向題設定!$B$2+1-原始資料!AG66,原始資料!AG66))</f>
        <v/>
      </c>
      <c r="AH66">
        <f>IF(原始資料!AH66="","",IF(反向題設定!$C$37="是",反向題設定!$B$2+1-原始資料!AH66,原始資料!AH66))</f>
        <v/>
      </c>
      <c r="AI66">
        <f>IF(原始資料!AI66="","",IF(反向題設定!$C$38="是",反向題設定!$B$2+1-原始資料!AI66,原始資料!AI66))</f>
        <v/>
      </c>
      <c r="AJ66">
        <f>IF(原始資料!AJ66="","",IF(反向題設定!$C$39="是",反向題設定!$B$2+1-原始資料!AJ66,原始資料!AJ66))</f>
        <v/>
      </c>
      <c r="AK66">
        <f>IF(原始資料!AK66="","",IF(反向題設定!$C$40="是",反向題設定!$B$2+1-原始資料!AK66,原始資料!AK66))</f>
        <v/>
      </c>
      <c r="AL66">
        <f>IF(原始資料!AL66="","",IF(反向題設定!$C$41="是",反向題設定!$B$2+1-原始資料!AL66,原始資料!AL66))</f>
        <v/>
      </c>
      <c r="AM66">
        <f>IF(原始資料!AM66="","",IF(反向題設定!$C$42="是",反向題設定!$B$2+1-原始資料!AM66,原始資料!AM66))</f>
        <v/>
      </c>
      <c r="AN66">
        <f>IF(原始資料!AN66="","",IF(反向題設定!$C$43="是",反向題設定!$B$2+1-原始資料!AN66,原始資料!AN66))</f>
        <v/>
      </c>
      <c r="AO66">
        <f>IF(原始資料!AO66="","",IF(反向題設定!$C$44="是",反向題設定!$B$2+1-原始資料!AO66,原始資料!AO66))</f>
        <v/>
      </c>
      <c r="AP66">
        <f>IF(COUNT(B66:AO66)=0,"",SUM(B66:AO66))</f>
        <v/>
      </c>
      <c r="AQ66">
        <f>IF(AP66="","",IF(AP66&gt;=項目分析!$C$5,"高",IF(AP66&lt;=項目分析!$C$6,"低","")))</f>
        <v/>
      </c>
    </row>
    <row r="67">
      <c r="A67">
        <f>IF(原始資料!A67="","",原始資料!A67)</f>
        <v/>
      </c>
      <c r="B67">
        <f>IF(原始資料!B67="","",IF(反向題設定!$C$5="是",反向題設定!$B$2+1-原始資料!B67,原始資料!B67))</f>
        <v/>
      </c>
      <c r="C67">
        <f>IF(原始資料!C67="","",IF(反向題設定!$C$6="是",反向題設定!$B$2+1-原始資料!C67,原始資料!C67))</f>
        <v/>
      </c>
      <c r="D67">
        <f>IF(原始資料!D67="","",IF(反向題設定!$C$7="是",反向題設定!$B$2+1-原始資料!D67,原始資料!D67))</f>
        <v/>
      </c>
      <c r="E67">
        <f>IF(原始資料!E67="","",IF(反向題設定!$C$8="是",反向題設定!$B$2+1-原始資料!E67,原始資料!E67))</f>
        <v/>
      </c>
      <c r="F67">
        <f>IF(原始資料!F67="","",IF(反向題設定!$C$9="是",反向題設定!$B$2+1-原始資料!F67,原始資料!F67))</f>
        <v/>
      </c>
      <c r="G67">
        <f>IF(原始資料!G67="","",IF(反向題設定!$C$10="是",反向題設定!$B$2+1-原始資料!G67,原始資料!G67))</f>
        <v/>
      </c>
      <c r="H67">
        <f>IF(原始資料!H67="","",IF(反向題設定!$C$11="是",反向題設定!$B$2+1-原始資料!H67,原始資料!H67))</f>
        <v/>
      </c>
      <c r="I67">
        <f>IF(原始資料!I67="","",IF(反向題設定!$C$12="是",反向題設定!$B$2+1-原始資料!I67,原始資料!I67))</f>
        <v/>
      </c>
      <c r="J67">
        <f>IF(原始資料!J67="","",IF(反向題設定!$C$13="是",反向題設定!$B$2+1-原始資料!J67,原始資料!J67))</f>
        <v/>
      </c>
      <c r="K67">
        <f>IF(原始資料!K67="","",IF(反向題設定!$C$14="是",反向題設定!$B$2+1-原始資料!K67,原始資料!K67))</f>
        <v/>
      </c>
      <c r="L67">
        <f>IF(原始資料!L67="","",IF(反向題設定!$C$15="是",反向題設定!$B$2+1-原始資料!L67,原始資料!L67))</f>
        <v/>
      </c>
      <c r="M67">
        <f>IF(原始資料!M67="","",IF(反向題設定!$C$16="是",反向題設定!$B$2+1-原始資料!M67,原始資料!M67))</f>
        <v/>
      </c>
      <c r="N67">
        <f>IF(原始資料!N67="","",IF(反向題設定!$C$17="是",反向題設定!$B$2+1-原始資料!N67,原始資料!N67))</f>
        <v/>
      </c>
      <c r="O67">
        <f>IF(原始資料!O67="","",IF(反向題設定!$C$18="是",反向題設定!$B$2+1-原始資料!O67,原始資料!O67))</f>
        <v/>
      </c>
      <c r="P67">
        <f>IF(原始資料!P67="","",IF(反向題設定!$C$19="是",反向題設定!$B$2+1-原始資料!P67,原始資料!P67))</f>
        <v/>
      </c>
      <c r="Q67">
        <f>IF(原始資料!Q67="","",IF(反向題設定!$C$20="是",反向題設定!$B$2+1-原始資料!Q67,原始資料!Q67))</f>
        <v/>
      </c>
      <c r="R67">
        <f>IF(原始資料!R67="","",IF(反向題設定!$C$21="是",反向題設定!$B$2+1-原始資料!R67,原始資料!R67))</f>
        <v/>
      </c>
      <c r="S67">
        <f>IF(原始資料!S67="","",IF(反向題設定!$C$22="是",反向題設定!$B$2+1-原始資料!S67,原始資料!S67))</f>
        <v/>
      </c>
      <c r="T67">
        <f>IF(原始資料!T67="","",IF(反向題設定!$C$23="是",反向題設定!$B$2+1-原始資料!T67,原始資料!T67))</f>
        <v/>
      </c>
      <c r="U67">
        <f>IF(原始資料!U67="","",IF(反向題設定!$C$24="是",反向題設定!$B$2+1-原始資料!U67,原始資料!U67))</f>
        <v/>
      </c>
      <c r="V67">
        <f>IF(原始資料!V67="","",IF(反向題設定!$C$25="是",反向題設定!$B$2+1-原始資料!V67,原始資料!V67))</f>
        <v/>
      </c>
      <c r="W67">
        <f>IF(原始資料!W67="","",IF(反向題設定!$C$26="是",反向題設定!$B$2+1-原始資料!W67,原始資料!W67))</f>
        <v/>
      </c>
      <c r="X67">
        <f>IF(原始資料!X67="","",IF(反向題設定!$C$27="是",反向題設定!$B$2+1-原始資料!X67,原始資料!X67))</f>
        <v/>
      </c>
      <c r="Y67">
        <f>IF(原始資料!Y67="","",IF(反向題設定!$C$28="是",反向題設定!$B$2+1-原始資料!Y67,原始資料!Y67))</f>
        <v/>
      </c>
      <c r="Z67">
        <f>IF(原始資料!Z67="","",IF(反向題設定!$C$29="是",反向題設定!$B$2+1-原始資料!Z67,原始資料!Z67))</f>
        <v/>
      </c>
      <c r="AA67">
        <f>IF(原始資料!AA67="","",IF(反向題設定!$C$30="是",反向題設定!$B$2+1-原始資料!AA67,原始資料!AA67))</f>
        <v/>
      </c>
      <c r="AB67">
        <f>IF(原始資料!AB67="","",IF(反向題設定!$C$31="是",反向題設定!$B$2+1-原始資料!AB67,原始資料!AB67))</f>
        <v/>
      </c>
      <c r="AC67">
        <f>IF(原始資料!AC67="","",IF(反向題設定!$C$32="是",反向題設定!$B$2+1-原始資料!AC67,原始資料!AC67))</f>
        <v/>
      </c>
      <c r="AD67">
        <f>IF(原始資料!AD67="","",IF(反向題設定!$C$33="是",反向題設定!$B$2+1-原始資料!AD67,原始資料!AD67))</f>
        <v/>
      </c>
      <c r="AE67">
        <f>IF(原始資料!AE67="","",IF(反向題設定!$C$34="是",反向題設定!$B$2+1-原始資料!AE67,原始資料!AE67))</f>
        <v/>
      </c>
      <c r="AF67">
        <f>IF(原始資料!AF67="","",IF(反向題設定!$C$35="是",反向題設定!$B$2+1-原始資料!AF67,原始資料!AF67))</f>
        <v/>
      </c>
      <c r="AG67">
        <f>IF(原始資料!AG67="","",IF(反向題設定!$C$36="是",反向題設定!$B$2+1-原始資料!AG67,原始資料!AG67))</f>
        <v/>
      </c>
      <c r="AH67">
        <f>IF(原始資料!AH67="","",IF(反向題設定!$C$37="是",反向題設定!$B$2+1-原始資料!AH67,原始資料!AH67))</f>
        <v/>
      </c>
      <c r="AI67">
        <f>IF(原始資料!AI67="","",IF(反向題設定!$C$38="是",反向題設定!$B$2+1-原始資料!AI67,原始資料!AI67))</f>
        <v/>
      </c>
      <c r="AJ67">
        <f>IF(原始資料!AJ67="","",IF(反向題設定!$C$39="是",反向題設定!$B$2+1-原始資料!AJ67,原始資料!AJ67))</f>
        <v/>
      </c>
      <c r="AK67">
        <f>IF(原始資料!AK67="","",IF(反向題設定!$C$40="是",反向題設定!$B$2+1-原始資料!AK67,原始資料!AK67))</f>
        <v/>
      </c>
      <c r="AL67">
        <f>IF(原始資料!AL67="","",IF(反向題設定!$C$41="是",反向題設定!$B$2+1-原始資料!AL67,原始資料!AL67))</f>
        <v/>
      </c>
      <c r="AM67">
        <f>IF(原始資料!AM67="","",IF(反向題設定!$C$42="是",反向題設定!$B$2+1-原始資料!AM67,原始資料!AM67))</f>
        <v/>
      </c>
      <c r="AN67">
        <f>IF(原始資料!AN67="","",IF(反向題設定!$C$43="是",反向題設定!$B$2+1-原始資料!AN67,原始資料!AN67))</f>
        <v/>
      </c>
      <c r="AO67">
        <f>IF(原始資料!AO67="","",IF(反向題設定!$C$44="是",反向題設定!$B$2+1-原始資料!AO67,原始資料!AO67))</f>
        <v/>
      </c>
      <c r="AP67">
        <f>IF(COUNT(B67:AO67)=0,"",SUM(B67:AO67))</f>
        <v/>
      </c>
      <c r="AQ67">
        <f>IF(AP67="","",IF(AP67&gt;=項目分析!$C$5,"高",IF(AP67&lt;=項目分析!$C$6,"低","")))</f>
        <v/>
      </c>
    </row>
    <row r="68">
      <c r="A68">
        <f>IF(原始資料!A68="","",原始資料!A68)</f>
        <v/>
      </c>
      <c r="B68">
        <f>IF(原始資料!B68="","",IF(反向題設定!$C$5="是",反向題設定!$B$2+1-原始資料!B68,原始資料!B68))</f>
        <v/>
      </c>
      <c r="C68">
        <f>IF(原始資料!C68="","",IF(反向題設定!$C$6="是",反向題設定!$B$2+1-原始資料!C68,原始資料!C68))</f>
        <v/>
      </c>
      <c r="D68">
        <f>IF(原始資料!D68="","",IF(反向題設定!$C$7="是",反向題設定!$B$2+1-原始資料!D68,原始資料!D68))</f>
        <v/>
      </c>
      <c r="E68">
        <f>IF(原始資料!E68="","",IF(反向題設定!$C$8="是",反向題設定!$B$2+1-原始資料!E68,原始資料!E68))</f>
        <v/>
      </c>
      <c r="F68">
        <f>IF(原始資料!F68="","",IF(反向題設定!$C$9="是",反向題設定!$B$2+1-原始資料!F68,原始資料!F68))</f>
        <v/>
      </c>
      <c r="G68">
        <f>IF(原始資料!G68="","",IF(反向題設定!$C$10="是",反向題設定!$B$2+1-原始資料!G68,原始資料!G68))</f>
        <v/>
      </c>
      <c r="H68">
        <f>IF(原始資料!H68="","",IF(反向題設定!$C$11="是",反向題設定!$B$2+1-原始資料!H68,原始資料!H68))</f>
        <v/>
      </c>
      <c r="I68">
        <f>IF(原始資料!I68="","",IF(反向題設定!$C$12="是",反向題設定!$B$2+1-原始資料!I68,原始資料!I68))</f>
        <v/>
      </c>
      <c r="J68">
        <f>IF(原始資料!J68="","",IF(反向題設定!$C$13="是",反向題設定!$B$2+1-原始資料!J68,原始資料!J68))</f>
        <v/>
      </c>
      <c r="K68">
        <f>IF(原始資料!K68="","",IF(反向題設定!$C$14="是",反向題設定!$B$2+1-原始資料!K68,原始資料!K68))</f>
        <v/>
      </c>
      <c r="L68">
        <f>IF(原始資料!L68="","",IF(反向題設定!$C$15="是",反向題設定!$B$2+1-原始資料!L68,原始資料!L68))</f>
        <v/>
      </c>
      <c r="M68">
        <f>IF(原始資料!M68="","",IF(反向題設定!$C$16="是",反向題設定!$B$2+1-原始資料!M68,原始資料!M68))</f>
        <v/>
      </c>
      <c r="N68">
        <f>IF(原始資料!N68="","",IF(反向題設定!$C$17="是",反向題設定!$B$2+1-原始資料!N68,原始資料!N68))</f>
        <v/>
      </c>
      <c r="O68">
        <f>IF(原始資料!O68="","",IF(反向題設定!$C$18="是",反向題設定!$B$2+1-原始資料!O68,原始資料!O68))</f>
        <v/>
      </c>
      <c r="P68">
        <f>IF(原始資料!P68="","",IF(反向題設定!$C$19="是",反向題設定!$B$2+1-原始資料!P68,原始資料!P68))</f>
        <v/>
      </c>
      <c r="Q68">
        <f>IF(原始資料!Q68="","",IF(反向題設定!$C$20="是",反向題設定!$B$2+1-原始資料!Q68,原始資料!Q68))</f>
        <v/>
      </c>
      <c r="R68">
        <f>IF(原始資料!R68="","",IF(反向題設定!$C$21="是",反向題設定!$B$2+1-原始資料!R68,原始資料!R68))</f>
        <v/>
      </c>
      <c r="S68">
        <f>IF(原始資料!S68="","",IF(反向題設定!$C$22="是",反向題設定!$B$2+1-原始資料!S68,原始資料!S68))</f>
        <v/>
      </c>
      <c r="T68">
        <f>IF(原始資料!T68="","",IF(反向題設定!$C$23="是",反向題設定!$B$2+1-原始資料!T68,原始資料!T68))</f>
        <v/>
      </c>
      <c r="U68">
        <f>IF(原始資料!U68="","",IF(反向題設定!$C$24="是",反向題設定!$B$2+1-原始資料!U68,原始資料!U68))</f>
        <v/>
      </c>
      <c r="V68">
        <f>IF(原始資料!V68="","",IF(反向題設定!$C$25="是",反向題設定!$B$2+1-原始資料!V68,原始資料!V68))</f>
        <v/>
      </c>
      <c r="W68">
        <f>IF(原始資料!W68="","",IF(反向題設定!$C$26="是",反向題設定!$B$2+1-原始資料!W68,原始資料!W68))</f>
        <v/>
      </c>
      <c r="X68">
        <f>IF(原始資料!X68="","",IF(反向題設定!$C$27="是",反向題設定!$B$2+1-原始資料!X68,原始資料!X68))</f>
        <v/>
      </c>
      <c r="Y68">
        <f>IF(原始資料!Y68="","",IF(反向題設定!$C$28="是",反向題設定!$B$2+1-原始資料!Y68,原始資料!Y68))</f>
        <v/>
      </c>
      <c r="Z68">
        <f>IF(原始資料!Z68="","",IF(反向題設定!$C$29="是",反向題設定!$B$2+1-原始資料!Z68,原始資料!Z68))</f>
        <v/>
      </c>
      <c r="AA68">
        <f>IF(原始資料!AA68="","",IF(反向題設定!$C$30="是",反向題設定!$B$2+1-原始資料!AA68,原始資料!AA68))</f>
        <v/>
      </c>
      <c r="AB68">
        <f>IF(原始資料!AB68="","",IF(反向題設定!$C$31="是",反向題設定!$B$2+1-原始資料!AB68,原始資料!AB68))</f>
        <v/>
      </c>
      <c r="AC68">
        <f>IF(原始資料!AC68="","",IF(反向題設定!$C$32="是",反向題設定!$B$2+1-原始資料!AC68,原始資料!AC68))</f>
        <v/>
      </c>
      <c r="AD68">
        <f>IF(原始資料!AD68="","",IF(反向題設定!$C$33="是",反向題設定!$B$2+1-原始資料!AD68,原始資料!AD68))</f>
        <v/>
      </c>
      <c r="AE68">
        <f>IF(原始資料!AE68="","",IF(反向題設定!$C$34="是",反向題設定!$B$2+1-原始資料!AE68,原始資料!AE68))</f>
        <v/>
      </c>
      <c r="AF68">
        <f>IF(原始資料!AF68="","",IF(反向題設定!$C$35="是",反向題設定!$B$2+1-原始資料!AF68,原始資料!AF68))</f>
        <v/>
      </c>
      <c r="AG68">
        <f>IF(原始資料!AG68="","",IF(反向題設定!$C$36="是",反向題設定!$B$2+1-原始資料!AG68,原始資料!AG68))</f>
        <v/>
      </c>
      <c r="AH68">
        <f>IF(原始資料!AH68="","",IF(反向題設定!$C$37="是",反向題設定!$B$2+1-原始資料!AH68,原始資料!AH68))</f>
        <v/>
      </c>
      <c r="AI68">
        <f>IF(原始資料!AI68="","",IF(反向題設定!$C$38="是",反向題設定!$B$2+1-原始資料!AI68,原始資料!AI68))</f>
        <v/>
      </c>
      <c r="AJ68">
        <f>IF(原始資料!AJ68="","",IF(反向題設定!$C$39="是",反向題設定!$B$2+1-原始資料!AJ68,原始資料!AJ68))</f>
        <v/>
      </c>
      <c r="AK68">
        <f>IF(原始資料!AK68="","",IF(反向題設定!$C$40="是",反向題設定!$B$2+1-原始資料!AK68,原始資料!AK68))</f>
        <v/>
      </c>
      <c r="AL68">
        <f>IF(原始資料!AL68="","",IF(反向題設定!$C$41="是",反向題設定!$B$2+1-原始資料!AL68,原始資料!AL68))</f>
        <v/>
      </c>
      <c r="AM68">
        <f>IF(原始資料!AM68="","",IF(反向題設定!$C$42="是",反向題設定!$B$2+1-原始資料!AM68,原始資料!AM68))</f>
        <v/>
      </c>
      <c r="AN68">
        <f>IF(原始資料!AN68="","",IF(反向題設定!$C$43="是",反向題設定!$B$2+1-原始資料!AN68,原始資料!AN68))</f>
        <v/>
      </c>
      <c r="AO68">
        <f>IF(原始資料!AO68="","",IF(反向題設定!$C$44="是",反向題設定!$B$2+1-原始資料!AO68,原始資料!AO68))</f>
        <v/>
      </c>
      <c r="AP68">
        <f>IF(COUNT(B68:AO68)=0,"",SUM(B68:AO68))</f>
        <v/>
      </c>
      <c r="AQ68">
        <f>IF(AP68="","",IF(AP68&gt;=項目分析!$C$5,"高",IF(AP68&lt;=項目分析!$C$6,"低","")))</f>
        <v/>
      </c>
    </row>
    <row r="69">
      <c r="A69">
        <f>IF(原始資料!A69="","",原始資料!A69)</f>
        <v/>
      </c>
      <c r="B69">
        <f>IF(原始資料!B69="","",IF(反向題設定!$C$5="是",反向題設定!$B$2+1-原始資料!B69,原始資料!B69))</f>
        <v/>
      </c>
      <c r="C69">
        <f>IF(原始資料!C69="","",IF(反向題設定!$C$6="是",反向題設定!$B$2+1-原始資料!C69,原始資料!C69))</f>
        <v/>
      </c>
      <c r="D69">
        <f>IF(原始資料!D69="","",IF(反向題設定!$C$7="是",反向題設定!$B$2+1-原始資料!D69,原始資料!D69))</f>
        <v/>
      </c>
      <c r="E69">
        <f>IF(原始資料!E69="","",IF(反向題設定!$C$8="是",反向題設定!$B$2+1-原始資料!E69,原始資料!E69))</f>
        <v/>
      </c>
      <c r="F69">
        <f>IF(原始資料!F69="","",IF(反向題設定!$C$9="是",反向題設定!$B$2+1-原始資料!F69,原始資料!F69))</f>
        <v/>
      </c>
      <c r="G69">
        <f>IF(原始資料!G69="","",IF(反向題設定!$C$10="是",反向題設定!$B$2+1-原始資料!G69,原始資料!G69))</f>
        <v/>
      </c>
      <c r="H69">
        <f>IF(原始資料!H69="","",IF(反向題設定!$C$11="是",反向題設定!$B$2+1-原始資料!H69,原始資料!H69))</f>
        <v/>
      </c>
      <c r="I69">
        <f>IF(原始資料!I69="","",IF(反向題設定!$C$12="是",反向題設定!$B$2+1-原始資料!I69,原始資料!I69))</f>
        <v/>
      </c>
      <c r="J69">
        <f>IF(原始資料!J69="","",IF(反向題設定!$C$13="是",反向題設定!$B$2+1-原始資料!J69,原始資料!J69))</f>
        <v/>
      </c>
      <c r="K69">
        <f>IF(原始資料!K69="","",IF(反向題設定!$C$14="是",反向題設定!$B$2+1-原始資料!K69,原始資料!K69))</f>
        <v/>
      </c>
      <c r="L69">
        <f>IF(原始資料!L69="","",IF(反向題設定!$C$15="是",反向題設定!$B$2+1-原始資料!L69,原始資料!L69))</f>
        <v/>
      </c>
      <c r="M69">
        <f>IF(原始資料!M69="","",IF(反向題設定!$C$16="是",反向題設定!$B$2+1-原始資料!M69,原始資料!M69))</f>
        <v/>
      </c>
      <c r="N69">
        <f>IF(原始資料!N69="","",IF(反向題設定!$C$17="是",反向題設定!$B$2+1-原始資料!N69,原始資料!N69))</f>
        <v/>
      </c>
      <c r="O69">
        <f>IF(原始資料!O69="","",IF(反向題設定!$C$18="是",反向題設定!$B$2+1-原始資料!O69,原始資料!O69))</f>
        <v/>
      </c>
      <c r="P69">
        <f>IF(原始資料!P69="","",IF(反向題設定!$C$19="是",反向題設定!$B$2+1-原始資料!P69,原始資料!P69))</f>
        <v/>
      </c>
      <c r="Q69">
        <f>IF(原始資料!Q69="","",IF(反向題設定!$C$20="是",反向題設定!$B$2+1-原始資料!Q69,原始資料!Q69))</f>
        <v/>
      </c>
      <c r="R69">
        <f>IF(原始資料!R69="","",IF(反向題設定!$C$21="是",反向題設定!$B$2+1-原始資料!R69,原始資料!R69))</f>
        <v/>
      </c>
      <c r="S69">
        <f>IF(原始資料!S69="","",IF(反向題設定!$C$22="是",反向題設定!$B$2+1-原始資料!S69,原始資料!S69))</f>
        <v/>
      </c>
      <c r="T69">
        <f>IF(原始資料!T69="","",IF(反向題設定!$C$23="是",反向題設定!$B$2+1-原始資料!T69,原始資料!T69))</f>
        <v/>
      </c>
      <c r="U69">
        <f>IF(原始資料!U69="","",IF(反向題設定!$C$24="是",反向題設定!$B$2+1-原始資料!U69,原始資料!U69))</f>
        <v/>
      </c>
      <c r="V69">
        <f>IF(原始資料!V69="","",IF(反向題設定!$C$25="是",反向題設定!$B$2+1-原始資料!V69,原始資料!V69))</f>
        <v/>
      </c>
      <c r="W69">
        <f>IF(原始資料!W69="","",IF(反向題設定!$C$26="是",反向題設定!$B$2+1-原始資料!W69,原始資料!W69))</f>
        <v/>
      </c>
      <c r="X69">
        <f>IF(原始資料!X69="","",IF(反向題設定!$C$27="是",反向題設定!$B$2+1-原始資料!X69,原始資料!X69))</f>
        <v/>
      </c>
      <c r="Y69">
        <f>IF(原始資料!Y69="","",IF(反向題設定!$C$28="是",反向題設定!$B$2+1-原始資料!Y69,原始資料!Y69))</f>
        <v/>
      </c>
      <c r="Z69">
        <f>IF(原始資料!Z69="","",IF(反向題設定!$C$29="是",反向題設定!$B$2+1-原始資料!Z69,原始資料!Z69))</f>
        <v/>
      </c>
      <c r="AA69">
        <f>IF(原始資料!AA69="","",IF(反向題設定!$C$30="是",反向題設定!$B$2+1-原始資料!AA69,原始資料!AA69))</f>
        <v/>
      </c>
      <c r="AB69">
        <f>IF(原始資料!AB69="","",IF(反向題設定!$C$31="是",反向題設定!$B$2+1-原始資料!AB69,原始資料!AB69))</f>
        <v/>
      </c>
      <c r="AC69">
        <f>IF(原始資料!AC69="","",IF(反向題設定!$C$32="是",反向題設定!$B$2+1-原始資料!AC69,原始資料!AC69))</f>
        <v/>
      </c>
      <c r="AD69">
        <f>IF(原始資料!AD69="","",IF(反向題設定!$C$33="是",反向題設定!$B$2+1-原始資料!AD69,原始資料!AD69))</f>
        <v/>
      </c>
      <c r="AE69">
        <f>IF(原始資料!AE69="","",IF(反向題設定!$C$34="是",反向題設定!$B$2+1-原始資料!AE69,原始資料!AE69))</f>
        <v/>
      </c>
      <c r="AF69">
        <f>IF(原始資料!AF69="","",IF(反向題設定!$C$35="是",反向題設定!$B$2+1-原始資料!AF69,原始資料!AF69))</f>
        <v/>
      </c>
      <c r="AG69">
        <f>IF(原始資料!AG69="","",IF(反向題設定!$C$36="是",反向題設定!$B$2+1-原始資料!AG69,原始資料!AG69))</f>
        <v/>
      </c>
      <c r="AH69">
        <f>IF(原始資料!AH69="","",IF(反向題設定!$C$37="是",反向題設定!$B$2+1-原始資料!AH69,原始資料!AH69))</f>
        <v/>
      </c>
      <c r="AI69">
        <f>IF(原始資料!AI69="","",IF(反向題設定!$C$38="是",反向題設定!$B$2+1-原始資料!AI69,原始資料!AI69))</f>
        <v/>
      </c>
      <c r="AJ69">
        <f>IF(原始資料!AJ69="","",IF(反向題設定!$C$39="是",反向題設定!$B$2+1-原始資料!AJ69,原始資料!AJ69))</f>
        <v/>
      </c>
      <c r="AK69">
        <f>IF(原始資料!AK69="","",IF(反向題設定!$C$40="是",反向題設定!$B$2+1-原始資料!AK69,原始資料!AK69))</f>
        <v/>
      </c>
      <c r="AL69">
        <f>IF(原始資料!AL69="","",IF(反向題設定!$C$41="是",反向題設定!$B$2+1-原始資料!AL69,原始資料!AL69))</f>
        <v/>
      </c>
      <c r="AM69">
        <f>IF(原始資料!AM69="","",IF(反向題設定!$C$42="是",反向題設定!$B$2+1-原始資料!AM69,原始資料!AM69))</f>
        <v/>
      </c>
      <c r="AN69">
        <f>IF(原始資料!AN69="","",IF(反向題設定!$C$43="是",反向題設定!$B$2+1-原始資料!AN69,原始資料!AN69))</f>
        <v/>
      </c>
      <c r="AO69">
        <f>IF(原始資料!AO69="","",IF(反向題設定!$C$44="是",反向題設定!$B$2+1-原始資料!AO69,原始資料!AO69))</f>
        <v/>
      </c>
      <c r="AP69">
        <f>IF(COUNT(B69:AO69)=0,"",SUM(B69:AO69))</f>
        <v/>
      </c>
      <c r="AQ69">
        <f>IF(AP69="","",IF(AP69&gt;=項目分析!$C$5,"高",IF(AP69&lt;=項目分析!$C$6,"低","")))</f>
        <v/>
      </c>
    </row>
    <row r="70">
      <c r="A70">
        <f>IF(原始資料!A70="","",原始資料!A70)</f>
        <v/>
      </c>
      <c r="B70">
        <f>IF(原始資料!B70="","",IF(反向題設定!$C$5="是",反向題設定!$B$2+1-原始資料!B70,原始資料!B70))</f>
        <v/>
      </c>
      <c r="C70">
        <f>IF(原始資料!C70="","",IF(反向題設定!$C$6="是",反向題設定!$B$2+1-原始資料!C70,原始資料!C70))</f>
        <v/>
      </c>
      <c r="D70">
        <f>IF(原始資料!D70="","",IF(反向題設定!$C$7="是",反向題設定!$B$2+1-原始資料!D70,原始資料!D70))</f>
        <v/>
      </c>
      <c r="E70">
        <f>IF(原始資料!E70="","",IF(反向題設定!$C$8="是",反向題設定!$B$2+1-原始資料!E70,原始資料!E70))</f>
        <v/>
      </c>
      <c r="F70">
        <f>IF(原始資料!F70="","",IF(反向題設定!$C$9="是",反向題設定!$B$2+1-原始資料!F70,原始資料!F70))</f>
        <v/>
      </c>
      <c r="G70">
        <f>IF(原始資料!G70="","",IF(反向題設定!$C$10="是",反向題設定!$B$2+1-原始資料!G70,原始資料!G70))</f>
        <v/>
      </c>
      <c r="H70">
        <f>IF(原始資料!H70="","",IF(反向題設定!$C$11="是",反向題設定!$B$2+1-原始資料!H70,原始資料!H70))</f>
        <v/>
      </c>
      <c r="I70">
        <f>IF(原始資料!I70="","",IF(反向題設定!$C$12="是",反向題設定!$B$2+1-原始資料!I70,原始資料!I70))</f>
        <v/>
      </c>
      <c r="J70">
        <f>IF(原始資料!J70="","",IF(反向題設定!$C$13="是",反向題設定!$B$2+1-原始資料!J70,原始資料!J70))</f>
        <v/>
      </c>
      <c r="K70">
        <f>IF(原始資料!K70="","",IF(反向題設定!$C$14="是",反向題設定!$B$2+1-原始資料!K70,原始資料!K70))</f>
        <v/>
      </c>
      <c r="L70">
        <f>IF(原始資料!L70="","",IF(反向題設定!$C$15="是",反向題設定!$B$2+1-原始資料!L70,原始資料!L70))</f>
        <v/>
      </c>
      <c r="M70">
        <f>IF(原始資料!M70="","",IF(反向題設定!$C$16="是",反向題設定!$B$2+1-原始資料!M70,原始資料!M70))</f>
        <v/>
      </c>
      <c r="N70">
        <f>IF(原始資料!N70="","",IF(反向題設定!$C$17="是",反向題設定!$B$2+1-原始資料!N70,原始資料!N70))</f>
        <v/>
      </c>
      <c r="O70">
        <f>IF(原始資料!O70="","",IF(反向題設定!$C$18="是",反向題設定!$B$2+1-原始資料!O70,原始資料!O70))</f>
        <v/>
      </c>
      <c r="P70">
        <f>IF(原始資料!P70="","",IF(反向題設定!$C$19="是",反向題設定!$B$2+1-原始資料!P70,原始資料!P70))</f>
        <v/>
      </c>
      <c r="Q70">
        <f>IF(原始資料!Q70="","",IF(反向題設定!$C$20="是",反向題設定!$B$2+1-原始資料!Q70,原始資料!Q70))</f>
        <v/>
      </c>
      <c r="R70">
        <f>IF(原始資料!R70="","",IF(反向題設定!$C$21="是",反向題設定!$B$2+1-原始資料!R70,原始資料!R70))</f>
        <v/>
      </c>
      <c r="S70">
        <f>IF(原始資料!S70="","",IF(反向題設定!$C$22="是",反向題設定!$B$2+1-原始資料!S70,原始資料!S70))</f>
        <v/>
      </c>
      <c r="T70">
        <f>IF(原始資料!T70="","",IF(反向題設定!$C$23="是",反向題設定!$B$2+1-原始資料!T70,原始資料!T70))</f>
        <v/>
      </c>
      <c r="U70">
        <f>IF(原始資料!U70="","",IF(反向題設定!$C$24="是",反向題設定!$B$2+1-原始資料!U70,原始資料!U70))</f>
        <v/>
      </c>
      <c r="V70">
        <f>IF(原始資料!V70="","",IF(反向題設定!$C$25="是",反向題設定!$B$2+1-原始資料!V70,原始資料!V70))</f>
        <v/>
      </c>
      <c r="W70">
        <f>IF(原始資料!W70="","",IF(反向題設定!$C$26="是",反向題設定!$B$2+1-原始資料!W70,原始資料!W70))</f>
        <v/>
      </c>
      <c r="X70">
        <f>IF(原始資料!X70="","",IF(反向題設定!$C$27="是",反向題設定!$B$2+1-原始資料!X70,原始資料!X70))</f>
        <v/>
      </c>
      <c r="Y70">
        <f>IF(原始資料!Y70="","",IF(反向題設定!$C$28="是",反向題設定!$B$2+1-原始資料!Y70,原始資料!Y70))</f>
        <v/>
      </c>
      <c r="Z70">
        <f>IF(原始資料!Z70="","",IF(反向題設定!$C$29="是",反向題設定!$B$2+1-原始資料!Z70,原始資料!Z70))</f>
        <v/>
      </c>
      <c r="AA70">
        <f>IF(原始資料!AA70="","",IF(反向題設定!$C$30="是",反向題設定!$B$2+1-原始資料!AA70,原始資料!AA70))</f>
        <v/>
      </c>
      <c r="AB70">
        <f>IF(原始資料!AB70="","",IF(反向題設定!$C$31="是",反向題設定!$B$2+1-原始資料!AB70,原始資料!AB70))</f>
        <v/>
      </c>
      <c r="AC70">
        <f>IF(原始資料!AC70="","",IF(反向題設定!$C$32="是",反向題設定!$B$2+1-原始資料!AC70,原始資料!AC70))</f>
        <v/>
      </c>
      <c r="AD70">
        <f>IF(原始資料!AD70="","",IF(反向題設定!$C$33="是",反向題設定!$B$2+1-原始資料!AD70,原始資料!AD70))</f>
        <v/>
      </c>
      <c r="AE70">
        <f>IF(原始資料!AE70="","",IF(反向題設定!$C$34="是",反向題設定!$B$2+1-原始資料!AE70,原始資料!AE70))</f>
        <v/>
      </c>
      <c r="AF70">
        <f>IF(原始資料!AF70="","",IF(反向題設定!$C$35="是",反向題設定!$B$2+1-原始資料!AF70,原始資料!AF70))</f>
        <v/>
      </c>
      <c r="AG70">
        <f>IF(原始資料!AG70="","",IF(反向題設定!$C$36="是",反向題設定!$B$2+1-原始資料!AG70,原始資料!AG70))</f>
        <v/>
      </c>
      <c r="AH70">
        <f>IF(原始資料!AH70="","",IF(反向題設定!$C$37="是",反向題設定!$B$2+1-原始資料!AH70,原始資料!AH70))</f>
        <v/>
      </c>
      <c r="AI70">
        <f>IF(原始資料!AI70="","",IF(反向題設定!$C$38="是",反向題設定!$B$2+1-原始資料!AI70,原始資料!AI70))</f>
        <v/>
      </c>
      <c r="AJ70">
        <f>IF(原始資料!AJ70="","",IF(反向題設定!$C$39="是",反向題設定!$B$2+1-原始資料!AJ70,原始資料!AJ70))</f>
        <v/>
      </c>
      <c r="AK70">
        <f>IF(原始資料!AK70="","",IF(反向題設定!$C$40="是",反向題設定!$B$2+1-原始資料!AK70,原始資料!AK70))</f>
        <v/>
      </c>
      <c r="AL70">
        <f>IF(原始資料!AL70="","",IF(反向題設定!$C$41="是",反向題設定!$B$2+1-原始資料!AL70,原始資料!AL70))</f>
        <v/>
      </c>
      <c r="AM70">
        <f>IF(原始資料!AM70="","",IF(反向題設定!$C$42="是",反向題設定!$B$2+1-原始資料!AM70,原始資料!AM70))</f>
        <v/>
      </c>
      <c r="AN70">
        <f>IF(原始資料!AN70="","",IF(反向題設定!$C$43="是",反向題設定!$B$2+1-原始資料!AN70,原始資料!AN70))</f>
        <v/>
      </c>
      <c r="AO70">
        <f>IF(原始資料!AO70="","",IF(反向題設定!$C$44="是",反向題設定!$B$2+1-原始資料!AO70,原始資料!AO70))</f>
        <v/>
      </c>
      <c r="AP70">
        <f>IF(COUNT(B70:AO70)=0,"",SUM(B70:AO70))</f>
        <v/>
      </c>
      <c r="AQ70">
        <f>IF(AP70="","",IF(AP70&gt;=項目分析!$C$5,"高",IF(AP70&lt;=項目分析!$C$6,"低","")))</f>
        <v/>
      </c>
    </row>
    <row r="71">
      <c r="A71">
        <f>IF(原始資料!A71="","",原始資料!A71)</f>
        <v/>
      </c>
      <c r="B71">
        <f>IF(原始資料!B71="","",IF(反向題設定!$C$5="是",反向題設定!$B$2+1-原始資料!B71,原始資料!B71))</f>
        <v/>
      </c>
      <c r="C71">
        <f>IF(原始資料!C71="","",IF(反向題設定!$C$6="是",反向題設定!$B$2+1-原始資料!C71,原始資料!C71))</f>
        <v/>
      </c>
      <c r="D71">
        <f>IF(原始資料!D71="","",IF(反向題設定!$C$7="是",反向題設定!$B$2+1-原始資料!D71,原始資料!D71))</f>
        <v/>
      </c>
      <c r="E71">
        <f>IF(原始資料!E71="","",IF(反向題設定!$C$8="是",反向題設定!$B$2+1-原始資料!E71,原始資料!E71))</f>
        <v/>
      </c>
      <c r="F71">
        <f>IF(原始資料!F71="","",IF(反向題設定!$C$9="是",反向題設定!$B$2+1-原始資料!F71,原始資料!F71))</f>
        <v/>
      </c>
      <c r="G71">
        <f>IF(原始資料!G71="","",IF(反向題設定!$C$10="是",反向題設定!$B$2+1-原始資料!G71,原始資料!G71))</f>
        <v/>
      </c>
      <c r="H71">
        <f>IF(原始資料!H71="","",IF(反向題設定!$C$11="是",反向題設定!$B$2+1-原始資料!H71,原始資料!H71))</f>
        <v/>
      </c>
      <c r="I71">
        <f>IF(原始資料!I71="","",IF(反向題設定!$C$12="是",反向題設定!$B$2+1-原始資料!I71,原始資料!I71))</f>
        <v/>
      </c>
      <c r="J71">
        <f>IF(原始資料!J71="","",IF(反向題設定!$C$13="是",反向題設定!$B$2+1-原始資料!J71,原始資料!J71))</f>
        <v/>
      </c>
      <c r="K71">
        <f>IF(原始資料!K71="","",IF(反向題設定!$C$14="是",反向題設定!$B$2+1-原始資料!K71,原始資料!K71))</f>
        <v/>
      </c>
      <c r="L71">
        <f>IF(原始資料!L71="","",IF(反向題設定!$C$15="是",反向題設定!$B$2+1-原始資料!L71,原始資料!L71))</f>
        <v/>
      </c>
      <c r="M71">
        <f>IF(原始資料!M71="","",IF(反向題設定!$C$16="是",反向題設定!$B$2+1-原始資料!M71,原始資料!M71))</f>
        <v/>
      </c>
      <c r="N71">
        <f>IF(原始資料!N71="","",IF(反向題設定!$C$17="是",反向題設定!$B$2+1-原始資料!N71,原始資料!N71))</f>
        <v/>
      </c>
      <c r="O71">
        <f>IF(原始資料!O71="","",IF(反向題設定!$C$18="是",反向題設定!$B$2+1-原始資料!O71,原始資料!O71))</f>
        <v/>
      </c>
      <c r="P71">
        <f>IF(原始資料!P71="","",IF(反向題設定!$C$19="是",反向題設定!$B$2+1-原始資料!P71,原始資料!P71))</f>
        <v/>
      </c>
      <c r="Q71">
        <f>IF(原始資料!Q71="","",IF(反向題設定!$C$20="是",反向題設定!$B$2+1-原始資料!Q71,原始資料!Q71))</f>
        <v/>
      </c>
      <c r="R71">
        <f>IF(原始資料!R71="","",IF(反向題設定!$C$21="是",反向題設定!$B$2+1-原始資料!R71,原始資料!R71))</f>
        <v/>
      </c>
      <c r="S71">
        <f>IF(原始資料!S71="","",IF(反向題設定!$C$22="是",反向題設定!$B$2+1-原始資料!S71,原始資料!S71))</f>
        <v/>
      </c>
      <c r="T71">
        <f>IF(原始資料!T71="","",IF(反向題設定!$C$23="是",反向題設定!$B$2+1-原始資料!T71,原始資料!T71))</f>
        <v/>
      </c>
      <c r="U71">
        <f>IF(原始資料!U71="","",IF(反向題設定!$C$24="是",反向題設定!$B$2+1-原始資料!U71,原始資料!U71))</f>
        <v/>
      </c>
      <c r="V71">
        <f>IF(原始資料!V71="","",IF(反向題設定!$C$25="是",反向題設定!$B$2+1-原始資料!V71,原始資料!V71))</f>
        <v/>
      </c>
      <c r="W71">
        <f>IF(原始資料!W71="","",IF(反向題設定!$C$26="是",反向題設定!$B$2+1-原始資料!W71,原始資料!W71))</f>
        <v/>
      </c>
      <c r="X71">
        <f>IF(原始資料!X71="","",IF(反向題設定!$C$27="是",反向題設定!$B$2+1-原始資料!X71,原始資料!X71))</f>
        <v/>
      </c>
      <c r="Y71">
        <f>IF(原始資料!Y71="","",IF(反向題設定!$C$28="是",反向題設定!$B$2+1-原始資料!Y71,原始資料!Y71))</f>
        <v/>
      </c>
      <c r="Z71">
        <f>IF(原始資料!Z71="","",IF(反向題設定!$C$29="是",反向題設定!$B$2+1-原始資料!Z71,原始資料!Z71))</f>
        <v/>
      </c>
      <c r="AA71">
        <f>IF(原始資料!AA71="","",IF(反向題設定!$C$30="是",反向題設定!$B$2+1-原始資料!AA71,原始資料!AA71))</f>
        <v/>
      </c>
      <c r="AB71">
        <f>IF(原始資料!AB71="","",IF(反向題設定!$C$31="是",反向題設定!$B$2+1-原始資料!AB71,原始資料!AB71))</f>
        <v/>
      </c>
      <c r="AC71">
        <f>IF(原始資料!AC71="","",IF(反向題設定!$C$32="是",反向題設定!$B$2+1-原始資料!AC71,原始資料!AC71))</f>
        <v/>
      </c>
      <c r="AD71">
        <f>IF(原始資料!AD71="","",IF(反向題設定!$C$33="是",反向題設定!$B$2+1-原始資料!AD71,原始資料!AD71))</f>
        <v/>
      </c>
      <c r="AE71">
        <f>IF(原始資料!AE71="","",IF(反向題設定!$C$34="是",反向題設定!$B$2+1-原始資料!AE71,原始資料!AE71))</f>
        <v/>
      </c>
      <c r="AF71">
        <f>IF(原始資料!AF71="","",IF(反向題設定!$C$35="是",反向題設定!$B$2+1-原始資料!AF71,原始資料!AF71))</f>
        <v/>
      </c>
      <c r="AG71">
        <f>IF(原始資料!AG71="","",IF(反向題設定!$C$36="是",反向題設定!$B$2+1-原始資料!AG71,原始資料!AG71))</f>
        <v/>
      </c>
      <c r="AH71">
        <f>IF(原始資料!AH71="","",IF(反向題設定!$C$37="是",反向題設定!$B$2+1-原始資料!AH71,原始資料!AH71))</f>
        <v/>
      </c>
      <c r="AI71">
        <f>IF(原始資料!AI71="","",IF(反向題設定!$C$38="是",反向題設定!$B$2+1-原始資料!AI71,原始資料!AI71))</f>
        <v/>
      </c>
      <c r="AJ71">
        <f>IF(原始資料!AJ71="","",IF(反向題設定!$C$39="是",反向題設定!$B$2+1-原始資料!AJ71,原始資料!AJ71))</f>
        <v/>
      </c>
      <c r="AK71">
        <f>IF(原始資料!AK71="","",IF(反向題設定!$C$40="是",反向題設定!$B$2+1-原始資料!AK71,原始資料!AK71))</f>
        <v/>
      </c>
      <c r="AL71">
        <f>IF(原始資料!AL71="","",IF(反向題設定!$C$41="是",反向題設定!$B$2+1-原始資料!AL71,原始資料!AL71))</f>
        <v/>
      </c>
      <c r="AM71">
        <f>IF(原始資料!AM71="","",IF(反向題設定!$C$42="是",反向題設定!$B$2+1-原始資料!AM71,原始資料!AM71))</f>
        <v/>
      </c>
      <c r="AN71">
        <f>IF(原始資料!AN71="","",IF(反向題設定!$C$43="是",反向題設定!$B$2+1-原始資料!AN71,原始資料!AN71))</f>
        <v/>
      </c>
      <c r="AO71">
        <f>IF(原始資料!AO71="","",IF(反向題設定!$C$44="是",反向題設定!$B$2+1-原始資料!AO71,原始資料!AO71))</f>
        <v/>
      </c>
      <c r="AP71">
        <f>IF(COUNT(B71:AO71)=0,"",SUM(B71:AO71))</f>
        <v/>
      </c>
      <c r="AQ71">
        <f>IF(AP71="","",IF(AP71&gt;=項目分析!$C$5,"高",IF(AP71&lt;=項目分析!$C$6,"低","")))</f>
        <v/>
      </c>
    </row>
    <row r="72">
      <c r="A72">
        <f>IF(原始資料!A72="","",原始資料!A72)</f>
        <v/>
      </c>
      <c r="B72">
        <f>IF(原始資料!B72="","",IF(反向題設定!$C$5="是",反向題設定!$B$2+1-原始資料!B72,原始資料!B72))</f>
        <v/>
      </c>
      <c r="C72">
        <f>IF(原始資料!C72="","",IF(反向題設定!$C$6="是",反向題設定!$B$2+1-原始資料!C72,原始資料!C72))</f>
        <v/>
      </c>
      <c r="D72">
        <f>IF(原始資料!D72="","",IF(反向題設定!$C$7="是",反向題設定!$B$2+1-原始資料!D72,原始資料!D72))</f>
        <v/>
      </c>
      <c r="E72">
        <f>IF(原始資料!E72="","",IF(反向題設定!$C$8="是",反向題設定!$B$2+1-原始資料!E72,原始資料!E72))</f>
        <v/>
      </c>
      <c r="F72">
        <f>IF(原始資料!F72="","",IF(反向題設定!$C$9="是",反向題設定!$B$2+1-原始資料!F72,原始資料!F72))</f>
        <v/>
      </c>
      <c r="G72">
        <f>IF(原始資料!G72="","",IF(反向題設定!$C$10="是",反向題設定!$B$2+1-原始資料!G72,原始資料!G72))</f>
        <v/>
      </c>
      <c r="H72">
        <f>IF(原始資料!H72="","",IF(反向題設定!$C$11="是",反向題設定!$B$2+1-原始資料!H72,原始資料!H72))</f>
        <v/>
      </c>
      <c r="I72">
        <f>IF(原始資料!I72="","",IF(反向題設定!$C$12="是",反向題設定!$B$2+1-原始資料!I72,原始資料!I72))</f>
        <v/>
      </c>
      <c r="J72">
        <f>IF(原始資料!J72="","",IF(反向題設定!$C$13="是",反向題設定!$B$2+1-原始資料!J72,原始資料!J72))</f>
        <v/>
      </c>
      <c r="K72">
        <f>IF(原始資料!K72="","",IF(反向題設定!$C$14="是",反向題設定!$B$2+1-原始資料!K72,原始資料!K72))</f>
        <v/>
      </c>
      <c r="L72">
        <f>IF(原始資料!L72="","",IF(反向題設定!$C$15="是",反向題設定!$B$2+1-原始資料!L72,原始資料!L72))</f>
        <v/>
      </c>
      <c r="M72">
        <f>IF(原始資料!M72="","",IF(反向題設定!$C$16="是",反向題設定!$B$2+1-原始資料!M72,原始資料!M72))</f>
        <v/>
      </c>
      <c r="N72">
        <f>IF(原始資料!N72="","",IF(反向題設定!$C$17="是",反向題設定!$B$2+1-原始資料!N72,原始資料!N72))</f>
        <v/>
      </c>
      <c r="O72">
        <f>IF(原始資料!O72="","",IF(反向題設定!$C$18="是",反向題設定!$B$2+1-原始資料!O72,原始資料!O72))</f>
        <v/>
      </c>
      <c r="P72">
        <f>IF(原始資料!P72="","",IF(反向題設定!$C$19="是",反向題設定!$B$2+1-原始資料!P72,原始資料!P72))</f>
        <v/>
      </c>
      <c r="Q72">
        <f>IF(原始資料!Q72="","",IF(反向題設定!$C$20="是",反向題設定!$B$2+1-原始資料!Q72,原始資料!Q72))</f>
        <v/>
      </c>
      <c r="R72">
        <f>IF(原始資料!R72="","",IF(反向題設定!$C$21="是",反向題設定!$B$2+1-原始資料!R72,原始資料!R72))</f>
        <v/>
      </c>
      <c r="S72">
        <f>IF(原始資料!S72="","",IF(反向題設定!$C$22="是",反向題設定!$B$2+1-原始資料!S72,原始資料!S72))</f>
        <v/>
      </c>
      <c r="T72">
        <f>IF(原始資料!T72="","",IF(反向題設定!$C$23="是",反向題設定!$B$2+1-原始資料!T72,原始資料!T72))</f>
        <v/>
      </c>
      <c r="U72">
        <f>IF(原始資料!U72="","",IF(反向題設定!$C$24="是",反向題設定!$B$2+1-原始資料!U72,原始資料!U72))</f>
        <v/>
      </c>
      <c r="V72">
        <f>IF(原始資料!V72="","",IF(反向題設定!$C$25="是",反向題設定!$B$2+1-原始資料!V72,原始資料!V72))</f>
        <v/>
      </c>
      <c r="W72">
        <f>IF(原始資料!W72="","",IF(反向題設定!$C$26="是",反向題設定!$B$2+1-原始資料!W72,原始資料!W72))</f>
        <v/>
      </c>
      <c r="X72">
        <f>IF(原始資料!X72="","",IF(反向題設定!$C$27="是",反向題設定!$B$2+1-原始資料!X72,原始資料!X72))</f>
        <v/>
      </c>
      <c r="Y72">
        <f>IF(原始資料!Y72="","",IF(反向題設定!$C$28="是",反向題設定!$B$2+1-原始資料!Y72,原始資料!Y72))</f>
        <v/>
      </c>
      <c r="Z72">
        <f>IF(原始資料!Z72="","",IF(反向題設定!$C$29="是",反向題設定!$B$2+1-原始資料!Z72,原始資料!Z72))</f>
        <v/>
      </c>
      <c r="AA72">
        <f>IF(原始資料!AA72="","",IF(反向題設定!$C$30="是",反向題設定!$B$2+1-原始資料!AA72,原始資料!AA72))</f>
        <v/>
      </c>
      <c r="AB72">
        <f>IF(原始資料!AB72="","",IF(反向題設定!$C$31="是",反向題設定!$B$2+1-原始資料!AB72,原始資料!AB72))</f>
        <v/>
      </c>
      <c r="AC72">
        <f>IF(原始資料!AC72="","",IF(反向題設定!$C$32="是",反向題設定!$B$2+1-原始資料!AC72,原始資料!AC72))</f>
        <v/>
      </c>
      <c r="AD72">
        <f>IF(原始資料!AD72="","",IF(反向題設定!$C$33="是",反向題設定!$B$2+1-原始資料!AD72,原始資料!AD72))</f>
        <v/>
      </c>
      <c r="AE72">
        <f>IF(原始資料!AE72="","",IF(反向題設定!$C$34="是",反向題設定!$B$2+1-原始資料!AE72,原始資料!AE72))</f>
        <v/>
      </c>
      <c r="AF72">
        <f>IF(原始資料!AF72="","",IF(反向題設定!$C$35="是",反向題設定!$B$2+1-原始資料!AF72,原始資料!AF72))</f>
        <v/>
      </c>
      <c r="AG72">
        <f>IF(原始資料!AG72="","",IF(反向題設定!$C$36="是",反向題設定!$B$2+1-原始資料!AG72,原始資料!AG72))</f>
        <v/>
      </c>
      <c r="AH72">
        <f>IF(原始資料!AH72="","",IF(反向題設定!$C$37="是",反向題設定!$B$2+1-原始資料!AH72,原始資料!AH72))</f>
        <v/>
      </c>
      <c r="AI72">
        <f>IF(原始資料!AI72="","",IF(反向題設定!$C$38="是",反向題設定!$B$2+1-原始資料!AI72,原始資料!AI72))</f>
        <v/>
      </c>
      <c r="AJ72">
        <f>IF(原始資料!AJ72="","",IF(反向題設定!$C$39="是",反向題設定!$B$2+1-原始資料!AJ72,原始資料!AJ72))</f>
        <v/>
      </c>
      <c r="AK72">
        <f>IF(原始資料!AK72="","",IF(反向題設定!$C$40="是",反向題設定!$B$2+1-原始資料!AK72,原始資料!AK72))</f>
        <v/>
      </c>
      <c r="AL72">
        <f>IF(原始資料!AL72="","",IF(反向題設定!$C$41="是",反向題設定!$B$2+1-原始資料!AL72,原始資料!AL72))</f>
        <v/>
      </c>
      <c r="AM72">
        <f>IF(原始資料!AM72="","",IF(反向題設定!$C$42="是",反向題設定!$B$2+1-原始資料!AM72,原始資料!AM72))</f>
        <v/>
      </c>
      <c r="AN72">
        <f>IF(原始資料!AN72="","",IF(反向題設定!$C$43="是",反向題設定!$B$2+1-原始資料!AN72,原始資料!AN72))</f>
        <v/>
      </c>
      <c r="AO72">
        <f>IF(原始資料!AO72="","",IF(反向題設定!$C$44="是",反向題設定!$B$2+1-原始資料!AO72,原始資料!AO72))</f>
        <v/>
      </c>
      <c r="AP72">
        <f>IF(COUNT(B72:AO72)=0,"",SUM(B72:AO72))</f>
        <v/>
      </c>
      <c r="AQ72">
        <f>IF(AP72="","",IF(AP72&gt;=項目分析!$C$5,"高",IF(AP72&lt;=項目分析!$C$6,"低","")))</f>
        <v/>
      </c>
    </row>
    <row r="73">
      <c r="A73">
        <f>IF(原始資料!A73="","",原始資料!A73)</f>
        <v/>
      </c>
      <c r="B73">
        <f>IF(原始資料!B73="","",IF(反向題設定!$C$5="是",反向題設定!$B$2+1-原始資料!B73,原始資料!B73))</f>
        <v/>
      </c>
      <c r="C73">
        <f>IF(原始資料!C73="","",IF(反向題設定!$C$6="是",反向題設定!$B$2+1-原始資料!C73,原始資料!C73))</f>
        <v/>
      </c>
      <c r="D73">
        <f>IF(原始資料!D73="","",IF(反向題設定!$C$7="是",反向題設定!$B$2+1-原始資料!D73,原始資料!D73))</f>
        <v/>
      </c>
      <c r="E73">
        <f>IF(原始資料!E73="","",IF(反向題設定!$C$8="是",反向題設定!$B$2+1-原始資料!E73,原始資料!E73))</f>
        <v/>
      </c>
      <c r="F73">
        <f>IF(原始資料!F73="","",IF(反向題設定!$C$9="是",反向題設定!$B$2+1-原始資料!F73,原始資料!F73))</f>
        <v/>
      </c>
      <c r="G73">
        <f>IF(原始資料!G73="","",IF(反向題設定!$C$10="是",反向題設定!$B$2+1-原始資料!G73,原始資料!G73))</f>
        <v/>
      </c>
      <c r="H73">
        <f>IF(原始資料!H73="","",IF(反向題設定!$C$11="是",反向題設定!$B$2+1-原始資料!H73,原始資料!H73))</f>
        <v/>
      </c>
      <c r="I73">
        <f>IF(原始資料!I73="","",IF(反向題設定!$C$12="是",反向題設定!$B$2+1-原始資料!I73,原始資料!I73))</f>
        <v/>
      </c>
      <c r="J73">
        <f>IF(原始資料!J73="","",IF(反向題設定!$C$13="是",反向題設定!$B$2+1-原始資料!J73,原始資料!J73))</f>
        <v/>
      </c>
      <c r="K73">
        <f>IF(原始資料!K73="","",IF(反向題設定!$C$14="是",反向題設定!$B$2+1-原始資料!K73,原始資料!K73))</f>
        <v/>
      </c>
      <c r="L73">
        <f>IF(原始資料!L73="","",IF(反向題設定!$C$15="是",反向題設定!$B$2+1-原始資料!L73,原始資料!L73))</f>
        <v/>
      </c>
      <c r="M73">
        <f>IF(原始資料!M73="","",IF(反向題設定!$C$16="是",反向題設定!$B$2+1-原始資料!M73,原始資料!M73))</f>
        <v/>
      </c>
      <c r="N73">
        <f>IF(原始資料!N73="","",IF(反向題設定!$C$17="是",反向題設定!$B$2+1-原始資料!N73,原始資料!N73))</f>
        <v/>
      </c>
      <c r="O73">
        <f>IF(原始資料!O73="","",IF(反向題設定!$C$18="是",反向題設定!$B$2+1-原始資料!O73,原始資料!O73))</f>
        <v/>
      </c>
      <c r="P73">
        <f>IF(原始資料!P73="","",IF(反向題設定!$C$19="是",反向題設定!$B$2+1-原始資料!P73,原始資料!P73))</f>
        <v/>
      </c>
      <c r="Q73">
        <f>IF(原始資料!Q73="","",IF(反向題設定!$C$20="是",反向題設定!$B$2+1-原始資料!Q73,原始資料!Q73))</f>
        <v/>
      </c>
      <c r="R73">
        <f>IF(原始資料!R73="","",IF(反向題設定!$C$21="是",反向題設定!$B$2+1-原始資料!R73,原始資料!R73))</f>
        <v/>
      </c>
      <c r="S73">
        <f>IF(原始資料!S73="","",IF(反向題設定!$C$22="是",反向題設定!$B$2+1-原始資料!S73,原始資料!S73))</f>
        <v/>
      </c>
      <c r="T73">
        <f>IF(原始資料!T73="","",IF(反向題設定!$C$23="是",反向題設定!$B$2+1-原始資料!T73,原始資料!T73))</f>
        <v/>
      </c>
      <c r="U73">
        <f>IF(原始資料!U73="","",IF(反向題設定!$C$24="是",反向題設定!$B$2+1-原始資料!U73,原始資料!U73))</f>
        <v/>
      </c>
      <c r="V73">
        <f>IF(原始資料!V73="","",IF(反向題設定!$C$25="是",反向題設定!$B$2+1-原始資料!V73,原始資料!V73))</f>
        <v/>
      </c>
      <c r="W73">
        <f>IF(原始資料!W73="","",IF(反向題設定!$C$26="是",反向題設定!$B$2+1-原始資料!W73,原始資料!W73))</f>
        <v/>
      </c>
      <c r="X73">
        <f>IF(原始資料!X73="","",IF(反向題設定!$C$27="是",反向題設定!$B$2+1-原始資料!X73,原始資料!X73))</f>
        <v/>
      </c>
      <c r="Y73">
        <f>IF(原始資料!Y73="","",IF(反向題設定!$C$28="是",反向題設定!$B$2+1-原始資料!Y73,原始資料!Y73))</f>
        <v/>
      </c>
      <c r="Z73">
        <f>IF(原始資料!Z73="","",IF(反向題設定!$C$29="是",反向題設定!$B$2+1-原始資料!Z73,原始資料!Z73))</f>
        <v/>
      </c>
      <c r="AA73">
        <f>IF(原始資料!AA73="","",IF(反向題設定!$C$30="是",反向題設定!$B$2+1-原始資料!AA73,原始資料!AA73))</f>
        <v/>
      </c>
      <c r="AB73">
        <f>IF(原始資料!AB73="","",IF(反向題設定!$C$31="是",反向題設定!$B$2+1-原始資料!AB73,原始資料!AB73))</f>
        <v/>
      </c>
      <c r="AC73">
        <f>IF(原始資料!AC73="","",IF(反向題設定!$C$32="是",反向題設定!$B$2+1-原始資料!AC73,原始資料!AC73))</f>
        <v/>
      </c>
      <c r="AD73">
        <f>IF(原始資料!AD73="","",IF(反向題設定!$C$33="是",反向題設定!$B$2+1-原始資料!AD73,原始資料!AD73))</f>
        <v/>
      </c>
      <c r="AE73">
        <f>IF(原始資料!AE73="","",IF(反向題設定!$C$34="是",反向題設定!$B$2+1-原始資料!AE73,原始資料!AE73))</f>
        <v/>
      </c>
      <c r="AF73">
        <f>IF(原始資料!AF73="","",IF(反向題設定!$C$35="是",反向題設定!$B$2+1-原始資料!AF73,原始資料!AF73))</f>
        <v/>
      </c>
      <c r="AG73">
        <f>IF(原始資料!AG73="","",IF(反向題設定!$C$36="是",反向題設定!$B$2+1-原始資料!AG73,原始資料!AG73))</f>
        <v/>
      </c>
      <c r="AH73">
        <f>IF(原始資料!AH73="","",IF(反向題設定!$C$37="是",反向題設定!$B$2+1-原始資料!AH73,原始資料!AH73))</f>
        <v/>
      </c>
      <c r="AI73">
        <f>IF(原始資料!AI73="","",IF(反向題設定!$C$38="是",反向題設定!$B$2+1-原始資料!AI73,原始資料!AI73))</f>
        <v/>
      </c>
      <c r="AJ73">
        <f>IF(原始資料!AJ73="","",IF(反向題設定!$C$39="是",反向題設定!$B$2+1-原始資料!AJ73,原始資料!AJ73))</f>
        <v/>
      </c>
      <c r="AK73">
        <f>IF(原始資料!AK73="","",IF(反向題設定!$C$40="是",反向題設定!$B$2+1-原始資料!AK73,原始資料!AK73))</f>
        <v/>
      </c>
      <c r="AL73">
        <f>IF(原始資料!AL73="","",IF(反向題設定!$C$41="是",反向題設定!$B$2+1-原始資料!AL73,原始資料!AL73))</f>
        <v/>
      </c>
      <c r="AM73">
        <f>IF(原始資料!AM73="","",IF(反向題設定!$C$42="是",反向題設定!$B$2+1-原始資料!AM73,原始資料!AM73))</f>
        <v/>
      </c>
      <c r="AN73">
        <f>IF(原始資料!AN73="","",IF(反向題設定!$C$43="是",反向題設定!$B$2+1-原始資料!AN73,原始資料!AN73))</f>
        <v/>
      </c>
      <c r="AO73">
        <f>IF(原始資料!AO73="","",IF(反向題設定!$C$44="是",反向題設定!$B$2+1-原始資料!AO73,原始資料!AO73))</f>
        <v/>
      </c>
      <c r="AP73">
        <f>IF(COUNT(B73:AO73)=0,"",SUM(B73:AO73))</f>
        <v/>
      </c>
      <c r="AQ73">
        <f>IF(AP73="","",IF(AP73&gt;=項目分析!$C$5,"高",IF(AP73&lt;=項目分析!$C$6,"低","")))</f>
        <v/>
      </c>
    </row>
    <row r="74">
      <c r="A74">
        <f>IF(原始資料!A74="","",原始資料!A74)</f>
        <v/>
      </c>
      <c r="B74">
        <f>IF(原始資料!B74="","",IF(反向題設定!$C$5="是",反向題設定!$B$2+1-原始資料!B74,原始資料!B74))</f>
        <v/>
      </c>
      <c r="C74">
        <f>IF(原始資料!C74="","",IF(反向題設定!$C$6="是",反向題設定!$B$2+1-原始資料!C74,原始資料!C74))</f>
        <v/>
      </c>
      <c r="D74">
        <f>IF(原始資料!D74="","",IF(反向題設定!$C$7="是",反向題設定!$B$2+1-原始資料!D74,原始資料!D74))</f>
        <v/>
      </c>
      <c r="E74">
        <f>IF(原始資料!E74="","",IF(反向題設定!$C$8="是",反向題設定!$B$2+1-原始資料!E74,原始資料!E74))</f>
        <v/>
      </c>
      <c r="F74">
        <f>IF(原始資料!F74="","",IF(反向題設定!$C$9="是",反向題設定!$B$2+1-原始資料!F74,原始資料!F74))</f>
        <v/>
      </c>
      <c r="G74">
        <f>IF(原始資料!G74="","",IF(反向題設定!$C$10="是",反向題設定!$B$2+1-原始資料!G74,原始資料!G74))</f>
        <v/>
      </c>
      <c r="H74">
        <f>IF(原始資料!H74="","",IF(反向題設定!$C$11="是",反向題設定!$B$2+1-原始資料!H74,原始資料!H74))</f>
        <v/>
      </c>
      <c r="I74">
        <f>IF(原始資料!I74="","",IF(反向題設定!$C$12="是",反向題設定!$B$2+1-原始資料!I74,原始資料!I74))</f>
        <v/>
      </c>
      <c r="J74">
        <f>IF(原始資料!J74="","",IF(反向題設定!$C$13="是",反向題設定!$B$2+1-原始資料!J74,原始資料!J74))</f>
        <v/>
      </c>
      <c r="K74">
        <f>IF(原始資料!K74="","",IF(反向題設定!$C$14="是",反向題設定!$B$2+1-原始資料!K74,原始資料!K74))</f>
        <v/>
      </c>
      <c r="L74">
        <f>IF(原始資料!L74="","",IF(反向題設定!$C$15="是",反向題設定!$B$2+1-原始資料!L74,原始資料!L74))</f>
        <v/>
      </c>
      <c r="M74">
        <f>IF(原始資料!M74="","",IF(反向題設定!$C$16="是",反向題設定!$B$2+1-原始資料!M74,原始資料!M74))</f>
        <v/>
      </c>
      <c r="N74">
        <f>IF(原始資料!N74="","",IF(反向題設定!$C$17="是",反向題設定!$B$2+1-原始資料!N74,原始資料!N74))</f>
        <v/>
      </c>
      <c r="O74">
        <f>IF(原始資料!O74="","",IF(反向題設定!$C$18="是",反向題設定!$B$2+1-原始資料!O74,原始資料!O74))</f>
        <v/>
      </c>
      <c r="P74">
        <f>IF(原始資料!P74="","",IF(反向題設定!$C$19="是",反向題設定!$B$2+1-原始資料!P74,原始資料!P74))</f>
        <v/>
      </c>
      <c r="Q74">
        <f>IF(原始資料!Q74="","",IF(反向題設定!$C$20="是",反向題設定!$B$2+1-原始資料!Q74,原始資料!Q74))</f>
        <v/>
      </c>
      <c r="R74">
        <f>IF(原始資料!R74="","",IF(反向題設定!$C$21="是",反向題設定!$B$2+1-原始資料!R74,原始資料!R74))</f>
        <v/>
      </c>
      <c r="S74">
        <f>IF(原始資料!S74="","",IF(反向題設定!$C$22="是",反向題設定!$B$2+1-原始資料!S74,原始資料!S74))</f>
        <v/>
      </c>
      <c r="T74">
        <f>IF(原始資料!T74="","",IF(反向題設定!$C$23="是",反向題設定!$B$2+1-原始資料!T74,原始資料!T74))</f>
        <v/>
      </c>
      <c r="U74">
        <f>IF(原始資料!U74="","",IF(反向題設定!$C$24="是",反向題設定!$B$2+1-原始資料!U74,原始資料!U74))</f>
        <v/>
      </c>
      <c r="V74">
        <f>IF(原始資料!V74="","",IF(反向題設定!$C$25="是",反向題設定!$B$2+1-原始資料!V74,原始資料!V74))</f>
        <v/>
      </c>
      <c r="W74">
        <f>IF(原始資料!W74="","",IF(反向題設定!$C$26="是",反向題設定!$B$2+1-原始資料!W74,原始資料!W74))</f>
        <v/>
      </c>
      <c r="X74">
        <f>IF(原始資料!X74="","",IF(反向題設定!$C$27="是",反向題設定!$B$2+1-原始資料!X74,原始資料!X74))</f>
        <v/>
      </c>
      <c r="Y74">
        <f>IF(原始資料!Y74="","",IF(反向題設定!$C$28="是",反向題設定!$B$2+1-原始資料!Y74,原始資料!Y74))</f>
        <v/>
      </c>
      <c r="Z74">
        <f>IF(原始資料!Z74="","",IF(反向題設定!$C$29="是",反向題設定!$B$2+1-原始資料!Z74,原始資料!Z74))</f>
        <v/>
      </c>
      <c r="AA74">
        <f>IF(原始資料!AA74="","",IF(反向題設定!$C$30="是",反向題設定!$B$2+1-原始資料!AA74,原始資料!AA74))</f>
        <v/>
      </c>
      <c r="AB74">
        <f>IF(原始資料!AB74="","",IF(反向題設定!$C$31="是",反向題設定!$B$2+1-原始資料!AB74,原始資料!AB74))</f>
        <v/>
      </c>
      <c r="AC74">
        <f>IF(原始資料!AC74="","",IF(反向題設定!$C$32="是",反向題設定!$B$2+1-原始資料!AC74,原始資料!AC74))</f>
        <v/>
      </c>
      <c r="AD74">
        <f>IF(原始資料!AD74="","",IF(反向題設定!$C$33="是",反向題設定!$B$2+1-原始資料!AD74,原始資料!AD74))</f>
        <v/>
      </c>
      <c r="AE74">
        <f>IF(原始資料!AE74="","",IF(反向題設定!$C$34="是",反向題設定!$B$2+1-原始資料!AE74,原始資料!AE74))</f>
        <v/>
      </c>
      <c r="AF74">
        <f>IF(原始資料!AF74="","",IF(反向題設定!$C$35="是",反向題設定!$B$2+1-原始資料!AF74,原始資料!AF74))</f>
        <v/>
      </c>
      <c r="AG74">
        <f>IF(原始資料!AG74="","",IF(反向題設定!$C$36="是",反向題設定!$B$2+1-原始資料!AG74,原始資料!AG74))</f>
        <v/>
      </c>
      <c r="AH74">
        <f>IF(原始資料!AH74="","",IF(反向題設定!$C$37="是",反向題設定!$B$2+1-原始資料!AH74,原始資料!AH74))</f>
        <v/>
      </c>
      <c r="AI74">
        <f>IF(原始資料!AI74="","",IF(反向題設定!$C$38="是",反向題設定!$B$2+1-原始資料!AI74,原始資料!AI74))</f>
        <v/>
      </c>
      <c r="AJ74">
        <f>IF(原始資料!AJ74="","",IF(反向題設定!$C$39="是",反向題設定!$B$2+1-原始資料!AJ74,原始資料!AJ74))</f>
        <v/>
      </c>
      <c r="AK74">
        <f>IF(原始資料!AK74="","",IF(反向題設定!$C$40="是",反向題設定!$B$2+1-原始資料!AK74,原始資料!AK74))</f>
        <v/>
      </c>
      <c r="AL74">
        <f>IF(原始資料!AL74="","",IF(反向題設定!$C$41="是",反向題設定!$B$2+1-原始資料!AL74,原始資料!AL74))</f>
        <v/>
      </c>
      <c r="AM74">
        <f>IF(原始資料!AM74="","",IF(反向題設定!$C$42="是",反向題設定!$B$2+1-原始資料!AM74,原始資料!AM74))</f>
        <v/>
      </c>
      <c r="AN74">
        <f>IF(原始資料!AN74="","",IF(反向題設定!$C$43="是",反向題設定!$B$2+1-原始資料!AN74,原始資料!AN74))</f>
        <v/>
      </c>
      <c r="AO74">
        <f>IF(原始資料!AO74="","",IF(反向題設定!$C$44="是",反向題設定!$B$2+1-原始資料!AO74,原始資料!AO74))</f>
        <v/>
      </c>
      <c r="AP74">
        <f>IF(COUNT(B74:AO74)=0,"",SUM(B74:AO74))</f>
        <v/>
      </c>
      <c r="AQ74">
        <f>IF(AP74="","",IF(AP74&gt;=項目分析!$C$5,"高",IF(AP74&lt;=項目分析!$C$6,"低","")))</f>
        <v/>
      </c>
    </row>
    <row r="75">
      <c r="A75">
        <f>IF(原始資料!A75="","",原始資料!A75)</f>
        <v/>
      </c>
      <c r="B75">
        <f>IF(原始資料!B75="","",IF(反向題設定!$C$5="是",反向題設定!$B$2+1-原始資料!B75,原始資料!B75))</f>
        <v/>
      </c>
      <c r="C75">
        <f>IF(原始資料!C75="","",IF(反向題設定!$C$6="是",反向題設定!$B$2+1-原始資料!C75,原始資料!C75))</f>
        <v/>
      </c>
      <c r="D75">
        <f>IF(原始資料!D75="","",IF(反向題設定!$C$7="是",反向題設定!$B$2+1-原始資料!D75,原始資料!D75))</f>
        <v/>
      </c>
      <c r="E75">
        <f>IF(原始資料!E75="","",IF(反向題設定!$C$8="是",反向題設定!$B$2+1-原始資料!E75,原始資料!E75))</f>
        <v/>
      </c>
      <c r="F75">
        <f>IF(原始資料!F75="","",IF(反向題設定!$C$9="是",反向題設定!$B$2+1-原始資料!F75,原始資料!F75))</f>
        <v/>
      </c>
      <c r="G75">
        <f>IF(原始資料!G75="","",IF(反向題設定!$C$10="是",反向題設定!$B$2+1-原始資料!G75,原始資料!G75))</f>
        <v/>
      </c>
      <c r="H75">
        <f>IF(原始資料!H75="","",IF(反向題設定!$C$11="是",反向題設定!$B$2+1-原始資料!H75,原始資料!H75))</f>
        <v/>
      </c>
      <c r="I75">
        <f>IF(原始資料!I75="","",IF(反向題設定!$C$12="是",反向題設定!$B$2+1-原始資料!I75,原始資料!I75))</f>
        <v/>
      </c>
      <c r="J75">
        <f>IF(原始資料!J75="","",IF(反向題設定!$C$13="是",反向題設定!$B$2+1-原始資料!J75,原始資料!J75))</f>
        <v/>
      </c>
      <c r="K75">
        <f>IF(原始資料!K75="","",IF(反向題設定!$C$14="是",反向題設定!$B$2+1-原始資料!K75,原始資料!K75))</f>
        <v/>
      </c>
      <c r="L75">
        <f>IF(原始資料!L75="","",IF(反向題設定!$C$15="是",反向題設定!$B$2+1-原始資料!L75,原始資料!L75))</f>
        <v/>
      </c>
      <c r="M75">
        <f>IF(原始資料!M75="","",IF(反向題設定!$C$16="是",反向題設定!$B$2+1-原始資料!M75,原始資料!M75))</f>
        <v/>
      </c>
      <c r="N75">
        <f>IF(原始資料!N75="","",IF(反向題設定!$C$17="是",反向題設定!$B$2+1-原始資料!N75,原始資料!N75))</f>
        <v/>
      </c>
      <c r="O75">
        <f>IF(原始資料!O75="","",IF(反向題設定!$C$18="是",反向題設定!$B$2+1-原始資料!O75,原始資料!O75))</f>
        <v/>
      </c>
      <c r="P75">
        <f>IF(原始資料!P75="","",IF(反向題設定!$C$19="是",反向題設定!$B$2+1-原始資料!P75,原始資料!P75))</f>
        <v/>
      </c>
      <c r="Q75">
        <f>IF(原始資料!Q75="","",IF(反向題設定!$C$20="是",反向題設定!$B$2+1-原始資料!Q75,原始資料!Q75))</f>
        <v/>
      </c>
      <c r="R75">
        <f>IF(原始資料!R75="","",IF(反向題設定!$C$21="是",反向題設定!$B$2+1-原始資料!R75,原始資料!R75))</f>
        <v/>
      </c>
      <c r="S75">
        <f>IF(原始資料!S75="","",IF(反向題設定!$C$22="是",反向題設定!$B$2+1-原始資料!S75,原始資料!S75))</f>
        <v/>
      </c>
      <c r="T75">
        <f>IF(原始資料!T75="","",IF(反向題設定!$C$23="是",反向題設定!$B$2+1-原始資料!T75,原始資料!T75))</f>
        <v/>
      </c>
      <c r="U75">
        <f>IF(原始資料!U75="","",IF(反向題設定!$C$24="是",反向題設定!$B$2+1-原始資料!U75,原始資料!U75))</f>
        <v/>
      </c>
      <c r="V75">
        <f>IF(原始資料!V75="","",IF(反向題設定!$C$25="是",反向題設定!$B$2+1-原始資料!V75,原始資料!V75))</f>
        <v/>
      </c>
      <c r="W75">
        <f>IF(原始資料!W75="","",IF(反向題設定!$C$26="是",反向題設定!$B$2+1-原始資料!W75,原始資料!W75))</f>
        <v/>
      </c>
      <c r="X75">
        <f>IF(原始資料!X75="","",IF(反向題設定!$C$27="是",反向題設定!$B$2+1-原始資料!X75,原始資料!X75))</f>
        <v/>
      </c>
      <c r="Y75">
        <f>IF(原始資料!Y75="","",IF(反向題設定!$C$28="是",反向題設定!$B$2+1-原始資料!Y75,原始資料!Y75))</f>
        <v/>
      </c>
      <c r="Z75">
        <f>IF(原始資料!Z75="","",IF(反向題設定!$C$29="是",反向題設定!$B$2+1-原始資料!Z75,原始資料!Z75))</f>
        <v/>
      </c>
      <c r="AA75">
        <f>IF(原始資料!AA75="","",IF(反向題設定!$C$30="是",反向題設定!$B$2+1-原始資料!AA75,原始資料!AA75))</f>
        <v/>
      </c>
      <c r="AB75">
        <f>IF(原始資料!AB75="","",IF(反向題設定!$C$31="是",反向題設定!$B$2+1-原始資料!AB75,原始資料!AB75))</f>
        <v/>
      </c>
      <c r="AC75">
        <f>IF(原始資料!AC75="","",IF(反向題設定!$C$32="是",反向題設定!$B$2+1-原始資料!AC75,原始資料!AC75))</f>
        <v/>
      </c>
      <c r="AD75">
        <f>IF(原始資料!AD75="","",IF(反向題設定!$C$33="是",反向題設定!$B$2+1-原始資料!AD75,原始資料!AD75))</f>
        <v/>
      </c>
      <c r="AE75">
        <f>IF(原始資料!AE75="","",IF(反向題設定!$C$34="是",反向題設定!$B$2+1-原始資料!AE75,原始資料!AE75))</f>
        <v/>
      </c>
      <c r="AF75">
        <f>IF(原始資料!AF75="","",IF(反向題設定!$C$35="是",反向題設定!$B$2+1-原始資料!AF75,原始資料!AF75))</f>
        <v/>
      </c>
      <c r="AG75">
        <f>IF(原始資料!AG75="","",IF(反向題設定!$C$36="是",反向題設定!$B$2+1-原始資料!AG75,原始資料!AG75))</f>
        <v/>
      </c>
      <c r="AH75">
        <f>IF(原始資料!AH75="","",IF(反向題設定!$C$37="是",反向題設定!$B$2+1-原始資料!AH75,原始資料!AH75))</f>
        <v/>
      </c>
      <c r="AI75">
        <f>IF(原始資料!AI75="","",IF(反向題設定!$C$38="是",反向題設定!$B$2+1-原始資料!AI75,原始資料!AI75))</f>
        <v/>
      </c>
      <c r="AJ75">
        <f>IF(原始資料!AJ75="","",IF(反向題設定!$C$39="是",反向題設定!$B$2+1-原始資料!AJ75,原始資料!AJ75))</f>
        <v/>
      </c>
      <c r="AK75">
        <f>IF(原始資料!AK75="","",IF(反向題設定!$C$40="是",反向題設定!$B$2+1-原始資料!AK75,原始資料!AK75))</f>
        <v/>
      </c>
      <c r="AL75">
        <f>IF(原始資料!AL75="","",IF(反向題設定!$C$41="是",反向題設定!$B$2+1-原始資料!AL75,原始資料!AL75))</f>
        <v/>
      </c>
      <c r="AM75">
        <f>IF(原始資料!AM75="","",IF(反向題設定!$C$42="是",反向題設定!$B$2+1-原始資料!AM75,原始資料!AM75))</f>
        <v/>
      </c>
      <c r="AN75">
        <f>IF(原始資料!AN75="","",IF(反向題設定!$C$43="是",反向題設定!$B$2+1-原始資料!AN75,原始資料!AN75))</f>
        <v/>
      </c>
      <c r="AO75">
        <f>IF(原始資料!AO75="","",IF(反向題設定!$C$44="是",反向題設定!$B$2+1-原始資料!AO75,原始資料!AO75))</f>
        <v/>
      </c>
      <c r="AP75">
        <f>IF(COUNT(B75:AO75)=0,"",SUM(B75:AO75))</f>
        <v/>
      </c>
      <c r="AQ75">
        <f>IF(AP75="","",IF(AP75&gt;=項目分析!$C$5,"高",IF(AP75&lt;=項目分析!$C$6,"低","")))</f>
        <v/>
      </c>
    </row>
    <row r="76">
      <c r="A76">
        <f>IF(原始資料!A76="","",原始資料!A76)</f>
        <v/>
      </c>
      <c r="B76">
        <f>IF(原始資料!B76="","",IF(反向題設定!$C$5="是",反向題設定!$B$2+1-原始資料!B76,原始資料!B76))</f>
        <v/>
      </c>
      <c r="C76">
        <f>IF(原始資料!C76="","",IF(反向題設定!$C$6="是",反向題設定!$B$2+1-原始資料!C76,原始資料!C76))</f>
        <v/>
      </c>
      <c r="D76">
        <f>IF(原始資料!D76="","",IF(反向題設定!$C$7="是",反向題設定!$B$2+1-原始資料!D76,原始資料!D76))</f>
        <v/>
      </c>
      <c r="E76">
        <f>IF(原始資料!E76="","",IF(反向題設定!$C$8="是",反向題設定!$B$2+1-原始資料!E76,原始資料!E76))</f>
        <v/>
      </c>
      <c r="F76">
        <f>IF(原始資料!F76="","",IF(反向題設定!$C$9="是",反向題設定!$B$2+1-原始資料!F76,原始資料!F76))</f>
        <v/>
      </c>
      <c r="G76">
        <f>IF(原始資料!G76="","",IF(反向題設定!$C$10="是",反向題設定!$B$2+1-原始資料!G76,原始資料!G76))</f>
        <v/>
      </c>
      <c r="H76">
        <f>IF(原始資料!H76="","",IF(反向題設定!$C$11="是",反向題設定!$B$2+1-原始資料!H76,原始資料!H76))</f>
        <v/>
      </c>
      <c r="I76">
        <f>IF(原始資料!I76="","",IF(反向題設定!$C$12="是",反向題設定!$B$2+1-原始資料!I76,原始資料!I76))</f>
        <v/>
      </c>
      <c r="J76">
        <f>IF(原始資料!J76="","",IF(反向題設定!$C$13="是",反向題設定!$B$2+1-原始資料!J76,原始資料!J76))</f>
        <v/>
      </c>
      <c r="K76">
        <f>IF(原始資料!K76="","",IF(反向題設定!$C$14="是",反向題設定!$B$2+1-原始資料!K76,原始資料!K76))</f>
        <v/>
      </c>
      <c r="L76">
        <f>IF(原始資料!L76="","",IF(反向題設定!$C$15="是",反向題設定!$B$2+1-原始資料!L76,原始資料!L76))</f>
        <v/>
      </c>
      <c r="M76">
        <f>IF(原始資料!M76="","",IF(反向題設定!$C$16="是",反向題設定!$B$2+1-原始資料!M76,原始資料!M76))</f>
        <v/>
      </c>
      <c r="N76">
        <f>IF(原始資料!N76="","",IF(反向題設定!$C$17="是",反向題設定!$B$2+1-原始資料!N76,原始資料!N76))</f>
        <v/>
      </c>
      <c r="O76">
        <f>IF(原始資料!O76="","",IF(反向題設定!$C$18="是",反向題設定!$B$2+1-原始資料!O76,原始資料!O76))</f>
        <v/>
      </c>
      <c r="P76">
        <f>IF(原始資料!P76="","",IF(反向題設定!$C$19="是",反向題設定!$B$2+1-原始資料!P76,原始資料!P76))</f>
        <v/>
      </c>
      <c r="Q76">
        <f>IF(原始資料!Q76="","",IF(反向題設定!$C$20="是",反向題設定!$B$2+1-原始資料!Q76,原始資料!Q76))</f>
        <v/>
      </c>
      <c r="R76">
        <f>IF(原始資料!R76="","",IF(反向題設定!$C$21="是",反向題設定!$B$2+1-原始資料!R76,原始資料!R76))</f>
        <v/>
      </c>
      <c r="S76">
        <f>IF(原始資料!S76="","",IF(反向題設定!$C$22="是",反向題設定!$B$2+1-原始資料!S76,原始資料!S76))</f>
        <v/>
      </c>
      <c r="T76">
        <f>IF(原始資料!T76="","",IF(反向題設定!$C$23="是",反向題設定!$B$2+1-原始資料!T76,原始資料!T76))</f>
        <v/>
      </c>
      <c r="U76">
        <f>IF(原始資料!U76="","",IF(反向題設定!$C$24="是",反向題設定!$B$2+1-原始資料!U76,原始資料!U76))</f>
        <v/>
      </c>
      <c r="V76">
        <f>IF(原始資料!V76="","",IF(反向題設定!$C$25="是",反向題設定!$B$2+1-原始資料!V76,原始資料!V76))</f>
        <v/>
      </c>
      <c r="W76">
        <f>IF(原始資料!W76="","",IF(反向題設定!$C$26="是",反向題設定!$B$2+1-原始資料!W76,原始資料!W76))</f>
        <v/>
      </c>
      <c r="X76">
        <f>IF(原始資料!X76="","",IF(反向題設定!$C$27="是",反向題設定!$B$2+1-原始資料!X76,原始資料!X76))</f>
        <v/>
      </c>
      <c r="Y76">
        <f>IF(原始資料!Y76="","",IF(反向題設定!$C$28="是",反向題設定!$B$2+1-原始資料!Y76,原始資料!Y76))</f>
        <v/>
      </c>
      <c r="Z76">
        <f>IF(原始資料!Z76="","",IF(反向題設定!$C$29="是",反向題設定!$B$2+1-原始資料!Z76,原始資料!Z76))</f>
        <v/>
      </c>
      <c r="AA76">
        <f>IF(原始資料!AA76="","",IF(反向題設定!$C$30="是",反向題設定!$B$2+1-原始資料!AA76,原始資料!AA76))</f>
        <v/>
      </c>
      <c r="AB76">
        <f>IF(原始資料!AB76="","",IF(反向題設定!$C$31="是",反向題設定!$B$2+1-原始資料!AB76,原始資料!AB76))</f>
        <v/>
      </c>
      <c r="AC76">
        <f>IF(原始資料!AC76="","",IF(反向題設定!$C$32="是",反向題設定!$B$2+1-原始資料!AC76,原始資料!AC76))</f>
        <v/>
      </c>
      <c r="AD76">
        <f>IF(原始資料!AD76="","",IF(反向題設定!$C$33="是",反向題設定!$B$2+1-原始資料!AD76,原始資料!AD76))</f>
        <v/>
      </c>
      <c r="AE76">
        <f>IF(原始資料!AE76="","",IF(反向題設定!$C$34="是",反向題設定!$B$2+1-原始資料!AE76,原始資料!AE76))</f>
        <v/>
      </c>
      <c r="AF76">
        <f>IF(原始資料!AF76="","",IF(反向題設定!$C$35="是",反向題設定!$B$2+1-原始資料!AF76,原始資料!AF76))</f>
        <v/>
      </c>
      <c r="AG76">
        <f>IF(原始資料!AG76="","",IF(反向題設定!$C$36="是",反向題設定!$B$2+1-原始資料!AG76,原始資料!AG76))</f>
        <v/>
      </c>
      <c r="AH76">
        <f>IF(原始資料!AH76="","",IF(反向題設定!$C$37="是",反向題設定!$B$2+1-原始資料!AH76,原始資料!AH76))</f>
        <v/>
      </c>
      <c r="AI76">
        <f>IF(原始資料!AI76="","",IF(反向題設定!$C$38="是",反向題設定!$B$2+1-原始資料!AI76,原始資料!AI76))</f>
        <v/>
      </c>
      <c r="AJ76">
        <f>IF(原始資料!AJ76="","",IF(反向題設定!$C$39="是",反向題設定!$B$2+1-原始資料!AJ76,原始資料!AJ76))</f>
        <v/>
      </c>
      <c r="AK76">
        <f>IF(原始資料!AK76="","",IF(反向題設定!$C$40="是",反向題設定!$B$2+1-原始資料!AK76,原始資料!AK76))</f>
        <v/>
      </c>
      <c r="AL76">
        <f>IF(原始資料!AL76="","",IF(反向題設定!$C$41="是",反向題設定!$B$2+1-原始資料!AL76,原始資料!AL76))</f>
        <v/>
      </c>
      <c r="AM76">
        <f>IF(原始資料!AM76="","",IF(反向題設定!$C$42="是",反向題設定!$B$2+1-原始資料!AM76,原始資料!AM76))</f>
        <v/>
      </c>
      <c r="AN76">
        <f>IF(原始資料!AN76="","",IF(反向題設定!$C$43="是",反向題設定!$B$2+1-原始資料!AN76,原始資料!AN76))</f>
        <v/>
      </c>
      <c r="AO76">
        <f>IF(原始資料!AO76="","",IF(反向題設定!$C$44="是",反向題設定!$B$2+1-原始資料!AO76,原始資料!AO76))</f>
        <v/>
      </c>
      <c r="AP76">
        <f>IF(COUNT(B76:AO76)=0,"",SUM(B76:AO76))</f>
        <v/>
      </c>
      <c r="AQ76">
        <f>IF(AP76="","",IF(AP76&gt;=項目分析!$C$5,"高",IF(AP76&lt;=項目分析!$C$6,"低","")))</f>
        <v/>
      </c>
    </row>
    <row r="77">
      <c r="A77">
        <f>IF(原始資料!A77="","",原始資料!A77)</f>
        <v/>
      </c>
      <c r="B77">
        <f>IF(原始資料!B77="","",IF(反向題設定!$C$5="是",反向題設定!$B$2+1-原始資料!B77,原始資料!B77))</f>
        <v/>
      </c>
      <c r="C77">
        <f>IF(原始資料!C77="","",IF(反向題設定!$C$6="是",反向題設定!$B$2+1-原始資料!C77,原始資料!C77))</f>
        <v/>
      </c>
      <c r="D77">
        <f>IF(原始資料!D77="","",IF(反向題設定!$C$7="是",反向題設定!$B$2+1-原始資料!D77,原始資料!D77))</f>
        <v/>
      </c>
      <c r="E77">
        <f>IF(原始資料!E77="","",IF(反向題設定!$C$8="是",反向題設定!$B$2+1-原始資料!E77,原始資料!E77))</f>
        <v/>
      </c>
      <c r="F77">
        <f>IF(原始資料!F77="","",IF(反向題設定!$C$9="是",反向題設定!$B$2+1-原始資料!F77,原始資料!F77))</f>
        <v/>
      </c>
      <c r="G77">
        <f>IF(原始資料!G77="","",IF(反向題設定!$C$10="是",反向題設定!$B$2+1-原始資料!G77,原始資料!G77))</f>
        <v/>
      </c>
      <c r="H77">
        <f>IF(原始資料!H77="","",IF(反向題設定!$C$11="是",反向題設定!$B$2+1-原始資料!H77,原始資料!H77))</f>
        <v/>
      </c>
      <c r="I77">
        <f>IF(原始資料!I77="","",IF(反向題設定!$C$12="是",反向題設定!$B$2+1-原始資料!I77,原始資料!I77))</f>
        <v/>
      </c>
      <c r="J77">
        <f>IF(原始資料!J77="","",IF(反向題設定!$C$13="是",反向題設定!$B$2+1-原始資料!J77,原始資料!J77))</f>
        <v/>
      </c>
      <c r="K77">
        <f>IF(原始資料!K77="","",IF(反向題設定!$C$14="是",反向題設定!$B$2+1-原始資料!K77,原始資料!K77))</f>
        <v/>
      </c>
      <c r="L77">
        <f>IF(原始資料!L77="","",IF(反向題設定!$C$15="是",反向題設定!$B$2+1-原始資料!L77,原始資料!L77))</f>
        <v/>
      </c>
      <c r="M77">
        <f>IF(原始資料!M77="","",IF(反向題設定!$C$16="是",反向題設定!$B$2+1-原始資料!M77,原始資料!M77))</f>
        <v/>
      </c>
      <c r="N77">
        <f>IF(原始資料!N77="","",IF(反向題設定!$C$17="是",反向題設定!$B$2+1-原始資料!N77,原始資料!N77))</f>
        <v/>
      </c>
      <c r="O77">
        <f>IF(原始資料!O77="","",IF(反向題設定!$C$18="是",反向題設定!$B$2+1-原始資料!O77,原始資料!O77))</f>
        <v/>
      </c>
      <c r="P77">
        <f>IF(原始資料!P77="","",IF(反向題設定!$C$19="是",反向題設定!$B$2+1-原始資料!P77,原始資料!P77))</f>
        <v/>
      </c>
      <c r="Q77">
        <f>IF(原始資料!Q77="","",IF(反向題設定!$C$20="是",反向題設定!$B$2+1-原始資料!Q77,原始資料!Q77))</f>
        <v/>
      </c>
      <c r="R77">
        <f>IF(原始資料!R77="","",IF(反向題設定!$C$21="是",反向題設定!$B$2+1-原始資料!R77,原始資料!R77))</f>
        <v/>
      </c>
      <c r="S77">
        <f>IF(原始資料!S77="","",IF(反向題設定!$C$22="是",反向題設定!$B$2+1-原始資料!S77,原始資料!S77))</f>
        <v/>
      </c>
      <c r="T77">
        <f>IF(原始資料!T77="","",IF(反向題設定!$C$23="是",反向題設定!$B$2+1-原始資料!T77,原始資料!T77))</f>
        <v/>
      </c>
      <c r="U77">
        <f>IF(原始資料!U77="","",IF(反向題設定!$C$24="是",反向題設定!$B$2+1-原始資料!U77,原始資料!U77))</f>
        <v/>
      </c>
      <c r="V77">
        <f>IF(原始資料!V77="","",IF(反向題設定!$C$25="是",反向題設定!$B$2+1-原始資料!V77,原始資料!V77))</f>
        <v/>
      </c>
      <c r="W77">
        <f>IF(原始資料!W77="","",IF(反向題設定!$C$26="是",反向題設定!$B$2+1-原始資料!W77,原始資料!W77))</f>
        <v/>
      </c>
      <c r="X77">
        <f>IF(原始資料!X77="","",IF(反向題設定!$C$27="是",反向題設定!$B$2+1-原始資料!X77,原始資料!X77))</f>
        <v/>
      </c>
      <c r="Y77">
        <f>IF(原始資料!Y77="","",IF(反向題設定!$C$28="是",反向題設定!$B$2+1-原始資料!Y77,原始資料!Y77))</f>
        <v/>
      </c>
      <c r="Z77">
        <f>IF(原始資料!Z77="","",IF(反向題設定!$C$29="是",反向題設定!$B$2+1-原始資料!Z77,原始資料!Z77))</f>
        <v/>
      </c>
      <c r="AA77">
        <f>IF(原始資料!AA77="","",IF(反向題設定!$C$30="是",反向題設定!$B$2+1-原始資料!AA77,原始資料!AA77))</f>
        <v/>
      </c>
      <c r="AB77">
        <f>IF(原始資料!AB77="","",IF(反向題設定!$C$31="是",反向題設定!$B$2+1-原始資料!AB77,原始資料!AB77))</f>
        <v/>
      </c>
      <c r="AC77">
        <f>IF(原始資料!AC77="","",IF(反向題設定!$C$32="是",反向題設定!$B$2+1-原始資料!AC77,原始資料!AC77))</f>
        <v/>
      </c>
      <c r="AD77">
        <f>IF(原始資料!AD77="","",IF(反向題設定!$C$33="是",反向題設定!$B$2+1-原始資料!AD77,原始資料!AD77))</f>
        <v/>
      </c>
      <c r="AE77">
        <f>IF(原始資料!AE77="","",IF(反向題設定!$C$34="是",反向題設定!$B$2+1-原始資料!AE77,原始資料!AE77))</f>
        <v/>
      </c>
      <c r="AF77">
        <f>IF(原始資料!AF77="","",IF(反向題設定!$C$35="是",反向題設定!$B$2+1-原始資料!AF77,原始資料!AF77))</f>
        <v/>
      </c>
      <c r="AG77">
        <f>IF(原始資料!AG77="","",IF(反向題設定!$C$36="是",反向題設定!$B$2+1-原始資料!AG77,原始資料!AG77))</f>
        <v/>
      </c>
      <c r="AH77">
        <f>IF(原始資料!AH77="","",IF(反向題設定!$C$37="是",反向題設定!$B$2+1-原始資料!AH77,原始資料!AH77))</f>
        <v/>
      </c>
      <c r="AI77">
        <f>IF(原始資料!AI77="","",IF(反向題設定!$C$38="是",反向題設定!$B$2+1-原始資料!AI77,原始資料!AI77))</f>
        <v/>
      </c>
      <c r="AJ77">
        <f>IF(原始資料!AJ77="","",IF(反向題設定!$C$39="是",反向題設定!$B$2+1-原始資料!AJ77,原始資料!AJ77))</f>
        <v/>
      </c>
      <c r="AK77">
        <f>IF(原始資料!AK77="","",IF(反向題設定!$C$40="是",反向題設定!$B$2+1-原始資料!AK77,原始資料!AK77))</f>
        <v/>
      </c>
      <c r="AL77">
        <f>IF(原始資料!AL77="","",IF(反向題設定!$C$41="是",反向題設定!$B$2+1-原始資料!AL77,原始資料!AL77))</f>
        <v/>
      </c>
      <c r="AM77">
        <f>IF(原始資料!AM77="","",IF(反向題設定!$C$42="是",反向題設定!$B$2+1-原始資料!AM77,原始資料!AM77))</f>
        <v/>
      </c>
      <c r="AN77">
        <f>IF(原始資料!AN77="","",IF(反向題設定!$C$43="是",反向題設定!$B$2+1-原始資料!AN77,原始資料!AN77))</f>
        <v/>
      </c>
      <c r="AO77">
        <f>IF(原始資料!AO77="","",IF(反向題設定!$C$44="是",反向題設定!$B$2+1-原始資料!AO77,原始資料!AO77))</f>
        <v/>
      </c>
      <c r="AP77">
        <f>IF(COUNT(B77:AO77)=0,"",SUM(B77:AO77))</f>
        <v/>
      </c>
      <c r="AQ77">
        <f>IF(AP77="","",IF(AP77&gt;=項目分析!$C$5,"高",IF(AP77&lt;=項目分析!$C$6,"低","")))</f>
        <v/>
      </c>
    </row>
    <row r="78">
      <c r="A78">
        <f>IF(原始資料!A78="","",原始資料!A78)</f>
        <v/>
      </c>
      <c r="B78">
        <f>IF(原始資料!B78="","",IF(反向題設定!$C$5="是",反向題設定!$B$2+1-原始資料!B78,原始資料!B78))</f>
        <v/>
      </c>
      <c r="C78">
        <f>IF(原始資料!C78="","",IF(反向題設定!$C$6="是",反向題設定!$B$2+1-原始資料!C78,原始資料!C78))</f>
        <v/>
      </c>
      <c r="D78">
        <f>IF(原始資料!D78="","",IF(反向題設定!$C$7="是",反向題設定!$B$2+1-原始資料!D78,原始資料!D78))</f>
        <v/>
      </c>
      <c r="E78">
        <f>IF(原始資料!E78="","",IF(反向題設定!$C$8="是",反向題設定!$B$2+1-原始資料!E78,原始資料!E78))</f>
        <v/>
      </c>
      <c r="F78">
        <f>IF(原始資料!F78="","",IF(反向題設定!$C$9="是",反向題設定!$B$2+1-原始資料!F78,原始資料!F78))</f>
        <v/>
      </c>
      <c r="G78">
        <f>IF(原始資料!G78="","",IF(反向題設定!$C$10="是",反向題設定!$B$2+1-原始資料!G78,原始資料!G78))</f>
        <v/>
      </c>
      <c r="H78">
        <f>IF(原始資料!H78="","",IF(反向題設定!$C$11="是",反向題設定!$B$2+1-原始資料!H78,原始資料!H78))</f>
        <v/>
      </c>
      <c r="I78">
        <f>IF(原始資料!I78="","",IF(反向題設定!$C$12="是",反向題設定!$B$2+1-原始資料!I78,原始資料!I78))</f>
        <v/>
      </c>
      <c r="J78">
        <f>IF(原始資料!J78="","",IF(反向題設定!$C$13="是",反向題設定!$B$2+1-原始資料!J78,原始資料!J78))</f>
        <v/>
      </c>
      <c r="K78">
        <f>IF(原始資料!K78="","",IF(反向題設定!$C$14="是",反向題設定!$B$2+1-原始資料!K78,原始資料!K78))</f>
        <v/>
      </c>
      <c r="L78">
        <f>IF(原始資料!L78="","",IF(反向題設定!$C$15="是",反向題設定!$B$2+1-原始資料!L78,原始資料!L78))</f>
        <v/>
      </c>
      <c r="M78">
        <f>IF(原始資料!M78="","",IF(反向題設定!$C$16="是",反向題設定!$B$2+1-原始資料!M78,原始資料!M78))</f>
        <v/>
      </c>
      <c r="N78">
        <f>IF(原始資料!N78="","",IF(反向題設定!$C$17="是",反向題設定!$B$2+1-原始資料!N78,原始資料!N78))</f>
        <v/>
      </c>
      <c r="O78">
        <f>IF(原始資料!O78="","",IF(反向題設定!$C$18="是",反向題設定!$B$2+1-原始資料!O78,原始資料!O78))</f>
        <v/>
      </c>
      <c r="P78">
        <f>IF(原始資料!P78="","",IF(反向題設定!$C$19="是",反向題設定!$B$2+1-原始資料!P78,原始資料!P78))</f>
        <v/>
      </c>
      <c r="Q78">
        <f>IF(原始資料!Q78="","",IF(反向題設定!$C$20="是",反向題設定!$B$2+1-原始資料!Q78,原始資料!Q78))</f>
        <v/>
      </c>
      <c r="R78">
        <f>IF(原始資料!R78="","",IF(反向題設定!$C$21="是",反向題設定!$B$2+1-原始資料!R78,原始資料!R78))</f>
        <v/>
      </c>
      <c r="S78">
        <f>IF(原始資料!S78="","",IF(反向題設定!$C$22="是",反向題設定!$B$2+1-原始資料!S78,原始資料!S78))</f>
        <v/>
      </c>
      <c r="T78">
        <f>IF(原始資料!T78="","",IF(反向題設定!$C$23="是",反向題設定!$B$2+1-原始資料!T78,原始資料!T78))</f>
        <v/>
      </c>
      <c r="U78">
        <f>IF(原始資料!U78="","",IF(反向題設定!$C$24="是",反向題設定!$B$2+1-原始資料!U78,原始資料!U78))</f>
        <v/>
      </c>
      <c r="V78">
        <f>IF(原始資料!V78="","",IF(反向題設定!$C$25="是",反向題設定!$B$2+1-原始資料!V78,原始資料!V78))</f>
        <v/>
      </c>
      <c r="W78">
        <f>IF(原始資料!W78="","",IF(反向題設定!$C$26="是",反向題設定!$B$2+1-原始資料!W78,原始資料!W78))</f>
        <v/>
      </c>
      <c r="X78">
        <f>IF(原始資料!X78="","",IF(反向題設定!$C$27="是",反向題設定!$B$2+1-原始資料!X78,原始資料!X78))</f>
        <v/>
      </c>
      <c r="Y78">
        <f>IF(原始資料!Y78="","",IF(反向題設定!$C$28="是",反向題設定!$B$2+1-原始資料!Y78,原始資料!Y78))</f>
        <v/>
      </c>
      <c r="Z78">
        <f>IF(原始資料!Z78="","",IF(反向題設定!$C$29="是",反向題設定!$B$2+1-原始資料!Z78,原始資料!Z78))</f>
        <v/>
      </c>
      <c r="AA78">
        <f>IF(原始資料!AA78="","",IF(反向題設定!$C$30="是",反向題設定!$B$2+1-原始資料!AA78,原始資料!AA78))</f>
        <v/>
      </c>
      <c r="AB78">
        <f>IF(原始資料!AB78="","",IF(反向題設定!$C$31="是",反向題設定!$B$2+1-原始資料!AB78,原始資料!AB78))</f>
        <v/>
      </c>
      <c r="AC78">
        <f>IF(原始資料!AC78="","",IF(反向題設定!$C$32="是",反向題設定!$B$2+1-原始資料!AC78,原始資料!AC78))</f>
        <v/>
      </c>
      <c r="AD78">
        <f>IF(原始資料!AD78="","",IF(反向題設定!$C$33="是",反向題設定!$B$2+1-原始資料!AD78,原始資料!AD78))</f>
        <v/>
      </c>
      <c r="AE78">
        <f>IF(原始資料!AE78="","",IF(反向題設定!$C$34="是",反向題設定!$B$2+1-原始資料!AE78,原始資料!AE78))</f>
        <v/>
      </c>
      <c r="AF78">
        <f>IF(原始資料!AF78="","",IF(反向題設定!$C$35="是",反向題設定!$B$2+1-原始資料!AF78,原始資料!AF78))</f>
        <v/>
      </c>
      <c r="AG78">
        <f>IF(原始資料!AG78="","",IF(反向題設定!$C$36="是",反向題設定!$B$2+1-原始資料!AG78,原始資料!AG78))</f>
        <v/>
      </c>
      <c r="AH78">
        <f>IF(原始資料!AH78="","",IF(反向題設定!$C$37="是",反向題設定!$B$2+1-原始資料!AH78,原始資料!AH78))</f>
        <v/>
      </c>
      <c r="AI78">
        <f>IF(原始資料!AI78="","",IF(反向題設定!$C$38="是",反向題設定!$B$2+1-原始資料!AI78,原始資料!AI78))</f>
        <v/>
      </c>
      <c r="AJ78">
        <f>IF(原始資料!AJ78="","",IF(反向題設定!$C$39="是",反向題設定!$B$2+1-原始資料!AJ78,原始資料!AJ78))</f>
        <v/>
      </c>
      <c r="AK78">
        <f>IF(原始資料!AK78="","",IF(反向題設定!$C$40="是",反向題設定!$B$2+1-原始資料!AK78,原始資料!AK78))</f>
        <v/>
      </c>
      <c r="AL78">
        <f>IF(原始資料!AL78="","",IF(反向題設定!$C$41="是",反向題設定!$B$2+1-原始資料!AL78,原始資料!AL78))</f>
        <v/>
      </c>
      <c r="AM78">
        <f>IF(原始資料!AM78="","",IF(反向題設定!$C$42="是",反向題設定!$B$2+1-原始資料!AM78,原始資料!AM78))</f>
        <v/>
      </c>
      <c r="AN78">
        <f>IF(原始資料!AN78="","",IF(反向題設定!$C$43="是",反向題設定!$B$2+1-原始資料!AN78,原始資料!AN78))</f>
        <v/>
      </c>
      <c r="AO78">
        <f>IF(原始資料!AO78="","",IF(反向題設定!$C$44="是",反向題設定!$B$2+1-原始資料!AO78,原始資料!AO78))</f>
        <v/>
      </c>
      <c r="AP78">
        <f>IF(COUNT(B78:AO78)=0,"",SUM(B78:AO78))</f>
        <v/>
      </c>
      <c r="AQ78">
        <f>IF(AP78="","",IF(AP78&gt;=項目分析!$C$5,"高",IF(AP78&lt;=項目分析!$C$6,"低","")))</f>
        <v/>
      </c>
    </row>
    <row r="79">
      <c r="A79">
        <f>IF(原始資料!A79="","",原始資料!A79)</f>
        <v/>
      </c>
      <c r="B79">
        <f>IF(原始資料!B79="","",IF(反向題設定!$C$5="是",反向題設定!$B$2+1-原始資料!B79,原始資料!B79))</f>
        <v/>
      </c>
      <c r="C79">
        <f>IF(原始資料!C79="","",IF(反向題設定!$C$6="是",反向題設定!$B$2+1-原始資料!C79,原始資料!C79))</f>
        <v/>
      </c>
      <c r="D79">
        <f>IF(原始資料!D79="","",IF(反向題設定!$C$7="是",反向題設定!$B$2+1-原始資料!D79,原始資料!D79))</f>
        <v/>
      </c>
      <c r="E79">
        <f>IF(原始資料!E79="","",IF(反向題設定!$C$8="是",反向題設定!$B$2+1-原始資料!E79,原始資料!E79))</f>
        <v/>
      </c>
      <c r="F79">
        <f>IF(原始資料!F79="","",IF(反向題設定!$C$9="是",反向題設定!$B$2+1-原始資料!F79,原始資料!F79))</f>
        <v/>
      </c>
      <c r="G79">
        <f>IF(原始資料!G79="","",IF(反向題設定!$C$10="是",反向題設定!$B$2+1-原始資料!G79,原始資料!G79))</f>
        <v/>
      </c>
      <c r="H79">
        <f>IF(原始資料!H79="","",IF(反向題設定!$C$11="是",反向題設定!$B$2+1-原始資料!H79,原始資料!H79))</f>
        <v/>
      </c>
      <c r="I79">
        <f>IF(原始資料!I79="","",IF(反向題設定!$C$12="是",反向題設定!$B$2+1-原始資料!I79,原始資料!I79))</f>
        <v/>
      </c>
      <c r="J79">
        <f>IF(原始資料!J79="","",IF(反向題設定!$C$13="是",反向題設定!$B$2+1-原始資料!J79,原始資料!J79))</f>
        <v/>
      </c>
      <c r="K79">
        <f>IF(原始資料!K79="","",IF(反向題設定!$C$14="是",反向題設定!$B$2+1-原始資料!K79,原始資料!K79))</f>
        <v/>
      </c>
      <c r="L79">
        <f>IF(原始資料!L79="","",IF(反向題設定!$C$15="是",反向題設定!$B$2+1-原始資料!L79,原始資料!L79))</f>
        <v/>
      </c>
      <c r="M79">
        <f>IF(原始資料!M79="","",IF(反向題設定!$C$16="是",反向題設定!$B$2+1-原始資料!M79,原始資料!M79))</f>
        <v/>
      </c>
      <c r="N79">
        <f>IF(原始資料!N79="","",IF(反向題設定!$C$17="是",反向題設定!$B$2+1-原始資料!N79,原始資料!N79))</f>
        <v/>
      </c>
      <c r="O79">
        <f>IF(原始資料!O79="","",IF(反向題設定!$C$18="是",反向題設定!$B$2+1-原始資料!O79,原始資料!O79))</f>
        <v/>
      </c>
      <c r="P79">
        <f>IF(原始資料!P79="","",IF(反向題設定!$C$19="是",反向題設定!$B$2+1-原始資料!P79,原始資料!P79))</f>
        <v/>
      </c>
      <c r="Q79">
        <f>IF(原始資料!Q79="","",IF(反向題設定!$C$20="是",反向題設定!$B$2+1-原始資料!Q79,原始資料!Q79))</f>
        <v/>
      </c>
      <c r="R79">
        <f>IF(原始資料!R79="","",IF(反向題設定!$C$21="是",反向題設定!$B$2+1-原始資料!R79,原始資料!R79))</f>
        <v/>
      </c>
      <c r="S79">
        <f>IF(原始資料!S79="","",IF(反向題設定!$C$22="是",反向題設定!$B$2+1-原始資料!S79,原始資料!S79))</f>
        <v/>
      </c>
      <c r="T79">
        <f>IF(原始資料!T79="","",IF(反向題設定!$C$23="是",反向題設定!$B$2+1-原始資料!T79,原始資料!T79))</f>
        <v/>
      </c>
      <c r="U79">
        <f>IF(原始資料!U79="","",IF(反向題設定!$C$24="是",反向題設定!$B$2+1-原始資料!U79,原始資料!U79))</f>
        <v/>
      </c>
      <c r="V79">
        <f>IF(原始資料!V79="","",IF(反向題設定!$C$25="是",反向題設定!$B$2+1-原始資料!V79,原始資料!V79))</f>
        <v/>
      </c>
      <c r="W79">
        <f>IF(原始資料!W79="","",IF(反向題設定!$C$26="是",反向題設定!$B$2+1-原始資料!W79,原始資料!W79))</f>
        <v/>
      </c>
      <c r="X79">
        <f>IF(原始資料!X79="","",IF(反向題設定!$C$27="是",反向題設定!$B$2+1-原始資料!X79,原始資料!X79))</f>
        <v/>
      </c>
      <c r="Y79">
        <f>IF(原始資料!Y79="","",IF(反向題設定!$C$28="是",反向題設定!$B$2+1-原始資料!Y79,原始資料!Y79))</f>
        <v/>
      </c>
      <c r="Z79">
        <f>IF(原始資料!Z79="","",IF(反向題設定!$C$29="是",反向題設定!$B$2+1-原始資料!Z79,原始資料!Z79))</f>
        <v/>
      </c>
      <c r="AA79">
        <f>IF(原始資料!AA79="","",IF(反向題設定!$C$30="是",反向題設定!$B$2+1-原始資料!AA79,原始資料!AA79))</f>
        <v/>
      </c>
      <c r="AB79">
        <f>IF(原始資料!AB79="","",IF(反向題設定!$C$31="是",反向題設定!$B$2+1-原始資料!AB79,原始資料!AB79))</f>
        <v/>
      </c>
      <c r="AC79">
        <f>IF(原始資料!AC79="","",IF(反向題設定!$C$32="是",反向題設定!$B$2+1-原始資料!AC79,原始資料!AC79))</f>
        <v/>
      </c>
      <c r="AD79">
        <f>IF(原始資料!AD79="","",IF(反向題設定!$C$33="是",反向題設定!$B$2+1-原始資料!AD79,原始資料!AD79))</f>
        <v/>
      </c>
      <c r="AE79">
        <f>IF(原始資料!AE79="","",IF(反向題設定!$C$34="是",反向題設定!$B$2+1-原始資料!AE79,原始資料!AE79))</f>
        <v/>
      </c>
      <c r="AF79">
        <f>IF(原始資料!AF79="","",IF(反向題設定!$C$35="是",反向題設定!$B$2+1-原始資料!AF79,原始資料!AF79))</f>
        <v/>
      </c>
      <c r="AG79">
        <f>IF(原始資料!AG79="","",IF(反向題設定!$C$36="是",反向題設定!$B$2+1-原始資料!AG79,原始資料!AG79))</f>
        <v/>
      </c>
      <c r="AH79">
        <f>IF(原始資料!AH79="","",IF(反向題設定!$C$37="是",反向題設定!$B$2+1-原始資料!AH79,原始資料!AH79))</f>
        <v/>
      </c>
      <c r="AI79">
        <f>IF(原始資料!AI79="","",IF(反向題設定!$C$38="是",反向題設定!$B$2+1-原始資料!AI79,原始資料!AI79))</f>
        <v/>
      </c>
      <c r="AJ79">
        <f>IF(原始資料!AJ79="","",IF(反向題設定!$C$39="是",反向題設定!$B$2+1-原始資料!AJ79,原始資料!AJ79))</f>
        <v/>
      </c>
      <c r="AK79">
        <f>IF(原始資料!AK79="","",IF(反向題設定!$C$40="是",反向題設定!$B$2+1-原始資料!AK79,原始資料!AK79))</f>
        <v/>
      </c>
      <c r="AL79">
        <f>IF(原始資料!AL79="","",IF(反向題設定!$C$41="是",反向題設定!$B$2+1-原始資料!AL79,原始資料!AL79))</f>
        <v/>
      </c>
      <c r="AM79">
        <f>IF(原始資料!AM79="","",IF(反向題設定!$C$42="是",反向題設定!$B$2+1-原始資料!AM79,原始資料!AM79))</f>
        <v/>
      </c>
      <c r="AN79">
        <f>IF(原始資料!AN79="","",IF(反向題設定!$C$43="是",反向題設定!$B$2+1-原始資料!AN79,原始資料!AN79))</f>
        <v/>
      </c>
      <c r="AO79">
        <f>IF(原始資料!AO79="","",IF(反向題設定!$C$44="是",反向題設定!$B$2+1-原始資料!AO79,原始資料!AO79))</f>
        <v/>
      </c>
      <c r="AP79">
        <f>IF(COUNT(B79:AO79)=0,"",SUM(B79:AO79))</f>
        <v/>
      </c>
      <c r="AQ79">
        <f>IF(AP79="","",IF(AP79&gt;=項目分析!$C$5,"高",IF(AP79&lt;=項目分析!$C$6,"低","")))</f>
        <v/>
      </c>
    </row>
    <row r="80">
      <c r="A80">
        <f>IF(原始資料!A80="","",原始資料!A80)</f>
        <v/>
      </c>
      <c r="B80">
        <f>IF(原始資料!B80="","",IF(反向題設定!$C$5="是",反向題設定!$B$2+1-原始資料!B80,原始資料!B80))</f>
        <v/>
      </c>
      <c r="C80">
        <f>IF(原始資料!C80="","",IF(反向題設定!$C$6="是",反向題設定!$B$2+1-原始資料!C80,原始資料!C80))</f>
        <v/>
      </c>
      <c r="D80">
        <f>IF(原始資料!D80="","",IF(反向題設定!$C$7="是",反向題設定!$B$2+1-原始資料!D80,原始資料!D80))</f>
        <v/>
      </c>
      <c r="E80">
        <f>IF(原始資料!E80="","",IF(反向題設定!$C$8="是",反向題設定!$B$2+1-原始資料!E80,原始資料!E80))</f>
        <v/>
      </c>
      <c r="F80">
        <f>IF(原始資料!F80="","",IF(反向題設定!$C$9="是",反向題設定!$B$2+1-原始資料!F80,原始資料!F80))</f>
        <v/>
      </c>
      <c r="G80">
        <f>IF(原始資料!G80="","",IF(反向題設定!$C$10="是",反向題設定!$B$2+1-原始資料!G80,原始資料!G80))</f>
        <v/>
      </c>
      <c r="H80">
        <f>IF(原始資料!H80="","",IF(反向題設定!$C$11="是",反向題設定!$B$2+1-原始資料!H80,原始資料!H80))</f>
        <v/>
      </c>
      <c r="I80">
        <f>IF(原始資料!I80="","",IF(反向題設定!$C$12="是",反向題設定!$B$2+1-原始資料!I80,原始資料!I80))</f>
        <v/>
      </c>
      <c r="J80">
        <f>IF(原始資料!J80="","",IF(反向題設定!$C$13="是",反向題設定!$B$2+1-原始資料!J80,原始資料!J80))</f>
        <v/>
      </c>
      <c r="K80">
        <f>IF(原始資料!K80="","",IF(反向題設定!$C$14="是",反向題設定!$B$2+1-原始資料!K80,原始資料!K80))</f>
        <v/>
      </c>
      <c r="L80">
        <f>IF(原始資料!L80="","",IF(反向題設定!$C$15="是",反向題設定!$B$2+1-原始資料!L80,原始資料!L80))</f>
        <v/>
      </c>
      <c r="M80">
        <f>IF(原始資料!M80="","",IF(反向題設定!$C$16="是",反向題設定!$B$2+1-原始資料!M80,原始資料!M80))</f>
        <v/>
      </c>
      <c r="N80">
        <f>IF(原始資料!N80="","",IF(反向題設定!$C$17="是",反向題設定!$B$2+1-原始資料!N80,原始資料!N80))</f>
        <v/>
      </c>
      <c r="O80">
        <f>IF(原始資料!O80="","",IF(反向題設定!$C$18="是",反向題設定!$B$2+1-原始資料!O80,原始資料!O80))</f>
        <v/>
      </c>
      <c r="P80">
        <f>IF(原始資料!P80="","",IF(反向題設定!$C$19="是",反向題設定!$B$2+1-原始資料!P80,原始資料!P80))</f>
        <v/>
      </c>
      <c r="Q80">
        <f>IF(原始資料!Q80="","",IF(反向題設定!$C$20="是",反向題設定!$B$2+1-原始資料!Q80,原始資料!Q80))</f>
        <v/>
      </c>
      <c r="R80">
        <f>IF(原始資料!R80="","",IF(反向題設定!$C$21="是",反向題設定!$B$2+1-原始資料!R80,原始資料!R80))</f>
        <v/>
      </c>
      <c r="S80">
        <f>IF(原始資料!S80="","",IF(反向題設定!$C$22="是",反向題設定!$B$2+1-原始資料!S80,原始資料!S80))</f>
        <v/>
      </c>
      <c r="T80">
        <f>IF(原始資料!T80="","",IF(反向題設定!$C$23="是",反向題設定!$B$2+1-原始資料!T80,原始資料!T80))</f>
        <v/>
      </c>
      <c r="U80">
        <f>IF(原始資料!U80="","",IF(反向題設定!$C$24="是",反向題設定!$B$2+1-原始資料!U80,原始資料!U80))</f>
        <v/>
      </c>
      <c r="V80">
        <f>IF(原始資料!V80="","",IF(反向題設定!$C$25="是",反向題設定!$B$2+1-原始資料!V80,原始資料!V80))</f>
        <v/>
      </c>
      <c r="W80">
        <f>IF(原始資料!W80="","",IF(反向題設定!$C$26="是",反向題設定!$B$2+1-原始資料!W80,原始資料!W80))</f>
        <v/>
      </c>
      <c r="X80">
        <f>IF(原始資料!X80="","",IF(反向題設定!$C$27="是",反向題設定!$B$2+1-原始資料!X80,原始資料!X80))</f>
        <v/>
      </c>
      <c r="Y80">
        <f>IF(原始資料!Y80="","",IF(反向題設定!$C$28="是",反向題設定!$B$2+1-原始資料!Y80,原始資料!Y80))</f>
        <v/>
      </c>
      <c r="Z80">
        <f>IF(原始資料!Z80="","",IF(反向題設定!$C$29="是",反向題設定!$B$2+1-原始資料!Z80,原始資料!Z80))</f>
        <v/>
      </c>
      <c r="AA80">
        <f>IF(原始資料!AA80="","",IF(反向題設定!$C$30="是",反向題設定!$B$2+1-原始資料!AA80,原始資料!AA80))</f>
        <v/>
      </c>
      <c r="AB80">
        <f>IF(原始資料!AB80="","",IF(反向題設定!$C$31="是",反向題設定!$B$2+1-原始資料!AB80,原始資料!AB80))</f>
        <v/>
      </c>
      <c r="AC80">
        <f>IF(原始資料!AC80="","",IF(反向題設定!$C$32="是",反向題設定!$B$2+1-原始資料!AC80,原始資料!AC80))</f>
        <v/>
      </c>
      <c r="AD80">
        <f>IF(原始資料!AD80="","",IF(反向題設定!$C$33="是",反向題設定!$B$2+1-原始資料!AD80,原始資料!AD80))</f>
        <v/>
      </c>
      <c r="AE80">
        <f>IF(原始資料!AE80="","",IF(反向題設定!$C$34="是",反向題設定!$B$2+1-原始資料!AE80,原始資料!AE80))</f>
        <v/>
      </c>
      <c r="AF80">
        <f>IF(原始資料!AF80="","",IF(反向題設定!$C$35="是",反向題設定!$B$2+1-原始資料!AF80,原始資料!AF80))</f>
        <v/>
      </c>
      <c r="AG80">
        <f>IF(原始資料!AG80="","",IF(反向題設定!$C$36="是",反向題設定!$B$2+1-原始資料!AG80,原始資料!AG80))</f>
        <v/>
      </c>
      <c r="AH80">
        <f>IF(原始資料!AH80="","",IF(反向題設定!$C$37="是",反向題設定!$B$2+1-原始資料!AH80,原始資料!AH80))</f>
        <v/>
      </c>
      <c r="AI80">
        <f>IF(原始資料!AI80="","",IF(反向題設定!$C$38="是",反向題設定!$B$2+1-原始資料!AI80,原始資料!AI80))</f>
        <v/>
      </c>
      <c r="AJ80">
        <f>IF(原始資料!AJ80="","",IF(反向題設定!$C$39="是",反向題設定!$B$2+1-原始資料!AJ80,原始資料!AJ80))</f>
        <v/>
      </c>
      <c r="AK80">
        <f>IF(原始資料!AK80="","",IF(反向題設定!$C$40="是",反向題設定!$B$2+1-原始資料!AK80,原始資料!AK80))</f>
        <v/>
      </c>
      <c r="AL80">
        <f>IF(原始資料!AL80="","",IF(反向題設定!$C$41="是",反向題設定!$B$2+1-原始資料!AL80,原始資料!AL80))</f>
        <v/>
      </c>
      <c r="AM80">
        <f>IF(原始資料!AM80="","",IF(反向題設定!$C$42="是",反向題設定!$B$2+1-原始資料!AM80,原始資料!AM80))</f>
        <v/>
      </c>
      <c r="AN80">
        <f>IF(原始資料!AN80="","",IF(反向題設定!$C$43="是",反向題設定!$B$2+1-原始資料!AN80,原始資料!AN80))</f>
        <v/>
      </c>
      <c r="AO80">
        <f>IF(原始資料!AO80="","",IF(反向題設定!$C$44="是",反向題設定!$B$2+1-原始資料!AO80,原始資料!AO80))</f>
        <v/>
      </c>
      <c r="AP80">
        <f>IF(COUNT(B80:AO80)=0,"",SUM(B80:AO80))</f>
        <v/>
      </c>
      <c r="AQ80">
        <f>IF(AP80="","",IF(AP80&gt;=項目分析!$C$5,"高",IF(AP80&lt;=項目分析!$C$6,"低","")))</f>
        <v/>
      </c>
    </row>
    <row r="81">
      <c r="A81">
        <f>IF(原始資料!A81="","",原始資料!A81)</f>
        <v/>
      </c>
      <c r="B81">
        <f>IF(原始資料!B81="","",IF(反向題設定!$C$5="是",反向題設定!$B$2+1-原始資料!B81,原始資料!B81))</f>
        <v/>
      </c>
      <c r="C81">
        <f>IF(原始資料!C81="","",IF(反向題設定!$C$6="是",反向題設定!$B$2+1-原始資料!C81,原始資料!C81))</f>
        <v/>
      </c>
      <c r="D81">
        <f>IF(原始資料!D81="","",IF(反向題設定!$C$7="是",反向題設定!$B$2+1-原始資料!D81,原始資料!D81))</f>
        <v/>
      </c>
      <c r="E81">
        <f>IF(原始資料!E81="","",IF(反向題設定!$C$8="是",反向題設定!$B$2+1-原始資料!E81,原始資料!E81))</f>
        <v/>
      </c>
      <c r="F81">
        <f>IF(原始資料!F81="","",IF(反向題設定!$C$9="是",反向題設定!$B$2+1-原始資料!F81,原始資料!F81))</f>
        <v/>
      </c>
      <c r="G81">
        <f>IF(原始資料!G81="","",IF(反向題設定!$C$10="是",反向題設定!$B$2+1-原始資料!G81,原始資料!G81))</f>
        <v/>
      </c>
      <c r="H81">
        <f>IF(原始資料!H81="","",IF(反向題設定!$C$11="是",反向題設定!$B$2+1-原始資料!H81,原始資料!H81))</f>
        <v/>
      </c>
      <c r="I81">
        <f>IF(原始資料!I81="","",IF(反向題設定!$C$12="是",反向題設定!$B$2+1-原始資料!I81,原始資料!I81))</f>
        <v/>
      </c>
      <c r="J81">
        <f>IF(原始資料!J81="","",IF(反向題設定!$C$13="是",反向題設定!$B$2+1-原始資料!J81,原始資料!J81))</f>
        <v/>
      </c>
      <c r="K81">
        <f>IF(原始資料!K81="","",IF(反向題設定!$C$14="是",反向題設定!$B$2+1-原始資料!K81,原始資料!K81))</f>
        <v/>
      </c>
      <c r="L81">
        <f>IF(原始資料!L81="","",IF(反向題設定!$C$15="是",反向題設定!$B$2+1-原始資料!L81,原始資料!L81))</f>
        <v/>
      </c>
      <c r="M81">
        <f>IF(原始資料!M81="","",IF(反向題設定!$C$16="是",反向題設定!$B$2+1-原始資料!M81,原始資料!M81))</f>
        <v/>
      </c>
      <c r="N81">
        <f>IF(原始資料!N81="","",IF(反向題設定!$C$17="是",反向題設定!$B$2+1-原始資料!N81,原始資料!N81))</f>
        <v/>
      </c>
      <c r="O81">
        <f>IF(原始資料!O81="","",IF(反向題設定!$C$18="是",反向題設定!$B$2+1-原始資料!O81,原始資料!O81))</f>
        <v/>
      </c>
      <c r="P81">
        <f>IF(原始資料!P81="","",IF(反向題設定!$C$19="是",反向題設定!$B$2+1-原始資料!P81,原始資料!P81))</f>
        <v/>
      </c>
      <c r="Q81">
        <f>IF(原始資料!Q81="","",IF(反向題設定!$C$20="是",反向題設定!$B$2+1-原始資料!Q81,原始資料!Q81))</f>
        <v/>
      </c>
      <c r="R81">
        <f>IF(原始資料!R81="","",IF(反向題設定!$C$21="是",反向題設定!$B$2+1-原始資料!R81,原始資料!R81))</f>
        <v/>
      </c>
      <c r="S81">
        <f>IF(原始資料!S81="","",IF(反向題設定!$C$22="是",反向題設定!$B$2+1-原始資料!S81,原始資料!S81))</f>
        <v/>
      </c>
      <c r="T81">
        <f>IF(原始資料!T81="","",IF(反向題設定!$C$23="是",反向題設定!$B$2+1-原始資料!T81,原始資料!T81))</f>
        <v/>
      </c>
      <c r="U81">
        <f>IF(原始資料!U81="","",IF(反向題設定!$C$24="是",反向題設定!$B$2+1-原始資料!U81,原始資料!U81))</f>
        <v/>
      </c>
      <c r="V81">
        <f>IF(原始資料!V81="","",IF(反向題設定!$C$25="是",反向題設定!$B$2+1-原始資料!V81,原始資料!V81))</f>
        <v/>
      </c>
      <c r="W81">
        <f>IF(原始資料!W81="","",IF(反向題設定!$C$26="是",反向題設定!$B$2+1-原始資料!W81,原始資料!W81))</f>
        <v/>
      </c>
      <c r="X81">
        <f>IF(原始資料!X81="","",IF(反向題設定!$C$27="是",反向題設定!$B$2+1-原始資料!X81,原始資料!X81))</f>
        <v/>
      </c>
      <c r="Y81">
        <f>IF(原始資料!Y81="","",IF(反向題設定!$C$28="是",反向題設定!$B$2+1-原始資料!Y81,原始資料!Y81))</f>
        <v/>
      </c>
      <c r="Z81">
        <f>IF(原始資料!Z81="","",IF(反向題設定!$C$29="是",反向題設定!$B$2+1-原始資料!Z81,原始資料!Z81))</f>
        <v/>
      </c>
      <c r="AA81">
        <f>IF(原始資料!AA81="","",IF(反向題設定!$C$30="是",反向題設定!$B$2+1-原始資料!AA81,原始資料!AA81))</f>
        <v/>
      </c>
      <c r="AB81">
        <f>IF(原始資料!AB81="","",IF(反向題設定!$C$31="是",反向題設定!$B$2+1-原始資料!AB81,原始資料!AB81))</f>
        <v/>
      </c>
      <c r="AC81">
        <f>IF(原始資料!AC81="","",IF(反向題設定!$C$32="是",反向題設定!$B$2+1-原始資料!AC81,原始資料!AC81))</f>
        <v/>
      </c>
      <c r="AD81">
        <f>IF(原始資料!AD81="","",IF(反向題設定!$C$33="是",反向題設定!$B$2+1-原始資料!AD81,原始資料!AD81))</f>
        <v/>
      </c>
      <c r="AE81">
        <f>IF(原始資料!AE81="","",IF(反向題設定!$C$34="是",反向題設定!$B$2+1-原始資料!AE81,原始資料!AE81))</f>
        <v/>
      </c>
      <c r="AF81">
        <f>IF(原始資料!AF81="","",IF(反向題設定!$C$35="是",反向題設定!$B$2+1-原始資料!AF81,原始資料!AF81))</f>
        <v/>
      </c>
      <c r="AG81">
        <f>IF(原始資料!AG81="","",IF(反向題設定!$C$36="是",反向題設定!$B$2+1-原始資料!AG81,原始資料!AG81))</f>
        <v/>
      </c>
      <c r="AH81">
        <f>IF(原始資料!AH81="","",IF(反向題設定!$C$37="是",反向題設定!$B$2+1-原始資料!AH81,原始資料!AH81))</f>
        <v/>
      </c>
      <c r="AI81">
        <f>IF(原始資料!AI81="","",IF(反向題設定!$C$38="是",反向題設定!$B$2+1-原始資料!AI81,原始資料!AI81))</f>
        <v/>
      </c>
      <c r="AJ81">
        <f>IF(原始資料!AJ81="","",IF(反向題設定!$C$39="是",反向題設定!$B$2+1-原始資料!AJ81,原始資料!AJ81))</f>
        <v/>
      </c>
      <c r="AK81">
        <f>IF(原始資料!AK81="","",IF(反向題設定!$C$40="是",反向題設定!$B$2+1-原始資料!AK81,原始資料!AK81))</f>
        <v/>
      </c>
      <c r="AL81">
        <f>IF(原始資料!AL81="","",IF(反向題設定!$C$41="是",反向題設定!$B$2+1-原始資料!AL81,原始資料!AL81))</f>
        <v/>
      </c>
      <c r="AM81">
        <f>IF(原始資料!AM81="","",IF(反向題設定!$C$42="是",反向題設定!$B$2+1-原始資料!AM81,原始資料!AM81))</f>
        <v/>
      </c>
      <c r="AN81">
        <f>IF(原始資料!AN81="","",IF(反向題設定!$C$43="是",反向題設定!$B$2+1-原始資料!AN81,原始資料!AN81))</f>
        <v/>
      </c>
      <c r="AO81">
        <f>IF(原始資料!AO81="","",IF(反向題設定!$C$44="是",反向題設定!$B$2+1-原始資料!AO81,原始資料!AO81))</f>
        <v/>
      </c>
      <c r="AP81">
        <f>IF(COUNT(B81:AO81)=0,"",SUM(B81:AO81))</f>
        <v/>
      </c>
      <c r="AQ81">
        <f>IF(AP81="","",IF(AP81&gt;=項目分析!$C$5,"高",IF(AP81&lt;=項目分析!$C$6,"低","")))</f>
        <v/>
      </c>
    </row>
    <row r="82">
      <c r="A82">
        <f>IF(原始資料!A82="","",原始資料!A82)</f>
        <v/>
      </c>
      <c r="B82">
        <f>IF(原始資料!B82="","",IF(反向題設定!$C$5="是",反向題設定!$B$2+1-原始資料!B82,原始資料!B82))</f>
        <v/>
      </c>
      <c r="C82">
        <f>IF(原始資料!C82="","",IF(反向題設定!$C$6="是",反向題設定!$B$2+1-原始資料!C82,原始資料!C82))</f>
        <v/>
      </c>
      <c r="D82">
        <f>IF(原始資料!D82="","",IF(反向題設定!$C$7="是",反向題設定!$B$2+1-原始資料!D82,原始資料!D82))</f>
        <v/>
      </c>
      <c r="E82">
        <f>IF(原始資料!E82="","",IF(反向題設定!$C$8="是",反向題設定!$B$2+1-原始資料!E82,原始資料!E82))</f>
        <v/>
      </c>
      <c r="F82">
        <f>IF(原始資料!F82="","",IF(反向題設定!$C$9="是",反向題設定!$B$2+1-原始資料!F82,原始資料!F82))</f>
        <v/>
      </c>
      <c r="G82">
        <f>IF(原始資料!G82="","",IF(反向題設定!$C$10="是",反向題設定!$B$2+1-原始資料!G82,原始資料!G82))</f>
        <v/>
      </c>
      <c r="H82">
        <f>IF(原始資料!H82="","",IF(反向題設定!$C$11="是",反向題設定!$B$2+1-原始資料!H82,原始資料!H82))</f>
        <v/>
      </c>
      <c r="I82">
        <f>IF(原始資料!I82="","",IF(反向題設定!$C$12="是",反向題設定!$B$2+1-原始資料!I82,原始資料!I82))</f>
        <v/>
      </c>
      <c r="J82">
        <f>IF(原始資料!J82="","",IF(反向題設定!$C$13="是",反向題設定!$B$2+1-原始資料!J82,原始資料!J82))</f>
        <v/>
      </c>
      <c r="K82">
        <f>IF(原始資料!K82="","",IF(反向題設定!$C$14="是",反向題設定!$B$2+1-原始資料!K82,原始資料!K82))</f>
        <v/>
      </c>
      <c r="L82">
        <f>IF(原始資料!L82="","",IF(反向題設定!$C$15="是",反向題設定!$B$2+1-原始資料!L82,原始資料!L82))</f>
        <v/>
      </c>
      <c r="M82">
        <f>IF(原始資料!M82="","",IF(反向題設定!$C$16="是",反向題設定!$B$2+1-原始資料!M82,原始資料!M82))</f>
        <v/>
      </c>
      <c r="N82">
        <f>IF(原始資料!N82="","",IF(反向題設定!$C$17="是",反向題設定!$B$2+1-原始資料!N82,原始資料!N82))</f>
        <v/>
      </c>
      <c r="O82">
        <f>IF(原始資料!O82="","",IF(反向題設定!$C$18="是",反向題設定!$B$2+1-原始資料!O82,原始資料!O82))</f>
        <v/>
      </c>
      <c r="P82">
        <f>IF(原始資料!P82="","",IF(反向題設定!$C$19="是",反向題設定!$B$2+1-原始資料!P82,原始資料!P82))</f>
        <v/>
      </c>
      <c r="Q82">
        <f>IF(原始資料!Q82="","",IF(反向題設定!$C$20="是",反向題設定!$B$2+1-原始資料!Q82,原始資料!Q82))</f>
        <v/>
      </c>
      <c r="R82">
        <f>IF(原始資料!R82="","",IF(反向題設定!$C$21="是",反向題設定!$B$2+1-原始資料!R82,原始資料!R82))</f>
        <v/>
      </c>
      <c r="S82">
        <f>IF(原始資料!S82="","",IF(反向題設定!$C$22="是",反向題設定!$B$2+1-原始資料!S82,原始資料!S82))</f>
        <v/>
      </c>
      <c r="T82">
        <f>IF(原始資料!T82="","",IF(反向題設定!$C$23="是",反向題設定!$B$2+1-原始資料!T82,原始資料!T82))</f>
        <v/>
      </c>
      <c r="U82">
        <f>IF(原始資料!U82="","",IF(反向題設定!$C$24="是",反向題設定!$B$2+1-原始資料!U82,原始資料!U82))</f>
        <v/>
      </c>
      <c r="V82">
        <f>IF(原始資料!V82="","",IF(反向題設定!$C$25="是",反向題設定!$B$2+1-原始資料!V82,原始資料!V82))</f>
        <v/>
      </c>
      <c r="W82">
        <f>IF(原始資料!W82="","",IF(反向題設定!$C$26="是",反向題設定!$B$2+1-原始資料!W82,原始資料!W82))</f>
        <v/>
      </c>
      <c r="X82">
        <f>IF(原始資料!X82="","",IF(反向題設定!$C$27="是",反向題設定!$B$2+1-原始資料!X82,原始資料!X82))</f>
        <v/>
      </c>
      <c r="Y82">
        <f>IF(原始資料!Y82="","",IF(反向題設定!$C$28="是",反向題設定!$B$2+1-原始資料!Y82,原始資料!Y82))</f>
        <v/>
      </c>
      <c r="Z82">
        <f>IF(原始資料!Z82="","",IF(反向題設定!$C$29="是",反向題設定!$B$2+1-原始資料!Z82,原始資料!Z82))</f>
        <v/>
      </c>
      <c r="AA82">
        <f>IF(原始資料!AA82="","",IF(反向題設定!$C$30="是",反向題設定!$B$2+1-原始資料!AA82,原始資料!AA82))</f>
        <v/>
      </c>
      <c r="AB82">
        <f>IF(原始資料!AB82="","",IF(反向題設定!$C$31="是",反向題設定!$B$2+1-原始資料!AB82,原始資料!AB82))</f>
        <v/>
      </c>
      <c r="AC82">
        <f>IF(原始資料!AC82="","",IF(反向題設定!$C$32="是",反向題設定!$B$2+1-原始資料!AC82,原始資料!AC82))</f>
        <v/>
      </c>
      <c r="AD82">
        <f>IF(原始資料!AD82="","",IF(反向題設定!$C$33="是",反向題設定!$B$2+1-原始資料!AD82,原始資料!AD82))</f>
        <v/>
      </c>
      <c r="AE82">
        <f>IF(原始資料!AE82="","",IF(反向題設定!$C$34="是",反向題設定!$B$2+1-原始資料!AE82,原始資料!AE82))</f>
        <v/>
      </c>
      <c r="AF82">
        <f>IF(原始資料!AF82="","",IF(反向題設定!$C$35="是",反向題設定!$B$2+1-原始資料!AF82,原始資料!AF82))</f>
        <v/>
      </c>
      <c r="AG82">
        <f>IF(原始資料!AG82="","",IF(反向題設定!$C$36="是",反向題設定!$B$2+1-原始資料!AG82,原始資料!AG82))</f>
        <v/>
      </c>
      <c r="AH82">
        <f>IF(原始資料!AH82="","",IF(反向題設定!$C$37="是",反向題設定!$B$2+1-原始資料!AH82,原始資料!AH82))</f>
        <v/>
      </c>
      <c r="AI82">
        <f>IF(原始資料!AI82="","",IF(反向題設定!$C$38="是",反向題設定!$B$2+1-原始資料!AI82,原始資料!AI82))</f>
        <v/>
      </c>
      <c r="AJ82">
        <f>IF(原始資料!AJ82="","",IF(反向題設定!$C$39="是",反向題設定!$B$2+1-原始資料!AJ82,原始資料!AJ82))</f>
        <v/>
      </c>
      <c r="AK82">
        <f>IF(原始資料!AK82="","",IF(反向題設定!$C$40="是",反向題設定!$B$2+1-原始資料!AK82,原始資料!AK82))</f>
        <v/>
      </c>
      <c r="AL82">
        <f>IF(原始資料!AL82="","",IF(反向題設定!$C$41="是",反向題設定!$B$2+1-原始資料!AL82,原始資料!AL82))</f>
        <v/>
      </c>
      <c r="AM82">
        <f>IF(原始資料!AM82="","",IF(反向題設定!$C$42="是",反向題設定!$B$2+1-原始資料!AM82,原始資料!AM82))</f>
        <v/>
      </c>
      <c r="AN82">
        <f>IF(原始資料!AN82="","",IF(反向題設定!$C$43="是",反向題設定!$B$2+1-原始資料!AN82,原始資料!AN82))</f>
        <v/>
      </c>
      <c r="AO82">
        <f>IF(原始資料!AO82="","",IF(反向題設定!$C$44="是",反向題設定!$B$2+1-原始資料!AO82,原始資料!AO82))</f>
        <v/>
      </c>
      <c r="AP82">
        <f>IF(COUNT(B82:AO82)=0,"",SUM(B82:AO82))</f>
        <v/>
      </c>
      <c r="AQ82">
        <f>IF(AP82="","",IF(AP82&gt;=項目分析!$C$5,"高",IF(AP82&lt;=項目分析!$C$6,"低","")))</f>
        <v/>
      </c>
    </row>
    <row r="83">
      <c r="A83">
        <f>IF(原始資料!A83="","",原始資料!A83)</f>
        <v/>
      </c>
      <c r="B83">
        <f>IF(原始資料!B83="","",IF(反向題設定!$C$5="是",反向題設定!$B$2+1-原始資料!B83,原始資料!B83))</f>
        <v/>
      </c>
      <c r="C83">
        <f>IF(原始資料!C83="","",IF(反向題設定!$C$6="是",反向題設定!$B$2+1-原始資料!C83,原始資料!C83))</f>
        <v/>
      </c>
      <c r="D83">
        <f>IF(原始資料!D83="","",IF(反向題設定!$C$7="是",反向題設定!$B$2+1-原始資料!D83,原始資料!D83))</f>
        <v/>
      </c>
      <c r="E83">
        <f>IF(原始資料!E83="","",IF(反向題設定!$C$8="是",反向題設定!$B$2+1-原始資料!E83,原始資料!E83))</f>
        <v/>
      </c>
      <c r="F83">
        <f>IF(原始資料!F83="","",IF(反向題設定!$C$9="是",反向題設定!$B$2+1-原始資料!F83,原始資料!F83))</f>
        <v/>
      </c>
      <c r="G83">
        <f>IF(原始資料!G83="","",IF(反向題設定!$C$10="是",反向題設定!$B$2+1-原始資料!G83,原始資料!G83))</f>
        <v/>
      </c>
      <c r="H83">
        <f>IF(原始資料!H83="","",IF(反向題設定!$C$11="是",反向題設定!$B$2+1-原始資料!H83,原始資料!H83))</f>
        <v/>
      </c>
      <c r="I83">
        <f>IF(原始資料!I83="","",IF(反向題設定!$C$12="是",反向題設定!$B$2+1-原始資料!I83,原始資料!I83))</f>
        <v/>
      </c>
      <c r="J83">
        <f>IF(原始資料!J83="","",IF(反向題設定!$C$13="是",反向題設定!$B$2+1-原始資料!J83,原始資料!J83))</f>
        <v/>
      </c>
      <c r="K83">
        <f>IF(原始資料!K83="","",IF(反向題設定!$C$14="是",反向題設定!$B$2+1-原始資料!K83,原始資料!K83))</f>
        <v/>
      </c>
      <c r="L83">
        <f>IF(原始資料!L83="","",IF(反向題設定!$C$15="是",反向題設定!$B$2+1-原始資料!L83,原始資料!L83))</f>
        <v/>
      </c>
      <c r="M83">
        <f>IF(原始資料!M83="","",IF(反向題設定!$C$16="是",反向題設定!$B$2+1-原始資料!M83,原始資料!M83))</f>
        <v/>
      </c>
      <c r="N83">
        <f>IF(原始資料!N83="","",IF(反向題設定!$C$17="是",反向題設定!$B$2+1-原始資料!N83,原始資料!N83))</f>
        <v/>
      </c>
      <c r="O83">
        <f>IF(原始資料!O83="","",IF(反向題設定!$C$18="是",反向題設定!$B$2+1-原始資料!O83,原始資料!O83))</f>
        <v/>
      </c>
      <c r="P83">
        <f>IF(原始資料!P83="","",IF(反向題設定!$C$19="是",反向題設定!$B$2+1-原始資料!P83,原始資料!P83))</f>
        <v/>
      </c>
      <c r="Q83">
        <f>IF(原始資料!Q83="","",IF(反向題設定!$C$20="是",反向題設定!$B$2+1-原始資料!Q83,原始資料!Q83))</f>
        <v/>
      </c>
      <c r="R83">
        <f>IF(原始資料!R83="","",IF(反向題設定!$C$21="是",反向題設定!$B$2+1-原始資料!R83,原始資料!R83))</f>
        <v/>
      </c>
      <c r="S83">
        <f>IF(原始資料!S83="","",IF(反向題設定!$C$22="是",反向題設定!$B$2+1-原始資料!S83,原始資料!S83))</f>
        <v/>
      </c>
      <c r="T83">
        <f>IF(原始資料!T83="","",IF(反向題設定!$C$23="是",反向題設定!$B$2+1-原始資料!T83,原始資料!T83))</f>
        <v/>
      </c>
      <c r="U83">
        <f>IF(原始資料!U83="","",IF(反向題設定!$C$24="是",反向題設定!$B$2+1-原始資料!U83,原始資料!U83))</f>
        <v/>
      </c>
      <c r="V83">
        <f>IF(原始資料!V83="","",IF(反向題設定!$C$25="是",反向題設定!$B$2+1-原始資料!V83,原始資料!V83))</f>
        <v/>
      </c>
      <c r="W83">
        <f>IF(原始資料!W83="","",IF(反向題設定!$C$26="是",反向題設定!$B$2+1-原始資料!W83,原始資料!W83))</f>
        <v/>
      </c>
      <c r="X83">
        <f>IF(原始資料!X83="","",IF(反向題設定!$C$27="是",反向題設定!$B$2+1-原始資料!X83,原始資料!X83))</f>
        <v/>
      </c>
      <c r="Y83">
        <f>IF(原始資料!Y83="","",IF(反向題設定!$C$28="是",反向題設定!$B$2+1-原始資料!Y83,原始資料!Y83))</f>
        <v/>
      </c>
      <c r="Z83">
        <f>IF(原始資料!Z83="","",IF(反向題設定!$C$29="是",反向題設定!$B$2+1-原始資料!Z83,原始資料!Z83))</f>
        <v/>
      </c>
      <c r="AA83">
        <f>IF(原始資料!AA83="","",IF(反向題設定!$C$30="是",反向題設定!$B$2+1-原始資料!AA83,原始資料!AA83))</f>
        <v/>
      </c>
      <c r="AB83">
        <f>IF(原始資料!AB83="","",IF(反向題設定!$C$31="是",反向題設定!$B$2+1-原始資料!AB83,原始資料!AB83))</f>
        <v/>
      </c>
      <c r="AC83">
        <f>IF(原始資料!AC83="","",IF(反向題設定!$C$32="是",反向題設定!$B$2+1-原始資料!AC83,原始資料!AC83))</f>
        <v/>
      </c>
      <c r="AD83">
        <f>IF(原始資料!AD83="","",IF(反向題設定!$C$33="是",反向題設定!$B$2+1-原始資料!AD83,原始資料!AD83))</f>
        <v/>
      </c>
      <c r="AE83">
        <f>IF(原始資料!AE83="","",IF(反向題設定!$C$34="是",反向題設定!$B$2+1-原始資料!AE83,原始資料!AE83))</f>
        <v/>
      </c>
      <c r="AF83">
        <f>IF(原始資料!AF83="","",IF(反向題設定!$C$35="是",反向題設定!$B$2+1-原始資料!AF83,原始資料!AF83))</f>
        <v/>
      </c>
      <c r="AG83">
        <f>IF(原始資料!AG83="","",IF(反向題設定!$C$36="是",反向題設定!$B$2+1-原始資料!AG83,原始資料!AG83))</f>
        <v/>
      </c>
      <c r="AH83">
        <f>IF(原始資料!AH83="","",IF(反向題設定!$C$37="是",反向題設定!$B$2+1-原始資料!AH83,原始資料!AH83))</f>
        <v/>
      </c>
      <c r="AI83">
        <f>IF(原始資料!AI83="","",IF(反向題設定!$C$38="是",反向題設定!$B$2+1-原始資料!AI83,原始資料!AI83))</f>
        <v/>
      </c>
      <c r="AJ83">
        <f>IF(原始資料!AJ83="","",IF(反向題設定!$C$39="是",反向題設定!$B$2+1-原始資料!AJ83,原始資料!AJ83))</f>
        <v/>
      </c>
      <c r="AK83">
        <f>IF(原始資料!AK83="","",IF(反向題設定!$C$40="是",反向題設定!$B$2+1-原始資料!AK83,原始資料!AK83))</f>
        <v/>
      </c>
      <c r="AL83">
        <f>IF(原始資料!AL83="","",IF(反向題設定!$C$41="是",反向題設定!$B$2+1-原始資料!AL83,原始資料!AL83))</f>
        <v/>
      </c>
      <c r="AM83">
        <f>IF(原始資料!AM83="","",IF(反向題設定!$C$42="是",反向題設定!$B$2+1-原始資料!AM83,原始資料!AM83))</f>
        <v/>
      </c>
      <c r="AN83">
        <f>IF(原始資料!AN83="","",IF(反向題設定!$C$43="是",反向題設定!$B$2+1-原始資料!AN83,原始資料!AN83))</f>
        <v/>
      </c>
      <c r="AO83">
        <f>IF(原始資料!AO83="","",IF(反向題設定!$C$44="是",反向題設定!$B$2+1-原始資料!AO83,原始資料!AO83))</f>
        <v/>
      </c>
      <c r="AP83">
        <f>IF(COUNT(B83:AO83)=0,"",SUM(B83:AO83))</f>
        <v/>
      </c>
      <c r="AQ83">
        <f>IF(AP83="","",IF(AP83&gt;=項目分析!$C$5,"高",IF(AP83&lt;=項目分析!$C$6,"低","")))</f>
        <v/>
      </c>
    </row>
    <row r="84">
      <c r="A84">
        <f>IF(原始資料!A84="","",原始資料!A84)</f>
        <v/>
      </c>
      <c r="B84">
        <f>IF(原始資料!B84="","",IF(反向題設定!$C$5="是",反向題設定!$B$2+1-原始資料!B84,原始資料!B84))</f>
        <v/>
      </c>
      <c r="C84">
        <f>IF(原始資料!C84="","",IF(反向題設定!$C$6="是",反向題設定!$B$2+1-原始資料!C84,原始資料!C84))</f>
        <v/>
      </c>
      <c r="D84">
        <f>IF(原始資料!D84="","",IF(反向題設定!$C$7="是",反向題設定!$B$2+1-原始資料!D84,原始資料!D84))</f>
        <v/>
      </c>
      <c r="E84">
        <f>IF(原始資料!E84="","",IF(反向題設定!$C$8="是",反向題設定!$B$2+1-原始資料!E84,原始資料!E84))</f>
        <v/>
      </c>
      <c r="F84">
        <f>IF(原始資料!F84="","",IF(反向題設定!$C$9="是",反向題設定!$B$2+1-原始資料!F84,原始資料!F84))</f>
        <v/>
      </c>
      <c r="G84">
        <f>IF(原始資料!G84="","",IF(反向題設定!$C$10="是",反向題設定!$B$2+1-原始資料!G84,原始資料!G84))</f>
        <v/>
      </c>
      <c r="H84">
        <f>IF(原始資料!H84="","",IF(反向題設定!$C$11="是",反向題設定!$B$2+1-原始資料!H84,原始資料!H84))</f>
        <v/>
      </c>
      <c r="I84">
        <f>IF(原始資料!I84="","",IF(反向題設定!$C$12="是",反向題設定!$B$2+1-原始資料!I84,原始資料!I84))</f>
        <v/>
      </c>
      <c r="J84">
        <f>IF(原始資料!J84="","",IF(反向題設定!$C$13="是",反向題設定!$B$2+1-原始資料!J84,原始資料!J84))</f>
        <v/>
      </c>
      <c r="K84">
        <f>IF(原始資料!K84="","",IF(反向題設定!$C$14="是",反向題設定!$B$2+1-原始資料!K84,原始資料!K84))</f>
        <v/>
      </c>
      <c r="L84">
        <f>IF(原始資料!L84="","",IF(反向題設定!$C$15="是",反向題設定!$B$2+1-原始資料!L84,原始資料!L84))</f>
        <v/>
      </c>
      <c r="M84">
        <f>IF(原始資料!M84="","",IF(反向題設定!$C$16="是",反向題設定!$B$2+1-原始資料!M84,原始資料!M84))</f>
        <v/>
      </c>
      <c r="N84">
        <f>IF(原始資料!N84="","",IF(反向題設定!$C$17="是",反向題設定!$B$2+1-原始資料!N84,原始資料!N84))</f>
        <v/>
      </c>
      <c r="O84">
        <f>IF(原始資料!O84="","",IF(反向題設定!$C$18="是",反向題設定!$B$2+1-原始資料!O84,原始資料!O84))</f>
        <v/>
      </c>
      <c r="P84">
        <f>IF(原始資料!P84="","",IF(反向題設定!$C$19="是",反向題設定!$B$2+1-原始資料!P84,原始資料!P84))</f>
        <v/>
      </c>
      <c r="Q84">
        <f>IF(原始資料!Q84="","",IF(反向題設定!$C$20="是",反向題設定!$B$2+1-原始資料!Q84,原始資料!Q84))</f>
        <v/>
      </c>
      <c r="R84">
        <f>IF(原始資料!R84="","",IF(反向題設定!$C$21="是",反向題設定!$B$2+1-原始資料!R84,原始資料!R84))</f>
        <v/>
      </c>
      <c r="S84">
        <f>IF(原始資料!S84="","",IF(反向題設定!$C$22="是",反向題設定!$B$2+1-原始資料!S84,原始資料!S84))</f>
        <v/>
      </c>
      <c r="T84">
        <f>IF(原始資料!T84="","",IF(反向題設定!$C$23="是",反向題設定!$B$2+1-原始資料!T84,原始資料!T84))</f>
        <v/>
      </c>
      <c r="U84">
        <f>IF(原始資料!U84="","",IF(反向題設定!$C$24="是",反向題設定!$B$2+1-原始資料!U84,原始資料!U84))</f>
        <v/>
      </c>
      <c r="V84">
        <f>IF(原始資料!V84="","",IF(反向題設定!$C$25="是",反向題設定!$B$2+1-原始資料!V84,原始資料!V84))</f>
        <v/>
      </c>
      <c r="W84">
        <f>IF(原始資料!W84="","",IF(反向題設定!$C$26="是",反向題設定!$B$2+1-原始資料!W84,原始資料!W84))</f>
        <v/>
      </c>
      <c r="X84">
        <f>IF(原始資料!X84="","",IF(反向題設定!$C$27="是",反向題設定!$B$2+1-原始資料!X84,原始資料!X84))</f>
        <v/>
      </c>
      <c r="Y84">
        <f>IF(原始資料!Y84="","",IF(反向題設定!$C$28="是",反向題設定!$B$2+1-原始資料!Y84,原始資料!Y84))</f>
        <v/>
      </c>
      <c r="Z84">
        <f>IF(原始資料!Z84="","",IF(反向題設定!$C$29="是",反向題設定!$B$2+1-原始資料!Z84,原始資料!Z84))</f>
        <v/>
      </c>
      <c r="AA84">
        <f>IF(原始資料!AA84="","",IF(反向題設定!$C$30="是",反向題設定!$B$2+1-原始資料!AA84,原始資料!AA84))</f>
        <v/>
      </c>
      <c r="AB84">
        <f>IF(原始資料!AB84="","",IF(反向題設定!$C$31="是",反向題設定!$B$2+1-原始資料!AB84,原始資料!AB84))</f>
        <v/>
      </c>
      <c r="AC84">
        <f>IF(原始資料!AC84="","",IF(反向題設定!$C$32="是",反向題設定!$B$2+1-原始資料!AC84,原始資料!AC84))</f>
        <v/>
      </c>
      <c r="AD84">
        <f>IF(原始資料!AD84="","",IF(反向題設定!$C$33="是",反向題設定!$B$2+1-原始資料!AD84,原始資料!AD84))</f>
        <v/>
      </c>
      <c r="AE84">
        <f>IF(原始資料!AE84="","",IF(反向題設定!$C$34="是",反向題設定!$B$2+1-原始資料!AE84,原始資料!AE84))</f>
        <v/>
      </c>
      <c r="AF84">
        <f>IF(原始資料!AF84="","",IF(反向題設定!$C$35="是",反向題設定!$B$2+1-原始資料!AF84,原始資料!AF84))</f>
        <v/>
      </c>
      <c r="AG84">
        <f>IF(原始資料!AG84="","",IF(反向題設定!$C$36="是",反向題設定!$B$2+1-原始資料!AG84,原始資料!AG84))</f>
        <v/>
      </c>
      <c r="AH84">
        <f>IF(原始資料!AH84="","",IF(反向題設定!$C$37="是",反向題設定!$B$2+1-原始資料!AH84,原始資料!AH84))</f>
        <v/>
      </c>
      <c r="AI84">
        <f>IF(原始資料!AI84="","",IF(反向題設定!$C$38="是",反向題設定!$B$2+1-原始資料!AI84,原始資料!AI84))</f>
        <v/>
      </c>
      <c r="AJ84">
        <f>IF(原始資料!AJ84="","",IF(反向題設定!$C$39="是",反向題設定!$B$2+1-原始資料!AJ84,原始資料!AJ84))</f>
        <v/>
      </c>
      <c r="AK84">
        <f>IF(原始資料!AK84="","",IF(反向題設定!$C$40="是",反向題設定!$B$2+1-原始資料!AK84,原始資料!AK84))</f>
        <v/>
      </c>
      <c r="AL84">
        <f>IF(原始資料!AL84="","",IF(反向題設定!$C$41="是",反向題設定!$B$2+1-原始資料!AL84,原始資料!AL84))</f>
        <v/>
      </c>
      <c r="AM84">
        <f>IF(原始資料!AM84="","",IF(反向題設定!$C$42="是",反向題設定!$B$2+1-原始資料!AM84,原始資料!AM84))</f>
        <v/>
      </c>
      <c r="AN84">
        <f>IF(原始資料!AN84="","",IF(反向題設定!$C$43="是",反向題設定!$B$2+1-原始資料!AN84,原始資料!AN84))</f>
        <v/>
      </c>
      <c r="AO84">
        <f>IF(原始資料!AO84="","",IF(反向題設定!$C$44="是",反向題設定!$B$2+1-原始資料!AO84,原始資料!AO84))</f>
        <v/>
      </c>
      <c r="AP84">
        <f>IF(COUNT(B84:AO84)=0,"",SUM(B84:AO84))</f>
        <v/>
      </c>
      <c r="AQ84">
        <f>IF(AP84="","",IF(AP84&gt;=項目分析!$C$5,"高",IF(AP84&lt;=項目分析!$C$6,"低","")))</f>
        <v/>
      </c>
    </row>
    <row r="85">
      <c r="A85">
        <f>IF(原始資料!A85="","",原始資料!A85)</f>
        <v/>
      </c>
      <c r="B85">
        <f>IF(原始資料!B85="","",IF(反向題設定!$C$5="是",反向題設定!$B$2+1-原始資料!B85,原始資料!B85))</f>
        <v/>
      </c>
      <c r="C85">
        <f>IF(原始資料!C85="","",IF(反向題設定!$C$6="是",反向題設定!$B$2+1-原始資料!C85,原始資料!C85))</f>
        <v/>
      </c>
      <c r="D85">
        <f>IF(原始資料!D85="","",IF(反向題設定!$C$7="是",反向題設定!$B$2+1-原始資料!D85,原始資料!D85))</f>
        <v/>
      </c>
      <c r="E85">
        <f>IF(原始資料!E85="","",IF(反向題設定!$C$8="是",反向題設定!$B$2+1-原始資料!E85,原始資料!E85))</f>
        <v/>
      </c>
      <c r="F85">
        <f>IF(原始資料!F85="","",IF(反向題設定!$C$9="是",反向題設定!$B$2+1-原始資料!F85,原始資料!F85))</f>
        <v/>
      </c>
      <c r="G85">
        <f>IF(原始資料!G85="","",IF(反向題設定!$C$10="是",反向題設定!$B$2+1-原始資料!G85,原始資料!G85))</f>
        <v/>
      </c>
      <c r="H85">
        <f>IF(原始資料!H85="","",IF(反向題設定!$C$11="是",反向題設定!$B$2+1-原始資料!H85,原始資料!H85))</f>
        <v/>
      </c>
      <c r="I85">
        <f>IF(原始資料!I85="","",IF(反向題設定!$C$12="是",反向題設定!$B$2+1-原始資料!I85,原始資料!I85))</f>
        <v/>
      </c>
      <c r="J85">
        <f>IF(原始資料!J85="","",IF(反向題設定!$C$13="是",反向題設定!$B$2+1-原始資料!J85,原始資料!J85))</f>
        <v/>
      </c>
      <c r="K85">
        <f>IF(原始資料!K85="","",IF(反向題設定!$C$14="是",反向題設定!$B$2+1-原始資料!K85,原始資料!K85))</f>
        <v/>
      </c>
      <c r="L85">
        <f>IF(原始資料!L85="","",IF(反向題設定!$C$15="是",反向題設定!$B$2+1-原始資料!L85,原始資料!L85))</f>
        <v/>
      </c>
      <c r="M85">
        <f>IF(原始資料!M85="","",IF(反向題設定!$C$16="是",反向題設定!$B$2+1-原始資料!M85,原始資料!M85))</f>
        <v/>
      </c>
      <c r="N85">
        <f>IF(原始資料!N85="","",IF(反向題設定!$C$17="是",反向題設定!$B$2+1-原始資料!N85,原始資料!N85))</f>
        <v/>
      </c>
      <c r="O85">
        <f>IF(原始資料!O85="","",IF(反向題設定!$C$18="是",反向題設定!$B$2+1-原始資料!O85,原始資料!O85))</f>
        <v/>
      </c>
      <c r="P85">
        <f>IF(原始資料!P85="","",IF(反向題設定!$C$19="是",反向題設定!$B$2+1-原始資料!P85,原始資料!P85))</f>
        <v/>
      </c>
      <c r="Q85">
        <f>IF(原始資料!Q85="","",IF(反向題設定!$C$20="是",反向題設定!$B$2+1-原始資料!Q85,原始資料!Q85))</f>
        <v/>
      </c>
      <c r="R85">
        <f>IF(原始資料!R85="","",IF(反向題設定!$C$21="是",反向題設定!$B$2+1-原始資料!R85,原始資料!R85))</f>
        <v/>
      </c>
      <c r="S85">
        <f>IF(原始資料!S85="","",IF(反向題設定!$C$22="是",反向題設定!$B$2+1-原始資料!S85,原始資料!S85))</f>
        <v/>
      </c>
      <c r="T85">
        <f>IF(原始資料!T85="","",IF(反向題設定!$C$23="是",反向題設定!$B$2+1-原始資料!T85,原始資料!T85))</f>
        <v/>
      </c>
      <c r="U85">
        <f>IF(原始資料!U85="","",IF(反向題設定!$C$24="是",反向題設定!$B$2+1-原始資料!U85,原始資料!U85))</f>
        <v/>
      </c>
      <c r="V85">
        <f>IF(原始資料!V85="","",IF(反向題設定!$C$25="是",反向題設定!$B$2+1-原始資料!V85,原始資料!V85))</f>
        <v/>
      </c>
      <c r="W85">
        <f>IF(原始資料!W85="","",IF(反向題設定!$C$26="是",反向題設定!$B$2+1-原始資料!W85,原始資料!W85))</f>
        <v/>
      </c>
      <c r="X85">
        <f>IF(原始資料!X85="","",IF(反向題設定!$C$27="是",反向題設定!$B$2+1-原始資料!X85,原始資料!X85))</f>
        <v/>
      </c>
      <c r="Y85">
        <f>IF(原始資料!Y85="","",IF(反向題設定!$C$28="是",反向題設定!$B$2+1-原始資料!Y85,原始資料!Y85))</f>
        <v/>
      </c>
      <c r="Z85">
        <f>IF(原始資料!Z85="","",IF(反向題設定!$C$29="是",反向題設定!$B$2+1-原始資料!Z85,原始資料!Z85))</f>
        <v/>
      </c>
      <c r="AA85">
        <f>IF(原始資料!AA85="","",IF(反向題設定!$C$30="是",反向題設定!$B$2+1-原始資料!AA85,原始資料!AA85))</f>
        <v/>
      </c>
      <c r="AB85">
        <f>IF(原始資料!AB85="","",IF(反向題設定!$C$31="是",反向題設定!$B$2+1-原始資料!AB85,原始資料!AB85))</f>
        <v/>
      </c>
      <c r="AC85">
        <f>IF(原始資料!AC85="","",IF(反向題設定!$C$32="是",反向題設定!$B$2+1-原始資料!AC85,原始資料!AC85))</f>
        <v/>
      </c>
      <c r="AD85">
        <f>IF(原始資料!AD85="","",IF(反向題設定!$C$33="是",反向題設定!$B$2+1-原始資料!AD85,原始資料!AD85))</f>
        <v/>
      </c>
      <c r="AE85">
        <f>IF(原始資料!AE85="","",IF(反向題設定!$C$34="是",反向題設定!$B$2+1-原始資料!AE85,原始資料!AE85))</f>
        <v/>
      </c>
      <c r="AF85">
        <f>IF(原始資料!AF85="","",IF(反向題設定!$C$35="是",反向題設定!$B$2+1-原始資料!AF85,原始資料!AF85))</f>
        <v/>
      </c>
      <c r="AG85">
        <f>IF(原始資料!AG85="","",IF(反向題設定!$C$36="是",反向題設定!$B$2+1-原始資料!AG85,原始資料!AG85))</f>
        <v/>
      </c>
      <c r="AH85">
        <f>IF(原始資料!AH85="","",IF(反向題設定!$C$37="是",反向題設定!$B$2+1-原始資料!AH85,原始資料!AH85))</f>
        <v/>
      </c>
      <c r="AI85">
        <f>IF(原始資料!AI85="","",IF(反向題設定!$C$38="是",反向題設定!$B$2+1-原始資料!AI85,原始資料!AI85))</f>
        <v/>
      </c>
      <c r="AJ85">
        <f>IF(原始資料!AJ85="","",IF(反向題設定!$C$39="是",反向題設定!$B$2+1-原始資料!AJ85,原始資料!AJ85))</f>
        <v/>
      </c>
      <c r="AK85">
        <f>IF(原始資料!AK85="","",IF(反向題設定!$C$40="是",反向題設定!$B$2+1-原始資料!AK85,原始資料!AK85))</f>
        <v/>
      </c>
      <c r="AL85">
        <f>IF(原始資料!AL85="","",IF(反向題設定!$C$41="是",反向題設定!$B$2+1-原始資料!AL85,原始資料!AL85))</f>
        <v/>
      </c>
      <c r="AM85">
        <f>IF(原始資料!AM85="","",IF(反向題設定!$C$42="是",反向題設定!$B$2+1-原始資料!AM85,原始資料!AM85))</f>
        <v/>
      </c>
      <c r="AN85">
        <f>IF(原始資料!AN85="","",IF(反向題設定!$C$43="是",反向題設定!$B$2+1-原始資料!AN85,原始資料!AN85))</f>
        <v/>
      </c>
      <c r="AO85">
        <f>IF(原始資料!AO85="","",IF(反向題設定!$C$44="是",反向題設定!$B$2+1-原始資料!AO85,原始資料!AO85))</f>
        <v/>
      </c>
      <c r="AP85">
        <f>IF(COUNT(B85:AO85)=0,"",SUM(B85:AO85))</f>
        <v/>
      </c>
      <c r="AQ85">
        <f>IF(AP85="","",IF(AP85&gt;=項目分析!$C$5,"高",IF(AP85&lt;=項目分析!$C$6,"低","")))</f>
        <v/>
      </c>
    </row>
    <row r="86">
      <c r="A86">
        <f>IF(原始資料!A86="","",原始資料!A86)</f>
        <v/>
      </c>
      <c r="B86">
        <f>IF(原始資料!B86="","",IF(反向題設定!$C$5="是",反向題設定!$B$2+1-原始資料!B86,原始資料!B86))</f>
        <v/>
      </c>
      <c r="C86">
        <f>IF(原始資料!C86="","",IF(反向題設定!$C$6="是",反向題設定!$B$2+1-原始資料!C86,原始資料!C86))</f>
        <v/>
      </c>
      <c r="D86">
        <f>IF(原始資料!D86="","",IF(反向題設定!$C$7="是",反向題設定!$B$2+1-原始資料!D86,原始資料!D86))</f>
        <v/>
      </c>
      <c r="E86">
        <f>IF(原始資料!E86="","",IF(反向題設定!$C$8="是",反向題設定!$B$2+1-原始資料!E86,原始資料!E86))</f>
        <v/>
      </c>
      <c r="F86">
        <f>IF(原始資料!F86="","",IF(反向題設定!$C$9="是",反向題設定!$B$2+1-原始資料!F86,原始資料!F86))</f>
        <v/>
      </c>
      <c r="G86">
        <f>IF(原始資料!G86="","",IF(反向題設定!$C$10="是",反向題設定!$B$2+1-原始資料!G86,原始資料!G86))</f>
        <v/>
      </c>
      <c r="H86">
        <f>IF(原始資料!H86="","",IF(反向題設定!$C$11="是",反向題設定!$B$2+1-原始資料!H86,原始資料!H86))</f>
        <v/>
      </c>
      <c r="I86">
        <f>IF(原始資料!I86="","",IF(反向題設定!$C$12="是",反向題設定!$B$2+1-原始資料!I86,原始資料!I86))</f>
        <v/>
      </c>
      <c r="J86">
        <f>IF(原始資料!J86="","",IF(反向題設定!$C$13="是",反向題設定!$B$2+1-原始資料!J86,原始資料!J86))</f>
        <v/>
      </c>
      <c r="K86">
        <f>IF(原始資料!K86="","",IF(反向題設定!$C$14="是",反向題設定!$B$2+1-原始資料!K86,原始資料!K86))</f>
        <v/>
      </c>
      <c r="L86">
        <f>IF(原始資料!L86="","",IF(反向題設定!$C$15="是",反向題設定!$B$2+1-原始資料!L86,原始資料!L86))</f>
        <v/>
      </c>
      <c r="M86">
        <f>IF(原始資料!M86="","",IF(反向題設定!$C$16="是",反向題設定!$B$2+1-原始資料!M86,原始資料!M86))</f>
        <v/>
      </c>
      <c r="N86">
        <f>IF(原始資料!N86="","",IF(反向題設定!$C$17="是",反向題設定!$B$2+1-原始資料!N86,原始資料!N86))</f>
        <v/>
      </c>
      <c r="O86">
        <f>IF(原始資料!O86="","",IF(反向題設定!$C$18="是",反向題設定!$B$2+1-原始資料!O86,原始資料!O86))</f>
        <v/>
      </c>
      <c r="P86">
        <f>IF(原始資料!P86="","",IF(反向題設定!$C$19="是",反向題設定!$B$2+1-原始資料!P86,原始資料!P86))</f>
        <v/>
      </c>
      <c r="Q86">
        <f>IF(原始資料!Q86="","",IF(反向題設定!$C$20="是",反向題設定!$B$2+1-原始資料!Q86,原始資料!Q86))</f>
        <v/>
      </c>
      <c r="R86">
        <f>IF(原始資料!R86="","",IF(反向題設定!$C$21="是",反向題設定!$B$2+1-原始資料!R86,原始資料!R86))</f>
        <v/>
      </c>
      <c r="S86">
        <f>IF(原始資料!S86="","",IF(反向題設定!$C$22="是",反向題設定!$B$2+1-原始資料!S86,原始資料!S86))</f>
        <v/>
      </c>
      <c r="T86">
        <f>IF(原始資料!T86="","",IF(反向題設定!$C$23="是",反向題設定!$B$2+1-原始資料!T86,原始資料!T86))</f>
        <v/>
      </c>
      <c r="U86">
        <f>IF(原始資料!U86="","",IF(反向題設定!$C$24="是",反向題設定!$B$2+1-原始資料!U86,原始資料!U86))</f>
        <v/>
      </c>
      <c r="V86">
        <f>IF(原始資料!V86="","",IF(反向題設定!$C$25="是",反向題設定!$B$2+1-原始資料!V86,原始資料!V86))</f>
        <v/>
      </c>
      <c r="W86">
        <f>IF(原始資料!W86="","",IF(反向題設定!$C$26="是",反向題設定!$B$2+1-原始資料!W86,原始資料!W86))</f>
        <v/>
      </c>
      <c r="X86">
        <f>IF(原始資料!X86="","",IF(反向題設定!$C$27="是",反向題設定!$B$2+1-原始資料!X86,原始資料!X86))</f>
        <v/>
      </c>
      <c r="Y86">
        <f>IF(原始資料!Y86="","",IF(反向題設定!$C$28="是",反向題設定!$B$2+1-原始資料!Y86,原始資料!Y86))</f>
        <v/>
      </c>
      <c r="Z86">
        <f>IF(原始資料!Z86="","",IF(反向題設定!$C$29="是",反向題設定!$B$2+1-原始資料!Z86,原始資料!Z86))</f>
        <v/>
      </c>
      <c r="AA86">
        <f>IF(原始資料!AA86="","",IF(反向題設定!$C$30="是",反向題設定!$B$2+1-原始資料!AA86,原始資料!AA86))</f>
        <v/>
      </c>
      <c r="AB86">
        <f>IF(原始資料!AB86="","",IF(反向題設定!$C$31="是",反向題設定!$B$2+1-原始資料!AB86,原始資料!AB86))</f>
        <v/>
      </c>
      <c r="AC86">
        <f>IF(原始資料!AC86="","",IF(反向題設定!$C$32="是",反向題設定!$B$2+1-原始資料!AC86,原始資料!AC86))</f>
        <v/>
      </c>
      <c r="AD86">
        <f>IF(原始資料!AD86="","",IF(反向題設定!$C$33="是",反向題設定!$B$2+1-原始資料!AD86,原始資料!AD86))</f>
        <v/>
      </c>
      <c r="AE86">
        <f>IF(原始資料!AE86="","",IF(反向題設定!$C$34="是",反向題設定!$B$2+1-原始資料!AE86,原始資料!AE86))</f>
        <v/>
      </c>
      <c r="AF86">
        <f>IF(原始資料!AF86="","",IF(反向題設定!$C$35="是",反向題設定!$B$2+1-原始資料!AF86,原始資料!AF86))</f>
        <v/>
      </c>
      <c r="AG86">
        <f>IF(原始資料!AG86="","",IF(反向題設定!$C$36="是",反向題設定!$B$2+1-原始資料!AG86,原始資料!AG86))</f>
        <v/>
      </c>
      <c r="AH86">
        <f>IF(原始資料!AH86="","",IF(反向題設定!$C$37="是",反向題設定!$B$2+1-原始資料!AH86,原始資料!AH86))</f>
        <v/>
      </c>
      <c r="AI86">
        <f>IF(原始資料!AI86="","",IF(反向題設定!$C$38="是",反向題設定!$B$2+1-原始資料!AI86,原始資料!AI86))</f>
        <v/>
      </c>
      <c r="AJ86">
        <f>IF(原始資料!AJ86="","",IF(反向題設定!$C$39="是",反向題設定!$B$2+1-原始資料!AJ86,原始資料!AJ86))</f>
        <v/>
      </c>
      <c r="AK86">
        <f>IF(原始資料!AK86="","",IF(反向題設定!$C$40="是",反向題設定!$B$2+1-原始資料!AK86,原始資料!AK86))</f>
        <v/>
      </c>
      <c r="AL86">
        <f>IF(原始資料!AL86="","",IF(反向題設定!$C$41="是",反向題設定!$B$2+1-原始資料!AL86,原始資料!AL86))</f>
        <v/>
      </c>
      <c r="AM86">
        <f>IF(原始資料!AM86="","",IF(反向題設定!$C$42="是",反向題設定!$B$2+1-原始資料!AM86,原始資料!AM86))</f>
        <v/>
      </c>
      <c r="AN86">
        <f>IF(原始資料!AN86="","",IF(反向題設定!$C$43="是",反向題設定!$B$2+1-原始資料!AN86,原始資料!AN86))</f>
        <v/>
      </c>
      <c r="AO86">
        <f>IF(原始資料!AO86="","",IF(反向題設定!$C$44="是",反向題設定!$B$2+1-原始資料!AO86,原始資料!AO86))</f>
        <v/>
      </c>
      <c r="AP86">
        <f>IF(COUNT(B86:AO86)=0,"",SUM(B86:AO86))</f>
        <v/>
      </c>
      <c r="AQ86">
        <f>IF(AP86="","",IF(AP86&gt;=項目分析!$C$5,"高",IF(AP86&lt;=項目分析!$C$6,"低","")))</f>
        <v/>
      </c>
    </row>
    <row r="87">
      <c r="A87">
        <f>IF(原始資料!A87="","",原始資料!A87)</f>
        <v/>
      </c>
      <c r="B87">
        <f>IF(原始資料!B87="","",IF(反向題設定!$C$5="是",反向題設定!$B$2+1-原始資料!B87,原始資料!B87))</f>
        <v/>
      </c>
      <c r="C87">
        <f>IF(原始資料!C87="","",IF(反向題設定!$C$6="是",反向題設定!$B$2+1-原始資料!C87,原始資料!C87))</f>
        <v/>
      </c>
      <c r="D87">
        <f>IF(原始資料!D87="","",IF(反向題設定!$C$7="是",反向題設定!$B$2+1-原始資料!D87,原始資料!D87))</f>
        <v/>
      </c>
      <c r="E87">
        <f>IF(原始資料!E87="","",IF(反向題設定!$C$8="是",反向題設定!$B$2+1-原始資料!E87,原始資料!E87))</f>
        <v/>
      </c>
      <c r="F87">
        <f>IF(原始資料!F87="","",IF(反向題設定!$C$9="是",反向題設定!$B$2+1-原始資料!F87,原始資料!F87))</f>
        <v/>
      </c>
      <c r="G87">
        <f>IF(原始資料!G87="","",IF(反向題設定!$C$10="是",反向題設定!$B$2+1-原始資料!G87,原始資料!G87))</f>
        <v/>
      </c>
      <c r="H87">
        <f>IF(原始資料!H87="","",IF(反向題設定!$C$11="是",反向題設定!$B$2+1-原始資料!H87,原始資料!H87))</f>
        <v/>
      </c>
      <c r="I87">
        <f>IF(原始資料!I87="","",IF(反向題設定!$C$12="是",反向題設定!$B$2+1-原始資料!I87,原始資料!I87))</f>
        <v/>
      </c>
      <c r="J87">
        <f>IF(原始資料!J87="","",IF(反向題設定!$C$13="是",反向題設定!$B$2+1-原始資料!J87,原始資料!J87))</f>
        <v/>
      </c>
      <c r="K87">
        <f>IF(原始資料!K87="","",IF(反向題設定!$C$14="是",反向題設定!$B$2+1-原始資料!K87,原始資料!K87))</f>
        <v/>
      </c>
      <c r="L87">
        <f>IF(原始資料!L87="","",IF(反向題設定!$C$15="是",反向題設定!$B$2+1-原始資料!L87,原始資料!L87))</f>
        <v/>
      </c>
      <c r="M87">
        <f>IF(原始資料!M87="","",IF(反向題設定!$C$16="是",反向題設定!$B$2+1-原始資料!M87,原始資料!M87))</f>
        <v/>
      </c>
      <c r="N87">
        <f>IF(原始資料!N87="","",IF(反向題設定!$C$17="是",反向題設定!$B$2+1-原始資料!N87,原始資料!N87))</f>
        <v/>
      </c>
      <c r="O87">
        <f>IF(原始資料!O87="","",IF(反向題設定!$C$18="是",反向題設定!$B$2+1-原始資料!O87,原始資料!O87))</f>
        <v/>
      </c>
      <c r="P87">
        <f>IF(原始資料!P87="","",IF(反向題設定!$C$19="是",反向題設定!$B$2+1-原始資料!P87,原始資料!P87))</f>
        <v/>
      </c>
      <c r="Q87">
        <f>IF(原始資料!Q87="","",IF(反向題設定!$C$20="是",反向題設定!$B$2+1-原始資料!Q87,原始資料!Q87))</f>
        <v/>
      </c>
      <c r="R87">
        <f>IF(原始資料!R87="","",IF(反向題設定!$C$21="是",反向題設定!$B$2+1-原始資料!R87,原始資料!R87))</f>
        <v/>
      </c>
      <c r="S87">
        <f>IF(原始資料!S87="","",IF(反向題設定!$C$22="是",反向題設定!$B$2+1-原始資料!S87,原始資料!S87))</f>
        <v/>
      </c>
      <c r="T87">
        <f>IF(原始資料!T87="","",IF(反向題設定!$C$23="是",反向題設定!$B$2+1-原始資料!T87,原始資料!T87))</f>
        <v/>
      </c>
      <c r="U87">
        <f>IF(原始資料!U87="","",IF(反向題設定!$C$24="是",反向題設定!$B$2+1-原始資料!U87,原始資料!U87))</f>
        <v/>
      </c>
      <c r="V87">
        <f>IF(原始資料!V87="","",IF(反向題設定!$C$25="是",反向題設定!$B$2+1-原始資料!V87,原始資料!V87))</f>
        <v/>
      </c>
      <c r="W87">
        <f>IF(原始資料!W87="","",IF(反向題設定!$C$26="是",反向題設定!$B$2+1-原始資料!W87,原始資料!W87))</f>
        <v/>
      </c>
      <c r="X87">
        <f>IF(原始資料!X87="","",IF(反向題設定!$C$27="是",反向題設定!$B$2+1-原始資料!X87,原始資料!X87))</f>
        <v/>
      </c>
      <c r="Y87">
        <f>IF(原始資料!Y87="","",IF(反向題設定!$C$28="是",反向題設定!$B$2+1-原始資料!Y87,原始資料!Y87))</f>
        <v/>
      </c>
      <c r="Z87">
        <f>IF(原始資料!Z87="","",IF(反向題設定!$C$29="是",反向題設定!$B$2+1-原始資料!Z87,原始資料!Z87))</f>
        <v/>
      </c>
      <c r="AA87">
        <f>IF(原始資料!AA87="","",IF(反向題設定!$C$30="是",反向題設定!$B$2+1-原始資料!AA87,原始資料!AA87))</f>
        <v/>
      </c>
      <c r="AB87">
        <f>IF(原始資料!AB87="","",IF(反向題設定!$C$31="是",反向題設定!$B$2+1-原始資料!AB87,原始資料!AB87))</f>
        <v/>
      </c>
      <c r="AC87">
        <f>IF(原始資料!AC87="","",IF(反向題設定!$C$32="是",反向題設定!$B$2+1-原始資料!AC87,原始資料!AC87))</f>
        <v/>
      </c>
      <c r="AD87">
        <f>IF(原始資料!AD87="","",IF(反向題設定!$C$33="是",反向題設定!$B$2+1-原始資料!AD87,原始資料!AD87))</f>
        <v/>
      </c>
      <c r="AE87">
        <f>IF(原始資料!AE87="","",IF(反向題設定!$C$34="是",反向題設定!$B$2+1-原始資料!AE87,原始資料!AE87))</f>
        <v/>
      </c>
      <c r="AF87">
        <f>IF(原始資料!AF87="","",IF(反向題設定!$C$35="是",反向題設定!$B$2+1-原始資料!AF87,原始資料!AF87))</f>
        <v/>
      </c>
      <c r="AG87">
        <f>IF(原始資料!AG87="","",IF(反向題設定!$C$36="是",反向題設定!$B$2+1-原始資料!AG87,原始資料!AG87))</f>
        <v/>
      </c>
      <c r="AH87">
        <f>IF(原始資料!AH87="","",IF(反向題設定!$C$37="是",反向題設定!$B$2+1-原始資料!AH87,原始資料!AH87))</f>
        <v/>
      </c>
      <c r="AI87">
        <f>IF(原始資料!AI87="","",IF(反向題設定!$C$38="是",反向題設定!$B$2+1-原始資料!AI87,原始資料!AI87))</f>
        <v/>
      </c>
      <c r="AJ87">
        <f>IF(原始資料!AJ87="","",IF(反向題設定!$C$39="是",反向題設定!$B$2+1-原始資料!AJ87,原始資料!AJ87))</f>
        <v/>
      </c>
      <c r="AK87">
        <f>IF(原始資料!AK87="","",IF(反向題設定!$C$40="是",反向題設定!$B$2+1-原始資料!AK87,原始資料!AK87))</f>
        <v/>
      </c>
      <c r="AL87">
        <f>IF(原始資料!AL87="","",IF(反向題設定!$C$41="是",反向題設定!$B$2+1-原始資料!AL87,原始資料!AL87))</f>
        <v/>
      </c>
      <c r="AM87">
        <f>IF(原始資料!AM87="","",IF(反向題設定!$C$42="是",反向題設定!$B$2+1-原始資料!AM87,原始資料!AM87))</f>
        <v/>
      </c>
      <c r="AN87">
        <f>IF(原始資料!AN87="","",IF(反向題設定!$C$43="是",反向題設定!$B$2+1-原始資料!AN87,原始資料!AN87))</f>
        <v/>
      </c>
      <c r="AO87">
        <f>IF(原始資料!AO87="","",IF(反向題設定!$C$44="是",反向題設定!$B$2+1-原始資料!AO87,原始資料!AO87))</f>
        <v/>
      </c>
      <c r="AP87">
        <f>IF(COUNT(B87:AO87)=0,"",SUM(B87:AO87))</f>
        <v/>
      </c>
      <c r="AQ87">
        <f>IF(AP87="","",IF(AP87&gt;=項目分析!$C$5,"高",IF(AP87&lt;=項目分析!$C$6,"低","")))</f>
        <v/>
      </c>
    </row>
    <row r="88">
      <c r="A88">
        <f>IF(原始資料!A88="","",原始資料!A88)</f>
        <v/>
      </c>
      <c r="B88">
        <f>IF(原始資料!B88="","",IF(反向題設定!$C$5="是",反向題設定!$B$2+1-原始資料!B88,原始資料!B88))</f>
        <v/>
      </c>
      <c r="C88">
        <f>IF(原始資料!C88="","",IF(反向題設定!$C$6="是",反向題設定!$B$2+1-原始資料!C88,原始資料!C88))</f>
        <v/>
      </c>
      <c r="D88">
        <f>IF(原始資料!D88="","",IF(反向題設定!$C$7="是",反向題設定!$B$2+1-原始資料!D88,原始資料!D88))</f>
        <v/>
      </c>
      <c r="E88">
        <f>IF(原始資料!E88="","",IF(反向題設定!$C$8="是",反向題設定!$B$2+1-原始資料!E88,原始資料!E88))</f>
        <v/>
      </c>
      <c r="F88">
        <f>IF(原始資料!F88="","",IF(反向題設定!$C$9="是",反向題設定!$B$2+1-原始資料!F88,原始資料!F88))</f>
        <v/>
      </c>
      <c r="G88">
        <f>IF(原始資料!G88="","",IF(反向題設定!$C$10="是",反向題設定!$B$2+1-原始資料!G88,原始資料!G88))</f>
        <v/>
      </c>
      <c r="H88">
        <f>IF(原始資料!H88="","",IF(反向題設定!$C$11="是",反向題設定!$B$2+1-原始資料!H88,原始資料!H88))</f>
        <v/>
      </c>
      <c r="I88">
        <f>IF(原始資料!I88="","",IF(反向題設定!$C$12="是",反向題設定!$B$2+1-原始資料!I88,原始資料!I88))</f>
        <v/>
      </c>
      <c r="J88">
        <f>IF(原始資料!J88="","",IF(反向題設定!$C$13="是",反向題設定!$B$2+1-原始資料!J88,原始資料!J88))</f>
        <v/>
      </c>
      <c r="K88">
        <f>IF(原始資料!K88="","",IF(反向題設定!$C$14="是",反向題設定!$B$2+1-原始資料!K88,原始資料!K88))</f>
        <v/>
      </c>
      <c r="L88">
        <f>IF(原始資料!L88="","",IF(反向題設定!$C$15="是",反向題設定!$B$2+1-原始資料!L88,原始資料!L88))</f>
        <v/>
      </c>
      <c r="M88">
        <f>IF(原始資料!M88="","",IF(反向題設定!$C$16="是",反向題設定!$B$2+1-原始資料!M88,原始資料!M88))</f>
        <v/>
      </c>
      <c r="N88">
        <f>IF(原始資料!N88="","",IF(反向題設定!$C$17="是",反向題設定!$B$2+1-原始資料!N88,原始資料!N88))</f>
        <v/>
      </c>
      <c r="O88">
        <f>IF(原始資料!O88="","",IF(反向題設定!$C$18="是",反向題設定!$B$2+1-原始資料!O88,原始資料!O88))</f>
        <v/>
      </c>
      <c r="P88">
        <f>IF(原始資料!P88="","",IF(反向題設定!$C$19="是",反向題設定!$B$2+1-原始資料!P88,原始資料!P88))</f>
        <v/>
      </c>
      <c r="Q88">
        <f>IF(原始資料!Q88="","",IF(反向題設定!$C$20="是",反向題設定!$B$2+1-原始資料!Q88,原始資料!Q88))</f>
        <v/>
      </c>
      <c r="R88">
        <f>IF(原始資料!R88="","",IF(反向題設定!$C$21="是",反向題設定!$B$2+1-原始資料!R88,原始資料!R88))</f>
        <v/>
      </c>
      <c r="S88">
        <f>IF(原始資料!S88="","",IF(反向題設定!$C$22="是",反向題設定!$B$2+1-原始資料!S88,原始資料!S88))</f>
        <v/>
      </c>
      <c r="T88">
        <f>IF(原始資料!T88="","",IF(反向題設定!$C$23="是",反向題設定!$B$2+1-原始資料!T88,原始資料!T88))</f>
        <v/>
      </c>
      <c r="U88">
        <f>IF(原始資料!U88="","",IF(反向題設定!$C$24="是",反向題設定!$B$2+1-原始資料!U88,原始資料!U88))</f>
        <v/>
      </c>
      <c r="V88">
        <f>IF(原始資料!V88="","",IF(反向題設定!$C$25="是",反向題設定!$B$2+1-原始資料!V88,原始資料!V88))</f>
        <v/>
      </c>
      <c r="W88">
        <f>IF(原始資料!W88="","",IF(反向題設定!$C$26="是",反向題設定!$B$2+1-原始資料!W88,原始資料!W88))</f>
        <v/>
      </c>
      <c r="X88">
        <f>IF(原始資料!X88="","",IF(反向題設定!$C$27="是",反向題設定!$B$2+1-原始資料!X88,原始資料!X88))</f>
        <v/>
      </c>
      <c r="Y88">
        <f>IF(原始資料!Y88="","",IF(反向題設定!$C$28="是",反向題設定!$B$2+1-原始資料!Y88,原始資料!Y88))</f>
        <v/>
      </c>
      <c r="Z88">
        <f>IF(原始資料!Z88="","",IF(反向題設定!$C$29="是",反向題設定!$B$2+1-原始資料!Z88,原始資料!Z88))</f>
        <v/>
      </c>
      <c r="AA88">
        <f>IF(原始資料!AA88="","",IF(反向題設定!$C$30="是",反向題設定!$B$2+1-原始資料!AA88,原始資料!AA88))</f>
        <v/>
      </c>
      <c r="AB88">
        <f>IF(原始資料!AB88="","",IF(反向題設定!$C$31="是",反向題設定!$B$2+1-原始資料!AB88,原始資料!AB88))</f>
        <v/>
      </c>
      <c r="AC88">
        <f>IF(原始資料!AC88="","",IF(反向題設定!$C$32="是",反向題設定!$B$2+1-原始資料!AC88,原始資料!AC88))</f>
        <v/>
      </c>
      <c r="AD88">
        <f>IF(原始資料!AD88="","",IF(反向題設定!$C$33="是",反向題設定!$B$2+1-原始資料!AD88,原始資料!AD88))</f>
        <v/>
      </c>
      <c r="AE88">
        <f>IF(原始資料!AE88="","",IF(反向題設定!$C$34="是",反向題設定!$B$2+1-原始資料!AE88,原始資料!AE88))</f>
        <v/>
      </c>
      <c r="AF88">
        <f>IF(原始資料!AF88="","",IF(反向題設定!$C$35="是",反向題設定!$B$2+1-原始資料!AF88,原始資料!AF88))</f>
        <v/>
      </c>
      <c r="AG88">
        <f>IF(原始資料!AG88="","",IF(反向題設定!$C$36="是",反向題設定!$B$2+1-原始資料!AG88,原始資料!AG88))</f>
        <v/>
      </c>
      <c r="AH88">
        <f>IF(原始資料!AH88="","",IF(反向題設定!$C$37="是",反向題設定!$B$2+1-原始資料!AH88,原始資料!AH88))</f>
        <v/>
      </c>
      <c r="AI88">
        <f>IF(原始資料!AI88="","",IF(反向題設定!$C$38="是",反向題設定!$B$2+1-原始資料!AI88,原始資料!AI88))</f>
        <v/>
      </c>
      <c r="AJ88">
        <f>IF(原始資料!AJ88="","",IF(反向題設定!$C$39="是",反向題設定!$B$2+1-原始資料!AJ88,原始資料!AJ88))</f>
        <v/>
      </c>
      <c r="AK88">
        <f>IF(原始資料!AK88="","",IF(反向題設定!$C$40="是",反向題設定!$B$2+1-原始資料!AK88,原始資料!AK88))</f>
        <v/>
      </c>
      <c r="AL88">
        <f>IF(原始資料!AL88="","",IF(反向題設定!$C$41="是",反向題設定!$B$2+1-原始資料!AL88,原始資料!AL88))</f>
        <v/>
      </c>
      <c r="AM88">
        <f>IF(原始資料!AM88="","",IF(反向題設定!$C$42="是",反向題設定!$B$2+1-原始資料!AM88,原始資料!AM88))</f>
        <v/>
      </c>
      <c r="AN88">
        <f>IF(原始資料!AN88="","",IF(反向題設定!$C$43="是",反向題設定!$B$2+1-原始資料!AN88,原始資料!AN88))</f>
        <v/>
      </c>
      <c r="AO88">
        <f>IF(原始資料!AO88="","",IF(反向題設定!$C$44="是",反向題設定!$B$2+1-原始資料!AO88,原始資料!AO88))</f>
        <v/>
      </c>
      <c r="AP88">
        <f>IF(COUNT(B88:AO88)=0,"",SUM(B88:AO88))</f>
        <v/>
      </c>
      <c r="AQ88">
        <f>IF(AP88="","",IF(AP88&gt;=項目分析!$C$5,"高",IF(AP88&lt;=項目分析!$C$6,"低","")))</f>
        <v/>
      </c>
    </row>
    <row r="89">
      <c r="A89">
        <f>IF(原始資料!A89="","",原始資料!A89)</f>
        <v/>
      </c>
      <c r="B89">
        <f>IF(原始資料!B89="","",IF(反向題設定!$C$5="是",反向題設定!$B$2+1-原始資料!B89,原始資料!B89))</f>
        <v/>
      </c>
      <c r="C89">
        <f>IF(原始資料!C89="","",IF(反向題設定!$C$6="是",反向題設定!$B$2+1-原始資料!C89,原始資料!C89))</f>
        <v/>
      </c>
      <c r="D89">
        <f>IF(原始資料!D89="","",IF(反向題設定!$C$7="是",反向題設定!$B$2+1-原始資料!D89,原始資料!D89))</f>
        <v/>
      </c>
      <c r="E89">
        <f>IF(原始資料!E89="","",IF(反向題設定!$C$8="是",反向題設定!$B$2+1-原始資料!E89,原始資料!E89))</f>
        <v/>
      </c>
      <c r="F89">
        <f>IF(原始資料!F89="","",IF(反向題設定!$C$9="是",反向題設定!$B$2+1-原始資料!F89,原始資料!F89))</f>
        <v/>
      </c>
      <c r="G89">
        <f>IF(原始資料!G89="","",IF(反向題設定!$C$10="是",反向題設定!$B$2+1-原始資料!G89,原始資料!G89))</f>
        <v/>
      </c>
      <c r="H89">
        <f>IF(原始資料!H89="","",IF(反向題設定!$C$11="是",反向題設定!$B$2+1-原始資料!H89,原始資料!H89))</f>
        <v/>
      </c>
      <c r="I89">
        <f>IF(原始資料!I89="","",IF(反向題設定!$C$12="是",反向題設定!$B$2+1-原始資料!I89,原始資料!I89))</f>
        <v/>
      </c>
      <c r="J89">
        <f>IF(原始資料!J89="","",IF(反向題設定!$C$13="是",反向題設定!$B$2+1-原始資料!J89,原始資料!J89))</f>
        <v/>
      </c>
      <c r="K89">
        <f>IF(原始資料!K89="","",IF(反向題設定!$C$14="是",反向題設定!$B$2+1-原始資料!K89,原始資料!K89))</f>
        <v/>
      </c>
      <c r="L89">
        <f>IF(原始資料!L89="","",IF(反向題設定!$C$15="是",反向題設定!$B$2+1-原始資料!L89,原始資料!L89))</f>
        <v/>
      </c>
      <c r="M89">
        <f>IF(原始資料!M89="","",IF(反向題設定!$C$16="是",反向題設定!$B$2+1-原始資料!M89,原始資料!M89))</f>
        <v/>
      </c>
      <c r="N89">
        <f>IF(原始資料!N89="","",IF(反向題設定!$C$17="是",反向題設定!$B$2+1-原始資料!N89,原始資料!N89))</f>
        <v/>
      </c>
      <c r="O89">
        <f>IF(原始資料!O89="","",IF(反向題設定!$C$18="是",反向題設定!$B$2+1-原始資料!O89,原始資料!O89))</f>
        <v/>
      </c>
      <c r="P89">
        <f>IF(原始資料!P89="","",IF(反向題設定!$C$19="是",反向題設定!$B$2+1-原始資料!P89,原始資料!P89))</f>
        <v/>
      </c>
      <c r="Q89">
        <f>IF(原始資料!Q89="","",IF(反向題設定!$C$20="是",反向題設定!$B$2+1-原始資料!Q89,原始資料!Q89))</f>
        <v/>
      </c>
      <c r="R89">
        <f>IF(原始資料!R89="","",IF(反向題設定!$C$21="是",反向題設定!$B$2+1-原始資料!R89,原始資料!R89))</f>
        <v/>
      </c>
      <c r="S89">
        <f>IF(原始資料!S89="","",IF(反向題設定!$C$22="是",反向題設定!$B$2+1-原始資料!S89,原始資料!S89))</f>
        <v/>
      </c>
      <c r="T89">
        <f>IF(原始資料!T89="","",IF(反向題設定!$C$23="是",反向題設定!$B$2+1-原始資料!T89,原始資料!T89))</f>
        <v/>
      </c>
      <c r="U89">
        <f>IF(原始資料!U89="","",IF(反向題設定!$C$24="是",反向題設定!$B$2+1-原始資料!U89,原始資料!U89))</f>
        <v/>
      </c>
      <c r="V89">
        <f>IF(原始資料!V89="","",IF(反向題設定!$C$25="是",反向題設定!$B$2+1-原始資料!V89,原始資料!V89))</f>
        <v/>
      </c>
      <c r="W89">
        <f>IF(原始資料!W89="","",IF(反向題設定!$C$26="是",反向題設定!$B$2+1-原始資料!W89,原始資料!W89))</f>
        <v/>
      </c>
      <c r="X89">
        <f>IF(原始資料!X89="","",IF(反向題設定!$C$27="是",反向題設定!$B$2+1-原始資料!X89,原始資料!X89))</f>
        <v/>
      </c>
      <c r="Y89">
        <f>IF(原始資料!Y89="","",IF(反向題設定!$C$28="是",反向題設定!$B$2+1-原始資料!Y89,原始資料!Y89))</f>
        <v/>
      </c>
      <c r="Z89">
        <f>IF(原始資料!Z89="","",IF(反向題設定!$C$29="是",反向題設定!$B$2+1-原始資料!Z89,原始資料!Z89))</f>
        <v/>
      </c>
      <c r="AA89">
        <f>IF(原始資料!AA89="","",IF(反向題設定!$C$30="是",反向題設定!$B$2+1-原始資料!AA89,原始資料!AA89))</f>
        <v/>
      </c>
      <c r="AB89">
        <f>IF(原始資料!AB89="","",IF(反向題設定!$C$31="是",反向題設定!$B$2+1-原始資料!AB89,原始資料!AB89))</f>
        <v/>
      </c>
      <c r="AC89">
        <f>IF(原始資料!AC89="","",IF(反向題設定!$C$32="是",反向題設定!$B$2+1-原始資料!AC89,原始資料!AC89))</f>
        <v/>
      </c>
      <c r="AD89">
        <f>IF(原始資料!AD89="","",IF(反向題設定!$C$33="是",反向題設定!$B$2+1-原始資料!AD89,原始資料!AD89))</f>
        <v/>
      </c>
      <c r="AE89">
        <f>IF(原始資料!AE89="","",IF(反向題設定!$C$34="是",反向題設定!$B$2+1-原始資料!AE89,原始資料!AE89))</f>
        <v/>
      </c>
      <c r="AF89">
        <f>IF(原始資料!AF89="","",IF(反向題設定!$C$35="是",反向題設定!$B$2+1-原始資料!AF89,原始資料!AF89))</f>
        <v/>
      </c>
      <c r="AG89">
        <f>IF(原始資料!AG89="","",IF(反向題設定!$C$36="是",反向題設定!$B$2+1-原始資料!AG89,原始資料!AG89))</f>
        <v/>
      </c>
      <c r="AH89">
        <f>IF(原始資料!AH89="","",IF(反向題設定!$C$37="是",反向題設定!$B$2+1-原始資料!AH89,原始資料!AH89))</f>
        <v/>
      </c>
      <c r="AI89">
        <f>IF(原始資料!AI89="","",IF(反向題設定!$C$38="是",反向題設定!$B$2+1-原始資料!AI89,原始資料!AI89))</f>
        <v/>
      </c>
      <c r="AJ89">
        <f>IF(原始資料!AJ89="","",IF(反向題設定!$C$39="是",反向題設定!$B$2+1-原始資料!AJ89,原始資料!AJ89))</f>
        <v/>
      </c>
      <c r="AK89">
        <f>IF(原始資料!AK89="","",IF(反向題設定!$C$40="是",反向題設定!$B$2+1-原始資料!AK89,原始資料!AK89))</f>
        <v/>
      </c>
      <c r="AL89">
        <f>IF(原始資料!AL89="","",IF(反向題設定!$C$41="是",反向題設定!$B$2+1-原始資料!AL89,原始資料!AL89))</f>
        <v/>
      </c>
      <c r="AM89">
        <f>IF(原始資料!AM89="","",IF(反向題設定!$C$42="是",反向題設定!$B$2+1-原始資料!AM89,原始資料!AM89))</f>
        <v/>
      </c>
      <c r="AN89">
        <f>IF(原始資料!AN89="","",IF(反向題設定!$C$43="是",反向題設定!$B$2+1-原始資料!AN89,原始資料!AN89))</f>
        <v/>
      </c>
      <c r="AO89">
        <f>IF(原始資料!AO89="","",IF(反向題設定!$C$44="是",反向題設定!$B$2+1-原始資料!AO89,原始資料!AO89))</f>
        <v/>
      </c>
      <c r="AP89">
        <f>IF(COUNT(B89:AO89)=0,"",SUM(B89:AO89))</f>
        <v/>
      </c>
      <c r="AQ89">
        <f>IF(AP89="","",IF(AP89&gt;=項目分析!$C$5,"高",IF(AP89&lt;=項目分析!$C$6,"低","")))</f>
        <v/>
      </c>
    </row>
    <row r="90">
      <c r="A90">
        <f>IF(原始資料!A90="","",原始資料!A90)</f>
        <v/>
      </c>
      <c r="B90">
        <f>IF(原始資料!B90="","",IF(反向題設定!$C$5="是",反向題設定!$B$2+1-原始資料!B90,原始資料!B90))</f>
        <v/>
      </c>
      <c r="C90">
        <f>IF(原始資料!C90="","",IF(反向題設定!$C$6="是",反向題設定!$B$2+1-原始資料!C90,原始資料!C90))</f>
        <v/>
      </c>
      <c r="D90">
        <f>IF(原始資料!D90="","",IF(反向題設定!$C$7="是",反向題設定!$B$2+1-原始資料!D90,原始資料!D90))</f>
        <v/>
      </c>
      <c r="E90">
        <f>IF(原始資料!E90="","",IF(反向題設定!$C$8="是",反向題設定!$B$2+1-原始資料!E90,原始資料!E90))</f>
        <v/>
      </c>
      <c r="F90">
        <f>IF(原始資料!F90="","",IF(反向題設定!$C$9="是",反向題設定!$B$2+1-原始資料!F90,原始資料!F90))</f>
        <v/>
      </c>
      <c r="G90">
        <f>IF(原始資料!G90="","",IF(反向題設定!$C$10="是",反向題設定!$B$2+1-原始資料!G90,原始資料!G90))</f>
        <v/>
      </c>
      <c r="H90">
        <f>IF(原始資料!H90="","",IF(反向題設定!$C$11="是",反向題設定!$B$2+1-原始資料!H90,原始資料!H90))</f>
        <v/>
      </c>
      <c r="I90">
        <f>IF(原始資料!I90="","",IF(反向題設定!$C$12="是",反向題設定!$B$2+1-原始資料!I90,原始資料!I90))</f>
        <v/>
      </c>
      <c r="J90">
        <f>IF(原始資料!J90="","",IF(反向題設定!$C$13="是",反向題設定!$B$2+1-原始資料!J90,原始資料!J90))</f>
        <v/>
      </c>
      <c r="K90">
        <f>IF(原始資料!K90="","",IF(反向題設定!$C$14="是",反向題設定!$B$2+1-原始資料!K90,原始資料!K90))</f>
        <v/>
      </c>
      <c r="L90">
        <f>IF(原始資料!L90="","",IF(反向題設定!$C$15="是",反向題設定!$B$2+1-原始資料!L90,原始資料!L90))</f>
        <v/>
      </c>
      <c r="M90">
        <f>IF(原始資料!M90="","",IF(反向題設定!$C$16="是",反向題設定!$B$2+1-原始資料!M90,原始資料!M90))</f>
        <v/>
      </c>
      <c r="N90">
        <f>IF(原始資料!N90="","",IF(反向題設定!$C$17="是",反向題設定!$B$2+1-原始資料!N90,原始資料!N90))</f>
        <v/>
      </c>
      <c r="O90">
        <f>IF(原始資料!O90="","",IF(反向題設定!$C$18="是",反向題設定!$B$2+1-原始資料!O90,原始資料!O90))</f>
        <v/>
      </c>
      <c r="P90">
        <f>IF(原始資料!P90="","",IF(反向題設定!$C$19="是",反向題設定!$B$2+1-原始資料!P90,原始資料!P90))</f>
        <v/>
      </c>
      <c r="Q90">
        <f>IF(原始資料!Q90="","",IF(反向題設定!$C$20="是",反向題設定!$B$2+1-原始資料!Q90,原始資料!Q90))</f>
        <v/>
      </c>
      <c r="R90">
        <f>IF(原始資料!R90="","",IF(反向題設定!$C$21="是",反向題設定!$B$2+1-原始資料!R90,原始資料!R90))</f>
        <v/>
      </c>
      <c r="S90">
        <f>IF(原始資料!S90="","",IF(反向題設定!$C$22="是",反向題設定!$B$2+1-原始資料!S90,原始資料!S90))</f>
        <v/>
      </c>
      <c r="T90">
        <f>IF(原始資料!T90="","",IF(反向題設定!$C$23="是",反向題設定!$B$2+1-原始資料!T90,原始資料!T90))</f>
        <v/>
      </c>
      <c r="U90">
        <f>IF(原始資料!U90="","",IF(反向題設定!$C$24="是",反向題設定!$B$2+1-原始資料!U90,原始資料!U90))</f>
        <v/>
      </c>
      <c r="V90">
        <f>IF(原始資料!V90="","",IF(反向題設定!$C$25="是",反向題設定!$B$2+1-原始資料!V90,原始資料!V90))</f>
        <v/>
      </c>
      <c r="W90">
        <f>IF(原始資料!W90="","",IF(反向題設定!$C$26="是",反向題設定!$B$2+1-原始資料!W90,原始資料!W90))</f>
        <v/>
      </c>
      <c r="X90">
        <f>IF(原始資料!X90="","",IF(反向題設定!$C$27="是",反向題設定!$B$2+1-原始資料!X90,原始資料!X90))</f>
        <v/>
      </c>
      <c r="Y90">
        <f>IF(原始資料!Y90="","",IF(反向題設定!$C$28="是",反向題設定!$B$2+1-原始資料!Y90,原始資料!Y90))</f>
        <v/>
      </c>
      <c r="Z90">
        <f>IF(原始資料!Z90="","",IF(反向題設定!$C$29="是",反向題設定!$B$2+1-原始資料!Z90,原始資料!Z90))</f>
        <v/>
      </c>
      <c r="AA90">
        <f>IF(原始資料!AA90="","",IF(反向題設定!$C$30="是",反向題設定!$B$2+1-原始資料!AA90,原始資料!AA90))</f>
        <v/>
      </c>
      <c r="AB90">
        <f>IF(原始資料!AB90="","",IF(反向題設定!$C$31="是",反向題設定!$B$2+1-原始資料!AB90,原始資料!AB90))</f>
        <v/>
      </c>
      <c r="AC90">
        <f>IF(原始資料!AC90="","",IF(反向題設定!$C$32="是",反向題設定!$B$2+1-原始資料!AC90,原始資料!AC90))</f>
        <v/>
      </c>
      <c r="AD90">
        <f>IF(原始資料!AD90="","",IF(反向題設定!$C$33="是",反向題設定!$B$2+1-原始資料!AD90,原始資料!AD90))</f>
        <v/>
      </c>
      <c r="AE90">
        <f>IF(原始資料!AE90="","",IF(反向題設定!$C$34="是",反向題設定!$B$2+1-原始資料!AE90,原始資料!AE90))</f>
        <v/>
      </c>
      <c r="AF90">
        <f>IF(原始資料!AF90="","",IF(反向題設定!$C$35="是",反向題設定!$B$2+1-原始資料!AF90,原始資料!AF90))</f>
        <v/>
      </c>
      <c r="AG90">
        <f>IF(原始資料!AG90="","",IF(反向題設定!$C$36="是",反向題設定!$B$2+1-原始資料!AG90,原始資料!AG90))</f>
        <v/>
      </c>
      <c r="AH90">
        <f>IF(原始資料!AH90="","",IF(反向題設定!$C$37="是",反向題設定!$B$2+1-原始資料!AH90,原始資料!AH90))</f>
        <v/>
      </c>
      <c r="AI90">
        <f>IF(原始資料!AI90="","",IF(反向題設定!$C$38="是",反向題設定!$B$2+1-原始資料!AI90,原始資料!AI90))</f>
        <v/>
      </c>
      <c r="AJ90">
        <f>IF(原始資料!AJ90="","",IF(反向題設定!$C$39="是",反向題設定!$B$2+1-原始資料!AJ90,原始資料!AJ90))</f>
        <v/>
      </c>
      <c r="AK90">
        <f>IF(原始資料!AK90="","",IF(反向題設定!$C$40="是",反向題設定!$B$2+1-原始資料!AK90,原始資料!AK90))</f>
        <v/>
      </c>
      <c r="AL90">
        <f>IF(原始資料!AL90="","",IF(反向題設定!$C$41="是",反向題設定!$B$2+1-原始資料!AL90,原始資料!AL90))</f>
        <v/>
      </c>
      <c r="AM90">
        <f>IF(原始資料!AM90="","",IF(反向題設定!$C$42="是",反向題設定!$B$2+1-原始資料!AM90,原始資料!AM90))</f>
        <v/>
      </c>
      <c r="AN90">
        <f>IF(原始資料!AN90="","",IF(反向題設定!$C$43="是",反向題設定!$B$2+1-原始資料!AN90,原始資料!AN90))</f>
        <v/>
      </c>
      <c r="AO90">
        <f>IF(原始資料!AO90="","",IF(反向題設定!$C$44="是",反向題設定!$B$2+1-原始資料!AO90,原始資料!AO90))</f>
        <v/>
      </c>
      <c r="AP90">
        <f>IF(COUNT(B90:AO90)=0,"",SUM(B90:AO90))</f>
        <v/>
      </c>
      <c r="AQ90">
        <f>IF(AP90="","",IF(AP90&gt;=項目分析!$C$5,"高",IF(AP90&lt;=項目分析!$C$6,"低","")))</f>
        <v/>
      </c>
    </row>
    <row r="91">
      <c r="A91">
        <f>IF(原始資料!A91="","",原始資料!A91)</f>
        <v/>
      </c>
      <c r="B91">
        <f>IF(原始資料!B91="","",IF(反向題設定!$C$5="是",反向題設定!$B$2+1-原始資料!B91,原始資料!B91))</f>
        <v/>
      </c>
      <c r="C91">
        <f>IF(原始資料!C91="","",IF(反向題設定!$C$6="是",反向題設定!$B$2+1-原始資料!C91,原始資料!C91))</f>
        <v/>
      </c>
      <c r="D91">
        <f>IF(原始資料!D91="","",IF(反向題設定!$C$7="是",反向題設定!$B$2+1-原始資料!D91,原始資料!D91))</f>
        <v/>
      </c>
      <c r="E91">
        <f>IF(原始資料!E91="","",IF(反向題設定!$C$8="是",反向題設定!$B$2+1-原始資料!E91,原始資料!E91))</f>
        <v/>
      </c>
      <c r="F91">
        <f>IF(原始資料!F91="","",IF(反向題設定!$C$9="是",反向題設定!$B$2+1-原始資料!F91,原始資料!F91))</f>
        <v/>
      </c>
      <c r="G91">
        <f>IF(原始資料!G91="","",IF(反向題設定!$C$10="是",反向題設定!$B$2+1-原始資料!G91,原始資料!G91))</f>
        <v/>
      </c>
      <c r="H91">
        <f>IF(原始資料!H91="","",IF(反向題設定!$C$11="是",反向題設定!$B$2+1-原始資料!H91,原始資料!H91))</f>
        <v/>
      </c>
      <c r="I91">
        <f>IF(原始資料!I91="","",IF(反向題設定!$C$12="是",反向題設定!$B$2+1-原始資料!I91,原始資料!I91))</f>
        <v/>
      </c>
      <c r="J91">
        <f>IF(原始資料!J91="","",IF(反向題設定!$C$13="是",反向題設定!$B$2+1-原始資料!J91,原始資料!J91))</f>
        <v/>
      </c>
      <c r="K91">
        <f>IF(原始資料!K91="","",IF(反向題設定!$C$14="是",反向題設定!$B$2+1-原始資料!K91,原始資料!K91))</f>
        <v/>
      </c>
      <c r="L91">
        <f>IF(原始資料!L91="","",IF(反向題設定!$C$15="是",反向題設定!$B$2+1-原始資料!L91,原始資料!L91))</f>
        <v/>
      </c>
      <c r="M91">
        <f>IF(原始資料!M91="","",IF(反向題設定!$C$16="是",反向題設定!$B$2+1-原始資料!M91,原始資料!M91))</f>
        <v/>
      </c>
      <c r="N91">
        <f>IF(原始資料!N91="","",IF(反向題設定!$C$17="是",反向題設定!$B$2+1-原始資料!N91,原始資料!N91))</f>
        <v/>
      </c>
      <c r="O91">
        <f>IF(原始資料!O91="","",IF(反向題設定!$C$18="是",反向題設定!$B$2+1-原始資料!O91,原始資料!O91))</f>
        <v/>
      </c>
      <c r="P91">
        <f>IF(原始資料!P91="","",IF(反向題設定!$C$19="是",反向題設定!$B$2+1-原始資料!P91,原始資料!P91))</f>
        <v/>
      </c>
      <c r="Q91">
        <f>IF(原始資料!Q91="","",IF(反向題設定!$C$20="是",反向題設定!$B$2+1-原始資料!Q91,原始資料!Q91))</f>
        <v/>
      </c>
      <c r="R91">
        <f>IF(原始資料!R91="","",IF(反向題設定!$C$21="是",反向題設定!$B$2+1-原始資料!R91,原始資料!R91))</f>
        <v/>
      </c>
      <c r="S91">
        <f>IF(原始資料!S91="","",IF(反向題設定!$C$22="是",反向題設定!$B$2+1-原始資料!S91,原始資料!S91))</f>
        <v/>
      </c>
      <c r="T91">
        <f>IF(原始資料!T91="","",IF(反向題設定!$C$23="是",反向題設定!$B$2+1-原始資料!T91,原始資料!T91))</f>
        <v/>
      </c>
      <c r="U91">
        <f>IF(原始資料!U91="","",IF(反向題設定!$C$24="是",反向題設定!$B$2+1-原始資料!U91,原始資料!U91))</f>
        <v/>
      </c>
      <c r="V91">
        <f>IF(原始資料!V91="","",IF(反向題設定!$C$25="是",反向題設定!$B$2+1-原始資料!V91,原始資料!V91))</f>
        <v/>
      </c>
      <c r="W91">
        <f>IF(原始資料!W91="","",IF(反向題設定!$C$26="是",反向題設定!$B$2+1-原始資料!W91,原始資料!W91))</f>
        <v/>
      </c>
      <c r="X91">
        <f>IF(原始資料!X91="","",IF(反向題設定!$C$27="是",反向題設定!$B$2+1-原始資料!X91,原始資料!X91))</f>
        <v/>
      </c>
      <c r="Y91">
        <f>IF(原始資料!Y91="","",IF(反向題設定!$C$28="是",反向題設定!$B$2+1-原始資料!Y91,原始資料!Y91))</f>
        <v/>
      </c>
      <c r="Z91">
        <f>IF(原始資料!Z91="","",IF(反向題設定!$C$29="是",反向題設定!$B$2+1-原始資料!Z91,原始資料!Z91))</f>
        <v/>
      </c>
      <c r="AA91">
        <f>IF(原始資料!AA91="","",IF(反向題設定!$C$30="是",反向題設定!$B$2+1-原始資料!AA91,原始資料!AA91))</f>
        <v/>
      </c>
      <c r="AB91">
        <f>IF(原始資料!AB91="","",IF(反向題設定!$C$31="是",反向題設定!$B$2+1-原始資料!AB91,原始資料!AB91))</f>
        <v/>
      </c>
      <c r="AC91">
        <f>IF(原始資料!AC91="","",IF(反向題設定!$C$32="是",反向題設定!$B$2+1-原始資料!AC91,原始資料!AC91))</f>
        <v/>
      </c>
      <c r="AD91">
        <f>IF(原始資料!AD91="","",IF(反向題設定!$C$33="是",反向題設定!$B$2+1-原始資料!AD91,原始資料!AD91))</f>
        <v/>
      </c>
      <c r="AE91">
        <f>IF(原始資料!AE91="","",IF(反向題設定!$C$34="是",反向題設定!$B$2+1-原始資料!AE91,原始資料!AE91))</f>
        <v/>
      </c>
      <c r="AF91">
        <f>IF(原始資料!AF91="","",IF(反向題設定!$C$35="是",反向題設定!$B$2+1-原始資料!AF91,原始資料!AF91))</f>
        <v/>
      </c>
      <c r="AG91">
        <f>IF(原始資料!AG91="","",IF(反向題設定!$C$36="是",反向題設定!$B$2+1-原始資料!AG91,原始資料!AG91))</f>
        <v/>
      </c>
      <c r="AH91">
        <f>IF(原始資料!AH91="","",IF(反向題設定!$C$37="是",反向題設定!$B$2+1-原始資料!AH91,原始資料!AH91))</f>
        <v/>
      </c>
      <c r="AI91">
        <f>IF(原始資料!AI91="","",IF(反向題設定!$C$38="是",反向題設定!$B$2+1-原始資料!AI91,原始資料!AI91))</f>
        <v/>
      </c>
      <c r="AJ91">
        <f>IF(原始資料!AJ91="","",IF(反向題設定!$C$39="是",反向題設定!$B$2+1-原始資料!AJ91,原始資料!AJ91))</f>
        <v/>
      </c>
      <c r="AK91">
        <f>IF(原始資料!AK91="","",IF(反向題設定!$C$40="是",反向題設定!$B$2+1-原始資料!AK91,原始資料!AK91))</f>
        <v/>
      </c>
      <c r="AL91">
        <f>IF(原始資料!AL91="","",IF(反向題設定!$C$41="是",反向題設定!$B$2+1-原始資料!AL91,原始資料!AL91))</f>
        <v/>
      </c>
      <c r="AM91">
        <f>IF(原始資料!AM91="","",IF(反向題設定!$C$42="是",反向題設定!$B$2+1-原始資料!AM91,原始資料!AM91))</f>
        <v/>
      </c>
      <c r="AN91">
        <f>IF(原始資料!AN91="","",IF(反向題設定!$C$43="是",反向題設定!$B$2+1-原始資料!AN91,原始資料!AN91))</f>
        <v/>
      </c>
      <c r="AO91">
        <f>IF(原始資料!AO91="","",IF(反向題設定!$C$44="是",反向題設定!$B$2+1-原始資料!AO91,原始資料!AO91))</f>
        <v/>
      </c>
      <c r="AP91">
        <f>IF(COUNT(B91:AO91)=0,"",SUM(B91:AO91))</f>
        <v/>
      </c>
      <c r="AQ91">
        <f>IF(AP91="","",IF(AP91&gt;=項目分析!$C$5,"高",IF(AP91&lt;=項目分析!$C$6,"低","")))</f>
        <v/>
      </c>
    </row>
    <row r="92">
      <c r="A92">
        <f>IF(原始資料!A92="","",原始資料!A92)</f>
        <v/>
      </c>
      <c r="B92">
        <f>IF(原始資料!B92="","",IF(反向題設定!$C$5="是",反向題設定!$B$2+1-原始資料!B92,原始資料!B92))</f>
        <v/>
      </c>
      <c r="C92">
        <f>IF(原始資料!C92="","",IF(反向題設定!$C$6="是",反向題設定!$B$2+1-原始資料!C92,原始資料!C92))</f>
        <v/>
      </c>
      <c r="D92">
        <f>IF(原始資料!D92="","",IF(反向題設定!$C$7="是",反向題設定!$B$2+1-原始資料!D92,原始資料!D92))</f>
        <v/>
      </c>
      <c r="E92">
        <f>IF(原始資料!E92="","",IF(反向題設定!$C$8="是",反向題設定!$B$2+1-原始資料!E92,原始資料!E92))</f>
        <v/>
      </c>
      <c r="F92">
        <f>IF(原始資料!F92="","",IF(反向題設定!$C$9="是",反向題設定!$B$2+1-原始資料!F92,原始資料!F92))</f>
        <v/>
      </c>
      <c r="G92">
        <f>IF(原始資料!G92="","",IF(反向題設定!$C$10="是",反向題設定!$B$2+1-原始資料!G92,原始資料!G92))</f>
        <v/>
      </c>
      <c r="H92">
        <f>IF(原始資料!H92="","",IF(反向題設定!$C$11="是",反向題設定!$B$2+1-原始資料!H92,原始資料!H92))</f>
        <v/>
      </c>
      <c r="I92">
        <f>IF(原始資料!I92="","",IF(反向題設定!$C$12="是",反向題設定!$B$2+1-原始資料!I92,原始資料!I92))</f>
        <v/>
      </c>
      <c r="J92">
        <f>IF(原始資料!J92="","",IF(反向題設定!$C$13="是",反向題設定!$B$2+1-原始資料!J92,原始資料!J92))</f>
        <v/>
      </c>
      <c r="K92">
        <f>IF(原始資料!K92="","",IF(反向題設定!$C$14="是",反向題設定!$B$2+1-原始資料!K92,原始資料!K92))</f>
        <v/>
      </c>
      <c r="L92">
        <f>IF(原始資料!L92="","",IF(反向題設定!$C$15="是",反向題設定!$B$2+1-原始資料!L92,原始資料!L92))</f>
        <v/>
      </c>
      <c r="M92">
        <f>IF(原始資料!M92="","",IF(反向題設定!$C$16="是",反向題設定!$B$2+1-原始資料!M92,原始資料!M92))</f>
        <v/>
      </c>
      <c r="N92">
        <f>IF(原始資料!N92="","",IF(反向題設定!$C$17="是",反向題設定!$B$2+1-原始資料!N92,原始資料!N92))</f>
        <v/>
      </c>
      <c r="O92">
        <f>IF(原始資料!O92="","",IF(反向題設定!$C$18="是",反向題設定!$B$2+1-原始資料!O92,原始資料!O92))</f>
        <v/>
      </c>
      <c r="P92">
        <f>IF(原始資料!P92="","",IF(反向題設定!$C$19="是",反向題設定!$B$2+1-原始資料!P92,原始資料!P92))</f>
        <v/>
      </c>
      <c r="Q92">
        <f>IF(原始資料!Q92="","",IF(反向題設定!$C$20="是",反向題設定!$B$2+1-原始資料!Q92,原始資料!Q92))</f>
        <v/>
      </c>
      <c r="R92">
        <f>IF(原始資料!R92="","",IF(反向題設定!$C$21="是",反向題設定!$B$2+1-原始資料!R92,原始資料!R92))</f>
        <v/>
      </c>
      <c r="S92">
        <f>IF(原始資料!S92="","",IF(反向題設定!$C$22="是",反向題設定!$B$2+1-原始資料!S92,原始資料!S92))</f>
        <v/>
      </c>
      <c r="T92">
        <f>IF(原始資料!T92="","",IF(反向題設定!$C$23="是",反向題設定!$B$2+1-原始資料!T92,原始資料!T92))</f>
        <v/>
      </c>
      <c r="U92">
        <f>IF(原始資料!U92="","",IF(反向題設定!$C$24="是",反向題設定!$B$2+1-原始資料!U92,原始資料!U92))</f>
        <v/>
      </c>
      <c r="V92">
        <f>IF(原始資料!V92="","",IF(反向題設定!$C$25="是",反向題設定!$B$2+1-原始資料!V92,原始資料!V92))</f>
        <v/>
      </c>
      <c r="W92">
        <f>IF(原始資料!W92="","",IF(反向題設定!$C$26="是",反向題設定!$B$2+1-原始資料!W92,原始資料!W92))</f>
        <v/>
      </c>
      <c r="X92">
        <f>IF(原始資料!X92="","",IF(反向題設定!$C$27="是",反向題設定!$B$2+1-原始資料!X92,原始資料!X92))</f>
        <v/>
      </c>
      <c r="Y92">
        <f>IF(原始資料!Y92="","",IF(反向題設定!$C$28="是",反向題設定!$B$2+1-原始資料!Y92,原始資料!Y92))</f>
        <v/>
      </c>
      <c r="Z92">
        <f>IF(原始資料!Z92="","",IF(反向題設定!$C$29="是",反向題設定!$B$2+1-原始資料!Z92,原始資料!Z92))</f>
        <v/>
      </c>
      <c r="AA92">
        <f>IF(原始資料!AA92="","",IF(反向題設定!$C$30="是",反向題設定!$B$2+1-原始資料!AA92,原始資料!AA92))</f>
        <v/>
      </c>
      <c r="AB92">
        <f>IF(原始資料!AB92="","",IF(反向題設定!$C$31="是",反向題設定!$B$2+1-原始資料!AB92,原始資料!AB92))</f>
        <v/>
      </c>
      <c r="AC92">
        <f>IF(原始資料!AC92="","",IF(反向題設定!$C$32="是",反向題設定!$B$2+1-原始資料!AC92,原始資料!AC92))</f>
        <v/>
      </c>
      <c r="AD92">
        <f>IF(原始資料!AD92="","",IF(反向題設定!$C$33="是",反向題設定!$B$2+1-原始資料!AD92,原始資料!AD92))</f>
        <v/>
      </c>
      <c r="AE92">
        <f>IF(原始資料!AE92="","",IF(反向題設定!$C$34="是",反向題設定!$B$2+1-原始資料!AE92,原始資料!AE92))</f>
        <v/>
      </c>
      <c r="AF92">
        <f>IF(原始資料!AF92="","",IF(反向題設定!$C$35="是",反向題設定!$B$2+1-原始資料!AF92,原始資料!AF92))</f>
        <v/>
      </c>
      <c r="AG92">
        <f>IF(原始資料!AG92="","",IF(反向題設定!$C$36="是",反向題設定!$B$2+1-原始資料!AG92,原始資料!AG92))</f>
        <v/>
      </c>
      <c r="AH92">
        <f>IF(原始資料!AH92="","",IF(反向題設定!$C$37="是",反向題設定!$B$2+1-原始資料!AH92,原始資料!AH92))</f>
        <v/>
      </c>
      <c r="AI92">
        <f>IF(原始資料!AI92="","",IF(反向題設定!$C$38="是",反向題設定!$B$2+1-原始資料!AI92,原始資料!AI92))</f>
        <v/>
      </c>
      <c r="AJ92">
        <f>IF(原始資料!AJ92="","",IF(反向題設定!$C$39="是",反向題設定!$B$2+1-原始資料!AJ92,原始資料!AJ92))</f>
        <v/>
      </c>
      <c r="AK92">
        <f>IF(原始資料!AK92="","",IF(反向題設定!$C$40="是",反向題設定!$B$2+1-原始資料!AK92,原始資料!AK92))</f>
        <v/>
      </c>
      <c r="AL92">
        <f>IF(原始資料!AL92="","",IF(反向題設定!$C$41="是",反向題設定!$B$2+1-原始資料!AL92,原始資料!AL92))</f>
        <v/>
      </c>
      <c r="AM92">
        <f>IF(原始資料!AM92="","",IF(反向題設定!$C$42="是",反向題設定!$B$2+1-原始資料!AM92,原始資料!AM92))</f>
        <v/>
      </c>
      <c r="AN92">
        <f>IF(原始資料!AN92="","",IF(反向題設定!$C$43="是",反向題設定!$B$2+1-原始資料!AN92,原始資料!AN92))</f>
        <v/>
      </c>
      <c r="AO92">
        <f>IF(原始資料!AO92="","",IF(反向題設定!$C$44="是",反向題設定!$B$2+1-原始資料!AO92,原始資料!AO92))</f>
        <v/>
      </c>
      <c r="AP92">
        <f>IF(COUNT(B92:AO92)=0,"",SUM(B92:AO92))</f>
        <v/>
      </c>
      <c r="AQ92">
        <f>IF(AP92="","",IF(AP92&gt;=項目分析!$C$5,"高",IF(AP92&lt;=項目分析!$C$6,"低","")))</f>
        <v/>
      </c>
    </row>
    <row r="93">
      <c r="A93">
        <f>IF(原始資料!A93="","",原始資料!A93)</f>
        <v/>
      </c>
      <c r="B93">
        <f>IF(原始資料!B93="","",IF(反向題設定!$C$5="是",反向題設定!$B$2+1-原始資料!B93,原始資料!B93))</f>
        <v/>
      </c>
      <c r="C93">
        <f>IF(原始資料!C93="","",IF(反向題設定!$C$6="是",反向題設定!$B$2+1-原始資料!C93,原始資料!C93))</f>
        <v/>
      </c>
      <c r="D93">
        <f>IF(原始資料!D93="","",IF(反向題設定!$C$7="是",反向題設定!$B$2+1-原始資料!D93,原始資料!D93))</f>
        <v/>
      </c>
      <c r="E93">
        <f>IF(原始資料!E93="","",IF(反向題設定!$C$8="是",反向題設定!$B$2+1-原始資料!E93,原始資料!E93))</f>
        <v/>
      </c>
      <c r="F93">
        <f>IF(原始資料!F93="","",IF(反向題設定!$C$9="是",反向題設定!$B$2+1-原始資料!F93,原始資料!F93))</f>
        <v/>
      </c>
      <c r="G93">
        <f>IF(原始資料!G93="","",IF(反向題設定!$C$10="是",反向題設定!$B$2+1-原始資料!G93,原始資料!G93))</f>
        <v/>
      </c>
      <c r="H93">
        <f>IF(原始資料!H93="","",IF(反向題設定!$C$11="是",反向題設定!$B$2+1-原始資料!H93,原始資料!H93))</f>
        <v/>
      </c>
      <c r="I93">
        <f>IF(原始資料!I93="","",IF(反向題設定!$C$12="是",反向題設定!$B$2+1-原始資料!I93,原始資料!I93))</f>
        <v/>
      </c>
      <c r="J93">
        <f>IF(原始資料!J93="","",IF(反向題設定!$C$13="是",反向題設定!$B$2+1-原始資料!J93,原始資料!J93))</f>
        <v/>
      </c>
      <c r="K93">
        <f>IF(原始資料!K93="","",IF(反向題設定!$C$14="是",反向題設定!$B$2+1-原始資料!K93,原始資料!K93))</f>
        <v/>
      </c>
      <c r="L93">
        <f>IF(原始資料!L93="","",IF(反向題設定!$C$15="是",反向題設定!$B$2+1-原始資料!L93,原始資料!L93))</f>
        <v/>
      </c>
      <c r="M93">
        <f>IF(原始資料!M93="","",IF(反向題設定!$C$16="是",反向題設定!$B$2+1-原始資料!M93,原始資料!M93))</f>
        <v/>
      </c>
      <c r="N93">
        <f>IF(原始資料!N93="","",IF(反向題設定!$C$17="是",反向題設定!$B$2+1-原始資料!N93,原始資料!N93))</f>
        <v/>
      </c>
      <c r="O93">
        <f>IF(原始資料!O93="","",IF(反向題設定!$C$18="是",反向題設定!$B$2+1-原始資料!O93,原始資料!O93))</f>
        <v/>
      </c>
      <c r="P93">
        <f>IF(原始資料!P93="","",IF(反向題設定!$C$19="是",反向題設定!$B$2+1-原始資料!P93,原始資料!P93))</f>
        <v/>
      </c>
      <c r="Q93">
        <f>IF(原始資料!Q93="","",IF(反向題設定!$C$20="是",反向題設定!$B$2+1-原始資料!Q93,原始資料!Q93))</f>
        <v/>
      </c>
      <c r="R93">
        <f>IF(原始資料!R93="","",IF(反向題設定!$C$21="是",反向題設定!$B$2+1-原始資料!R93,原始資料!R93))</f>
        <v/>
      </c>
      <c r="S93">
        <f>IF(原始資料!S93="","",IF(反向題設定!$C$22="是",反向題設定!$B$2+1-原始資料!S93,原始資料!S93))</f>
        <v/>
      </c>
      <c r="T93">
        <f>IF(原始資料!T93="","",IF(反向題設定!$C$23="是",反向題設定!$B$2+1-原始資料!T93,原始資料!T93))</f>
        <v/>
      </c>
      <c r="U93">
        <f>IF(原始資料!U93="","",IF(反向題設定!$C$24="是",反向題設定!$B$2+1-原始資料!U93,原始資料!U93))</f>
        <v/>
      </c>
      <c r="V93">
        <f>IF(原始資料!V93="","",IF(反向題設定!$C$25="是",反向題設定!$B$2+1-原始資料!V93,原始資料!V93))</f>
        <v/>
      </c>
      <c r="W93">
        <f>IF(原始資料!W93="","",IF(反向題設定!$C$26="是",反向題設定!$B$2+1-原始資料!W93,原始資料!W93))</f>
        <v/>
      </c>
      <c r="X93">
        <f>IF(原始資料!X93="","",IF(反向題設定!$C$27="是",反向題設定!$B$2+1-原始資料!X93,原始資料!X93))</f>
        <v/>
      </c>
      <c r="Y93">
        <f>IF(原始資料!Y93="","",IF(反向題設定!$C$28="是",反向題設定!$B$2+1-原始資料!Y93,原始資料!Y93))</f>
        <v/>
      </c>
      <c r="Z93">
        <f>IF(原始資料!Z93="","",IF(反向題設定!$C$29="是",反向題設定!$B$2+1-原始資料!Z93,原始資料!Z93))</f>
        <v/>
      </c>
      <c r="AA93">
        <f>IF(原始資料!AA93="","",IF(反向題設定!$C$30="是",反向題設定!$B$2+1-原始資料!AA93,原始資料!AA93))</f>
        <v/>
      </c>
      <c r="AB93">
        <f>IF(原始資料!AB93="","",IF(反向題設定!$C$31="是",反向題設定!$B$2+1-原始資料!AB93,原始資料!AB93))</f>
        <v/>
      </c>
      <c r="AC93">
        <f>IF(原始資料!AC93="","",IF(反向題設定!$C$32="是",反向題設定!$B$2+1-原始資料!AC93,原始資料!AC93))</f>
        <v/>
      </c>
      <c r="AD93">
        <f>IF(原始資料!AD93="","",IF(反向題設定!$C$33="是",反向題設定!$B$2+1-原始資料!AD93,原始資料!AD93))</f>
        <v/>
      </c>
      <c r="AE93">
        <f>IF(原始資料!AE93="","",IF(反向題設定!$C$34="是",反向題設定!$B$2+1-原始資料!AE93,原始資料!AE93))</f>
        <v/>
      </c>
      <c r="AF93">
        <f>IF(原始資料!AF93="","",IF(反向題設定!$C$35="是",反向題設定!$B$2+1-原始資料!AF93,原始資料!AF93))</f>
        <v/>
      </c>
      <c r="AG93">
        <f>IF(原始資料!AG93="","",IF(反向題設定!$C$36="是",反向題設定!$B$2+1-原始資料!AG93,原始資料!AG93))</f>
        <v/>
      </c>
      <c r="AH93">
        <f>IF(原始資料!AH93="","",IF(反向題設定!$C$37="是",反向題設定!$B$2+1-原始資料!AH93,原始資料!AH93))</f>
        <v/>
      </c>
      <c r="AI93">
        <f>IF(原始資料!AI93="","",IF(反向題設定!$C$38="是",反向題設定!$B$2+1-原始資料!AI93,原始資料!AI93))</f>
        <v/>
      </c>
      <c r="AJ93">
        <f>IF(原始資料!AJ93="","",IF(反向題設定!$C$39="是",反向題設定!$B$2+1-原始資料!AJ93,原始資料!AJ93))</f>
        <v/>
      </c>
      <c r="AK93">
        <f>IF(原始資料!AK93="","",IF(反向題設定!$C$40="是",反向題設定!$B$2+1-原始資料!AK93,原始資料!AK93))</f>
        <v/>
      </c>
      <c r="AL93">
        <f>IF(原始資料!AL93="","",IF(反向題設定!$C$41="是",反向題設定!$B$2+1-原始資料!AL93,原始資料!AL93))</f>
        <v/>
      </c>
      <c r="AM93">
        <f>IF(原始資料!AM93="","",IF(反向題設定!$C$42="是",反向題設定!$B$2+1-原始資料!AM93,原始資料!AM93))</f>
        <v/>
      </c>
      <c r="AN93">
        <f>IF(原始資料!AN93="","",IF(反向題設定!$C$43="是",反向題設定!$B$2+1-原始資料!AN93,原始資料!AN93))</f>
        <v/>
      </c>
      <c r="AO93">
        <f>IF(原始資料!AO93="","",IF(反向題設定!$C$44="是",反向題設定!$B$2+1-原始資料!AO93,原始資料!AO93))</f>
        <v/>
      </c>
      <c r="AP93">
        <f>IF(COUNT(B93:AO93)=0,"",SUM(B93:AO93))</f>
        <v/>
      </c>
      <c r="AQ93">
        <f>IF(AP93="","",IF(AP93&gt;=項目分析!$C$5,"高",IF(AP93&lt;=項目分析!$C$6,"低","")))</f>
        <v/>
      </c>
    </row>
    <row r="94">
      <c r="A94">
        <f>IF(原始資料!A94="","",原始資料!A94)</f>
        <v/>
      </c>
      <c r="B94">
        <f>IF(原始資料!B94="","",IF(反向題設定!$C$5="是",反向題設定!$B$2+1-原始資料!B94,原始資料!B94))</f>
        <v/>
      </c>
      <c r="C94">
        <f>IF(原始資料!C94="","",IF(反向題設定!$C$6="是",反向題設定!$B$2+1-原始資料!C94,原始資料!C94))</f>
        <v/>
      </c>
      <c r="D94">
        <f>IF(原始資料!D94="","",IF(反向題設定!$C$7="是",反向題設定!$B$2+1-原始資料!D94,原始資料!D94))</f>
        <v/>
      </c>
      <c r="E94">
        <f>IF(原始資料!E94="","",IF(反向題設定!$C$8="是",反向題設定!$B$2+1-原始資料!E94,原始資料!E94))</f>
        <v/>
      </c>
      <c r="F94">
        <f>IF(原始資料!F94="","",IF(反向題設定!$C$9="是",反向題設定!$B$2+1-原始資料!F94,原始資料!F94))</f>
        <v/>
      </c>
      <c r="G94">
        <f>IF(原始資料!G94="","",IF(反向題設定!$C$10="是",反向題設定!$B$2+1-原始資料!G94,原始資料!G94))</f>
        <v/>
      </c>
      <c r="H94">
        <f>IF(原始資料!H94="","",IF(反向題設定!$C$11="是",反向題設定!$B$2+1-原始資料!H94,原始資料!H94))</f>
        <v/>
      </c>
      <c r="I94">
        <f>IF(原始資料!I94="","",IF(反向題設定!$C$12="是",反向題設定!$B$2+1-原始資料!I94,原始資料!I94))</f>
        <v/>
      </c>
      <c r="J94">
        <f>IF(原始資料!J94="","",IF(反向題設定!$C$13="是",反向題設定!$B$2+1-原始資料!J94,原始資料!J94))</f>
        <v/>
      </c>
      <c r="K94">
        <f>IF(原始資料!K94="","",IF(反向題設定!$C$14="是",反向題設定!$B$2+1-原始資料!K94,原始資料!K94))</f>
        <v/>
      </c>
      <c r="L94">
        <f>IF(原始資料!L94="","",IF(反向題設定!$C$15="是",反向題設定!$B$2+1-原始資料!L94,原始資料!L94))</f>
        <v/>
      </c>
      <c r="M94">
        <f>IF(原始資料!M94="","",IF(反向題設定!$C$16="是",反向題設定!$B$2+1-原始資料!M94,原始資料!M94))</f>
        <v/>
      </c>
      <c r="N94">
        <f>IF(原始資料!N94="","",IF(反向題設定!$C$17="是",反向題設定!$B$2+1-原始資料!N94,原始資料!N94))</f>
        <v/>
      </c>
      <c r="O94">
        <f>IF(原始資料!O94="","",IF(反向題設定!$C$18="是",反向題設定!$B$2+1-原始資料!O94,原始資料!O94))</f>
        <v/>
      </c>
      <c r="P94">
        <f>IF(原始資料!P94="","",IF(反向題設定!$C$19="是",反向題設定!$B$2+1-原始資料!P94,原始資料!P94))</f>
        <v/>
      </c>
      <c r="Q94">
        <f>IF(原始資料!Q94="","",IF(反向題設定!$C$20="是",反向題設定!$B$2+1-原始資料!Q94,原始資料!Q94))</f>
        <v/>
      </c>
      <c r="R94">
        <f>IF(原始資料!R94="","",IF(反向題設定!$C$21="是",反向題設定!$B$2+1-原始資料!R94,原始資料!R94))</f>
        <v/>
      </c>
      <c r="S94">
        <f>IF(原始資料!S94="","",IF(反向題設定!$C$22="是",反向題設定!$B$2+1-原始資料!S94,原始資料!S94))</f>
        <v/>
      </c>
      <c r="T94">
        <f>IF(原始資料!T94="","",IF(反向題設定!$C$23="是",反向題設定!$B$2+1-原始資料!T94,原始資料!T94))</f>
        <v/>
      </c>
      <c r="U94">
        <f>IF(原始資料!U94="","",IF(反向題設定!$C$24="是",反向題設定!$B$2+1-原始資料!U94,原始資料!U94))</f>
        <v/>
      </c>
      <c r="V94">
        <f>IF(原始資料!V94="","",IF(反向題設定!$C$25="是",反向題設定!$B$2+1-原始資料!V94,原始資料!V94))</f>
        <v/>
      </c>
      <c r="W94">
        <f>IF(原始資料!W94="","",IF(反向題設定!$C$26="是",反向題設定!$B$2+1-原始資料!W94,原始資料!W94))</f>
        <v/>
      </c>
      <c r="X94">
        <f>IF(原始資料!X94="","",IF(反向題設定!$C$27="是",反向題設定!$B$2+1-原始資料!X94,原始資料!X94))</f>
        <v/>
      </c>
      <c r="Y94">
        <f>IF(原始資料!Y94="","",IF(反向題設定!$C$28="是",反向題設定!$B$2+1-原始資料!Y94,原始資料!Y94))</f>
        <v/>
      </c>
      <c r="Z94">
        <f>IF(原始資料!Z94="","",IF(反向題設定!$C$29="是",反向題設定!$B$2+1-原始資料!Z94,原始資料!Z94))</f>
        <v/>
      </c>
      <c r="AA94">
        <f>IF(原始資料!AA94="","",IF(反向題設定!$C$30="是",反向題設定!$B$2+1-原始資料!AA94,原始資料!AA94))</f>
        <v/>
      </c>
      <c r="AB94">
        <f>IF(原始資料!AB94="","",IF(反向題設定!$C$31="是",反向題設定!$B$2+1-原始資料!AB94,原始資料!AB94))</f>
        <v/>
      </c>
      <c r="AC94">
        <f>IF(原始資料!AC94="","",IF(反向題設定!$C$32="是",反向題設定!$B$2+1-原始資料!AC94,原始資料!AC94))</f>
        <v/>
      </c>
      <c r="AD94">
        <f>IF(原始資料!AD94="","",IF(反向題設定!$C$33="是",反向題設定!$B$2+1-原始資料!AD94,原始資料!AD94))</f>
        <v/>
      </c>
      <c r="AE94">
        <f>IF(原始資料!AE94="","",IF(反向題設定!$C$34="是",反向題設定!$B$2+1-原始資料!AE94,原始資料!AE94))</f>
        <v/>
      </c>
      <c r="AF94">
        <f>IF(原始資料!AF94="","",IF(反向題設定!$C$35="是",反向題設定!$B$2+1-原始資料!AF94,原始資料!AF94))</f>
        <v/>
      </c>
      <c r="AG94">
        <f>IF(原始資料!AG94="","",IF(反向題設定!$C$36="是",反向題設定!$B$2+1-原始資料!AG94,原始資料!AG94))</f>
        <v/>
      </c>
      <c r="AH94">
        <f>IF(原始資料!AH94="","",IF(反向題設定!$C$37="是",反向題設定!$B$2+1-原始資料!AH94,原始資料!AH94))</f>
        <v/>
      </c>
      <c r="AI94">
        <f>IF(原始資料!AI94="","",IF(反向題設定!$C$38="是",反向題設定!$B$2+1-原始資料!AI94,原始資料!AI94))</f>
        <v/>
      </c>
      <c r="AJ94">
        <f>IF(原始資料!AJ94="","",IF(反向題設定!$C$39="是",反向題設定!$B$2+1-原始資料!AJ94,原始資料!AJ94))</f>
        <v/>
      </c>
      <c r="AK94">
        <f>IF(原始資料!AK94="","",IF(反向題設定!$C$40="是",反向題設定!$B$2+1-原始資料!AK94,原始資料!AK94))</f>
        <v/>
      </c>
      <c r="AL94">
        <f>IF(原始資料!AL94="","",IF(反向題設定!$C$41="是",反向題設定!$B$2+1-原始資料!AL94,原始資料!AL94))</f>
        <v/>
      </c>
      <c r="AM94">
        <f>IF(原始資料!AM94="","",IF(反向題設定!$C$42="是",反向題設定!$B$2+1-原始資料!AM94,原始資料!AM94))</f>
        <v/>
      </c>
      <c r="AN94">
        <f>IF(原始資料!AN94="","",IF(反向題設定!$C$43="是",反向題設定!$B$2+1-原始資料!AN94,原始資料!AN94))</f>
        <v/>
      </c>
      <c r="AO94">
        <f>IF(原始資料!AO94="","",IF(反向題設定!$C$44="是",反向題設定!$B$2+1-原始資料!AO94,原始資料!AO94))</f>
        <v/>
      </c>
      <c r="AP94">
        <f>IF(COUNT(B94:AO94)=0,"",SUM(B94:AO94))</f>
        <v/>
      </c>
      <c r="AQ94">
        <f>IF(AP94="","",IF(AP94&gt;=項目分析!$C$5,"高",IF(AP94&lt;=項目分析!$C$6,"低","")))</f>
        <v/>
      </c>
    </row>
    <row r="95">
      <c r="A95">
        <f>IF(原始資料!A95="","",原始資料!A95)</f>
        <v/>
      </c>
      <c r="B95">
        <f>IF(原始資料!B95="","",IF(反向題設定!$C$5="是",反向題設定!$B$2+1-原始資料!B95,原始資料!B95))</f>
        <v/>
      </c>
      <c r="C95">
        <f>IF(原始資料!C95="","",IF(反向題設定!$C$6="是",反向題設定!$B$2+1-原始資料!C95,原始資料!C95))</f>
        <v/>
      </c>
      <c r="D95">
        <f>IF(原始資料!D95="","",IF(反向題設定!$C$7="是",反向題設定!$B$2+1-原始資料!D95,原始資料!D95))</f>
        <v/>
      </c>
      <c r="E95">
        <f>IF(原始資料!E95="","",IF(反向題設定!$C$8="是",反向題設定!$B$2+1-原始資料!E95,原始資料!E95))</f>
        <v/>
      </c>
      <c r="F95">
        <f>IF(原始資料!F95="","",IF(反向題設定!$C$9="是",反向題設定!$B$2+1-原始資料!F95,原始資料!F95))</f>
        <v/>
      </c>
      <c r="G95">
        <f>IF(原始資料!G95="","",IF(反向題設定!$C$10="是",反向題設定!$B$2+1-原始資料!G95,原始資料!G95))</f>
        <v/>
      </c>
      <c r="H95">
        <f>IF(原始資料!H95="","",IF(反向題設定!$C$11="是",反向題設定!$B$2+1-原始資料!H95,原始資料!H95))</f>
        <v/>
      </c>
      <c r="I95">
        <f>IF(原始資料!I95="","",IF(反向題設定!$C$12="是",反向題設定!$B$2+1-原始資料!I95,原始資料!I95))</f>
        <v/>
      </c>
      <c r="J95">
        <f>IF(原始資料!J95="","",IF(反向題設定!$C$13="是",反向題設定!$B$2+1-原始資料!J95,原始資料!J95))</f>
        <v/>
      </c>
      <c r="K95">
        <f>IF(原始資料!K95="","",IF(反向題設定!$C$14="是",反向題設定!$B$2+1-原始資料!K95,原始資料!K95))</f>
        <v/>
      </c>
      <c r="L95">
        <f>IF(原始資料!L95="","",IF(反向題設定!$C$15="是",反向題設定!$B$2+1-原始資料!L95,原始資料!L95))</f>
        <v/>
      </c>
      <c r="M95">
        <f>IF(原始資料!M95="","",IF(反向題設定!$C$16="是",反向題設定!$B$2+1-原始資料!M95,原始資料!M95))</f>
        <v/>
      </c>
      <c r="N95">
        <f>IF(原始資料!N95="","",IF(反向題設定!$C$17="是",反向題設定!$B$2+1-原始資料!N95,原始資料!N95))</f>
        <v/>
      </c>
      <c r="O95">
        <f>IF(原始資料!O95="","",IF(反向題設定!$C$18="是",反向題設定!$B$2+1-原始資料!O95,原始資料!O95))</f>
        <v/>
      </c>
      <c r="P95">
        <f>IF(原始資料!P95="","",IF(反向題設定!$C$19="是",反向題設定!$B$2+1-原始資料!P95,原始資料!P95))</f>
        <v/>
      </c>
      <c r="Q95">
        <f>IF(原始資料!Q95="","",IF(反向題設定!$C$20="是",反向題設定!$B$2+1-原始資料!Q95,原始資料!Q95))</f>
        <v/>
      </c>
      <c r="R95">
        <f>IF(原始資料!R95="","",IF(反向題設定!$C$21="是",反向題設定!$B$2+1-原始資料!R95,原始資料!R95))</f>
        <v/>
      </c>
      <c r="S95">
        <f>IF(原始資料!S95="","",IF(反向題設定!$C$22="是",反向題設定!$B$2+1-原始資料!S95,原始資料!S95))</f>
        <v/>
      </c>
      <c r="T95">
        <f>IF(原始資料!T95="","",IF(反向題設定!$C$23="是",反向題設定!$B$2+1-原始資料!T95,原始資料!T95))</f>
        <v/>
      </c>
      <c r="U95">
        <f>IF(原始資料!U95="","",IF(反向題設定!$C$24="是",反向題設定!$B$2+1-原始資料!U95,原始資料!U95))</f>
        <v/>
      </c>
      <c r="V95">
        <f>IF(原始資料!V95="","",IF(反向題設定!$C$25="是",反向題設定!$B$2+1-原始資料!V95,原始資料!V95))</f>
        <v/>
      </c>
      <c r="W95">
        <f>IF(原始資料!W95="","",IF(反向題設定!$C$26="是",反向題設定!$B$2+1-原始資料!W95,原始資料!W95))</f>
        <v/>
      </c>
      <c r="X95">
        <f>IF(原始資料!X95="","",IF(反向題設定!$C$27="是",反向題設定!$B$2+1-原始資料!X95,原始資料!X95))</f>
        <v/>
      </c>
      <c r="Y95">
        <f>IF(原始資料!Y95="","",IF(反向題設定!$C$28="是",反向題設定!$B$2+1-原始資料!Y95,原始資料!Y95))</f>
        <v/>
      </c>
      <c r="Z95">
        <f>IF(原始資料!Z95="","",IF(反向題設定!$C$29="是",反向題設定!$B$2+1-原始資料!Z95,原始資料!Z95))</f>
        <v/>
      </c>
      <c r="AA95">
        <f>IF(原始資料!AA95="","",IF(反向題設定!$C$30="是",反向題設定!$B$2+1-原始資料!AA95,原始資料!AA95))</f>
        <v/>
      </c>
      <c r="AB95">
        <f>IF(原始資料!AB95="","",IF(反向題設定!$C$31="是",反向題設定!$B$2+1-原始資料!AB95,原始資料!AB95))</f>
        <v/>
      </c>
      <c r="AC95">
        <f>IF(原始資料!AC95="","",IF(反向題設定!$C$32="是",反向題設定!$B$2+1-原始資料!AC95,原始資料!AC95))</f>
        <v/>
      </c>
      <c r="AD95">
        <f>IF(原始資料!AD95="","",IF(反向題設定!$C$33="是",反向題設定!$B$2+1-原始資料!AD95,原始資料!AD95))</f>
        <v/>
      </c>
      <c r="AE95">
        <f>IF(原始資料!AE95="","",IF(反向題設定!$C$34="是",反向題設定!$B$2+1-原始資料!AE95,原始資料!AE95))</f>
        <v/>
      </c>
      <c r="AF95">
        <f>IF(原始資料!AF95="","",IF(反向題設定!$C$35="是",反向題設定!$B$2+1-原始資料!AF95,原始資料!AF95))</f>
        <v/>
      </c>
      <c r="AG95">
        <f>IF(原始資料!AG95="","",IF(反向題設定!$C$36="是",反向題設定!$B$2+1-原始資料!AG95,原始資料!AG95))</f>
        <v/>
      </c>
      <c r="AH95">
        <f>IF(原始資料!AH95="","",IF(反向題設定!$C$37="是",反向題設定!$B$2+1-原始資料!AH95,原始資料!AH95))</f>
        <v/>
      </c>
      <c r="AI95">
        <f>IF(原始資料!AI95="","",IF(反向題設定!$C$38="是",反向題設定!$B$2+1-原始資料!AI95,原始資料!AI95))</f>
        <v/>
      </c>
      <c r="AJ95">
        <f>IF(原始資料!AJ95="","",IF(反向題設定!$C$39="是",反向題設定!$B$2+1-原始資料!AJ95,原始資料!AJ95))</f>
        <v/>
      </c>
      <c r="AK95">
        <f>IF(原始資料!AK95="","",IF(反向題設定!$C$40="是",反向題設定!$B$2+1-原始資料!AK95,原始資料!AK95))</f>
        <v/>
      </c>
      <c r="AL95">
        <f>IF(原始資料!AL95="","",IF(反向題設定!$C$41="是",反向題設定!$B$2+1-原始資料!AL95,原始資料!AL95))</f>
        <v/>
      </c>
      <c r="AM95">
        <f>IF(原始資料!AM95="","",IF(反向題設定!$C$42="是",反向題設定!$B$2+1-原始資料!AM95,原始資料!AM95))</f>
        <v/>
      </c>
      <c r="AN95">
        <f>IF(原始資料!AN95="","",IF(反向題設定!$C$43="是",反向題設定!$B$2+1-原始資料!AN95,原始資料!AN95))</f>
        <v/>
      </c>
      <c r="AO95">
        <f>IF(原始資料!AO95="","",IF(反向題設定!$C$44="是",反向題設定!$B$2+1-原始資料!AO95,原始資料!AO95))</f>
        <v/>
      </c>
      <c r="AP95">
        <f>IF(COUNT(B95:AO95)=0,"",SUM(B95:AO95))</f>
        <v/>
      </c>
      <c r="AQ95">
        <f>IF(AP95="","",IF(AP95&gt;=項目分析!$C$5,"高",IF(AP95&lt;=項目分析!$C$6,"低","")))</f>
        <v/>
      </c>
    </row>
    <row r="96">
      <c r="A96">
        <f>IF(原始資料!A96="","",原始資料!A96)</f>
        <v/>
      </c>
      <c r="B96">
        <f>IF(原始資料!B96="","",IF(反向題設定!$C$5="是",反向題設定!$B$2+1-原始資料!B96,原始資料!B96))</f>
        <v/>
      </c>
      <c r="C96">
        <f>IF(原始資料!C96="","",IF(反向題設定!$C$6="是",反向題設定!$B$2+1-原始資料!C96,原始資料!C96))</f>
        <v/>
      </c>
      <c r="D96">
        <f>IF(原始資料!D96="","",IF(反向題設定!$C$7="是",反向題設定!$B$2+1-原始資料!D96,原始資料!D96))</f>
        <v/>
      </c>
      <c r="E96">
        <f>IF(原始資料!E96="","",IF(反向題設定!$C$8="是",反向題設定!$B$2+1-原始資料!E96,原始資料!E96))</f>
        <v/>
      </c>
      <c r="F96">
        <f>IF(原始資料!F96="","",IF(反向題設定!$C$9="是",反向題設定!$B$2+1-原始資料!F96,原始資料!F96))</f>
        <v/>
      </c>
      <c r="G96">
        <f>IF(原始資料!G96="","",IF(反向題設定!$C$10="是",反向題設定!$B$2+1-原始資料!G96,原始資料!G96))</f>
        <v/>
      </c>
      <c r="H96">
        <f>IF(原始資料!H96="","",IF(反向題設定!$C$11="是",反向題設定!$B$2+1-原始資料!H96,原始資料!H96))</f>
        <v/>
      </c>
      <c r="I96">
        <f>IF(原始資料!I96="","",IF(反向題設定!$C$12="是",反向題設定!$B$2+1-原始資料!I96,原始資料!I96))</f>
        <v/>
      </c>
      <c r="J96">
        <f>IF(原始資料!J96="","",IF(反向題設定!$C$13="是",反向題設定!$B$2+1-原始資料!J96,原始資料!J96))</f>
        <v/>
      </c>
      <c r="K96">
        <f>IF(原始資料!K96="","",IF(反向題設定!$C$14="是",反向題設定!$B$2+1-原始資料!K96,原始資料!K96))</f>
        <v/>
      </c>
      <c r="L96">
        <f>IF(原始資料!L96="","",IF(反向題設定!$C$15="是",反向題設定!$B$2+1-原始資料!L96,原始資料!L96))</f>
        <v/>
      </c>
      <c r="M96">
        <f>IF(原始資料!M96="","",IF(反向題設定!$C$16="是",反向題設定!$B$2+1-原始資料!M96,原始資料!M96))</f>
        <v/>
      </c>
      <c r="N96">
        <f>IF(原始資料!N96="","",IF(反向題設定!$C$17="是",反向題設定!$B$2+1-原始資料!N96,原始資料!N96))</f>
        <v/>
      </c>
      <c r="O96">
        <f>IF(原始資料!O96="","",IF(反向題設定!$C$18="是",反向題設定!$B$2+1-原始資料!O96,原始資料!O96))</f>
        <v/>
      </c>
      <c r="P96">
        <f>IF(原始資料!P96="","",IF(反向題設定!$C$19="是",反向題設定!$B$2+1-原始資料!P96,原始資料!P96))</f>
        <v/>
      </c>
      <c r="Q96">
        <f>IF(原始資料!Q96="","",IF(反向題設定!$C$20="是",反向題設定!$B$2+1-原始資料!Q96,原始資料!Q96))</f>
        <v/>
      </c>
      <c r="R96">
        <f>IF(原始資料!R96="","",IF(反向題設定!$C$21="是",反向題設定!$B$2+1-原始資料!R96,原始資料!R96))</f>
        <v/>
      </c>
      <c r="S96">
        <f>IF(原始資料!S96="","",IF(反向題設定!$C$22="是",反向題設定!$B$2+1-原始資料!S96,原始資料!S96))</f>
        <v/>
      </c>
      <c r="T96">
        <f>IF(原始資料!T96="","",IF(反向題設定!$C$23="是",反向題設定!$B$2+1-原始資料!T96,原始資料!T96))</f>
        <v/>
      </c>
      <c r="U96">
        <f>IF(原始資料!U96="","",IF(反向題設定!$C$24="是",反向題設定!$B$2+1-原始資料!U96,原始資料!U96))</f>
        <v/>
      </c>
      <c r="V96">
        <f>IF(原始資料!V96="","",IF(反向題設定!$C$25="是",反向題設定!$B$2+1-原始資料!V96,原始資料!V96))</f>
        <v/>
      </c>
      <c r="W96">
        <f>IF(原始資料!W96="","",IF(反向題設定!$C$26="是",反向題設定!$B$2+1-原始資料!W96,原始資料!W96))</f>
        <v/>
      </c>
      <c r="X96">
        <f>IF(原始資料!X96="","",IF(反向題設定!$C$27="是",反向題設定!$B$2+1-原始資料!X96,原始資料!X96))</f>
        <v/>
      </c>
      <c r="Y96">
        <f>IF(原始資料!Y96="","",IF(反向題設定!$C$28="是",反向題設定!$B$2+1-原始資料!Y96,原始資料!Y96))</f>
        <v/>
      </c>
      <c r="Z96">
        <f>IF(原始資料!Z96="","",IF(反向題設定!$C$29="是",反向題設定!$B$2+1-原始資料!Z96,原始資料!Z96))</f>
        <v/>
      </c>
      <c r="AA96">
        <f>IF(原始資料!AA96="","",IF(反向題設定!$C$30="是",反向題設定!$B$2+1-原始資料!AA96,原始資料!AA96))</f>
        <v/>
      </c>
      <c r="AB96">
        <f>IF(原始資料!AB96="","",IF(反向題設定!$C$31="是",反向題設定!$B$2+1-原始資料!AB96,原始資料!AB96))</f>
        <v/>
      </c>
      <c r="AC96">
        <f>IF(原始資料!AC96="","",IF(反向題設定!$C$32="是",反向題設定!$B$2+1-原始資料!AC96,原始資料!AC96))</f>
        <v/>
      </c>
      <c r="AD96">
        <f>IF(原始資料!AD96="","",IF(反向題設定!$C$33="是",反向題設定!$B$2+1-原始資料!AD96,原始資料!AD96))</f>
        <v/>
      </c>
      <c r="AE96">
        <f>IF(原始資料!AE96="","",IF(反向題設定!$C$34="是",反向題設定!$B$2+1-原始資料!AE96,原始資料!AE96))</f>
        <v/>
      </c>
      <c r="AF96">
        <f>IF(原始資料!AF96="","",IF(反向題設定!$C$35="是",反向題設定!$B$2+1-原始資料!AF96,原始資料!AF96))</f>
        <v/>
      </c>
      <c r="AG96">
        <f>IF(原始資料!AG96="","",IF(反向題設定!$C$36="是",反向題設定!$B$2+1-原始資料!AG96,原始資料!AG96))</f>
        <v/>
      </c>
      <c r="AH96">
        <f>IF(原始資料!AH96="","",IF(反向題設定!$C$37="是",反向題設定!$B$2+1-原始資料!AH96,原始資料!AH96))</f>
        <v/>
      </c>
      <c r="AI96">
        <f>IF(原始資料!AI96="","",IF(反向題設定!$C$38="是",反向題設定!$B$2+1-原始資料!AI96,原始資料!AI96))</f>
        <v/>
      </c>
      <c r="AJ96">
        <f>IF(原始資料!AJ96="","",IF(反向題設定!$C$39="是",反向題設定!$B$2+1-原始資料!AJ96,原始資料!AJ96))</f>
        <v/>
      </c>
      <c r="AK96">
        <f>IF(原始資料!AK96="","",IF(反向題設定!$C$40="是",反向題設定!$B$2+1-原始資料!AK96,原始資料!AK96))</f>
        <v/>
      </c>
      <c r="AL96">
        <f>IF(原始資料!AL96="","",IF(反向題設定!$C$41="是",反向題設定!$B$2+1-原始資料!AL96,原始資料!AL96))</f>
        <v/>
      </c>
      <c r="AM96">
        <f>IF(原始資料!AM96="","",IF(反向題設定!$C$42="是",反向題設定!$B$2+1-原始資料!AM96,原始資料!AM96))</f>
        <v/>
      </c>
      <c r="AN96">
        <f>IF(原始資料!AN96="","",IF(反向題設定!$C$43="是",反向題設定!$B$2+1-原始資料!AN96,原始資料!AN96))</f>
        <v/>
      </c>
      <c r="AO96">
        <f>IF(原始資料!AO96="","",IF(反向題設定!$C$44="是",反向題設定!$B$2+1-原始資料!AO96,原始資料!AO96))</f>
        <v/>
      </c>
      <c r="AP96">
        <f>IF(COUNT(B96:AO96)=0,"",SUM(B96:AO96))</f>
        <v/>
      </c>
      <c r="AQ96">
        <f>IF(AP96="","",IF(AP96&gt;=項目分析!$C$5,"高",IF(AP96&lt;=項目分析!$C$6,"低","")))</f>
        <v/>
      </c>
    </row>
    <row r="97">
      <c r="A97">
        <f>IF(原始資料!A97="","",原始資料!A97)</f>
        <v/>
      </c>
      <c r="B97">
        <f>IF(原始資料!B97="","",IF(反向題設定!$C$5="是",反向題設定!$B$2+1-原始資料!B97,原始資料!B97))</f>
        <v/>
      </c>
      <c r="C97">
        <f>IF(原始資料!C97="","",IF(反向題設定!$C$6="是",反向題設定!$B$2+1-原始資料!C97,原始資料!C97))</f>
        <v/>
      </c>
      <c r="D97">
        <f>IF(原始資料!D97="","",IF(反向題設定!$C$7="是",反向題設定!$B$2+1-原始資料!D97,原始資料!D97))</f>
        <v/>
      </c>
      <c r="E97">
        <f>IF(原始資料!E97="","",IF(反向題設定!$C$8="是",反向題設定!$B$2+1-原始資料!E97,原始資料!E97))</f>
        <v/>
      </c>
      <c r="F97">
        <f>IF(原始資料!F97="","",IF(反向題設定!$C$9="是",反向題設定!$B$2+1-原始資料!F97,原始資料!F97))</f>
        <v/>
      </c>
      <c r="G97">
        <f>IF(原始資料!G97="","",IF(反向題設定!$C$10="是",反向題設定!$B$2+1-原始資料!G97,原始資料!G97))</f>
        <v/>
      </c>
      <c r="H97">
        <f>IF(原始資料!H97="","",IF(反向題設定!$C$11="是",反向題設定!$B$2+1-原始資料!H97,原始資料!H97))</f>
        <v/>
      </c>
      <c r="I97">
        <f>IF(原始資料!I97="","",IF(反向題設定!$C$12="是",反向題設定!$B$2+1-原始資料!I97,原始資料!I97))</f>
        <v/>
      </c>
      <c r="J97">
        <f>IF(原始資料!J97="","",IF(反向題設定!$C$13="是",反向題設定!$B$2+1-原始資料!J97,原始資料!J97))</f>
        <v/>
      </c>
      <c r="K97">
        <f>IF(原始資料!K97="","",IF(反向題設定!$C$14="是",反向題設定!$B$2+1-原始資料!K97,原始資料!K97))</f>
        <v/>
      </c>
      <c r="L97">
        <f>IF(原始資料!L97="","",IF(反向題設定!$C$15="是",反向題設定!$B$2+1-原始資料!L97,原始資料!L97))</f>
        <v/>
      </c>
      <c r="M97">
        <f>IF(原始資料!M97="","",IF(反向題設定!$C$16="是",反向題設定!$B$2+1-原始資料!M97,原始資料!M97))</f>
        <v/>
      </c>
      <c r="N97">
        <f>IF(原始資料!N97="","",IF(反向題設定!$C$17="是",反向題設定!$B$2+1-原始資料!N97,原始資料!N97))</f>
        <v/>
      </c>
      <c r="O97">
        <f>IF(原始資料!O97="","",IF(反向題設定!$C$18="是",反向題設定!$B$2+1-原始資料!O97,原始資料!O97))</f>
        <v/>
      </c>
      <c r="P97">
        <f>IF(原始資料!P97="","",IF(反向題設定!$C$19="是",反向題設定!$B$2+1-原始資料!P97,原始資料!P97))</f>
        <v/>
      </c>
      <c r="Q97">
        <f>IF(原始資料!Q97="","",IF(反向題設定!$C$20="是",反向題設定!$B$2+1-原始資料!Q97,原始資料!Q97))</f>
        <v/>
      </c>
      <c r="R97">
        <f>IF(原始資料!R97="","",IF(反向題設定!$C$21="是",反向題設定!$B$2+1-原始資料!R97,原始資料!R97))</f>
        <v/>
      </c>
      <c r="S97">
        <f>IF(原始資料!S97="","",IF(反向題設定!$C$22="是",反向題設定!$B$2+1-原始資料!S97,原始資料!S97))</f>
        <v/>
      </c>
      <c r="T97">
        <f>IF(原始資料!T97="","",IF(反向題設定!$C$23="是",反向題設定!$B$2+1-原始資料!T97,原始資料!T97))</f>
        <v/>
      </c>
      <c r="U97">
        <f>IF(原始資料!U97="","",IF(反向題設定!$C$24="是",反向題設定!$B$2+1-原始資料!U97,原始資料!U97))</f>
        <v/>
      </c>
      <c r="V97">
        <f>IF(原始資料!V97="","",IF(反向題設定!$C$25="是",反向題設定!$B$2+1-原始資料!V97,原始資料!V97))</f>
        <v/>
      </c>
      <c r="W97">
        <f>IF(原始資料!W97="","",IF(反向題設定!$C$26="是",反向題設定!$B$2+1-原始資料!W97,原始資料!W97))</f>
        <v/>
      </c>
      <c r="X97">
        <f>IF(原始資料!X97="","",IF(反向題設定!$C$27="是",反向題設定!$B$2+1-原始資料!X97,原始資料!X97))</f>
        <v/>
      </c>
      <c r="Y97">
        <f>IF(原始資料!Y97="","",IF(反向題設定!$C$28="是",反向題設定!$B$2+1-原始資料!Y97,原始資料!Y97))</f>
        <v/>
      </c>
      <c r="Z97">
        <f>IF(原始資料!Z97="","",IF(反向題設定!$C$29="是",反向題設定!$B$2+1-原始資料!Z97,原始資料!Z97))</f>
        <v/>
      </c>
      <c r="AA97">
        <f>IF(原始資料!AA97="","",IF(反向題設定!$C$30="是",反向題設定!$B$2+1-原始資料!AA97,原始資料!AA97))</f>
        <v/>
      </c>
      <c r="AB97">
        <f>IF(原始資料!AB97="","",IF(反向題設定!$C$31="是",反向題設定!$B$2+1-原始資料!AB97,原始資料!AB97))</f>
        <v/>
      </c>
      <c r="AC97">
        <f>IF(原始資料!AC97="","",IF(反向題設定!$C$32="是",反向題設定!$B$2+1-原始資料!AC97,原始資料!AC97))</f>
        <v/>
      </c>
      <c r="AD97">
        <f>IF(原始資料!AD97="","",IF(反向題設定!$C$33="是",反向題設定!$B$2+1-原始資料!AD97,原始資料!AD97))</f>
        <v/>
      </c>
      <c r="AE97">
        <f>IF(原始資料!AE97="","",IF(反向題設定!$C$34="是",反向題設定!$B$2+1-原始資料!AE97,原始資料!AE97))</f>
        <v/>
      </c>
      <c r="AF97">
        <f>IF(原始資料!AF97="","",IF(反向題設定!$C$35="是",反向題設定!$B$2+1-原始資料!AF97,原始資料!AF97))</f>
        <v/>
      </c>
      <c r="AG97">
        <f>IF(原始資料!AG97="","",IF(反向題設定!$C$36="是",反向題設定!$B$2+1-原始資料!AG97,原始資料!AG97))</f>
        <v/>
      </c>
      <c r="AH97">
        <f>IF(原始資料!AH97="","",IF(反向題設定!$C$37="是",反向題設定!$B$2+1-原始資料!AH97,原始資料!AH97))</f>
        <v/>
      </c>
      <c r="AI97">
        <f>IF(原始資料!AI97="","",IF(反向題設定!$C$38="是",反向題設定!$B$2+1-原始資料!AI97,原始資料!AI97))</f>
        <v/>
      </c>
      <c r="AJ97">
        <f>IF(原始資料!AJ97="","",IF(反向題設定!$C$39="是",反向題設定!$B$2+1-原始資料!AJ97,原始資料!AJ97))</f>
        <v/>
      </c>
      <c r="AK97">
        <f>IF(原始資料!AK97="","",IF(反向題設定!$C$40="是",反向題設定!$B$2+1-原始資料!AK97,原始資料!AK97))</f>
        <v/>
      </c>
      <c r="AL97">
        <f>IF(原始資料!AL97="","",IF(反向題設定!$C$41="是",反向題設定!$B$2+1-原始資料!AL97,原始資料!AL97))</f>
        <v/>
      </c>
      <c r="AM97">
        <f>IF(原始資料!AM97="","",IF(反向題設定!$C$42="是",反向題設定!$B$2+1-原始資料!AM97,原始資料!AM97))</f>
        <v/>
      </c>
      <c r="AN97">
        <f>IF(原始資料!AN97="","",IF(反向題設定!$C$43="是",反向題設定!$B$2+1-原始資料!AN97,原始資料!AN97))</f>
        <v/>
      </c>
      <c r="AO97">
        <f>IF(原始資料!AO97="","",IF(反向題設定!$C$44="是",反向題設定!$B$2+1-原始資料!AO97,原始資料!AO97))</f>
        <v/>
      </c>
      <c r="AP97">
        <f>IF(COUNT(B97:AO97)=0,"",SUM(B97:AO97))</f>
        <v/>
      </c>
      <c r="AQ97">
        <f>IF(AP97="","",IF(AP97&gt;=項目分析!$C$5,"高",IF(AP97&lt;=項目分析!$C$6,"低","")))</f>
        <v/>
      </c>
    </row>
    <row r="98">
      <c r="A98">
        <f>IF(原始資料!A98="","",原始資料!A98)</f>
        <v/>
      </c>
      <c r="B98">
        <f>IF(原始資料!B98="","",IF(反向題設定!$C$5="是",反向題設定!$B$2+1-原始資料!B98,原始資料!B98))</f>
        <v/>
      </c>
      <c r="C98">
        <f>IF(原始資料!C98="","",IF(反向題設定!$C$6="是",反向題設定!$B$2+1-原始資料!C98,原始資料!C98))</f>
        <v/>
      </c>
      <c r="D98">
        <f>IF(原始資料!D98="","",IF(反向題設定!$C$7="是",反向題設定!$B$2+1-原始資料!D98,原始資料!D98))</f>
        <v/>
      </c>
      <c r="E98">
        <f>IF(原始資料!E98="","",IF(反向題設定!$C$8="是",反向題設定!$B$2+1-原始資料!E98,原始資料!E98))</f>
        <v/>
      </c>
      <c r="F98">
        <f>IF(原始資料!F98="","",IF(反向題設定!$C$9="是",反向題設定!$B$2+1-原始資料!F98,原始資料!F98))</f>
        <v/>
      </c>
      <c r="G98">
        <f>IF(原始資料!G98="","",IF(反向題設定!$C$10="是",反向題設定!$B$2+1-原始資料!G98,原始資料!G98))</f>
        <v/>
      </c>
      <c r="H98">
        <f>IF(原始資料!H98="","",IF(反向題設定!$C$11="是",反向題設定!$B$2+1-原始資料!H98,原始資料!H98))</f>
        <v/>
      </c>
      <c r="I98">
        <f>IF(原始資料!I98="","",IF(反向題設定!$C$12="是",反向題設定!$B$2+1-原始資料!I98,原始資料!I98))</f>
        <v/>
      </c>
      <c r="J98">
        <f>IF(原始資料!J98="","",IF(反向題設定!$C$13="是",反向題設定!$B$2+1-原始資料!J98,原始資料!J98))</f>
        <v/>
      </c>
      <c r="K98">
        <f>IF(原始資料!K98="","",IF(反向題設定!$C$14="是",反向題設定!$B$2+1-原始資料!K98,原始資料!K98))</f>
        <v/>
      </c>
      <c r="L98">
        <f>IF(原始資料!L98="","",IF(反向題設定!$C$15="是",反向題設定!$B$2+1-原始資料!L98,原始資料!L98))</f>
        <v/>
      </c>
      <c r="M98">
        <f>IF(原始資料!M98="","",IF(反向題設定!$C$16="是",反向題設定!$B$2+1-原始資料!M98,原始資料!M98))</f>
        <v/>
      </c>
      <c r="N98">
        <f>IF(原始資料!N98="","",IF(反向題設定!$C$17="是",反向題設定!$B$2+1-原始資料!N98,原始資料!N98))</f>
        <v/>
      </c>
      <c r="O98">
        <f>IF(原始資料!O98="","",IF(反向題設定!$C$18="是",反向題設定!$B$2+1-原始資料!O98,原始資料!O98))</f>
        <v/>
      </c>
      <c r="P98">
        <f>IF(原始資料!P98="","",IF(反向題設定!$C$19="是",反向題設定!$B$2+1-原始資料!P98,原始資料!P98))</f>
        <v/>
      </c>
      <c r="Q98">
        <f>IF(原始資料!Q98="","",IF(反向題設定!$C$20="是",反向題設定!$B$2+1-原始資料!Q98,原始資料!Q98))</f>
        <v/>
      </c>
      <c r="R98">
        <f>IF(原始資料!R98="","",IF(反向題設定!$C$21="是",反向題設定!$B$2+1-原始資料!R98,原始資料!R98))</f>
        <v/>
      </c>
      <c r="S98">
        <f>IF(原始資料!S98="","",IF(反向題設定!$C$22="是",反向題設定!$B$2+1-原始資料!S98,原始資料!S98))</f>
        <v/>
      </c>
      <c r="T98">
        <f>IF(原始資料!T98="","",IF(反向題設定!$C$23="是",反向題設定!$B$2+1-原始資料!T98,原始資料!T98))</f>
        <v/>
      </c>
      <c r="U98">
        <f>IF(原始資料!U98="","",IF(反向題設定!$C$24="是",反向題設定!$B$2+1-原始資料!U98,原始資料!U98))</f>
        <v/>
      </c>
      <c r="V98">
        <f>IF(原始資料!V98="","",IF(反向題設定!$C$25="是",反向題設定!$B$2+1-原始資料!V98,原始資料!V98))</f>
        <v/>
      </c>
      <c r="W98">
        <f>IF(原始資料!W98="","",IF(反向題設定!$C$26="是",反向題設定!$B$2+1-原始資料!W98,原始資料!W98))</f>
        <v/>
      </c>
      <c r="X98">
        <f>IF(原始資料!X98="","",IF(反向題設定!$C$27="是",反向題設定!$B$2+1-原始資料!X98,原始資料!X98))</f>
        <v/>
      </c>
      <c r="Y98">
        <f>IF(原始資料!Y98="","",IF(反向題設定!$C$28="是",反向題設定!$B$2+1-原始資料!Y98,原始資料!Y98))</f>
        <v/>
      </c>
      <c r="Z98">
        <f>IF(原始資料!Z98="","",IF(反向題設定!$C$29="是",反向題設定!$B$2+1-原始資料!Z98,原始資料!Z98))</f>
        <v/>
      </c>
      <c r="AA98">
        <f>IF(原始資料!AA98="","",IF(反向題設定!$C$30="是",反向題設定!$B$2+1-原始資料!AA98,原始資料!AA98))</f>
        <v/>
      </c>
      <c r="AB98">
        <f>IF(原始資料!AB98="","",IF(反向題設定!$C$31="是",反向題設定!$B$2+1-原始資料!AB98,原始資料!AB98))</f>
        <v/>
      </c>
      <c r="AC98">
        <f>IF(原始資料!AC98="","",IF(反向題設定!$C$32="是",反向題設定!$B$2+1-原始資料!AC98,原始資料!AC98))</f>
        <v/>
      </c>
      <c r="AD98">
        <f>IF(原始資料!AD98="","",IF(反向題設定!$C$33="是",反向題設定!$B$2+1-原始資料!AD98,原始資料!AD98))</f>
        <v/>
      </c>
      <c r="AE98">
        <f>IF(原始資料!AE98="","",IF(反向題設定!$C$34="是",反向題設定!$B$2+1-原始資料!AE98,原始資料!AE98))</f>
        <v/>
      </c>
      <c r="AF98">
        <f>IF(原始資料!AF98="","",IF(反向題設定!$C$35="是",反向題設定!$B$2+1-原始資料!AF98,原始資料!AF98))</f>
        <v/>
      </c>
      <c r="AG98">
        <f>IF(原始資料!AG98="","",IF(反向題設定!$C$36="是",反向題設定!$B$2+1-原始資料!AG98,原始資料!AG98))</f>
        <v/>
      </c>
      <c r="AH98">
        <f>IF(原始資料!AH98="","",IF(反向題設定!$C$37="是",反向題設定!$B$2+1-原始資料!AH98,原始資料!AH98))</f>
        <v/>
      </c>
      <c r="AI98">
        <f>IF(原始資料!AI98="","",IF(反向題設定!$C$38="是",反向題設定!$B$2+1-原始資料!AI98,原始資料!AI98))</f>
        <v/>
      </c>
      <c r="AJ98">
        <f>IF(原始資料!AJ98="","",IF(反向題設定!$C$39="是",反向題設定!$B$2+1-原始資料!AJ98,原始資料!AJ98))</f>
        <v/>
      </c>
      <c r="AK98">
        <f>IF(原始資料!AK98="","",IF(反向題設定!$C$40="是",反向題設定!$B$2+1-原始資料!AK98,原始資料!AK98))</f>
        <v/>
      </c>
      <c r="AL98">
        <f>IF(原始資料!AL98="","",IF(反向題設定!$C$41="是",反向題設定!$B$2+1-原始資料!AL98,原始資料!AL98))</f>
        <v/>
      </c>
      <c r="AM98">
        <f>IF(原始資料!AM98="","",IF(反向題設定!$C$42="是",反向題設定!$B$2+1-原始資料!AM98,原始資料!AM98))</f>
        <v/>
      </c>
      <c r="AN98">
        <f>IF(原始資料!AN98="","",IF(反向題設定!$C$43="是",反向題設定!$B$2+1-原始資料!AN98,原始資料!AN98))</f>
        <v/>
      </c>
      <c r="AO98">
        <f>IF(原始資料!AO98="","",IF(反向題設定!$C$44="是",反向題設定!$B$2+1-原始資料!AO98,原始資料!AO98))</f>
        <v/>
      </c>
      <c r="AP98">
        <f>IF(COUNT(B98:AO98)=0,"",SUM(B98:AO98))</f>
        <v/>
      </c>
      <c r="AQ98">
        <f>IF(AP98="","",IF(AP98&gt;=項目分析!$C$5,"高",IF(AP98&lt;=項目分析!$C$6,"低","")))</f>
        <v/>
      </c>
    </row>
    <row r="99">
      <c r="A99">
        <f>IF(原始資料!A99="","",原始資料!A99)</f>
        <v/>
      </c>
      <c r="B99">
        <f>IF(原始資料!B99="","",IF(反向題設定!$C$5="是",反向題設定!$B$2+1-原始資料!B99,原始資料!B99))</f>
        <v/>
      </c>
      <c r="C99">
        <f>IF(原始資料!C99="","",IF(反向題設定!$C$6="是",反向題設定!$B$2+1-原始資料!C99,原始資料!C99))</f>
        <v/>
      </c>
      <c r="D99">
        <f>IF(原始資料!D99="","",IF(反向題設定!$C$7="是",反向題設定!$B$2+1-原始資料!D99,原始資料!D99))</f>
        <v/>
      </c>
      <c r="E99">
        <f>IF(原始資料!E99="","",IF(反向題設定!$C$8="是",反向題設定!$B$2+1-原始資料!E99,原始資料!E99))</f>
        <v/>
      </c>
      <c r="F99">
        <f>IF(原始資料!F99="","",IF(反向題設定!$C$9="是",反向題設定!$B$2+1-原始資料!F99,原始資料!F99))</f>
        <v/>
      </c>
      <c r="G99">
        <f>IF(原始資料!G99="","",IF(反向題設定!$C$10="是",反向題設定!$B$2+1-原始資料!G99,原始資料!G99))</f>
        <v/>
      </c>
      <c r="H99">
        <f>IF(原始資料!H99="","",IF(反向題設定!$C$11="是",反向題設定!$B$2+1-原始資料!H99,原始資料!H99))</f>
        <v/>
      </c>
      <c r="I99">
        <f>IF(原始資料!I99="","",IF(反向題設定!$C$12="是",反向題設定!$B$2+1-原始資料!I99,原始資料!I99))</f>
        <v/>
      </c>
      <c r="J99">
        <f>IF(原始資料!J99="","",IF(反向題設定!$C$13="是",反向題設定!$B$2+1-原始資料!J99,原始資料!J99))</f>
        <v/>
      </c>
      <c r="K99">
        <f>IF(原始資料!K99="","",IF(反向題設定!$C$14="是",反向題設定!$B$2+1-原始資料!K99,原始資料!K99))</f>
        <v/>
      </c>
      <c r="L99">
        <f>IF(原始資料!L99="","",IF(反向題設定!$C$15="是",反向題設定!$B$2+1-原始資料!L99,原始資料!L99))</f>
        <v/>
      </c>
      <c r="M99">
        <f>IF(原始資料!M99="","",IF(反向題設定!$C$16="是",反向題設定!$B$2+1-原始資料!M99,原始資料!M99))</f>
        <v/>
      </c>
      <c r="N99">
        <f>IF(原始資料!N99="","",IF(反向題設定!$C$17="是",反向題設定!$B$2+1-原始資料!N99,原始資料!N99))</f>
        <v/>
      </c>
      <c r="O99">
        <f>IF(原始資料!O99="","",IF(反向題設定!$C$18="是",反向題設定!$B$2+1-原始資料!O99,原始資料!O99))</f>
        <v/>
      </c>
      <c r="P99">
        <f>IF(原始資料!P99="","",IF(反向題設定!$C$19="是",反向題設定!$B$2+1-原始資料!P99,原始資料!P99))</f>
        <v/>
      </c>
      <c r="Q99">
        <f>IF(原始資料!Q99="","",IF(反向題設定!$C$20="是",反向題設定!$B$2+1-原始資料!Q99,原始資料!Q99))</f>
        <v/>
      </c>
      <c r="R99">
        <f>IF(原始資料!R99="","",IF(反向題設定!$C$21="是",反向題設定!$B$2+1-原始資料!R99,原始資料!R99))</f>
        <v/>
      </c>
      <c r="S99">
        <f>IF(原始資料!S99="","",IF(反向題設定!$C$22="是",反向題設定!$B$2+1-原始資料!S99,原始資料!S99))</f>
        <v/>
      </c>
      <c r="T99">
        <f>IF(原始資料!T99="","",IF(反向題設定!$C$23="是",反向題設定!$B$2+1-原始資料!T99,原始資料!T99))</f>
        <v/>
      </c>
      <c r="U99">
        <f>IF(原始資料!U99="","",IF(反向題設定!$C$24="是",反向題設定!$B$2+1-原始資料!U99,原始資料!U99))</f>
        <v/>
      </c>
      <c r="V99">
        <f>IF(原始資料!V99="","",IF(反向題設定!$C$25="是",反向題設定!$B$2+1-原始資料!V99,原始資料!V99))</f>
        <v/>
      </c>
      <c r="W99">
        <f>IF(原始資料!W99="","",IF(反向題設定!$C$26="是",反向題設定!$B$2+1-原始資料!W99,原始資料!W99))</f>
        <v/>
      </c>
      <c r="X99">
        <f>IF(原始資料!X99="","",IF(反向題設定!$C$27="是",反向題設定!$B$2+1-原始資料!X99,原始資料!X99))</f>
        <v/>
      </c>
      <c r="Y99">
        <f>IF(原始資料!Y99="","",IF(反向題設定!$C$28="是",反向題設定!$B$2+1-原始資料!Y99,原始資料!Y99))</f>
        <v/>
      </c>
      <c r="Z99">
        <f>IF(原始資料!Z99="","",IF(反向題設定!$C$29="是",反向題設定!$B$2+1-原始資料!Z99,原始資料!Z99))</f>
        <v/>
      </c>
      <c r="AA99">
        <f>IF(原始資料!AA99="","",IF(反向題設定!$C$30="是",反向題設定!$B$2+1-原始資料!AA99,原始資料!AA99))</f>
        <v/>
      </c>
      <c r="AB99">
        <f>IF(原始資料!AB99="","",IF(反向題設定!$C$31="是",反向題設定!$B$2+1-原始資料!AB99,原始資料!AB99))</f>
        <v/>
      </c>
      <c r="AC99">
        <f>IF(原始資料!AC99="","",IF(反向題設定!$C$32="是",反向題設定!$B$2+1-原始資料!AC99,原始資料!AC99))</f>
        <v/>
      </c>
      <c r="AD99">
        <f>IF(原始資料!AD99="","",IF(反向題設定!$C$33="是",反向題設定!$B$2+1-原始資料!AD99,原始資料!AD99))</f>
        <v/>
      </c>
      <c r="AE99">
        <f>IF(原始資料!AE99="","",IF(反向題設定!$C$34="是",反向題設定!$B$2+1-原始資料!AE99,原始資料!AE99))</f>
        <v/>
      </c>
      <c r="AF99">
        <f>IF(原始資料!AF99="","",IF(反向題設定!$C$35="是",反向題設定!$B$2+1-原始資料!AF99,原始資料!AF99))</f>
        <v/>
      </c>
      <c r="AG99">
        <f>IF(原始資料!AG99="","",IF(反向題設定!$C$36="是",反向題設定!$B$2+1-原始資料!AG99,原始資料!AG99))</f>
        <v/>
      </c>
      <c r="AH99">
        <f>IF(原始資料!AH99="","",IF(反向題設定!$C$37="是",反向題設定!$B$2+1-原始資料!AH99,原始資料!AH99))</f>
        <v/>
      </c>
      <c r="AI99">
        <f>IF(原始資料!AI99="","",IF(反向題設定!$C$38="是",反向題設定!$B$2+1-原始資料!AI99,原始資料!AI99))</f>
        <v/>
      </c>
      <c r="AJ99">
        <f>IF(原始資料!AJ99="","",IF(反向題設定!$C$39="是",反向題設定!$B$2+1-原始資料!AJ99,原始資料!AJ99))</f>
        <v/>
      </c>
      <c r="AK99">
        <f>IF(原始資料!AK99="","",IF(反向題設定!$C$40="是",反向題設定!$B$2+1-原始資料!AK99,原始資料!AK99))</f>
        <v/>
      </c>
      <c r="AL99">
        <f>IF(原始資料!AL99="","",IF(反向題設定!$C$41="是",反向題設定!$B$2+1-原始資料!AL99,原始資料!AL99))</f>
        <v/>
      </c>
      <c r="AM99">
        <f>IF(原始資料!AM99="","",IF(反向題設定!$C$42="是",反向題設定!$B$2+1-原始資料!AM99,原始資料!AM99))</f>
        <v/>
      </c>
      <c r="AN99">
        <f>IF(原始資料!AN99="","",IF(反向題設定!$C$43="是",反向題設定!$B$2+1-原始資料!AN99,原始資料!AN99))</f>
        <v/>
      </c>
      <c r="AO99">
        <f>IF(原始資料!AO99="","",IF(反向題設定!$C$44="是",反向題設定!$B$2+1-原始資料!AO99,原始資料!AO99))</f>
        <v/>
      </c>
      <c r="AP99">
        <f>IF(COUNT(B99:AO99)=0,"",SUM(B99:AO99))</f>
        <v/>
      </c>
      <c r="AQ99">
        <f>IF(AP99="","",IF(AP99&gt;=項目分析!$C$5,"高",IF(AP99&lt;=項目分析!$C$6,"低","")))</f>
        <v/>
      </c>
    </row>
    <row r="100">
      <c r="A100">
        <f>IF(原始資料!A100="","",原始資料!A100)</f>
        <v/>
      </c>
      <c r="B100">
        <f>IF(原始資料!B100="","",IF(反向題設定!$C$5="是",反向題設定!$B$2+1-原始資料!B100,原始資料!B100))</f>
        <v/>
      </c>
      <c r="C100">
        <f>IF(原始資料!C100="","",IF(反向題設定!$C$6="是",反向題設定!$B$2+1-原始資料!C100,原始資料!C100))</f>
        <v/>
      </c>
      <c r="D100">
        <f>IF(原始資料!D100="","",IF(反向題設定!$C$7="是",反向題設定!$B$2+1-原始資料!D100,原始資料!D100))</f>
        <v/>
      </c>
      <c r="E100">
        <f>IF(原始資料!E100="","",IF(反向題設定!$C$8="是",反向題設定!$B$2+1-原始資料!E100,原始資料!E100))</f>
        <v/>
      </c>
      <c r="F100">
        <f>IF(原始資料!F100="","",IF(反向題設定!$C$9="是",反向題設定!$B$2+1-原始資料!F100,原始資料!F100))</f>
        <v/>
      </c>
      <c r="G100">
        <f>IF(原始資料!G100="","",IF(反向題設定!$C$10="是",反向題設定!$B$2+1-原始資料!G100,原始資料!G100))</f>
        <v/>
      </c>
      <c r="H100">
        <f>IF(原始資料!H100="","",IF(反向題設定!$C$11="是",反向題設定!$B$2+1-原始資料!H100,原始資料!H100))</f>
        <v/>
      </c>
      <c r="I100">
        <f>IF(原始資料!I100="","",IF(反向題設定!$C$12="是",反向題設定!$B$2+1-原始資料!I100,原始資料!I100))</f>
        <v/>
      </c>
      <c r="J100">
        <f>IF(原始資料!J100="","",IF(反向題設定!$C$13="是",反向題設定!$B$2+1-原始資料!J100,原始資料!J100))</f>
        <v/>
      </c>
      <c r="K100">
        <f>IF(原始資料!K100="","",IF(反向題設定!$C$14="是",反向題設定!$B$2+1-原始資料!K100,原始資料!K100))</f>
        <v/>
      </c>
      <c r="L100">
        <f>IF(原始資料!L100="","",IF(反向題設定!$C$15="是",反向題設定!$B$2+1-原始資料!L100,原始資料!L100))</f>
        <v/>
      </c>
      <c r="M100">
        <f>IF(原始資料!M100="","",IF(反向題設定!$C$16="是",反向題設定!$B$2+1-原始資料!M100,原始資料!M100))</f>
        <v/>
      </c>
      <c r="N100">
        <f>IF(原始資料!N100="","",IF(反向題設定!$C$17="是",反向題設定!$B$2+1-原始資料!N100,原始資料!N100))</f>
        <v/>
      </c>
      <c r="O100">
        <f>IF(原始資料!O100="","",IF(反向題設定!$C$18="是",反向題設定!$B$2+1-原始資料!O100,原始資料!O100))</f>
        <v/>
      </c>
      <c r="P100">
        <f>IF(原始資料!P100="","",IF(反向題設定!$C$19="是",反向題設定!$B$2+1-原始資料!P100,原始資料!P100))</f>
        <v/>
      </c>
      <c r="Q100">
        <f>IF(原始資料!Q100="","",IF(反向題設定!$C$20="是",反向題設定!$B$2+1-原始資料!Q100,原始資料!Q100))</f>
        <v/>
      </c>
      <c r="R100">
        <f>IF(原始資料!R100="","",IF(反向題設定!$C$21="是",反向題設定!$B$2+1-原始資料!R100,原始資料!R100))</f>
        <v/>
      </c>
      <c r="S100">
        <f>IF(原始資料!S100="","",IF(反向題設定!$C$22="是",反向題設定!$B$2+1-原始資料!S100,原始資料!S100))</f>
        <v/>
      </c>
      <c r="T100">
        <f>IF(原始資料!T100="","",IF(反向題設定!$C$23="是",反向題設定!$B$2+1-原始資料!T100,原始資料!T100))</f>
        <v/>
      </c>
      <c r="U100">
        <f>IF(原始資料!U100="","",IF(反向題設定!$C$24="是",反向題設定!$B$2+1-原始資料!U100,原始資料!U100))</f>
        <v/>
      </c>
      <c r="V100">
        <f>IF(原始資料!V100="","",IF(反向題設定!$C$25="是",反向題設定!$B$2+1-原始資料!V100,原始資料!V100))</f>
        <v/>
      </c>
      <c r="W100">
        <f>IF(原始資料!W100="","",IF(反向題設定!$C$26="是",反向題設定!$B$2+1-原始資料!W100,原始資料!W100))</f>
        <v/>
      </c>
      <c r="X100">
        <f>IF(原始資料!X100="","",IF(反向題設定!$C$27="是",反向題設定!$B$2+1-原始資料!X100,原始資料!X100))</f>
        <v/>
      </c>
      <c r="Y100">
        <f>IF(原始資料!Y100="","",IF(反向題設定!$C$28="是",反向題設定!$B$2+1-原始資料!Y100,原始資料!Y100))</f>
        <v/>
      </c>
      <c r="Z100">
        <f>IF(原始資料!Z100="","",IF(反向題設定!$C$29="是",反向題設定!$B$2+1-原始資料!Z100,原始資料!Z100))</f>
        <v/>
      </c>
      <c r="AA100">
        <f>IF(原始資料!AA100="","",IF(反向題設定!$C$30="是",反向題設定!$B$2+1-原始資料!AA100,原始資料!AA100))</f>
        <v/>
      </c>
      <c r="AB100">
        <f>IF(原始資料!AB100="","",IF(反向題設定!$C$31="是",反向題設定!$B$2+1-原始資料!AB100,原始資料!AB100))</f>
        <v/>
      </c>
      <c r="AC100">
        <f>IF(原始資料!AC100="","",IF(反向題設定!$C$32="是",反向題設定!$B$2+1-原始資料!AC100,原始資料!AC100))</f>
        <v/>
      </c>
      <c r="AD100">
        <f>IF(原始資料!AD100="","",IF(反向題設定!$C$33="是",反向題設定!$B$2+1-原始資料!AD100,原始資料!AD100))</f>
        <v/>
      </c>
      <c r="AE100">
        <f>IF(原始資料!AE100="","",IF(反向題設定!$C$34="是",反向題設定!$B$2+1-原始資料!AE100,原始資料!AE100))</f>
        <v/>
      </c>
      <c r="AF100">
        <f>IF(原始資料!AF100="","",IF(反向題設定!$C$35="是",反向題設定!$B$2+1-原始資料!AF100,原始資料!AF100))</f>
        <v/>
      </c>
      <c r="AG100">
        <f>IF(原始資料!AG100="","",IF(反向題設定!$C$36="是",反向題設定!$B$2+1-原始資料!AG100,原始資料!AG100))</f>
        <v/>
      </c>
      <c r="AH100">
        <f>IF(原始資料!AH100="","",IF(反向題設定!$C$37="是",反向題設定!$B$2+1-原始資料!AH100,原始資料!AH100))</f>
        <v/>
      </c>
      <c r="AI100">
        <f>IF(原始資料!AI100="","",IF(反向題設定!$C$38="是",反向題設定!$B$2+1-原始資料!AI100,原始資料!AI100))</f>
        <v/>
      </c>
      <c r="AJ100">
        <f>IF(原始資料!AJ100="","",IF(反向題設定!$C$39="是",反向題設定!$B$2+1-原始資料!AJ100,原始資料!AJ100))</f>
        <v/>
      </c>
      <c r="AK100">
        <f>IF(原始資料!AK100="","",IF(反向題設定!$C$40="是",反向題設定!$B$2+1-原始資料!AK100,原始資料!AK100))</f>
        <v/>
      </c>
      <c r="AL100">
        <f>IF(原始資料!AL100="","",IF(反向題設定!$C$41="是",反向題設定!$B$2+1-原始資料!AL100,原始資料!AL100))</f>
        <v/>
      </c>
      <c r="AM100">
        <f>IF(原始資料!AM100="","",IF(反向題設定!$C$42="是",反向題設定!$B$2+1-原始資料!AM100,原始資料!AM100))</f>
        <v/>
      </c>
      <c r="AN100">
        <f>IF(原始資料!AN100="","",IF(反向題設定!$C$43="是",反向題設定!$B$2+1-原始資料!AN100,原始資料!AN100))</f>
        <v/>
      </c>
      <c r="AO100">
        <f>IF(原始資料!AO100="","",IF(反向題設定!$C$44="是",反向題設定!$B$2+1-原始資料!AO100,原始資料!AO100))</f>
        <v/>
      </c>
      <c r="AP100">
        <f>IF(COUNT(B100:AO100)=0,"",SUM(B100:AO100))</f>
        <v/>
      </c>
      <c r="AQ100">
        <f>IF(AP100="","",IF(AP100&gt;=項目分析!$C$5,"高",IF(AP100&lt;=項目分析!$C$6,"低","")))</f>
        <v/>
      </c>
    </row>
    <row r="101">
      <c r="A101">
        <f>IF(原始資料!A101="","",原始資料!A101)</f>
        <v/>
      </c>
      <c r="B101">
        <f>IF(原始資料!B101="","",IF(反向題設定!$C$5="是",反向題設定!$B$2+1-原始資料!B101,原始資料!B101))</f>
        <v/>
      </c>
      <c r="C101">
        <f>IF(原始資料!C101="","",IF(反向題設定!$C$6="是",反向題設定!$B$2+1-原始資料!C101,原始資料!C101))</f>
        <v/>
      </c>
      <c r="D101">
        <f>IF(原始資料!D101="","",IF(反向題設定!$C$7="是",反向題設定!$B$2+1-原始資料!D101,原始資料!D101))</f>
        <v/>
      </c>
      <c r="E101">
        <f>IF(原始資料!E101="","",IF(反向題設定!$C$8="是",反向題設定!$B$2+1-原始資料!E101,原始資料!E101))</f>
        <v/>
      </c>
      <c r="F101">
        <f>IF(原始資料!F101="","",IF(反向題設定!$C$9="是",反向題設定!$B$2+1-原始資料!F101,原始資料!F101))</f>
        <v/>
      </c>
      <c r="G101">
        <f>IF(原始資料!G101="","",IF(反向題設定!$C$10="是",反向題設定!$B$2+1-原始資料!G101,原始資料!G101))</f>
        <v/>
      </c>
      <c r="H101">
        <f>IF(原始資料!H101="","",IF(反向題設定!$C$11="是",反向題設定!$B$2+1-原始資料!H101,原始資料!H101))</f>
        <v/>
      </c>
      <c r="I101">
        <f>IF(原始資料!I101="","",IF(反向題設定!$C$12="是",反向題設定!$B$2+1-原始資料!I101,原始資料!I101))</f>
        <v/>
      </c>
      <c r="J101">
        <f>IF(原始資料!J101="","",IF(反向題設定!$C$13="是",反向題設定!$B$2+1-原始資料!J101,原始資料!J101))</f>
        <v/>
      </c>
      <c r="K101">
        <f>IF(原始資料!K101="","",IF(反向題設定!$C$14="是",反向題設定!$B$2+1-原始資料!K101,原始資料!K101))</f>
        <v/>
      </c>
      <c r="L101">
        <f>IF(原始資料!L101="","",IF(反向題設定!$C$15="是",反向題設定!$B$2+1-原始資料!L101,原始資料!L101))</f>
        <v/>
      </c>
      <c r="M101">
        <f>IF(原始資料!M101="","",IF(反向題設定!$C$16="是",反向題設定!$B$2+1-原始資料!M101,原始資料!M101))</f>
        <v/>
      </c>
      <c r="N101">
        <f>IF(原始資料!N101="","",IF(反向題設定!$C$17="是",反向題設定!$B$2+1-原始資料!N101,原始資料!N101))</f>
        <v/>
      </c>
      <c r="O101">
        <f>IF(原始資料!O101="","",IF(反向題設定!$C$18="是",反向題設定!$B$2+1-原始資料!O101,原始資料!O101))</f>
        <v/>
      </c>
      <c r="P101">
        <f>IF(原始資料!P101="","",IF(反向題設定!$C$19="是",反向題設定!$B$2+1-原始資料!P101,原始資料!P101))</f>
        <v/>
      </c>
      <c r="Q101">
        <f>IF(原始資料!Q101="","",IF(反向題設定!$C$20="是",反向題設定!$B$2+1-原始資料!Q101,原始資料!Q101))</f>
        <v/>
      </c>
      <c r="R101">
        <f>IF(原始資料!R101="","",IF(反向題設定!$C$21="是",反向題設定!$B$2+1-原始資料!R101,原始資料!R101))</f>
        <v/>
      </c>
      <c r="S101">
        <f>IF(原始資料!S101="","",IF(反向題設定!$C$22="是",反向題設定!$B$2+1-原始資料!S101,原始資料!S101))</f>
        <v/>
      </c>
      <c r="T101">
        <f>IF(原始資料!T101="","",IF(反向題設定!$C$23="是",反向題設定!$B$2+1-原始資料!T101,原始資料!T101))</f>
        <v/>
      </c>
      <c r="U101">
        <f>IF(原始資料!U101="","",IF(反向題設定!$C$24="是",反向題設定!$B$2+1-原始資料!U101,原始資料!U101))</f>
        <v/>
      </c>
      <c r="V101">
        <f>IF(原始資料!V101="","",IF(反向題設定!$C$25="是",反向題設定!$B$2+1-原始資料!V101,原始資料!V101))</f>
        <v/>
      </c>
      <c r="W101">
        <f>IF(原始資料!W101="","",IF(反向題設定!$C$26="是",反向題設定!$B$2+1-原始資料!W101,原始資料!W101))</f>
        <v/>
      </c>
      <c r="X101">
        <f>IF(原始資料!X101="","",IF(反向題設定!$C$27="是",反向題設定!$B$2+1-原始資料!X101,原始資料!X101))</f>
        <v/>
      </c>
      <c r="Y101">
        <f>IF(原始資料!Y101="","",IF(反向題設定!$C$28="是",反向題設定!$B$2+1-原始資料!Y101,原始資料!Y101))</f>
        <v/>
      </c>
      <c r="Z101">
        <f>IF(原始資料!Z101="","",IF(反向題設定!$C$29="是",反向題設定!$B$2+1-原始資料!Z101,原始資料!Z101))</f>
        <v/>
      </c>
      <c r="AA101">
        <f>IF(原始資料!AA101="","",IF(反向題設定!$C$30="是",反向題設定!$B$2+1-原始資料!AA101,原始資料!AA101))</f>
        <v/>
      </c>
      <c r="AB101">
        <f>IF(原始資料!AB101="","",IF(反向題設定!$C$31="是",反向題設定!$B$2+1-原始資料!AB101,原始資料!AB101))</f>
        <v/>
      </c>
      <c r="AC101">
        <f>IF(原始資料!AC101="","",IF(反向題設定!$C$32="是",反向題設定!$B$2+1-原始資料!AC101,原始資料!AC101))</f>
        <v/>
      </c>
      <c r="AD101">
        <f>IF(原始資料!AD101="","",IF(反向題設定!$C$33="是",反向題設定!$B$2+1-原始資料!AD101,原始資料!AD101))</f>
        <v/>
      </c>
      <c r="AE101">
        <f>IF(原始資料!AE101="","",IF(反向題設定!$C$34="是",反向題設定!$B$2+1-原始資料!AE101,原始資料!AE101))</f>
        <v/>
      </c>
      <c r="AF101">
        <f>IF(原始資料!AF101="","",IF(反向題設定!$C$35="是",反向題設定!$B$2+1-原始資料!AF101,原始資料!AF101))</f>
        <v/>
      </c>
      <c r="AG101">
        <f>IF(原始資料!AG101="","",IF(反向題設定!$C$36="是",反向題設定!$B$2+1-原始資料!AG101,原始資料!AG101))</f>
        <v/>
      </c>
      <c r="AH101">
        <f>IF(原始資料!AH101="","",IF(反向題設定!$C$37="是",反向題設定!$B$2+1-原始資料!AH101,原始資料!AH101))</f>
        <v/>
      </c>
      <c r="AI101">
        <f>IF(原始資料!AI101="","",IF(反向題設定!$C$38="是",反向題設定!$B$2+1-原始資料!AI101,原始資料!AI101))</f>
        <v/>
      </c>
      <c r="AJ101">
        <f>IF(原始資料!AJ101="","",IF(反向題設定!$C$39="是",反向題設定!$B$2+1-原始資料!AJ101,原始資料!AJ101))</f>
        <v/>
      </c>
      <c r="AK101">
        <f>IF(原始資料!AK101="","",IF(反向題設定!$C$40="是",反向題設定!$B$2+1-原始資料!AK101,原始資料!AK101))</f>
        <v/>
      </c>
      <c r="AL101">
        <f>IF(原始資料!AL101="","",IF(反向題設定!$C$41="是",反向題設定!$B$2+1-原始資料!AL101,原始資料!AL101))</f>
        <v/>
      </c>
      <c r="AM101">
        <f>IF(原始資料!AM101="","",IF(反向題設定!$C$42="是",反向題設定!$B$2+1-原始資料!AM101,原始資料!AM101))</f>
        <v/>
      </c>
      <c r="AN101">
        <f>IF(原始資料!AN101="","",IF(反向題設定!$C$43="是",反向題設定!$B$2+1-原始資料!AN101,原始資料!AN101))</f>
        <v/>
      </c>
      <c r="AO101">
        <f>IF(原始資料!AO101="","",IF(反向題設定!$C$44="是",反向題設定!$B$2+1-原始資料!AO101,原始資料!AO101))</f>
        <v/>
      </c>
      <c r="AP101">
        <f>IF(COUNT(B101:AO101)=0,"",SUM(B101:AO101))</f>
        <v/>
      </c>
      <c r="AQ101">
        <f>IF(AP101="","",IF(AP101&gt;=項目分析!$C$5,"高",IF(AP101&lt;=項目分析!$C$6,"低","")))</f>
        <v/>
      </c>
    </row>
    <row r="102">
      <c r="A102">
        <f>IF(原始資料!A102="","",原始資料!A102)</f>
        <v/>
      </c>
      <c r="B102">
        <f>IF(原始資料!B102="","",IF(反向題設定!$C$5="是",反向題設定!$B$2+1-原始資料!B102,原始資料!B102))</f>
        <v/>
      </c>
      <c r="C102">
        <f>IF(原始資料!C102="","",IF(反向題設定!$C$6="是",反向題設定!$B$2+1-原始資料!C102,原始資料!C102))</f>
        <v/>
      </c>
      <c r="D102">
        <f>IF(原始資料!D102="","",IF(反向題設定!$C$7="是",反向題設定!$B$2+1-原始資料!D102,原始資料!D102))</f>
        <v/>
      </c>
      <c r="E102">
        <f>IF(原始資料!E102="","",IF(反向題設定!$C$8="是",反向題設定!$B$2+1-原始資料!E102,原始資料!E102))</f>
        <v/>
      </c>
      <c r="F102">
        <f>IF(原始資料!F102="","",IF(反向題設定!$C$9="是",反向題設定!$B$2+1-原始資料!F102,原始資料!F102))</f>
        <v/>
      </c>
      <c r="G102">
        <f>IF(原始資料!G102="","",IF(反向題設定!$C$10="是",反向題設定!$B$2+1-原始資料!G102,原始資料!G102))</f>
        <v/>
      </c>
      <c r="H102">
        <f>IF(原始資料!H102="","",IF(反向題設定!$C$11="是",反向題設定!$B$2+1-原始資料!H102,原始資料!H102))</f>
        <v/>
      </c>
      <c r="I102">
        <f>IF(原始資料!I102="","",IF(反向題設定!$C$12="是",反向題設定!$B$2+1-原始資料!I102,原始資料!I102))</f>
        <v/>
      </c>
      <c r="J102">
        <f>IF(原始資料!J102="","",IF(反向題設定!$C$13="是",反向題設定!$B$2+1-原始資料!J102,原始資料!J102))</f>
        <v/>
      </c>
      <c r="K102">
        <f>IF(原始資料!K102="","",IF(反向題設定!$C$14="是",反向題設定!$B$2+1-原始資料!K102,原始資料!K102))</f>
        <v/>
      </c>
      <c r="L102">
        <f>IF(原始資料!L102="","",IF(反向題設定!$C$15="是",反向題設定!$B$2+1-原始資料!L102,原始資料!L102))</f>
        <v/>
      </c>
      <c r="M102">
        <f>IF(原始資料!M102="","",IF(反向題設定!$C$16="是",反向題設定!$B$2+1-原始資料!M102,原始資料!M102))</f>
        <v/>
      </c>
      <c r="N102">
        <f>IF(原始資料!N102="","",IF(反向題設定!$C$17="是",反向題設定!$B$2+1-原始資料!N102,原始資料!N102))</f>
        <v/>
      </c>
      <c r="O102">
        <f>IF(原始資料!O102="","",IF(反向題設定!$C$18="是",反向題設定!$B$2+1-原始資料!O102,原始資料!O102))</f>
        <v/>
      </c>
      <c r="P102">
        <f>IF(原始資料!P102="","",IF(反向題設定!$C$19="是",反向題設定!$B$2+1-原始資料!P102,原始資料!P102))</f>
        <v/>
      </c>
      <c r="Q102">
        <f>IF(原始資料!Q102="","",IF(反向題設定!$C$20="是",反向題設定!$B$2+1-原始資料!Q102,原始資料!Q102))</f>
        <v/>
      </c>
      <c r="R102">
        <f>IF(原始資料!R102="","",IF(反向題設定!$C$21="是",反向題設定!$B$2+1-原始資料!R102,原始資料!R102))</f>
        <v/>
      </c>
      <c r="S102">
        <f>IF(原始資料!S102="","",IF(反向題設定!$C$22="是",反向題設定!$B$2+1-原始資料!S102,原始資料!S102))</f>
        <v/>
      </c>
      <c r="T102">
        <f>IF(原始資料!T102="","",IF(反向題設定!$C$23="是",反向題設定!$B$2+1-原始資料!T102,原始資料!T102))</f>
        <v/>
      </c>
      <c r="U102">
        <f>IF(原始資料!U102="","",IF(反向題設定!$C$24="是",反向題設定!$B$2+1-原始資料!U102,原始資料!U102))</f>
        <v/>
      </c>
      <c r="V102">
        <f>IF(原始資料!V102="","",IF(反向題設定!$C$25="是",反向題設定!$B$2+1-原始資料!V102,原始資料!V102))</f>
        <v/>
      </c>
      <c r="W102">
        <f>IF(原始資料!W102="","",IF(反向題設定!$C$26="是",反向題設定!$B$2+1-原始資料!W102,原始資料!W102))</f>
        <v/>
      </c>
      <c r="X102">
        <f>IF(原始資料!X102="","",IF(反向題設定!$C$27="是",反向題設定!$B$2+1-原始資料!X102,原始資料!X102))</f>
        <v/>
      </c>
      <c r="Y102">
        <f>IF(原始資料!Y102="","",IF(反向題設定!$C$28="是",反向題設定!$B$2+1-原始資料!Y102,原始資料!Y102))</f>
        <v/>
      </c>
      <c r="Z102">
        <f>IF(原始資料!Z102="","",IF(反向題設定!$C$29="是",反向題設定!$B$2+1-原始資料!Z102,原始資料!Z102))</f>
        <v/>
      </c>
      <c r="AA102">
        <f>IF(原始資料!AA102="","",IF(反向題設定!$C$30="是",反向題設定!$B$2+1-原始資料!AA102,原始資料!AA102))</f>
        <v/>
      </c>
      <c r="AB102">
        <f>IF(原始資料!AB102="","",IF(反向題設定!$C$31="是",反向題設定!$B$2+1-原始資料!AB102,原始資料!AB102))</f>
        <v/>
      </c>
      <c r="AC102">
        <f>IF(原始資料!AC102="","",IF(反向題設定!$C$32="是",反向題設定!$B$2+1-原始資料!AC102,原始資料!AC102))</f>
        <v/>
      </c>
      <c r="AD102">
        <f>IF(原始資料!AD102="","",IF(反向題設定!$C$33="是",反向題設定!$B$2+1-原始資料!AD102,原始資料!AD102))</f>
        <v/>
      </c>
      <c r="AE102">
        <f>IF(原始資料!AE102="","",IF(反向題設定!$C$34="是",反向題設定!$B$2+1-原始資料!AE102,原始資料!AE102))</f>
        <v/>
      </c>
      <c r="AF102">
        <f>IF(原始資料!AF102="","",IF(反向題設定!$C$35="是",反向題設定!$B$2+1-原始資料!AF102,原始資料!AF102))</f>
        <v/>
      </c>
      <c r="AG102">
        <f>IF(原始資料!AG102="","",IF(反向題設定!$C$36="是",反向題設定!$B$2+1-原始資料!AG102,原始資料!AG102))</f>
        <v/>
      </c>
      <c r="AH102">
        <f>IF(原始資料!AH102="","",IF(反向題設定!$C$37="是",反向題設定!$B$2+1-原始資料!AH102,原始資料!AH102))</f>
        <v/>
      </c>
      <c r="AI102">
        <f>IF(原始資料!AI102="","",IF(反向題設定!$C$38="是",反向題設定!$B$2+1-原始資料!AI102,原始資料!AI102))</f>
        <v/>
      </c>
      <c r="AJ102">
        <f>IF(原始資料!AJ102="","",IF(反向題設定!$C$39="是",反向題設定!$B$2+1-原始資料!AJ102,原始資料!AJ102))</f>
        <v/>
      </c>
      <c r="AK102">
        <f>IF(原始資料!AK102="","",IF(反向題設定!$C$40="是",反向題設定!$B$2+1-原始資料!AK102,原始資料!AK102))</f>
        <v/>
      </c>
      <c r="AL102">
        <f>IF(原始資料!AL102="","",IF(反向題設定!$C$41="是",反向題設定!$B$2+1-原始資料!AL102,原始資料!AL102))</f>
        <v/>
      </c>
      <c r="AM102">
        <f>IF(原始資料!AM102="","",IF(反向題設定!$C$42="是",反向題設定!$B$2+1-原始資料!AM102,原始資料!AM102))</f>
        <v/>
      </c>
      <c r="AN102">
        <f>IF(原始資料!AN102="","",IF(反向題設定!$C$43="是",反向題設定!$B$2+1-原始資料!AN102,原始資料!AN102))</f>
        <v/>
      </c>
      <c r="AO102">
        <f>IF(原始資料!AO102="","",IF(反向題設定!$C$44="是",反向題設定!$B$2+1-原始資料!AO102,原始資料!AO102))</f>
        <v/>
      </c>
      <c r="AP102">
        <f>IF(COUNT(B102:AO102)=0,"",SUM(B102:AO102))</f>
        <v/>
      </c>
      <c r="AQ102">
        <f>IF(AP102="","",IF(AP102&gt;=項目分析!$C$5,"高",IF(AP102&lt;=項目分析!$C$6,"低","")))</f>
        <v/>
      </c>
    </row>
    <row r="103">
      <c r="A103">
        <f>IF(原始資料!A103="","",原始資料!A103)</f>
        <v/>
      </c>
      <c r="B103">
        <f>IF(原始資料!B103="","",IF(反向題設定!$C$5="是",反向題設定!$B$2+1-原始資料!B103,原始資料!B103))</f>
        <v/>
      </c>
      <c r="C103">
        <f>IF(原始資料!C103="","",IF(反向題設定!$C$6="是",反向題設定!$B$2+1-原始資料!C103,原始資料!C103))</f>
        <v/>
      </c>
      <c r="D103">
        <f>IF(原始資料!D103="","",IF(反向題設定!$C$7="是",反向題設定!$B$2+1-原始資料!D103,原始資料!D103))</f>
        <v/>
      </c>
      <c r="E103">
        <f>IF(原始資料!E103="","",IF(反向題設定!$C$8="是",反向題設定!$B$2+1-原始資料!E103,原始資料!E103))</f>
        <v/>
      </c>
      <c r="F103">
        <f>IF(原始資料!F103="","",IF(反向題設定!$C$9="是",反向題設定!$B$2+1-原始資料!F103,原始資料!F103))</f>
        <v/>
      </c>
      <c r="G103">
        <f>IF(原始資料!G103="","",IF(反向題設定!$C$10="是",反向題設定!$B$2+1-原始資料!G103,原始資料!G103))</f>
        <v/>
      </c>
      <c r="H103">
        <f>IF(原始資料!H103="","",IF(反向題設定!$C$11="是",反向題設定!$B$2+1-原始資料!H103,原始資料!H103))</f>
        <v/>
      </c>
      <c r="I103">
        <f>IF(原始資料!I103="","",IF(反向題設定!$C$12="是",反向題設定!$B$2+1-原始資料!I103,原始資料!I103))</f>
        <v/>
      </c>
      <c r="J103">
        <f>IF(原始資料!J103="","",IF(反向題設定!$C$13="是",反向題設定!$B$2+1-原始資料!J103,原始資料!J103))</f>
        <v/>
      </c>
      <c r="K103">
        <f>IF(原始資料!K103="","",IF(反向題設定!$C$14="是",反向題設定!$B$2+1-原始資料!K103,原始資料!K103))</f>
        <v/>
      </c>
      <c r="L103">
        <f>IF(原始資料!L103="","",IF(反向題設定!$C$15="是",反向題設定!$B$2+1-原始資料!L103,原始資料!L103))</f>
        <v/>
      </c>
      <c r="M103">
        <f>IF(原始資料!M103="","",IF(反向題設定!$C$16="是",反向題設定!$B$2+1-原始資料!M103,原始資料!M103))</f>
        <v/>
      </c>
      <c r="N103">
        <f>IF(原始資料!N103="","",IF(反向題設定!$C$17="是",反向題設定!$B$2+1-原始資料!N103,原始資料!N103))</f>
        <v/>
      </c>
      <c r="O103">
        <f>IF(原始資料!O103="","",IF(反向題設定!$C$18="是",反向題設定!$B$2+1-原始資料!O103,原始資料!O103))</f>
        <v/>
      </c>
      <c r="P103">
        <f>IF(原始資料!P103="","",IF(反向題設定!$C$19="是",反向題設定!$B$2+1-原始資料!P103,原始資料!P103))</f>
        <v/>
      </c>
      <c r="Q103">
        <f>IF(原始資料!Q103="","",IF(反向題設定!$C$20="是",反向題設定!$B$2+1-原始資料!Q103,原始資料!Q103))</f>
        <v/>
      </c>
      <c r="R103">
        <f>IF(原始資料!R103="","",IF(反向題設定!$C$21="是",反向題設定!$B$2+1-原始資料!R103,原始資料!R103))</f>
        <v/>
      </c>
      <c r="S103">
        <f>IF(原始資料!S103="","",IF(反向題設定!$C$22="是",反向題設定!$B$2+1-原始資料!S103,原始資料!S103))</f>
        <v/>
      </c>
      <c r="T103">
        <f>IF(原始資料!T103="","",IF(反向題設定!$C$23="是",反向題設定!$B$2+1-原始資料!T103,原始資料!T103))</f>
        <v/>
      </c>
      <c r="U103">
        <f>IF(原始資料!U103="","",IF(反向題設定!$C$24="是",反向題設定!$B$2+1-原始資料!U103,原始資料!U103))</f>
        <v/>
      </c>
      <c r="V103">
        <f>IF(原始資料!V103="","",IF(反向題設定!$C$25="是",反向題設定!$B$2+1-原始資料!V103,原始資料!V103))</f>
        <v/>
      </c>
      <c r="W103">
        <f>IF(原始資料!W103="","",IF(反向題設定!$C$26="是",反向題設定!$B$2+1-原始資料!W103,原始資料!W103))</f>
        <v/>
      </c>
      <c r="X103">
        <f>IF(原始資料!X103="","",IF(反向題設定!$C$27="是",反向題設定!$B$2+1-原始資料!X103,原始資料!X103))</f>
        <v/>
      </c>
      <c r="Y103">
        <f>IF(原始資料!Y103="","",IF(反向題設定!$C$28="是",反向題設定!$B$2+1-原始資料!Y103,原始資料!Y103))</f>
        <v/>
      </c>
      <c r="Z103">
        <f>IF(原始資料!Z103="","",IF(反向題設定!$C$29="是",反向題設定!$B$2+1-原始資料!Z103,原始資料!Z103))</f>
        <v/>
      </c>
      <c r="AA103">
        <f>IF(原始資料!AA103="","",IF(反向題設定!$C$30="是",反向題設定!$B$2+1-原始資料!AA103,原始資料!AA103))</f>
        <v/>
      </c>
      <c r="AB103">
        <f>IF(原始資料!AB103="","",IF(反向題設定!$C$31="是",反向題設定!$B$2+1-原始資料!AB103,原始資料!AB103))</f>
        <v/>
      </c>
      <c r="AC103">
        <f>IF(原始資料!AC103="","",IF(反向題設定!$C$32="是",反向題設定!$B$2+1-原始資料!AC103,原始資料!AC103))</f>
        <v/>
      </c>
      <c r="AD103">
        <f>IF(原始資料!AD103="","",IF(反向題設定!$C$33="是",反向題設定!$B$2+1-原始資料!AD103,原始資料!AD103))</f>
        <v/>
      </c>
      <c r="AE103">
        <f>IF(原始資料!AE103="","",IF(反向題設定!$C$34="是",反向題設定!$B$2+1-原始資料!AE103,原始資料!AE103))</f>
        <v/>
      </c>
      <c r="AF103">
        <f>IF(原始資料!AF103="","",IF(反向題設定!$C$35="是",反向題設定!$B$2+1-原始資料!AF103,原始資料!AF103))</f>
        <v/>
      </c>
      <c r="AG103">
        <f>IF(原始資料!AG103="","",IF(反向題設定!$C$36="是",反向題設定!$B$2+1-原始資料!AG103,原始資料!AG103))</f>
        <v/>
      </c>
      <c r="AH103">
        <f>IF(原始資料!AH103="","",IF(反向題設定!$C$37="是",反向題設定!$B$2+1-原始資料!AH103,原始資料!AH103))</f>
        <v/>
      </c>
      <c r="AI103">
        <f>IF(原始資料!AI103="","",IF(反向題設定!$C$38="是",反向題設定!$B$2+1-原始資料!AI103,原始資料!AI103))</f>
        <v/>
      </c>
      <c r="AJ103">
        <f>IF(原始資料!AJ103="","",IF(反向題設定!$C$39="是",反向題設定!$B$2+1-原始資料!AJ103,原始資料!AJ103))</f>
        <v/>
      </c>
      <c r="AK103">
        <f>IF(原始資料!AK103="","",IF(反向題設定!$C$40="是",反向題設定!$B$2+1-原始資料!AK103,原始資料!AK103))</f>
        <v/>
      </c>
      <c r="AL103">
        <f>IF(原始資料!AL103="","",IF(反向題設定!$C$41="是",反向題設定!$B$2+1-原始資料!AL103,原始資料!AL103))</f>
        <v/>
      </c>
      <c r="AM103">
        <f>IF(原始資料!AM103="","",IF(反向題設定!$C$42="是",反向題設定!$B$2+1-原始資料!AM103,原始資料!AM103))</f>
        <v/>
      </c>
      <c r="AN103">
        <f>IF(原始資料!AN103="","",IF(反向題設定!$C$43="是",反向題設定!$B$2+1-原始資料!AN103,原始資料!AN103))</f>
        <v/>
      </c>
      <c r="AO103">
        <f>IF(原始資料!AO103="","",IF(反向題設定!$C$44="是",反向題設定!$B$2+1-原始資料!AO103,原始資料!AO103))</f>
        <v/>
      </c>
      <c r="AP103">
        <f>IF(COUNT(B103:AO103)=0,"",SUM(B103:AO103))</f>
        <v/>
      </c>
      <c r="AQ103">
        <f>IF(AP103="","",IF(AP103&gt;=項目分析!$C$5,"高",IF(AP103&lt;=項目分析!$C$6,"低","")))</f>
        <v/>
      </c>
    </row>
    <row r="104">
      <c r="A104">
        <f>IF(原始資料!A104="","",原始資料!A104)</f>
        <v/>
      </c>
      <c r="B104">
        <f>IF(原始資料!B104="","",IF(反向題設定!$C$5="是",反向題設定!$B$2+1-原始資料!B104,原始資料!B104))</f>
        <v/>
      </c>
      <c r="C104">
        <f>IF(原始資料!C104="","",IF(反向題設定!$C$6="是",反向題設定!$B$2+1-原始資料!C104,原始資料!C104))</f>
        <v/>
      </c>
      <c r="D104">
        <f>IF(原始資料!D104="","",IF(反向題設定!$C$7="是",反向題設定!$B$2+1-原始資料!D104,原始資料!D104))</f>
        <v/>
      </c>
      <c r="E104">
        <f>IF(原始資料!E104="","",IF(反向題設定!$C$8="是",反向題設定!$B$2+1-原始資料!E104,原始資料!E104))</f>
        <v/>
      </c>
      <c r="F104">
        <f>IF(原始資料!F104="","",IF(反向題設定!$C$9="是",反向題設定!$B$2+1-原始資料!F104,原始資料!F104))</f>
        <v/>
      </c>
      <c r="G104">
        <f>IF(原始資料!G104="","",IF(反向題設定!$C$10="是",反向題設定!$B$2+1-原始資料!G104,原始資料!G104))</f>
        <v/>
      </c>
      <c r="H104">
        <f>IF(原始資料!H104="","",IF(反向題設定!$C$11="是",反向題設定!$B$2+1-原始資料!H104,原始資料!H104))</f>
        <v/>
      </c>
      <c r="I104">
        <f>IF(原始資料!I104="","",IF(反向題設定!$C$12="是",反向題設定!$B$2+1-原始資料!I104,原始資料!I104))</f>
        <v/>
      </c>
      <c r="J104">
        <f>IF(原始資料!J104="","",IF(反向題設定!$C$13="是",反向題設定!$B$2+1-原始資料!J104,原始資料!J104))</f>
        <v/>
      </c>
      <c r="K104">
        <f>IF(原始資料!K104="","",IF(反向題設定!$C$14="是",反向題設定!$B$2+1-原始資料!K104,原始資料!K104))</f>
        <v/>
      </c>
      <c r="L104">
        <f>IF(原始資料!L104="","",IF(反向題設定!$C$15="是",反向題設定!$B$2+1-原始資料!L104,原始資料!L104))</f>
        <v/>
      </c>
      <c r="M104">
        <f>IF(原始資料!M104="","",IF(反向題設定!$C$16="是",反向題設定!$B$2+1-原始資料!M104,原始資料!M104))</f>
        <v/>
      </c>
      <c r="N104">
        <f>IF(原始資料!N104="","",IF(反向題設定!$C$17="是",反向題設定!$B$2+1-原始資料!N104,原始資料!N104))</f>
        <v/>
      </c>
      <c r="O104">
        <f>IF(原始資料!O104="","",IF(反向題設定!$C$18="是",反向題設定!$B$2+1-原始資料!O104,原始資料!O104))</f>
        <v/>
      </c>
      <c r="P104">
        <f>IF(原始資料!P104="","",IF(反向題設定!$C$19="是",反向題設定!$B$2+1-原始資料!P104,原始資料!P104))</f>
        <v/>
      </c>
      <c r="Q104">
        <f>IF(原始資料!Q104="","",IF(反向題設定!$C$20="是",反向題設定!$B$2+1-原始資料!Q104,原始資料!Q104))</f>
        <v/>
      </c>
      <c r="R104">
        <f>IF(原始資料!R104="","",IF(反向題設定!$C$21="是",反向題設定!$B$2+1-原始資料!R104,原始資料!R104))</f>
        <v/>
      </c>
      <c r="S104">
        <f>IF(原始資料!S104="","",IF(反向題設定!$C$22="是",反向題設定!$B$2+1-原始資料!S104,原始資料!S104))</f>
        <v/>
      </c>
      <c r="T104">
        <f>IF(原始資料!T104="","",IF(反向題設定!$C$23="是",反向題設定!$B$2+1-原始資料!T104,原始資料!T104))</f>
        <v/>
      </c>
      <c r="U104">
        <f>IF(原始資料!U104="","",IF(反向題設定!$C$24="是",反向題設定!$B$2+1-原始資料!U104,原始資料!U104))</f>
        <v/>
      </c>
      <c r="V104">
        <f>IF(原始資料!V104="","",IF(反向題設定!$C$25="是",反向題設定!$B$2+1-原始資料!V104,原始資料!V104))</f>
        <v/>
      </c>
      <c r="W104">
        <f>IF(原始資料!W104="","",IF(反向題設定!$C$26="是",反向題設定!$B$2+1-原始資料!W104,原始資料!W104))</f>
        <v/>
      </c>
      <c r="X104">
        <f>IF(原始資料!X104="","",IF(反向題設定!$C$27="是",反向題設定!$B$2+1-原始資料!X104,原始資料!X104))</f>
        <v/>
      </c>
      <c r="Y104">
        <f>IF(原始資料!Y104="","",IF(反向題設定!$C$28="是",反向題設定!$B$2+1-原始資料!Y104,原始資料!Y104))</f>
        <v/>
      </c>
      <c r="Z104">
        <f>IF(原始資料!Z104="","",IF(反向題設定!$C$29="是",反向題設定!$B$2+1-原始資料!Z104,原始資料!Z104))</f>
        <v/>
      </c>
      <c r="AA104">
        <f>IF(原始資料!AA104="","",IF(反向題設定!$C$30="是",反向題設定!$B$2+1-原始資料!AA104,原始資料!AA104))</f>
        <v/>
      </c>
      <c r="AB104">
        <f>IF(原始資料!AB104="","",IF(反向題設定!$C$31="是",反向題設定!$B$2+1-原始資料!AB104,原始資料!AB104))</f>
        <v/>
      </c>
      <c r="AC104">
        <f>IF(原始資料!AC104="","",IF(反向題設定!$C$32="是",反向題設定!$B$2+1-原始資料!AC104,原始資料!AC104))</f>
        <v/>
      </c>
      <c r="AD104">
        <f>IF(原始資料!AD104="","",IF(反向題設定!$C$33="是",反向題設定!$B$2+1-原始資料!AD104,原始資料!AD104))</f>
        <v/>
      </c>
      <c r="AE104">
        <f>IF(原始資料!AE104="","",IF(反向題設定!$C$34="是",反向題設定!$B$2+1-原始資料!AE104,原始資料!AE104))</f>
        <v/>
      </c>
      <c r="AF104">
        <f>IF(原始資料!AF104="","",IF(反向題設定!$C$35="是",反向題設定!$B$2+1-原始資料!AF104,原始資料!AF104))</f>
        <v/>
      </c>
      <c r="AG104">
        <f>IF(原始資料!AG104="","",IF(反向題設定!$C$36="是",反向題設定!$B$2+1-原始資料!AG104,原始資料!AG104))</f>
        <v/>
      </c>
      <c r="AH104">
        <f>IF(原始資料!AH104="","",IF(反向題設定!$C$37="是",反向題設定!$B$2+1-原始資料!AH104,原始資料!AH104))</f>
        <v/>
      </c>
      <c r="AI104">
        <f>IF(原始資料!AI104="","",IF(反向題設定!$C$38="是",反向題設定!$B$2+1-原始資料!AI104,原始資料!AI104))</f>
        <v/>
      </c>
      <c r="AJ104">
        <f>IF(原始資料!AJ104="","",IF(反向題設定!$C$39="是",反向題設定!$B$2+1-原始資料!AJ104,原始資料!AJ104))</f>
        <v/>
      </c>
      <c r="AK104">
        <f>IF(原始資料!AK104="","",IF(反向題設定!$C$40="是",反向題設定!$B$2+1-原始資料!AK104,原始資料!AK104))</f>
        <v/>
      </c>
      <c r="AL104">
        <f>IF(原始資料!AL104="","",IF(反向題設定!$C$41="是",反向題設定!$B$2+1-原始資料!AL104,原始資料!AL104))</f>
        <v/>
      </c>
      <c r="AM104">
        <f>IF(原始資料!AM104="","",IF(反向題設定!$C$42="是",反向題設定!$B$2+1-原始資料!AM104,原始資料!AM104))</f>
        <v/>
      </c>
      <c r="AN104">
        <f>IF(原始資料!AN104="","",IF(反向題設定!$C$43="是",反向題設定!$B$2+1-原始資料!AN104,原始資料!AN104))</f>
        <v/>
      </c>
      <c r="AO104">
        <f>IF(原始資料!AO104="","",IF(反向題設定!$C$44="是",反向題設定!$B$2+1-原始資料!AO104,原始資料!AO104))</f>
        <v/>
      </c>
      <c r="AP104">
        <f>IF(COUNT(B104:AO104)=0,"",SUM(B104:AO104))</f>
        <v/>
      </c>
      <c r="AQ104">
        <f>IF(AP104="","",IF(AP104&gt;=項目分析!$C$5,"高",IF(AP104&lt;=項目分析!$C$6,"低","")))</f>
        <v/>
      </c>
    </row>
    <row r="105">
      <c r="A105">
        <f>IF(原始資料!A105="","",原始資料!A105)</f>
        <v/>
      </c>
      <c r="B105">
        <f>IF(原始資料!B105="","",IF(反向題設定!$C$5="是",反向題設定!$B$2+1-原始資料!B105,原始資料!B105))</f>
        <v/>
      </c>
      <c r="C105">
        <f>IF(原始資料!C105="","",IF(反向題設定!$C$6="是",反向題設定!$B$2+1-原始資料!C105,原始資料!C105))</f>
        <v/>
      </c>
      <c r="D105">
        <f>IF(原始資料!D105="","",IF(反向題設定!$C$7="是",反向題設定!$B$2+1-原始資料!D105,原始資料!D105))</f>
        <v/>
      </c>
      <c r="E105">
        <f>IF(原始資料!E105="","",IF(反向題設定!$C$8="是",反向題設定!$B$2+1-原始資料!E105,原始資料!E105))</f>
        <v/>
      </c>
      <c r="F105">
        <f>IF(原始資料!F105="","",IF(反向題設定!$C$9="是",反向題設定!$B$2+1-原始資料!F105,原始資料!F105))</f>
        <v/>
      </c>
      <c r="G105">
        <f>IF(原始資料!G105="","",IF(反向題設定!$C$10="是",反向題設定!$B$2+1-原始資料!G105,原始資料!G105))</f>
        <v/>
      </c>
      <c r="H105">
        <f>IF(原始資料!H105="","",IF(反向題設定!$C$11="是",反向題設定!$B$2+1-原始資料!H105,原始資料!H105))</f>
        <v/>
      </c>
      <c r="I105">
        <f>IF(原始資料!I105="","",IF(反向題設定!$C$12="是",反向題設定!$B$2+1-原始資料!I105,原始資料!I105))</f>
        <v/>
      </c>
      <c r="J105">
        <f>IF(原始資料!J105="","",IF(反向題設定!$C$13="是",反向題設定!$B$2+1-原始資料!J105,原始資料!J105))</f>
        <v/>
      </c>
      <c r="K105">
        <f>IF(原始資料!K105="","",IF(反向題設定!$C$14="是",反向題設定!$B$2+1-原始資料!K105,原始資料!K105))</f>
        <v/>
      </c>
      <c r="L105">
        <f>IF(原始資料!L105="","",IF(反向題設定!$C$15="是",反向題設定!$B$2+1-原始資料!L105,原始資料!L105))</f>
        <v/>
      </c>
      <c r="M105">
        <f>IF(原始資料!M105="","",IF(反向題設定!$C$16="是",反向題設定!$B$2+1-原始資料!M105,原始資料!M105))</f>
        <v/>
      </c>
      <c r="N105">
        <f>IF(原始資料!N105="","",IF(反向題設定!$C$17="是",反向題設定!$B$2+1-原始資料!N105,原始資料!N105))</f>
        <v/>
      </c>
      <c r="O105">
        <f>IF(原始資料!O105="","",IF(反向題設定!$C$18="是",反向題設定!$B$2+1-原始資料!O105,原始資料!O105))</f>
        <v/>
      </c>
      <c r="P105">
        <f>IF(原始資料!P105="","",IF(反向題設定!$C$19="是",反向題設定!$B$2+1-原始資料!P105,原始資料!P105))</f>
        <v/>
      </c>
      <c r="Q105">
        <f>IF(原始資料!Q105="","",IF(反向題設定!$C$20="是",反向題設定!$B$2+1-原始資料!Q105,原始資料!Q105))</f>
        <v/>
      </c>
      <c r="R105">
        <f>IF(原始資料!R105="","",IF(反向題設定!$C$21="是",反向題設定!$B$2+1-原始資料!R105,原始資料!R105))</f>
        <v/>
      </c>
      <c r="S105">
        <f>IF(原始資料!S105="","",IF(反向題設定!$C$22="是",反向題設定!$B$2+1-原始資料!S105,原始資料!S105))</f>
        <v/>
      </c>
      <c r="T105">
        <f>IF(原始資料!T105="","",IF(反向題設定!$C$23="是",反向題設定!$B$2+1-原始資料!T105,原始資料!T105))</f>
        <v/>
      </c>
      <c r="U105">
        <f>IF(原始資料!U105="","",IF(反向題設定!$C$24="是",反向題設定!$B$2+1-原始資料!U105,原始資料!U105))</f>
        <v/>
      </c>
      <c r="V105">
        <f>IF(原始資料!V105="","",IF(反向題設定!$C$25="是",反向題設定!$B$2+1-原始資料!V105,原始資料!V105))</f>
        <v/>
      </c>
      <c r="W105">
        <f>IF(原始資料!W105="","",IF(反向題設定!$C$26="是",反向題設定!$B$2+1-原始資料!W105,原始資料!W105))</f>
        <v/>
      </c>
      <c r="X105">
        <f>IF(原始資料!X105="","",IF(反向題設定!$C$27="是",反向題設定!$B$2+1-原始資料!X105,原始資料!X105))</f>
        <v/>
      </c>
      <c r="Y105">
        <f>IF(原始資料!Y105="","",IF(反向題設定!$C$28="是",反向題設定!$B$2+1-原始資料!Y105,原始資料!Y105))</f>
        <v/>
      </c>
      <c r="Z105">
        <f>IF(原始資料!Z105="","",IF(反向題設定!$C$29="是",反向題設定!$B$2+1-原始資料!Z105,原始資料!Z105))</f>
        <v/>
      </c>
      <c r="AA105">
        <f>IF(原始資料!AA105="","",IF(反向題設定!$C$30="是",反向題設定!$B$2+1-原始資料!AA105,原始資料!AA105))</f>
        <v/>
      </c>
      <c r="AB105">
        <f>IF(原始資料!AB105="","",IF(反向題設定!$C$31="是",反向題設定!$B$2+1-原始資料!AB105,原始資料!AB105))</f>
        <v/>
      </c>
      <c r="AC105">
        <f>IF(原始資料!AC105="","",IF(反向題設定!$C$32="是",反向題設定!$B$2+1-原始資料!AC105,原始資料!AC105))</f>
        <v/>
      </c>
      <c r="AD105">
        <f>IF(原始資料!AD105="","",IF(反向題設定!$C$33="是",反向題設定!$B$2+1-原始資料!AD105,原始資料!AD105))</f>
        <v/>
      </c>
      <c r="AE105">
        <f>IF(原始資料!AE105="","",IF(反向題設定!$C$34="是",反向題設定!$B$2+1-原始資料!AE105,原始資料!AE105))</f>
        <v/>
      </c>
      <c r="AF105">
        <f>IF(原始資料!AF105="","",IF(反向題設定!$C$35="是",反向題設定!$B$2+1-原始資料!AF105,原始資料!AF105))</f>
        <v/>
      </c>
      <c r="AG105">
        <f>IF(原始資料!AG105="","",IF(反向題設定!$C$36="是",反向題設定!$B$2+1-原始資料!AG105,原始資料!AG105))</f>
        <v/>
      </c>
      <c r="AH105">
        <f>IF(原始資料!AH105="","",IF(反向題設定!$C$37="是",反向題設定!$B$2+1-原始資料!AH105,原始資料!AH105))</f>
        <v/>
      </c>
      <c r="AI105">
        <f>IF(原始資料!AI105="","",IF(反向題設定!$C$38="是",反向題設定!$B$2+1-原始資料!AI105,原始資料!AI105))</f>
        <v/>
      </c>
      <c r="AJ105">
        <f>IF(原始資料!AJ105="","",IF(反向題設定!$C$39="是",反向題設定!$B$2+1-原始資料!AJ105,原始資料!AJ105))</f>
        <v/>
      </c>
      <c r="AK105">
        <f>IF(原始資料!AK105="","",IF(反向題設定!$C$40="是",反向題設定!$B$2+1-原始資料!AK105,原始資料!AK105))</f>
        <v/>
      </c>
      <c r="AL105">
        <f>IF(原始資料!AL105="","",IF(反向題設定!$C$41="是",反向題設定!$B$2+1-原始資料!AL105,原始資料!AL105))</f>
        <v/>
      </c>
      <c r="AM105">
        <f>IF(原始資料!AM105="","",IF(反向題設定!$C$42="是",反向題設定!$B$2+1-原始資料!AM105,原始資料!AM105))</f>
        <v/>
      </c>
      <c r="AN105">
        <f>IF(原始資料!AN105="","",IF(反向題設定!$C$43="是",反向題設定!$B$2+1-原始資料!AN105,原始資料!AN105))</f>
        <v/>
      </c>
      <c r="AO105">
        <f>IF(原始資料!AO105="","",IF(反向題設定!$C$44="是",反向題設定!$B$2+1-原始資料!AO105,原始資料!AO105))</f>
        <v/>
      </c>
      <c r="AP105">
        <f>IF(COUNT(B105:AO105)=0,"",SUM(B105:AO105))</f>
        <v/>
      </c>
      <c r="AQ105">
        <f>IF(AP105="","",IF(AP105&gt;=項目分析!$C$5,"高",IF(AP105&lt;=項目分析!$C$6,"低","")))</f>
        <v/>
      </c>
    </row>
    <row r="106">
      <c r="A106">
        <f>IF(原始資料!A106="","",原始資料!A106)</f>
        <v/>
      </c>
      <c r="B106">
        <f>IF(原始資料!B106="","",IF(反向題設定!$C$5="是",反向題設定!$B$2+1-原始資料!B106,原始資料!B106))</f>
        <v/>
      </c>
      <c r="C106">
        <f>IF(原始資料!C106="","",IF(反向題設定!$C$6="是",反向題設定!$B$2+1-原始資料!C106,原始資料!C106))</f>
        <v/>
      </c>
      <c r="D106">
        <f>IF(原始資料!D106="","",IF(反向題設定!$C$7="是",反向題設定!$B$2+1-原始資料!D106,原始資料!D106))</f>
        <v/>
      </c>
      <c r="E106">
        <f>IF(原始資料!E106="","",IF(反向題設定!$C$8="是",反向題設定!$B$2+1-原始資料!E106,原始資料!E106))</f>
        <v/>
      </c>
      <c r="F106">
        <f>IF(原始資料!F106="","",IF(反向題設定!$C$9="是",反向題設定!$B$2+1-原始資料!F106,原始資料!F106))</f>
        <v/>
      </c>
      <c r="G106">
        <f>IF(原始資料!G106="","",IF(反向題設定!$C$10="是",反向題設定!$B$2+1-原始資料!G106,原始資料!G106))</f>
        <v/>
      </c>
      <c r="H106">
        <f>IF(原始資料!H106="","",IF(反向題設定!$C$11="是",反向題設定!$B$2+1-原始資料!H106,原始資料!H106))</f>
        <v/>
      </c>
      <c r="I106">
        <f>IF(原始資料!I106="","",IF(反向題設定!$C$12="是",反向題設定!$B$2+1-原始資料!I106,原始資料!I106))</f>
        <v/>
      </c>
      <c r="J106">
        <f>IF(原始資料!J106="","",IF(反向題設定!$C$13="是",反向題設定!$B$2+1-原始資料!J106,原始資料!J106))</f>
        <v/>
      </c>
      <c r="K106">
        <f>IF(原始資料!K106="","",IF(反向題設定!$C$14="是",反向題設定!$B$2+1-原始資料!K106,原始資料!K106))</f>
        <v/>
      </c>
      <c r="L106">
        <f>IF(原始資料!L106="","",IF(反向題設定!$C$15="是",反向題設定!$B$2+1-原始資料!L106,原始資料!L106))</f>
        <v/>
      </c>
      <c r="M106">
        <f>IF(原始資料!M106="","",IF(反向題設定!$C$16="是",反向題設定!$B$2+1-原始資料!M106,原始資料!M106))</f>
        <v/>
      </c>
      <c r="N106">
        <f>IF(原始資料!N106="","",IF(反向題設定!$C$17="是",反向題設定!$B$2+1-原始資料!N106,原始資料!N106))</f>
        <v/>
      </c>
      <c r="O106">
        <f>IF(原始資料!O106="","",IF(反向題設定!$C$18="是",反向題設定!$B$2+1-原始資料!O106,原始資料!O106))</f>
        <v/>
      </c>
      <c r="P106">
        <f>IF(原始資料!P106="","",IF(反向題設定!$C$19="是",反向題設定!$B$2+1-原始資料!P106,原始資料!P106))</f>
        <v/>
      </c>
      <c r="Q106">
        <f>IF(原始資料!Q106="","",IF(反向題設定!$C$20="是",反向題設定!$B$2+1-原始資料!Q106,原始資料!Q106))</f>
        <v/>
      </c>
      <c r="R106">
        <f>IF(原始資料!R106="","",IF(反向題設定!$C$21="是",反向題設定!$B$2+1-原始資料!R106,原始資料!R106))</f>
        <v/>
      </c>
      <c r="S106">
        <f>IF(原始資料!S106="","",IF(反向題設定!$C$22="是",反向題設定!$B$2+1-原始資料!S106,原始資料!S106))</f>
        <v/>
      </c>
      <c r="T106">
        <f>IF(原始資料!T106="","",IF(反向題設定!$C$23="是",反向題設定!$B$2+1-原始資料!T106,原始資料!T106))</f>
        <v/>
      </c>
      <c r="U106">
        <f>IF(原始資料!U106="","",IF(反向題設定!$C$24="是",反向題設定!$B$2+1-原始資料!U106,原始資料!U106))</f>
        <v/>
      </c>
      <c r="V106">
        <f>IF(原始資料!V106="","",IF(反向題設定!$C$25="是",反向題設定!$B$2+1-原始資料!V106,原始資料!V106))</f>
        <v/>
      </c>
      <c r="W106">
        <f>IF(原始資料!W106="","",IF(反向題設定!$C$26="是",反向題設定!$B$2+1-原始資料!W106,原始資料!W106))</f>
        <v/>
      </c>
      <c r="X106">
        <f>IF(原始資料!X106="","",IF(反向題設定!$C$27="是",反向題設定!$B$2+1-原始資料!X106,原始資料!X106))</f>
        <v/>
      </c>
      <c r="Y106">
        <f>IF(原始資料!Y106="","",IF(反向題設定!$C$28="是",反向題設定!$B$2+1-原始資料!Y106,原始資料!Y106))</f>
        <v/>
      </c>
      <c r="Z106">
        <f>IF(原始資料!Z106="","",IF(反向題設定!$C$29="是",反向題設定!$B$2+1-原始資料!Z106,原始資料!Z106))</f>
        <v/>
      </c>
      <c r="AA106">
        <f>IF(原始資料!AA106="","",IF(反向題設定!$C$30="是",反向題設定!$B$2+1-原始資料!AA106,原始資料!AA106))</f>
        <v/>
      </c>
      <c r="AB106">
        <f>IF(原始資料!AB106="","",IF(反向題設定!$C$31="是",反向題設定!$B$2+1-原始資料!AB106,原始資料!AB106))</f>
        <v/>
      </c>
      <c r="AC106">
        <f>IF(原始資料!AC106="","",IF(反向題設定!$C$32="是",反向題設定!$B$2+1-原始資料!AC106,原始資料!AC106))</f>
        <v/>
      </c>
      <c r="AD106">
        <f>IF(原始資料!AD106="","",IF(反向題設定!$C$33="是",反向題設定!$B$2+1-原始資料!AD106,原始資料!AD106))</f>
        <v/>
      </c>
      <c r="AE106">
        <f>IF(原始資料!AE106="","",IF(反向題設定!$C$34="是",反向題設定!$B$2+1-原始資料!AE106,原始資料!AE106))</f>
        <v/>
      </c>
      <c r="AF106">
        <f>IF(原始資料!AF106="","",IF(反向題設定!$C$35="是",反向題設定!$B$2+1-原始資料!AF106,原始資料!AF106))</f>
        <v/>
      </c>
      <c r="AG106">
        <f>IF(原始資料!AG106="","",IF(反向題設定!$C$36="是",反向題設定!$B$2+1-原始資料!AG106,原始資料!AG106))</f>
        <v/>
      </c>
      <c r="AH106">
        <f>IF(原始資料!AH106="","",IF(反向題設定!$C$37="是",反向題設定!$B$2+1-原始資料!AH106,原始資料!AH106))</f>
        <v/>
      </c>
      <c r="AI106">
        <f>IF(原始資料!AI106="","",IF(反向題設定!$C$38="是",反向題設定!$B$2+1-原始資料!AI106,原始資料!AI106))</f>
        <v/>
      </c>
      <c r="AJ106">
        <f>IF(原始資料!AJ106="","",IF(反向題設定!$C$39="是",反向題設定!$B$2+1-原始資料!AJ106,原始資料!AJ106))</f>
        <v/>
      </c>
      <c r="AK106">
        <f>IF(原始資料!AK106="","",IF(反向題設定!$C$40="是",反向題設定!$B$2+1-原始資料!AK106,原始資料!AK106))</f>
        <v/>
      </c>
      <c r="AL106">
        <f>IF(原始資料!AL106="","",IF(反向題設定!$C$41="是",反向題設定!$B$2+1-原始資料!AL106,原始資料!AL106))</f>
        <v/>
      </c>
      <c r="AM106">
        <f>IF(原始資料!AM106="","",IF(反向題設定!$C$42="是",反向題設定!$B$2+1-原始資料!AM106,原始資料!AM106))</f>
        <v/>
      </c>
      <c r="AN106">
        <f>IF(原始資料!AN106="","",IF(反向題設定!$C$43="是",反向題設定!$B$2+1-原始資料!AN106,原始資料!AN106))</f>
        <v/>
      </c>
      <c r="AO106">
        <f>IF(原始資料!AO106="","",IF(反向題設定!$C$44="是",反向題設定!$B$2+1-原始資料!AO106,原始資料!AO106))</f>
        <v/>
      </c>
      <c r="AP106">
        <f>IF(COUNT(B106:AO106)=0,"",SUM(B106:AO106))</f>
        <v/>
      </c>
      <c r="AQ106">
        <f>IF(AP106="","",IF(AP106&gt;=項目分析!$C$5,"高",IF(AP106&lt;=項目分析!$C$6,"低","")))</f>
        <v/>
      </c>
    </row>
    <row r="107">
      <c r="A107">
        <f>IF(原始資料!A107="","",原始資料!A107)</f>
        <v/>
      </c>
      <c r="B107">
        <f>IF(原始資料!B107="","",IF(反向題設定!$C$5="是",反向題設定!$B$2+1-原始資料!B107,原始資料!B107))</f>
        <v/>
      </c>
      <c r="C107">
        <f>IF(原始資料!C107="","",IF(反向題設定!$C$6="是",反向題設定!$B$2+1-原始資料!C107,原始資料!C107))</f>
        <v/>
      </c>
      <c r="D107">
        <f>IF(原始資料!D107="","",IF(反向題設定!$C$7="是",反向題設定!$B$2+1-原始資料!D107,原始資料!D107))</f>
        <v/>
      </c>
      <c r="E107">
        <f>IF(原始資料!E107="","",IF(反向題設定!$C$8="是",反向題設定!$B$2+1-原始資料!E107,原始資料!E107))</f>
        <v/>
      </c>
      <c r="F107">
        <f>IF(原始資料!F107="","",IF(反向題設定!$C$9="是",反向題設定!$B$2+1-原始資料!F107,原始資料!F107))</f>
        <v/>
      </c>
      <c r="G107">
        <f>IF(原始資料!G107="","",IF(反向題設定!$C$10="是",反向題設定!$B$2+1-原始資料!G107,原始資料!G107))</f>
        <v/>
      </c>
      <c r="H107">
        <f>IF(原始資料!H107="","",IF(反向題設定!$C$11="是",反向題設定!$B$2+1-原始資料!H107,原始資料!H107))</f>
        <v/>
      </c>
      <c r="I107">
        <f>IF(原始資料!I107="","",IF(反向題設定!$C$12="是",反向題設定!$B$2+1-原始資料!I107,原始資料!I107))</f>
        <v/>
      </c>
      <c r="J107">
        <f>IF(原始資料!J107="","",IF(反向題設定!$C$13="是",反向題設定!$B$2+1-原始資料!J107,原始資料!J107))</f>
        <v/>
      </c>
      <c r="K107">
        <f>IF(原始資料!K107="","",IF(反向題設定!$C$14="是",反向題設定!$B$2+1-原始資料!K107,原始資料!K107))</f>
        <v/>
      </c>
      <c r="L107">
        <f>IF(原始資料!L107="","",IF(反向題設定!$C$15="是",反向題設定!$B$2+1-原始資料!L107,原始資料!L107))</f>
        <v/>
      </c>
      <c r="M107">
        <f>IF(原始資料!M107="","",IF(反向題設定!$C$16="是",反向題設定!$B$2+1-原始資料!M107,原始資料!M107))</f>
        <v/>
      </c>
      <c r="N107">
        <f>IF(原始資料!N107="","",IF(反向題設定!$C$17="是",反向題設定!$B$2+1-原始資料!N107,原始資料!N107))</f>
        <v/>
      </c>
      <c r="O107">
        <f>IF(原始資料!O107="","",IF(反向題設定!$C$18="是",反向題設定!$B$2+1-原始資料!O107,原始資料!O107))</f>
        <v/>
      </c>
      <c r="P107">
        <f>IF(原始資料!P107="","",IF(反向題設定!$C$19="是",反向題設定!$B$2+1-原始資料!P107,原始資料!P107))</f>
        <v/>
      </c>
      <c r="Q107">
        <f>IF(原始資料!Q107="","",IF(反向題設定!$C$20="是",反向題設定!$B$2+1-原始資料!Q107,原始資料!Q107))</f>
        <v/>
      </c>
      <c r="R107">
        <f>IF(原始資料!R107="","",IF(反向題設定!$C$21="是",反向題設定!$B$2+1-原始資料!R107,原始資料!R107))</f>
        <v/>
      </c>
      <c r="S107">
        <f>IF(原始資料!S107="","",IF(反向題設定!$C$22="是",反向題設定!$B$2+1-原始資料!S107,原始資料!S107))</f>
        <v/>
      </c>
      <c r="T107">
        <f>IF(原始資料!T107="","",IF(反向題設定!$C$23="是",反向題設定!$B$2+1-原始資料!T107,原始資料!T107))</f>
        <v/>
      </c>
      <c r="U107">
        <f>IF(原始資料!U107="","",IF(反向題設定!$C$24="是",反向題設定!$B$2+1-原始資料!U107,原始資料!U107))</f>
        <v/>
      </c>
      <c r="V107">
        <f>IF(原始資料!V107="","",IF(反向題設定!$C$25="是",反向題設定!$B$2+1-原始資料!V107,原始資料!V107))</f>
        <v/>
      </c>
      <c r="W107">
        <f>IF(原始資料!W107="","",IF(反向題設定!$C$26="是",反向題設定!$B$2+1-原始資料!W107,原始資料!W107))</f>
        <v/>
      </c>
      <c r="X107">
        <f>IF(原始資料!X107="","",IF(反向題設定!$C$27="是",反向題設定!$B$2+1-原始資料!X107,原始資料!X107))</f>
        <v/>
      </c>
      <c r="Y107">
        <f>IF(原始資料!Y107="","",IF(反向題設定!$C$28="是",反向題設定!$B$2+1-原始資料!Y107,原始資料!Y107))</f>
        <v/>
      </c>
      <c r="Z107">
        <f>IF(原始資料!Z107="","",IF(反向題設定!$C$29="是",反向題設定!$B$2+1-原始資料!Z107,原始資料!Z107))</f>
        <v/>
      </c>
      <c r="AA107">
        <f>IF(原始資料!AA107="","",IF(反向題設定!$C$30="是",反向題設定!$B$2+1-原始資料!AA107,原始資料!AA107))</f>
        <v/>
      </c>
      <c r="AB107">
        <f>IF(原始資料!AB107="","",IF(反向題設定!$C$31="是",反向題設定!$B$2+1-原始資料!AB107,原始資料!AB107))</f>
        <v/>
      </c>
      <c r="AC107">
        <f>IF(原始資料!AC107="","",IF(反向題設定!$C$32="是",反向題設定!$B$2+1-原始資料!AC107,原始資料!AC107))</f>
        <v/>
      </c>
      <c r="AD107">
        <f>IF(原始資料!AD107="","",IF(反向題設定!$C$33="是",反向題設定!$B$2+1-原始資料!AD107,原始資料!AD107))</f>
        <v/>
      </c>
      <c r="AE107">
        <f>IF(原始資料!AE107="","",IF(反向題設定!$C$34="是",反向題設定!$B$2+1-原始資料!AE107,原始資料!AE107))</f>
        <v/>
      </c>
      <c r="AF107">
        <f>IF(原始資料!AF107="","",IF(反向題設定!$C$35="是",反向題設定!$B$2+1-原始資料!AF107,原始資料!AF107))</f>
        <v/>
      </c>
      <c r="AG107">
        <f>IF(原始資料!AG107="","",IF(反向題設定!$C$36="是",反向題設定!$B$2+1-原始資料!AG107,原始資料!AG107))</f>
        <v/>
      </c>
      <c r="AH107">
        <f>IF(原始資料!AH107="","",IF(反向題設定!$C$37="是",反向題設定!$B$2+1-原始資料!AH107,原始資料!AH107))</f>
        <v/>
      </c>
      <c r="AI107">
        <f>IF(原始資料!AI107="","",IF(反向題設定!$C$38="是",反向題設定!$B$2+1-原始資料!AI107,原始資料!AI107))</f>
        <v/>
      </c>
      <c r="AJ107">
        <f>IF(原始資料!AJ107="","",IF(反向題設定!$C$39="是",反向題設定!$B$2+1-原始資料!AJ107,原始資料!AJ107))</f>
        <v/>
      </c>
      <c r="AK107">
        <f>IF(原始資料!AK107="","",IF(反向題設定!$C$40="是",反向題設定!$B$2+1-原始資料!AK107,原始資料!AK107))</f>
        <v/>
      </c>
      <c r="AL107">
        <f>IF(原始資料!AL107="","",IF(反向題設定!$C$41="是",反向題設定!$B$2+1-原始資料!AL107,原始資料!AL107))</f>
        <v/>
      </c>
      <c r="AM107">
        <f>IF(原始資料!AM107="","",IF(反向題設定!$C$42="是",反向題設定!$B$2+1-原始資料!AM107,原始資料!AM107))</f>
        <v/>
      </c>
      <c r="AN107">
        <f>IF(原始資料!AN107="","",IF(反向題設定!$C$43="是",反向題設定!$B$2+1-原始資料!AN107,原始資料!AN107))</f>
        <v/>
      </c>
      <c r="AO107">
        <f>IF(原始資料!AO107="","",IF(反向題設定!$C$44="是",反向題設定!$B$2+1-原始資料!AO107,原始資料!AO107))</f>
        <v/>
      </c>
      <c r="AP107">
        <f>IF(COUNT(B107:AO107)=0,"",SUM(B107:AO107))</f>
        <v/>
      </c>
      <c r="AQ107">
        <f>IF(AP107="","",IF(AP107&gt;=項目分析!$C$5,"高",IF(AP107&lt;=項目分析!$C$6,"低","")))</f>
        <v/>
      </c>
    </row>
    <row r="108">
      <c r="A108">
        <f>IF(原始資料!A108="","",原始資料!A108)</f>
        <v/>
      </c>
      <c r="B108">
        <f>IF(原始資料!B108="","",IF(反向題設定!$C$5="是",反向題設定!$B$2+1-原始資料!B108,原始資料!B108))</f>
        <v/>
      </c>
      <c r="C108">
        <f>IF(原始資料!C108="","",IF(反向題設定!$C$6="是",反向題設定!$B$2+1-原始資料!C108,原始資料!C108))</f>
        <v/>
      </c>
      <c r="D108">
        <f>IF(原始資料!D108="","",IF(反向題設定!$C$7="是",反向題設定!$B$2+1-原始資料!D108,原始資料!D108))</f>
        <v/>
      </c>
      <c r="E108">
        <f>IF(原始資料!E108="","",IF(反向題設定!$C$8="是",反向題設定!$B$2+1-原始資料!E108,原始資料!E108))</f>
        <v/>
      </c>
      <c r="F108">
        <f>IF(原始資料!F108="","",IF(反向題設定!$C$9="是",反向題設定!$B$2+1-原始資料!F108,原始資料!F108))</f>
        <v/>
      </c>
      <c r="G108">
        <f>IF(原始資料!G108="","",IF(反向題設定!$C$10="是",反向題設定!$B$2+1-原始資料!G108,原始資料!G108))</f>
        <v/>
      </c>
      <c r="H108">
        <f>IF(原始資料!H108="","",IF(反向題設定!$C$11="是",反向題設定!$B$2+1-原始資料!H108,原始資料!H108))</f>
        <v/>
      </c>
      <c r="I108">
        <f>IF(原始資料!I108="","",IF(反向題設定!$C$12="是",反向題設定!$B$2+1-原始資料!I108,原始資料!I108))</f>
        <v/>
      </c>
      <c r="J108">
        <f>IF(原始資料!J108="","",IF(反向題設定!$C$13="是",反向題設定!$B$2+1-原始資料!J108,原始資料!J108))</f>
        <v/>
      </c>
      <c r="K108">
        <f>IF(原始資料!K108="","",IF(反向題設定!$C$14="是",反向題設定!$B$2+1-原始資料!K108,原始資料!K108))</f>
        <v/>
      </c>
      <c r="L108">
        <f>IF(原始資料!L108="","",IF(反向題設定!$C$15="是",反向題設定!$B$2+1-原始資料!L108,原始資料!L108))</f>
        <v/>
      </c>
      <c r="M108">
        <f>IF(原始資料!M108="","",IF(反向題設定!$C$16="是",反向題設定!$B$2+1-原始資料!M108,原始資料!M108))</f>
        <v/>
      </c>
      <c r="N108">
        <f>IF(原始資料!N108="","",IF(反向題設定!$C$17="是",反向題設定!$B$2+1-原始資料!N108,原始資料!N108))</f>
        <v/>
      </c>
      <c r="O108">
        <f>IF(原始資料!O108="","",IF(反向題設定!$C$18="是",反向題設定!$B$2+1-原始資料!O108,原始資料!O108))</f>
        <v/>
      </c>
      <c r="P108">
        <f>IF(原始資料!P108="","",IF(反向題設定!$C$19="是",反向題設定!$B$2+1-原始資料!P108,原始資料!P108))</f>
        <v/>
      </c>
      <c r="Q108">
        <f>IF(原始資料!Q108="","",IF(反向題設定!$C$20="是",反向題設定!$B$2+1-原始資料!Q108,原始資料!Q108))</f>
        <v/>
      </c>
      <c r="R108">
        <f>IF(原始資料!R108="","",IF(反向題設定!$C$21="是",反向題設定!$B$2+1-原始資料!R108,原始資料!R108))</f>
        <v/>
      </c>
      <c r="S108">
        <f>IF(原始資料!S108="","",IF(反向題設定!$C$22="是",反向題設定!$B$2+1-原始資料!S108,原始資料!S108))</f>
        <v/>
      </c>
      <c r="T108">
        <f>IF(原始資料!T108="","",IF(反向題設定!$C$23="是",反向題設定!$B$2+1-原始資料!T108,原始資料!T108))</f>
        <v/>
      </c>
      <c r="U108">
        <f>IF(原始資料!U108="","",IF(反向題設定!$C$24="是",反向題設定!$B$2+1-原始資料!U108,原始資料!U108))</f>
        <v/>
      </c>
      <c r="V108">
        <f>IF(原始資料!V108="","",IF(反向題設定!$C$25="是",反向題設定!$B$2+1-原始資料!V108,原始資料!V108))</f>
        <v/>
      </c>
      <c r="W108">
        <f>IF(原始資料!W108="","",IF(反向題設定!$C$26="是",反向題設定!$B$2+1-原始資料!W108,原始資料!W108))</f>
        <v/>
      </c>
      <c r="X108">
        <f>IF(原始資料!X108="","",IF(反向題設定!$C$27="是",反向題設定!$B$2+1-原始資料!X108,原始資料!X108))</f>
        <v/>
      </c>
      <c r="Y108">
        <f>IF(原始資料!Y108="","",IF(反向題設定!$C$28="是",反向題設定!$B$2+1-原始資料!Y108,原始資料!Y108))</f>
        <v/>
      </c>
      <c r="Z108">
        <f>IF(原始資料!Z108="","",IF(反向題設定!$C$29="是",反向題設定!$B$2+1-原始資料!Z108,原始資料!Z108))</f>
        <v/>
      </c>
      <c r="AA108">
        <f>IF(原始資料!AA108="","",IF(反向題設定!$C$30="是",反向題設定!$B$2+1-原始資料!AA108,原始資料!AA108))</f>
        <v/>
      </c>
      <c r="AB108">
        <f>IF(原始資料!AB108="","",IF(反向題設定!$C$31="是",反向題設定!$B$2+1-原始資料!AB108,原始資料!AB108))</f>
        <v/>
      </c>
      <c r="AC108">
        <f>IF(原始資料!AC108="","",IF(反向題設定!$C$32="是",反向題設定!$B$2+1-原始資料!AC108,原始資料!AC108))</f>
        <v/>
      </c>
      <c r="AD108">
        <f>IF(原始資料!AD108="","",IF(反向題設定!$C$33="是",反向題設定!$B$2+1-原始資料!AD108,原始資料!AD108))</f>
        <v/>
      </c>
      <c r="AE108">
        <f>IF(原始資料!AE108="","",IF(反向題設定!$C$34="是",反向題設定!$B$2+1-原始資料!AE108,原始資料!AE108))</f>
        <v/>
      </c>
      <c r="AF108">
        <f>IF(原始資料!AF108="","",IF(反向題設定!$C$35="是",反向題設定!$B$2+1-原始資料!AF108,原始資料!AF108))</f>
        <v/>
      </c>
      <c r="AG108">
        <f>IF(原始資料!AG108="","",IF(反向題設定!$C$36="是",反向題設定!$B$2+1-原始資料!AG108,原始資料!AG108))</f>
        <v/>
      </c>
      <c r="AH108">
        <f>IF(原始資料!AH108="","",IF(反向題設定!$C$37="是",反向題設定!$B$2+1-原始資料!AH108,原始資料!AH108))</f>
        <v/>
      </c>
      <c r="AI108">
        <f>IF(原始資料!AI108="","",IF(反向題設定!$C$38="是",反向題設定!$B$2+1-原始資料!AI108,原始資料!AI108))</f>
        <v/>
      </c>
      <c r="AJ108">
        <f>IF(原始資料!AJ108="","",IF(反向題設定!$C$39="是",反向題設定!$B$2+1-原始資料!AJ108,原始資料!AJ108))</f>
        <v/>
      </c>
      <c r="AK108">
        <f>IF(原始資料!AK108="","",IF(反向題設定!$C$40="是",反向題設定!$B$2+1-原始資料!AK108,原始資料!AK108))</f>
        <v/>
      </c>
      <c r="AL108">
        <f>IF(原始資料!AL108="","",IF(反向題設定!$C$41="是",反向題設定!$B$2+1-原始資料!AL108,原始資料!AL108))</f>
        <v/>
      </c>
      <c r="AM108">
        <f>IF(原始資料!AM108="","",IF(反向題設定!$C$42="是",反向題設定!$B$2+1-原始資料!AM108,原始資料!AM108))</f>
        <v/>
      </c>
      <c r="AN108">
        <f>IF(原始資料!AN108="","",IF(反向題設定!$C$43="是",反向題設定!$B$2+1-原始資料!AN108,原始資料!AN108))</f>
        <v/>
      </c>
      <c r="AO108">
        <f>IF(原始資料!AO108="","",IF(反向題設定!$C$44="是",反向題設定!$B$2+1-原始資料!AO108,原始資料!AO108))</f>
        <v/>
      </c>
      <c r="AP108">
        <f>IF(COUNT(B108:AO108)=0,"",SUM(B108:AO108))</f>
        <v/>
      </c>
      <c r="AQ108">
        <f>IF(AP108="","",IF(AP108&gt;=項目分析!$C$5,"高",IF(AP108&lt;=項目分析!$C$6,"低","")))</f>
        <v/>
      </c>
    </row>
    <row r="109">
      <c r="A109">
        <f>IF(原始資料!A109="","",原始資料!A109)</f>
        <v/>
      </c>
      <c r="B109">
        <f>IF(原始資料!B109="","",IF(反向題設定!$C$5="是",反向題設定!$B$2+1-原始資料!B109,原始資料!B109))</f>
        <v/>
      </c>
      <c r="C109">
        <f>IF(原始資料!C109="","",IF(反向題設定!$C$6="是",反向題設定!$B$2+1-原始資料!C109,原始資料!C109))</f>
        <v/>
      </c>
      <c r="D109">
        <f>IF(原始資料!D109="","",IF(反向題設定!$C$7="是",反向題設定!$B$2+1-原始資料!D109,原始資料!D109))</f>
        <v/>
      </c>
      <c r="E109">
        <f>IF(原始資料!E109="","",IF(反向題設定!$C$8="是",反向題設定!$B$2+1-原始資料!E109,原始資料!E109))</f>
        <v/>
      </c>
      <c r="F109">
        <f>IF(原始資料!F109="","",IF(反向題設定!$C$9="是",反向題設定!$B$2+1-原始資料!F109,原始資料!F109))</f>
        <v/>
      </c>
      <c r="G109">
        <f>IF(原始資料!G109="","",IF(反向題設定!$C$10="是",反向題設定!$B$2+1-原始資料!G109,原始資料!G109))</f>
        <v/>
      </c>
      <c r="H109">
        <f>IF(原始資料!H109="","",IF(反向題設定!$C$11="是",反向題設定!$B$2+1-原始資料!H109,原始資料!H109))</f>
        <v/>
      </c>
      <c r="I109">
        <f>IF(原始資料!I109="","",IF(反向題設定!$C$12="是",反向題設定!$B$2+1-原始資料!I109,原始資料!I109))</f>
        <v/>
      </c>
      <c r="J109">
        <f>IF(原始資料!J109="","",IF(反向題設定!$C$13="是",反向題設定!$B$2+1-原始資料!J109,原始資料!J109))</f>
        <v/>
      </c>
      <c r="K109">
        <f>IF(原始資料!K109="","",IF(反向題設定!$C$14="是",反向題設定!$B$2+1-原始資料!K109,原始資料!K109))</f>
        <v/>
      </c>
      <c r="L109">
        <f>IF(原始資料!L109="","",IF(反向題設定!$C$15="是",反向題設定!$B$2+1-原始資料!L109,原始資料!L109))</f>
        <v/>
      </c>
      <c r="M109">
        <f>IF(原始資料!M109="","",IF(反向題設定!$C$16="是",反向題設定!$B$2+1-原始資料!M109,原始資料!M109))</f>
        <v/>
      </c>
      <c r="N109">
        <f>IF(原始資料!N109="","",IF(反向題設定!$C$17="是",反向題設定!$B$2+1-原始資料!N109,原始資料!N109))</f>
        <v/>
      </c>
      <c r="O109">
        <f>IF(原始資料!O109="","",IF(反向題設定!$C$18="是",反向題設定!$B$2+1-原始資料!O109,原始資料!O109))</f>
        <v/>
      </c>
      <c r="P109">
        <f>IF(原始資料!P109="","",IF(反向題設定!$C$19="是",反向題設定!$B$2+1-原始資料!P109,原始資料!P109))</f>
        <v/>
      </c>
      <c r="Q109">
        <f>IF(原始資料!Q109="","",IF(反向題設定!$C$20="是",反向題設定!$B$2+1-原始資料!Q109,原始資料!Q109))</f>
        <v/>
      </c>
      <c r="R109">
        <f>IF(原始資料!R109="","",IF(反向題設定!$C$21="是",反向題設定!$B$2+1-原始資料!R109,原始資料!R109))</f>
        <v/>
      </c>
      <c r="S109">
        <f>IF(原始資料!S109="","",IF(反向題設定!$C$22="是",反向題設定!$B$2+1-原始資料!S109,原始資料!S109))</f>
        <v/>
      </c>
      <c r="T109">
        <f>IF(原始資料!T109="","",IF(反向題設定!$C$23="是",反向題設定!$B$2+1-原始資料!T109,原始資料!T109))</f>
        <v/>
      </c>
      <c r="U109">
        <f>IF(原始資料!U109="","",IF(反向題設定!$C$24="是",反向題設定!$B$2+1-原始資料!U109,原始資料!U109))</f>
        <v/>
      </c>
      <c r="V109">
        <f>IF(原始資料!V109="","",IF(反向題設定!$C$25="是",反向題設定!$B$2+1-原始資料!V109,原始資料!V109))</f>
        <v/>
      </c>
      <c r="W109">
        <f>IF(原始資料!W109="","",IF(反向題設定!$C$26="是",反向題設定!$B$2+1-原始資料!W109,原始資料!W109))</f>
        <v/>
      </c>
      <c r="X109">
        <f>IF(原始資料!X109="","",IF(反向題設定!$C$27="是",反向題設定!$B$2+1-原始資料!X109,原始資料!X109))</f>
        <v/>
      </c>
      <c r="Y109">
        <f>IF(原始資料!Y109="","",IF(反向題設定!$C$28="是",反向題設定!$B$2+1-原始資料!Y109,原始資料!Y109))</f>
        <v/>
      </c>
      <c r="Z109">
        <f>IF(原始資料!Z109="","",IF(反向題設定!$C$29="是",反向題設定!$B$2+1-原始資料!Z109,原始資料!Z109))</f>
        <v/>
      </c>
      <c r="AA109">
        <f>IF(原始資料!AA109="","",IF(反向題設定!$C$30="是",反向題設定!$B$2+1-原始資料!AA109,原始資料!AA109))</f>
        <v/>
      </c>
      <c r="AB109">
        <f>IF(原始資料!AB109="","",IF(反向題設定!$C$31="是",反向題設定!$B$2+1-原始資料!AB109,原始資料!AB109))</f>
        <v/>
      </c>
      <c r="AC109">
        <f>IF(原始資料!AC109="","",IF(反向題設定!$C$32="是",反向題設定!$B$2+1-原始資料!AC109,原始資料!AC109))</f>
        <v/>
      </c>
      <c r="AD109">
        <f>IF(原始資料!AD109="","",IF(反向題設定!$C$33="是",反向題設定!$B$2+1-原始資料!AD109,原始資料!AD109))</f>
        <v/>
      </c>
      <c r="AE109">
        <f>IF(原始資料!AE109="","",IF(反向題設定!$C$34="是",反向題設定!$B$2+1-原始資料!AE109,原始資料!AE109))</f>
        <v/>
      </c>
      <c r="AF109">
        <f>IF(原始資料!AF109="","",IF(反向題設定!$C$35="是",反向題設定!$B$2+1-原始資料!AF109,原始資料!AF109))</f>
        <v/>
      </c>
      <c r="AG109">
        <f>IF(原始資料!AG109="","",IF(反向題設定!$C$36="是",反向題設定!$B$2+1-原始資料!AG109,原始資料!AG109))</f>
        <v/>
      </c>
      <c r="AH109">
        <f>IF(原始資料!AH109="","",IF(反向題設定!$C$37="是",反向題設定!$B$2+1-原始資料!AH109,原始資料!AH109))</f>
        <v/>
      </c>
      <c r="AI109">
        <f>IF(原始資料!AI109="","",IF(反向題設定!$C$38="是",反向題設定!$B$2+1-原始資料!AI109,原始資料!AI109))</f>
        <v/>
      </c>
      <c r="AJ109">
        <f>IF(原始資料!AJ109="","",IF(反向題設定!$C$39="是",反向題設定!$B$2+1-原始資料!AJ109,原始資料!AJ109))</f>
        <v/>
      </c>
      <c r="AK109">
        <f>IF(原始資料!AK109="","",IF(反向題設定!$C$40="是",反向題設定!$B$2+1-原始資料!AK109,原始資料!AK109))</f>
        <v/>
      </c>
      <c r="AL109">
        <f>IF(原始資料!AL109="","",IF(反向題設定!$C$41="是",反向題設定!$B$2+1-原始資料!AL109,原始資料!AL109))</f>
        <v/>
      </c>
      <c r="AM109">
        <f>IF(原始資料!AM109="","",IF(反向題設定!$C$42="是",反向題設定!$B$2+1-原始資料!AM109,原始資料!AM109))</f>
        <v/>
      </c>
      <c r="AN109">
        <f>IF(原始資料!AN109="","",IF(反向題設定!$C$43="是",反向題設定!$B$2+1-原始資料!AN109,原始資料!AN109))</f>
        <v/>
      </c>
      <c r="AO109">
        <f>IF(原始資料!AO109="","",IF(反向題設定!$C$44="是",反向題設定!$B$2+1-原始資料!AO109,原始資料!AO109))</f>
        <v/>
      </c>
      <c r="AP109">
        <f>IF(COUNT(B109:AO109)=0,"",SUM(B109:AO109))</f>
        <v/>
      </c>
      <c r="AQ109">
        <f>IF(AP109="","",IF(AP109&gt;=項目分析!$C$5,"高",IF(AP109&lt;=項目分析!$C$6,"低","")))</f>
        <v/>
      </c>
    </row>
    <row r="110">
      <c r="A110">
        <f>IF(原始資料!A110="","",原始資料!A110)</f>
        <v/>
      </c>
      <c r="B110">
        <f>IF(原始資料!B110="","",IF(反向題設定!$C$5="是",反向題設定!$B$2+1-原始資料!B110,原始資料!B110))</f>
        <v/>
      </c>
      <c r="C110">
        <f>IF(原始資料!C110="","",IF(反向題設定!$C$6="是",反向題設定!$B$2+1-原始資料!C110,原始資料!C110))</f>
        <v/>
      </c>
      <c r="D110">
        <f>IF(原始資料!D110="","",IF(反向題設定!$C$7="是",反向題設定!$B$2+1-原始資料!D110,原始資料!D110))</f>
        <v/>
      </c>
      <c r="E110">
        <f>IF(原始資料!E110="","",IF(反向題設定!$C$8="是",反向題設定!$B$2+1-原始資料!E110,原始資料!E110))</f>
        <v/>
      </c>
      <c r="F110">
        <f>IF(原始資料!F110="","",IF(反向題設定!$C$9="是",反向題設定!$B$2+1-原始資料!F110,原始資料!F110))</f>
        <v/>
      </c>
      <c r="G110">
        <f>IF(原始資料!G110="","",IF(反向題設定!$C$10="是",反向題設定!$B$2+1-原始資料!G110,原始資料!G110))</f>
        <v/>
      </c>
      <c r="H110">
        <f>IF(原始資料!H110="","",IF(反向題設定!$C$11="是",反向題設定!$B$2+1-原始資料!H110,原始資料!H110))</f>
        <v/>
      </c>
      <c r="I110">
        <f>IF(原始資料!I110="","",IF(反向題設定!$C$12="是",反向題設定!$B$2+1-原始資料!I110,原始資料!I110))</f>
        <v/>
      </c>
      <c r="J110">
        <f>IF(原始資料!J110="","",IF(反向題設定!$C$13="是",反向題設定!$B$2+1-原始資料!J110,原始資料!J110))</f>
        <v/>
      </c>
      <c r="K110">
        <f>IF(原始資料!K110="","",IF(反向題設定!$C$14="是",反向題設定!$B$2+1-原始資料!K110,原始資料!K110))</f>
        <v/>
      </c>
      <c r="L110">
        <f>IF(原始資料!L110="","",IF(反向題設定!$C$15="是",反向題設定!$B$2+1-原始資料!L110,原始資料!L110))</f>
        <v/>
      </c>
      <c r="M110">
        <f>IF(原始資料!M110="","",IF(反向題設定!$C$16="是",反向題設定!$B$2+1-原始資料!M110,原始資料!M110))</f>
        <v/>
      </c>
      <c r="N110">
        <f>IF(原始資料!N110="","",IF(反向題設定!$C$17="是",反向題設定!$B$2+1-原始資料!N110,原始資料!N110))</f>
        <v/>
      </c>
      <c r="O110">
        <f>IF(原始資料!O110="","",IF(反向題設定!$C$18="是",反向題設定!$B$2+1-原始資料!O110,原始資料!O110))</f>
        <v/>
      </c>
      <c r="P110">
        <f>IF(原始資料!P110="","",IF(反向題設定!$C$19="是",反向題設定!$B$2+1-原始資料!P110,原始資料!P110))</f>
        <v/>
      </c>
      <c r="Q110">
        <f>IF(原始資料!Q110="","",IF(反向題設定!$C$20="是",反向題設定!$B$2+1-原始資料!Q110,原始資料!Q110))</f>
        <v/>
      </c>
      <c r="R110">
        <f>IF(原始資料!R110="","",IF(反向題設定!$C$21="是",反向題設定!$B$2+1-原始資料!R110,原始資料!R110))</f>
        <v/>
      </c>
      <c r="S110">
        <f>IF(原始資料!S110="","",IF(反向題設定!$C$22="是",反向題設定!$B$2+1-原始資料!S110,原始資料!S110))</f>
        <v/>
      </c>
      <c r="T110">
        <f>IF(原始資料!T110="","",IF(反向題設定!$C$23="是",反向題設定!$B$2+1-原始資料!T110,原始資料!T110))</f>
        <v/>
      </c>
      <c r="U110">
        <f>IF(原始資料!U110="","",IF(反向題設定!$C$24="是",反向題設定!$B$2+1-原始資料!U110,原始資料!U110))</f>
        <v/>
      </c>
      <c r="V110">
        <f>IF(原始資料!V110="","",IF(反向題設定!$C$25="是",反向題設定!$B$2+1-原始資料!V110,原始資料!V110))</f>
        <v/>
      </c>
      <c r="W110">
        <f>IF(原始資料!W110="","",IF(反向題設定!$C$26="是",反向題設定!$B$2+1-原始資料!W110,原始資料!W110))</f>
        <v/>
      </c>
      <c r="X110">
        <f>IF(原始資料!X110="","",IF(反向題設定!$C$27="是",反向題設定!$B$2+1-原始資料!X110,原始資料!X110))</f>
        <v/>
      </c>
      <c r="Y110">
        <f>IF(原始資料!Y110="","",IF(反向題設定!$C$28="是",反向題設定!$B$2+1-原始資料!Y110,原始資料!Y110))</f>
        <v/>
      </c>
      <c r="Z110">
        <f>IF(原始資料!Z110="","",IF(反向題設定!$C$29="是",反向題設定!$B$2+1-原始資料!Z110,原始資料!Z110))</f>
        <v/>
      </c>
      <c r="AA110">
        <f>IF(原始資料!AA110="","",IF(反向題設定!$C$30="是",反向題設定!$B$2+1-原始資料!AA110,原始資料!AA110))</f>
        <v/>
      </c>
      <c r="AB110">
        <f>IF(原始資料!AB110="","",IF(反向題設定!$C$31="是",反向題設定!$B$2+1-原始資料!AB110,原始資料!AB110))</f>
        <v/>
      </c>
      <c r="AC110">
        <f>IF(原始資料!AC110="","",IF(反向題設定!$C$32="是",反向題設定!$B$2+1-原始資料!AC110,原始資料!AC110))</f>
        <v/>
      </c>
      <c r="AD110">
        <f>IF(原始資料!AD110="","",IF(反向題設定!$C$33="是",反向題設定!$B$2+1-原始資料!AD110,原始資料!AD110))</f>
        <v/>
      </c>
      <c r="AE110">
        <f>IF(原始資料!AE110="","",IF(反向題設定!$C$34="是",反向題設定!$B$2+1-原始資料!AE110,原始資料!AE110))</f>
        <v/>
      </c>
      <c r="AF110">
        <f>IF(原始資料!AF110="","",IF(反向題設定!$C$35="是",反向題設定!$B$2+1-原始資料!AF110,原始資料!AF110))</f>
        <v/>
      </c>
      <c r="AG110">
        <f>IF(原始資料!AG110="","",IF(反向題設定!$C$36="是",反向題設定!$B$2+1-原始資料!AG110,原始資料!AG110))</f>
        <v/>
      </c>
      <c r="AH110">
        <f>IF(原始資料!AH110="","",IF(反向題設定!$C$37="是",反向題設定!$B$2+1-原始資料!AH110,原始資料!AH110))</f>
        <v/>
      </c>
      <c r="AI110">
        <f>IF(原始資料!AI110="","",IF(反向題設定!$C$38="是",反向題設定!$B$2+1-原始資料!AI110,原始資料!AI110))</f>
        <v/>
      </c>
      <c r="AJ110">
        <f>IF(原始資料!AJ110="","",IF(反向題設定!$C$39="是",反向題設定!$B$2+1-原始資料!AJ110,原始資料!AJ110))</f>
        <v/>
      </c>
      <c r="AK110">
        <f>IF(原始資料!AK110="","",IF(反向題設定!$C$40="是",反向題設定!$B$2+1-原始資料!AK110,原始資料!AK110))</f>
        <v/>
      </c>
      <c r="AL110">
        <f>IF(原始資料!AL110="","",IF(反向題設定!$C$41="是",反向題設定!$B$2+1-原始資料!AL110,原始資料!AL110))</f>
        <v/>
      </c>
      <c r="AM110">
        <f>IF(原始資料!AM110="","",IF(反向題設定!$C$42="是",反向題設定!$B$2+1-原始資料!AM110,原始資料!AM110))</f>
        <v/>
      </c>
      <c r="AN110">
        <f>IF(原始資料!AN110="","",IF(反向題設定!$C$43="是",反向題設定!$B$2+1-原始資料!AN110,原始資料!AN110))</f>
        <v/>
      </c>
      <c r="AO110">
        <f>IF(原始資料!AO110="","",IF(反向題設定!$C$44="是",反向題設定!$B$2+1-原始資料!AO110,原始資料!AO110))</f>
        <v/>
      </c>
      <c r="AP110">
        <f>IF(COUNT(B110:AO110)=0,"",SUM(B110:AO110))</f>
        <v/>
      </c>
      <c r="AQ110">
        <f>IF(AP110="","",IF(AP110&gt;=項目分析!$C$5,"高",IF(AP110&lt;=項目分析!$C$6,"低","")))</f>
        <v/>
      </c>
    </row>
    <row r="111">
      <c r="A111">
        <f>IF(原始資料!A111="","",原始資料!A111)</f>
        <v/>
      </c>
      <c r="B111">
        <f>IF(原始資料!B111="","",IF(反向題設定!$C$5="是",反向題設定!$B$2+1-原始資料!B111,原始資料!B111))</f>
        <v/>
      </c>
      <c r="C111">
        <f>IF(原始資料!C111="","",IF(反向題設定!$C$6="是",反向題設定!$B$2+1-原始資料!C111,原始資料!C111))</f>
        <v/>
      </c>
      <c r="D111">
        <f>IF(原始資料!D111="","",IF(反向題設定!$C$7="是",反向題設定!$B$2+1-原始資料!D111,原始資料!D111))</f>
        <v/>
      </c>
      <c r="E111">
        <f>IF(原始資料!E111="","",IF(反向題設定!$C$8="是",反向題設定!$B$2+1-原始資料!E111,原始資料!E111))</f>
        <v/>
      </c>
      <c r="F111">
        <f>IF(原始資料!F111="","",IF(反向題設定!$C$9="是",反向題設定!$B$2+1-原始資料!F111,原始資料!F111))</f>
        <v/>
      </c>
      <c r="G111">
        <f>IF(原始資料!G111="","",IF(反向題設定!$C$10="是",反向題設定!$B$2+1-原始資料!G111,原始資料!G111))</f>
        <v/>
      </c>
      <c r="H111">
        <f>IF(原始資料!H111="","",IF(反向題設定!$C$11="是",反向題設定!$B$2+1-原始資料!H111,原始資料!H111))</f>
        <v/>
      </c>
      <c r="I111">
        <f>IF(原始資料!I111="","",IF(反向題設定!$C$12="是",反向題設定!$B$2+1-原始資料!I111,原始資料!I111))</f>
        <v/>
      </c>
      <c r="J111">
        <f>IF(原始資料!J111="","",IF(反向題設定!$C$13="是",反向題設定!$B$2+1-原始資料!J111,原始資料!J111))</f>
        <v/>
      </c>
      <c r="K111">
        <f>IF(原始資料!K111="","",IF(反向題設定!$C$14="是",反向題設定!$B$2+1-原始資料!K111,原始資料!K111))</f>
        <v/>
      </c>
      <c r="L111">
        <f>IF(原始資料!L111="","",IF(反向題設定!$C$15="是",反向題設定!$B$2+1-原始資料!L111,原始資料!L111))</f>
        <v/>
      </c>
      <c r="M111">
        <f>IF(原始資料!M111="","",IF(反向題設定!$C$16="是",反向題設定!$B$2+1-原始資料!M111,原始資料!M111))</f>
        <v/>
      </c>
      <c r="N111">
        <f>IF(原始資料!N111="","",IF(反向題設定!$C$17="是",反向題設定!$B$2+1-原始資料!N111,原始資料!N111))</f>
        <v/>
      </c>
      <c r="O111">
        <f>IF(原始資料!O111="","",IF(反向題設定!$C$18="是",反向題設定!$B$2+1-原始資料!O111,原始資料!O111))</f>
        <v/>
      </c>
      <c r="P111">
        <f>IF(原始資料!P111="","",IF(反向題設定!$C$19="是",反向題設定!$B$2+1-原始資料!P111,原始資料!P111))</f>
        <v/>
      </c>
      <c r="Q111">
        <f>IF(原始資料!Q111="","",IF(反向題設定!$C$20="是",反向題設定!$B$2+1-原始資料!Q111,原始資料!Q111))</f>
        <v/>
      </c>
      <c r="R111">
        <f>IF(原始資料!R111="","",IF(反向題設定!$C$21="是",反向題設定!$B$2+1-原始資料!R111,原始資料!R111))</f>
        <v/>
      </c>
      <c r="S111">
        <f>IF(原始資料!S111="","",IF(反向題設定!$C$22="是",反向題設定!$B$2+1-原始資料!S111,原始資料!S111))</f>
        <v/>
      </c>
      <c r="T111">
        <f>IF(原始資料!T111="","",IF(反向題設定!$C$23="是",反向題設定!$B$2+1-原始資料!T111,原始資料!T111))</f>
        <v/>
      </c>
      <c r="U111">
        <f>IF(原始資料!U111="","",IF(反向題設定!$C$24="是",反向題設定!$B$2+1-原始資料!U111,原始資料!U111))</f>
        <v/>
      </c>
      <c r="V111">
        <f>IF(原始資料!V111="","",IF(反向題設定!$C$25="是",反向題設定!$B$2+1-原始資料!V111,原始資料!V111))</f>
        <v/>
      </c>
      <c r="W111">
        <f>IF(原始資料!W111="","",IF(反向題設定!$C$26="是",反向題設定!$B$2+1-原始資料!W111,原始資料!W111))</f>
        <v/>
      </c>
      <c r="X111">
        <f>IF(原始資料!X111="","",IF(反向題設定!$C$27="是",反向題設定!$B$2+1-原始資料!X111,原始資料!X111))</f>
        <v/>
      </c>
      <c r="Y111">
        <f>IF(原始資料!Y111="","",IF(反向題設定!$C$28="是",反向題設定!$B$2+1-原始資料!Y111,原始資料!Y111))</f>
        <v/>
      </c>
      <c r="Z111">
        <f>IF(原始資料!Z111="","",IF(反向題設定!$C$29="是",反向題設定!$B$2+1-原始資料!Z111,原始資料!Z111))</f>
        <v/>
      </c>
      <c r="AA111">
        <f>IF(原始資料!AA111="","",IF(反向題設定!$C$30="是",反向題設定!$B$2+1-原始資料!AA111,原始資料!AA111))</f>
        <v/>
      </c>
      <c r="AB111">
        <f>IF(原始資料!AB111="","",IF(反向題設定!$C$31="是",反向題設定!$B$2+1-原始資料!AB111,原始資料!AB111))</f>
        <v/>
      </c>
      <c r="AC111">
        <f>IF(原始資料!AC111="","",IF(反向題設定!$C$32="是",反向題設定!$B$2+1-原始資料!AC111,原始資料!AC111))</f>
        <v/>
      </c>
      <c r="AD111">
        <f>IF(原始資料!AD111="","",IF(反向題設定!$C$33="是",反向題設定!$B$2+1-原始資料!AD111,原始資料!AD111))</f>
        <v/>
      </c>
      <c r="AE111">
        <f>IF(原始資料!AE111="","",IF(反向題設定!$C$34="是",反向題設定!$B$2+1-原始資料!AE111,原始資料!AE111))</f>
        <v/>
      </c>
      <c r="AF111">
        <f>IF(原始資料!AF111="","",IF(反向題設定!$C$35="是",反向題設定!$B$2+1-原始資料!AF111,原始資料!AF111))</f>
        <v/>
      </c>
      <c r="AG111">
        <f>IF(原始資料!AG111="","",IF(反向題設定!$C$36="是",反向題設定!$B$2+1-原始資料!AG111,原始資料!AG111))</f>
        <v/>
      </c>
      <c r="AH111">
        <f>IF(原始資料!AH111="","",IF(反向題設定!$C$37="是",反向題設定!$B$2+1-原始資料!AH111,原始資料!AH111))</f>
        <v/>
      </c>
      <c r="AI111">
        <f>IF(原始資料!AI111="","",IF(反向題設定!$C$38="是",反向題設定!$B$2+1-原始資料!AI111,原始資料!AI111))</f>
        <v/>
      </c>
      <c r="AJ111">
        <f>IF(原始資料!AJ111="","",IF(反向題設定!$C$39="是",反向題設定!$B$2+1-原始資料!AJ111,原始資料!AJ111))</f>
        <v/>
      </c>
      <c r="AK111">
        <f>IF(原始資料!AK111="","",IF(反向題設定!$C$40="是",反向題設定!$B$2+1-原始資料!AK111,原始資料!AK111))</f>
        <v/>
      </c>
      <c r="AL111">
        <f>IF(原始資料!AL111="","",IF(反向題設定!$C$41="是",反向題設定!$B$2+1-原始資料!AL111,原始資料!AL111))</f>
        <v/>
      </c>
      <c r="AM111">
        <f>IF(原始資料!AM111="","",IF(反向題設定!$C$42="是",反向題設定!$B$2+1-原始資料!AM111,原始資料!AM111))</f>
        <v/>
      </c>
      <c r="AN111">
        <f>IF(原始資料!AN111="","",IF(反向題設定!$C$43="是",反向題設定!$B$2+1-原始資料!AN111,原始資料!AN111))</f>
        <v/>
      </c>
      <c r="AO111">
        <f>IF(原始資料!AO111="","",IF(反向題設定!$C$44="是",反向題設定!$B$2+1-原始資料!AO111,原始資料!AO111))</f>
        <v/>
      </c>
      <c r="AP111">
        <f>IF(COUNT(B111:AO111)=0,"",SUM(B111:AO111))</f>
        <v/>
      </c>
      <c r="AQ111">
        <f>IF(AP111="","",IF(AP111&gt;=項目分析!$C$5,"高",IF(AP111&lt;=項目分析!$C$6,"低","")))</f>
        <v/>
      </c>
    </row>
    <row r="112">
      <c r="A112">
        <f>IF(原始資料!A112="","",原始資料!A112)</f>
        <v/>
      </c>
      <c r="B112">
        <f>IF(原始資料!B112="","",IF(反向題設定!$C$5="是",反向題設定!$B$2+1-原始資料!B112,原始資料!B112))</f>
        <v/>
      </c>
      <c r="C112">
        <f>IF(原始資料!C112="","",IF(反向題設定!$C$6="是",反向題設定!$B$2+1-原始資料!C112,原始資料!C112))</f>
        <v/>
      </c>
      <c r="D112">
        <f>IF(原始資料!D112="","",IF(反向題設定!$C$7="是",反向題設定!$B$2+1-原始資料!D112,原始資料!D112))</f>
        <v/>
      </c>
      <c r="E112">
        <f>IF(原始資料!E112="","",IF(反向題設定!$C$8="是",反向題設定!$B$2+1-原始資料!E112,原始資料!E112))</f>
        <v/>
      </c>
      <c r="F112">
        <f>IF(原始資料!F112="","",IF(反向題設定!$C$9="是",反向題設定!$B$2+1-原始資料!F112,原始資料!F112))</f>
        <v/>
      </c>
      <c r="G112">
        <f>IF(原始資料!G112="","",IF(反向題設定!$C$10="是",反向題設定!$B$2+1-原始資料!G112,原始資料!G112))</f>
        <v/>
      </c>
      <c r="H112">
        <f>IF(原始資料!H112="","",IF(反向題設定!$C$11="是",反向題設定!$B$2+1-原始資料!H112,原始資料!H112))</f>
        <v/>
      </c>
      <c r="I112">
        <f>IF(原始資料!I112="","",IF(反向題設定!$C$12="是",反向題設定!$B$2+1-原始資料!I112,原始資料!I112))</f>
        <v/>
      </c>
      <c r="J112">
        <f>IF(原始資料!J112="","",IF(反向題設定!$C$13="是",反向題設定!$B$2+1-原始資料!J112,原始資料!J112))</f>
        <v/>
      </c>
      <c r="K112">
        <f>IF(原始資料!K112="","",IF(反向題設定!$C$14="是",反向題設定!$B$2+1-原始資料!K112,原始資料!K112))</f>
        <v/>
      </c>
      <c r="L112">
        <f>IF(原始資料!L112="","",IF(反向題設定!$C$15="是",反向題設定!$B$2+1-原始資料!L112,原始資料!L112))</f>
        <v/>
      </c>
      <c r="M112">
        <f>IF(原始資料!M112="","",IF(反向題設定!$C$16="是",反向題設定!$B$2+1-原始資料!M112,原始資料!M112))</f>
        <v/>
      </c>
      <c r="N112">
        <f>IF(原始資料!N112="","",IF(反向題設定!$C$17="是",反向題設定!$B$2+1-原始資料!N112,原始資料!N112))</f>
        <v/>
      </c>
      <c r="O112">
        <f>IF(原始資料!O112="","",IF(反向題設定!$C$18="是",反向題設定!$B$2+1-原始資料!O112,原始資料!O112))</f>
        <v/>
      </c>
      <c r="P112">
        <f>IF(原始資料!P112="","",IF(反向題設定!$C$19="是",反向題設定!$B$2+1-原始資料!P112,原始資料!P112))</f>
        <v/>
      </c>
      <c r="Q112">
        <f>IF(原始資料!Q112="","",IF(反向題設定!$C$20="是",反向題設定!$B$2+1-原始資料!Q112,原始資料!Q112))</f>
        <v/>
      </c>
      <c r="R112">
        <f>IF(原始資料!R112="","",IF(反向題設定!$C$21="是",反向題設定!$B$2+1-原始資料!R112,原始資料!R112))</f>
        <v/>
      </c>
      <c r="S112">
        <f>IF(原始資料!S112="","",IF(反向題設定!$C$22="是",反向題設定!$B$2+1-原始資料!S112,原始資料!S112))</f>
        <v/>
      </c>
      <c r="T112">
        <f>IF(原始資料!T112="","",IF(反向題設定!$C$23="是",反向題設定!$B$2+1-原始資料!T112,原始資料!T112))</f>
        <v/>
      </c>
      <c r="U112">
        <f>IF(原始資料!U112="","",IF(反向題設定!$C$24="是",反向題設定!$B$2+1-原始資料!U112,原始資料!U112))</f>
        <v/>
      </c>
      <c r="V112">
        <f>IF(原始資料!V112="","",IF(反向題設定!$C$25="是",反向題設定!$B$2+1-原始資料!V112,原始資料!V112))</f>
        <v/>
      </c>
      <c r="W112">
        <f>IF(原始資料!W112="","",IF(反向題設定!$C$26="是",反向題設定!$B$2+1-原始資料!W112,原始資料!W112))</f>
        <v/>
      </c>
      <c r="X112">
        <f>IF(原始資料!X112="","",IF(反向題設定!$C$27="是",反向題設定!$B$2+1-原始資料!X112,原始資料!X112))</f>
        <v/>
      </c>
      <c r="Y112">
        <f>IF(原始資料!Y112="","",IF(反向題設定!$C$28="是",反向題設定!$B$2+1-原始資料!Y112,原始資料!Y112))</f>
        <v/>
      </c>
      <c r="Z112">
        <f>IF(原始資料!Z112="","",IF(反向題設定!$C$29="是",反向題設定!$B$2+1-原始資料!Z112,原始資料!Z112))</f>
        <v/>
      </c>
      <c r="AA112">
        <f>IF(原始資料!AA112="","",IF(反向題設定!$C$30="是",反向題設定!$B$2+1-原始資料!AA112,原始資料!AA112))</f>
        <v/>
      </c>
      <c r="AB112">
        <f>IF(原始資料!AB112="","",IF(反向題設定!$C$31="是",反向題設定!$B$2+1-原始資料!AB112,原始資料!AB112))</f>
        <v/>
      </c>
      <c r="AC112">
        <f>IF(原始資料!AC112="","",IF(反向題設定!$C$32="是",反向題設定!$B$2+1-原始資料!AC112,原始資料!AC112))</f>
        <v/>
      </c>
      <c r="AD112">
        <f>IF(原始資料!AD112="","",IF(反向題設定!$C$33="是",反向題設定!$B$2+1-原始資料!AD112,原始資料!AD112))</f>
        <v/>
      </c>
      <c r="AE112">
        <f>IF(原始資料!AE112="","",IF(反向題設定!$C$34="是",反向題設定!$B$2+1-原始資料!AE112,原始資料!AE112))</f>
        <v/>
      </c>
      <c r="AF112">
        <f>IF(原始資料!AF112="","",IF(反向題設定!$C$35="是",反向題設定!$B$2+1-原始資料!AF112,原始資料!AF112))</f>
        <v/>
      </c>
      <c r="AG112">
        <f>IF(原始資料!AG112="","",IF(反向題設定!$C$36="是",反向題設定!$B$2+1-原始資料!AG112,原始資料!AG112))</f>
        <v/>
      </c>
      <c r="AH112">
        <f>IF(原始資料!AH112="","",IF(反向題設定!$C$37="是",反向題設定!$B$2+1-原始資料!AH112,原始資料!AH112))</f>
        <v/>
      </c>
      <c r="AI112">
        <f>IF(原始資料!AI112="","",IF(反向題設定!$C$38="是",反向題設定!$B$2+1-原始資料!AI112,原始資料!AI112))</f>
        <v/>
      </c>
      <c r="AJ112">
        <f>IF(原始資料!AJ112="","",IF(反向題設定!$C$39="是",反向題設定!$B$2+1-原始資料!AJ112,原始資料!AJ112))</f>
        <v/>
      </c>
      <c r="AK112">
        <f>IF(原始資料!AK112="","",IF(反向題設定!$C$40="是",反向題設定!$B$2+1-原始資料!AK112,原始資料!AK112))</f>
        <v/>
      </c>
      <c r="AL112">
        <f>IF(原始資料!AL112="","",IF(反向題設定!$C$41="是",反向題設定!$B$2+1-原始資料!AL112,原始資料!AL112))</f>
        <v/>
      </c>
      <c r="AM112">
        <f>IF(原始資料!AM112="","",IF(反向題設定!$C$42="是",反向題設定!$B$2+1-原始資料!AM112,原始資料!AM112))</f>
        <v/>
      </c>
      <c r="AN112">
        <f>IF(原始資料!AN112="","",IF(反向題設定!$C$43="是",反向題設定!$B$2+1-原始資料!AN112,原始資料!AN112))</f>
        <v/>
      </c>
      <c r="AO112">
        <f>IF(原始資料!AO112="","",IF(反向題設定!$C$44="是",反向題設定!$B$2+1-原始資料!AO112,原始資料!AO112))</f>
        <v/>
      </c>
      <c r="AP112">
        <f>IF(COUNT(B112:AO112)=0,"",SUM(B112:AO112))</f>
        <v/>
      </c>
      <c r="AQ112">
        <f>IF(AP112="","",IF(AP112&gt;=項目分析!$C$5,"高",IF(AP112&lt;=項目分析!$C$6,"低","")))</f>
        <v/>
      </c>
    </row>
    <row r="113">
      <c r="A113">
        <f>IF(原始資料!A113="","",原始資料!A113)</f>
        <v/>
      </c>
      <c r="B113">
        <f>IF(原始資料!B113="","",IF(反向題設定!$C$5="是",反向題設定!$B$2+1-原始資料!B113,原始資料!B113))</f>
        <v/>
      </c>
      <c r="C113">
        <f>IF(原始資料!C113="","",IF(反向題設定!$C$6="是",反向題設定!$B$2+1-原始資料!C113,原始資料!C113))</f>
        <v/>
      </c>
      <c r="D113">
        <f>IF(原始資料!D113="","",IF(反向題設定!$C$7="是",反向題設定!$B$2+1-原始資料!D113,原始資料!D113))</f>
        <v/>
      </c>
      <c r="E113">
        <f>IF(原始資料!E113="","",IF(反向題設定!$C$8="是",反向題設定!$B$2+1-原始資料!E113,原始資料!E113))</f>
        <v/>
      </c>
      <c r="F113">
        <f>IF(原始資料!F113="","",IF(反向題設定!$C$9="是",反向題設定!$B$2+1-原始資料!F113,原始資料!F113))</f>
        <v/>
      </c>
      <c r="G113">
        <f>IF(原始資料!G113="","",IF(反向題設定!$C$10="是",反向題設定!$B$2+1-原始資料!G113,原始資料!G113))</f>
        <v/>
      </c>
      <c r="H113">
        <f>IF(原始資料!H113="","",IF(反向題設定!$C$11="是",反向題設定!$B$2+1-原始資料!H113,原始資料!H113))</f>
        <v/>
      </c>
      <c r="I113">
        <f>IF(原始資料!I113="","",IF(反向題設定!$C$12="是",反向題設定!$B$2+1-原始資料!I113,原始資料!I113))</f>
        <v/>
      </c>
      <c r="J113">
        <f>IF(原始資料!J113="","",IF(反向題設定!$C$13="是",反向題設定!$B$2+1-原始資料!J113,原始資料!J113))</f>
        <v/>
      </c>
      <c r="K113">
        <f>IF(原始資料!K113="","",IF(反向題設定!$C$14="是",反向題設定!$B$2+1-原始資料!K113,原始資料!K113))</f>
        <v/>
      </c>
      <c r="L113">
        <f>IF(原始資料!L113="","",IF(反向題設定!$C$15="是",反向題設定!$B$2+1-原始資料!L113,原始資料!L113))</f>
        <v/>
      </c>
      <c r="M113">
        <f>IF(原始資料!M113="","",IF(反向題設定!$C$16="是",反向題設定!$B$2+1-原始資料!M113,原始資料!M113))</f>
        <v/>
      </c>
      <c r="N113">
        <f>IF(原始資料!N113="","",IF(反向題設定!$C$17="是",反向題設定!$B$2+1-原始資料!N113,原始資料!N113))</f>
        <v/>
      </c>
      <c r="O113">
        <f>IF(原始資料!O113="","",IF(反向題設定!$C$18="是",反向題設定!$B$2+1-原始資料!O113,原始資料!O113))</f>
        <v/>
      </c>
      <c r="P113">
        <f>IF(原始資料!P113="","",IF(反向題設定!$C$19="是",反向題設定!$B$2+1-原始資料!P113,原始資料!P113))</f>
        <v/>
      </c>
      <c r="Q113">
        <f>IF(原始資料!Q113="","",IF(反向題設定!$C$20="是",反向題設定!$B$2+1-原始資料!Q113,原始資料!Q113))</f>
        <v/>
      </c>
      <c r="R113">
        <f>IF(原始資料!R113="","",IF(反向題設定!$C$21="是",反向題設定!$B$2+1-原始資料!R113,原始資料!R113))</f>
        <v/>
      </c>
      <c r="S113">
        <f>IF(原始資料!S113="","",IF(反向題設定!$C$22="是",反向題設定!$B$2+1-原始資料!S113,原始資料!S113))</f>
        <v/>
      </c>
      <c r="T113">
        <f>IF(原始資料!T113="","",IF(反向題設定!$C$23="是",反向題設定!$B$2+1-原始資料!T113,原始資料!T113))</f>
        <v/>
      </c>
      <c r="U113">
        <f>IF(原始資料!U113="","",IF(反向題設定!$C$24="是",反向題設定!$B$2+1-原始資料!U113,原始資料!U113))</f>
        <v/>
      </c>
      <c r="V113">
        <f>IF(原始資料!V113="","",IF(反向題設定!$C$25="是",反向題設定!$B$2+1-原始資料!V113,原始資料!V113))</f>
        <v/>
      </c>
      <c r="W113">
        <f>IF(原始資料!W113="","",IF(反向題設定!$C$26="是",反向題設定!$B$2+1-原始資料!W113,原始資料!W113))</f>
        <v/>
      </c>
      <c r="X113">
        <f>IF(原始資料!X113="","",IF(反向題設定!$C$27="是",反向題設定!$B$2+1-原始資料!X113,原始資料!X113))</f>
        <v/>
      </c>
      <c r="Y113">
        <f>IF(原始資料!Y113="","",IF(反向題設定!$C$28="是",反向題設定!$B$2+1-原始資料!Y113,原始資料!Y113))</f>
        <v/>
      </c>
      <c r="Z113">
        <f>IF(原始資料!Z113="","",IF(反向題設定!$C$29="是",反向題設定!$B$2+1-原始資料!Z113,原始資料!Z113))</f>
        <v/>
      </c>
      <c r="AA113">
        <f>IF(原始資料!AA113="","",IF(反向題設定!$C$30="是",反向題設定!$B$2+1-原始資料!AA113,原始資料!AA113))</f>
        <v/>
      </c>
      <c r="AB113">
        <f>IF(原始資料!AB113="","",IF(反向題設定!$C$31="是",反向題設定!$B$2+1-原始資料!AB113,原始資料!AB113))</f>
        <v/>
      </c>
      <c r="AC113">
        <f>IF(原始資料!AC113="","",IF(反向題設定!$C$32="是",反向題設定!$B$2+1-原始資料!AC113,原始資料!AC113))</f>
        <v/>
      </c>
      <c r="AD113">
        <f>IF(原始資料!AD113="","",IF(反向題設定!$C$33="是",反向題設定!$B$2+1-原始資料!AD113,原始資料!AD113))</f>
        <v/>
      </c>
      <c r="AE113">
        <f>IF(原始資料!AE113="","",IF(反向題設定!$C$34="是",反向題設定!$B$2+1-原始資料!AE113,原始資料!AE113))</f>
        <v/>
      </c>
      <c r="AF113">
        <f>IF(原始資料!AF113="","",IF(反向題設定!$C$35="是",反向題設定!$B$2+1-原始資料!AF113,原始資料!AF113))</f>
        <v/>
      </c>
      <c r="AG113">
        <f>IF(原始資料!AG113="","",IF(反向題設定!$C$36="是",反向題設定!$B$2+1-原始資料!AG113,原始資料!AG113))</f>
        <v/>
      </c>
      <c r="AH113">
        <f>IF(原始資料!AH113="","",IF(反向題設定!$C$37="是",反向題設定!$B$2+1-原始資料!AH113,原始資料!AH113))</f>
        <v/>
      </c>
      <c r="AI113">
        <f>IF(原始資料!AI113="","",IF(反向題設定!$C$38="是",反向題設定!$B$2+1-原始資料!AI113,原始資料!AI113))</f>
        <v/>
      </c>
      <c r="AJ113">
        <f>IF(原始資料!AJ113="","",IF(反向題設定!$C$39="是",反向題設定!$B$2+1-原始資料!AJ113,原始資料!AJ113))</f>
        <v/>
      </c>
      <c r="AK113">
        <f>IF(原始資料!AK113="","",IF(反向題設定!$C$40="是",反向題設定!$B$2+1-原始資料!AK113,原始資料!AK113))</f>
        <v/>
      </c>
      <c r="AL113">
        <f>IF(原始資料!AL113="","",IF(反向題設定!$C$41="是",反向題設定!$B$2+1-原始資料!AL113,原始資料!AL113))</f>
        <v/>
      </c>
      <c r="AM113">
        <f>IF(原始資料!AM113="","",IF(反向題設定!$C$42="是",反向題設定!$B$2+1-原始資料!AM113,原始資料!AM113))</f>
        <v/>
      </c>
      <c r="AN113">
        <f>IF(原始資料!AN113="","",IF(反向題設定!$C$43="是",反向題設定!$B$2+1-原始資料!AN113,原始資料!AN113))</f>
        <v/>
      </c>
      <c r="AO113">
        <f>IF(原始資料!AO113="","",IF(反向題設定!$C$44="是",反向題設定!$B$2+1-原始資料!AO113,原始資料!AO113))</f>
        <v/>
      </c>
      <c r="AP113">
        <f>IF(COUNT(B113:AO113)=0,"",SUM(B113:AO113))</f>
        <v/>
      </c>
      <c r="AQ113">
        <f>IF(AP113="","",IF(AP113&gt;=項目分析!$C$5,"高",IF(AP113&lt;=項目分析!$C$6,"低","")))</f>
        <v/>
      </c>
    </row>
    <row r="114">
      <c r="A114">
        <f>IF(原始資料!A114="","",原始資料!A114)</f>
        <v/>
      </c>
      <c r="B114">
        <f>IF(原始資料!B114="","",IF(反向題設定!$C$5="是",反向題設定!$B$2+1-原始資料!B114,原始資料!B114))</f>
        <v/>
      </c>
      <c r="C114">
        <f>IF(原始資料!C114="","",IF(反向題設定!$C$6="是",反向題設定!$B$2+1-原始資料!C114,原始資料!C114))</f>
        <v/>
      </c>
      <c r="D114">
        <f>IF(原始資料!D114="","",IF(反向題設定!$C$7="是",反向題設定!$B$2+1-原始資料!D114,原始資料!D114))</f>
        <v/>
      </c>
      <c r="E114">
        <f>IF(原始資料!E114="","",IF(反向題設定!$C$8="是",反向題設定!$B$2+1-原始資料!E114,原始資料!E114))</f>
        <v/>
      </c>
      <c r="F114">
        <f>IF(原始資料!F114="","",IF(反向題設定!$C$9="是",反向題設定!$B$2+1-原始資料!F114,原始資料!F114))</f>
        <v/>
      </c>
      <c r="G114">
        <f>IF(原始資料!G114="","",IF(反向題設定!$C$10="是",反向題設定!$B$2+1-原始資料!G114,原始資料!G114))</f>
        <v/>
      </c>
      <c r="H114">
        <f>IF(原始資料!H114="","",IF(反向題設定!$C$11="是",反向題設定!$B$2+1-原始資料!H114,原始資料!H114))</f>
        <v/>
      </c>
      <c r="I114">
        <f>IF(原始資料!I114="","",IF(反向題設定!$C$12="是",反向題設定!$B$2+1-原始資料!I114,原始資料!I114))</f>
        <v/>
      </c>
      <c r="J114">
        <f>IF(原始資料!J114="","",IF(反向題設定!$C$13="是",反向題設定!$B$2+1-原始資料!J114,原始資料!J114))</f>
        <v/>
      </c>
      <c r="K114">
        <f>IF(原始資料!K114="","",IF(反向題設定!$C$14="是",反向題設定!$B$2+1-原始資料!K114,原始資料!K114))</f>
        <v/>
      </c>
      <c r="L114">
        <f>IF(原始資料!L114="","",IF(反向題設定!$C$15="是",反向題設定!$B$2+1-原始資料!L114,原始資料!L114))</f>
        <v/>
      </c>
      <c r="M114">
        <f>IF(原始資料!M114="","",IF(反向題設定!$C$16="是",反向題設定!$B$2+1-原始資料!M114,原始資料!M114))</f>
        <v/>
      </c>
      <c r="N114">
        <f>IF(原始資料!N114="","",IF(反向題設定!$C$17="是",反向題設定!$B$2+1-原始資料!N114,原始資料!N114))</f>
        <v/>
      </c>
      <c r="O114">
        <f>IF(原始資料!O114="","",IF(反向題設定!$C$18="是",反向題設定!$B$2+1-原始資料!O114,原始資料!O114))</f>
        <v/>
      </c>
      <c r="P114">
        <f>IF(原始資料!P114="","",IF(反向題設定!$C$19="是",反向題設定!$B$2+1-原始資料!P114,原始資料!P114))</f>
        <v/>
      </c>
      <c r="Q114">
        <f>IF(原始資料!Q114="","",IF(反向題設定!$C$20="是",反向題設定!$B$2+1-原始資料!Q114,原始資料!Q114))</f>
        <v/>
      </c>
      <c r="R114">
        <f>IF(原始資料!R114="","",IF(反向題設定!$C$21="是",反向題設定!$B$2+1-原始資料!R114,原始資料!R114))</f>
        <v/>
      </c>
      <c r="S114">
        <f>IF(原始資料!S114="","",IF(反向題設定!$C$22="是",反向題設定!$B$2+1-原始資料!S114,原始資料!S114))</f>
        <v/>
      </c>
      <c r="T114">
        <f>IF(原始資料!T114="","",IF(反向題設定!$C$23="是",反向題設定!$B$2+1-原始資料!T114,原始資料!T114))</f>
        <v/>
      </c>
      <c r="U114">
        <f>IF(原始資料!U114="","",IF(反向題設定!$C$24="是",反向題設定!$B$2+1-原始資料!U114,原始資料!U114))</f>
        <v/>
      </c>
      <c r="V114">
        <f>IF(原始資料!V114="","",IF(反向題設定!$C$25="是",反向題設定!$B$2+1-原始資料!V114,原始資料!V114))</f>
        <v/>
      </c>
      <c r="W114">
        <f>IF(原始資料!W114="","",IF(反向題設定!$C$26="是",反向題設定!$B$2+1-原始資料!W114,原始資料!W114))</f>
        <v/>
      </c>
      <c r="X114">
        <f>IF(原始資料!X114="","",IF(反向題設定!$C$27="是",反向題設定!$B$2+1-原始資料!X114,原始資料!X114))</f>
        <v/>
      </c>
      <c r="Y114">
        <f>IF(原始資料!Y114="","",IF(反向題設定!$C$28="是",反向題設定!$B$2+1-原始資料!Y114,原始資料!Y114))</f>
        <v/>
      </c>
      <c r="Z114">
        <f>IF(原始資料!Z114="","",IF(反向題設定!$C$29="是",反向題設定!$B$2+1-原始資料!Z114,原始資料!Z114))</f>
        <v/>
      </c>
      <c r="AA114">
        <f>IF(原始資料!AA114="","",IF(反向題設定!$C$30="是",反向題設定!$B$2+1-原始資料!AA114,原始資料!AA114))</f>
        <v/>
      </c>
      <c r="AB114">
        <f>IF(原始資料!AB114="","",IF(反向題設定!$C$31="是",反向題設定!$B$2+1-原始資料!AB114,原始資料!AB114))</f>
        <v/>
      </c>
      <c r="AC114">
        <f>IF(原始資料!AC114="","",IF(反向題設定!$C$32="是",反向題設定!$B$2+1-原始資料!AC114,原始資料!AC114))</f>
        <v/>
      </c>
      <c r="AD114">
        <f>IF(原始資料!AD114="","",IF(反向題設定!$C$33="是",反向題設定!$B$2+1-原始資料!AD114,原始資料!AD114))</f>
        <v/>
      </c>
      <c r="AE114">
        <f>IF(原始資料!AE114="","",IF(反向題設定!$C$34="是",反向題設定!$B$2+1-原始資料!AE114,原始資料!AE114))</f>
        <v/>
      </c>
      <c r="AF114">
        <f>IF(原始資料!AF114="","",IF(反向題設定!$C$35="是",反向題設定!$B$2+1-原始資料!AF114,原始資料!AF114))</f>
        <v/>
      </c>
      <c r="AG114">
        <f>IF(原始資料!AG114="","",IF(反向題設定!$C$36="是",反向題設定!$B$2+1-原始資料!AG114,原始資料!AG114))</f>
        <v/>
      </c>
      <c r="AH114">
        <f>IF(原始資料!AH114="","",IF(反向題設定!$C$37="是",反向題設定!$B$2+1-原始資料!AH114,原始資料!AH114))</f>
        <v/>
      </c>
      <c r="AI114">
        <f>IF(原始資料!AI114="","",IF(反向題設定!$C$38="是",反向題設定!$B$2+1-原始資料!AI114,原始資料!AI114))</f>
        <v/>
      </c>
      <c r="AJ114">
        <f>IF(原始資料!AJ114="","",IF(反向題設定!$C$39="是",反向題設定!$B$2+1-原始資料!AJ114,原始資料!AJ114))</f>
        <v/>
      </c>
      <c r="AK114">
        <f>IF(原始資料!AK114="","",IF(反向題設定!$C$40="是",反向題設定!$B$2+1-原始資料!AK114,原始資料!AK114))</f>
        <v/>
      </c>
      <c r="AL114">
        <f>IF(原始資料!AL114="","",IF(反向題設定!$C$41="是",反向題設定!$B$2+1-原始資料!AL114,原始資料!AL114))</f>
        <v/>
      </c>
      <c r="AM114">
        <f>IF(原始資料!AM114="","",IF(反向題設定!$C$42="是",反向題設定!$B$2+1-原始資料!AM114,原始資料!AM114))</f>
        <v/>
      </c>
      <c r="AN114">
        <f>IF(原始資料!AN114="","",IF(反向題設定!$C$43="是",反向題設定!$B$2+1-原始資料!AN114,原始資料!AN114))</f>
        <v/>
      </c>
      <c r="AO114">
        <f>IF(原始資料!AO114="","",IF(反向題設定!$C$44="是",反向題設定!$B$2+1-原始資料!AO114,原始資料!AO114))</f>
        <v/>
      </c>
      <c r="AP114">
        <f>IF(COUNT(B114:AO114)=0,"",SUM(B114:AO114))</f>
        <v/>
      </c>
      <c r="AQ114">
        <f>IF(AP114="","",IF(AP114&gt;=項目分析!$C$5,"高",IF(AP114&lt;=項目分析!$C$6,"低","")))</f>
        <v/>
      </c>
    </row>
    <row r="115">
      <c r="A115">
        <f>IF(原始資料!A115="","",原始資料!A115)</f>
        <v/>
      </c>
      <c r="B115">
        <f>IF(原始資料!B115="","",IF(反向題設定!$C$5="是",反向題設定!$B$2+1-原始資料!B115,原始資料!B115))</f>
        <v/>
      </c>
      <c r="C115">
        <f>IF(原始資料!C115="","",IF(反向題設定!$C$6="是",反向題設定!$B$2+1-原始資料!C115,原始資料!C115))</f>
        <v/>
      </c>
      <c r="D115">
        <f>IF(原始資料!D115="","",IF(反向題設定!$C$7="是",反向題設定!$B$2+1-原始資料!D115,原始資料!D115))</f>
        <v/>
      </c>
      <c r="E115">
        <f>IF(原始資料!E115="","",IF(反向題設定!$C$8="是",反向題設定!$B$2+1-原始資料!E115,原始資料!E115))</f>
        <v/>
      </c>
      <c r="F115">
        <f>IF(原始資料!F115="","",IF(反向題設定!$C$9="是",反向題設定!$B$2+1-原始資料!F115,原始資料!F115))</f>
        <v/>
      </c>
      <c r="G115">
        <f>IF(原始資料!G115="","",IF(反向題設定!$C$10="是",反向題設定!$B$2+1-原始資料!G115,原始資料!G115))</f>
        <v/>
      </c>
      <c r="H115">
        <f>IF(原始資料!H115="","",IF(反向題設定!$C$11="是",反向題設定!$B$2+1-原始資料!H115,原始資料!H115))</f>
        <v/>
      </c>
      <c r="I115">
        <f>IF(原始資料!I115="","",IF(反向題設定!$C$12="是",反向題設定!$B$2+1-原始資料!I115,原始資料!I115))</f>
        <v/>
      </c>
      <c r="J115">
        <f>IF(原始資料!J115="","",IF(反向題設定!$C$13="是",反向題設定!$B$2+1-原始資料!J115,原始資料!J115))</f>
        <v/>
      </c>
      <c r="K115">
        <f>IF(原始資料!K115="","",IF(反向題設定!$C$14="是",反向題設定!$B$2+1-原始資料!K115,原始資料!K115))</f>
        <v/>
      </c>
      <c r="L115">
        <f>IF(原始資料!L115="","",IF(反向題設定!$C$15="是",反向題設定!$B$2+1-原始資料!L115,原始資料!L115))</f>
        <v/>
      </c>
      <c r="M115">
        <f>IF(原始資料!M115="","",IF(反向題設定!$C$16="是",反向題設定!$B$2+1-原始資料!M115,原始資料!M115))</f>
        <v/>
      </c>
      <c r="N115">
        <f>IF(原始資料!N115="","",IF(反向題設定!$C$17="是",反向題設定!$B$2+1-原始資料!N115,原始資料!N115))</f>
        <v/>
      </c>
      <c r="O115">
        <f>IF(原始資料!O115="","",IF(反向題設定!$C$18="是",反向題設定!$B$2+1-原始資料!O115,原始資料!O115))</f>
        <v/>
      </c>
      <c r="P115">
        <f>IF(原始資料!P115="","",IF(反向題設定!$C$19="是",反向題設定!$B$2+1-原始資料!P115,原始資料!P115))</f>
        <v/>
      </c>
      <c r="Q115">
        <f>IF(原始資料!Q115="","",IF(反向題設定!$C$20="是",反向題設定!$B$2+1-原始資料!Q115,原始資料!Q115))</f>
        <v/>
      </c>
      <c r="R115">
        <f>IF(原始資料!R115="","",IF(反向題設定!$C$21="是",反向題設定!$B$2+1-原始資料!R115,原始資料!R115))</f>
        <v/>
      </c>
      <c r="S115">
        <f>IF(原始資料!S115="","",IF(反向題設定!$C$22="是",反向題設定!$B$2+1-原始資料!S115,原始資料!S115))</f>
        <v/>
      </c>
      <c r="T115">
        <f>IF(原始資料!T115="","",IF(反向題設定!$C$23="是",反向題設定!$B$2+1-原始資料!T115,原始資料!T115))</f>
        <v/>
      </c>
      <c r="U115">
        <f>IF(原始資料!U115="","",IF(反向題設定!$C$24="是",反向題設定!$B$2+1-原始資料!U115,原始資料!U115))</f>
        <v/>
      </c>
      <c r="V115">
        <f>IF(原始資料!V115="","",IF(反向題設定!$C$25="是",反向題設定!$B$2+1-原始資料!V115,原始資料!V115))</f>
        <v/>
      </c>
      <c r="W115">
        <f>IF(原始資料!W115="","",IF(反向題設定!$C$26="是",反向題設定!$B$2+1-原始資料!W115,原始資料!W115))</f>
        <v/>
      </c>
      <c r="X115">
        <f>IF(原始資料!X115="","",IF(反向題設定!$C$27="是",反向題設定!$B$2+1-原始資料!X115,原始資料!X115))</f>
        <v/>
      </c>
      <c r="Y115">
        <f>IF(原始資料!Y115="","",IF(反向題設定!$C$28="是",反向題設定!$B$2+1-原始資料!Y115,原始資料!Y115))</f>
        <v/>
      </c>
      <c r="Z115">
        <f>IF(原始資料!Z115="","",IF(反向題設定!$C$29="是",反向題設定!$B$2+1-原始資料!Z115,原始資料!Z115))</f>
        <v/>
      </c>
      <c r="AA115">
        <f>IF(原始資料!AA115="","",IF(反向題設定!$C$30="是",反向題設定!$B$2+1-原始資料!AA115,原始資料!AA115))</f>
        <v/>
      </c>
      <c r="AB115">
        <f>IF(原始資料!AB115="","",IF(反向題設定!$C$31="是",反向題設定!$B$2+1-原始資料!AB115,原始資料!AB115))</f>
        <v/>
      </c>
      <c r="AC115">
        <f>IF(原始資料!AC115="","",IF(反向題設定!$C$32="是",反向題設定!$B$2+1-原始資料!AC115,原始資料!AC115))</f>
        <v/>
      </c>
      <c r="AD115">
        <f>IF(原始資料!AD115="","",IF(反向題設定!$C$33="是",反向題設定!$B$2+1-原始資料!AD115,原始資料!AD115))</f>
        <v/>
      </c>
      <c r="AE115">
        <f>IF(原始資料!AE115="","",IF(反向題設定!$C$34="是",反向題設定!$B$2+1-原始資料!AE115,原始資料!AE115))</f>
        <v/>
      </c>
      <c r="AF115">
        <f>IF(原始資料!AF115="","",IF(反向題設定!$C$35="是",反向題設定!$B$2+1-原始資料!AF115,原始資料!AF115))</f>
        <v/>
      </c>
      <c r="AG115">
        <f>IF(原始資料!AG115="","",IF(反向題設定!$C$36="是",反向題設定!$B$2+1-原始資料!AG115,原始資料!AG115))</f>
        <v/>
      </c>
      <c r="AH115">
        <f>IF(原始資料!AH115="","",IF(反向題設定!$C$37="是",反向題設定!$B$2+1-原始資料!AH115,原始資料!AH115))</f>
        <v/>
      </c>
      <c r="AI115">
        <f>IF(原始資料!AI115="","",IF(反向題設定!$C$38="是",反向題設定!$B$2+1-原始資料!AI115,原始資料!AI115))</f>
        <v/>
      </c>
      <c r="AJ115">
        <f>IF(原始資料!AJ115="","",IF(反向題設定!$C$39="是",反向題設定!$B$2+1-原始資料!AJ115,原始資料!AJ115))</f>
        <v/>
      </c>
      <c r="AK115">
        <f>IF(原始資料!AK115="","",IF(反向題設定!$C$40="是",反向題設定!$B$2+1-原始資料!AK115,原始資料!AK115))</f>
        <v/>
      </c>
      <c r="AL115">
        <f>IF(原始資料!AL115="","",IF(反向題設定!$C$41="是",反向題設定!$B$2+1-原始資料!AL115,原始資料!AL115))</f>
        <v/>
      </c>
      <c r="AM115">
        <f>IF(原始資料!AM115="","",IF(反向題設定!$C$42="是",反向題設定!$B$2+1-原始資料!AM115,原始資料!AM115))</f>
        <v/>
      </c>
      <c r="AN115">
        <f>IF(原始資料!AN115="","",IF(反向題設定!$C$43="是",反向題設定!$B$2+1-原始資料!AN115,原始資料!AN115))</f>
        <v/>
      </c>
      <c r="AO115">
        <f>IF(原始資料!AO115="","",IF(反向題設定!$C$44="是",反向題設定!$B$2+1-原始資料!AO115,原始資料!AO115))</f>
        <v/>
      </c>
      <c r="AP115">
        <f>IF(COUNT(B115:AO115)=0,"",SUM(B115:AO115))</f>
        <v/>
      </c>
      <c r="AQ115">
        <f>IF(AP115="","",IF(AP115&gt;=項目分析!$C$5,"高",IF(AP115&lt;=項目分析!$C$6,"低","")))</f>
        <v/>
      </c>
    </row>
    <row r="116">
      <c r="A116">
        <f>IF(原始資料!A116="","",原始資料!A116)</f>
        <v/>
      </c>
      <c r="B116">
        <f>IF(原始資料!B116="","",IF(反向題設定!$C$5="是",反向題設定!$B$2+1-原始資料!B116,原始資料!B116))</f>
        <v/>
      </c>
      <c r="C116">
        <f>IF(原始資料!C116="","",IF(反向題設定!$C$6="是",反向題設定!$B$2+1-原始資料!C116,原始資料!C116))</f>
        <v/>
      </c>
      <c r="D116">
        <f>IF(原始資料!D116="","",IF(反向題設定!$C$7="是",反向題設定!$B$2+1-原始資料!D116,原始資料!D116))</f>
        <v/>
      </c>
      <c r="E116">
        <f>IF(原始資料!E116="","",IF(反向題設定!$C$8="是",反向題設定!$B$2+1-原始資料!E116,原始資料!E116))</f>
        <v/>
      </c>
      <c r="F116">
        <f>IF(原始資料!F116="","",IF(反向題設定!$C$9="是",反向題設定!$B$2+1-原始資料!F116,原始資料!F116))</f>
        <v/>
      </c>
      <c r="G116">
        <f>IF(原始資料!G116="","",IF(反向題設定!$C$10="是",反向題設定!$B$2+1-原始資料!G116,原始資料!G116))</f>
        <v/>
      </c>
      <c r="H116">
        <f>IF(原始資料!H116="","",IF(反向題設定!$C$11="是",反向題設定!$B$2+1-原始資料!H116,原始資料!H116))</f>
        <v/>
      </c>
      <c r="I116">
        <f>IF(原始資料!I116="","",IF(反向題設定!$C$12="是",反向題設定!$B$2+1-原始資料!I116,原始資料!I116))</f>
        <v/>
      </c>
      <c r="J116">
        <f>IF(原始資料!J116="","",IF(反向題設定!$C$13="是",反向題設定!$B$2+1-原始資料!J116,原始資料!J116))</f>
        <v/>
      </c>
      <c r="K116">
        <f>IF(原始資料!K116="","",IF(反向題設定!$C$14="是",反向題設定!$B$2+1-原始資料!K116,原始資料!K116))</f>
        <v/>
      </c>
      <c r="L116">
        <f>IF(原始資料!L116="","",IF(反向題設定!$C$15="是",反向題設定!$B$2+1-原始資料!L116,原始資料!L116))</f>
        <v/>
      </c>
      <c r="M116">
        <f>IF(原始資料!M116="","",IF(反向題設定!$C$16="是",反向題設定!$B$2+1-原始資料!M116,原始資料!M116))</f>
        <v/>
      </c>
      <c r="N116">
        <f>IF(原始資料!N116="","",IF(反向題設定!$C$17="是",反向題設定!$B$2+1-原始資料!N116,原始資料!N116))</f>
        <v/>
      </c>
      <c r="O116">
        <f>IF(原始資料!O116="","",IF(反向題設定!$C$18="是",反向題設定!$B$2+1-原始資料!O116,原始資料!O116))</f>
        <v/>
      </c>
      <c r="P116">
        <f>IF(原始資料!P116="","",IF(反向題設定!$C$19="是",反向題設定!$B$2+1-原始資料!P116,原始資料!P116))</f>
        <v/>
      </c>
      <c r="Q116">
        <f>IF(原始資料!Q116="","",IF(反向題設定!$C$20="是",反向題設定!$B$2+1-原始資料!Q116,原始資料!Q116))</f>
        <v/>
      </c>
      <c r="R116">
        <f>IF(原始資料!R116="","",IF(反向題設定!$C$21="是",反向題設定!$B$2+1-原始資料!R116,原始資料!R116))</f>
        <v/>
      </c>
      <c r="S116">
        <f>IF(原始資料!S116="","",IF(反向題設定!$C$22="是",反向題設定!$B$2+1-原始資料!S116,原始資料!S116))</f>
        <v/>
      </c>
      <c r="T116">
        <f>IF(原始資料!T116="","",IF(反向題設定!$C$23="是",反向題設定!$B$2+1-原始資料!T116,原始資料!T116))</f>
        <v/>
      </c>
      <c r="U116">
        <f>IF(原始資料!U116="","",IF(反向題設定!$C$24="是",反向題設定!$B$2+1-原始資料!U116,原始資料!U116))</f>
        <v/>
      </c>
      <c r="V116">
        <f>IF(原始資料!V116="","",IF(反向題設定!$C$25="是",反向題設定!$B$2+1-原始資料!V116,原始資料!V116))</f>
        <v/>
      </c>
      <c r="W116">
        <f>IF(原始資料!W116="","",IF(反向題設定!$C$26="是",反向題設定!$B$2+1-原始資料!W116,原始資料!W116))</f>
        <v/>
      </c>
      <c r="X116">
        <f>IF(原始資料!X116="","",IF(反向題設定!$C$27="是",反向題設定!$B$2+1-原始資料!X116,原始資料!X116))</f>
        <v/>
      </c>
      <c r="Y116">
        <f>IF(原始資料!Y116="","",IF(反向題設定!$C$28="是",反向題設定!$B$2+1-原始資料!Y116,原始資料!Y116))</f>
        <v/>
      </c>
      <c r="Z116">
        <f>IF(原始資料!Z116="","",IF(反向題設定!$C$29="是",反向題設定!$B$2+1-原始資料!Z116,原始資料!Z116))</f>
        <v/>
      </c>
      <c r="AA116">
        <f>IF(原始資料!AA116="","",IF(反向題設定!$C$30="是",反向題設定!$B$2+1-原始資料!AA116,原始資料!AA116))</f>
        <v/>
      </c>
      <c r="AB116">
        <f>IF(原始資料!AB116="","",IF(反向題設定!$C$31="是",反向題設定!$B$2+1-原始資料!AB116,原始資料!AB116))</f>
        <v/>
      </c>
      <c r="AC116">
        <f>IF(原始資料!AC116="","",IF(反向題設定!$C$32="是",反向題設定!$B$2+1-原始資料!AC116,原始資料!AC116))</f>
        <v/>
      </c>
      <c r="AD116">
        <f>IF(原始資料!AD116="","",IF(反向題設定!$C$33="是",反向題設定!$B$2+1-原始資料!AD116,原始資料!AD116))</f>
        <v/>
      </c>
      <c r="AE116">
        <f>IF(原始資料!AE116="","",IF(反向題設定!$C$34="是",反向題設定!$B$2+1-原始資料!AE116,原始資料!AE116))</f>
        <v/>
      </c>
      <c r="AF116">
        <f>IF(原始資料!AF116="","",IF(反向題設定!$C$35="是",反向題設定!$B$2+1-原始資料!AF116,原始資料!AF116))</f>
        <v/>
      </c>
      <c r="AG116">
        <f>IF(原始資料!AG116="","",IF(反向題設定!$C$36="是",反向題設定!$B$2+1-原始資料!AG116,原始資料!AG116))</f>
        <v/>
      </c>
      <c r="AH116">
        <f>IF(原始資料!AH116="","",IF(反向題設定!$C$37="是",反向題設定!$B$2+1-原始資料!AH116,原始資料!AH116))</f>
        <v/>
      </c>
      <c r="AI116">
        <f>IF(原始資料!AI116="","",IF(反向題設定!$C$38="是",反向題設定!$B$2+1-原始資料!AI116,原始資料!AI116))</f>
        <v/>
      </c>
      <c r="AJ116">
        <f>IF(原始資料!AJ116="","",IF(反向題設定!$C$39="是",反向題設定!$B$2+1-原始資料!AJ116,原始資料!AJ116))</f>
        <v/>
      </c>
      <c r="AK116">
        <f>IF(原始資料!AK116="","",IF(反向題設定!$C$40="是",反向題設定!$B$2+1-原始資料!AK116,原始資料!AK116))</f>
        <v/>
      </c>
      <c r="AL116">
        <f>IF(原始資料!AL116="","",IF(反向題設定!$C$41="是",反向題設定!$B$2+1-原始資料!AL116,原始資料!AL116))</f>
        <v/>
      </c>
      <c r="AM116">
        <f>IF(原始資料!AM116="","",IF(反向題設定!$C$42="是",反向題設定!$B$2+1-原始資料!AM116,原始資料!AM116))</f>
        <v/>
      </c>
      <c r="AN116">
        <f>IF(原始資料!AN116="","",IF(反向題設定!$C$43="是",反向題設定!$B$2+1-原始資料!AN116,原始資料!AN116))</f>
        <v/>
      </c>
      <c r="AO116">
        <f>IF(原始資料!AO116="","",IF(反向題設定!$C$44="是",反向題設定!$B$2+1-原始資料!AO116,原始資料!AO116))</f>
        <v/>
      </c>
      <c r="AP116">
        <f>IF(COUNT(B116:AO116)=0,"",SUM(B116:AO116))</f>
        <v/>
      </c>
      <c r="AQ116">
        <f>IF(AP116="","",IF(AP116&gt;=項目分析!$C$5,"高",IF(AP116&lt;=項目分析!$C$6,"低","")))</f>
        <v/>
      </c>
    </row>
    <row r="117">
      <c r="A117">
        <f>IF(原始資料!A117="","",原始資料!A117)</f>
        <v/>
      </c>
      <c r="B117">
        <f>IF(原始資料!B117="","",IF(反向題設定!$C$5="是",反向題設定!$B$2+1-原始資料!B117,原始資料!B117))</f>
        <v/>
      </c>
      <c r="C117">
        <f>IF(原始資料!C117="","",IF(反向題設定!$C$6="是",反向題設定!$B$2+1-原始資料!C117,原始資料!C117))</f>
        <v/>
      </c>
      <c r="D117">
        <f>IF(原始資料!D117="","",IF(反向題設定!$C$7="是",反向題設定!$B$2+1-原始資料!D117,原始資料!D117))</f>
        <v/>
      </c>
      <c r="E117">
        <f>IF(原始資料!E117="","",IF(反向題設定!$C$8="是",反向題設定!$B$2+1-原始資料!E117,原始資料!E117))</f>
        <v/>
      </c>
      <c r="F117">
        <f>IF(原始資料!F117="","",IF(反向題設定!$C$9="是",反向題設定!$B$2+1-原始資料!F117,原始資料!F117))</f>
        <v/>
      </c>
      <c r="G117">
        <f>IF(原始資料!G117="","",IF(反向題設定!$C$10="是",反向題設定!$B$2+1-原始資料!G117,原始資料!G117))</f>
        <v/>
      </c>
      <c r="H117">
        <f>IF(原始資料!H117="","",IF(反向題設定!$C$11="是",反向題設定!$B$2+1-原始資料!H117,原始資料!H117))</f>
        <v/>
      </c>
      <c r="I117">
        <f>IF(原始資料!I117="","",IF(反向題設定!$C$12="是",反向題設定!$B$2+1-原始資料!I117,原始資料!I117))</f>
        <v/>
      </c>
      <c r="J117">
        <f>IF(原始資料!J117="","",IF(反向題設定!$C$13="是",反向題設定!$B$2+1-原始資料!J117,原始資料!J117))</f>
        <v/>
      </c>
      <c r="K117">
        <f>IF(原始資料!K117="","",IF(反向題設定!$C$14="是",反向題設定!$B$2+1-原始資料!K117,原始資料!K117))</f>
        <v/>
      </c>
      <c r="L117">
        <f>IF(原始資料!L117="","",IF(反向題設定!$C$15="是",反向題設定!$B$2+1-原始資料!L117,原始資料!L117))</f>
        <v/>
      </c>
      <c r="M117">
        <f>IF(原始資料!M117="","",IF(反向題設定!$C$16="是",反向題設定!$B$2+1-原始資料!M117,原始資料!M117))</f>
        <v/>
      </c>
      <c r="N117">
        <f>IF(原始資料!N117="","",IF(反向題設定!$C$17="是",反向題設定!$B$2+1-原始資料!N117,原始資料!N117))</f>
        <v/>
      </c>
      <c r="O117">
        <f>IF(原始資料!O117="","",IF(反向題設定!$C$18="是",反向題設定!$B$2+1-原始資料!O117,原始資料!O117))</f>
        <v/>
      </c>
      <c r="P117">
        <f>IF(原始資料!P117="","",IF(反向題設定!$C$19="是",反向題設定!$B$2+1-原始資料!P117,原始資料!P117))</f>
        <v/>
      </c>
      <c r="Q117">
        <f>IF(原始資料!Q117="","",IF(反向題設定!$C$20="是",反向題設定!$B$2+1-原始資料!Q117,原始資料!Q117))</f>
        <v/>
      </c>
      <c r="R117">
        <f>IF(原始資料!R117="","",IF(反向題設定!$C$21="是",反向題設定!$B$2+1-原始資料!R117,原始資料!R117))</f>
        <v/>
      </c>
      <c r="S117">
        <f>IF(原始資料!S117="","",IF(反向題設定!$C$22="是",反向題設定!$B$2+1-原始資料!S117,原始資料!S117))</f>
        <v/>
      </c>
      <c r="T117">
        <f>IF(原始資料!T117="","",IF(反向題設定!$C$23="是",反向題設定!$B$2+1-原始資料!T117,原始資料!T117))</f>
        <v/>
      </c>
      <c r="U117">
        <f>IF(原始資料!U117="","",IF(反向題設定!$C$24="是",反向題設定!$B$2+1-原始資料!U117,原始資料!U117))</f>
        <v/>
      </c>
      <c r="V117">
        <f>IF(原始資料!V117="","",IF(反向題設定!$C$25="是",反向題設定!$B$2+1-原始資料!V117,原始資料!V117))</f>
        <v/>
      </c>
      <c r="W117">
        <f>IF(原始資料!W117="","",IF(反向題設定!$C$26="是",反向題設定!$B$2+1-原始資料!W117,原始資料!W117))</f>
        <v/>
      </c>
      <c r="X117">
        <f>IF(原始資料!X117="","",IF(反向題設定!$C$27="是",反向題設定!$B$2+1-原始資料!X117,原始資料!X117))</f>
        <v/>
      </c>
      <c r="Y117">
        <f>IF(原始資料!Y117="","",IF(反向題設定!$C$28="是",反向題設定!$B$2+1-原始資料!Y117,原始資料!Y117))</f>
        <v/>
      </c>
      <c r="Z117">
        <f>IF(原始資料!Z117="","",IF(反向題設定!$C$29="是",反向題設定!$B$2+1-原始資料!Z117,原始資料!Z117))</f>
        <v/>
      </c>
      <c r="AA117">
        <f>IF(原始資料!AA117="","",IF(反向題設定!$C$30="是",反向題設定!$B$2+1-原始資料!AA117,原始資料!AA117))</f>
        <v/>
      </c>
      <c r="AB117">
        <f>IF(原始資料!AB117="","",IF(反向題設定!$C$31="是",反向題設定!$B$2+1-原始資料!AB117,原始資料!AB117))</f>
        <v/>
      </c>
      <c r="AC117">
        <f>IF(原始資料!AC117="","",IF(反向題設定!$C$32="是",反向題設定!$B$2+1-原始資料!AC117,原始資料!AC117))</f>
        <v/>
      </c>
      <c r="AD117">
        <f>IF(原始資料!AD117="","",IF(反向題設定!$C$33="是",反向題設定!$B$2+1-原始資料!AD117,原始資料!AD117))</f>
        <v/>
      </c>
      <c r="AE117">
        <f>IF(原始資料!AE117="","",IF(反向題設定!$C$34="是",反向題設定!$B$2+1-原始資料!AE117,原始資料!AE117))</f>
        <v/>
      </c>
      <c r="AF117">
        <f>IF(原始資料!AF117="","",IF(反向題設定!$C$35="是",反向題設定!$B$2+1-原始資料!AF117,原始資料!AF117))</f>
        <v/>
      </c>
      <c r="AG117">
        <f>IF(原始資料!AG117="","",IF(反向題設定!$C$36="是",反向題設定!$B$2+1-原始資料!AG117,原始資料!AG117))</f>
        <v/>
      </c>
      <c r="AH117">
        <f>IF(原始資料!AH117="","",IF(反向題設定!$C$37="是",反向題設定!$B$2+1-原始資料!AH117,原始資料!AH117))</f>
        <v/>
      </c>
      <c r="AI117">
        <f>IF(原始資料!AI117="","",IF(反向題設定!$C$38="是",反向題設定!$B$2+1-原始資料!AI117,原始資料!AI117))</f>
        <v/>
      </c>
      <c r="AJ117">
        <f>IF(原始資料!AJ117="","",IF(反向題設定!$C$39="是",反向題設定!$B$2+1-原始資料!AJ117,原始資料!AJ117))</f>
        <v/>
      </c>
      <c r="AK117">
        <f>IF(原始資料!AK117="","",IF(反向題設定!$C$40="是",反向題設定!$B$2+1-原始資料!AK117,原始資料!AK117))</f>
        <v/>
      </c>
      <c r="AL117">
        <f>IF(原始資料!AL117="","",IF(反向題設定!$C$41="是",反向題設定!$B$2+1-原始資料!AL117,原始資料!AL117))</f>
        <v/>
      </c>
      <c r="AM117">
        <f>IF(原始資料!AM117="","",IF(反向題設定!$C$42="是",反向題設定!$B$2+1-原始資料!AM117,原始資料!AM117))</f>
        <v/>
      </c>
      <c r="AN117">
        <f>IF(原始資料!AN117="","",IF(反向題設定!$C$43="是",反向題設定!$B$2+1-原始資料!AN117,原始資料!AN117))</f>
        <v/>
      </c>
      <c r="AO117">
        <f>IF(原始資料!AO117="","",IF(反向題設定!$C$44="是",反向題設定!$B$2+1-原始資料!AO117,原始資料!AO117))</f>
        <v/>
      </c>
      <c r="AP117">
        <f>IF(COUNT(B117:AO117)=0,"",SUM(B117:AO117))</f>
        <v/>
      </c>
      <c r="AQ117">
        <f>IF(AP117="","",IF(AP117&gt;=項目分析!$C$5,"高",IF(AP117&lt;=項目分析!$C$6,"低","")))</f>
        <v/>
      </c>
    </row>
    <row r="118">
      <c r="A118">
        <f>IF(原始資料!A118="","",原始資料!A118)</f>
        <v/>
      </c>
      <c r="B118">
        <f>IF(原始資料!B118="","",IF(反向題設定!$C$5="是",反向題設定!$B$2+1-原始資料!B118,原始資料!B118))</f>
        <v/>
      </c>
      <c r="C118">
        <f>IF(原始資料!C118="","",IF(反向題設定!$C$6="是",反向題設定!$B$2+1-原始資料!C118,原始資料!C118))</f>
        <v/>
      </c>
      <c r="D118">
        <f>IF(原始資料!D118="","",IF(反向題設定!$C$7="是",反向題設定!$B$2+1-原始資料!D118,原始資料!D118))</f>
        <v/>
      </c>
      <c r="E118">
        <f>IF(原始資料!E118="","",IF(反向題設定!$C$8="是",反向題設定!$B$2+1-原始資料!E118,原始資料!E118))</f>
        <v/>
      </c>
      <c r="F118">
        <f>IF(原始資料!F118="","",IF(反向題設定!$C$9="是",反向題設定!$B$2+1-原始資料!F118,原始資料!F118))</f>
        <v/>
      </c>
      <c r="G118">
        <f>IF(原始資料!G118="","",IF(反向題設定!$C$10="是",反向題設定!$B$2+1-原始資料!G118,原始資料!G118))</f>
        <v/>
      </c>
      <c r="H118">
        <f>IF(原始資料!H118="","",IF(反向題設定!$C$11="是",反向題設定!$B$2+1-原始資料!H118,原始資料!H118))</f>
        <v/>
      </c>
      <c r="I118">
        <f>IF(原始資料!I118="","",IF(反向題設定!$C$12="是",反向題設定!$B$2+1-原始資料!I118,原始資料!I118))</f>
        <v/>
      </c>
      <c r="J118">
        <f>IF(原始資料!J118="","",IF(反向題設定!$C$13="是",反向題設定!$B$2+1-原始資料!J118,原始資料!J118))</f>
        <v/>
      </c>
      <c r="K118">
        <f>IF(原始資料!K118="","",IF(反向題設定!$C$14="是",反向題設定!$B$2+1-原始資料!K118,原始資料!K118))</f>
        <v/>
      </c>
      <c r="L118">
        <f>IF(原始資料!L118="","",IF(反向題設定!$C$15="是",反向題設定!$B$2+1-原始資料!L118,原始資料!L118))</f>
        <v/>
      </c>
      <c r="M118">
        <f>IF(原始資料!M118="","",IF(反向題設定!$C$16="是",反向題設定!$B$2+1-原始資料!M118,原始資料!M118))</f>
        <v/>
      </c>
      <c r="N118">
        <f>IF(原始資料!N118="","",IF(反向題設定!$C$17="是",反向題設定!$B$2+1-原始資料!N118,原始資料!N118))</f>
        <v/>
      </c>
      <c r="O118">
        <f>IF(原始資料!O118="","",IF(反向題設定!$C$18="是",反向題設定!$B$2+1-原始資料!O118,原始資料!O118))</f>
        <v/>
      </c>
      <c r="P118">
        <f>IF(原始資料!P118="","",IF(反向題設定!$C$19="是",反向題設定!$B$2+1-原始資料!P118,原始資料!P118))</f>
        <v/>
      </c>
      <c r="Q118">
        <f>IF(原始資料!Q118="","",IF(反向題設定!$C$20="是",反向題設定!$B$2+1-原始資料!Q118,原始資料!Q118))</f>
        <v/>
      </c>
      <c r="R118">
        <f>IF(原始資料!R118="","",IF(反向題設定!$C$21="是",反向題設定!$B$2+1-原始資料!R118,原始資料!R118))</f>
        <v/>
      </c>
      <c r="S118">
        <f>IF(原始資料!S118="","",IF(反向題設定!$C$22="是",反向題設定!$B$2+1-原始資料!S118,原始資料!S118))</f>
        <v/>
      </c>
      <c r="T118">
        <f>IF(原始資料!T118="","",IF(反向題設定!$C$23="是",反向題設定!$B$2+1-原始資料!T118,原始資料!T118))</f>
        <v/>
      </c>
      <c r="U118">
        <f>IF(原始資料!U118="","",IF(反向題設定!$C$24="是",反向題設定!$B$2+1-原始資料!U118,原始資料!U118))</f>
        <v/>
      </c>
      <c r="V118">
        <f>IF(原始資料!V118="","",IF(反向題設定!$C$25="是",反向題設定!$B$2+1-原始資料!V118,原始資料!V118))</f>
        <v/>
      </c>
      <c r="W118">
        <f>IF(原始資料!W118="","",IF(反向題設定!$C$26="是",反向題設定!$B$2+1-原始資料!W118,原始資料!W118))</f>
        <v/>
      </c>
      <c r="X118">
        <f>IF(原始資料!X118="","",IF(反向題設定!$C$27="是",反向題設定!$B$2+1-原始資料!X118,原始資料!X118))</f>
        <v/>
      </c>
      <c r="Y118">
        <f>IF(原始資料!Y118="","",IF(反向題設定!$C$28="是",反向題設定!$B$2+1-原始資料!Y118,原始資料!Y118))</f>
        <v/>
      </c>
      <c r="Z118">
        <f>IF(原始資料!Z118="","",IF(反向題設定!$C$29="是",反向題設定!$B$2+1-原始資料!Z118,原始資料!Z118))</f>
        <v/>
      </c>
      <c r="AA118">
        <f>IF(原始資料!AA118="","",IF(反向題設定!$C$30="是",反向題設定!$B$2+1-原始資料!AA118,原始資料!AA118))</f>
        <v/>
      </c>
      <c r="AB118">
        <f>IF(原始資料!AB118="","",IF(反向題設定!$C$31="是",反向題設定!$B$2+1-原始資料!AB118,原始資料!AB118))</f>
        <v/>
      </c>
      <c r="AC118">
        <f>IF(原始資料!AC118="","",IF(反向題設定!$C$32="是",反向題設定!$B$2+1-原始資料!AC118,原始資料!AC118))</f>
        <v/>
      </c>
      <c r="AD118">
        <f>IF(原始資料!AD118="","",IF(反向題設定!$C$33="是",反向題設定!$B$2+1-原始資料!AD118,原始資料!AD118))</f>
        <v/>
      </c>
      <c r="AE118">
        <f>IF(原始資料!AE118="","",IF(反向題設定!$C$34="是",反向題設定!$B$2+1-原始資料!AE118,原始資料!AE118))</f>
        <v/>
      </c>
      <c r="AF118">
        <f>IF(原始資料!AF118="","",IF(反向題設定!$C$35="是",反向題設定!$B$2+1-原始資料!AF118,原始資料!AF118))</f>
        <v/>
      </c>
      <c r="AG118">
        <f>IF(原始資料!AG118="","",IF(反向題設定!$C$36="是",反向題設定!$B$2+1-原始資料!AG118,原始資料!AG118))</f>
        <v/>
      </c>
      <c r="AH118">
        <f>IF(原始資料!AH118="","",IF(反向題設定!$C$37="是",反向題設定!$B$2+1-原始資料!AH118,原始資料!AH118))</f>
        <v/>
      </c>
      <c r="AI118">
        <f>IF(原始資料!AI118="","",IF(反向題設定!$C$38="是",反向題設定!$B$2+1-原始資料!AI118,原始資料!AI118))</f>
        <v/>
      </c>
      <c r="AJ118">
        <f>IF(原始資料!AJ118="","",IF(反向題設定!$C$39="是",反向題設定!$B$2+1-原始資料!AJ118,原始資料!AJ118))</f>
        <v/>
      </c>
      <c r="AK118">
        <f>IF(原始資料!AK118="","",IF(反向題設定!$C$40="是",反向題設定!$B$2+1-原始資料!AK118,原始資料!AK118))</f>
        <v/>
      </c>
      <c r="AL118">
        <f>IF(原始資料!AL118="","",IF(反向題設定!$C$41="是",反向題設定!$B$2+1-原始資料!AL118,原始資料!AL118))</f>
        <v/>
      </c>
      <c r="AM118">
        <f>IF(原始資料!AM118="","",IF(反向題設定!$C$42="是",反向題設定!$B$2+1-原始資料!AM118,原始資料!AM118))</f>
        <v/>
      </c>
      <c r="AN118">
        <f>IF(原始資料!AN118="","",IF(反向題設定!$C$43="是",反向題設定!$B$2+1-原始資料!AN118,原始資料!AN118))</f>
        <v/>
      </c>
      <c r="AO118">
        <f>IF(原始資料!AO118="","",IF(反向題設定!$C$44="是",反向題設定!$B$2+1-原始資料!AO118,原始資料!AO118))</f>
        <v/>
      </c>
      <c r="AP118">
        <f>IF(COUNT(B118:AO118)=0,"",SUM(B118:AO118))</f>
        <v/>
      </c>
      <c r="AQ118">
        <f>IF(AP118="","",IF(AP118&gt;=項目分析!$C$5,"高",IF(AP118&lt;=項目分析!$C$6,"低","")))</f>
        <v/>
      </c>
    </row>
    <row r="119">
      <c r="A119">
        <f>IF(原始資料!A119="","",原始資料!A119)</f>
        <v/>
      </c>
      <c r="B119">
        <f>IF(原始資料!B119="","",IF(反向題設定!$C$5="是",反向題設定!$B$2+1-原始資料!B119,原始資料!B119))</f>
        <v/>
      </c>
      <c r="C119">
        <f>IF(原始資料!C119="","",IF(反向題設定!$C$6="是",反向題設定!$B$2+1-原始資料!C119,原始資料!C119))</f>
        <v/>
      </c>
      <c r="D119">
        <f>IF(原始資料!D119="","",IF(反向題設定!$C$7="是",反向題設定!$B$2+1-原始資料!D119,原始資料!D119))</f>
        <v/>
      </c>
      <c r="E119">
        <f>IF(原始資料!E119="","",IF(反向題設定!$C$8="是",反向題設定!$B$2+1-原始資料!E119,原始資料!E119))</f>
        <v/>
      </c>
      <c r="F119">
        <f>IF(原始資料!F119="","",IF(反向題設定!$C$9="是",反向題設定!$B$2+1-原始資料!F119,原始資料!F119))</f>
        <v/>
      </c>
      <c r="G119">
        <f>IF(原始資料!G119="","",IF(反向題設定!$C$10="是",反向題設定!$B$2+1-原始資料!G119,原始資料!G119))</f>
        <v/>
      </c>
      <c r="H119">
        <f>IF(原始資料!H119="","",IF(反向題設定!$C$11="是",反向題設定!$B$2+1-原始資料!H119,原始資料!H119))</f>
        <v/>
      </c>
      <c r="I119">
        <f>IF(原始資料!I119="","",IF(反向題設定!$C$12="是",反向題設定!$B$2+1-原始資料!I119,原始資料!I119))</f>
        <v/>
      </c>
      <c r="J119">
        <f>IF(原始資料!J119="","",IF(反向題設定!$C$13="是",反向題設定!$B$2+1-原始資料!J119,原始資料!J119))</f>
        <v/>
      </c>
      <c r="K119">
        <f>IF(原始資料!K119="","",IF(反向題設定!$C$14="是",反向題設定!$B$2+1-原始資料!K119,原始資料!K119))</f>
        <v/>
      </c>
      <c r="L119">
        <f>IF(原始資料!L119="","",IF(反向題設定!$C$15="是",反向題設定!$B$2+1-原始資料!L119,原始資料!L119))</f>
        <v/>
      </c>
      <c r="M119">
        <f>IF(原始資料!M119="","",IF(反向題設定!$C$16="是",反向題設定!$B$2+1-原始資料!M119,原始資料!M119))</f>
        <v/>
      </c>
      <c r="N119">
        <f>IF(原始資料!N119="","",IF(反向題設定!$C$17="是",反向題設定!$B$2+1-原始資料!N119,原始資料!N119))</f>
        <v/>
      </c>
      <c r="O119">
        <f>IF(原始資料!O119="","",IF(反向題設定!$C$18="是",反向題設定!$B$2+1-原始資料!O119,原始資料!O119))</f>
        <v/>
      </c>
      <c r="P119">
        <f>IF(原始資料!P119="","",IF(反向題設定!$C$19="是",反向題設定!$B$2+1-原始資料!P119,原始資料!P119))</f>
        <v/>
      </c>
      <c r="Q119">
        <f>IF(原始資料!Q119="","",IF(反向題設定!$C$20="是",反向題設定!$B$2+1-原始資料!Q119,原始資料!Q119))</f>
        <v/>
      </c>
      <c r="R119">
        <f>IF(原始資料!R119="","",IF(反向題設定!$C$21="是",反向題設定!$B$2+1-原始資料!R119,原始資料!R119))</f>
        <v/>
      </c>
      <c r="S119">
        <f>IF(原始資料!S119="","",IF(反向題設定!$C$22="是",反向題設定!$B$2+1-原始資料!S119,原始資料!S119))</f>
        <v/>
      </c>
      <c r="T119">
        <f>IF(原始資料!T119="","",IF(反向題設定!$C$23="是",反向題設定!$B$2+1-原始資料!T119,原始資料!T119))</f>
        <v/>
      </c>
      <c r="U119">
        <f>IF(原始資料!U119="","",IF(反向題設定!$C$24="是",反向題設定!$B$2+1-原始資料!U119,原始資料!U119))</f>
        <v/>
      </c>
      <c r="V119">
        <f>IF(原始資料!V119="","",IF(反向題設定!$C$25="是",反向題設定!$B$2+1-原始資料!V119,原始資料!V119))</f>
        <v/>
      </c>
      <c r="W119">
        <f>IF(原始資料!W119="","",IF(反向題設定!$C$26="是",反向題設定!$B$2+1-原始資料!W119,原始資料!W119))</f>
        <v/>
      </c>
      <c r="X119">
        <f>IF(原始資料!X119="","",IF(反向題設定!$C$27="是",反向題設定!$B$2+1-原始資料!X119,原始資料!X119))</f>
        <v/>
      </c>
      <c r="Y119">
        <f>IF(原始資料!Y119="","",IF(反向題設定!$C$28="是",反向題設定!$B$2+1-原始資料!Y119,原始資料!Y119))</f>
        <v/>
      </c>
      <c r="Z119">
        <f>IF(原始資料!Z119="","",IF(反向題設定!$C$29="是",反向題設定!$B$2+1-原始資料!Z119,原始資料!Z119))</f>
        <v/>
      </c>
      <c r="AA119">
        <f>IF(原始資料!AA119="","",IF(反向題設定!$C$30="是",反向題設定!$B$2+1-原始資料!AA119,原始資料!AA119))</f>
        <v/>
      </c>
      <c r="AB119">
        <f>IF(原始資料!AB119="","",IF(反向題設定!$C$31="是",反向題設定!$B$2+1-原始資料!AB119,原始資料!AB119))</f>
        <v/>
      </c>
      <c r="AC119">
        <f>IF(原始資料!AC119="","",IF(反向題設定!$C$32="是",反向題設定!$B$2+1-原始資料!AC119,原始資料!AC119))</f>
        <v/>
      </c>
      <c r="AD119">
        <f>IF(原始資料!AD119="","",IF(反向題設定!$C$33="是",反向題設定!$B$2+1-原始資料!AD119,原始資料!AD119))</f>
        <v/>
      </c>
      <c r="AE119">
        <f>IF(原始資料!AE119="","",IF(反向題設定!$C$34="是",反向題設定!$B$2+1-原始資料!AE119,原始資料!AE119))</f>
        <v/>
      </c>
      <c r="AF119">
        <f>IF(原始資料!AF119="","",IF(反向題設定!$C$35="是",反向題設定!$B$2+1-原始資料!AF119,原始資料!AF119))</f>
        <v/>
      </c>
      <c r="AG119">
        <f>IF(原始資料!AG119="","",IF(反向題設定!$C$36="是",反向題設定!$B$2+1-原始資料!AG119,原始資料!AG119))</f>
        <v/>
      </c>
      <c r="AH119">
        <f>IF(原始資料!AH119="","",IF(反向題設定!$C$37="是",反向題設定!$B$2+1-原始資料!AH119,原始資料!AH119))</f>
        <v/>
      </c>
      <c r="AI119">
        <f>IF(原始資料!AI119="","",IF(反向題設定!$C$38="是",反向題設定!$B$2+1-原始資料!AI119,原始資料!AI119))</f>
        <v/>
      </c>
      <c r="AJ119">
        <f>IF(原始資料!AJ119="","",IF(反向題設定!$C$39="是",反向題設定!$B$2+1-原始資料!AJ119,原始資料!AJ119))</f>
        <v/>
      </c>
      <c r="AK119">
        <f>IF(原始資料!AK119="","",IF(反向題設定!$C$40="是",反向題設定!$B$2+1-原始資料!AK119,原始資料!AK119))</f>
        <v/>
      </c>
      <c r="AL119">
        <f>IF(原始資料!AL119="","",IF(反向題設定!$C$41="是",反向題設定!$B$2+1-原始資料!AL119,原始資料!AL119))</f>
        <v/>
      </c>
      <c r="AM119">
        <f>IF(原始資料!AM119="","",IF(反向題設定!$C$42="是",反向題設定!$B$2+1-原始資料!AM119,原始資料!AM119))</f>
        <v/>
      </c>
      <c r="AN119">
        <f>IF(原始資料!AN119="","",IF(反向題設定!$C$43="是",反向題設定!$B$2+1-原始資料!AN119,原始資料!AN119))</f>
        <v/>
      </c>
      <c r="AO119">
        <f>IF(原始資料!AO119="","",IF(反向題設定!$C$44="是",反向題設定!$B$2+1-原始資料!AO119,原始資料!AO119))</f>
        <v/>
      </c>
      <c r="AP119">
        <f>IF(COUNT(B119:AO119)=0,"",SUM(B119:AO119))</f>
        <v/>
      </c>
      <c r="AQ119">
        <f>IF(AP119="","",IF(AP119&gt;=項目分析!$C$5,"高",IF(AP119&lt;=項目分析!$C$6,"低","")))</f>
        <v/>
      </c>
    </row>
    <row r="120">
      <c r="A120">
        <f>IF(原始資料!A120="","",原始資料!A120)</f>
        <v/>
      </c>
      <c r="B120">
        <f>IF(原始資料!B120="","",IF(反向題設定!$C$5="是",反向題設定!$B$2+1-原始資料!B120,原始資料!B120))</f>
        <v/>
      </c>
      <c r="C120">
        <f>IF(原始資料!C120="","",IF(反向題設定!$C$6="是",反向題設定!$B$2+1-原始資料!C120,原始資料!C120))</f>
        <v/>
      </c>
      <c r="D120">
        <f>IF(原始資料!D120="","",IF(反向題設定!$C$7="是",反向題設定!$B$2+1-原始資料!D120,原始資料!D120))</f>
        <v/>
      </c>
      <c r="E120">
        <f>IF(原始資料!E120="","",IF(反向題設定!$C$8="是",反向題設定!$B$2+1-原始資料!E120,原始資料!E120))</f>
        <v/>
      </c>
      <c r="F120">
        <f>IF(原始資料!F120="","",IF(反向題設定!$C$9="是",反向題設定!$B$2+1-原始資料!F120,原始資料!F120))</f>
        <v/>
      </c>
      <c r="G120">
        <f>IF(原始資料!G120="","",IF(反向題設定!$C$10="是",反向題設定!$B$2+1-原始資料!G120,原始資料!G120))</f>
        <v/>
      </c>
      <c r="H120">
        <f>IF(原始資料!H120="","",IF(反向題設定!$C$11="是",反向題設定!$B$2+1-原始資料!H120,原始資料!H120))</f>
        <v/>
      </c>
      <c r="I120">
        <f>IF(原始資料!I120="","",IF(反向題設定!$C$12="是",反向題設定!$B$2+1-原始資料!I120,原始資料!I120))</f>
        <v/>
      </c>
      <c r="J120">
        <f>IF(原始資料!J120="","",IF(反向題設定!$C$13="是",反向題設定!$B$2+1-原始資料!J120,原始資料!J120))</f>
        <v/>
      </c>
      <c r="K120">
        <f>IF(原始資料!K120="","",IF(反向題設定!$C$14="是",反向題設定!$B$2+1-原始資料!K120,原始資料!K120))</f>
        <v/>
      </c>
      <c r="L120">
        <f>IF(原始資料!L120="","",IF(反向題設定!$C$15="是",反向題設定!$B$2+1-原始資料!L120,原始資料!L120))</f>
        <v/>
      </c>
      <c r="M120">
        <f>IF(原始資料!M120="","",IF(反向題設定!$C$16="是",反向題設定!$B$2+1-原始資料!M120,原始資料!M120))</f>
        <v/>
      </c>
      <c r="N120">
        <f>IF(原始資料!N120="","",IF(反向題設定!$C$17="是",反向題設定!$B$2+1-原始資料!N120,原始資料!N120))</f>
        <v/>
      </c>
      <c r="O120">
        <f>IF(原始資料!O120="","",IF(反向題設定!$C$18="是",反向題設定!$B$2+1-原始資料!O120,原始資料!O120))</f>
        <v/>
      </c>
      <c r="P120">
        <f>IF(原始資料!P120="","",IF(反向題設定!$C$19="是",反向題設定!$B$2+1-原始資料!P120,原始資料!P120))</f>
        <v/>
      </c>
      <c r="Q120">
        <f>IF(原始資料!Q120="","",IF(反向題設定!$C$20="是",反向題設定!$B$2+1-原始資料!Q120,原始資料!Q120))</f>
        <v/>
      </c>
      <c r="R120">
        <f>IF(原始資料!R120="","",IF(反向題設定!$C$21="是",反向題設定!$B$2+1-原始資料!R120,原始資料!R120))</f>
        <v/>
      </c>
      <c r="S120">
        <f>IF(原始資料!S120="","",IF(反向題設定!$C$22="是",反向題設定!$B$2+1-原始資料!S120,原始資料!S120))</f>
        <v/>
      </c>
      <c r="T120">
        <f>IF(原始資料!T120="","",IF(反向題設定!$C$23="是",反向題設定!$B$2+1-原始資料!T120,原始資料!T120))</f>
        <v/>
      </c>
      <c r="U120">
        <f>IF(原始資料!U120="","",IF(反向題設定!$C$24="是",反向題設定!$B$2+1-原始資料!U120,原始資料!U120))</f>
        <v/>
      </c>
      <c r="V120">
        <f>IF(原始資料!V120="","",IF(反向題設定!$C$25="是",反向題設定!$B$2+1-原始資料!V120,原始資料!V120))</f>
        <v/>
      </c>
      <c r="W120">
        <f>IF(原始資料!W120="","",IF(反向題設定!$C$26="是",反向題設定!$B$2+1-原始資料!W120,原始資料!W120))</f>
        <v/>
      </c>
      <c r="X120">
        <f>IF(原始資料!X120="","",IF(反向題設定!$C$27="是",反向題設定!$B$2+1-原始資料!X120,原始資料!X120))</f>
        <v/>
      </c>
      <c r="Y120">
        <f>IF(原始資料!Y120="","",IF(反向題設定!$C$28="是",反向題設定!$B$2+1-原始資料!Y120,原始資料!Y120))</f>
        <v/>
      </c>
      <c r="Z120">
        <f>IF(原始資料!Z120="","",IF(反向題設定!$C$29="是",反向題設定!$B$2+1-原始資料!Z120,原始資料!Z120))</f>
        <v/>
      </c>
      <c r="AA120">
        <f>IF(原始資料!AA120="","",IF(反向題設定!$C$30="是",反向題設定!$B$2+1-原始資料!AA120,原始資料!AA120))</f>
        <v/>
      </c>
      <c r="AB120">
        <f>IF(原始資料!AB120="","",IF(反向題設定!$C$31="是",反向題設定!$B$2+1-原始資料!AB120,原始資料!AB120))</f>
        <v/>
      </c>
      <c r="AC120">
        <f>IF(原始資料!AC120="","",IF(反向題設定!$C$32="是",反向題設定!$B$2+1-原始資料!AC120,原始資料!AC120))</f>
        <v/>
      </c>
      <c r="AD120">
        <f>IF(原始資料!AD120="","",IF(反向題設定!$C$33="是",反向題設定!$B$2+1-原始資料!AD120,原始資料!AD120))</f>
        <v/>
      </c>
      <c r="AE120">
        <f>IF(原始資料!AE120="","",IF(反向題設定!$C$34="是",反向題設定!$B$2+1-原始資料!AE120,原始資料!AE120))</f>
        <v/>
      </c>
      <c r="AF120">
        <f>IF(原始資料!AF120="","",IF(反向題設定!$C$35="是",反向題設定!$B$2+1-原始資料!AF120,原始資料!AF120))</f>
        <v/>
      </c>
      <c r="AG120">
        <f>IF(原始資料!AG120="","",IF(反向題設定!$C$36="是",反向題設定!$B$2+1-原始資料!AG120,原始資料!AG120))</f>
        <v/>
      </c>
      <c r="AH120">
        <f>IF(原始資料!AH120="","",IF(反向題設定!$C$37="是",反向題設定!$B$2+1-原始資料!AH120,原始資料!AH120))</f>
        <v/>
      </c>
      <c r="AI120">
        <f>IF(原始資料!AI120="","",IF(反向題設定!$C$38="是",反向題設定!$B$2+1-原始資料!AI120,原始資料!AI120))</f>
        <v/>
      </c>
      <c r="AJ120">
        <f>IF(原始資料!AJ120="","",IF(反向題設定!$C$39="是",反向題設定!$B$2+1-原始資料!AJ120,原始資料!AJ120))</f>
        <v/>
      </c>
      <c r="AK120">
        <f>IF(原始資料!AK120="","",IF(反向題設定!$C$40="是",反向題設定!$B$2+1-原始資料!AK120,原始資料!AK120))</f>
        <v/>
      </c>
      <c r="AL120">
        <f>IF(原始資料!AL120="","",IF(反向題設定!$C$41="是",反向題設定!$B$2+1-原始資料!AL120,原始資料!AL120))</f>
        <v/>
      </c>
      <c r="AM120">
        <f>IF(原始資料!AM120="","",IF(反向題設定!$C$42="是",反向題設定!$B$2+1-原始資料!AM120,原始資料!AM120))</f>
        <v/>
      </c>
      <c r="AN120">
        <f>IF(原始資料!AN120="","",IF(反向題設定!$C$43="是",反向題設定!$B$2+1-原始資料!AN120,原始資料!AN120))</f>
        <v/>
      </c>
      <c r="AO120">
        <f>IF(原始資料!AO120="","",IF(反向題設定!$C$44="是",反向題設定!$B$2+1-原始資料!AO120,原始資料!AO120))</f>
        <v/>
      </c>
      <c r="AP120">
        <f>IF(COUNT(B120:AO120)=0,"",SUM(B120:AO120))</f>
        <v/>
      </c>
      <c r="AQ120">
        <f>IF(AP120="","",IF(AP120&gt;=項目分析!$C$5,"高",IF(AP120&lt;=項目分析!$C$6,"低","")))</f>
        <v/>
      </c>
    </row>
    <row r="121">
      <c r="A121">
        <f>IF(原始資料!A121="","",原始資料!A121)</f>
        <v/>
      </c>
      <c r="B121">
        <f>IF(原始資料!B121="","",IF(反向題設定!$C$5="是",反向題設定!$B$2+1-原始資料!B121,原始資料!B121))</f>
        <v/>
      </c>
      <c r="C121">
        <f>IF(原始資料!C121="","",IF(反向題設定!$C$6="是",反向題設定!$B$2+1-原始資料!C121,原始資料!C121))</f>
        <v/>
      </c>
      <c r="D121">
        <f>IF(原始資料!D121="","",IF(反向題設定!$C$7="是",反向題設定!$B$2+1-原始資料!D121,原始資料!D121))</f>
        <v/>
      </c>
      <c r="E121">
        <f>IF(原始資料!E121="","",IF(反向題設定!$C$8="是",反向題設定!$B$2+1-原始資料!E121,原始資料!E121))</f>
        <v/>
      </c>
      <c r="F121">
        <f>IF(原始資料!F121="","",IF(反向題設定!$C$9="是",反向題設定!$B$2+1-原始資料!F121,原始資料!F121))</f>
        <v/>
      </c>
      <c r="G121">
        <f>IF(原始資料!G121="","",IF(反向題設定!$C$10="是",反向題設定!$B$2+1-原始資料!G121,原始資料!G121))</f>
        <v/>
      </c>
      <c r="H121">
        <f>IF(原始資料!H121="","",IF(反向題設定!$C$11="是",反向題設定!$B$2+1-原始資料!H121,原始資料!H121))</f>
        <v/>
      </c>
      <c r="I121">
        <f>IF(原始資料!I121="","",IF(反向題設定!$C$12="是",反向題設定!$B$2+1-原始資料!I121,原始資料!I121))</f>
        <v/>
      </c>
      <c r="J121">
        <f>IF(原始資料!J121="","",IF(反向題設定!$C$13="是",反向題設定!$B$2+1-原始資料!J121,原始資料!J121))</f>
        <v/>
      </c>
      <c r="K121">
        <f>IF(原始資料!K121="","",IF(反向題設定!$C$14="是",反向題設定!$B$2+1-原始資料!K121,原始資料!K121))</f>
        <v/>
      </c>
      <c r="L121">
        <f>IF(原始資料!L121="","",IF(反向題設定!$C$15="是",反向題設定!$B$2+1-原始資料!L121,原始資料!L121))</f>
        <v/>
      </c>
      <c r="M121">
        <f>IF(原始資料!M121="","",IF(反向題設定!$C$16="是",反向題設定!$B$2+1-原始資料!M121,原始資料!M121))</f>
        <v/>
      </c>
      <c r="N121">
        <f>IF(原始資料!N121="","",IF(反向題設定!$C$17="是",反向題設定!$B$2+1-原始資料!N121,原始資料!N121))</f>
        <v/>
      </c>
      <c r="O121">
        <f>IF(原始資料!O121="","",IF(反向題設定!$C$18="是",反向題設定!$B$2+1-原始資料!O121,原始資料!O121))</f>
        <v/>
      </c>
      <c r="P121">
        <f>IF(原始資料!P121="","",IF(反向題設定!$C$19="是",反向題設定!$B$2+1-原始資料!P121,原始資料!P121))</f>
        <v/>
      </c>
      <c r="Q121">
        <f>IF(原始資料!Q121="","",IF(反向題設定!$C$20="是",反向題設定!$B$2+1-原始資料!Q121,原始資料!Q121))</f>
        <v/>
      </c>
      <c r="R121">
        <f>IF(原始資料!R121="","",IF(反向題設定!$C$21="是",反向題設定!$B$2+1-原始資料!R121,原始資料!R121))</f>
        <v/>
      </c>
      <c r="S121">
        <f>IF(原始資料!S121="","",IF(反向題設定!$C$22="是",反向題設定!$B$2+1-原始資料!S121,原始資料!S121))</f>
        <v/>
      </c>
      <c r="T121">
        <f>IF(原始資料!T121="","",IF(反向題設定!$C$23="是",反向題設定!$B$2+1-原始資料!T121,原始資料!T121))</f>
        <v/>
      </c>
      <c r="U121">
        <f>IF(原始資料!U121="","",IF(反向題設定!$C$24="是",反向題設定!$B$2+1-原始資料!U121,原始資料!U121))</f>
        <v/>
      </c>
      <c r="V121">
        <f>IF(原始資料!V121="","",IF(反向題設定!$C$25="是",反向題設定!$B$2+1-原始資料!V121,原始資料!V121))</f>
        <v/>
      </c>
      <c r="W121">
        <f>IF(原始資料!W121="","",IF(反向題設定!$C$26="是",反向題設定!$B$2+1-原始資料!W121,原始資料!W121))</f>
        <v/>
      </c>
      <c r="X121">
        <f>IF(原始資料!X121="","",IF(反向題設定!$C$27="是",反向題設定!$B$2+1-原始資料!X121,原始資料!X121))</f>
        <v/>
      </c>
      <c r="Y121">
        <f>IF(原始資料!Y121="","",IF(反向題設定!$C$28="是",反向題設定!$B$2+1-原始資料!Y121,原始資料!Y121))</f>
        <v/>
      </c>
      <c r="Z121">
        <f>IF(原始資料!Z121="","",IF(反向題設定!$C$29="是",反向題設定!$B$2+1-原始資料!Z121,原始資料!Z121))</f>
        <v/>
      </c>
      <c r="AA121">
        <f>IF(原始資料!AA121="","",IF(反向題設定!$C$30="是",反向題設定!$B$2+1-原始資料!AA121,原始資料!AA121))</f>
        <v/>
      </c>
      <c r="AB121">
        <f>IF(原始資料!AB121="","",IF(反向題設定!$C$31="是",反向題設定!$B$2+1-原始資料!AB121,原始資料!AB121))</f>
        <v/>
      </c>
      <c r="AC121">
        <f>IF(原始資料!AC121="","",IF(反向題設定!$C$32="是",反向題設定!$B$2+1-原始資料!AC121,原始資料!AC121))</f>
        <v/>
      </c>
      <c r="AD121">
        <f>IF(原始資料!AD121="","",IF(反向題設定!$C$33="是",反向題設定!$B$2+1-原始資料!AD121,原始資料!AD121))</f>
        <v/>
      </c>
      <c r="AE121">
        <f>IF(原始資料!AE121="","",IF(反向題設定!$C$34="是",反向題設定!$B$2+1-原始資料!AE121,原始資料!AE121))</f>
        <v/>
      </c>
      <c r="AF121">
        <f>IF(原始資料!AF121="","",IF(反向題設定!$C$35="是",反向題設定!$B$2+1-原始資料!AF121,原始資料!AF121))</f>
        <v/>
      </c>
      <c r="AG121">
        <f>IF(原始資料!AG121="","",IF(反向題設定!$C$36="是",反向題設定!$B$2+1-原始資料!AG121,原始資料!AG121))</f>
        <v/>
      </c>
      <c r="AH121">
        <f>IF(原始資料!AH121="","",IF(反向題設定!$C$37="是",反向題設定!$B$2+1-原始資料!AH121,原始資料!AH121))</f>
        <v/>
      </c>
      <c r="AI121">
        <f>IF(原始資料!AI121="","",IF(反向題設定!$C$38="是",反向題設定!$B$2+1-原始資料!AI121,原始資料!AI121))</f>
        <v/>
      </c>
      <c r="AJ121">
        <f>IF(原始資料!AJ121="","",IF(反向題設定!$C$39="是",反向題設定!$B$2+1-原始資料!AJ121,原始資料!AJ121))</f>
        <v/>
      </c>
      <c r="AK121">
        <f>IF(原始資料!AK121="","",IF(反向題設定!$C$40="是",反向題設定!$B$2+1-原始資料!AK121,原始資料!AK121))</f>
        <v/>
      </c>
      <c r="AL121">
        <f>IF(原始資料!AL121="","",IF(反向題設定!$C$41="是",反向題設定!$B$2+1-原始資料!AL121,原始資料!AL121))</f>
        <v/>
      </c>
      <c r="AM121">
        <f>IF(原始資料!AM121="","",IF(反向題設定!$C$42="是",反向題設定!$B$2+1-原始資料!AM121,原始資料!AM121))</f>
        <v/>
      </c>
      <c r="AN121">
        <f>IF(原始資料!AN121="","",IF(反向題設定!$C$43="是",反向題設定!$B$2+1-原始資料!AN121,原始資料!AN121))</f>
        <v/>
      </c>
      <c r="AO121">
        <f>IF(原始資料!AO121="","",IF(反向題設定!$C$44="是",反向題設定!$B$2+1-原始資料!AO121,原始資料!AO121))</f>
        <v/>
      </c>
      <c r="AP121">
        <f>IF(COUNT(B121:AO121)=0,"",SUM(B121:AO121))</f>
        <v/>
      </c>
      <c r="AQ121">
        <f>IF(AP121="","",IF(AP121&gt;=項目分析!$C$5,"高",IF(AP121&lt;=項目分析!$C$6,"低","")))</f>
        <v/>
      </c>
    </row>
    <row r="122">
      <c r="A122">
        <f>IF(原始資料!A122="","",原始資料!A122)</f>
        <v/>
      </c>
      <c r="B122">
        <f>IF(原始資料!B122="","",IF(反向題設定!$C$5="是",反向題設定!$B$2+1-原始資料!B122,原始資料!B122))</f>
        <v/>
      </c>
      <c r="C122">
        <f>IF(原始資料!C122="","",IF(反向題設定!$C$6="是",反向題設定!$B$2+1-原始資料!C122,原始資料!C122))</f>
        <v/>
      </c>
      <c r="D122">
        <f>IF(原始資料!D122="","",IF(反向題設定!$C$7="是",反向題設定!$B$2+1-原始資料!D122,原始資料!D122))</f>
        <v/>
      </c>
      <c r="E122">
        <f>IF(原始資料!E122="","",IF(反向題設定!$C$8="是",反向題設定!$B$2+1-原始資料!E122,原始資料!E122))</f>
        <v/>
      </c>
      <c r="F122">
        <f>IF(原始資料!F122="","",IF(反向題設定!$C$9="是",反向題設定!$B$2+1-原始資料!F122,原始資料!F122))</f>
        <v/>
      </c>
      <c r="G122">
        <f>IF(原始資料!G122="","",IF(反向題設定!$C$10="是",反向題設定!$B$2+1-原始資料!G122,原始資料!G122))</f>
        <v/>
      </c>
      <c r="H122">
        <f>IF(原始資料!H122="","",IF(反向題設定!$C$11="是",反向題設定!$B$2+1-原始資料!H122,原始資料!H122))</f>
        <v/>
      </c>
      <c r="I122">
        <f>IF(原始資料!I122="","",IF(反向題設定!$C$12="是",反向題設定!$B$2+1-原始資料!I122,原始資料!I122))</f>
        <v/>
      </c>
      <c r="J122">
        <f>IF(原始資料!J122="","",IF(反向題設定!$C$13="是",反向題設定!$B$2+1-原始資料!J122,原始資料!J122))</f>
        <v/>
      </c>
      <c r="K122">
        <f>IF(原始資料!K122="","",IF(反向題設定!$C$14="是",反向題設定!$B$2+1-原始資料!K122,原始資料!K122))</f>
        <v/>
      </c>
      <c r="L122">
        <f>IF(原始資料!L122="","",IF(反向題設定!$C$15="是",反向題設定!$B$2+1-原始資料!L122,原始資料!L122))</f>
        <v/>
      </c>
      <c r="M122">
        <f>IF(原始資料!M122="","",IF(反向題設定!$C$16="是",反向題設定!$B$2+1-原始資料!M122,原始資料!M122))</f>
        <v/>
      </c>
      <c r="N122">
        <f>IF(原始資料!N122="","",IF(反向題設定!$C$17="是",反向題設定!$B$2+1-原始資料!N122,原始資料!N122))</f>
        <v/>
      </c>
      <c r="O122">
        <f>IF(原始資料!O122="","",IF(反向題設定!$C$18="是",反向題設定!$B$2+1-原始資料!O122,原始資料!O122))</f>
        <v/>
      </c>
      <c r="P122">
        <f>IF(原始資料!P122="","",IF(反向題設定!$C$19="是",反向題設定!$B$2+1-原始資料!P122,原始資料!P122))</f>
        <v/>
      </c>
      <c r="Q122">
        <f>IF(原始資料!Q122="","",IF(反向題設定!$C$20="是",反向題設定!$B$2+1-原始資料!Q122,原始資料!Q122))</f>
        <v/>
      </c>
      <c r="R122">
        <f>IF(原始資料!R122="","",IF(反向題設定!$C$21="是",反向題設定!$B$2+1-原始資料!R122,原始資料!R122))</f>
        <v/>
      </c>
      <c r="S122">
        <f>IF(原始資料!S122="","",IF(反向題設定!$C$22="是",反向題設定!$B$2+1-原始資料!S122,原始資料!S122))</f>
        <v/>
      </c>
      <c r="T122">
        <f>IF(原始資料!T122="","",IF(反向題設定!$C$23="是",反向題設定!$B$2+1-原始資料!T122,原始資料!T122))</f>
        <v/>
      </c>
      <c r="U122">
        <f>IF(原始資料!U122="","",IF(反向題設定!$C$24="是",反向題設定!$B$2+1-原始資料!U122,原始資料!U122))</f>
        <v/>
      </c>
      <c r="V122">
        <f>IF(原始資料!V122="","",IF(反向題設定!$C$25="是",反向題設定!$B$2+1-原始資料!V122,原始資料!V122))</f>
        <v/>
      </c>
      <c r="W122">
        <f>IF(原始資料!W122="","",IF(反向題設定!$C$26="是",反向題設定!$B$2+1-原始資料!W122,原始資料!W122))</f>
        <v/>
      </c>
      <c r="X122">
        <f>IF(原始資料!X122="","",IF(反向題設定!$C$27="是",反向題設定!$B$2+1-原始資料!X122,原始資料!X122))</f>
        <v/>
      </c>
      <c r="Y122">
        <f>IF(原始資料!Y122="","",IF(反向題設定!$C$28="是",反向題設定!$B$2+1-原始資料!Y122,原始資料!Y122))</f>
        <v/>
      </c>
      <c r="Z122">
        <f>IF(原始資料!Z122="","",IF(反向題設定!$C$29="是",反向題設定!$B$2+1-原始資料!Z122,原始資料!Z122))</f>
        <v/>
      </c>
      <c r="AA122">
        <f>IF(原始資料!AA122="","",IF(反向題設定!$C$30="是",反向題設定!$B$2+1-原始資料!AA122,原始資料!AA122))</f>
        <v/>
      </c>
      <c r="AB122">
        <f>IF(原始資料!AB122="","",IF(反向題設定!$C$31="是",反向題設定!$B$2+1-原始資料!AB122,原始資料!AB122))</f>
        <v/>
      </c>
      <c r="AC122">
        <f>IF(原始資料!AC122="","",IF(反向題設定!$C$32="是",反向題設定!$B$2+1-原始資料!AC122,原始資料!AC122))</f>
        <v/>
      </c>
      <c r="AD122">
        <f>IF(原始資料!AD122="","",IF(反向題設定!$C$33="是",反向題設定!$B$2+1-原始資料!AD122,原始資料!AD122))</f>
        <v/>
      </c>
      <c r="AE122">
        <f>IF(原始資料!AE122="","",IF(反向題設定!$C$34="是",反向題設定!$B$2+1-原始資料!AE122,原始資料!AE122))</f>
        <v/>
      </c>
      <c r="AF122">
        <f>IF(原始資料!AF122="","",IF(反向題設定!$C$35="是",反向題設定!$B$2+1-原始資料!AF122,原始資料!AF122))</f>
        <v/>
      </c>
      <c r="AG122">
        <f>IF(原始資料!AG122="","",IF(反向題設定!$C$36="是",反向題設定!$B$2+1-原始資料!AG122,原始資料!AG122))</f>
        <v/>
      </c>
      <c r="AH122">
        <f>IF(原始資料!AH122="","",IF(反向題設定!$C$37="是",反向題設定!$B$2+1-原始資料!AH122,原始資料!AH122))</f>
        <v/>
      </c>
      <c r="AI122">
        <f>IF(原始資料!AI122="","",IF(反向題設定!$C$38="是",反向題設定!$B$2+1-原始資料!AI122,原始資料!AI122))</f>
        <v/>
      </c>
      <c r="AJ122">
        <f>IF(原始資料!AJ122="","",IF(反向題設定!$C$39="是",反向題設定!$B$2+1-原始資料!AJ122,原始資料!AJ122))</f>
        <v/>
      </c>
      <c r="AK122">
        <f>IF(原始資料!AK122="","",IF(反向題設定!$C$40="是",反向題設定!$B$2+1-原始資料!AK122,原始資料!AK122))</f>
        <v/>
      </c>
      <c r="AL122">
        <f>IF(原始資料!AL122="","",IF(反向題設定!$C$41="是",反向題設定!$B$2+1-原始資料!AL122,原始資料!AL122))</f>
        <v/>
      </c>
      <c r="AM122">
        <f>IF(原始資料!AM122="","",IF(反向題設定!$C$42="是",反向題設定!$B$2+1-原始資料!AM122,原始資料!AM122))</f>
        <v/>
      </c>
      <c r="AN122">
        <f>IF(原始資料!AN122="","",IF(反向題設定!$C$43="是",反向題設定!$B$2+1-原始資料!AN122,原始資料!AN122))</f>
        <v/>
      </c>
      <c r="AO122">
        <f>IF(原始資料!AO122="","",IF(反向題設定!$C$44="是",反向題設定!$B$2+1-原始資料!AO122,原始資料!AO122))</f>
        <v/>
      </c>
      <c r="AP122">
        <f>IF(COUNT(B122:AO122)=0,"",SUM(B122:AO122))</f>
        <v/>
      </c>
      <c r="AQ122">
        <f>IF(AP122="","",IF(AP122&gt;=項目分析!$C$5,"高",IF(AP122&lt;=項目分析!$C$6,"低","")))</f>
        <v/>
      </c>
    </row>
    <row r="123">
      <c r="A123">
        <f>IF(原始資料!A123="","",原始資料!A123)</f>
        <v/>
      </c>
      <c r="B123">
        <f>IF(原始資料!B123="","",IF(反向題設定!$C$5="是",反向題設定!$B$2+1-原始資料!B123,原始資料!B123))</f>
        <v/>
      </c>
      <c r="C123">
        <f>IF(原始資料!C123="","",IF(反向題設定!$C$6="是",反向題設定!$B$2+1-原始資料!C123,原始資料!C123))</f>
        <v/>
      </c>
      <c r="D123">
        <f>IF(原始資料!D123="","",IF(反向題設定!$C$7="是",反向題設定!$B$2+1-原始資料!D123,原始資料!D123))</f>
        <v/>
      </c>
      <c r="E123">
        <f>IF(原始資料!E123="","",IF(反向題設定!$C$8="是",反向題設定!$B$2+1-原始資料!E123,原始資料!E123))</f>
        <v/>
      </c>
      <c r="F123">
        <f>IF(原始資料!F123="","",IF(反向題設定!$C$9="是",反向題設定!$B$2+1-原始資料!F123,原始資料!F123))</f>
        <v/>
      </c>
      <c r="G123">
        <f>IF(原始資料!G123="","",IF(反向題設定!$C$10="是",反向題設定!$B$2+1-原始資料!G123,原始資料!G123))</f>
        <v/>
      </c>
      <c r="H123">
        <f>IF(原始資料!H123="","",IF(反向題設定!$C$11="是",反向題設定!$B$2+1-原始資料!H123,原始資料!H123))</f>
        <v/>
      </c>
      <c r="I123">
        <f>IF(原始資料!I123="","",IF(反向題設定!$C$12="是",反向題設定!$B$2+1-原始資料!I123,原始資料!I123))</f>
        <v/>
      </c>
      <c r="J123">
        <f>IF(原始資料!J123="","",IF(反向題設定!$C$13="是",反向題設定!$B$2+1-原始資料!J123,原始資料!J123))</f>
        <v/>
      </c>
      <c r="K123">
        <f>IF(原始資料!K123="","",IF(反向題設定!$C$14="是",反向題設定!$B$2+1-原始資料!K123,原始資料!K123))</f>
        <v/>
      </c>
      <c r="L123">
        <f>IF(原始資料!L123="","",IF(反向題設定!$C$15="是",反向題設定!$B$2+1-原始資料!L123,原始資料!L123))</f>
        <v/>
      </c>
      <c r="M123">
        <f>IF(原始資料!M123="","",IF(反向題設定!$C$16="是",反向題設定!$B$2+1-原始資料!M123,原始資料!M123))</f>
        <v/>
      </c>
      <c r="N123">
        <f>IF(原始資料!N123="","",IF(反向題設定!$C$17="是",反向題設定!$B$2+1-原始資料!N123,原始資料!N123))</f>
        <v/>
      </c>
      <c r="O123">
        <f>IF(原始資料!O123="","",IF(反向題設定!$C$18="是",反向題設定!$B$2+1-原始資料!O123,原始資料!O123))</f>
        <v/>
      </c>
      <c r="P123">
        <f>IF(原始資料!P123="","",IF(反向題設定!$C$19="是",反向題設定!$B$2+1-原始資料!P123,原始資料!P123))</f>
        <v/>
      </c>
      <c r="Q123">
        <f>IF(原始資料!Q123="","",IF(反向題設定!$C$20="是",反向題設定!$B$2+1-原始資料!Q123,原始資料!Q123))</f>
        <v/>
      </c>
      <c r="R123">
        <f>IF(原始資料!R123="","",IF(反向題設定!$C$21="是",反向題設定!$B$2+1-原始資料!R123,原始資料!R123))</f>
        <v/>
      </c>
      <c r="S123">
        <f>IF(原始資料!S123="","",IF(反向題設定!$C$22="是",反向題設定!$B$2+1-原始資料!S123,原始資料!S123))</f>
        <v/>
      </c>
      <c r="T123">
        <f>IF(原始資料!T123="","",IF(反向題設定!$C$23="是",反向題設定!$B$2+1-原始資料!T123,原始資料!T123))</f>
        <v/>
      </c>
      <c r="U123">
        <f>IF(原始資料!U123="","",IF(反向題設定!$C$24="是",反向題設定!$B$2+1-原始資料!U123,原始資料!U123))</f>
        <v/>
      </c>
      <c r="V123">
        <f>IF(原始資料!V123="","",IF(反向題設定!$C$25="是",反向題設定!$B$2+1-原始資料!V123,原始資料!V123))</f>
        <v/>
      </c>
      <c r="W123">
        <f>IF(原始資料!W123="","",IF(反向題設定!$C$26="是",反向題設定!$B$2+1-原始資料!W123,原始資料!W123))</f>
        <v/>
      </c>
      <c r="X123">
        <f>IF(原始資料!X123="","",IF(反向題設定!$C$27="是",反向題設定!$B$2+1-原始資料!X123,原始資料!X123))</f>
        <v/>
      </c>
      <c r="Y123">
        <f>IF(原始資料!Y123="","",IF(反向題設定!$C$28="是",反向題設定!$B$2+1-原始資料!Y123,原始資料!Y123))</f>
        <v/>
      </c>
      <c r="Z123">
        <f>IF(原始資料!Z123="","",IF(反向題設定!$C$29="是",反向題設定!$B$2+1-原始資料!Z123,原始資料!Z123))</f>
        <v/>
      </c>
      <c r="AA123">
        <f>IF(原始資料!AA123="","",IF(反向題設定!$C$30="是",反向題設定!$B$2+1-原始資料!AA123,原始資料!AA123))</f>
        <v/>
      </c>
      <c r="AB123">
        <f>IF(原始資料!AB123="","",IF(反向題設定!$C$31="是",反向題設定!$B$2+1-原始資料!AB123,原始資料!AB123))</f>
        <v/>
      </c>
      <c r="AC123">
        <f>IF(原始資料!AC123="","",IF(反向題設定!$C$32="是",反向題設定!$B$2+1-原始資料!AC123,原始資料!AC123))</f>
        <v/>
      </c>
      <c r="AD123">
        <f>IF(原始資料!AD123="","",IF(反向題設定!$C$33="是",反向題設定!$B$2+1-原始資料!AD123,原始資料!AD123))</f>
        <v/>
      </c>
      <c r="AE123">
        <f>IF(原始資料!AE123="","",IF(反向題設定!$C$34="是",反向題設定!$B$2+1-原始資料!AE123,原始資料!AE123))</f>
        <v/>
      </c>
      <c r="AF123">
        <f>IF(原始資料!AF123="","",IF(反向題設定!$C$35="是",反向題設定!$B$2+1-原始資料!AF123,原始資料!AF123))</f>
        <v/>
      </c>
      <c r="AG123">
        <f>IF(原始資料!AG123="","",IF(反向題設定!$C$36="是",反向題設定!$B$2+1-原始資料!AG123,原始資料!AG123))</f>
        <v/>
      </c>
      <c r="AH123">
        <f>IF(原始資料!AH123="","",IF(反向題設定!$C$37="是",反向題設定!$B$2+1-原始資料!AH123,原始資料!AH123))</f>
        <v/>
      </c>
      <c r="AI123">
        <f>IF(原始資料!AI123="","",IF(反向題設定!$C$38="是",反向題設定!$B$2+1-原始資料!AI123,原始資料!AI123))</f>
        <v/>
      </c>
      <c r="AJ123">
        <f>IF(原始資料!AJ123="","",IF(反向題設定!$C$39="是",反向題設定!$B$2+1-原始資料!AJ123,原始資料!AJ123))</f>
        <v/>
      </c>
      <c r="AK123">
        <f>IF(原始資料!AK123="","",IF(反向題設定!$C$40="是",反向題設定!$B$2+1-原始資料!AK123,原始資料!AK123))</f>
        <v/>
      </c>
      <c r="AL123">
        <f>IF(原始資料!AL123="","",IF(反向題設定!$C$41="是",反向題設定!$B$2+1-原始資料!AL123,原始資料!AL123))</f>
        <v/>
      </c>
      <c r="AM123">
        <f>IF(原始資料!AM123="","",IF(反向題設定!$C$42="是",反向題設定!$B$2+1-原始資料!AM123,原始資料!AM123))</f>
        <v/>
      </c>
      <c r="AN123">
        <f>IF(原始資料!AN123="","",IF(反向題設定!$C$43="是",反向題設定!$B$2+1-原始資料!AN123,原始資料!AN123))</f>
        <v/>
      </c>
      <c r="AO123">
        <f>IF(原始資料!AO123="","",IF(反向題設定!$C$44="是",反向題設定!$B$2+1-原始資料!AO123,原始資料!AO123))</f>
        <v/>
      </c>
      <c r="AP123">
        <f>IF(COUNT(B123:AO123)=0,"",SUM(B123:AO123))</f>
        <v/>
      </c>
      <c r="AQ123">
        <f>IF(AP123="","",IF(AP123&gt;=項目分析!$C$5,"高",IF(AP123&lt;=項目分析!$C$6,"低","")))</f>
        <v/>
      </c>
    </row>
    <row r="124">
      <c r="A124">
        <f>IF(原始資料!A124="","",原始資料!A124)</f>
        <v/>
      </c>
      <c r="B124">
        <f>IF(原始資料!B124="","",IF(反向題設定!$C$5="是",反向題設定!$B$2+1-原始資料!B124,原始資料!B124))</f>
        <v/>
      </c>
      <c r="C124">
        <f>IF(原始資料!C124="","",IF(反向題設定!$C$6="是",反向題設定!$B$2+1-原始資料!C124,原始資料!C124))</f>
        <v/>
      </c>
      <c r="D124">
        <f>IF(原始資料!D124="","",IF(反向題設定!$C$7="是",反向題設定!$B$2+1-原始資料!D124,原始資料!D124))</f>
        <v/>
      </c>
      <c r="E124">
        <f>IF(原始資料!E124="","",IF(反向題設定!$C$8="是",反向題設定!$B$2+1-原始資料!E124,原始資料!E124))</f>
        <v/>
      </c>
      <c r="F124">
        <f>IF(原始資料!F124="","",IF(反向題設定!$C$9="是",反向題設定!$B$2+1-原始資料!F124,原始資料!F124))</f>
        <v/>
      </c>
      <c r="G124">
        <f>IF(原始資料!G124="","",IF(反向題設定!$C$10="是",反向題設定!$B$2+1-原始資料!G124,原始資料!G124))</f>
        <v/>
      </c>
      <c r="H124">
        <f>IF(原始資料!H124="","",IF(反向題設定!$C$11="是",反向題設定!$B$2+1-原始資料!H124,原始資料!H124))</f>
        <v/>
      </c>
      <c r="I124">
        <f>IF(原始資料!I124="","",IF(反向題設定!$C$12="是",反向題設定!$B$2+1-原始資料!I124,原始資料!I124))</f>
        <v/>
      </c>
      <c r="J124">
        <f>IF(原始資料!J124="","",IF(反向題設定!$C$13="是",反向題設定!$B$2+1-原始資料!J124,原始資料!J124))</f>
        <v/>
      </c>
      <c r="K124">
        <f>IF(原始資料!K124="","",IF(反向題設定!$C$14="是",反向題設定!$B$2+1-原始資料!K124,原始資料!K124))</f>
        <v/>
      </c>
      <c r="L124">
        <f>IF(原始資料!L124="","",IF(反向題設定!$C$15="是",反向題設定!$B$2+1-原始資料!L124,原始資料!L124))</f>
        <v/>
      </c>
      <c r="M124">
        <f>IF(原始資料!M124="","",IF(反向題設定!$C$16="是",反向題設定!$B$2+1-原始資料!M124,原始資料!M124))</f>
        <v/>
      </c>
      <c r="N124">
        <f>IF(原始資料!N124="","",IF(反向題設定!$C$17="是",反向題設定!$B$2+1-原始資料!N124,原始資料!N124))</f>
        <v/>
      </c>
      <c r="O124">
        <f>IF(原始資料!O124="","",IF(反向題設定!$C$18="是",反向題設定!$B$2+1-原始資料!O124,原始資料!O124))</f>
        <v/>
      </c>
      <c r="P124">
        <f>IF(原始資料!P124="","",IF(反向題設定!$C$19="是",反向題設定!$B$2+1-原始資料!P124,原始資料!P124))</f>
        <v/>
      </c>
      <c r="Q124">
        <f>IF(原始資料!Q124="","",IF(反向題設定!$C$20="是",反向題設定!$B$2+1-原始資料!Q124,原始資料!Q124))</f>
        <v/>
      </c>
      <c r="R124">
        <f>IF(原始資料!R124="","",IF(反向題設定!$C$21="是",反向題設定!$B$2+1-原始資料!R124,原始資料!R124))</f>
        <v/>
      </c>
      <c r="S124">
        <f>IF(原始資料!S124="","",IF(反向題設定!$C$22="是",反向題設定!$B$2+1-原始資料!S124,原始資料!S124))</f>
        <v/>
      </c>
      <c r="T124">
        <f>IF(原始資料!T124="","",IF(反向題設定!$C$23="是",反向題設定!$B$2+1-原始資料!T124,原始資料!T124))</f>
        <v/>
      </c>
      <c r="U124">
        <f>IF(原始資料!U124="","",IF(反向題設定!$C$24="是",反向題設定!$B$2+1-原始資料!U124,原始資料!U124))</f>
        <v/>
      </c>
      <c r="V124">
        <f>IF(原始資料!V124="","",IF(反向題設定!$C$25="是",反向題設定!$B$2+1-原始資料!V124,原始資料!V124))</f>
        <v/>
      </c>
      <c r="W124">
        <f>IF(原始資料!W124="","",IF(反向題設定!$C$26="是",反向題設定!$B$2+1-原始資料!W124,原始資料!W124))</f>
        <v/>
      </c>
      <c r="X124">
        <f>IF(原始資料!X124="","",IF(反向題設定!$C$27="是",反向題設定!$B$2+1-原始資料!X124,原始資料!X124))</f>
        <v/>
      </c>
      <c r="Y124">
        <f>IF(原始資料!Y124="","",IF(反向題設定!$C$28="是",反向題設定!$B$2+1-原始資料!Y124,原始資料!Y124))</f>
        <v/>
      </c>
      <c r="Z124">
        <f>IF(原始資料!Z124="","",IF(反向題設定!$C$29="是",反向題設定!$B$2+1-原始資料!Z124,原始資料!Z124))</f>
        <v/>
      </c>
      <c r="AA124">
        <f>IF(原始資料!AA124="","",IF(反向題設定!$C$30="是",反向題設定!$B$2+1-原始資料!AA124,原始資料!AA124))</f>
        <v/>
      </c>
      <c r="AB124">
        <f>IF(原始資料!AB124="","",IF(反向題設定!$C$31="是",反向題設定!$B$2+1-原始資料!AB124,原始資料!AB124))</f>
        <v/>
      </c>
      <c r="AC124">
        <f>IF(原始資料!AC124="","",IF(反向題設定!$C$32="是",反向題設定!$B$2+1-原始資料!AC124,原始資料!AC124))</f>
        <v/>
      </c>
      <c r="AD124">
        <f>IF(原始資料!AD124="","",IF(反向題設定!$C$33="是",反向題設定!$B$2+1-原始資料!AD124,原始資料!AD124))</f>
        <v/>
      </c>
      <c r="AE124">
        <f>IF(原始資料!AE124="","",IF(反向題設定!$C$34="是",反向題設定!$B$2+1-原始資料!AE124,原始資料!AE124))</f>
        <v/>
      </c>
      <c r="AF124">
        <f>IF(原始資料!AF124="","",IF(反向題設定!$C$35="是",反向題設定!$B$2+1-原始資料!AF124,原始資料!AF124))</f>
        <v/>
      </c>
      <c r="AG124">
        <f>IF(原始資料!AG124="","",IF(反向題設定!$C$36="是",反向題設定!$B$2+1-原始資料!AG124,原始資料!AG124))</f>
        <v/>
      </c>
      <c r="AH124">
        <f>IF(原始資料!AH124="","",IF(反向題設定!$C$37="是",反向題設定!$B$2+1-原始資料!AH124,原始資料!AH124))</f>
        <v/>
      </c>
      <c r="AI124">
        <f>IF(原始資料!AI124="","",IF(反向題設定!$C$38="是",反向題設定!$B$2+1-原始資料!AI124,原始資料!AI124))</f>
        <v/>
      </c>
      <c r="AJ124">
        <f>IF(原始資料!AJ124="","",IF(反向題設定!$C$39="是",反向題設定!$B$2+1-原始資料!AJ124,原始資料!AJ124))</f>
        <v/>
      </c>
      <c r="AK124">
        <f>IF(原始資料!AK124="","",IF(反向題設定!$C$40="是",反向題設定!$B$2+1-原始資料!AK124,原始資料!AK124))</f>
        <v/>
      </c>
      <c r="AL124">
        <f>IF(原始資料!AL124="","",IF(反向題設定!$C$41="是",反向題設定!$B$2+1-原始資料!AL124,原始資料!AL124))</f>
        <v/>
      </c>
      <c r="AM124">
        <f>IF(原始資料!AM124="","",IF(反向題設定!$C$42="是",反向題設定!$B$2+1-原始資料!AM124,原始資料!AM124))</f>
        <v/>
      </c>
      <c r="AN124">
        <f>IF(原始資料!AN124="","",IF(反向題設定!$C$43="是",反向題設定!$B$2+1-原始資料!AN124,原始資料!AN124))</f>
        <v/>
      </c>
      <c r="AO124">
        <f>IF(原始資料!AO124="","",IF(反向題設定!$C$44="是",反向題設定!$B$2+1-原始資料!AO124,原始資料!AO124))</f>
        <v/>
      </c>
      <c r="AP124">
        <f>IF(COUNT(B124:AO124)=0,"",SUM(B124:AO124))</f>
        <v/>
      </c>
      <c r="AQ124">
        <f>IF(AP124="","",IF(AP124&gt;=項目分析!$C$5,"高",IF(AP124&lt;=項目分析!$C$6,"低","")))</f>
        <v/>
      </c>
    </row>
    <row r="125">
      <c r="A125">
        <f>IF(原始資料!A125="","",原始資料!A125)</f>
        <v/>
      </c>
      <c r="B125">
        <f>IF(原始資料!B125="","",IF(反向題設定!$C$5="是",反向題設定!$B$2+1-原始資料!B125,原始資料!B125))</f>
        <v/>
      </c>
      <c r="C125">
        <f>IF(原始資料!C125="","",IF(反向題設定!$C$6="是",反向題設定!$B$2+1-原始資料!C125,原始資料!C125))</f>
        <v/>
      </c>
      <c r="D125">
        <f>IF(原始資料!D125="","",IF(反向題設定!$C$7="是",反向題設定!$B$2+1-原始資料!D125,原始資料!D125))</f>
        <v/>
      </c>
      <c r="E125">
        <f>IF(原始資料!E125="","",IF(反向題設定!$C$8="是",反向題設定!$B$2+1-原始資料!E125,原始資料!E125))</f>
        <v/>
      </c>
      <c r="F125">
        <f>IF(原始資料!F125="","",IF(反向題設定!$C$9="是",反向題設定!$B$2+1-原始資料!F125,原始資料!F125))</f>
        <v/>
      </c>
      <c r="G125">
        <f>IF(原始資料!G125="","",IF(反向題設定!$C$10="是",反向題設定!$B$2+1-原始資料!G125,原始資料!G125))</f>
        <v/>
      </c>
      <c r="H125">
        <f>IF(原始資料!H125="","",IF(反向題設定!$C$11="是",反向題設定!$B$2+1-原始資料!H125,原始資料!H125))</f>
        <v/>
      </c>
      <c r="I125">
        <f>IF(原始資料!I125="","",IF(反向題設定!$C$12="是",反向題設定!$B$2+1-原始資料!I125,原始資料!I125))</f>
        <v/>
      </c>
      <c r="J125">
        <f>IF(原始資料!J125="","",IF(反向題設定!$C$13="是",反向題設定!$B$2+1-原始資料!J125,原始資料!J125))</f>
        <v/>
      </c>
      <c r="K125">
        <f>IF(原始資料!K125="","",IF(反向題設定!$C$14="是",反向題設定!$B$2+1-原始資料!K125,原始資料!K125))</f>
        <v/>
      </c>
      <c r="L125">
        <f>IF(原始資料!L125="","",IF(反向題設定!$C$15="是",反向題設定!$B$2+1-原始資料!L125,原始資料!L125))</f>
        <v/>
      </c>
      <c r="M125">
        <f>IF(原始資料!M125="","",IF(反向題設定!$C$16="是",反向題設定!$B$2+1-原始資料!M125,原始資料!M125))</f>
        <v/>
      </c>
      <c r="N125">
        <f>IF(原始資料!N125="","",IF(反向題設定!$C$17="是",反向題設定!$B$2+1-原始資料!N125,原始資料!N125))</f>
        <v/>
      </c>
      <c r="O125">
        <f>IF(原始資料!O125="","",IF(反向題設定!$C$18="是",反向題設定!$B$2+1-原始資料!O125,原始資料!O125))</f>
        <v/>
      </c>
      <c r="P125">
        <f>IF(原始資料!P125="","",IF(反向題設定!$C$19="是",反向題設定!$B$2+1-原始資料!P125,原始資料!P125))</f>
        <v/>
      </c>
      <c r="Q125">
        <f>IF(原始資料!Q125="","",IF(反向題設定!$C$20="是",反向題設定!$B$2+1-原始資料!Q125,原始資料!Q125))</f>
        <v/>
      </c>
      <c r="R125">
        <f>IF(原始資料!R125="","",IF(反向題設定!$C$21="是",反向題設定!$B$2+1-原始資料!R125,原始資料!R125))</f>
        <v/>
      </c>
      <c r="S125">
        <f>IF(原始資料!S125="","",IF(反向題設定!$C$22="是",反向題設定!$B$2+1-原始資料!S125,原始資料!S125))</f>
        <v/>
      </c>
      <c r="T125">
        <f>IF(原始資料!T125="","",IF(反向題設定!$C$23="是",反向題設定!$B$2+1-原始資料!T125,原始資料!T125))</f>
        <v/>
      </c>
      <c r="U125">
        <f>IF(原始資料!U125="","",IF(反向題設定!$C$24="是",反向題設定!$B$2+1-原始資料!U125,原始資料!U125))</f>
        <v/>
      </c>
      <c r="V125">
        <f>IF(原始資料!V125="","",IF(反向題設定!$C$25="是",反向題設定!$B$2+1-原始資料!V125,原始資料!V125))</f>
        <v/>
      </c>
      <c r="W125">
        <f>IF(原始資料!W125="","",IF(反向題設定!$C$26="是",反向題設定!$B$2+1-原始資料!W125,原始資料!W125))</f>
        <v/>
      </c>
      <c r="X125">
        <f>IF(原始資料!X125="","",IF(反向題設定!$C$27="是",反向題設定!$B$2+1-原始資料!X125,原始資料!X125))</f>
        <v/>
      </c>
      <c r="Y125">
        <f>IF(原始資料!Y125="","",IF(反向題設定!$C$28="是",反向題設定!$B$2+1-原始資料!Y125,原始資料!Y125))</f>
        <v/>
      </c>
      <c r="Z125">
        <f>IF(原始資料!Z125="","",IF(反向題設定!$C$29="是",反向題設定!$B$2+1-原始資料!Z125,原始資料!Z125))</f>
        <v/>
      </c>
      <c r="AA125">
        <f>IF(原始資料!AA125="","",IF(反向題設定!$C$30="是",反向題設定!$B$2+1-原始資料!AA125,原始資料!AA125))</f>
        <v/>
      </c>
      <c r="AB125">
        <f>IF(原始資料!AB125="","",IF(反向題設定!$C$31="是",反向題設定!$B$2+1-原始資料!AB125,原始資料!AB125))</f>
        <v/>
      </c>
      <c r="AC125">
        <f>IF(原始資料!AC125="","",IF(反向題設定!$C$32="是",反向題設定!$B$2+1-原始資料!AC125,原始資料!AC125))</f>
        <v/>
      </c>
      <c r="AD125">
        <f>IF(原始資料!AD125="","",IF(反向題設定!$C$33="是",反向題設定!$B$2+1-原始資料!AD125,原始資料!AD125))</f>
        <v/>
      </c>
      <c r="AE125">
        <f>IF(原始資料!AE125="","",IF(反向題設定!$C$34="是",反向題設定!$B$2+1-原始資料!AE125,原始資料!AE125))</f>
        <v/>
      </c>
      <c r="AF125">
        <f>IF(原始資料!AF125="","",IF(反向題設定!$C$35="是",反向題設定!$B$2+1-原始資料!AF125,原始資料!AF125))</f>
        <v/>
      </c>
      <c r="AG125">
        <f>IF(原始資料!AG125="","",IF(反向題設定!$C$36="是",反向題設定!$B$2+1-原始資料!AG125,原始資料!AG125))</f>
        <v/>
      </c>
      <c r="AH125">
        <f>IF(原始資料!AH125="","",IF(反向題設定!$C$37="是",反向題設定!$B$2+1-原始資料!AH125,原始資料!AH125))</f>
        <v/>
      </c>
      <c r="AI125">
        <f>IF(原始資料!AI125="","",IF(反向題設定!$C$38="是",反向題設定!$B$2+1-原始資料!AI125,原始資料!AI125))</f>
        <v/>
      </c>
      <c r="AJ125">
        <f>IF(原始資料!AJ125="","",IF(反向題設定!$C$39="是",反向題設定!$B$2+1-原始資料!AJ125,原始資料!AJ125))</f>
        <v/>
      </c>
      <c r="AK125">
        <f>IF(原始資料!AK125="","",IF(反向題設定!$C$40="是",反向題設定!$B$2+1-原始資料!AK125,原始資料!AK125))</f>
        <v/>
      </c>
      <c r="AL125">
        <f>IF(原始資料!AL125="","",IF(反向題設定!$C$41="是",反向題設定!$B$2+1-原始資料!AL125,原始資料!AL125))</f>
        <v/>
      </c>
      <c r="AM125">
        <f>IF(原始資料!AM125="","",IF(反向題設定!$C$42="是",反向題設定!$B$2+1-原始資料!AM125,原始資料!AM125))</f>
        <v/>
      </c>
      <c r="AN125">
        <f>IF(原始資料!AN125="","",IF(反向題設定!$C$43="是",反向題設定!$B$2+1-原始資料!AN125,原始資料!AN125))</f>
        <v/>
      </c>
      <c r="AO125">
        <f>IF(原始資料!AO125="","",IF(反向題設定!$C$44="是",反向題設定!$B$2+1-原始資料!AO125,原始資料!AO125))</f>
        <v/>
      </c>
      <c r="AP125">
        <f>IF(COUNT(B125:AO125)=0,"",SUM(B125:AO125))</f>
        <v/>
      </c>
      <c r="AQ125">
        <f>IF(AP125="","",IF(AP125&gt;=項目分析!$C$5,"高",IF(AP125&lt;=項目分析!$C$6,"低","")))</f>
        <v/>
      </c>
    </row>
    <row r="126">
      <c r="A126">
        <f>IF(原始資料!A126="","",原始資料!A126)</f>
        <v/>
      </c>
      <c r="B126">
        <f>IF(原始資料!B126="","",IF(反向題設定!$C$5="是",反向題設定!$B$2+1-原始資料!B126,原始資料!B126))</f>
        <v/>
      </c>
      <c r="C126">
        <f>IF(原始資料!C126="","",IF(反向題設定!$C$6="是",反向題設定!$B$2+1-原始資料!C126,原始資料!C126))</f>
        <v/>
      </c>
      <c r="D126">
        <f>IF(原始資料!D126="","",IF(反向題設定!$C$7="是",反向題設定!$B$2+1-原始資料!D126,原始資料!D126))</f>
        <v/>
      </c>
      <c r="E126">
        <f>IF(原始資料!E126="","",IF(反向題設定!$C$8="是",反向題設定!$B$2+1-原始資料!E126,原始資料!E126))</f>
        <v/>
      </c>
      <c r="F126">
        <f>IF(原始資料!F126="","",IF(反向題設定!$C$9="是",反向題設定!$B$2+1-原始資料!F126,原始資料!F126))</f>
        <v/>
      </c>
      <c r="G126">
        <f>IF(原始資料!G126="","",IF(反向題設定!$C$10="是",反向題設定!$B$2+1-原始資料!G126,原始資料!G126))</f>
        <v/>
      </c>
      <c r="H126">
        <f>IF(原始資料!H126="","",IF(反向題設定!$C$11="是",反向題設定!$B$2+1-原始資料!H126,原始資料!H126))</f>
        <v/>
      </c>
      <c r="I126">
        <f>IF(原始資料!I126="","",IF(反向題設定!$C$12="是",反向題設定!$B$2+1-原始資料!I126,原始資料!I126))</f>
        <v/>
      </c>
      <c r="J126">
        <f>IF(原始資料!J126="","",IF(反向題設定!$C$13="是",反向題設定!$B$2+1-原始資料!J126,原始資料!J126))</f>
        <v/>
      </c>
      <c r="K126">
        <f>IF(原始資料!K126="","",IF(反向題設定!$C$14="是",反向題設定!$B$2+1-原始資料!K126,原始資料!K126))</f>
        <v/>
      </c>
      <c r="L126">
        <f>IF(原始資料!L126="","",IF(反向題設定!$C$15="是",反向題設定!$B$2+1-原始資料!L126,原始資料!L126))</f>
        <v/>
      </c>
      <c r="M126">
        <f>IF(原始資料!M126="","",IF(反向題設定!$C$16="是",反向題設定!$B$2+1-原始資料!M126,原始資料!M126))</f>
        <v/>
      </c>
      <c r="N126">
        <f>IF(原始資料!N126="","",IF(反向題設定!$C$17="是",反向題設定!$B$2+1-原始資料!N126,原始資料!N126))</f>
        <v/>
      </c>
      <c r="O126">
        <f>IF(原始資料!O126="","",IF(反向題設定!$C$18="是",反向題設定!$B$2+1-原始資料!O126,原始資料!O126))</f>
        <v/>
      </c>
      <c r="P126">
        <f>IF(原始資料!P126="","",IF(反向題設定!$C$19="是",反向題設定!$B$2+1-原始資料!P126,原始資料!P126))</f>
        <v/>
      </c>
      <c r="Q126">
        <f>IF(原始資料!Q126="","",IF(反向題設定!$C$20="是",反向題設定!$B$2+1-原始資料!Q126,原始資料!Q126))</f>
        <v/>
      </c>
      <c r="R126">
        <f>IF(原始資料!R126="","",IF(反向題設定!$C$21="是",反向題設定!$B$2+1-原始資料!R126,原始資料!R126))</f>
        <v/>
      </c>
      <c r="S126">
        <f>IF(原始資料!S126="","",IF(反向題設定!$C$22="是",反向題設定!$B$2+1-原始資料!S126,原始資料!S126))</f>
        <v/>
      </c>
      <c r="T126">
        <f>IF(原始資料!T126="","",IF(反向題設定!$C$23="是",反向題設定!$B$2+1-原始資料!T126,原始資料!T126))</f>
        <v/>
      </c>
      <c r="U126">
        <f>IF(原始資料!U126="","",IF(反向題設定!$C$24="是",反向題設定!$B$2+1-原始資料!U126,原始資料!U126))</f>
        <v/>
      </c>
      <c r="V126">
        <f>IF(原始資料!V126="","",IF(反向題設定!$C$25="是",反向題設定!$B$2+1-原始資料!V126,原始資料!V126))</f>
        <v/>
      </c>
      <c r="W126">
        <f>IF(原始資料!W126="","",IF(反向題設定!$C$26="是",反向題設定!$B$2+1-原始資料!W126,原始資料!W126))</f>
        <v/>
      </c>
      <c r="X126">
        <f>IF(原始資料!X126="","",IF(反向題設定!$C$27="是",反向題設定!$B$2+1-原始資料!X126,原始資料!X126))</f>
        <v/>
      </c>
      <c r="Y126">
        <f>IF(原始資料!Y126="","",IF(反向題設定!$C$28="是",反向題設定!$B$2+1-原始資料!Y126,原始資料!Y126))</f>
        <v/>
      </c>
      <c r="Z126">
        <f>IF(原始資料!Z126="","",IF(反向題設定!$C$29="是",反向題設定!$B$2+1-原始資料!Z126,原始資料!Z126))</f>
        <v/>
      </c>
      <c r="AA126">
        <f>IF(原始資料!AA126="","",IF(反向題設定!$C$30="是",反向題設定!$B$2+1-原始資料!AA126,原始資料!AA126))</f>
        <v/>
      </c>
      <c r="AB126">
        <f>IF(原始資料!AB126="","",IF(反向題設定!$C$31="是",反向題設定!$B$2+1-原始資料!AB126,原始資料!AB126))</f>
        <v/>
      </c>
      <c r="AC126">
        <f>IF(原始資料!AC126="","",IF(反向題設定!$C$32="是",反向題設定!$B$2+1-原始資料!AC126,原始資料!AC126))</f>
        <v/>
      </c>
      <c r="AD126">
        <f>IF(原始資料!AD126="","",IF(反向題設定!$C$33="是",反向題設定!$B$2+1-原始資料!AD126,原始資料!AD126))</f>
        <v/>
      </c>
      <c r="AE126">
        <f>IF(原始資料!AE126="","",IF(反向題設定!$C$34="是",反向題設定!$B$2+1-原始資料!AE126,原始資料!AE126))</f>
        <v/>
      </c>
      <c r="AF126">
        <f>IF(原始資料!AF126="","",IF(反向題設定!$C$35="是",反向題設定!$B$2+1-原始資料!AF126,原始資料!AF126))</f>
        <v/>
      </c>
      <c r="AG126">
        <f>IF(原始資料!AG126="","",IF(反向題設定!$C$36="是",反向題設定!$B$2+1-原始資料!AG126,原始資料!AG126))</f>
        <v/>
      </c>
      <c r="AH126">
        <f>IF(原始資料!AH126="","",IF(反向題設定!$C$37="是",反向題設定!$B$2+1-原始資料!AH126,原始資料!AH126))</f>
        <v/>
      </c>
      <c r="AI126">
        <f>IF(原始資料!AI126="","",IF(反向題設定!$C$38="是",反向題設定!$B$2+1-原始資料!AI126,原始資料!AI126))</f>
        <v/>
      </c>
      <c r="AJ126">
        <f>IF(原始資料!AJ126="","",IF(反向題設定!$C$39="是",反向題設定!$B$2+1-原始資料!AJ126,原始資料!AJ126))</f>
        <v/>
      </c>
      <c r="AK126">
        <f>IF(原始資料!AK126="","",IF(反向題設定!$C$40="是",反向題設定!$B$2+1-原始資料!AK126,原始資料!AK126))</f>
        <v/>
      </c>
      <c r="AL126">
        <f>IF(原始資料!AL126="","",IF(反向題設定!$C$41="是",反向題設定!$B$2+1-原始資料!AL126,原始資料!AL126))</f>
        <v/>
      </c>
      <c r="AM126">
        <f>IF(原始資料!AM126="","",IF(反向題設定!$C$42="是",反向題設定!$B$2+1-原始資料!AM126,原始資料!AM126))</f>
        <v/>
      </c>
      <c r="AN126">
        <f>IF(原始資料!AN126="","",IF(反向題設定!$C$43="是",反向題設定!$B$2+1-原始資料!AN126,原始資料!AN126))</f>
        <v/>
      </c>
      <c r="AO126">
        <f>IF(原始資料!AO126="","",IF(反向題設定!$C$44="是",反向題設定!$B$2+1-原始資料!AO126,原始資料!AO126))</f>
        <v/>
      </c>
      <c r="AP126">
        <f>IF(COUNT(B126:AO126)=0,"",SUM(B126:AO126))</f>
        <v/>
      </c>
      <c r="AQ126">
        <f>IF(AP126="","",IF(AP126&gt;=項目分析!$C$5,"高",IF(AP126&lt;=項目分析!$C$6,"低","")))</f>
        <v/>
      </c>
    </row>
    <row r="127">
      <c r="A127">
        <f>IF(原始資料!A127="","",原始資料!A127)</f>
        <v/>
      </c>
      <c r="B127">
        <f>IF(原始資料!B127="","",IF(反向題設定!$C$5="是",反向題設定!$B$2+1-原始資料!B127,原始資料!B127))</f>
        <v/>
      </c>
      <c r="C127">
        <f>IF(原始資料!C127="","",IF(反向題設定!$C$6="是",反向題設定!$B$2+1-原始資料!C127,原始資料!C127))</f>
        <v/>
      </c>
      <c r="D127">
        <f>IF(原始資料!D127="","",IF(反向題設定!$C$7="是",反向題設定!$B$2+1-原始資料!D127,原始資料!D127))</f>
        <v/>
      </c>
      <c r="E127">
        <f>IF(原始資料!E127="","",IF(反向題設定!$C$8="是",反向題設定!$B$2+1-原始資料!E127,原始資料!E127))</f>
        <v/>
      </c>
      <c r="F127">
        <f>IF(原始資料!F127="","",IF(反向題設定!$C$9="是",反向題設定!$B$2+1-原始資料!F127,原始資料!F127))</f>
        <v/>
      </c>
      <c r="G127">
        <f>IF(原始資料!G127="","",IF(反向題設定!$C$10="是",反向題設定!$B$2+1-原始資料!G127,原始資料!G127))</f>
        <v/>
      </c>
      <c r="H127">
        <f>IF(原始資料!H127="","",IF(反向題設定!$C$11="是",反向題設定!$B$2+1-原始資料!H127,原始資料!H127))</f>
        <v/>
      </c>
      <c r="I127">
        <f>IF(原始資料!I127="","",IF(反向題設定!$C$12="是",反向題設定!$B$2+1-原始資料!I127,原始資料!I127))</f>
        <v/>
      </c>
      <c r="J127">
        <f>IF(原始資料!J127="","",IF(反向題設定!$C$13="是",反向題設定!$B$2+1-原始資料!J127,原始資料!J127))</f>
        <v/>
      </c>
      <c r="K127">
        <f>IF(原始資料!K127="","",IF(反向題設定!$C$14="是",反向題設定!$B$2+1-原始資料!K127,原始資料!K127))</f>
        <v/>
      </c>
      <c r="L127">
        <f>IF(原始資料!L127="","",IF(反向題設定!$C$15="是",反向題設定!$B$2+1-原始資料!L127,原始資料!L127))</f>
        <v/>
      </c>
      <c r="M127">
        <f>IF(原始資料!M127="","",IF(反向題設定!$C$16="是",反向題設定!$B$2+1-原始資料!M127,原始資料!M127))</f>
        <v/>
      </c>
      <c r="N127">
        <f>IF(原始資料!N127="","",IF(反向題設定!$C$17="是",反向題設定!$B$2+1-原始資料!N127,原始資料!N127))</f>
        <v/>
      </c>
      <c r="O127">
        <f>IF(原始資料!O127="","",IF(反向題設定!$C$18="是",反向題設定!$B$2+1-原始資料!O127,原始資料!O127))</f>
        <v/>
      </c>
      <c r="P127">
        <f>IF(原始資料!P127="","",IF(反向題設定!$C$19="是",反向題設定!$B$2+1-原始資料!P127,原始資料!P127))</f>
        <v/>
      </c>
      <c r="Q127">
        <f>IF(原始資料!Q127="","",IF(反向題設定!$C$20="是",反向題設定!$B$2+1-原始資料!Q127,原始資料!Q127))</f>
        <v/>
      </c>
      <c r="R127">
        <f>IF(原始資料!R127="","",IF(反向題設定!$C$21="是",反向題設定!$B$2+1-原始資料!R127,原始資料!R127))</f>
        <v/>
      </c>
      <c r="S127">
        <f>IF(原始資料!S127="","",IF(反向題設定!$C$22="是",反向題設定!$B$2+1-原始資料!S127,原始資料!S127))</f>
        <v/>
      </c>
      <c r="T127">
        <f>IF(原始資料!T127="","",IF(反向題設定!$C$23="是",反向題設定!$B$2+1-原始資料!T127,原始資料!T127))</f>
        <v/>
      </c>
      <c r="U127">
        <f>IF(原始資料!U127="","",IF(反向題設定!$C$24="是",反向題設定!$B$2+1-原始資料!U127,原始資料!U127))</f>
        <v/>
      </c>
      <c r="V127">
        <f>IF(原始資料!V127="","",IF(反向題設定!$C$25="是",反向題設定!$B$2+1-原始資料!V127,原始資料!V127))</f>
        <v/>
      </c>
      <c r="W127">
        <f>IF(原始資料!W127="","",IF(反向題設定!$C$26="是",反向題設定!$B$2+1-原始資料!W127,原始資料!W127))</f>
        <v/>
      </c>
      <c r="X127">
        <f>IF(原始資料!X127="","",IF(反向題設定!$C$27="是",反向題設定!$B$2+1-原始資料!X127,原始資料!X127))</f>
        <v/>
      </c>
      <c r="Y127">
        <f>IF(原始資料!Y127="","",IF(反向題設定!$C$28="是",反向題設定!$B$2+1-原始資料!Y127,原始資料!Y127))</f>
        <v/>
      </c>
      <c r="Z127">
        <f>IF(原始資料!Z127="","",IF(反向題設定!$C$29="是",反向題設定!$B$2+1-原始資料!Z127,原始資料!Z127))</f>
        <v/>
      </c>
      <c r="AA127">
        <f>IF(原始資料!AA127="","",IF(反向題設定!$C$30="是",反向題設定!$B$2+1-原始資料!AA127,原始資料!AA127))</f>
        <v/>
      </c>
      <c r="AB127">
        <f>IF(原始資料!AB127="","",IF(反向題設定!$C$31="是",反向題設定!$B$2+1-原始資料!AB127,原始資料!AB127))</f>
        <v/>
      </c>
      <c r="AC127">
        <f>IF(原始資料!AC127="","",IF(反向題設定!$C$32="是",反向題設定!$B$2+1-原始資料!AC127,原始資料!AC127))</f>
        <v/>
      </c>
      <c r="AD127">
        <f>IF(原始資料!AD127="","",IF(反向題設定!$C$33="是",反向題設定!$B$2+1-原始資料!AD127,原始資料!AD127))</f>
        <v/>
      </c>
      <c r="AE127">
        <f>IF(原始資料!AE127="","",IF(反向題設定!$C$34="是",反向題設定!$B$2+1-原始資料!AE127,原始資料!AE127))</f>
        <v/>
      </c>
      <c r="AF127">
        <f>IF(原始資料!AF127="","",IF(反向題設定!$C$35="是",反向題設定!$B$2+1-原始資料!AF127,原始資料!AF127))</f>
        <v/>
      </c>
      <c r="AG127">
        <f>IF(原始資料!AG127="","",IF(反向題設定!$C$36="是",反向題設定!$B$2+1-原始資料!AG127,原始資料!AG127))</f>
        <v/>
      </c>
      <c r="AH127">
        <f>IF(原始資料!AH127="","",IF(反向題設定!$C$37="是",反向題設定!$B$2+1-原始資料!AH127,原始資料!AH127))</f>
        <v/>
      </c>
      <c r="AI127">
        <f>IF(原始資料!AI127="","",IF(反向題設定!$C$38="是",反向題設定!$B$2+1-原始資料!AI127,原始資料!AI127))</f>
        <v/>
      </c>
      <c r="AJ127">
        <f>IF(原始資料!AJ127="","",IF(反向題設定!$C$39="是",反向題設定!$B$2+1-原始資料!AJ127,原始資料!AJ127))</f>
        <v/>
      </c>
      <c r="AK127">
        <f>IF(原始資料!AK127="","",IF(反向題設定!$C$40="是",反向題設定!$B$2+1-原始資料!AK127,原始資料!AK127))</f>
        <v/>
      </c>
      <c r="AL127">
        <f>IF(原始資料!AL127="","",IF(反向題設定!$C$41="是",反向題設定!$B$2+1-原始資料!AL127,原始資料!AL127))</f>
        <v/>
      </c>
      <c r="AM127">
        <f>IF(原始資料!AM127="","",IF(反向題設定!$C$42="是",反向題設定!$B$2+1-原始資料!AM127,原始資料!AM127))</f>
        <v/>
      </c>
      <c r="AN127">
        <f>IF(原始資料!AN127="","",IF(反向題設定!$C$43="是",反向題設定!$B$2+1-原始資料!AN127,原始資料!AN127))</f>
        <v/>
      </c>
      <c r="AO127">
        <f>IF(原始資料!AO127="","",IF(反向題設定!$C$44="是",反向題設定!$B$2+1-原始資料!AO127,原始資料!AO127))</f>
        <v/>
      </c>
      <c r="AP127">
        <f>IF(COUNT(B127:AO127)=0,"",SUM(B127:AO127))</f>
        <v/>
      </c>
      <c r="AQ127">
        <f>IF(AP127="","",IF(AP127&gt;=項目分析!$C$5,"高",IF(AP127&lt;=項目分析!$C$6,"低","")))</f>
        <v/>
      </c>
    </row>
    <row r="128">
      <c r="A128">
        <f>IF(原始資料!A128="","",原始資料!A128)</f>
        <v/>
      </c>
      <c r="B128">
        <f>IF(原始資料!B128="","",IF(反向題設定!$C$5="是",反向題設定!$B$2+1-原始資料!B128,原始資料!B128))</f>
        <v/>
      </c>
      <c r="C128">
        <f>IF(原始資料!C128="","",IF(反向題設定!$C$6="是",反向題設定!$B$2+1-原始資料!C128,原始資料!C128))</f>
        <v/>
      </c>
      <c r="D128">
        <f>IF(原始資料!D128="","",IF(反向題設定!$C$7="是",反向題設定!$B$2+1-原始資料!D128,原始資料!D128))</f>
        <v/>
      </c>
      <c r="E128">
        <f>IF(原始資料!E128="","",IF(反向題設定!$C$8="是",反向題設定!$B$2+1-原始資料!E128,原始資料!E128))</f>
        <v/>
      </c>
      <c r="F128">
        <f>IF(原始資料!F128="","",IF(反向題設定!$C$9="是",反向題設定!$B$2+1-原始資料!F128,原始資料!F128))</f>
        <v/>
      </c>
      <c r="G128">
        <f>IF(原始資料!G128="","",IF(反向題設定!$C$10="是",反向題設定!$B$2+1-原始資料!G128,原始資料!G128))</f>
        <v/>
      </c>
      <c r="H128">
        <f>IF(原始資料!H128="","",IF(反向題設定!$C$11="是",反向題設定!$B$2+1-原始資料!H128,原始資料!H128))</f>
        <v/>
      </c>
      <c r="I128">
        <f>IF(原始資料!I128="","",IF(反向題設定!$C$12="是",反向題設定!$B$2+1-原始資料!I128,原始資料!I128))</f>
        <v/>
      </c>
      <c r="J128">
        <f>IF(原始資料!J128="","",IF(反向題設定!$C$13="是",反向題設定!$B$2+1-原始資料!J128,原始資料!J128))</f>
        <v/>
      </c>
      <c r="K128">
        <f>IF(原始資料!K128="","",IF(反向題設定!$C$14="是",反向題設定!$B$2+1-原始資料!K128,原始資料!K128))</f>
        <v/>
      </c>
      <c r="L128">
        <f>IF(原始資料!L128="","",IF(反向題設定!$C$15="是",反向題設定!$B$2+1-原始資料!L128,原始資料!L128))</f>
        <v/>
      </c>
      <c r="M128">
        <f>IF(原始資料!M128="","",IF(反向題設定!$C$16="是",反向題設定!$B$2+1-原始資料!M128,原始資料!M128))</f>
        <v/>
      </c>
      <c r="N128">
        <f>IF(原始資料!N128="","",IF(反向題設定!$C$17="是",反向題設定!$B$2+1-原始資料!N128,原始資料!N128))</f>
        <v/>
      </c>
      <c r="O128">
        <f>IF(原始資料!O128="","",IF(反向題設定!$C$18="是",反向題設定!$B$2+1-原始資料!O128,原始資料!O128))</f>
        <v/>
      </c>
      <c r="P128">
        <f>IF(原始資料!P128="","",IF(反向題設定!$C$19="是",反向題設定!$B$2+1-原始資料!P128,原始資料!P128))</f>
        <v/>
      </c>
      <c r="Q128">
        <f>IF(原始資料!Q128="","",IF(反向題設定!$C$20="是",反向題設定!$B$2+1-原始資料!Q128,原始資料!Q128))</f>
        <v/>
      </c>
      <c r="R128">
        <f>IF(原始資料!R128="","",IF(反向題設定!$C$21="是",反向題設定!$B$2+1-原始資料!R128,原始資料!R128))</f>
        <v/>
      </c>
      <c r="S128">
        <f>IF(原始資料!S128="","",IF(反向題設定!$C$22="是",反向題設定!$B$2+1-原始資料!S128,原始資料!S128))</f>
        <v/>
      </c>
      <c r="T128">
        <f>IF(原始資料!T128="","",IF(反向題設定!$C$23="是",反向題設定!$B$2+1-原始資料!T128,原始資料!T128))</f>
        <v/>
      </c>
      <c r="U128">
        <f>IF(原始資料!U128="","",IF(反向題設定!$C$24="是",反向題設定!$B$2+1-原始資料!U128,原始資料!U128))</f>
        <v/>
      </c>
      <c r="V128">
        <f>IF(原始資料!V128="","",IF(反向題設定!$C$25="是",反向題設定!$B$2+1-原始資料!V128,原始資料!V128))</f>
        <v/>
      </c>
      <c r="W128">
        <f>IF(原始資料!W128="","",IF(反向題設定!$C$26="是",反向題設定!$B$2+1-原始資料!W128,原始資料!W128))</f>
        <v/>
      </c>
      <c r="X128">
        <f>IF(原始資料!X128="","",IF(反向題設定!$C$27="是",反向題設定!$B$2+1-原始資料!X128,原始資料!X128))</f>
        <v/>
      </c>
      <c r="Y128">
        <f>IF(原始資料!Y128="","",IF(反向題設定!$C$28="是",反向題設定!$B$2+1-原始資料!Y128,原始資料!Y128))</f>
        <v/>
      </c>
      <c r="Z128">
        <f>IF(原始資料!Z128="","",IF(反向題設定!$C$29="是",反向題設定!$B$2+1-原始資料!Z128,原始資料!Z128))</f>
        <v/>
      </c>
      <c r="AA128">
        <f>IF(原始資料!AA128="","",IF(反向題設定!$C$30="是",反向題設定!$B$2+1-原始資料!AA128,原始資料!AA128))</f>
        <v/>
      </c>
      <c r="AB128">
        <f>IF(原始資料!AB128="","",IF(反向題設定!$C$31="是",反向題設定!$B$2+1-原始資料!AB128,原始資料!AB128))</f>
        <v/>
      </c>
      <c r="AC128">
        <f>IF(原始資料!AC128="","",IF(反向題設定!$C$32="是",反向題設定!$B$2+1-原始資料!AC128,原始資料!AC128))</f>
        <v/>
      </c>
      <c r="AD128">
        <f>IF(原始資料!AD128="","",IF(反向題設定!$C$33="是",反向題設定!$B$2+1-原始資料!AD128,原始資料!AD128))</f>
        <v/>
      </c>
      <c r="AE128">
        <f>IF(原始資料!AE128="","",IF(反向題設定!$C$34="是",反向題設定!$B$2+1-原始資料!AE128,原始資料!AE128))</f>
        <v/>
      </c>
      <c r="AF128">
        <f>IF(原始資料!AF128="","",IF(反向題設定!$C$35="是",反向題設定!$B$2+1-原始資料!AF128,原始資料!AF128))</f>
        <v/>
      </c>
      <c r="AG128">
        <f>IF(原始資料!AG128="","",IF(反向題設定!$C$36="是",反向題設定!$B$2+1-原始資料!AG128,原始資料!AG128))</f>
        <v/>
      </c>
      <c r="AH128">
        <f>IF(原始資料!AH128="","",IF(反向題設定!$C$37="是",反向題設定!$B$2+1-原始資料!AH128,原始資料!AH128))</f>
        <v/>
      </c>
      <c r="AI128">
        <f>IF(原始資料!AI128="","",IF(反向題設定!$C$38="是",反向題設定!$B$2+1-原始資料!AI128,原始資料!AI128))</f>
        <v/>
      </c>
      <c r="AJ128">
        <f>IF(原始資料!AJ128="","",IF(反向題設定!$C$39="是",反向題設定!$B$2+1-原始資料!AJ128,原始資料!AJ128))</f>
        <v/>
      </c>
      <c r="AK128">
        <f>IF(原始資料!AK128="","",IF(反向題設定!$C$40="是",反向題設定!$B$2+1-原始資料!AK128,原始資料!AK128))</f>
        <v/>
      </c>
      <c r="AL128">
        <f>IF(原始資料!AL128="","",IF(反向題設定!$C$41="是",反向題設定!$B$2+1-原始資料!AL128,原始資料!AL128))</f>
        <v/>
      </c>
      <c r="AM128">
        <f>IF(原始資料!AM128="","",IF(反向題設定!$C$42="是",反向題設定!$B$2+1-原始資料!AM128,原始資料!AM128))</f>
        <v/>
      </c>
      <c r="AN128">
        <f>IF(原始資料!AN128="","",IF(反向題設定!$C$43="是",反向題設定!$B$2+1-原始資料!AN128,原始資料!AN128))</f>
        <v/>
      </c>
      <c r="AO128">
        <f>IF(原始資料!AO128="","",IF(反向題設定!$C$44="是",反向題設定!$B$2+1-原始資料!AO128,原始資料!AO128))</f>
        <v/>
      </c>
      <c r="AP128">
        <f>IF(COUNT(B128:AO128)=0,"",SUM(B128:AO128))</f>
        <v/>
      </c>
      <c r="AQ128">
        <f>IF(AP128="","",IF(AP128&gt;=項目分析!$C$5,"高",IF(AP128&lt;=項目分析!$C$6,"低","")))</f>
        <v/>
      </c>
    </row>
    <row r="129">
      <c r="A129">
        <f>IF(原始資料!A129="","",原始資料!A129)</f>
        <v/>
      </c>
      <c r="B129">
        <f>IF(原始資料!B129="","",IF(反向題設定!$C$5="是",反向題設定!$B$2+1-原始資料!B129,原始資料!B129))</f>
        <v/>
      </c>
      <c r="C129">
        <f>IF(原始資料!C129="","",IF(反向題設定!$C$6="是",反向題設定!$B$2+1-原始資料!C129,原始資料!C129))</f>
        <v/>
      </c>
      <c r="D129">
        <f>IF(原始資料!D129="","",IF(反向題設定!$C$7="是",反向題設定!$B$2+1-原始資料!D129,原始資料!D129))</f>
        <v/>
      </c>
      <c r="E129">
        <f>IF(原始資料!E129="","",IF(反向題設定!$C$8="是",反向題設定!$B$2+1-原始資料!E129,原始資料!E129))</f>
        <v/>
      </c>
      <c r="F129">
        <f>IF(原始資料!F129="","",IF(反向題設定!$C$9="是",反向題設定!$B$2+1-原始資料!F129,原始資料!F129))</f>
        <v/>
      </c>
      <c r="G129">
        <f>IF(原始資料!G129="","",IF(反向題設定!$C$10="是",反向題設定!$B$2+1-原始資料!G129,原始資料!G129))</f>
        <v/>
      </c>
      <c r="H129">
        <f>IF(原始資料!H129="","",IF(反向題設定!$C$11="是",反向題設定!$B$2+1-原始資料!H129,原始資料!H129))</f>
        <v/>
      </c>
      <c r="I129">
        <f>IF(原始資料!I129="","",IF(反向題設定!$C$12="是",反向題設定!$B$2+1-原始資料!I129,原始資料!I129))</f>
        <v/>
      </c>
      <c r="J129">
        <f>IF(原始資料!J129="","",IF(反向題設定!$C$13="是",反向題設定!$B$2+1-原始資料!J129,原始資料!J129))</f>
        <v/>
      </c>
      <c r="K129">
        <f>IF(原始資料!K129="","",IF(反向題設定!$C$14="是",反向題設定!$B$2+1-原始資料!K129,原始資料!K129))</f>
        <v/>
      </c>
      <c r="L129">
        <f>IF(原始資料!L129="","",IF(反向題設定!$C$15="是",反向題設定!$B$2+1-原始資料!L129,原始資料!L129))</f>
        <v/>
      </c>
      <c r="M129">
        <f>IF(原始資料!M129="","",IF(反向題設定!$C$16="是",反向題設定!$B$2+1-原始資料!M129,原始資料!M129))</f>
        <v/>
      </c>
      <c r="N129">
        <f>IF(原始資料!N129="","",IF(反向題設定!$C$17="是",反向題設定!$B$2+1-原始資料!N129,原始資料!N129))</f>
        <v/>
      </c>
      <c r="O129">
        <f>IF(原始資料!O129="","",IF(反向題設定!$C$18="是",反向題設定!$B$2+1-原始資料!O129,原始資料!O129))</f>
        <v/>
      </c>
      <c r="P129">
        <f>IF(原始資料!P129="","",IF(反向題設定!$C$19="是",反向題設定!$B$2+1-原始資料!P129,原始資料!P129))</f>
        <v/>
      </c>
      <c r="Q129">
        <f>IF(原始資料!Q129="","",IF(反向題設定!$C$20="是",反向題設定!$B$2+1-原始資料!Q129,原始資料!Q129))</f>
        <v/>
      </c>
      <c r="R129">
        <f>IF(原始資料!R129="","",IF(反向題設定!$C$21="是",反向題設定!$B$2+1-原始資料!R129,原始資料!R129))</f>
        <v/>
      </c>
      <c r="S129">
        <f>IF(原始資料!S129="","",IF(反向題設定!$C$22="是",反向題設定!$B$2+1-原始資料!S129,原始資料!S129))</f>
        <v/>
      </c>
      <c r="T129">
        <f>IF(原始資料!T129="","",IF(反向題設定!$C$23="是",反向題設定!$B$2+1-原始資料!T129,原始資料!T129))</f>
        <v/>
      </c>
      <c r="U129">
        <f>IF(原始資料!U129="","",IF(反向題設定!$C$24="是",反向題設定!$B$2+1-原始資料!U129,原始資料!U129))</f>
        <v/>
      </c>
      <c r="V129">
        <f>IF(原始資料!V129="","",IF(反向題設定!$C$25="是",反向題設定!$B$2+1-原始資料!V129,原始資料!V129))</f>
        <v/>
      </c>
      <c r="W129">
        <f>IF(原始資料!W129="","",IF(反向題設定!$C$26="是",反向題設定!$B$2+1-原始資料!W129,原始資料!W129))</f>
        <v/>
      </c>
      <c r="X129">
        <f>IF(原始資料!X129="","",IF(反向題設定!$C$27="是",反向題設定!$B$2+1-原始資料!X129,原始資料!X129))</f>
        <v/>
      </c>
      <c r="Y129">
        <f>IF(原始資料!Y129="","",IF(反向題設定!$C$28="是",反向題設定!$B$2+1-原始資料!Y129,原始資料!Y129))</f>
        <v/>
      </c>
      <c r="Z129">
        <f>IF(原始資料!Z129="","",IF(反向題設定!$C$29="是",反向題設定!$B$2+1-原始資料!Z129,原始資料!Z129))</f>
        <v/>
      </c>
      <c r="AA129">
        <f>IF(原始資料!AA129="","",IF(反向題設定!$C$30="是",反向題設定!$B$2+1-原始資料!AA129,原始資料!AA129))</f>
        <v/>
      </c>
      <c r="AB129">
        <f>IF(原始資料!AB129="","",IF(反向題設定!$C$31="是",反向題設定!$B$2+1-原始資料!AB129,原始資料!AB129))</f>
        <v/>
      </c>
      <c r="AC129">
        <f>IF(原始資料!AC129="","",IF(反向題設定!$C$32="是",反向題設定!$B$2+1-原始資料!AC129,原始資料!AC129))</f>
        <v/>
      </c>
      <c r="AD129">
        <f>IF(原始資料!AD129="","",IF(反向題設定!$C$33="是",反向題設定!$B$2+1-原始資料!AD129,原始資料!AD129))</f>
        <v/>
      </c>
      <c r="AE129">
        <f>IF(原始資料!AE129="","",IF(反向題設定!$C$34="是",反向題設定!$B$2+1-原始資料!AE129,原始資料!AE129))</f>
        <v/>
      </c>
      <c r="AF129">
        <f>IF(原始資料!AF129="","",IF(反向題設定!$C$35="是",反向題設定!$B$2+1-原始資料!AF129,原始資料!AF129))</f>
        <v/>
      </c>
      <c r="AG129">
        <f>IF(原始資料!AG129="","",IF(反向題設定!$C$36="是",反向題設定!$B$2+1-原始資料!AG129,原始資料!AG129))</f>
        <v/>
      </c>
      <c r="AH129">
        <f>IF(原始資料!AH129="","",IF(反向題設定!$C$37="是",反向題設定!$B$2+1-原始資料!AH129,原始資料!AH129))</f>
        <v/>
      </c>
      <c r="AI129">
        <f>IF(原始資料!AI129="","",IF(反向題設定!$C$38="是",反向題設定!$B$2+1-原始資料!AI129,原始資料!AI129))</f>
        <v/>
      </c>
      <c r="AJ129">
        <f>IF(原始資料!AJ129="","",IF(反向題設定!$C$39="是",反向題設定!$B$2+1-原始資料!AJ129,原始資料!AJ129))</f>
        <v/>
      </c>
      <c r="AK129">
        <f>IF(原始資料!AK129="","",IF(反向題設定!$C$40="是",反向題設定!$B$2+1-原始資料!AK129,原始資料!AK129))</f>
        <v/>
      </c>
      <c r="AL129">
        <f>IF(原始資料!AL129="","",IF(反向題設定!$C$41="是",反向題設定!$B$2+1-原始資料!AL129,原始資料!AL129))</f>
        <v/>
      </c>
      <c r="AM129">
        <f>IF(原始資料!AM129="","",IF(反向題設定!$C$42="是",反向題設定!$B$2+1-原始資料!AM129,原始資料!AM129))</f>
        <v/>
      </c>
      <c r="AN129">
        <f>IF(原始資料!AN129="","",IF(反向題設定!$C$43="是",反向題設定!$B$2+1-原始資料!AN129,原始資料!AN129))</f>
        <v/>
      </c>
      <c r="AO129">
        <f>IF(原始資料!AO129="","",IF(反向題設定!$C$44="是",反向題設定!$B$2+1-原始資料!AO129,原始資料!AO129))</f>
        <v/>
      </c>
      <c r="AP129">
        <f>IF(COUNT(B129:AO129)=0,"",SUM(B129:AO129))</f>
        <v/>
      </c>
      <c r="AQ129">
        <f>IF(AP129="","",IF(AP129&gt;=項目分析!$C$5,"高",IF(AP129&lt;=項目分析!$C$6,"低","")))</f>
        <v/>
      </c>
    </row>
    <row r="130">
      <c r="A130">
        <f>IF(原始資料!A130="","",原始資料!A130)</f>
        <v/>
      </c>
      <c r="B130">
        <f>IF(原始資料!B130="","",IF(反向題設定!$C$5="是",反向題設定!$B$2+1-原始資料!B130,原始資料!B130))</f>
        <v/>
      </c>
      <c r="C130">
        <f>IF(原始資料!C130="","",IF(反向題設定!$C$6="是",反向題設定!$B$2+1-原始資料!C130,原始資料!C130))</f>
        <v/>
      </c>
      <c r="D130">
        <f>IF(原始資料!D130="","",IF(反向題設定!$C$7="是",反向題設定!$B$2+1-原始資料!D130,原始資料!D130))</f>
        <v/>
      </c>
      <c r="E130">
        <f>IF(原始資料!E130="","",IF(反向題設定!$C$8="是",反向題設定!$B$2+1-原始資料!E130,原始資料!E130))</f>
        <v/>
      </c>
      <c r="F130">
        <f>IF(原始資料!F130="","",IF(反向題設定!$C$9="是",反向題設定!$B$2+1-原始資料!F130,原始資料!F130))</f>
        <v/>
      </c>
      <c r="G130">
        <f>IF(原始資料!G130="","",IF(反向題設定!$C$10="是",反向題設定!$B$2+1-原始資料!G130,原始資料!G130))</f>
        <v/>
      </c>
      <c r="H130">
        <f>IF(原始資料!H130="","",IF(反向題設定!$C$11="是",反向題設定!$B$2+1-原始資料!H130,原始資料!H130))</f>
        <v/>
      </c>
      <c r="I130">
        <f>IF(原始資料!I130="","",IF(反向題設定!$C$12="是",反向題設定!$B$2+1-原始資料!I130,原始資料!I130))</f>
        <v/>
      </c>
      <c r="J130">
        <f>IF(原始資料!J130="","",IF(反向題設定!$C$13="是",反向題設定!$B$2+1-原始資料!J130,原始資料!J130))</f>
        <v/>
      </c>
      <c r="K130">
        <f>IF(原始資料!K130="","",IF(反向題設定!$C$14="是",反向題設定!$B$2+1-原始資料!K130,原始資料!K130))</f>
        <v/>
      </c>
      <c r="L130">
        <f>IF(原始資料!L130="","",IF(反向題設定!$C$15="是",反向題設定!$B$2+1-原始資料!L130,原始資料!L130))</f>
        <v/>
      </c>
      <c r="M130">
        <f>IF(原始資料!M130="","",IF(反向題設定!$C$16="是",反向題設定!$B$2+1-原始資料!M130,原始資料!M130))</f>
        <v/>
      </c>
      <c r="N130">
        <f>IF(原始資料!N130="","",IF(反向題設定!$C$17="是",反向題設定!$B$2+1-原始資料!N130,原始資料!N130))</f>
        <v/>
      </c>
      <c r="O130">
        <f>IF(原始資料!O130="","",IF(反向題設定!$C$18="是",反向題設定!$B$2+1-原始資料!O130,原始資料!O130))</f>
        <v/>
      </c>
      <c r="P130">
        <f>IF(原始資料!P130="","",IF(反向題設定!$C$19="是",反向題設定!$B$2+1-原始資料!P130,原始資料!P130))</f>
        <v/>
      </c>
      <c r="Q130">
        <f>IF(原始資料!Q130="","",IF(反向題設定!$C$20="是",反向題設定!$B$2+1-原始資料!Q130,原始資料!Q130))</f>
        <v/>
      </c>
      <c r="R130">
        <f>IF(原始資料!R130="","",IF(反向題設定!$C$21="是",反向題設定!$B$2+1-原始資料!R130,原始資料!R130))</f>
        <v/>
      </c>
      <c r="S130">
        <f>IF(原始資料!S130="","",IF(反向題設定!$C$22="是",反向題設定!$B$2+1-原始資料!S130,原始資料!S130))</f>
        <v/>
      </c>
      <c r="T130">
        <f>IF(原始資料!T130="","",IF(反向題設定!$C$23="是",反向題設定!$B$2+1-原始資料!T130,原始資料!T130))</f>
        <v/>
      </c>
      <c r="U130">
        <f>IF(原始資料!U130="","",IF(反向題設定!$C$24="是",反向題設定!$B$2+1-原始資料!U130,原始資料!U130))</f>
        <v/>
      </c>
      <c r="V130">
        <f>IF(原始資料!V130="","",IF(反向題設定!$C$25="是",反向題設定!$B$2+1-原始資料!V130,原始資料!V130))</f>
        <v/>
      </c>
      <c r="W130">
        <f>IF(原始資料!W130="","",IF(反向題設定!$C$26="是",反向題設定!$B$2+1-原始資料!W130,原始資料!W130))</f>
        <v/>
      </c>
      <c r="X130">
        <f>IF(原始資料!X130="","",IF(反向題設定!$C$27="是",反向題設定!$B$2+1-原始資料!X130,原始資料!X130))</f>
        <v/>
      </c>
      <c r="Y130">
        <f>IF(原始資料!Y130="","",IF(反向題設定!$C$28="是",反向題設定!$B$2+1-原始資料!Y130,原始資料!Y130))</f>
        <v/>
      </c>
      <c r="Z130">
        <f>IF(原始資料!Z130="","",IF(反向題設定!$C$29="是",反向題設定!$B$2+1-原始資料!Z130,原始資料!Z130))</f>
        <v/>
      </c>
      <c r="AA130">
        <f>IF(原始資料!AA130="","",IF(反向題設定!$C$30="是",反向題設定!$B$2+1-原始資料!AA130,原始資料!AA130))</f>
        <v/>
      </c>
      <c r="AB130">
        <f>IF(原始資料!AB130="","",IF(反向題設定!$C$31="是",反向題設定!$B$2+1-原始資料!AB130,原始資料!AB130))</f>
        <v/>
      </c>
      <c r="AC130">
        <f>IF(原始資料!AC130="","",IF(反向題設定!$C$32="是",反向題設定!$B$2+1-原始資料!AC130,原始資料!AC130))</f>
        <v/>
      </c>
      <c r="AD130">
        <f>IF(原始資料!AD130="","",IF(反向題設定!$C$33="是",反向題設定!$B$2+1-原始資料!AD130,原始資料!AD130))</f>
        <v/>
      </c>
      <c r="AE130">
        <f>IF(原始資料!AE130="","",IF(反向題設定!$C$34="是",反向題設定!$B$2+1-原始資料!AE130,原始資料!AE130))</f>
        <v/>
      </c>
      <c r="AF130">
        <f>IF(原始資料!AF130="","",IF(反向題設定!$C$35="是",反向題設定!$B$2+1-原始資料!AF130,原始資料!AF130))</f>
        <v/>
      </c>
      <c r="AG130">
        <f>IF(原始資料!AG130="","",IF(反向題設定!$C$36="是",反向題設定!$B$2+1-原始資料!AG130,原始資料!AG130))</f>
        <v/>
      </c>
      <c r="AH130">
        <f>IF(原始資料!AH130="","",IF(反向題設定!$C$37="是",反向題設定!$B$2+1-原始資料!AH130,原始資料!AH130))</f>
        <v/>
      </c>
      <c r="AI130">
        <f>IF(原始資料!AI130="","",IF(反向題設定!$C$38="是",反向題設定!$B$2+1-原始資料!AI130,原始資料!AI130))</f>
        <v/>
      </c>
      <c r="AJ130">
        <f>IF(原始資料!AJ130="","",IF(反向題設定!$C$39="是",反向題設定!$B$2+1-原始資料!AJ130,原始資料!AJ130))</f>
        <v/>
      </c>
      <c r="AK130">
        <f>IF(原始資料!AK130="","",IF(反向題設定!$C$40="是",反向題設定!$B$2+1-原始資料!AK130,原始資料!AK130))</f>
        <v/>
      </c>
      <c r="AL130">
        <f>IF(原始資料!AL130="","",IF(反向題設定!$C$41="是",反向題設定!$B$2+1-原始資料!AL130,原始資料!AL130))</f>
        <v/>
      </c>
      <c r="AM130">
        <f>IF(原始資料!AM130="","",IF(反向題設定!$C$42="是",反向題設定!$B$2+1-原始資料!AM130,原始資料!AM130))</f>
        <v/>
      </c>
      <c r="AN130">
        <f>IF(原始資料!AN130="","",IF(反向題設定!$C$43="是",反向題設定!$B$2+1-原始資料!AN130,原始資料!AN130))</f>
        <v/>
      </c>
      <c r="AO130">
        <f>IF(原始資料!AO130="","",IF(反向題設定!$C$44="是",反向題設定!$B$2+1-原始資料!AO130,原始資料!AO130))</f>
        <v/>
      </c>
      <c r="AP130">
        <f>IF(COUNT(B130:AO130)=0,"",SUM(B130:AO130))</f>
        <v/>
      </c>
      <c r="AQ130">
        <f>IF(AP130="","",IF(AP130&gt;=項目分析!$C$5,"高",IF(AP130&lt;=項目分析!$C$6,"低","")))</f>
        <v/>
      </c>
    </row>
    <row r="131">
      <c r="A131">
        <f>IF(原始資料!A131="","",原始資料!A131)</f>
        <v/>
      </c>
      <c r="B131">
        <f>IF(原始資料!B131="","",IF(反向題設定!$C$5="是",反向題設定!$B$2+1-原始資料!B131,原始資料!B131))</f>
        <v/>
      </c>
      <c r="C131">
        <f>IF(原始資料!C131="","",IF(反向題設定!$C$6="是",反向題設定!$B$2+1-原始資料!C131,原始資料!C131))</f>
        <v/>
      </c>
      <c r="D131">
        <f>IF(原始資料!D131="","",IF(反向題設定!$C$7="是",反向題設定!$B$2+1-原始資料!D131,原始資料!D131))</f>
        <v/>
      </c>
      <c r="E131">
        <f>IF(原始資料!E131="","",IF(反向題設定!$C$8="是",反向題設定!$B$2+1-原始資料!E131,原始資料!E131))</f>
        <v/>
      </c>
      <c r="F131">
        <f>IF(原始資料!F131="","",IF(反向題設定!$C$9="是",反向題設定!$B$2+1-原始資料!F131,原始資料!F131))</f>
        <v/>
      </c>
      <c r="G131">
        <f>IF(原始資料!G131="","",IF(反向題設定!$C$10="是",反向題設定!$B$2+1-原始資料!G131,原始資料!G131))</f>
        <v/>
      </c>
      <c r="H131">
        <f>IF(原始資料!H131="","",IF(反向題設定!$C$11="是",反向題設定!$B$2+1-原始資料!H131,原始資料!H131))</f>
        <v/>
      </c>
      <c r="I131">
        <f>IF(原始資料!I131="","",IF(反向題設定!$C$12="是",反向題設定!$B$2+1-原始資料!I131,原始資料!I131))</f>
        <v/>
      </c>
      <c r="J131">
        <f>IF(原始資料!J131="","",IF(反向題設定!$C$13="是",反向題設定!$B$2+1-原始資料!J131,原始資料!J131))</f>
        <v/>
      </c>
      <c r="K131">
        <f>IF(原始資料!K131="","",IF(反向題設定!$C$14="是",反向題設定!$B$2+1-原始資料!K131,原始資料!K131))</f>
        <v/>
      </c>
      <c r="L131">
        <f>IF(原始資料!L131="","",IF(反向題設定!$C$15="是",反向題設定!$B$2+1-原始資料!L131,原始資料!L131))</f>
        <v/>
      </c>
      <c r="M131">
        <f>IF(原始資料!M131="","",IF(反向題設定!$C$16="是",反向題設定!$B$2+1-原始資料!M131,原始資料!M131))</f>
        <v/>
      </c>
      <c r="N131">
        <f>IF(原始資料!N131="","",IF(反向題設定!$C$17="是",反向題設定!$B$2+1-原始資料!N131,原始資料!N131))</f>
        <v/>
      </c>
      <c r="O131">
        <f>IF(原始資料!O131="","",IF(反向題設定!$C$18="是",反向題設定!$B$2+1-原始資料!O131,原始資料!O131))</f>
        <v/>
      </c>
      <c r="P131">
        <f>IF(原始資料!P131="","",IF(反向題設定!$C$19="是",反向題設定!$B$2+1-原始資料!P131,原始資料!P131))</f>
        <v/>
      </c>
      <c r="Q131">
        <f>IF(原始資料!Q131="","",IF(反向題設定!$C$20="是",反向題設定!$B$2+1-原始資料!Q131,原始資料!Q131))</f>
        <v/>
      </c>
      <c r="R131">
        <f>IF(原始資料!R131="","",IF(反向題設定!$C$21="是",反向題設定!$B$2+1-原始資料!R131,原始資料!R131))</f>
        <v/>
      </c>
      <c r="S131">
        <f>IF(原始資料!S131="","",IF(反向題設定!$C$22="是",反向題設定!$B$2+1-原始資料!S131,原始資料!S131))</f>
        <v/>
      </c>
      <c r="T131">
        <f>IF(原始資料!T131="","",IF(反向題設定!$C$23="是",反向題設定!$B$2+1-原始資料!T131,原始資料!T131))</f>
        <v/>
      </c>
      <c r="U131">
        <f>IF(原始資料!U131="","",IF(反向題設定!$C$24="是",反向題設定!$B$2+1-原始資料!U131,原始資料!U131))</f>
        <v/>
      </c>
      <c r="V131">
        <f>IF(原始資料!V131="","",IF(反向題設定!$C$25="是",反向題設定!$B$2+1-原始資料!V131,原始資料!V131))</f>
        <v/>
      </c>
      <c r="W131">
        <f>IF(原始資料!W131="","",IF(反向題設定!$C$26="是",反向題設定!$B$2+1-原始資料!W131,原始資料!W131))</f>
        <v/>
      </c>
      <c r="X131">
        <f>IF(原始資料!X131="","",IF(反向題設定!$C$27="是",反向題設定!$B$2+1-原始資料!X131,原始資料!X131))</f>
        <v/>
      </c>
      <c r="Y131">
        <f>IF(原始資料!Y131="","",IF(反向題設定!$C$28="是",反向題設定!$B$2+1-原始資料!Y131,原始資料!Y131))</f>
        <v/>
      </c>
      <c r="Z131">
        <f>IF(原始資料!Z131="","",IF(反向題設定!$C$29="是",反向題設定!$B$2+1-原始資料!Z131,原始資料!Z131))</f>
        <v/>
      </c>
      <c r="AA131">
        <f>IF(原始資料!AA131="","",IF(反向題設定!$C$30="是",反向題設定!$B$2+1-原始資料!AA131,原始資料!AA131))</f>
        <v/>
      </c>
      <c r="AB131">
        <f>IF(原始資料!AB131="","",IF(反向題設定!$C$31="是",反向題設定!$B$2+1-原始資料!AB131,原始資料!AB131))</f>
        <v/>
      </c>
      <c r="AC131">
        <f>IF(原始資料!AC131="","",IF(反向題設定!$C$32="是",反向題設定!$B$2+1-原始資料!AC131,原始資料!AC131))</f>
        <v/>
      </c>
      <c r="AD131">
        <f>IF(原始資料!AD131="","",IF(反向題設定!$C$33="是",反向題設定!$B$2+1-原始資料!AD131,原始資料!AD131))</f>
        <v/>
      </c>
      <c r="AE131">
        <f>IF(原始資料!AE131="","",IF(反向題設定!$C$34="是",反向題設定!$B$2+1-原始資料!AE131,原始資料!AE131))</f>
        <v/>
      </c>
      <c r="AF131">
        <f>IF(原始資料!AF131="","",IF(反向題設定!$C$35="是",反向題設定!$B$2+1-原始資料!AF131,原始資料!AF131))</f>
        <v/>
      </c>
      <c r="AG131">
        <f>IF(原始資料!AG131="","",IF(反向題設定!$C$36="是",反向題設定!$B$2+1-原始資料!AG131,原始資料!AG131))</f>
        <v/>
      </c>
      <c r="AH131">
        <f>IF(原始資料!AH131="","",IF(反向題設定!$C$37="是",反向題設定!$B$2+1-原始資料!AH131,原始資料!AH131))</f>
        <v/>
      </c>
      <c r="AI131">
        <f>IF(原始資料!AI131="","",IF(反向題設定!$C$38="是",反向題設定!$B$2+1-原始資料!AI131,原始資料!AI131))</f>
        <v/>
      </c>
      <c r="AJ131">
        <f>IF(原始資料!AJ131="","",IF(反向題設定!$C$39="是",反向題設定!$B$2+1-原始資料!AJ131,原始資料!AJ131))</f>
        <v/>
      </c>
      <c r="AK131">
        <f>IF(原始資料!AK131="","",IF(反向題設定!$C$40="是",反向題設定!$B$2+1-原始資料!AK131,原始資料!AK131))</f>
        <v/>
      </c>
      <c r="AL131">
        <f>IF(原始資料!AL131="","",IF(反向題設定!$C$41="是",反向題設定!$B$2+1-原始資料!AL131,原始資料!AL131))</f>
        <v/>
      </c>
      <c r="AM131">
        <f>IF(原始資料!AM131="","",IF(反向題設定!$C$42="是",反向題設定!$B$2+1-原始資料!AM131,原始資料!AM131))</f>
        <v/>
      </c>
      <c r="AN131">
        <f>IF(原始資料!AN131="","",IF(反向題設定!$C$43="是",反向題設定!$B$2+1-原始資料!AN131,原始資料!AN131))</f>
        <v/>
      </c>
      <c r="AO131">
        <f>IF(原始資料!AO131="","",IF(反向題設定!$C$44="是",反向題設定!$B$2+1-原始資料!AO131,原始資料!AO131))</f>
        <v/>
      </c>
      <c r="AP131">
        <f>IF(COUNT(B131:AO131)=0,"",SUM(B131:AO131))</f>
        <v/>
      </c>
      <c r="AQ131">
        <f>IF(AP131="","",IF(AP131&gt;=項目分析!$C$5,"高",IF(AP131&lt;=項目分析!$C$6,"低","")))</f>
        <v/>
      </c>
    </row>
    <row r="132">
      <c r="A132">
        <f>IF(原始資料!A132="","",原始資料!A132)</f>
        <v/>
      </c>
      <c r="B132">
        <f>IF(原始資料!B132="","",IF(反向題設定!$C$5="是",反向題設定!$B$2+1-原始資料!B132,原始資料!B132))</f>
        <v/>
      </c>
      <c r="C132">
        <f>IF(原始資料!C132="","",IF(反向題設定!$C$6="是",反向題設定!$B$2+1-原始資料!C132,原始資料!C132))</f>
        <v/>
      </c>
      <c r="D132">
        <f>IF(原始資料!D132="","",IF(反向題設定!$C$7="是",反向題設定!$B$2+1-原始資料!D132,原始資料!D132))</f>
        <v/>
      </c>
      <c r="E132">
        <f>IF(原始資料!E132="","",IF(反向題設定!$C$8="是",反向題設定!$B$2+1-原始資料!E132,原始資料!E132))</f>
        <v/>
      </c>
      <c r="F132">
        <f>IF(原始資料!F132="","",IF(反向題設定!$C$9="是",反向題設定!$B$2+1-原始資料!F132,原始資料!F132))</f>
        <v/>
      </c>
      <c r="G132">
        <f>IF(原始資料!G132="","",IF(反向題設定!$C$10="是",反向題設定!$B$2+1-原始資料!G132,原始資料!G132))</f>
        <v/>
      </c>
      <c r="H132">
        <f>IF(原始資料!H132="","",IF(反向題設定!$C$11="是",反向題設定!$B$2+1-原始資料!H132,原始資料!H132))</f>
        <v/>
      </c>
      <c r="I132">
        <f>IF(原始資料!I132="","",IF(反向題設定!$C$12="是",反向題設定!$B$2+1-原始資料!I132,原始資料!I132))</f>
        <v/>
      </c>
      <c r="J132">
        <f>IF(原始資料!J132="","",IF(反向題設定!$C$13="是",反向題設定!$B$2+1-原始資料!J132,原始資料!J132))</f>
        <v/>
      </c>
      <c r="K132">
        <f>IF(原始資料!K132="","",IF(反向題設定!$C$14="是",反向題設定!$B$2+1-原始資料!K132,原始資料!K132))</f>
        <v/>
      </c>
      <c r="L132">
        <f>IF(原始資料!L132="","",IF(反向題設定!$C$15="是",反向題設定!$B$2+1-原始資料!L132,原始資料!L132))</f>
        <v/>
      </c>
      <c r="M132">
        <f>IF(原始資料!M132="","",IF(反向題設定!$C$16="是",反向題設定!$B$2+1-原始資料!M132,原始資料!M132))</f>
        <v/>
      </c>
      <c r="N132">
        <f>IF(原始資料!N132="","",IF(反向題設定!$C$17="是",反向題設定!$B$2+1-原始資料!N132,原始資料!N132))</f>
        <v/>
      </c>
      <c r="O132">
        <f>IF(原始資料!O132="","",IF(反向題設定!$C$18="是",反向題設定!$B$2+1-原始資料!O132,原始資料!O132))</f>
        <v/>
      </c>
      <c r="P132">
        <f>IF(原始資料!P132="","",IF(反向題設定!$C$19="是",反向題設定!$B$2+1-原始資料!P132,原始資料!P132))</f>
        <v/>
      </c>
      <c r="Q132">
        <f>IF(原始資料!Q132="","",IF(反向題設定!$C$20="是",反向題設定!$B$2+1-原始資料!Q132,原始資料!Q132))</f>
        <v/>
      </c>
      <c r="R132">
        <f>IF(原始資料!R132="","",IF(反向題設定!$C$21="是",反向題設定!$B$2+1-原始資料!R132,原始資料!R132))</f>
        <v/>
      </c>
      <c r="S132">
        <f>IF(原始資料!S132="","",IF(反向題設定!$C$22="是",反向題設定!$B$2+1-原始資料!S132,原始資料!S132))</f>
        <v/>
      </c>
      <c r="T132">
        <f>IF(原始資料!T132="","",IF(反向題設定!$C$23="是",反向題設定!$B$2+1-原始資料!T132,原始資料!T132))</f>
        <v/>
      </c>
      <c r="U132">
        <f>IF(原始資料!U132="","",IF(反向題設定!$C$24="是",反向題設定!$B$2+1-原始資料!U132,原始資料!U132))</f>
        <v/>
      </c>
      <c r="V132">
        <f>IF(原始資料!V132="","",IF(反向題設定!$C$25="是",反向題設定!$B$2+1-原始資料!V132,原始資料!V132))</f>
        <v/>
      </c>
      <c r="W132">
        <f>IF(原始資料!W132="","",IF(反向題設定!$C$26="是",反向題設定!$B$2+1-原始資料!W132,原始資料!W132))</f>
        <v/>
      </c>
      <c r="X132">
        <f>IF(原始資料!X132="","",IF(反向題設定!$C$27="是",反向題設定!$B$2+1-原始資料!X132,原始資料!X132))</f>
        <v/>
      </c>
      <c r="Y132">
        <f>IF(原始資料!Y132="","",IF(反向題設定!$C$28="是",反向題設定!$B$2+1-原始資料!Y132,原始資料!Y132))</f>
        <v/>
      </c>
      <c r="Z132">
        <f>IF(原始資料!Z132="","",IF(反向題設定!$C$29="是",反向題設定!$B$2+1-原始資料!Z132,原始資料!Z132))</f>
        <v/>
      </c>
      <c r="AA132">
        <f>IF(原始資料!AA132="","",IF(反向題設定!$C$30="是",反向題設定!$B$2+1-原始資料!AA132,原始資料!AA132))</f>
        <v/>
      </c>
      <c r="AB132">
        <f>IF(原始資料!AB132="","",IF(反向題設定!$C$31="是",反向題設定!$B$2+1-原始資料!AB132,原始資料!AB132))</f>
        <v/>
      </c>
      <c r="AC132">
        <f>IF(原始資料!AC132="","",IF(反向題設定!$C$32="是",反向題設定!$B$2+1-原始資料!AC132,原始資料!AC132))</f>
        <v/>
      </c>
      <c r="AD132">
        <f>IF(原始資料!AD132="","",IF(反向題設定!$C$33="是",反向題設定!$B$2+1-原始資料!AD132,原始資料!AD132))</f>
        <v/>
      </c>
      <c r="AE132">
        <f>IF(原始資料!AE132="","",IF(反向題設定!$C$34="是",反向題設定!$B$2+1-原始資料!AE132,原始資料!AE132))</f>
        <v/>
      </c>
      <c r="AF132">
        <f>IF(原始資料!AF132="","",IF(反向題設定!$C$35="是",反向題設定!$B$2+1-原始資料!AF132,原始資料!AF132))</f>
        <v/>
      </c>
      <c r="AG132">
        <f>IF(原始資料!AG132="","",IF(反向題設定!$C$36="是",反向題設定!$B$2+1-原始資料!AG132,原始資料!AG132))</f>
        <v/>
      </c>
      <c r="AH132">
        <f>IF(原始資料!AH132="","",IF(反向題設定!$C$37="是",反向題設定!$B$2+1-原始資料!AH132,原始資料!AH132))</f>
        <v/>
      </c>
      <c r="AI132">
        <f>IF(原始資料!AI132="","",IF(反向題設定!$C$38="是",反向題設定!$B$2+1-原始資料!AI132,原始資料!AI132))</f>
        <v/>
      </c>
      <c r="AJ132">
        <f>IF(原始資料!AJ132="","",IF(反向題設定!$C$39="是",反向題設定!$B$2+1-原始資料!AJ132,原始資料!AJ132))</f>
        <v/>
      </c>
      <c r="AK132">
        <f>IF(原始資料!AK132="","",IF(反向題設定!$C$40="是",反向題設定!$B$2+1-原始資料!AK132,原始資料!AK132))</f>
        <v/>
      </c>
      <c r="AL132">
        <f>IF(原始資料!AL132="","",IF(反向題設定!$C$41="是",反向題設定!$B$2+1-原始資料!AL132,原始資料!AL132))</f>
        <v/>
      </c>
      <c r="AM132">
        <f>IF(原始資料!AM132="","",IF(反向題設定!$C$42="是",反向題設定!$B$2+1-原始資料!AM132,原始資料!AM132))</f>
        <v/>
      </c>
      <c r="AN132">
        <f>IF(原始資料!AN132="","",IF(反向題設定!$C$43="是",反向題設定!$B$2+1-原始資料!AN132,原始資料!AN132))</f>
        <v/>
      </c>
      <c r="AO132">
        <f>IF(原始資料!AO132="","",IF(反向題設定!$C$44="是",反向題設定!$B$2+1-原始資料!AO132,原始資料!AO132))</f>
        <v/>
      </c>
      <c r="AP132">
        <f>IF(COUNT(B132:AO132)=0,"",SUM(B132:AO132))</f>
        <v/>
      </c>
      <c r="AQ132">
        <f>IF(AP132="","",IF(AP132&gt;=項目分析!$C$5,"高",IF(AP132&lt;=項目分析!$C$6,"低","")))</f>
        <v/>
      </c>
    </row>
    <row r="133">
      <c r="A133">
        <f>IF(原始資料!A133="","",原始資料!A133)</f>
        <v/>
      </c>
      <c r="B133">
        <f>IF(原始資料!B133="","",IF(反向題設定!$C$5="是",反向題設定!$B$2+1-原始資料!B133,原始資料!B133))</f>
        <v/>
      </c>
      <c r="C133">
        <f>IF(原始資料!C133="","",IF(反向題設定!$C$6="是",反向題設定!$B$2+1-原始資料!C133,原始資料!C133))</f>
        <v/>
      </c>
      <c r="D133">
        <f>IF(原始資料!D133="","",IF(反向題設定!$C$7="是",反向題設定!$B$2+1-原始資料!D133,原始資料!D133))</f>
        <v/>
      </c>
      <c r="E133">
        <f>IF(原始資料!E133="","",IF(反向題設定!$C$8="是",反向題設定!$B$2+1-原始資料!E133,原始資料!E133))</f>
        <v/>
      </c>
      <c r="F133">
        <f>IF(原始資料!F133="","",IF(反向題設定!$C$9="是",反向題設定!$B$2+1-原始資料!F133,原始資料!F133))</f>
        <v/>
      </c>
      <c r="G133">
        <f>IF(原始資料!G133="","",IF(反向題設定!$C$10="是",反向題設定!$B$2+1-原始資料!G133,原始資料!G133))</f>
        <v/>
      </c>
      <c r="H133">
        <f>IF(原始資料!H133="","",IF(反向題設定!$C$11="是",反向題設定!$B$2+1-原始資料!H133,原始資料!H133))</f>
        <v/>
      </c>
      <c r="I133">
        <f>IF(原始資料!I133="","",IF(反向題設定!$C$12="是",反向題設定!$B$2+1-原始資料!I133,原始資料!I133))</f>
        <v/>
      </c>
      <c r="J133">
        <f>IF(原始資料!J133="","",IF(反向題設定!$C$13="是",反向題設定!$B$2+1-原始資料!J133,原始資料!J133))</f>
        <v/>
      </c>
      <c r="K133">
        <f>IF(原始資料!K133="","",IF(反向題設定!$C$14="是",反向題設定!$B$2+1-原始資料!K133,原始資料!K133))</f>
        <v/>
      </c>
      <c r="L133">
        <f>IF(原始資料!L133="","",IF(反向題設定!$C$15="是",反向題設定!$B$2+1-原始資料!L133,原始資料!L133))</f>
        <v/>
      </c>
      <c r="M133">
        <f>IF(原始資料!M133="","",IF(反向題設定!$C$16="是",反向題設定!$B$2+1-原始資料!M133,原始資料!M133))</f>
        <v/>
      </c>
      <c r="N133">
        <f>IF(原始資料!N133="","",IF(反向題設定!$C$17="是",反向題設定!$B$2+1-原始資料!N133,原始資料!N133))</f>
        <v/>
      </c>
      <c r="O133">
        <f>IF(原始資料!O133="","",IF(反向題設定!$C$18="是",反向題設定!$B$2+1-原始資料!O133,原始資料!O133))</f>
        <v/>
      </c>
      <c r="P133">
        <f>IF(原始資料!P133="","",IF(反向題設定!$C$19="是",反向題設定!$B$2+1-原始資料!P133,原始資料!P133))</f>
        <v/>
      </c>
      <c r="Q133">
        <f>IF(原始資料!Q133="","",IF(反向題設定!$C$20="是",反向題設定!$B$2+1-原始資料!Q133,原始資料!Q133))</f>
        <v/>
      </c>
      <c r="R133">
        <f>IF(原始資料!R133="","",IF(反向題設定!$C$21="是",反向題設定!$B$2+1-原始資料!R133,原始資料!R133))</f>
        <v/>
      </c>
      <c r="S133">
        <f>IF(原始資料!S133="","",IF(反向題設定!$C$22="是",反向題設定!$B$2+1-原始資料!S133,原始資料!S133))</f>
        <v/>
      </c>
      <c r="T133">
        <f>IF(原始資料!T133="","",IF(反向題設定!$C$23="是",反向題設定!$B$2+1-原始資料!T133,原始資料!T133))</f>
        <v/>
      </c>
      <c r="U133">
        <f>IF(原始資料!U133="","",IF(反向題設定!$C$24="是",反向題設定!$B$2+1-原始資料!U133,原始資料!U133))</f>
        <v/>
      </c>
      <c r="V133">
        <f>IF(原始資料!V133="","",IF(反向題設定!$C$25="是",反向題設定!$B$2+1-原始資料!V133,原始資料!V133))</f>
        <v/>
      </c>
      <c r="W133">
        <f>IF(原始資料!W133="","",IF(反向題設定!$C$26="是",反向題設定!$B$2+1-原始資料!W133,原始資料!W133))</f>
        <v/>
      </c>
      <c r="X133">
        <f>IF(原始資料!X133="","",IF(反向題設定!$C$27="是",反向題設定!$B$2+1-原始資料!X133,原始資料!X133))</f>
        <v/>
      </c>
      <c r="Y133">
        <f>IF(原始資料!Y133="","",IF(反向題設定!$C$28="是",反向題設定!$B$2+1-原始資料!Y133,原始資料!Y133))</f>
        <v/>
      </c>
      <c r="Z133">
        <f>IF(原始資料!Z133="","",IF(反向題設定!$C$29="是",反向題設定!$B$2+1-原始資料!Z133,原始資料!Z133))</f>
        <v/>
      </c>
      <c r="AA133">
        <f>IF(原始資料!AA133="","",IF(反向題設定!$C$30="是",反向題設定!$B$2+1-原始資料!AA133,原始資料!AA133))</f>
        <v/>
      </c>
      <c r="AB133">
        <f>IF(原始資料!AB133="","",IF(反向題設定!$C$31="是",反向題設定!$B$2+1-原始資料!AB133,原始資料!AB133))</f>
        <v/>
      </c>
      <c r="AC133">
        <f>IF(原始資料!AC133="","",IF(反向題設定!$C$32="是",反向題設定!$B$2+1-原始資料!AC133,原始資料!AC133))</f>
        <v/>
      </c>
      <c r="AD133">
        <f>IF(原始資料!AD133="","",IF(反向題設定!$C$33="是",反向題設定!$B$2+1-原始資料!AD133,原始資料!AD133))</f>
        <v/>
      </c>
      <c r="AE133">
        <f>IF(原始資料!AE133="","",IF(反向題設定!$C$34="是",反向題設定!$B$2+1-原始資料!AE133,原始資料!AE133))</f>
        <v/>
      </c>
      <c r="AF133">
        <f>IF(原始資料!AF133="","",IF(反向題設定!$C$35="是",反向題設定!$B$2+1-原始資料!AF133,原始資料!AF133))</f>
        <v/>
      </c>
      <c r="AG133">
        <f>IF(原始資料!AG133="","",IF(反向題設定!$C$36="是",反向題設定!$B$2+1-原始資料!AG133,原始資料!AG133))</f>
        <v/>
      </c>
      <c r="AH133">
        <f>IF(原始資料!AH133="","",IF(反向題設定!$C$37="是",反向題設定!$B$2+1-原始資料!AH133,原始資料!AH133))</f>
        <v/>
      </c>
      <c r="AI133">
        <f>IF(原始資料!AI133="","",IF(反向題設定!$C$38="是",反向題設定!$B$2+1-原始資料!AI133,原始資料!AI133))</f>
        <v/>
      </c>
      <c r="AJ133">
        <f>IF(原始資料!AJ133="","",IF(反向題設定!$C$39="是",反向題設定!$B$2+1-原始資料!AJ133,原始資料!AJ133))</f>
        <v/>
      </c>
      <c r="AK133">
        <f>IF(原始資料!AK133="","",IF(反向題設定!$C$40="是",反向題設定!$B$2+1-原始資料!AK133,原始資料!AK133))</f>
        <v/>
      </c>
      <c r="AL133">
        <f>IF(原始資料!AL133="","",IF(反向題設定!$C$41="是",反向題設定!$B$2+1-原始資料!AL133,原始資料!AL133))</f>
        <v/>
      </c>
      <c r="AM133">
        <f>IF(原始資料!AM133="","",IF(反向題設定!$C$42="是",反向題設定!$B$2+1-原始資料!AM133,原始資料!AM133))</f>
        <v/>
      </c>
      <c r="AN133">
        <f>IF(原始資料!AN133="","",IF(反向題設定!$C$43="是",反向題設定!$B$2+1-原始資料!AN133,原始資料!AN133))</f>
        <v/>
      </c>
      <c r="AO133">
        <f>IF(原始資料!AO133="","",IF(反向題設定!$C$44="是",反向題設定!$B$2+1-原始資料!AO133,原始資料!AO133))</f>
        <v/>
      </c>
      <c r="AP133">
        <f>IF(COUNT(B133:AO133)=0,"",SUM(B133:AO133))</f>
        <v/>
      </c>
      <c r="AQ133">
        <f>IF(AP133="","",IF(AP133&gt;=項目分析!$C$5,"高",IF(AP133&lt;=項目分析!$C$6,"低","")))</f>
        <v/>
      </c>
    </row>
    <row r="134">
      <c r="A134">
        <f>IF(原始資料!A134="","",原始資料!A134)</f>
        <v/>
      </c>
      <c r="B134">
        <f>IF(原始資料!B134="","",IF(反向題設定!$C$5="是",反向題設定!$B$2+1-原始資料!B134,原始資料!B134))</f>
        <v/>
      </c>
      <c r="C134">
        <f>IF(原始資料!C134="","",IF(反向題設定!$C$6="是",反向題設定!$B$2+1-原始資料!C134,原始資料!C134))</f>
        <v/>
      </c>
      <c r="D134">
        <f>IF(原始資料!D134="","",IF(反向題設定!$C$7="是",反向題設定!$B$2+1-原始資料!D134,原始資料!D134))</f>
        <v/>
      </c>
      <c r="E134">
        <f>IF(原始資料!E134="","",IF(反向題設定!$C$8="是",反向題設定!$B$2+1-原始資料!E134,原始資料!E134))</f>
        <v/>
      </c>
      <c r="F134">
        <f>IF(原始資料!F134="","",IF(反向題設定!$C$9="是",反向題設定!$B$2+1-原始資料!F134,原始資料!F134))</f>
        <v/>
      </c>
      <c r="G134">
        <f>IF(原始資料!G134="","",IF(反向題設定!$C$10="是",反向題設定!$B$2+1-原始資料!G134,原始資料!G134))</f>
        <v/>
      </c>
      <c r="H134">
        <f>IF(原始資料!H134="","",IF(反向題設定!$C$11="是",反向題設定!$B$2+1-原始資料!H134,原始資料!H134))</f>
        <v/>
      </c>
      <c r="I134">
        <f>IF(原始資料!I134="","",IF(反向題設定!$C$12="是",反向題設定!$B$2+1-原始資料!I134,原始資料!I134))</f>
        <v/>
      </c>
      <c r="J134">
        <f>IF(原始資料!J134="","",IF(反向題設定!$C$13="是",反向題設定!$B$2+1-原始資料!J134,原始資料!J134))</f>
        <v/>
      </c>
      <c r="K134">
        <f>IF(原始資料!K134="","",IF(反向題設定!$C$14="是",反向題設定!$B$2+1-原始資料!K134,原始資料!K134))</f>
        <v/>
      </c>
      <c r="L134">
        <f>IF(原始資料!L134="","",IF(反向題設定!$C$15="是",反向題設定!$B$2+1-原始資料!L134,原始資料!L134))</f>
        <v/>
      </c>
      <c r="M134">
        <f>IF(原始資料!M134="","",IF(反向題設定!$C$16="是",反向題設定!$B$2+1-原始資料!M134,原始資料!M134))</f>
        <v/>
      </c>
      <c r="N134">
        <f>IF(原始資料!N134="","",IF(反向題設定!$C$17="是",反向題設定!$B$2+1-原始資料!N134,原始資料!N134))</f>
        <v/>
      </c>
      <c r="O134">
        <f>IF(原始資料!O134="","",IF(反向題設定!$C$18="是",反向題設定!$B$2+1-原始資料!O134,原始資料!O134))</f>
        <v/>
      </c>
      <c r="P134">
        <f>IF(原始資料!P134="","",IF(反向題設定!$C$19="是",反向題設定!$B$2+1-原始資料!P134,原始資料!P134))</f>
        <v/>
      </c>
      <c r="Q134">
        <f>IF(原始資料!Q134="","",IF(反向題設定!$C$20="是",反向題設定!$B$2+1-原始資料!Q134,原始資料!Q134))</f>
        <v/>
      </c>
      <c r="R134">
        <f>IF(原始資料!R134="","",IF(反向題設定!$C$21="是",反向題設定!$B$2+1-原始資料!R134,原始資料!R134))</f>
        <v/>
      </c>
      <c r="S134">
        <f>IF(原始資料!S134="","",IF(反向題設定!$C$22="是",反向題設定!$B$2+1-原始資料!S134,原始資料!S134))</f>
        <v/>
      </c>
      <c r="T134">
        <f>IF(原始資料!T134="","",IF(反向題設定!$C$23="是",反向題設定!$B$2+1-原始資料!T134,原始資料!T134))</f>
        <v/>
      </c>
      <c r="U134">
        <f>IF(原始資料!U134="","",IF(反向題設定!$C$24="是",反向題設定!$B$2+1-原始資料!U134,原始資料!U134))</f>
        <v/>
      </c>
      <c r="V134">
        <f>IF(原始資料!V134="","",IF(反向題設定!$C$25="是",反向題設定!$B$2+1-原始資料!V134,原始資料!V134))</f>
        <v/>
      </c>
      <c r="W134">
        <f>IF(原始資料!W134="","",IF(反向題設定!$C$26="是",反向題設定!$B$2+1-原始資料!W134,原始資料!W134))</f>
        <v/>
      </c>
      <c r="X134">
        <f>IF(原始資料!X134="","",IF(反向題設定!$C$27="是",反向題設定!$B$2+1-原始資料!X134,原始資料!X134))</f>
        <v/>
      </c>
      <c r="Y134">
        <f>IF(原始資料!Y134="","",IF(反向題設定!$C$28="是",反向題設定!$B$2+1-原始資料!Y134,原始資料!Y134))</f>
        <v/>
      </c>
      <c r="Z134">
        <f>IF(原始資料!Z134="","",IF(反向題設定!$C$29="是",反向題設定!$B$2+1-原始資料!Z134,原始資料!Z134))</f>
        <v/>
      </c>
      <c r="AA134">
        <f>IF(原始資料!AA134="","",IF(反向題設定!$C$30="是",反向題設定!$B$2+1-原始資料!AA134,原始資料!AA134))</f>
        <v/>
      </c>
      <c r="AB134">
        <f>IF(原始資料!AB134="","",IF(反向題設定!$C$31="是",反向題設定!$B$2+1-原始資料!AB134,原始資料!AB134))</f>
        <v/>
      </c>
      <c r="AC134">
        <f>IF(原始資料!AC134="","",IF(反向題設定!$C$32="是",反向題設定!$B$2+1-原始資料!AC134,原始資料!AC134))</f>
        <v/>
      </c>
      <c r="AD134">
        <f>IF(原始資料!AD134="","",IF(反向題設定!$C$33="是",反向題設定!$B$2+1-原始資料!AD134,原始資料!AD134))</f>
        <v/>
      </c>
      <c r="AE134">
        <f>IF(原始資料!AE134="","",IF(反向題設定!$C$34="是",反向題設定!$B$2+1-原始資料!AE134,原始資料!AE134))</f>
        <v/>
      </c>
      <c r="AF134">
        <f>IF(原始資料!AF134="","",IF(反向題設定!$C$35="是",反向題設定!$B$2+1-原始資料!AF134,原始資料!AF134))</f>
        <v/>
      </c>
      <c r="AG134">
        <f>IF(原始資料!AG134="","",IF(反向題設定!$C$36="是",反向題設定!$B$2+1-原始資料!AG134,原始資料!AG134))</f>
        <v/>
      </c>
      <c r="AH134">
        <f>IF(原始資料!AH134="","",IF(反向題設定!$C$37="是",反向題設定!$B$2+1-原始資料!AH134,原始資料!AH134))</f>
        <v/>
      </c>
      <c r="AI134">
        <f>IF(原始資料!AI134="","",IF(反向題設定!$C$38="是",反向題設定!$B$2+1-原始資料!AI134,原始資料!AI134))</f>
        <v/>
      </c>
      <c r="AJ134">
        <f>IF(原始資料!AJ134="","",IF(反向題設定!$C$39="是",反向題設定!$B$2+1-原始資料!AJ134,原始資料!AJ134))</f>
        <v/>
      </c>
      <c r="AK134">
        <f>IF(原始資料!AK134="","",IF(反向題設定!$C$40="是",反向題設定!$B$2+1-原始資料!AK134,原始資料!AK134))</f>
        <v/>
      </c>
      <c r="AL134">
        <f>IF(原始資料!AL134="","",IF(反向題設定!$C$41="是",反向題設定!$B$2+1-原始資料!AL134,原始資料!AL134))</f>
        <v/>
      </c>
      <c r="AM134">
        <f>IF(原始資料!AM134="","",IF(反向題設定!$C$42="是",反向題設定!$B$2+1-原始資料!AM134,原始資料!AM134))</f>
        <v/>
      </c>
      <c r="AN134">
        <f>IF(原始資料!AN134="","",IF(反向題設定!$C$43="是",反向題設定!$B$2+1-原始資料!AN134,原始資料!AN134))</f>
        <v/>
      </c>
      <c r="AO134">
        <f>IF(原始資料!AO134="","",IF(反向題設定!$C$44="是",反向題設定!$B$2+1-原始資料!AO134,原始資料!AO134))</f>
        <v/>
      </c>
      <c r="AP134">
        <f>IF(COUNT(B134:AO134)=0,"",SUM(B134:AO134))</f>
        <v/>
      </c>
      <c r="AQ134">
        <f>IF(AP134="","",IF(AP134&gt;=項目分析!$C$5,"高",IF(AP134&lt;=項目分析!$C$6,"低","")))</f>
        <v/>
      </c>
    </row>
    <row r="135">
      <c r="A135">
        <f>IF(原始資料!A135="","",原始資料!A135)</f>
        <v/>
      </c>
      <c r="B135">
        <f>IF(原始資料!B135="","",IF(反向題設定!$C$5="是",反向題設定!$B$2+1-原始資料!B135,原始資料!B135))</f>
        <v/>
      </c>
      <c r="C135">
        <f>IF(原始資料!C135="","",IF(反向題設定!$C$6="是",反向題設定!$B$2+1-原始資料!C135,原始資料!C135))</f>
        <v/>
      </c>
      <c r="D135">
        <f>IF(原始資料!D135="","",IF(反向題設定!$C$7="是",反向題設定!$B$2+1-原始資料!D135,原始資料!D135))</f>
        <v/>
      </c>
      <c r="E135">
        <f>IF(原始資料!E135="","",IF(反向題設定!$C$8="是",反向題設定!$B$2+1-原始資料!E135,原始資料!E135))</f>
        <v/>
      </c>
      <c r="F135">
        <f>IF(原始資料!F135="","",IF(反向題設定!$C$9="是",反向題設定!$B$2+1-原始資料!F135,原始資料!F135))</f>
        <v/>
      </c>
      <c r="G135">
        <f>IF(原始資料!G135="","",IF(反向題設定!$C$10="是",反向題設定!$B$2+1-原始資料!G135,原始資料!G135))</f>
        <v/>
      </c>
      <c r="H135">
        <f>IF(原始資料!H135="","",IF(反向題設定!$C$11="是",反向題設定!$B$2+1-原始資料!H135,原始資料!H135))</f>
        <v/>
      </c>
      <c r="I135">
        <f>IF(原始資料!I135="","",IF(反向題設定!$C$12="是",反向題設定!$B$2+1-原始資料!I135,原始資料!I135))</f>
        <v/>
      </c>
      <c r="J135">
        <f>IF(原始資料!J135="","",IF(反向題設定!$C$13="是",反向題設定!$B$2+1-原始資料!J135,原始資料!J135))</f>
        <v/>
      </c>
      <c r="K135">
        <f>IF(原始資料!K135="","",IF(反向題設定!$C$14="是",反向題設定!$B$2+1-原始資料!K135,原始資料!K135))</f>
        <v/>
      </c>
      <c r="L135">
        <f>IF(原始資料!L135="","",IF(反向題設定!$C$15="是",反向題設定!$B$2+1-原始資料!L135,原始資料!L135))</f>
        <v/>
      </c>
      <c r="M135">
        <f>IF(原始資料!M135="","",IF(反向題設定!$C$16="是",反向題設定!$B$2+1-原始資料!M135,原始資料!M135))</f>
        <v/>
      </c>
      <c r="N135">
        <f>IF(原始資料!N135="","",IF(反向題設定!$C$17="是",反向題設定!$B$2+1-原始資料!N135,原始資料!N135))</f>
        <v/>
      </c>
      <c r="O135">
        <f>IF(原始資料!O135="","",IF(反向題設定!$C$18="是",反向題設定!$B$2+1-原始資料!O135,原始資料!O135))</f>
        <v/>
      </c>
      <c r="P135">
        <f>IF(原始資料!P135="","",IF(反向題設定!$C$19="是",反向題設定!$B$2+1-原始資料!P135,原始資料!P135))</f>
        <v/>
      </c>
      <c r="Q135">
        <f>IF(原始資料!Q135="","",IF(反向題設定!$C$20="是",反向題設定!$B$2+1-原始資料!Q135,原始資料!Q135))</f>
        <v/>
      </c>
      <c r="R135">
        <f>IF(原始資料!R135="","",IF(反向題設定!$C$21="是",反向題設定!$B$2+1-原始資料!R135,原始資料!R135))</f>
        <v/>
      </c>
      <c r="S135">
        <f>IF(原始資料!S135="","",IF(反向題設定!$C$22="是",反向題設定!$B$2+1-原始資料!S135,原始資料!S135))</f>
        <v/>
      </c>
      <c r="T135">
        <f>IF(原始資料!T135="","",IF(反向題設定!$C$23="是",反向題設定!$B$2+1-原始資料!T135,原始資料!T135))</f>
        <v/>
      </c>
      <c r="U135">
        <f>IF(原始資料!U135="","",IF(反向題設定!$C$24="是",反向題設定!$B$2+1-原始資料!U135,原始資料!U135))</f>
        <v/>
      </c>
      <c r="V135">
        <f>IF(原始資料!V135="","",IF(反向題設定!$C$25="是",反向題設定!$B$2+1-原始資料!V135,原始資料!V135))</f>
        <v/>
      </c>
      <c r="W135">
        <f>IF(原始資料!W135="","",IF(反向題設定!$C$26="是",反向題設定!$B$2+1-原始資料!W135,原始資料!W135))</f>
        <v/>
      </c>
      <c r="X135">
        <f>IF(原始資料!X135="","",IF(反向題設定!$C$27="是",反向題設定!$B$2+1-原始資料!X135,原始資料!X135))</f>
        <v/>
      </c>
      <c r="Y135">
        <f>IF(原始資料!Y135="","",IF(反向題設定!$C$28="是",反向題設定!$B$2+1-原始資料!Y135,原始資料!Y135))</f>
        <v/>
      </c>
      <c r="Z135">
        <f>IF(原始資料!Z135="","",IF(反向題設定!$C$29="是",反向題設定!$B$2+1-原始資料!Z135,原始資料!Z135))</f>
        <v/>
      </c>
      <c r="AA135">
        <f>IF(原始資料!AA135="","",IF(反向題設定!$C$30="是",反向題設定!$B$2+1-原始資料!AA135,原始資料!AA135))</f>
        <v/>
      </c>
      <c r="AB135">
        <f>IF(原始資料!AB135="","",IF(反向題設定!$C$31="是",反向題設定!$B$2+1-原始資料!AB135,原始資料!AB135))</f>
        <v/>
      </c>
      <c r="AC135">
        <f>IF(原始資料!AC135="","",IF(反向題設定!$C$32="是",反向題設定!$B$2+1-原始資料!AC135,原始資料!AC135))</f>
        <v/>
      </c>
      <c r="AD135">
        <f>IF(原始資料!AD135="","",IF(反向題設定!$C$33="是",反向題設定!$B$2+1-原始資料!AD135,原始資料!AD135))</f>
        <v/>
      </c>
      <c r="AE135">
        <f>IF(原始資料!AE135="","",IF(反向題設定!$C$34="是",反向題設定!$B$2+1-原始資料!AE135,原始資料!AE135))</f>
        <v/>
      </c>
      <c r="AF135">
        <f>IF(原始資料!AF135="","",IF(反向題設定!$C$35="是",反向題設定!$B$2+1-原始資料!AF135,原始資料!AF135))</f>
        <v/>
      </c>
      <c r="AG135">
        <f>IF(原始資料!AG135="","",IF(反向題設定!$C$36="是",反向題設定!$B$2+1-原始資料!AG135,原始資料!AG135))</f>
        <v/>
      </c>
      <c r="AH135">
        <f>IF(原始資料!AH135="","",IF(反向題設定!$C$37="是",反向題設定!$B$2+1-原始資料!AH135,原始資料!AH135))</f>
        <v/>
      </c>
      <c r="AI135">
        <f>IF(原始資料!AI135="","",IF(反向題設定!$C$38="是",反向題設定!$B$2+1-原始資料!AI135,原始資料!AI135))</f>
        <v/>
      </c>
      <c r="AJ135">
        <f>IF(原始資料!AJ135="","",IF(反向題設定!$C$39="是",反向題設定!$B$2+1-原始資料!AJ135,原始資料!AJ135))</f>
        <v/>
      </c>
      <c r="AK135">
        <f>IF(原始資料!AK135="","",IF(反向題設定!$C$40="是",反向題設定!$B$2+1-原始資料!AK135,原始資料!AK135))</f>
        <v/>
      </c>
      <c r="AL135">
        <f>IF(原始資料!AL135="","",IF(反向題設定!$C$41="是",反向題設定!$B$2+1-原始資料!AL135,原始資料!AL135))</f>
        <v/>
      </c>
      <c r="AM135">
        <f>IF(原始資料!AM135="","",IF(反向題設定!$C$42="是",反向題設定!$B$2+1-原始資料!AM135,原始資料!AM135))</f>
        <v/>
      </c>
      <c r="AN135">
        <f>IF(原始資料!AN135="","",IF(反向題設定!$C$43="是",反向題設定!$B$2+1-原始資料!AN135,原始資料!AN135))</f>
        <v/>
      </c>
      <c r="AO135">
        <f>IF(原始資料!AO135="","",IF(反向題設定!$C$44="是",反向題設定!$B$2+1-原始資料!AO135,原始資料!AO135))</f>
        <v/>
      </c>
      <c r="AP135">
        <f>IF(COUNT(B135:AO135)=0,"",SUM(B135:AO135))</f>
        <v/>
      </c>
      <c r="AQ135">
        <f>IF(AP135="","",IF(AP135&gt;=項目分析!$C$5,"高",IF(AP135&lt;=項目分析!$C$6,"低","")))</f>
        <v/>
      </c>
    </row>
    <row r="136">
      <c r="A136">
        <f>IF(原始資料!A136="","",原始資料!A136)</f>
        <v/>
      </c>
      <c r="B136">
        <f>IF(原始資料!B136="","",IF(反向題設定!$C$5="是",反向題設定!$B$2+1-原始資料!B136,原始資料!B136))</f>
        <v/>
      </c>
      <c r="C136">
        <f>IF(原始資料!C136="","",IF(反向題設定!$C$6="是",反向題設定!$B$2+1-原始資料!C136,原始資料!C136))</f>
        <v/>
      </c>
      <c r="D136">
        <f>IF(原始資料!D136="","",IF(反向題設定!$C$7="是",反向題設定!$B$2+1-原始資料!D136,原始資料!D136))</f>
        <v/>
      </c>
      <c r="E136">
        <f>IF(原始資料!E136="","",IF(反向題設定!$C$8="是",反向題設定!$B$2+1-原始資料!E136,原始資料!E136))</f>
        <v/>
      </c>
      <c r="F136">
        <f>IF(原始資料!F136="","",IF(反向題設定!$C$9="是",反向題設定!$B$2+1-原始資料!F136,原始資料!F136))</f>
        <v/>
      </c>
      <c r="G136">
        <f>IF(原始資料!G136="","",IF(反向題設定!$C$10="是",反向題設定!$B$2+1-原始資料!G136,原始資料!G136))</f>
        <v/>
      </c>
      <c r="H136">
        <f>IF(原始資料!H136="","",IF(反向題設定!$C$11="是",反向題設定!$B$2+1-原始資料!H136,原始資料!H136))</f>
        <v/>
      </c>
      <c r="I136">
        <f>IF(原始資料!I136="","",IF(反向題設定!$C$12="是",反向題設定!$B$2+1-原始資料!I136,原始資料!I136))</f>
        <v/>
      </c>
      <c r="J136">
        <f>IF(原始資料!J136="","",IF(反向題設定!$C$13="是",反向題設定!$B$2+1-原始資料!J136,原始資料!J136))</f>
        <v/>
      </c>
      <c r="K136">
        <f>IF(原始資料!K136="","",IF(反向題設定!$C$14="是",反向題設定!$B$2+1-原始資料!K136,原始資料!K136))</f>
        <v/>
      </c>
      <c r="L136">
        <f>IF(原始資料!L136="","",IF(反向題設定!$C$15="是",反向題設定!$B$2+1-原始資料!L136,原始資料!L136))</f>
        <v/>
      </c>
      <c r="M136">
        <f>IF(原始資料!M136="","",IF(反向題設定!$C$16="是",反向題設定!$B$2+1-原始資料!M136,原始資料!M136))</f>
        <v/>
      </c>
      <c r="N136">
        <f>IF(原始資料!N136="","",IF(反向題設定!$C$17="是",反向題設定!$B$2+1-原始資料!N136,原始資料!N136))</f>
        <v/>
      </c>
      <c r="O136">
        <f>IF(原始資料!O136="","",IF(反向題設定!$C$18="是",反向題設定!$B$2+1-原始資料!O136,原始資料!O136))</f>
        <v/>
      </c>
      <c r="P136">
        <f>IF(原始資料!P136="","",IF(反向題設定!$C$19="是",反向題設定!$B$2+1-原始資料!P136,原始資料!P136))</f>
        <v/>
      </c>
      <c r="Q136">
        <f>IF(原始資料!Q136="","",IF(反向題設定!$C$20="是",反向題設定!$B$2+1-原始資料!Q136,原始資料!Q136))</f>
        <v/>
      </c>
      <c r="R136">
        <f>IF(原始資料!R136="","",IF(反向題設定!$C$21="是",反向題設定!$B$2+1-原始資料!R136,原始資料!R136))</f>
        <v/>
      </c>
      <c r="S136">
        <f>IF(原始資料!S136="","",IF(反向題設定!$C$22="是",反向題設定!$B$2+1-原始資料!S136,原始資料!S136))</f>
        <v/>
      </c>
      <c r="T136">
        <f>IF(原始資料!T136="","",IF(反向題設定!$C$23="是",反向題設定!$B$2+1-原始資料!T136,原始資料!T136))</f>
        <v/>
      </c>
      <c r="U136">
        <f>IF(原始資料!U136="","",IF(反向題設定!$C$24="是",反向題設定!$B$2+1-原始資料!U136,原始資料!U136))</f>
        <v/>
      </c>
      <c r="V136">
        <f>IF(原始資料!V136="","",IF(反向題設定!$C$25="是",反向題設定!$B$2+1-原始資料!V136,原始資料!V136))</f>
        <v/>
      </c>
      <c r="W136">
        <f>IF(原始資料!W136="","",IF(反向題設定!$C$26="是",反向題設定!$B$2+1-原始資料!W136,原始資料!W136))</f>
        <v/>
      </c>
      <c r="X136">
        <f>IF(原始資料!X136="","",IF(反向題設定!$C$27="是",反向題設定!$B$2+1-原始資料!X136,原始資料!X136))</f>
        <v/>
      </c>
      <c r="Y136">
        <f>IF(原始資料!Y136="","",IF(反向題設定!$C$28="是",反向題設定!$B$2+1-原始資料!Y136,原始資料!Y136))</f>
        <v/>
      </c>
      <c r="Z136">
        <f>IF(原始資料!Z136="","",IF(反向題設定!$C$29="是",反向題設定!$B$2+1-原始資料!Z136,原始資料!Z136))</f>
        <v/>
      </c>
      <c r="AA136">
        <f>IF(原始資料!AA136="","",IF(反向題設定!$C$30="是",反向題設定!$B$2+1-原始資料!AA136,原始資料!AA136))</f>
        <v/>
      </c>
      <c r="AB136">
        <f>IF(原始資料!AB136="","",IF(反向題設定!$C$31="是",反向題設定!$B$2+1-原始資料!AB136,原始資料!AB136))</f>
        <v/>
      </c>
      <c r="AC136">
        <f>IF(原始資料!AC136="","",IF(反向題設定!$C$32="是",反向題設定!$B$2+1-原始資料!AC136,原始資料!AC136))</f>
        <v/>
      </c>
      <c r="AD136">
        <f>IF(原始資料!AD136="","",IF(反向題設定!$C$33="是",反向題設定!$B$2+1-原始資料!AD136,原始資料!AD136))</f>
        <v/>
      </c>
      <c r="AE136">
        <f>IF(原始資料!AE136="","",IF(反向題設定!$C$34="是",反向題設定!$B$2+1-原始資料!AE136,原始資料!AE136))</f>
        <v/>
      </c>
      <c r="AF136">
        <f>IF(原始資料!AF136="","",IF(反向題設定!$C$35="是",反向題設定!$B$2+1-原始資料!AF136,原始資料!AF136))</f>
        <v/>
      </c>
      <c r="AG136">
        <f>IF(原始資料!AG136="","",IF(反向題設定!$C$36="是",反向題設定!$B$2+1-原始資料!AG136,原始資料!AG136))</f>
        <v/>
      </c>
      <c r="AH136">
        <f>IF(原始資料!AH136="","",IF(反向題設定!$C$37="是",反向題設定!$B$2+1-原始資料!AH136,原始資料!AH136))</f>
        <v/>
      </c>
      <c r="AI136">
        <f>IF(原始資料!AI136="","",IF(反向題設定!$C$38="是",反向題設定!$B$2+1-原始資料!AI136,原始資料!AI136))</f>
        <v/>
      </c>
      <c r="AJ136">
        <f>IF(原始資料!AJ136="","",IF(反向題設定!$C$39="是",反向題設定!$B$2+1-原始資料!AJ136,原始資料!AJ136))</f>
        <v/>
      </c>
      <c r="AK136">
        <f>IF(原始資料!AK136="","",IF(反向題設定!$C$40="是",反向題設定!$B$2+1-原始資料!AK136,原始資料!AK136))</f>
        <v/>
      </c>
      <c r="AL136">
        <f>IF(原始資料!AL136="","",IF(反向題設定!$C$41="是",反向題設定!$B$2+1-原始資料!AL136,原始資料!AL136))</f>
        <v/>
      </c>
      <c r="AM136">
        <f>IF(原始資料!AM136="","",IF(反向題設定!$C$42="是",反向題設定!$B$2+1-原始資料!AM136,原始資料!AM136))</f>
        <v/>
      </c>
      <c r="AN136">
        <f>IF(原始資料!AN136="","",IF(反向題設定!$C$43="是",反向題設定!$B$2+1-原始資料!AN136,原始資料!AN136))</f>
        <v/>
      </c>
      <c r="AO136">
        <f>IF(原始資料!AO136="","",IF(反向題設定!$C$44="是",反向題設定!$B$2+1-原始資料!AO136,原始資料!AO136))</f>
        <v/>
      </c>
      <c r="AP136">
        <f>IF(COUNT(B136:AO136)=0,"",SUM(B136:AO136))</f>
        <v/>
      </c>
      <c r="AQ136">
        <f>IF(AP136="","",IF(AP136&gt;=項目分析!$C$5,"高",IF(AP136&lt;=項目分析!$C$6,"低","")))</f>
        <v/>
      </c>
    </row>
    <row r="137">
      <c r="A137">
        <f>IF(原始資料!A137="","",原始資料!A137)</f>
        <v/>
      </c>
      <c r="B137">
        <f>IF(原始資料!B137="","",IF(反向題設定!$C$5="是",反向題設定!$B$2+1-原始資料!B137,原始資料!B137))</f>
        <v/>
      </c>
      <c r="C137">
        <f>IF(原始資料!C137="","",IF(反向題設定!$C$6="是",反向題設定!$B$2+1-原始資料!C137,原始資料!C137))</f>
        <v/>
      </c>
      <c r="D137">
        <f>IF(原始資料!D137="","",IF(反向題設定!$C$7="是",反向題設定!$B$2+1-原始資料!D137,原始資料!D137))</f>
        <v/>
      </c>
      <c r="E137">
        <f>IF(原始資料!E137="","",IF(反向題設定!$C$8="是",反向題設定!$B$2+1-原始資料!E137,原始資料!E137))</f>
        <v/>
      </c>
      <c r="F137">
        <f>IF(原始資料!F137="","",IF(反向題設定!$C$9="是",反向題設定!$B$2+1-原始資料!F137,原始資料!F137))</f>
        <v/>
      </c>
      <c r="G137">
        <f>IF(原始資料!G137="","",IF(反向題設定!$C$10="是",反向題設定!$B$2+1-原始資料!G137,原始資料!G137))</f>
        <v/>
      </c>
      <c r="H137">
        <f>IF(原始資料!H137="","",IF(反向題設定!$C$11="是",反向題設定!$B$2+1-原始資料!H137,原始資料!H137))</f>
        <v/>
      </c>
      <c r="I137">
        <f>IF(原始資料!I137="","",IF(反向題設定!$C$12="是",反向題設定!$B$2+1-原始資料!I137,原始資料!I137))</f>
        <v/>
      </c>
      <c r="J137">
        <f>IF(原始資料!J137="","",IF(反向題設定!$C$13="是",反向題設定!$B$2+1-原始資料!J137,原始資料!J137))</f>
        <v/>
      </c>
      <c r="K137">
        <f>IF(原始資料!K137="","",IF(反向題設定!$C$14="是",反向題設定!$B$2+1-原始資料!K137,原始資料!K137))</f>
        <v/>
      </c>
      <c r="L137">
        <f>IF(原始資料!L137="","",IF(反向題設定!$C$15="是",反向題設定!$B$2+1-原始資料!L137,原始資料!L137))</f>
        <v/>
      </c>
      <c r="M137">
        <f>IF(原始資料!M137="","",IF(反向題設定!$C$16="是",反向題設定!$B$2+1-原始資料!M137,原始資料!M137))</f>
        <v/>
      </c>
      <c r="N137">
        <f>IF(原始資料!N137="","",IF(反向題設定!$C$17="是",反向題設定!$B$2+1-原始資料!N137,原始資料!N137))</f>
        <v/>
      </c>
      <c r="O137">
        <f>IF(原始資料!O137="","",IF(反向題設定!$C$18="是",反向題設定!$B$2+1-原始資料!O137,原始資料!O137))</f>
        <v/>
      </c>
      <c r="P137">
        <f>IF(原始資料!P137="","",IF(反向題設定!$C$19="是",反向題設定!$B$2+1-原始資料!P137,原始資料!P137))</f>
        <v/>
      </c>
      <c r="Q137">
        <f>IF(原始資料!Q137="","",IF(反向題設定!$C$20="是",反向題設定!$B$2+1-原始資料!Q137,原始資料!Q137))</f>
        <v/>
      </c>
      <c r="R137">
        <f>IF(原始資料!R137="","",IF(反向題設定!$C$21="是",反向題設定!$B$2+1-原始資料!R137,原始資料!R137))</f>
        <v/>
      </c>
      <c r="S137">
        <f>IF(原始資料!S137="","",IF(反向題設定!$C$22="是",反向題設定!$B$2+1-原始資料!S137,原始資料!S137))</f>
        <v/>
      </c>
      <c r="T137">
        <f>IF(原始資料!T137="","",IF(反向題設定!$C$23="是",反向題設定!$B$2+1-原始資料!T137,原始資料!T137))</f>
        <v/>
      </c>
      <c r="U137">
        <f>IF(原始資料!U137="","",IF(反向題設定!$C$24="是",反向題設定!$B$2+1-原始資料!U137,原始資料!U137))</f>
        <v/>
      </c>
      <c r="V137">
        <f>IF(原始資料!V137="","",IF(反向題設定!$C$25="是",反向題設定!$B$2+1-原始資料!V137,原始資料!V137))</f>
        <v/>
      </c>
      <c r="W137">
        <f>IF(原始資料!W137="","",IF(反向題設定!$C$26="是",反向題設定!$B$2+1-原始資料!W137,原始資料!W137))</f>
        <v/>
      </c>
      <c r="X137">
        <f>IF(原始資料!X137="","",IF(反向題設定!$C$27="是",反向題設定!$B$2+1-原始資料!X137,原始資料!X137))</f>
        <v/>
      </c>
      <c r="Y137">
        <f>IF(原始資料!Y137="","",IF(反向題設定!$C$28="是",反向題設定!$B$2+1-原始資料!Y137,原始資料!Y137))</f>
        <v/>
      </c>
      <c r="Z137">
        <f>IF(原始資料!Z137="","",IF(反向題設定!$C$29="是",反向題設定!$B$2+1-原始資料!Z137,原始資料!Z137))</f>
        <v/>
      </c>
      <c r="AA137">
        <f>IF(原始資料!AA137="","",IF(反向題設定!$C$30="是",反向題設定!$B$2+1-原始資料!AA137,原始資料!AA137))</f>
        <v/>
      </c>
      <c r="AB137">
        <f>IF(原始資料!AB137="","",IF(反向題設定!$C$31="是",反向題設定!$B$2+1-原始資料!AB137,原始資料!AB137))</f>
        <v/>
      </c>
      <c r="AC137">
        <f>IF(原始資料!AC137="","",IF(反向題設定!$C$32="是",反向題設定!$B$2+1-原始資料!AC137,原始資料!AC137))</f>
        <v/>
      </c>
      <c r="AD137">
        <f>IF(原始資料!AD137="","",IF(反向題設定!$C$33="是",反向題設定!$B$2+1-原始資料!AD137,原始資料!AD137))</f>
        <v/>
      </c>
      <c r="AE137">
        <f>IF(原始資料!AE137="","",IF(反向題設定!$C$34="是",反向題設定!$B$2+1-原始資料!AE137,原始資料!AE137))</f>
        <v/>
      </c>
      <c r="AF137">
        <f>IF(原始資料!AF137="","",IF(反向題設定!$C$35="是",反向題設定!$B$2+1-原始資料!AF137,原始資料!AF137))</f>
        <v/>
      </c>
      <c r="AG137">
        <f>IF(原始資料!AG137="","",IF(反向題設定!$C$36="是",反向題設定!$B$2+1-原始資料!AG137,原始資料!AG137))</f>
        <v/>
      </c>
      <c r="AH137">
        <f>IF(原始資料!AH137="","",IF(反向題設定!$C$37="是",反向題設定!$B$2+1-原始資料!AH137,原始資料!AH137))</f>
        <v/>
      </c>
      <c r="AI137">
        <f>IF(原始資料!AI137="","",IF(反向題設定!$C$38="是",反向題設定!$B$2+1-原始資料!AI137,原始資料!AI137))</f>
        <v/>
      </c>
      <c r="AJ137">
        <f>IF(原始資料!AJ137="","",IF(反向題設定!$C$39="是",反向題設定!$B$2+1-原始資料!AJ137,原始資料!AJ137))</f>
        <v/>
      </c>
      <c r="AK137">
        <f>IF(原始資料!AK137="","",IF(反向題設定!$C$40="是",反向題設定!$B$2+1-原始資料!AK137,原始資料!AK137))</f>
        <v/>
      </c>
      <c r="AL137">
        <f>IF(原始資料!AL137="","",IF(反向題設定!$C$41="是",反向題設定!$B$2+1-原始資料!AL137,原始資料!AL137))</f>
        <v/>
      </c>
      <c r="AM137">
        <f>IF(原始資料!AM137="","",IF(反向題設定!$C$42="是",反向題設定!$B$2+1-原始資料!AM137,原始資料!AM137))</f>
        <v/>
      </c>
      <c r="AN137">
        <f>IF(原始資料!AN137="","",IF(反向題設定!$C$43="是",反向題設定!$B$2+1-原始資料!AN137,原始資料!AN137))</f>
        <v/>
      </c>
      <c r="AO137">
        <f>IF(原始資料!AO137="","",IF(反向題設定!$C$44="是",反向題設定!$B$2+1-原始資料!AO137,原始資料!AO137))</f>
        <v/>
      </c>
      <c r="AP137">
        <f>IF(COUNT(B137:AO137)=0,"",SUM(B137:AO137))</f>
        <v/>
      </c>
      <c r="AQ137">
        <f>IF(AP137="","",IF(AP137&gt;=項目分析!$C$5,"高",IF(AP137&lt;=項目分析!$C$6,"低","")))</f>
        <v/>
      </c>
    </row>
    <row r="138">
      <c r="A138">
        <f>IF(原始資料!A138="","",原始資料!A138)</f>
        <v/>
      </c>
      <c r="B138">
        <f>IF(原始資料!B138="","",IF(反向題設定!$C$5="是",反向題設定!$B$2+1-原始資料!B138,原始資料!B138))</f>
        <v/>
      </c>
      <c r="C138">
        <f>IF(原始資料!C138="","",IF(反向題設定!$C$6="是",反向題設定!$B$2+1-原始資料!C138,原始資料!C138))</f>
        <v/>
      </c>
      <c r="D138">
        <f>IF(原始資料!D138="","",IF(反向題設定!$C$7="是",反向題設定!$B$2+1-原始資料!D138,原始資料!D138))</f>
        <v/>
      </c>
      <c r="E138">
        <f>IF(原始資料!E138="","",IF(反向題設定!$C$8="是",反向題設定!$B$2+1-原始資料!E138,原始資料!E138))</f>
        <v/>
      </c>
      <c r="F138">
        <f>IF(原始資料!F138="","",IF(反向題設定!$C$9="是",反向題設定!$B$2+1-原始資料!F138,原始資料!F138))</f>
        <v/>
      </c>
      <c r="G138">
        <f>IF(原始資料!G138="","",IF(反向題設定!$C$10="是",反向題設定!$B$2+1-原始資料!G138,原始資料!G138))</f>
        <v/>
      </c>
      <c r="H138">
        <f>IF(原始資料!H138="","",IF(反向題設定!$C$11="是",反向題設定!$B$2+1-原始資料!H138,原始資料!H138))</f>
        <v/>
      </c>
      <c r="I138">
        <f>IF(原始資料!I138="","",IF(反向題設定!$C$12="是",反向題設定!$B$2+1-原始資料!I138,原始資料!I138))</f>
        <v/>
      </c>
      <c r="J138">
        <f>IF(原始資料!J138="","",IF(反向題設定!$C$13="是",反向題設定!$B$2+1-原始資料!J138,原始資料!J138))</f>
        <v/>
      </c>
      <c r="K138">
        <f>IF(原始資料!K138="","",IF(反向題設定!$C$14="是",反向題設定!$B$2+1-原始資料!K138,原始資料!K138))</f>
        <v/>
      </c>
      <c r="L138">
        <f>IF(原始資料!L138="","",IF(反向題設定!$C$15="是",反向題設定!$B$2+1-原始資料!L138,原始資料!L138))</f>
        <v/>
      </c>
      <c r="M138">
        <f>IF(原始資料!M138="","",IF(反向題設定!$C$16="是",反向題設定!$B$2+1-原始資料!M138,原始資料!M138))</f>
        <v/>
      </c>
      <c r="N138">
        <f>IF(原始資料!N138="","",IF(反向題設定!$C$17="是",反向題設定!$B$2+1-原始資料!N138,原始資料!N138))</f>
        <v/>
      </c>
      <c r="O138">
        <f>IF(原始資料!O138="","",IF(反向題設定!$C$18="是",反向題設定!$B$2+1-原始資料!O138,原始資料!O138))</f>
        <v/>
      </c>
      <c r="P138">
        <f>IF(原始資料!P138="","",IF(反向題設定!$C$19="是",反向題設定!$B$2+1-原始資料!P138,原始資料!P138))</f>
        <v/>
      </c>
      <c r="Q138">
        <f>IF(原始資料!Q138="","",IF(反向題設定!$C$20="是",反向題設定!$B$2+1-原始資料!Q138,原始資料!Q138))</f>
        <v/>
      </c>
      <c r="R138">
        <f>IF(原始資料!R138="","",IF(反向題設定!$C$21="是",反向題設定!$B$2+1-原始資料!R138,原始資料!R138))</f>
        <v/>
      </c>
      <c r="S138">
        <f>IF(原始資料!S138="","",IF(反向題設定!$C$22="是",反向題設定!$B$2+1-原始資料!S138,原始資料!S138))</f>
        <v/>
      </c>
      <c r="T138">
        <f>IF(原始資料!T138="","",IF(反向題設定!$C$23="是",反向題設定!$B$2+1-原始資料!T138,原始資料!T138))</f>
        <v/>
      </c>
      <c r="U138">
        <f>IF(原始資料!U138="","",IF(反向題設定!$C$24="是",反向題設定!$B$2+1-原始資料!U138,原始資料!U138))</f>
        <v/>
      </c>
      <c r="V138">
        <f>IF(原始資料!V138="","",IF(反向題設定!$C$25="是",反向題設定!$B$2+1-原始資料!V138,原始資料!V138))</f>
        <v/>
      </c>
      <c r="W138">
        <f>IF(原始資料!W138="","",IF(反向題設定!$C$26="是",反向題設定!$B$2+1-原始資料!W138,原始資料!W138))</f>
        <v/>
      </c>
      <c r="X138">
        <f>IF(原始資料!X138="","",IF(反向題設定!$C$27="是",反向題設定!$B$2+1-原始資料!X138,原始資料!X138))</f>
        <v/>
      </c>
      <c r="Y138">
        <f>IF(原始資料!Y138="","",IF(反向題設定!$C$28="是",反向題設定!$B$2+1-原始資料!Y138,原始資料!Y138))</f>
        <v/>
      </c>
      <c r="Z138">
        <f>IF(原始資料!Z138="","",IF(反向題設定!$C$29="是",反向題設定!$B$2+1-原始資料!Z138,原始資料!Z138))</f>
        <v/>
      </c>
      <c r="AA138">
        <f>IF(原始資料!AA138="","",IF(反向題設定!$C$30="是",反向題設定!$B$2+1-原始資料!AA138,原始資料!AA138))</f>
        <v/>
      </c>
      <c r="AB138">
        <f>IF(原始資料!AB138="","",IF(反向題設定!$C$31="是",反向題設定!$B$2+1-原始資料!AB138,原始資料!AB138))</f>
        <v/>
      </c>
      <c r="AC138">
        <f>IF(原始資料!AC138="","",IF(反向題設定!$C$32="是",反向題設定!$B$2+1-原始資料!AC138,原始資料!AC138))</f>
        <v/>
      </c>
      <c r="AD138">
        <f>IF(原始資料!AD138="","",IF(反向題設定!$C$33="是",反向題設定!$B$2+1-原始資料!AD138,原始資料!AD138))</f>
        <v/>
      </c>
      <c r="AE138">
        <f>IF(原始資料!AE138="","",IF(反向題設定!$C$34="是",反向題設定!$B$2+1-原始資料!AE138,原始資料!AE138))</f>
        <v/>
      </c>
      <c r="AF138">
        <f>IF(原始資料!AF138="","",IF(反向題設定!$C$35="是",反向題設定!$B$2+1-原始資料!AF138,原始資料!AF138))</f>
        <v/>
      </c>
      <c r="AG138">
        <f>IF(原始資料!AG138="","",IF(反向題設定!$C$36="是",反向題設定!$B$2+1-原始資料!AG138,原始資料!AG138))</f>
        <v/>
      </c>
      <c r="AH138">
        <f>IF(原始資料!AH138="","",IF(反向題設定!$C$37="是",反向題設定!$B$2+1-原始資料!AH138,原始資料!AH138))</f>
        <v/>
      </c>
      <c r="AI138">
        <f>IF(原始資料!AI138="","",IF(反向題設定!$C$38="是",反向題設定!$B$2+1-原始資料!AI138,原始資料!AI138))</f>
        <v/>
      </c>
      <c r="AJ138">
        <f>IF(原始資料!AJ138="","",IF(反向題設定!$C$39="是",反向題設定!$B$2+1-原始資料!AJ138,原始資料!AJ138))</f>
        <v/>
      </c>
      <c r="AK138">
        <f>IF(原始資料!AK138="","",IF(反向題設定!$C$40="是",反向題設定!$B$2+1-原始資料!AK138,原始資料!AK138))</f>
        <v/>
      </c>
      <c r="AL138">
        <f>IF(原始資料!AL138="","",IF(反向題設定!$C$41="是",反向題設定!$B$2+1-原始資料!AL138,原始資料!AL138))</f>
        <v/>
      </c>
      <c r="AM138">
        <f>IF(原始資料!AM138="","",IF(反向題設定!$C$42="是",反向題設定!$B$2+1-原始資料!AM138,原始資料!AM138))</f>
        <v/>
      </c>
      <c r="AN138">
        <f>IF(原始資料!AN138="","",IF(反向題設定!$C$43="是",反向題設定!$B$2+1-原始資料!AN138,原始資料!AN138))</f>
        <v/>
      </c>
      <c r="AO138">
        <f>IF(原始資料!AO138="","",IF(反向題設定!$C$44="是",反向題設定!$B$2+1-原始資料!AO138,原始資料!AO138))</f>
        <v/>
      </c>
      <c r="AP138">
        <f>IF(COUNT(B138:AO138)=0,"",SUM(B138:AO138))</f>
        <v/>
      </c>
      <c r="AQ138">
        <f>IF(AP138="","",IF(AP138&gt;=項目分析!$C$5,"高",IF(AP138&lt;=項目分析!$C$6,"低","")))</f>
        <v/>
      </c>
    </row>
    <row r="139">
      <c r="A139">
        <f>IF(原始資料!A139="","",原始資料!A139)</f>
        <v/>
      </c>
      <c r="B139">
        <f>IF(原始資料!B139="","",IF(反向題設定!$C$5="是",反向題設定!$B$2+1-原始資料!B139,原始資料!B139))</f>
        <v/>
      </c>
      <c r="C139">
        <f>IF(原始資料!C139="","",IF(反向題設定!$C$6="是",反向題設定!$B$2+1-原始資料!C139,原始資料!C139))</f>
        <v/>
      </c>
      <c r="D139">
        <f>IF(原始資料!D139="","",IF(反向題設定!$C$7="是",反向題設定!$B$2+1-原始資料!D139,原始資料!D139))</f>
        <v/>
      </c>
      <c r="E139">
        <f>IF(原始資料!E139="","",IF(反向題設定!$C$8="是",反向題設定!$B$2+1-原始資料!E139,原始資料!E139))</f>
        <v/>
      </c>
      <c r="F139">
        <f>IF(原始資料!F139="","",IF(反向題設定!$C$9="是",反向題設定!$B$2+1-原始資料!F139,原始資料!F139))</f>
        <v/>
      </c>
      <c r="G139">
        <f>IF(原始資料!G139="","",IF(反向題設定!$C$10="是",反向題設定!$B$2+1-原始資料!G139,原始資料!G139))</f>
        <v/>
      </c>
      <c r="H139">
        <f>IF(原始資料!H139="","",IF(反向題設定!$C$11="是",反向題設定!$B$2+1-原始資料!H139,原始資料!H139))</f>
        <v/>
      </c>
      <c r="I139">
        <f>IF(原始資料!I139="","",IF(反向題設定!$C$12="是",反向題設定!$B$2+1-原始資料!I139,原始資料!I139))</f>
        <v/>
      </c>
      <c r="J139">
        <f>IF(原始資料!J139="","",IF(反向題設定!$C$13="是",反向題設定!$B$2+1-原始資料!J139,原始資料!J139))</f>
        <v/>
      </c>
      <c r="K139">
        <f>IF(原始資料!K139="","",IF(反向題設定!$C$14="是",反向題設定!$B$2+1-原始資料!K139,原始資料!K139))</f>
        <v/>
      </c>
      <c r="L139">
        <f>IF(原始資料!L139="","",IF(反向題設定!$C$15="是",反向題設定!$B$2+1-原始資料!L139,原始資料!L139))</f>
        <v/>
      </c>
      <c r="M139">
        <f>IF(原始資料!M139="","",IF(反向題設定!$C$16="是",反向題設定!$B$2+1-原始資料!M139,原始資料!M139))</f>
        <v/>
      </c>
      <c r="N139">
        <f>IF(原始資料!N139="","",IF(反向題設定!$C$17="是",反向題設定!$B$2+1-原始資料!N139,原始資料!N139))</f>
        <v/>
      </c>
      <c r="O139">
        <f>IF(原始資料!O139="","",IF(反向題設定!$C$18="是",反向題設定!$B$2+1-原始資料!O139,原始資料!O139))</f>
        <v/>
      </c>
      <c r="P139">
        <f>IF(原始資料!P139="","",IF(反向題設定!$C$19="是",反向題設定!$B$2+1-原始資料!P139,原始資料!P139))</f>
        <v/>
      </c>
      <c r="Q139">
        <f>IF(原始資料!Q139="","",IF(反向題設定!$C$20="是",反向題設定!$B$2+1-原始資料!Q139,原始資料!Q139))</f>
        <v/>
      </c>
      <c r="R139">
        <f>IF(原始資料!R139="","",IF(反向題設定!$C$21="是",反向題設定!$B$2+1-原始資料!R139,原始資料!R139))</f>
        <v/>
      </c>
      <c r="S139">
        <f>IF(原始資料!S139="","",IF(反向題設定!$C$22="是",反向題設定!$B$2+1-原始資料!S139,原始資料!S139))</f>
        <v/>
      </c>
      <c r="T139">
        <f>IF(原始資料!T139="","",IF(反向題設定!$C$23="是",反向題設定!$B$2+1-原始資料!T139,原始資料!T139))</f>
        <v/>
      </c>
      <c r="U139">
        <f>IF(原始資料!U139="","",IF(反向題設定!$C$24="是",反向題設定!$B$2+1-原始資料!U139,原始資料!U139))</f>
        <v/>
      </c>
      <c r="V139">
        <f>IF(原始資料!V139="","",IF(反向題設定!$C$25="是",反向題設定!$B$2+1-原始資料!V139,原始資料!V139))</f>
        <v/>
      </c>
      <c r="W139">
        <f>IF(原始資料!W139="","",IF(反向題設定!$C$26="是",反向題設定!$B$2+1-原始資料!W139,原始資料!W139))</f>
        <v/>
      </c>
      <c r="X139">
        <f>IF(原始資料!X139="","",IF(反向題設定!$C$27="是",反向題設定!$B$2+1-原始資料!X139,原始資料!X139))</f>
        <v/>
      </c>
      <c r="Y139">
        <f>IF(原始資料!Y139="","",IF(反向題設定!$C$28="是",反向題設定!$B$2+1-原始資料!Y139,原始資料!Y139))</f>
        <v/>
      </c>
      <c r="Z139">
        <f>IF(原始資料!Z139="","",IF(反向題設定!$C$29="是",反向題設定!$B$2+1-原始資料!Z139,原始資料!Z139))</f>
        <v/>
      </c>
      <c r="AA139">
        <f>IF(原始資料!AA139="","",IF(反向題設定!$C$30="是",反向題設定!$B$2+1-原始資料!AA139,原始資料!AA139))</f>
        <v/>
      </c>
      <c r="AB139">
        <f>IF(原始資料!AB139="","",IF(反向題設定!$C$31="是",反向題設定!$B$2+1-原始資料!AB139,原始資料!AB139))</f>
        <v/>
      </c>
      <c r="AC139">
        <f>IF(原始資料!AC139="","",IF(反向題設定!$C$32="是",反向題設定!$B$2+1-原始資料!AC139,原始資料!AC139))</f>
        <v/>
      </c>
      <c r="AD139">
        <f>IF(原始資料!AD139="","",IF(反向題設定!$C$33="是",反向題設定!$B$2+1-原始資料!AD139,原始資料!AD139))</f>
        <v/>
      </c>
      <c r="AE139">
        <f>IF(原始資料!AE139="","",IF(反向題設定!$C$34="是",反向題設定!$B$2+1-原始資料!AE139,原始資料!AE139))</f>
        <v/>
      </c>
      <c r="AF139">
        <f>IF(原始資料!AF139="","",IF(反向題設定!$C$35="是",反向題設定!$B$2+1-原始資料!AF139,原始資料!AF139))</f>
        <v/>
      </c>
      <c r="AG139">
        <f>IF(原始資料!AG139="","",IF(反向題設定!$C$36="是",反向題設定!$B$2+1-原始資料!AG139,原始資料!AG139))</f>
        <v/>
      </c>
      <c r="AH139">
        <f>IF(原始資料!AH139="","",IF(反向題設定!$C$37="是",反向題設定!$B$2+1-原始資料!AH139,原始資料!AH139))</f>
        <v/>
      </c>
      <c r="AI139">
        <f>IF(原始資料!AI139="","",IF(反向題設定!$C$38="是",反向題設定!$B$2+1-原始資料!AI139,原始資料!AI139))</f>
        <v/>
      </c>
      <c r="AJ139">
        <f>IF(原始資料!AJ139="","",IF(反向題設定!$C$39="是",反向題設定!$B$2+1-原始資料!AJ139,原始資料!AJ139))</f>
        <v/>
      </c>
      <c r="AK139">
        <f>IF(原始資料!AK139="","",IF(反向題設定!$C$40="是",反向題設定!$B$2+1-原始資料!AK139,原始資料!AK139))</f>
        <v/>
      </c>
      <c r="AL139">
        <f>IF(原始資料!AL139="","",IF(反向題設定!$C$41="是",反向題設定!$B$2+1-原始資料!AL139,原始資料!AL139))</f>
        <v/>
      </c>
      <c r="AM139">
        <f>IF(原始資料!AM139="","",IF(反向題設定!$C$42="是",反向題設定!$B$2+1-原始資料!AM139,原始資料!AM139))</f>
        <v/>
      </c>
      <c r="AN139">
        <f>IF(原始資料!AN139="","",IF(反向題設定!$C$43="是",反向題設定!$B$2+1-原始資料!AN139,原始資料!AN139))</f>
        <v/>
      </c>
      <c r="AO139">
        <f>IF(原始資料!AO139="","",IF(反向題設定!$C$44="是",反向題設定!$B$2+1-原始資料!AO139,原始資料!AO139))</f>
        <v/>
      </c>
      <c r="AP139">
        <f>IF(COUNT(B139:AO139)=0,"",SUM(B139:AO139))</f>
        <v/>
      </c>
      <c r="AQ139">
        <f>IF(AP139="","",IF(AP139&gt;=項目分析!$C$5,"高",IF(AP139&lt;=項目分析!$C$6,"低","")))</f>
        <v/>
      </c>
    </row>
    <row r="140">
      <c r="A140">
        <f>IF(原始資料!A140="","",原始資料!A140)</f>
        <v/>
      </c>
      <c r="B140">
        <f>IF(原始資料!B140="","",IF(反向題設定!$C$5="是",反向題設定!$B$2+1-原始資料!B140,原始資料!B140))</f>
        <v/>
      </c>
      <c r="C140">
        <f>IF(原始資料!C140="","",IF(反向題設定!$C$6="是",反向題設定!$B$2+1-原始資料!C140,原始資料!C140))</f>
        <v/>
      </c>
      <c r="D140">
        <f>IF(原始資料!D140="","",IF(反向題設定!$C$7="是",反向題設定!$B$2+1-原始資料!D140,原始資料!D140))</f>
        <v/>
      </c>
      <c r="E140">
        <f>IF(原始資料!E140="","",IF(反向題設定!$C$8="是",反向題設定!$B$2+1-原始資料!E140,原始資料!E140))</f>
        <v/>
      </c>
      <c r="F140">
        <f>IF(原始資料!F140="","",IF(反向題設定!$C$9="是",反向題設定!$B$2+1-原始資料!F140,原始資料!F140))</f>
        <v/>
      </c>
      <c r="G140">
        <f>IF(原始資料!G140="","",IF(反向題設定!$C$10="是",反向題設定!$B$2+1-原始資料!G140,原始資料!G140))</f>
        <v/>
      </c>
      <c r="H140">
        <f>IF(原始資料!H140="","",IF(反向題設定!$C$11="是",反向題設定!$B$2+1-原始資料!H140,原始資料!H140))</f>
        <v/>
      </c>
      <c r="I140">
        <f>IF(原始資料!I140="","",IF(反向題設定!$C$12="是",反向題設定!$B$2+1-原始資料!I140,原始資料!I140))</f>
        <v/>
      </c>
      <c r="J140">
        <f>IF(原始資料!J140="","",IF(反向題設定!$C$13="是",反向題設定!$B$2+1-原始資料!J140,原始資料!J140))</f>
        <v/>
      </c>
      <c r="K140">
        <f>IF(原始資料!K140="","",IF(反向題設定!$C$14="是",反向題設定!$B$2+1-原始資料!K140,原始資料!K140))</f>
        <v/>
      </c>
      <c r="L140">
        <f>IF(原始資料!L140="","",IF(反向題設定!$C$15="是",反向題設定!$B$2+1-原始資料!L140,原始資料!L140))</f>
        <v/>
      </c>
      <c r="M140">
        <f>IF(原始資料!M140="","",IF(反向題設定!$C$16="是",反向題設定!$B$2+1-原始資料!M140,原始資料!M140))</f>
        <v/>
      </c>
      <c r="N140">
        <f>IF(原始資料!N140="","",IF(反向題設定!$C$17="是",反向題設定!$B$2+1-原始資料!N140,原始資料!N140))</f>
        <v/>
      </c>
      <c r="O140">
        <f>IF(原始資料!O140="","",IF(反向題設定!$C$18="是",反向題設定!$B$2+1-原始資料!O140,原始資料!O140))</f>
        <v/>
      </c>
      <c r="P140">
        <f>IF(原始資料!P140="","",IF(反向題設定!$C$19="是",反向題設定!$B$2+1-原始資料!P140,原始資料!P140))</f>
        <v/>
      </c>
      <c r="Q140">
        <f>IF(原始資料!Q140="","",IF(反向題設定!$C$20="是",反向題設定!$B$2+1-原始資料!Q140,原始資料!Q140))</f>
        <v/>
      </c>
      <c r="R140">
        <f>IF(原始資料!R140="","",IF(反向題設定!$C$21="是",反向題設定!$B$2+1-原始資料!R140,原始資料!R140))</f>
        <v/>
      </c>
      <c r="S140">
        <f>IF(原始資料!S140="","",IF(反向題設定!$C$22="是",反向題設定!$B$2+1-原始資料!S140,原始資料!S140))</f>
        <v/>
      </c>
      <c r="T140">
        <f>IF(原始資料!T140="","",IF(反向題設定!$C$23="是",反向題設定!$B$2+1-原始資料!T140,原始資料!T140))</f>
        <v/>
      </c>
      <c r="U140">
        <f>IF(原始資料!U140="","",IF(反向題設定!$C$24="是",反向題設定!$B$2+1-原始資料!U140,原始資料!U140))</f>
        <v/>
      </c>
      <c r="V140">
        <f>IF(原始資料!V140="","",IF(反向題設定!$C$25="是",反向題設定!$B$2+1-原始資料!V140,原始資料!V140))</f>
        <v/>
      </c>
      <c r="W140">
        <f>IF(原始資料!W140="","",IF(反向題設定!$C$26="是",反向題設定!$B$2+1-原始資料!W140,原始資料!W140))</f>
        <v/>
      </c>
      <c r="X140">
        <f>IF(原始資料!X140="","",IF(反向題設定!$C$27="是",反向題設定!$B$2+1-原始資料!X140,原始資料!X140))</f>
        <v/>
      </c>
      <c r="Y140">
        <f>IF(原始資料!Y140="","",IF(反向題設定!$C$28="是",反向題設定!$B$2+1-原始資料!Y140,原始資料!Y140))</f>
        <v/>
      </c>
      <c r="Z140">
        <f>IF(原始資料!Z140="","",IF(反向題設定!$C$29="是",反向題設定!$B$2+1-原始資料!Z140,原始資料!Z140))</f>
        <v/>
      </c>
      <c r="AA140">
        <f>IF(原始資料!AA140="","",IF(反向題設定!$C$30="是",反向題設定!$B$2+1-原始資料!AA140,原始資料!AA140))</f>
        <v/>
      </c>
      <c r="AB140">
        <f>IF(原始資料!AB140="","",IF(反向題設定!$C$31="是",反向題設定!$B$2+1-原始資料!AB140,原始資料!AB140))</f>
        <v/>
      </c>
      <c r="AC140">
        <f>IF(原始資料!AC140="","",IF(反向題設定!$C$32="是",反向題設定!$B$2+1-原始資料!AC140,原始資料!AC140))</f>
        <v/>
      </c>
      <c r="AD140">
        <f>IF(原始資料!AD140="","",IF(反向題設定!$C$33="是",反向題設定!$B$2+1-原始資料!AD140,原始資料!AD140))</f>
        <v/>
      </c>
      <c r="AE140">
        <f>IF(原始資料!AE140="","",IF(反向題設定!$C$34="是",反向題設定!$B$2+1-原始資料!AE140,原始資料!AE140))</f>
        <v/>
      </c>
      <c r="AF140">
        <f>IF(原始資料!AF140="","",IF(反向題設定!$C$35="是",反向題設定!$B$2+1-原始資料!AF140,原始資料!AF140))</f>
        <v/>
      </c>
      <c r="AG140">
        <f>IF(原始資料!AG140="","",IF(反向題設定!$C$36="是",反向題設定!$B$2+1-原始資料!AG140,原始資料!AG140))</f>
        <v/>
      </c>
      <c r="AH140">
        <f>IF(原始資料!AH140="","",IF(反向題設定!$C$37="是",反向題設定!$B$2+1-原始資料!AH140,原始資料!AH140))</f>
        <v/>
      </c>
      <c r="AI140">
        <f>IF(原始資料!AI140="","",IF(反向題設定!$C$38="是",反向題設定!$B$2+1-原始資料!AI140,原始資料!AI140))</f>
        <v/>
      </c>
      <c r="AJ140">
        <f>IF(原始資料!AJ140="","",IF(反向題設定!$C$39="是",反向題設定!$B$2+1-原始資料!AJ140,原始資料!AJ140))</f>
        <v/>
      </c>
      <c r="AK140">
        <f>IF(原始資料!AK140="","",IF(反向題設定!$C$40="是",反向題設定!$B$2+1-原始資料!AK140,原始資料!AK140))</f>
        <v/>
      </c>
      <c r="AL140">
        <f>IF(原始資料!AL140="","",IF(反向題設定!$C$41="是",反向題設定!$B$2+1-原始資料!AL140,原始資料!AL140))</f>
        <v/>
      </c>
      <c r="AM140">
        <f>IF(原始資料!AM140="","",IF(反向題設定!$C$42="是",反向題設定!$B$2+1-原始資料!AM140,原始資料!AM140))</f>
        <v/>
      </c>
      <c r="AN140">
        <f>IF(原始資料!AN140="","",IF(反向題設定!$C$43="是",反向題設定!$B$2+1-原始資料!AN140,原始資料!AN140))</f>
        <v/>
      </c>
      <c r="AO140">
        <f>IF(原始資料!AO140="","",IF(反向題設定!$C$44="是",反向題設定!$B$2+1-原始資料!AO140,原始資料!AO140))</f>
        <v/>
      </c>
      <c r="AP140">
        <f>IF(COUNT(B140:AO140)=0,"",SUM(B140:AO140))</f>
        <v/>
      </c>
      <c r="AQ140">
        <f>IF(AP140="","",IF(AP140&gt;=項目分析!$C$5,"高",IF(AP140&lt;=項目分析!$C$6,"低","")))</f>
        <v/>
      </c>
    </row>
    <row r="141">
      <c r="A141">
        <f>IF(原始資料!A141="","",原始資料!A141)</f>
        <v/>
      </c>
      <c r="B141">
        <f>IF(原始資料!B141="","",IF(反向題設定!$C$5="是",反向題設定!$B$2+1-原始資料!B141,原始資料!B141))</f>
        <v/>
      </c>
      <c r="C141">
        <f>IF(原始資料!C141="","",IF(反向題設定!$C$6="是",反向題設定!$B$2+1-原始資料!C141,原始資料!C141))</f>
        <v/>
      </c>
      <c r="D141">
        <f>IF(原始資料!D141="","",IF(反向題設定!$C$7="是",反向題設定!$B$2+1-原始資料!D141,原始資料!D141))</f>
        <v/>
      </c>
      <c r="E141">
        <f>IF(原始資料!E141="","",IF(反向題設定!$C$8="是",反向題設定!$B$2+1-原始資料!E141,原始資料!E141))</f>
        <v/>
      </c>
      <c r="F141">
        <f>IF(原始資料!F141="","",IF(反向題設定!$C$9="是",反向題設定!$B$2+1-原始資料!F141,原始資料!F141))</f>
        <v/>
      </c>
      <c r="G141">
        <f>IF(原始資料!G141="","",IF(反向題設定!$C$10="是",反向題設定!$B$2+1-原始資料!G141,原始資料!G141))</f>
        <v/>
      </c>
      <c r="H141">
        <f>IF(原始資料!H141="","",IF(反向題設定!$C$11="是",反向題設定!$B$2+1-原始資料!H141,原始資料!H141))</f>
        <v/>
      </c>
      <c r="I141">
        <f>IF(原始資料!I141="","",IF(反向題設定!$C$12="是",反向題設定!$B$2+1-原始資料!I141,原始資料!I141))</f>
        <v/>
      </c>
      <c r="J141">
        <f>IF(原始資料!J141="","",IF(反向題設定!$C$13="是",反向題設定!$B$2+1-原始資料!J141,原始資料!J141))</f>
        <v/>
      </c>
      <c r="K141">
        <f>IF(原始資料!K141="","",IF(反向題設定!$C$14="是",反向題設定!$B$2+1-原始資料!K141,原始資料!K141))</f>
        <v/>
      </c>
      <c r="L141">
        <f>IF(原始資料!L141="","",IF(反向題設定!$C$15="是",反向題設定!$B$2+1-原始資料!L141,原始資料!L141))</f>
        <v/>
      </c>
      <c r="M141">
        <f>IF(原始資料!M141="","",IF(反向題設定!$C$16="是",反向題設定!$B$2+1-原始資料!M141,原始資料!M141))</f>
        <v/>
      </c>
      <c r="N141">
        <f>IF(原始資料!N141="","",IF(反向題設定!$C$17="是",反向題設定!$B$2+1-原始資料!N141,原始資料!N141))</f>
        <v/>
      </c>
      <c r="O141">
        <f>IF(原始資料!O141="","",IF(反向題設定!$C$18="是",反向題設定!$B$2+1-原始資料!O141,原始資料!O141))</f>
        <v/>
      </c>
      <c r="P141">
        <f>IF(原始資料!P141="","",IF(反向題設定!$C$19="是",反向題設定!$B$2+1-原始資料!P141,原始資料!P141))</f>
        <v/>
      </c>
      <c r="Q141">
        <f>IF(原始資料!Q141="","",IF(反向題設定!$C$20="是",反向題設定!$B$2+1-原始資料!Q141,原始資料!Q141))</f>
        <v/>
      </c>
      <c r="R141">
        <f>IF(原始資料!R141="","",IF(反向題設定!$C$21="是",反向題設定!$B$2+1-原始資料!R141,原始資料!R141))</f>
        <v/>
      </c>
      <c r="S141">
        <f>IF(原始資料!S141="","",IF(反向題設定!$C$22="是",反向題設定!$B$2+1-原始資料!S141,原始資料!S141))</f>
        <v/>
      </c>
      <c r="T141">
        <f>IF(原始資料!T141="","",IF(反向題設定!$C$23="是",反向題設定!$B$2+1-原始資料!T141,原始資料!T141))</f>
        <v/>
      </c>
      <c r="U141">
        <f>IF(原始資料!U141="","",IF(反向題設定!$C$24="是",反向題設定!$B$2+1-原始資料!U141,原始資料!U141))</f>
        <v/>
      </c>
      <c r="V141">
        <f>IF(原始資料!V141="","",IF(反向題設定!$C$25="是",反向題設定!$B$2+1-原始資料!V141,原始資料!V141))</f>
        <v/>
      </c>
      <c r="W141">
        <f>IF(原始資料!W141="","",IF(反向題設定!$C$26="是",反向題設定!$B$2+1-原始資料!W141,原始資料!W141))</f>
        <v/>
      </c>
      <c r="X141">
        <f>IF(原始資料!X141="","",IF(反向題設定!$C$27="是",反向題設定!$B$2+1-原始資料!X141,原始資料!X141))</f>
        <v/>
      </c>
      <c r="Y141">
        <f>IF(原始資料!Y141="","",IF(反向題設定!$C$28="是",反向題設定!$B$2+1-原始資料!Y141,原始資料!Y141))</f>
        <v/>
      </c>
      <c r="Z141">
        <f>IF(原始資料!Z141="","",IF(反向題設定!$C$29="是",反向題設定!$B$2+1-原始資料!Z141,原始資料!Z141))</f>
        <v/>
      </c>
      <c r="AA141">
        <f>IF(原始資料!AA141="","",IF(反向題設定!$C$30="是",反向題設定!$B$2+1-原始資料!AA141,原始資料!AA141))</f>
        <v/>
      </c>
      <c r="AB141">
        <f>IF(原始資料!AB141="","",IF(反向題設定!$C$31="是",反向題設定!$B$2+1-原始資料!AB141,原始資料!AB141))</f>
        <v/>
      </c>
      <c r="AC141">
        <f>IF(原始資料!AC141="","",IF(反向題設定!$C$32="是",反向題設定!$B$2+1-原始資料!AC141,原始資料!AC141))</f>
        <v/>
      </c>
      <c r="AD141">
        <f>IF(原始資料!AD141="","",IF(反向題設定!$C$33="是",反向題設定!$B$2+1-原始資料!AD141,原始資料!AD141))</f>
        <v/>
      </c>
      <c r="AE141">
        <f>IF(原始資料!AE141="","",IF(反向題設定!$C$34="是",反向題設定!$B$2+1-原始資料!AE141,原始資料!AE141))</f>
        <v/>
      </c>
      <c r="AF141">
        <f>IF(原始資料!AF141="","",IF(反向題設定!$C$35="是",反向題設定!$B$2+1-原始資料!AF141,原始資料!AF141))</f>
        <v/>
      </c>
      <c r="AG141">
        <f>IF(原始資料!AG141="","",IF(反向題設定!$C$36="是",反向題設定!$B$2+1-原始資料!AG141,原始資料!AG141))</f>
        <v/>
      </c>
      <c r="AH141">
        <f>IF(原始資料!AH141="","",IF(反向題設定!$C$37="是",反向題設定!$B$2+1-原始資料!AH141,原始資料!AH141))</f>
        <v/>
      </c>
      <c r="AI141">
        <f>IF(原始資料!AI141="","",IF(反向題設定!$C$38="是",反向題設定!$B$2+1-原始資料!AI141,原始資料!AI141))</f>
        <v/>
      </c>
      <c r="AJ141">
        <f>IF(原始資料!AJ141="","",IF(反向題設定!$C$39="是",反向題設定!$B$2+1-原始資料!AJ141,原始資料!AJ141))</f>
        <v/>
      </c>
      <c r="AK141">
        <f>IF(原始資料!AK141="","",IF(反向題設定!$C$40="是",反向題設定!$B$2+1-原始資料!AK141,原始資料!AK141))</f>
        <v/>
      </c>
      <c r="AL141">
        <f>IF(原始資料!AL141="","",IF(反向題設定!$C$41="是",反向題設定!$B$2+1-原始資料!AL141,原始資料!AL141))</f>
        <v/>
      </c>
      <c r="AM141">
        <f>IF(原始資料!AM141="","",IF(反向題設定!$C$42="是",反向題設定!$B$2+1-原始資料!AM141,原始資料!AM141))</f>
        <v/>
      </c>
      <c r="AN141">
        <f>IF(原始資料!AN141="","",IF(反向題設定!$C$43="是",反向題設定!$B$2+1-原始資料!AN141,原始資料!AN141))</f>
        <v/>
      </c>
      <c r="AO141">
        <f>IF(原始資料!AO141="","",IF(反向題設定!$C$44="是",反向題設定!$B$2+1-原始資料!AO141,原始資料!AO141))</f>
        <v/>
      </c>
      <c r="AP141">
        <f>IF(COUNT(B141:AO141)=0,"",SUM(B141:AO141))</f>
        <v/>
      </c>
      <c r="AQ141">
        <f>IF(AP141="","",IF(AP141&gt;=項目分析!$C$5,"高",IF(AP141&lt;=項目分析!$C$6,"低","")))</f>
        <v/>
      </c>
    </row>
    <row r="142">
      <c r="A142">
        <f>IF(原始資料!A142="","",原始資料!A142)</f>
        <v/>
      </c>
      <c r="B142">
        <f>IF(原始資料!B142="","",IF(反向題設定!$C$5="是",反向題設定!$B$2+1-原始資料!B142,原始資料!B142))</f>
        <v/>
      </c>
      <c r="C142">
        <f>IF(原始資料!C142="","",IF(反向題設定!$C$6="是",反向題設定!$B$2+1-原始資料!C142,原始資料!C142))</f>
        <v/>
      </c>
      <c r="D142">
        <f>IF(原始資料!D142="","",IF(反向題設定!$C$7="是",反向題設定!$B$2+1-原始資料!D142,原始資料!D142))</f>
        <v/>
      </c>
      <c r="E142">
        <f>IF(原始資料!E142="","",IF(反向題設定!$C$8="是",反向題設定!$B$2+1-原始資料!E142,原始資料!E142))</f>
        <v/>
      </c>
      <c r="F142">
        <f>IF(原始資料!F142="","",IF(反向題設定!$C$9="是",反向題設定!$B$2+1-原始資料!F142,原始資料!F142))</f>
        <v/>
      </c>
      <c r="G142">
        <f>IF(原始資料!G142="","",IF(反向題設定!$C$10="是",反向題設定!$B$2+1-原始資料!G142,原始資料!G142))</f>
        <v/>
      </c>
      <c r="H142">
        <f>IF(原始資料!H142="","",IF(反向題設定!$C$11="是",反向題設定!$B$2+1-原始資料!H142,原始資料!H142))</f>
        <v/>
      </c>
      <c r="I142">
        <f>IF(原始資料!I142="","",IF(反向題設定!$C$12="是",反向題設定!$B$2+1-原始資料!I142,原始資料!I142))</f>
        <v/>
      </c>
      <c r="J142">
        <f>IF(原始資料!J142="","",IF(反向題設定!$C$13="是",反向題設定!$B$2+1-原始資料!J142,原始資料!J142))</f>
        <v/>
      </c>
      <c r="K142">
        <f>IF(原始資料!K142="","",IF(反向題設定!$C$14="是",反向題設定!$B$2+1-原始資料!K142,原始資料!K142))</f>
        <v/>
      </c>
      <c r="L142">
        <f>IF(原始資料!L142="","",IF(反向題設定!$C$15="是",反向題設定!$B$2+1-原始資料!L142,原始資料!L142))</f>
        <v/>
      </c>
      <c r="M142">
        <f>IF(原始資料!M142="","",IF(反向題設定!$C$16="是",反向題設定!$B$2+1-原始資料!M142,原始資料!M142))</f>
        <v/>
      </c>
      <c r="N142">
        <f>IF(原始資料!N142="","",IF(反向題設定!$C$17="是",反向題設定!$B$2+1-原始資料!N142,原始資料!N142))</f>
        <v/>
      </c>
      <c r="O142">
        <f>IF(原始資料!O142="","",IF(反向題設定!$C$18="是",反向題設定!$B$2+1-原始資料!O142,原始資料!O142))</f>
        <v/>
      </c>
      <c r="P142">
        <f>IF(原始資料!P142="","",IF(反向題設定!$C$19="是",反向題設定!$B$2+1-原始資料!P142,原始資料!P142))</f>
        <v/>
      </c>
      <c r="Q142">
        <f>IF(原始資料!Q142="","",IF(反向題設定!$C$20="是",反向題設定!$B$2+1-原始資料!Q142,原始資料!Q142))</f>
        <v/>
      </c>
      <c r="R142">
        <f>IF(原始資料!R142="","",IF(反向題設定!$C$21="是",反向題設定!$B$2+1-原始資料!R142,原始資料!R142))</f>
        <v/>
      </c>
      <c r="S142">
        <f>IF(原始資料!S142="","",IF(反向題設定!$C$22="是",反向題設定!$B$2+1-原始資料!S142,原始資料!S142))</f>
        <v/>
      </c>
      <c r="T142">
        <f>IF(原始資料!T142="","",IF(反向題設定!$C$23="是",反向題設定!$B$2+1-原始資料!T142,原始資料!T142))</f>
        <v/>
      </c>
      <c r="U142">
        <f>IF(原始資料!U142="","",IF(反向題設定!$C$24="是",反向題設定!$B$2+1-原始資料!U142,原始資料!U142))</f>
        <v/>
      </c>
      <c r="V142">
        <f>IF(原始資料!V142="","",IF(反向題設定!$C$25="是",反向題設定!$B$2+1-原始資料!V142,原始資料!V142))</f>
        <v/>
      </c>
      <c r="W142">
        <f>IF(原始資料!W142="","",IF(反向題設定!$C$26="是",反向題設定!$B$2+1-原始資料!W142,原始資料!W142))</f>
        <v/>
      </c>
      <c r="X142">
        <f>IF(原始資料!X142="","",IF(反向題設定!$C$27="是",反向題設定!$B$2+1-原始資料!X142,原始資料!X142))</f>
        <v/>
      </c>
      <c r="Y142">
        <f>IF(原始資料!Y142="","",IF(反向題設定!$C$28="是",反向題設定!$B$2+1-原始資料!Y142,原始資料!Y142))</f>
        <v/>
      </c>
      <c r="Z142">
        <f>IF(原始資料!Z142="","",IF(反向題設定!$C$29="是",反向題設定!$B$2+1-原始資料!Z142,原始資料!Z142))</f>
        <v/>
      </c>
      <c r="AA142">
        <f>IF(原始資料!AA142="","",IF(反向題設定!$C$30="是",反向題設定!$B$2+1-原始資料!AA142,原始資料!AA142))</f>
        <v/>
      </c>
      <c r="AB142">
        <f>IF(原始資料!AB142="","",IF(反向題設定!$C$31="是",反向題設定!$B$2+1-原始資料!AB142,原始資料!AB142))</f>
        <v/>
      </c>
      <c r="AC142">
        <f>IF(原始資料!AC142="","",IF(反向題設定!$C$32="是",反向題設定!$B$2+1-原始資料!AC142,原始資料!AC142))</f>
        <v/>
      </c>
      <c r="AD142">
        <f>IF(原始資料!AD142="","",IF(反向題設定!$C$33="是",反向題設定!$B$2+1-原始資料!AD142,原始資料!AD142))</f>
        <v/>
      </c>
      <c r="AE142">
        <f>IF(原始資料!AE142="","",IF(反向題設定!$C$34="是",反向題設定!$B$2+1-原始資料!AE142,原始資料!AE142))</f>
        <v/>
      </c>
      <c r="AF142">
        <f>IF(原始資料!AF142="","",IF(反向題設定!$C$35="是",反向題設定!$B$2+1-原始資料!AF142,原始資料!AF142))</f>
        <v/>
      </c>
      <c r="AG142">
        <f>IF(原始資料!AG142="","",IF(反向題設定!$C$36="是",反向題設定!$B$2+1-原始資料!AG142,原始資料!AG142))</f>
        <v/>
      </c>
      <c r="AH142">
        <f>IF(原始資料!AH142="","",IF(反向題設定!$C$37="是",反向題設定!$B$2+1-原始資料!AH142,原始資料!AH142))</f>
        <v/>
      </c>
      <c r="AI142">
        <f>IF(原始資料!AI142="","",IF(反向題設定!$C$38="是",反向題設定!$B$2+1-原始資料!AI142,原始資料!AI142))</f>
        <v/>
      </c>
      <c r="AJ142">
        <f>IF(原始資料!AJ142="","",IF(反向題設定!$C$39="是",反向題設定!$B$2+1-原始資料!AJ142,原始資料!AJ142))</f>
        <v/>
      </c>
      <c r="AK142">
        <f>IF(原始資料!AK142="","",IF(反向題設定!$C$40="是",反向題設定!$B$2+1-原始資料!AK142,原始資料!AK142))</f>
        <v/>
      </c>
      <c r="AL142">
        <f>IF(原始資料!AL142="","",IF(反向題設定!$C$41="是",反向題設定!$B$2+1-原始資料!AL142,原始資料!AL142))</f>
        <v/>
      </c>
      <c r="AM142">
        <f>IF(原始資料!AM142="","",IF(反向題設定!$C$42="是",反向題設定!$B$2+1-原始資料!AM142,原始資料!AM142))</f>
        <v/>
      </c>
      <c r="AN142">
        <f>IF(原始資料!AN142="","",IF(反向題設定!$C$43="是",反向題設定!$B$2+1-原始資料!AN142,原始資料!AN142))</f>
        <v/>
      </c>
      <c r="AO142">
        <f>IF(原始資料!AO142="","",IF(反向題設定!$C$44="是",反向題設定!$B$2+1-原始資料!AO142,原始資料!AO142))</f>
        <v/>
      </c>
      <c r="AP142">
        <f>IF(COUNT(B142:AO142)=0,"",SUM(B142:AO142))</f>
        <v/>
      </c>
      <c r="AQ142">
        <f>IF(AP142="","",IF(AP142&gt;=項目分析!$C$5,"高",IF(AP142&lt;=項目分析!$C$6,"低","")))</f>
        <v/>
      </c>
    </row>
    <row r="143">
      <c r="A143">
        <f>IF(原始資料!A143="","",原始資料!A143)</f>
        <v/>
      </c>
      <c r="B143">
        <f>IF(原始資料!B143="","",IF(反向題設定!$C$5="是",反向題設定!$B$2+1-原始資料!B143,原始資料!B143))</f>
        <v/>
      </c>
      <c r="C143">
        <f>IF(原始資料!C143="","",IF(反向題設定!$C$6="是",反向題設定!$B$2+1-原始資料!C143,原始資料!C143))</f>
        <v/>
      </c>
      <c r="D143">
        <f>IF(原始資料!D143="","",IF(反向題設定!$C$7="是",反向題設定!$B$2+1-原始資料!D143,原始資料!D143))</f>
        <v/>
      </c>
      <c r="E143">
        <f>IF(原始資料!E143="","",IF(反向題設定!$C$8="是",反向題設定!$B$2+1-原始資料!E143,原始資料!E143))</f>
        <v/>
      </c>
      <c r="F143">
        <f>IF(原始資料!F143="","",IF(反向題設定!$C$9="是",反向題設定!$B$2+1-原始資料!F143,原始資料!F143))</f>
        <v/>
      </c>
      <c r="G143">
        <f>IF(原始資料!G143="","",IF(反向題設定!$C$10="是",反向題設定!$B$2+1-原始資料!G143,原始資料!G143))</f>
        <v/>
      </c>
      <c r="H143">
        <f>IF(原始資料!H143="","",IF(反向題設定!$C$11="是",反向題設定!$B$2+1-原始資料!H143,原始資料!H143))</f>
        <v/>
      </c>
      <c r="I143">
        <f>IF(原始資料!I143="","",IF(反向題設定!$C$12="是",反向題設定!$B$2+1-原始資料!I143,原始資料!I143))</f>
        <v/>
      </c>
      <c r="J143">
        <f>IF(原始資料!J143="","",IF(反向題設定!$C$13="是",反向題設定!$B$2+1-原始資料!J143,原始資料!J143))</f>
        <v/>
      </c>
      <c r="K143">
        <f>IF(原始資料!K143="","",IF(反向題設定!$C$14="是",反向題設定!$B$2+1-原始資料!K143,原始資料!K143))</f>
        <v/>
      </c>
      <c r="L143">
        <f>IF(原始資料!L143="","",IF(反向題設定!$C$15="是",反向題設定!$B$2+1-原始資料!L143,原始資料!L143))</f>
        <v/>
      </c>
      <c r="M143">
        <f>IF(原始資料!M143="","",IF(反向題設定!$C$16="是",反向題設定!$B$2+1-原始資料!M143,原始資料!M143))</f>
        <v/>
      </c>
      <c r="N143">
        <f>IF(原始資料!N143="","",IF(反向題設定!$C$17="是",反向題設定!$B$2+1-原始資料!N143,原始資料!N143))</f>
        <v/>
      </c>
      <c r="O143">
        <f>IF(原始資料!O143="","",IF(反向題設定!$C$18="是",反向題設定!$B$2+1-原始資料!O143,原始資料!O143))</f>
        <v/>
      </c>
      <c r="P143">
        <f>IF(原始資料!P143="","",IF(反向題設定!$C$19="是",反向題設定!$B$2+1-原始資料!P143,原始資料!P143))</f>
        <v/>
      </c>
      <c r="Q143">
        <f>IF(原始資料!Q143="","",IF(反向題設定!$C$20="是",反向題設定!$B$2+1-原始資料!Q143,原始資料!Q143))</f>
        <v/>
      </c>
      <c r="R143">
        <f>IF(原始資料!R143="","",IF(反向題設定!$C$21="是",反向題設定!$B$2+1-原始資料!R143,原始資料!R143))</f>
        <v/>
      </c>
      <c r="S143">
        <f>IF(原始資料!S143="","",IF(反向題設定!$C$22="是",反向題設定!$B$2+1-原始資料!S143,原始資料!S143))</f>
        <v/>
      </c>
      <c r="T143">
        <f>IF(原始資料!T143="","",IF(反向題設定!$C$23="是",反向題設定!$B$2+1-原始資料!T143,原始資料!T143))</f>
        <v/>
      </c>
      <c r="U143">
        <f>IF(原始資料!U143="","",IF(反向題設定!$C$24="是",反向題設定!$B$2+1-原始資料!U143,原始資料!U143))</f>
        <v/>
      </c>
      <c r="V143">
        <f>IF(原始資料!V143="","",IF(反向題設定!$C$25="是",反向題設定!$B$2+1-原始資料!V143,原始資料!V143))</f>
        <v/>
      </c>
      <c r="W143">
        <f>IF(原始資料!W143="","",IF(反向題設定!$C$26="是",反向題設定!$B$2+1-原始資料!W143,原始資料!W143))</f>
        <v/>
      </c>
      <c r="X143">
        <f>IF(原始資料!X143="","",IF(反向題設定!$C$27="是",反向題設定!$B$2+1-原始資料!X143,原始資料!X143))</f>
        <v/>
      </c>
      <c r="Y143">
        <f>IF(原始資料!Y143="","",IF(反向題設定!$C$28="是",反向題設定!$B$2+1-原始資料!Y143,原始資料!Y143))</f>
        <v/>
      </c>
      <c r="Z143">
        <f>IF(原始資料!Z143="","",IF(反向題設定!$C$29="是",反向題設定!$B$2+1-原始資料!Z143,原始資料!Z143))</f>
        <v/>
      </c>
      <c r="AA143">
        <f>IF(原始資料!AA143="","",IF(反向題設定!$C$30="是",反向題設定!$B$2+1-原始資料!AA143,原始資料!AA143))</f>
        <v/>
      </c>
      <c r="AB143">
        <f>IF(原始資料!AB143="","",IF(反向題設定!$C$31="是",反向題設定!$B$2+1-原始資料!AB143,原始資料!AB143))</f>
        <v/>
      </c>
      <c r="AC143">
        <f>IF(原始資料!AC143="","",IF(反向題設定!$C$32="是",反向題設定!$B$2+1-原始資料!AC143,原始資料!AC143))</f>
        <v/>
      </c>
      <c r="AD143">
        <f>IF(原始資料!AD143="","",IF(反向題設定!$C$33="是",反向題設定!$B$2+1-原始資料!AD143,原始資料!AD143))</f>
        <v/>
      </c>
      <c r="AE143">
        <f>IF(原始資料!AE143="","",IF(反向題設定!$C$34="是",反向題設定!$B$2+1-原始資料!AE143,原始資料!AE143))</f>
        <v/>
      </c>
      <c r="AF143">
        <f>IF(原始資料!AF143="","",IF(反向題設定!$C$35="是",反向題設定!$B$2+1-原始資料!AF143,原始資料!AF143))</f>
        <v/>
      </c>
      <c r="AG143">
        <f>IF(原始資料!AG143="","",IF(反向題設定!$C$36="是",反向題設定!$B$2+1-原始資料!AG143,原始資料!AG143))</f>
        <v/>
      </c>
      <c r="AH143">
        <f>IF(原始資料!AH143="","",IF(反向題設定!$C$37="是",反向題設定!$B$2+1-原始資料!AH143,原始資料!AH143))</f>
        <v/>
      </c>
      <c r="AI143">
        <f>IF(原始資料!AI143="","",IF(反向題設定!$C$38="是",反向題設定!$B$2+1-原始資料!AI143,原始資料!AI143))</f>
        <v/>
      </c>
      <c r="AJ143">
        <f>IF(原始資料!AJ143="","",IF(反向題設定!$C$39="是",反向題設定!$B$2+1-原始資料!AJ143,原始資料!AJ143))</f>
        <v/>
      </c>
      <c r="AK143">
        <f>IF(原始資料!AK143="","",IF(反向題設定!$C$40="是",反向題設定!$B$2+1-原始資料!AK143,原始資料!AK143))</f>
        <v/>
      </c>
      <c r="AL143">
        <f>IF(原始資料!AL143="","",IF(反向題設定!$C$41="是",反向題設定!$B$2+1-原始資料!AL143,原始資料!AL143))</f>
        <v/>
      </c>
      <c r="AM143">
        <f>IF(原始資料!AM143="","",IF(反向題設定!$C$42="是",反向題設定!$B$2+1-原始資料!AM143,原始資料!AM143))</f>
        <v/>
      </c>
      <c r="AN143">
        <f>IF(原始資料!AN143="","",IF(反向題設定!$C$43="是",反向題設定!$B$2+1-原始資料!AN143,原始資料!AN143))</f>
        <v/>
      </c>
      <c r="AO143">
        <f>IF(原始資料!AO143="","",IF(反向題設定!$C$44="是",反向題設定!$B$2+1-原始資料!AO143,原始資料!AO143))</f>
        <v/>
      </c>
      <c r="AP143">
        <f>IF(COUNT(B143:AO143)=0,"",SUM(B143:AO143))</f>
        <v/>
      </c>
      <c r="AQ143">
        <f>IF(AP143="","",IF(AP143&gt;=項目分析!$C$5,"高",IF(AP143&lt;=項目分析!$C$6,"低","")))</f>
        <v/>
      </c>
    </row>
    <row r="144">
      <c r="A144">
        <f>IF(原始資料!A144="","",原始資料!A144)</f>
        <v/>
      </c>
      <c r="B144">
        <f>IF(原始資料!B144="","",IF(反向題設定!$C$5="是",反向題設定!$B$2+1-原始資料!B144,原始資料!B144))</f>
        <v/>
      </c>
      <c r="C144">
        <f>IF(原始資料!C144="","",IF(反向題設定!$C$6="是",反向題設定!$B$2+1-原始資料!C144,原始資料!C144))</f>
        <v/>
      </c>
      <c r="D144">
        <f>IF(原始資料!D144="","",IF(反向題設定!$C$7="是",反向題設定!$B$2+1-原始資料!D144,原始資料!D144))</f>
        <v/>
      </c>
      <c r="E144">
        <f>IF(原始資料!E144="","",IF(反向題設定!$C$8="是",反向題設定!$B$2+1-原始資料!E144,原始資料!E144))</f>
        <v/>
      </c>
      <c r="F144">
        <f>IF(原始資料!F144="","",IF(反向題設定!$C$9="是",反向題設定!$B$2+1-原始資料!F144,原始資料!F144))</f>
        <v/>
      </c>
      <c r="G144">
        <f>IF(原始資料!G144="","",IF(反向題設定!$C$10="是",反向題設定!$B$2+1-原始資料!G144,原始資料!G144))</f>
        <v/>
      </c>
      <c r="H144">
        <f>IF(原始資料!H144="","",IF(反向題設定!$C$11="是",反向題設定!$B$2+1-原始資料!H144,原始資料!H144))</f>
        <v/>
      </c>
      <c r="I144">
        <f>IF(原始資料!I144="","",IF(反向題設定!$C$12="是",反向題設定!$B$2+1-原始資料!I144,原始資料!I144))</f>
        <v/>
      </c>
      <c r="J144">
        <f>IF(原始資料!J144="","",IF(反向題設定!$C$13="是",反向題設定!$B$2+1-原始資料!J144,原始資料!J144))</f>
        <v/>
      </c>
      <c r="K144">
        <f>IF(原始資料!K144="","",IF(反向題設定!$C$14="是",反向題設定!$B$2+1-原始資料!K144,原始資料!K144))</f>
        <v/>
      </c>
      <c r="L144">
        <f>IF(原始資料!L144="","",IF(反向題設定!$C$15="是",反向題設定!$B$2+1-原始資料!L144,原始資料!L144))</f>
        <v/>
      </c>
      <c r="M144">
        <f>IF(原始資料!M144="","",IF(反向題設定!$C$16="是",反向題設定!$B$2+1-原始資料!M144,原始資料!M144))</f>
        <v/>
      </c>
      <c r="N144">
        <f>IF(原始資料!N144="","",IF(反向題設定!$C$17="是",反向題設定!$B$2+1-原始資料!N144,原始資料!N144))</f>
        <v/>
      </c>
      <c r="O144">
        <f>IF(原始資料!O144="","",IF(反向題設定!$C$18="是",反向題設定!$B$2+1-原始資料!O144,原始資料!O144))</f>
        <v/>
      </c>
      <c r="P144">
        <f>IF(原始資料!P144="","",IF(反向題設定!$C$19="是",反向題設定!$B$2+1-原始資料!P144,原始資料!P144))</f>
        <v/>
      </c>
      <c r="Q144">
        <f>IF(原始資料!Q144="","",IF(反向題設定!$C$20="是",反向題設定!$B$2+1-原始資料!Q144,原始資料!Q144))</f>
        <v/>
      </c>
      <c r="R144">
        <f>IF(原始資料!R144="","",IF(反向題設定!$C$21="是",反向題設定!$B$2+1-原始資料!R144,原始資料!R144))</f>
        <v/>
      </c>
      <c r="S144">
        <f>IF(原始資料!S144="","",IF(反向題設定!$C$22="是",反向題設定!$B$2+1-原始資料!S144,原始資料!S144))</f>
        <v/>
      </c>
      <c r="T144">
        <f>IF(原始資料!T144="","",IF(反向題設定!$C$23="是",反向題設定!$B$2+1-原始資料!T144,原始資料!T144))</f>
        <v/>
      </c>
      <c r="U144">
        <f>IF(原始資料!U144="","",IF(反向題設定!$C$24="是",反向題設定!$B$2+1-原始資料!U144,原始資料!U144))</f>
        <v/>
      </c>
      <c r="V144">
        <f>IF(原始資料!V144="","",IF(反向題設定!$C$25="是",反向題設定!$B$2+1-原始資料!V144,原始資料!V144))</f>
        <v/>
      </c>
      <c r="W144">
        <f>IF(原始資料!W144="","",IF(反向題設定!$C$26="是",反向題設定!$B$2+1-原始資料!W144,原始資料!W144))</f>
        <v/>
      </c>
      <c r="X144">
        <f>IF(原始資料!X144="","",IF(反向題設定!$C$27="是",反向題設定!$B$2+1-原始資料!X144,原始資料!X144))</f>
        <v/>
      </c>
      <c r="Y144">
        <f>IF(原始資料!Y144="","",IF(反向題設定!$C$28="是",反向題設定!$B$2+1-原始資料!Y144,原始資料!Y144))</f>
        <v/>
      </c>
      <c r="Z144">
        <f>IF(原始資料!Z144="","",IF(反向題設定!$C$29="是",反向題設定!$B$2+1-原始資料!Z144,原始資料!Z144))</f>
        <v/>
      </c>
      <c r="AA144">
        <f>IF(原始資料!AA144="","",IF(反向題設定!$C$30="是",反向題設定!$B$2+1-原始資料!AA144,原始資料!AA144))</f>
        <v/>
      </c>
      <c r="AB144">
        <f>IF(原始資料!AB144="","",IF(反向題設定!$C$31="是",反向題設定!$B$2+1-原始資料!AB144,原始資料!AB144))</f>
        <v/>
      </c>
      <c r="AC144">
        <f>IF(原始資料!AC144="","",IF(反向題設定!$C$32="是",反向題設定!$B$2+1-原始資料!AC144,原始資料!AC144))</f>
        <v/>
      </c>
      <c r="AD144">
        <f>IF(原始資料!AD144="","",IF(反向題設定!$C$33="是",反向題設定!$B$2+1-原始資料!AD144,原始資料!AD144))</f>
        <v/>
      </c>
      <c r="AE144">
        <f>IF(原始資料!AE144="","",IF(反向題設定!$C$34="是",反向題設定!$B$2+1-原始資料!AE144,原始資料!AE144))</f>
        <v/>
      </c>
      <c r="AF144">
        <f>IF(原始資料!AF144="","",IF(反向題設定!$C$35="是",反向題設定!$B$2+1-原始資料!AF144,原始資料!AF144))</f>
        <v/>
      </c>
      <c r="AG144">
        <f>IF(原始資料!AG144="","",IF(反向題設定!$C$36="是",反向題設定!$B$2+1-原始資料!AG144,原始資料!AG144))</f>
        <v/>
      </c>
      <c r="AH144">
        <f>IF(原始資料!AH144="","",IF(反向題設定!$C$37="是",反向題設定!$B$2+1-原始資料!AH144,原始資料!AH144))</f>
        <v/>
      </c>
      <c r="AI144">
        <f>IF(原始資料!AI144="","",IF(反向題設定!$C$38="是",反向題設定!$B$2+1-原始資料!AI144,原始資料!AI144))</f>
        <v/>
      </c>
      <c r="AJ144">
        <f>IF(原始資料!AJ144="","",IF(反向題設定!$C$39="是",反向題設定!$B$2+1-原始資料!AJ144,原始資料!AJ144))</f>
        <v/>
      </c>
      <c r="AK144">
        <f>IF(原始資料!AK144="","",IF(反向題設定!$C$40="是",反向題設定!$B$2+1-原始資料!AK144,原始資料!AK144))</f>
        <v/>
      </c>
      <c r="AL144">
        <f>IF(原始資料!AL144="","",IF(反向題設定!$C$41="是",反向題設定!$B$2+1-原始資料!AL144,原始資料!AL144))</f>
        <v/>
      </c>
      <c r="AM144">
        <f>IF(原始資料!AM144="","",IF(反向題設定!$C$42="是",反向題設定!$B$2+1-原始資料!AM144,原始資料!AM144))</f>
        <v/>
      </c>
      <c r="AN144">
        <f>IF(原始資料!AN144="","",IF(反向題設定!$C$43="是",反向題設定!$B$2+1-原始資料!AN144,原始資料!AN144))</f>
        <v/>
      </c>
      <c r="AO144">
        <f>IF(原始資料!AO144="","",IF(反向題設定!$C$44="是",反向題設定!$B$2+1-原始資料!AO144,原始資料!AO144))</f>
        <v/>
      </c>
      <c r="AP144">
        <f>IF(COUNT(B144:AO144)=0,"",SUM(B144:AO144))</f>
        <v/>
      </c>
      <c r="AQ144">
        <f>IF(AP144="","",IF(AP144&gt;=項目分析!$C$5,"高",IF(AP144&lt;=項目分析!$C$6,"低","")))</f>
        <v/>
      </c>
    </row>
    <row r="145">
      <c r="A145">
        <f>IF(原始資料!A145="","",原始資料!A145)</f>
        <v/>
      </c>
      <c r="B145">
        <f>IF(原始資料!B145="","",IF(反向題設定!$C$5="是",反向題設定!$B$2+1-原始資料!B145,原始資料!B145))</f>
        <v/>
      </c>
      <c r="C145">
        <f>IF(原始資料!C145="","",IF(反向題設定!$C$6="是",反向題設定!$B$2+1-原始資料!C145,原始資料!C145))</f>
        <v/>
      </c>
      <c r="D145">
        <f>IF(原始資料!D145="","",IF(反向題設定!$C$7="是",反向題設定!$B$2+1-原始資料!D145,原始資料!D145))</f>
        <v/>
      </c>
      <c r="E145">
        <f>IF(原始資料!E145="","",IF(反向題設定!$C$8="是",反向題設定!$B$2+1-原始資料!E145,原始資料!E145))</f>
        <v/>
      </c>
      <c r="F145">
        <f>IF(原始資料!F145="","",IF(反向題設定!$C$9="是",反向題設定!$B$2+1-原始資料!F145,原始資料!F145))</f>
        <v/>
      </c>
      <c r="G145">
        <f>IF(原始資料!G145="","",IF(反向題設定!$C$10="是",反向題設定!$B$2+1-原始資料!G145,原始資料!G145))</f>
        <v/>
      </c>
      <c r="H145">
        <f>IF(原始資料!H145="","",IF(反向題設定!$C$11="是",反向題設定!$B$2+1-原始資料!H145,原始資料!H145))</f>
        <v/>
      </c>
      <c r="I145">
        <f>IF(原始資料!I145="","",IF(反向題設定!$C$12="是",反向題設定!$B$2+1-原始資料!I145,原始資料!I145))</f>
        <v/>
      </c>
      <c r="J145">
        <f>IF(原始資料!J145="","",IF(反向題設定!$C$13="是",反向題設定!$B$2+1-原始資料!J145,原始資料!J145))</f>
        <v/>
      </c>
      <c r="K145">
        <f>IF(原始資料!K145="","",IF(反向題設定!$C$14="是",反向題設定!$B$2+1-原始資料!K145,原始資料!K145))</f>
        <v/>
      </c>
      <c r="L145">
        <f>IF(原始資料!L145="","",IF(反向題設定!$C$15="是",反向題設定!$B$2+1-原始資料!L145,原始資料!L145))</f>
        <v/>
      </c>
      <c r="M145">
        <f>IF(原始資料!M145="","",IF(反向題設定!$C$16="是",反向題設定!$B$2+1-原始資料!M145,原始資料!M145))</f>
        <v/>
      </c>
      <c r="N145">
        <f>IF(原始資料!N145="","",IF(反向題設定!$C$17="是",反向題設定!$B$2+1-原始資料!N145,原始資料!N145))</f>
        <v/>
      </c>
      <c r="O145">
        <f>IF(原始資料!O145="","",IF(反向題設定!$C$18="是",反向題設定!$B$2+1-原始資料!O145,原始資料!O145))</f>
        <v/>
      </c>
      <c r="P145">
        <f>IF(原始資料!P145="","",IF(反向題設定!$C$19="是",反向題設定!$B$2+1-原始資料!P145,原始資料!P145))</f>
        <v/>
      </c>
      <c r="Q145">
        <f>IF(原始資料!Q145="","",IF(反向題設定!$C$20="是",反向題設定!$B$2+1-原始資料!Q145,原始資料!Q145))</f>
        <v/>
      </c>
      <c r="R145">
        <f>IF(原始資料!R145="","",IF(反向題設定!$C$21="是",反向題設定!$B$2+1-原始資料!R145,原始資料!R145))</f>
        <v/>
      </c>
      <c r="S145">
        <f>IF(原始資料!S145="","",IF(反向題設定!$C$22="是",反向題設定!$B$2+1-原始資料!S145,原始資料!S145))</f>
        <v/>
      </c>
      <c r="T145">
        <f>IF(原始資料!T145="","",IF(反向題設定!$C$23="是",反向題設定!$B$2+1-原始資料!T145,原始資料!T145))</f>
        <v/>
      </c>
      <c r="U145">
        <f>IF(原始資料!U145="","",IF(反向題設定!$C$24="是",反向題設定!$B$2+1-原始資料!U145,原始資料!U145))</f>
        <v/>
      </c>
      <c r="V145">
        <f>IF(原始資料!V145="","",IF(反向題設定!$C$25="是",反向題設定!$B$2+1-原始資料!V145,原始資料!V145))</f>
        <v/>
      </c>
      <c r="W145">
        <f>IF(原始資料!W145="","",IF(反向題設定!$C$26="是",反向題設定!$B$2+1-原始資料!W145,原始資料!W145))</f>
        <v/>
      </c>
      <c r="X145">
        <f>IF(原始資料!X145="","",IF(反向題設定!$C$27="是",反向題設定!$B$2+1-原始資料!X145,原始資料!X145))</f>
        <v/>
      </c>
      <c r="Y145">
        <f>IF(原始資料!Y145="","",IF(反向題設定!$C$28="是",反向題設定!$B$2+1-原始資料!Y145,原始資料!Y145))</f>
        <v/>
      </c>
      <c r="Z145">
        <f>IF(原始資料!Z145="","",IF(反向題設定!$C$29="是",反向題設定!$B$2+1-原始資料!Z145,原始資料!Z145))</f>
        <v/>
      </c>
      <c r="AA145">
        <f>IF(原始資料!AA145="","",IF(反向題設定!$C$30="是",反向題設定!$B$2+1-原始資料!AA145,原始資料!AA145))</f>
        <v/>
      </c>
      <c r="AB145">
        <f>IF(原始資料!AB145="","",IF(反向題設定!$C$31="是",反向題設定!$B$2+1-原始資料!AB145,原始資料!AB145))</f>
        <v/>
      </c>
      <c r="AC145">
        <f>IF(原始資料!AC145="","",IF(反向題設定!$C$32="是",反向題設定!$B$2+1-原始資料!AC145,原始資料!AC145))</f>
        <v/>
      </c>
      <c r="AD145">
        <f>IF(原始資料!AD145="","",IF(反向題設定!$C$33="是",反向題設定!$B$2+1-原始資料!AD145,原始資料!AD145))</f>
        <v/>
      </c>
      <c r="AE145">
        <f>IF(原始資料!AE145="","",IF(反向題設定!$C$34="是",反向題設定!$B$2+1-原始資料!AE145,原始資料!AE145))</f>
        <v/>
      </c>
      <c r="AF145">
        <f>IF(原始資料!AF145="","",IF(反向題設定!$C$35="是",反向題設定!$B$2+1-原始資料!AF145,原始資料!AF145))</f>
        <v/>
      </c>
      <c r="AG145">
        <f>IF(原始資料!AG145="","",IF(反向題設定!$C$36="是",反向題設定!$B$2+1-原始資料!AG145,原始資料!AG145))</f>
        <v/>
      </c>
      <c r="AH145">
        <f>IF(原始資料!AH145="","",IF(反向題設定!$C$37="是",反向題設定!$B$2+1-原始資料!AH145,原始資料!AH145))</f>
        <v/>
      </c>
      <c r="AI145">
        <f>IF(原始資料!AI145="","",IF(反向題設定!$C$38="是",反向題設定!$B$2+1-原始資料!AI145,原始資料!AI145))</f>
        <v/>
      </c>
      <c r="AJ145">
        <f>IF(原始資料!AJ145="","",IF(反向題設定!$C$39="是",反向題設定!$B$2+1-原始資料!AJ145,原始資料!AJ145))</f>
        <v/>
      </c>
      <c r="AK145">
        <f>IF(原始資料!AK145="","",IF(反向題設定!$C$40="是",反向題設定!$B$2+1-原始資料!AK145,原始資料!AK145))</f>
        <v/>
      </c>
      <c r="AL145">
        <f>IF(原始資料!AL145="","",IF(反向題設定!$C$41="是",反向題設定!$B$2+1-原始資料!AL145,原始資料!AL145))</f>
        <v/>
      </c>
      <c r="AM145">
        <f>IF(原始資料!AM145="","",IF(反向題設定!$C$42="是",反向題設定!$B$2+1-原始資料!AM145,原始資料!AM145))</f>
        <v/>
      </c>
      <c r="AN145">
        <f>IF(原始資料!AN145="","",IF(反向題設定!$C$43="是",反向題設定!$B$2+1-原始資料!AN145,原始資料!AN145))</f>
        <v/>
      </c>
      <c r="AO145">
        <f>IF(原始資料!AO145="","",IF(反向題設定!$C$44="是",反向題設定!$B$2+1-原始資料!AO145,原始資料!AO145))</f>
        <v/>
      </c>
      <c r="AP145">
        <f>IF(COUNT(B145:AO145)=0,"",SUM(B145:AO145))</f>
        <v/>
      </c>
      <c r="AQ145">
        <f>IF(AP145="","",IF(AP145&gt;=項目分析!$C$5,"高",IF(AP145&lt;=項目分析!$C$6,"低","")))</f>
        <v/>
      </c>
    </row>
    <row r="146">
      <c r="A146">
        <f>IF(原始資料!A146="","",原始資料!A146)</f>
        <v/>
      </c>
      <c r="B146">
        <f>IF(原始資料!B146="","",IF(反向題設定!$C$5="是",反向題設定!$B$2+1-原始資料!B146,原始資料!B146))</f>
        <v/>
      </c>
      <c r="C146">
        <f>IF(原始資料!C146="","",IF(反向題設定!$C$6="是",反向題設定!$B$2+1-原始資料!C146,原始資料!C146))</f>
        <v/>
      </c>
      <c r="D146">
        <f>IF(原始資料!D146="","",IF(反向題設定!$C$7="是",反向題設定!$B$2+1-原始資料!D146,原始資料!D146))</f>
        <v/>
      </c>
      <c r="E146">
        <f>IF(原始資料!E146="","",IF(反向題設定!$C$8="是",反向題設定!$B$2+1-原始資料!E146,原始資料!E146))</f>
        <v/>
      </c>
      <c r="F146">
        <f>IF(原始資料!F146="","",IF(反向題設定!$C$9="是",反向題設定!$B$2+1-原始資料!F146,原始資料!F146))</f>
        <v/>
      </c>
      <c r="G146">
        <f>IF(原始資料!G146="","",IF(反向題設定!$C$10="是",反向題設定!$B$2+1-原始資料!G146,原始資料!G146))</f>
        <v/>
      </c>
      <c r="H146">
        <f>IF(原始資料!H146="","",IF(反向題設定!$C$11="是",反向題設定!$B$2+1-原始資料!H146,原始資料!H146))</f>
        <v/>
      </c>
      <c r="I146">
        <f>IF(原始資料!I146="","",IF(反向題設定!$C$12="是",反向題設定!$B$2+1-原始資料!I146,原始資料!I146))</f>
        <v/>
      </c>
      <c r="J146">
        <f>IF(原始資料!J146="","",IF(反向題設定!$C$13="是",反向題設定!$B$2+1-原始資料!J146,原始資料!J146))</f>
        <v/>
      </c>
      <c r="K146">
        <f>IF(原始資料!K146="","",IF(反向題設定!$C$14="是",反向題設定!$B$2+1-原始資料!K146,原始資料!K146))</f>
        <v/>
      </c>
      <c r="L146">
        <f>IF(原始資料!L146="","",IF(反向題設定!$C$15="是",反向題設定!$B$2+1-原始資料!L146,原始資料!L146))</f>
        <v/>
      </c>
      <c r="M146">
        <f>IF(原始資料!M146="","",IF(反向題設定!$C$16="是",反向題設定!$B$2+1-原始資料!M146,原始資料!M146))</f>
        <v/>
      </c>
      <c r="N146">
        <f>IF(原始資料!N146="","",IF(反向題設定!$C$17="是",反向題設定!$B$2+1-原始資料!N146,原始資料!N146))</f>
        <v/>
      </c>
      <c r="O146">
        <f>IF(原始資料!O146="","",IF(反向題設定!$C$18="是",反向題設定!$B$2+1-原始資料!O146,原始資料!O146))</f>
        <v/>
      </c>
      <c r="P146">
        <f>IF(原始資料!P146="","",IF(反向題設定!$C$19="是",反向題設定!$B$2+1-原始資料!P146,原始資料!P146))</f>
        <v/>
      </c>
      <c r="Q146">
        <f>IF(原始資料!Q146="","",IF(反向題設定!$C$20="是",反向題設定!$B$2+1-原始資料!Q146,原始資料!Q146))</f>
        <v/>
      </c>
      <c r="R146">
        <f>IF(原始資料!R146="","",IF(反向題設定!$C$21="是",反向題設定!$B$2+1-原始資料!R146,原始資料!R146))</f>
        <v/>
      </c>
      <c r="S146">
        <f>IF(原始資料!S146="","",IF(反向題設定!$C$22="是",反向題設定!$B$2+1-原始資料!S146,原始資料!S146))</f>
        <v/>
      </c>
      <c r="T146">
        <f>IF(原始資料!T146="","",IF(反向題設定!$C$23="是",反向題設定!$B$2+1-原始資料!T146,原始資料!T146))</f>
        <v/>
      </c>
      <c r="U146">
        <f>IF(原始資料!U146="","",IF(反向題設定!$C$24="是",反向題設定!$B$2+1-原始資料!U146,原始資料!U146))</f>
        <v/>
      </c>
      <c r="V146">
        <f>IF(原始資料!V146="","",IF(反向題設定!$C$25="是",反向題設定!$B$2+1-原始資料!V146,原始資料!V146))</f>
        <v/>
      </c>
      <c r="W146">
        <f>IF(原始資料!W146="","",IF(反向題設定!$C$26="是",反向題設定!$B$2+1-原始資料!W146,原始資料!W146))</f>
        <v/>
      </c>
      <c r="X146">
        <f>IF(原始資料!X146="","",IF(反向題設定!$C$27="是",反向題設定!$B$2+1-原始資料!X146,原始資料!X146))</f>
        <v/>
      </c>
      <c r="Y146">
        <f>IF(原始資料!Y146="","",IF(反向題設定!$C$28="是",反向題設定!$B$2+1-原始資料!Y146,原始資料!Y146))</f>
        <v/>
      </c>
      <c r="Z146">
        <f>IF(原始資料!Z146="","",IF(反向題設定!$C$29="是",反向題設定!$B$2+1-原始資料!Z146,原始資料!Z146))</f>
        <v/>
      </c>
      <c r="AA146">
        <f>IF(原始資料!AA146="","",IF(反向題設定!$C$30="是",反向題設定!$B$2+1-原始資料!AA146,原始資料!AA146))</f>
        <v/>
      </c>
      <c r="AB146">
        <f>IF(原始資料!AB146="","",IF(反向題設定!$C$31="是",反向題設定!$B$2+1-原始資料!AB146,原始資料!AB146))</f>
        <v/>
      </c>
      <c r="AC146">
        <f>IF(原始資料!AC146="","",IF(反向題設定!$C$32="是",反向題設定!$B$2+1-原始資料!AC146,原始資料!AC146))</f>
        <v/>
      </c>
      <c r="AD146">
        <f>IF(原始資料!AD146="","",IF(反向題設定!$C$33="是",反向題設定!$B$2+1-原始資料!AD146,原始資料!AD146))</f>
        <v/>
      </c>
      <c r="AE146">
        <f>IF(原始資料!AE146="","",IF(反向題設定!$C$34="是",反向題設定!$B$2+1-原始資料!AE146,原始資料!AE146))</f>
        <v/>
      </c>
      <c r="AF146">
        <f>IF(原始資料!AF146="","",IF(反向題設定!$C$35="是",反向題設定!$B$2+1-原始資料!AF146,原始資料!AF146))</f>
        <v/>
      </c>
      <c r="AG146">
        <f>IF(原始資料!AG146="","",IF(反向題設定!$C$36="是",反向題設定!$B$2+1-原始資料!AG146,原始資料!AG146))</f>
        <v/>
      </c>
      <c r="AH146">
        <f>IF(原始資料!AH146="","",IF(反向題設定!$C$37="是",反向題設定!$B$2+1-原始資料!AH146,原始資料!AH146))</f>
        <v/>
      </c>
      <c r="AI146">
        <f>IF(原始資料!AI146="","",IF(反向題設定!$C$38="是",反向題設定!$B$2+1-原始資料!AI146,原始資料!AI146))</f>
        <v/>
      </c>
      <c r="AJ146">
        <f>IF(原始資料!AJ146="","",IF(反向題設定!$C$39="是",反向題設定!$B$2+1-原始資料!AJ146,原始資料!AJ146))</f>
        <v/>
      </c>
      <c r="AK146">
        <f>IF(原始資料!AK146="","",IF(反向題設定!$C$40="是",反向題設定!$B$2+1-原始資料!AK146,原始資料!AK146))</f>
        <v/>
      </c>
      <c r="AL146">
        <f>IF(原始資料!AL146="","",IF(反向題設定!$C$41="是",反向題設定!$B$2+1-原始資料!AL146,原始資料!AL146))</f>
        <v/>
      </c>
      <c r="AM146">
        <f>IF(原始資料!AM146="","",IF(反向題設定!$C$42="是",反向題設定!$B$2+1-原始資料!AM146,原始資料!AM146))</f>
        <v/>
      </c>
      <c r="AN146">
        <f>IF(原始資料!AN146="","",IF(反向題設定!$C$43="是",反向題設定!$B$2+1-原始資料!AN146,原始資料!AN146))</f>
        <v/>
      </c>
      <c r="AO146">
        <f>IF(原始資料!AO146="","",IF(反向題設定!$C$44="是",反向題設定!$B$2+1-原始資料!AO146,原始資料!AO146))</f>
        <v/>
      </c>
      <c r="AP146">
        <f>IF(COUNT(B146:AO146)=0,"",SUM(B146:AO146))</f>
        <v/>
      </c>
      <c r="AQ146">
        <f>IF(AP146="","",IF(AP146&gt;=項目分析!$C$5,"高",IF(AP146&lt;=項目分析!$C$6,"低","")))</f>
        <v/>
      </c>
    </row>
    <row r="147">
      <c r="A147">
        <f>IF(原始資料!A147="","",原始資料!A147)</f>
        <v/>
      </c>
      <c r="B147">
        <f>IF(原始資料!B147="","",IF(反向題設定!$C$5="是",反向題設定!$B$2+1-原始資料!B147,原始資料!B147))</f>
        <v/>
      </c>
      <c r="C147">
        <f>IF(原始資料!C147="","",IF(反向題設定!$C$6="是",反向題設定!$B$2+1-原始資料!C147,原始資料!C147))</f>
        <v/>
      </c>
      <c r="D147">
        <f>IF(原始資料!D147="","",IF(反向題設定!$C$7="是",反向題設定!$B$2+1-原始資料!D147,原始資料!D147))</f>
        <v/>
      </c>
      <c r="E147">
        <f>IF(原始資料!E147="","",IF(反向題設定!$C$8="是",反向題設定!$B$2+1-原始資料!E147,原始資料!E147))</f>
        <v/>
      </c>
      <c r="F147">
        <f>IF(原始資料!F147="","",IF(反向題設定!$C$9="是",反向題設定!$B$2+1-原始資料!F147,原始資料!F147))</f>
        <v/>
      </c>
      <c r="G147">
        <f>IF(原始資料!G147="","",IF(反向題設定!$C$10="是",反向題設定!$B$2+1-原始資料!G147,原始資料!G147))</f>
        <v/>
      </c>
      <c r="H147">
        <f>IF(原始資料!H147="","",IF(反向題設定!$C$11="是",反向題設定!$B$2+1-原始資料!H147,原始資料!H147))</f>
        <v/>
      </c>
      <c r="I147">
        <f>IF(原始資料!I147="","",IF(反向題設定!$C$12="是",反向題設定!$B$2+1-原始資料!I147,原始資料!I147))</f>
        <v/>
      </c>
      <c r="J147">
        <f>IF(原始資料!J147="","",IF(反向題設定!$C$13="是",反向題設定!$B$2+1-原始資料!J147,原始資料!J147))</f>
        <v/>
      </c>
      <c r="K147">
        <f>IF(原始資料!K147="","",IF(反向題設定!$C$14="是",反向題設定!$B$2+1-原始資料!K147,原始資料!K147))</f>
        <v/>
      </c>
      <c r="L147">
        <f>IF(原始資料!L147="","",IF(反向題設定!$C$15="是",反向題設定!$B$2+1-原始資料!L147,原始資料!L147))</f>
        <v/>
      </c>
      <c r="M147">
        <f>IF(原始資料!M147="","",IF(反向題設定!$C$16="是",反向題設定!$B$2+1-原始資料!M147,原始資料!M147))</f>
        <v/>
      </c>
      <c r="N147">
        <f>IF(原始資料!N147="","",IF(反向題設定!$C$17="是",反向題設定!$B$2+1-原始資料!N147,原始資料!N147))</f>
        <v/>
      </c>
      <c r="O147">
        <f>IF(原始資料!O147="","",IF(反向題設定!$C$18="是",反向題設定!$B$2+1-原始資料!O147,原始資料!O147))</f>
        <v/>
      </c>
      <c r="P147">
        <f>IF(原始資料!P147="","",IF(反向題設定!$C$19="是",反向題設定!$B$2+1-原始資料!P147,原始資料!P147))</f>
        <v/>
      </c>
      <c r="Q147">
        <f>IF(原始資料!Q147="","",IF(反向題設定!$C$20="是",反向題設定!$B$2+1-原始資料!Q147,原始資料!Q147))</f>
        <v/>
      </c>
      <c r="R147">
        <f>IF(原始資料!R147="","",IF(反向題設定!$C$21="是",反向題設定!$B$2+1-原始資料!R147,原始資料!R147))</f>
        <v/>
      </c>
      <c r="S147">
        <f>IF(原始資料!S147="","",IF(反向題設定!$C$22="是",反向題設定!$B$2+1-原始資料!S147,原始資料!S147))</f>
        <v/>
      </c>
      <c r="T147">
        <f>IF(原始資料!T147="","",IF(反向題設定!$C$23="是",反向題設定!$B$2+1-原始資料!T147,原始資料!T147))</f>
        <v/>
      </c>
      <c r="U147">
        <f>IF(原始資料!U147="","",IF(反向題設定!$C$24="是",反向題設定!$B$2+1-原始資料!U147,原始資料!U147))</f>
        <v/>
      </c>
      <c r="V147">
        <f>IF(原始資料!V147="","",IF(反向題設定!$C$25="是",反向題設定!$B$2+1-原始資料!V147,原始資料!V147))</f>
        <v/>
      </c>
      <c r="W147">
        <f>IF(原始資料!W147="","",IF(反向題設定!$C$26="是",反向題設定!$B$2+1-原始資料!W147,原始資料!W147))</f>
        <v/>
      </c>
      <c r="X147">
        <f>IF(原始資料!X147="","",IF(反向題設定!$C$27="是",反向題設定!$B$2+1-原始資料!X147,原始資料!X147))</f>
        <v/>
      </c>
      <c r="Y147">
        <f>IF(原始資料!Y147="","",IF(反向題設定!$C$28="是",反向題設定!$B$2+1-原始資料!Y147,原始資料!Y147))</f>
        <v/>
      </c>
      <c r="Z147">
        <f>IF(原始資料!Z147="","",IF(反向題設定!$C$29="是",反向題設定!$B$2+1-原始資料!Z147,原始資料!Z147))</f>
        <v/>
      </c>
      <c r="AA147">
        <f>IF(原始資料!AA147="","",IF(反向題設定!$C$30="是",反向題設定!$B$2+1-原始資料!AA147,原始資料!AA147))</f>
        <v/>
      </c>
      <c r="AB147">
        <f>IF(原始資料!AB147="","",IF(反向題設定!$C$31="是",反向題設定!$B$2+1-原始資料!AB147,原始資料!AB147))</f>
        <v/>
      </c>
      <c r="AC147">
        <f>IF(原始資料!AC147="","",IF(反向題設定!$C$32="是",反向題設定!$B$2+1-原始資料!AC147,原始資料!AC147))</f>
        <v/>
      </c>
      <c r="AD147">
        <f>IF(原始資料!AD147="","",IF(反向題設定!$C$33="是",反向題設定!$B$2+1-原始資料!AD147,原始資料!AD147))</f>
        <v/>
      </c>
      <c r="AE147">
        <f>IF(原始資料!AE147="","",IF(反向題設定!$C$34="是",反向題設定!$B$2+1-原始資料!AE147,原始資料!AE147))</f>
        <v/>
      </c>
      <c r="AF147">
        <f>IF(原始資料!AF147="","",IF(反向題設定!$C$35="是",反向題設定!$B$2+1-原始資料!AF147,原始資料!AF147))</f>
        <v/>
      </c>
      <c r="AG147">
        <f>IF(原始資料!AG147="","",IF(反向題設定!$C$36="是",反向題設定!$B$2+1-原始資料!AG147,原始資料!AG147))</f>
        <v/>
      </c>
      <c r="AH147">
        <f>IF(原始資料!AH147="","",IF(反向題設定!$C$37="是",反向題設定!$B$2+1-原始資料!AH147,原始資料!AH147))</f>
        <v/>
      </c>
      <c r="AI147">
        <f>IF(原始資料!AI147="","",IF(反向題設定!$C$38="是",反向題設定!$B$2+1-原始資料!AI147,原始資料!AI147))</f>
        <v/>
      </c>
      <c r="AJ147">
        <f>IF(原始資料!AJ147="","",IF(反向題設定!$C$39="是",反向題設定!$B$2+1-原始資料!AJ147,原始資料!AJ147))</f>
        <v/>
      </c>
      <c r="AK147">
        <f>IF(原始資料!AK147="","",IF(反向題設定!$C$40="是",反向題設定!$B$2+1-原始資料!AK147,原始資料!AK147))</f>
        <v/>
      </c>
      <c r="AL147">
        <f>IF(原始資料!AL147="","",IF(反向題設定!$C$41="是",反向題設定!$B$2+1-原始資料!AL147,原始資料!AL147))</f>
        <v/>
      </c>
      <c r="AM147">
        <f>IF(原始資料!AM147="","",IF(反向題設定!$C$42="是",反向題設定!$B$2+1-原始資料!AM147,原始資料!AM147))</f>
        <v/>
      </c>
      <c r="AN147">
        <f>IF(原始資料!AN147="","",IF(反向題設定!$C$43="是",反向題設定!$B$2+1-原始資料!AN147,原始資料!AN147))</f>
        <v/>
      </c>
      <c r="AO147">
        <f>IF(原始資料!AO147="","",IF(反向題設定!$C$44="是",反向題設定!$B$2+1-原始資料!AO147,原始資料!AO147))</f>
        <v/>
      </c>
      <c r="AP147">
        <f>IF(COUNT(B147:AO147)=0,"",SUM(B147:AO147))</f>
        <v/>
      </c>
      <c r="AQ147">
        <f>IF(AP147="","",IF(AP147&gt;=項目分析!$C$5,"高",IF(AP147&lt;=項目分析!$C$6,"低","")))</f>
        <v/>
      </c>
    </row>
    <row r="148">
      <c r="A148">
        <f>IF(原始資料!A148="","",原始資料!A148)</f>
        <v/>
      </c>
      <c r="B148">
        <f>IF(原始資料!B148="","",IF(反向題設定!$C$5="是",反向題設定!$B$2+1-原始資料!B148,原始資料!B148))</f>
        <v/>
      </c>
      <c r="C148">
        <f>IF(原始資料!C148="","",IF(反向題設定!$C$6="是",反向題設定!$B$2+1-原始資料!C148,原始資料!C148))</f>
        <v/>
      </c>
      <c r="D148">
        <f>IF(原始資料!D148="","",IF(反向題設定!$C$7="是",反向題設定!$B$2+1-原始資料!D148,原始資料!D148))</f>
        <v/>
      </c>
      <c r="E148">
        <f>IF(原始資料!E148="","",IF(反向題設定!$C$8="是",反向題設定!$B$2+1-原始資料!E148,原始資料!E148))</f>
        <v/>
      </c>
      <c r="F148">
        <f>IF(原始資料!F148="","",IF(反向題設定!$C$9="是",反向題設定!$B$2+1-原始資料!F148,原始資料!F148))</f>
        <v/>
      </c>
      <c r="G148">
        <f>IF(原始資料!G148="","",IF(反向題設定!$C$10="是",反向題設定!$B$2+1-原始資料!G148,原始資料!G148))</f>
        <v/>
      </c>
      <c r="H148">
        <f>IF(原始資料!H148="","",IF(反向題設定!$C$11="是",反向題設定!$B$2+1-原始資料!H148,原始資料!H148))</f>
        <v/>
      </c>
      <c r="I148">
        <f>IF(原始資料!I148="","",IF(反向題設定!$C$12="是",反向題設定!$B$2+1-原始資料!I148,原始資料!I148))</f>
        <v/>
      </c>
      <c r="J148">
        <f>IF(原始資料!J148="","",IF(反向題設定!$C$13="是",反向題設定!$B$2+1-原始資料!J148,原始資料!J148))</f>
        <v/>
      </c>
      <c r="K148">
        <f>IF(原始資料!K148="","",IF(反向題設定!$C$14="是",反向題設定!$B$2+1-原始資料!K148,原始資料!K148))</f>
        <v/>
      </c>
      <c r="L148">
        <f>IF(原始資料!L148="","",IF(反向題設定!$C$15="是",反向題設定!$B$2+1-原始資料!L148,原始資料!L148))</f>
        <v/>
      </c>
      <c r="M148">
        <f>IF(原始資料!M148="","",IF(反向題設定!$C$16="是",反向題設定!$B$2+1-原始資料!M148,原始資料!M148))</f>
        <v/>
      </c>
      <c r="N148">
        <f>IF(原始資料!N148="","",IF(反向題設定!$C$17="是",反向題設定!$B$2+1-原始資料!N148,原始資料!N148))</f>
        <v/>
      </c>
      <c r="O148">
        <f>IF(原始資料!O148="","",IF(反向題設定!$C$18="是",反向題設定!$B$2+1-原始資料!O148,原始資料!O148))</f>
        <v/>
      </c>
      <c r="P148">
        <f>IF(原始資料!P148="","",IF(反向題設定!$C$19="是",反向題設定!$B$2+1-原始資料!P148,原始資料!P148))</f>
        <v/>
      </c>
      <c r="Q148">
        <f>IF(原始資料!Q148="","",IF(反向題設定!$C$20="是",反向題設定!$B$2+1-原始資料!Q148,原始資料!Q148))</f>
        <v/>
      </c>
      <c r="R148">
        <f>IF(原始資料!R148="","",IF(反向題設定!$C$21="是",反向題設定!$B$2+1-原始資料!R148,原始資料!R148))</f>
        <v/>
      </c>
      <c r="S148">
        <f>IF(原始資料!S148="","",IF(反向題設定!$C$22="是",反向題設定!$B$2+1-原始資料!S148,原始資料!S148))</f>
        <v/>
      </c>
      <c r="T148">
        <f>IF(原始資料!T148="","",IF(反向題設定!$C$23="是",反向題設定!$B$2+1-原始資料!T148,原始資料!T148))</f>
        <v/>
      </c>
      <c r="U148">
        <f>IF(原始資料!U148="","",IF(反向題設定!$C$24="是",反向題設定!$B$2+1-原始資料!U148,原始資料!U148))</f>
        <v/>
      </c>
      <c r="V148">
        <f>IF(原始資料!V148="","",IF(反向題設定!$C$25="是",反向題設定!$B$2+1-原始資料!V148,原始資料!V148))</f>
        <v/>
      </c>
      <c r="W148">
        <f>IF(原始資料!W148="","",IF(反向題設定!$C$26="是",反向題設定!$B$2+1-原始資料!W148,原始資料!W148))</f>
        <v/>
      </c>
      <c r="X148">
        <f>IF(原始資料!X148="","",IF(反向題設定!$C$27="是",反向題設定!$B$2+1-原始資料!X148,原始資料!X148))</f>
        <v/>
      </c>
      <c r="Y148">
        <f>IF(原始資料!Y148="","",IF(反向題設定!$C$28="是",反向題設定!$B$2+1-原始資料!Y148,原始資料!Y148))</f>
        <v/>
      </c>
      <c r="Z148">
        <f>IF(原始資料!Z148="","",IF(反向題設定!$C$29="是",反向題設定!$B$2+1-原始資料!Z148,原始資料!Z148))</f>
        <v/>
      </c>
      <c r="AA148">
        <f>IF(原始資料!AA148="","",IF(反向題設定!$C$30="是",反向題設定!$B$2+1-原始資料!AA148,原始資料!AA148))</f>
        <v/>
      </c>
      <c r="AB148">
        <f>IF(原始資料!AB148="","",IF(反向題設定!$C$31="是",反向題設定!$B$2+1-原始資料!AB148,原始資料!AB148))</f>
        <v/>
      </c>
      <c r="AC148">
        <f>IF(原始資料!AC148="","",IF(反向題設定!$C$32="是",反向題設定!$B$2+1-原始資料!AC148,原始資料!AC148))</f>
        <v/>
      </c>
      <c r="AD148">
        <f>IF(原始資料!AD148="","",IF(反向題設定!$C$33="是",反向題設定!$B$2+1-原始資料!AD148,原始資料!AD148))</f>
        <v/>
      </c>
      <c r="AE148">
        <f>IF(原始資料!AE148="","",IF(反向題設定!$C$34="是",反向題設定!$B$2+1-原始資料!AE148,原始資料!AE148))</f>
        <v/>
      </c>
      <c r="AF148">
        <f>IF(原始資料!AF148="","",IF(反向題設定!$C$35="是",反向題設定!$B$2+1-原始資料!AF148,原始資料!AF148))</f>
        <v/>
      </c>
      <c r="AG148">
        <f>IF(原始資料!AG148="","",IF(反向題設定!$C$36="是",反向題設定!$B$2+1-原始資料!AG148,原始資料!AG148))</f>
        <v/>
      </c>
      <c r="AH148">
        <f>IF(原始資料!AH148="","",IF(反向題設定!$C$37="是",反向題設定!$B$2+1-原始資料!AH148,原始資料!AH148))</f>
        <v/>
      </c>
      <c r="AI148">
        <f>IF(原始資料!AI148="","",IF(反向題設定!$C$38="是",反向題設定!$B$2+1-原始資料!AI148,原始資料!AI148))</f>
        <v/>
      </c>
      <c r="AJ148">
        <f>IF(原始資料!AJ148="","",IF(反向題設定!$C$39="是",反向題設定!$B$2+1-原始資料!AJ148,原始資料!AJ148))</f>
        <v/>
      </c>
      <c r="AK148">
        <f>IF(原始資料!AK148="","",IF(反向題設定!$C$40="是",反向題設定!$B$2+1-原始資料!AK148,原始資料!AK148))</f>
        <v/>
      </c>
      <c r="AL148">
        <f>IF(原始資料!AL148="","",IF(反向題設定!$C$41="是",反向題設定!$B$2+1-原始資料!AL148,原始資料!AL148))</f>
        <v/>
      </c>
      <c r="AM148">
        <f>IF(原始資料!AM148="","",IF(反向題設定!$C$42="是",反向題設定!$B$2+1-原始資料!AM148,原始資料!AM148))</f>
        <v/>
      </c>
      <c r="AN148">
        <f>IF(原始資料!AN148="","",IF(反向題設定!$C$43="是",反向題設定!$B$2+1-原始資料!AN148,原始資料!AN148))</f>
        <v/>
      </c>
      <c r="AO148">
        <f>IF(原始資料!AO148="","",IF(反向題設定!$C$44="是",反向題設定!$B$2+1-原始資料!AO148,原始資料!AO148))</f>
        <v/>
      </c>
      <c r="AP148">
        <f>IF(COUNT(B148:AO148)=0,"",SUM(B148:AO148))</f>
        <v/>
      </c>
      <c r="AQ148">
        <f>IF(AP148="","",IF(AP148&gt;=項目分析!$C$5,"高",IF(AP148&lt;=項目分析!$C$6,"低","")))</f>
        <v/>
      </c>
    </row>
    <row r="149">
      <c r="A149">
        <f>IF(原始資料!A149="","",原始資料!A149)</f>
        <v/>
      </c>
      <c r="B149">
        <f>IF(原始資料!B149="","",IF(反向題設定!$C$5="是",反向題設定!$B$2+1-原始資料!B149,原始資料!B149))</f>
        <v/>
      </c>
      <c r="C149">
        <f>IF(原始資料!C149="","",IF(反向題設定!$C$6="是",反向題設定!$B$2+1-原始資料!C149,原始資料!C149))</f>
        <v/>
      </c>
      <c r="D149">
        <f>IF(原始資料!D149="","",IF(反向題設定!$C$7="是",反向題設定!$B$2+1-原始資料!D149,原始資料!D149))</f>
        <v/>
      </c>
      <c r="E149">
        <f>IF(原始資料!E149="","",IF(反向題設定!$C$8="是",反向題設定!$B$2+1-原始資料!E149,原始資料!E149))</f>
        <v/>
      </c>
      <c r="F149">
        <f>IF(原始資料!F149="","",IF(反向題設定!$C$9="是",反向題設定!$B$2+1-原始資料!F149,原始資料!F149))</f>
        <v/>
      </c>
      <c r="G149">
        <f>IF(原始資料!G149="","",IF(反向題設定!$C$10="是",反向題設定!$B$2+1-原始資料!G149,原始資料!G149))</f>
        <v/>
      </c>
      <c r="H149">
        <f>IF(原始資料!H149="","",IF(反向題設定!$C$11="是",反向題設定!$B$2+1-原始資料!H149,原始資料!H149))</f>
        <v/>
      </c>
      <c r="I149">
        <f>IF(原始資料!I149="","",IF(反向題設定!$C$12="是",反向題設定!$B$2+1-原始資料!I149,原始資料!I149))</f>
        <v/>
      </c>
      <c r="J149">
        <f>IF(原始資料!J149="","",IF(反向題設定!$C$13="是",反向題設定!$B$2+1-原始資料!J149,原始資料!J149))</f>
        <v/>
      </c>
      <c r="K149">
        <f>IF(原始資料!K149="","",IF(反向題設定!$C$14="是",反向題設定!$B$2+1-原始資料!K149,原始資料!K149))</f>
        <v/>
      </c>
      <c r="L149">
        <f>IF(原始資料!L149="","",IF(反向題設定!$C$15="是",反向題設定!$B$2+1-原始資料!L149,原始資料!L149))</f>
        <v/>
      </c>
      <c r="M149">
        <f>IF(原始資料!M149="","",IF(反向題設定!$C$16="是",反向題設定!$B$2+1-原始資料!M149,原始資料!M149))</f>
        <v/>
      </c>
      <c r="N149">
        <f>IF(原始資料!N149="","",IF(反向題設定!$C$17="是",反向題設定!$B$2+1-原始資料!N149,原始資料!N149))</f>
        <v/>
      </c>
      <c r="O149">
        <f>IF(原始資料!O149="","",IF(反向題設定!$C$18="是",反向題設定!$B$2+1-原始資料!O149,原始資料!O149))</f>
        <v/>
      </c>
      <c r="P149">
        <f>IF(原始資料!P149="","",IF(反向題設定!$C$19="是",反向題設定!$B$2+1-原始資料!P149,原始資料!P149))</f>
        <v/>
      </c>
      <c r="Q149">
        <f>IF(原始資料!Q149="","",IF(反向題設定!$C$20="是",反向題設定!$B$2+1-原始資料!Q149,原始資料!Q149))</f>
        <v/>
      </c>
      <c r="R149">
        <f>IF(原始資料!R149="","",IF(反向題設定!$C$21="是",反向題設定!$B$2+1-原始資料!R149,原始資料!R149))</f>
        <v/>
      </c>
      <c r="S149">
        <f>IF(原始資料!S149="","",IF(反向題設定!$C$22="是",反向題設定!$B$2+1-原始資料!S149,原始資料!S149))</f>
        <v/>
      </c>
      <c r="T149">
        <f>IF(原始資料!T149="","",IF(反向題設定!$C$23="是",反向題設定!$B$2+1-原始資料!T149,原始資料!T149))</f>
        <v/>
      </c>
      <c r="U149">
        <f>IF(原始資料!U149="","",IF(反向題設定!$C$24="是",反向題設定!$B$2+1-原始資料!U149,原始資料!U149))</f>
        <v/>
      </c>
      <c r="V149">
        <f>IF(原始資料!V149="","",IF(反向題設定!$C$25="是",反向題設定!$B$2+1-原始資料!V149,原始資料!V149))</f>
        <v/>
      </c>
      <c r="W149">
        <f>IF(原始資料!W149="","",IF(反向題設定!$C$26="是",反向題設定!$B$2+1-原始資料!W149,原始資料!W149))</f>
        <v/>
      </c>
      <c r="X149">
        <f>IF(原始資料!X149="","",IF(反向題設定!$C$27="是",反向題設定!$B$2+1-原始資料!X149,原始資料!X149))</f>
        <v/>
      </c>
      <c r="Y149">
        <f>IF(原始資料!Y149="","",IF(反向題設定!$C$28="是",反向題設定!$B$2+1-原始資料!Y149,原始資料!Y149))</f>
        <v/>
      </c>
      <c r="Z149">
        <f>IF(原始資料!Z149="","",IF(反向題設定!$C$29="是",反向題設定!$B$2+1-原始資料!Z149,原始資料!Z149))</f>
        <v/>
      </c>
      <c r="AA149">
        <f>IF(原始資料!AA149="","",IF(反向題設定!$C$30="是",反向題設定!$B$2+1-原始資料!AA149,原始資料!AA149))</f>
        <v/>
      </c>
      <c r="AB149">
        <f>IF(原始資料!AB149="","",IF(反向題設定!$C$31="是",反向題設定!$B$2+1-原始資料!AB149,原始資料!AB149))</f>
        <v/>
      </c>
      <c r="AC149">
        <f>IF(原始資料!AC149="","",IF(反向題設定!$C$32="是",反向題設定!$B$2+1-原始資料!AC149,原始資料!AC149))</f>
        <v/>
      </c>
      <c r="AD149">
        <f>IF(原始資料!AD149="","",IF(反向題設定!$C$33="是",反向題設定!$B$2+1-原始資料!AD149,原始資料!AD149))</f>
        <v/>
      </c>
      <c r="AE149">
        <f>IF(原始資料!AE149="","",IF(反向題設定!$C$34="是",反向題設定!$B$2+1-原始資料!AE149,原始資料!AE149))</f>
        <v/>
      </c>
      <c r="AF149">
        <f>IF(原始資料!AF149="","",IF(反向題設定!$C$35="是",反向題設定!$B$2+1-原始資料!AF149,原始資料!AF149))</f>
        <v/>
      </c>
      <c r="AG149">
        <f>IF(原始資料!AG149="","",IF(反向題設定!$C$36="是",反向題設定!$B$2+1-原始資料!AG149,原始資料!AG149))</f>
        <v/>
      </c>
      <c r="AH149">
        <f>IF(原始資料!AH149="","",IF(反向題設定!$C$37="是",反向題設定!$B$2+1-原始資料!AH149,原始資料!AH149))</f>
        <v/>
      </c>
      <c r="AI149">
        <f>IF(原始資料!AI149="","",IF(反向題設定!$C$38="是",反向題設定!$B$2+1-原始資料!AI149,原始資料!AI149))</f>
        <v/>
      </c>
      <c r="AJ149">
        <f>IF(原始資料!AJ149="","",IF(反向題設定!$C$39="是",反向題設定!$B$2+1-原始資料!AJ149,原始資料!AJ149))</f>
        <v/>
      </c>
      <c r="AK149">
        <f>IF(原始資料!AK149="","",IF(反向題設定!$C$40="是",反向題設定!$B$2+1-原始資料!AK149,原始資料!AK149))</f>
        <v/>
      </c>
      <c r="AL149">
        <f>IF(原始資料!AL149="","",IF(反向題設定!$C$41="是",反向題設定!$B$2+1-原始資料!AL149,原始資料!AL149))</f>
        <v/>
      </c>
      <c r="AM149">
        <f>IF(原始資料!AM149="","",IF(反向題設定!$C$42="是",反向題設定!$B$2+1-原始資料!AM149,原始資料!AM149))</f>
        <v/>
      </c>
      <c r="AN149">
        <f>IF(原始資料!AN149="","",IF(反向題設定!$C$43="是",反向題設定!$B$2+1-原始資料!AN149,原始資料!AN149))</f>
        <v/>
      </c>
      <c r="AO149">
        <f>IF(原始資料!AO149="","",IF(反向題設定!$C$44="是",反向題設定!$B$2+1-原始資料!AO149,原始資料!AO149))</f>
        <v/>
      </c>
      <c r="AP149">
        <f>IF(COUNT(B149:AO149)=0,"",SUM(B149:AO149))</f>
        <v/>
      </c>
      <c r="AQ149">
        <f>IF(AP149="","",IF(AP149&gt;=項目分析!$C$5,"高",IF(AP149&lt;=項目分析!$C$6,"低","")))</f>
        <v/>
      </c>
    </row>
    <row r="150">
      <c r="A150">
        <f>IF(原始資料!A150="","",原始資料!A150)</f>
        <v/>
      </c>
      <c r="B150">
        <f>IF(原始資料!B150="","",IF(反向題設定!$C$5="是",反向題設定!$B$2+1-原始資料!B150,原始資料!B150))</f>
        <v/>
      </c>
      <c r="C150">
        <f>IF(原始資料!C150="","",IF(反向題設定!$C$6="是",反向題設定!$B$2+1-原始資料!C150,原始資料!C150))</f>
        <v/>
      </c>
      <c r="D150">
        <f>IF(原始資料!D150="","",IF(反向題設定!$C$7="是",反向題設定!$B$2+1-原始資料!D150,原始資料!D150))</f>
        <v/>
      </c>
      <c r="E150">
        <f>IF(原始資料!E150="","",IF(反向題設定!$C$8="是",反向題設定!$B$2+1-原始資料!E150,原始資料!E150))</f>
        <v/>
      </c>
      <c r="F150">
        <f>IF(原始資料!F150="","",IF(反向題設定!$C$9="是",反向題設定!$B$2+1-原始資料!F150,原始資料!F150))</f>
        <v/>
      </c>
      <c r="G150">
        <f>IF(原始資料!G150="","",IF(反向題設定!$C$10="是",反向題設定!$B$2+1-原始資料!G150,原始資料!G150))</f>
        <v/>
      </c>
      <c r="H150">
        <f>IF(原始資料!H150="","",IF(反向題設定!$C$11="是",反向題設定!$B$2+1-原始資料!H150,原始資料!H150))</f>
        <v/>
      </c>
      <c r="I150">
        <f>IF(原始資料!I150="","",IF(反向題設定!$C$12="是",反向題設定!$B$2+1-原始資料!I150,原始資料!I150))</f>
        <v/>
      </c>
      <c r="J150">
        <f>IF(原始資料!J150="","",IF(反向題設定!$C$13="是",反向題設定!$B$2+1-原始資料!J150,原始資料!J150))</f>
        <v/>
      </c>
      <c r="K150">
        <f>IF(原始資料!K150="","",IF(反向題設定!$C$14="是",反向題設定!$B$2+1-原始資料!K150,原始資料!K150))</f>
        <v/>
      </c>
      <c r="L150">
        <f>IF(原始資料!L150="","",IF(反向題設定!$C$15="是",反向題設定!$B$2+1-原始資料!L150,原始資料!L150))</f>
        <v/>
      </c>
      <c r="M150">
        <f>IF(原始資料!M150="","",IF(反向題設定!$C$16="是",反向題設定!$B$2+1-原始資料!M150,原始資料!M150))</f>
        <v/>
      </c>
      <c r="N150">
        <f>IF(原始資料!N150="","",IF(反向題設定!$C$17="是",反向題設定!$B$2+1-原始資料!N150,原始資料!N150))</f>
        <v/>
      </c>
      <c r="O150">
        <f>IF(原始資料!O150="","",IF(反向題設定!$C$18="是",反向題設定!$B$2+1-原始資料!O150,原始資料!O150))</f>
        <v/>
      </c>
      <c r="P150">
        <f>IF(原始資料!P150="","",IF(反向題設定!$C$19="是",反向題設定!$B$2+1-原始資料!P150,原始資料!P150))</f>
        <v/>
      </c>
      <c r="Q150">
        <f>IF(原始資料!Q150="","",IF(反向題設定!$C$20="是",反向題設定!$B$2+1-原始資料!Q150,原始資料!Q150))</f>
        <v/>
      </c>
      <c r="R150">
        <f>IF(原始資料!R150="","",IF(反向題設定!$C$21="是",反向題設定!$B$2+1-原始資料!R150,原始資料!R150))</f>
        <v/>
      </c>
      <c r="S150">
        <f>IF(原始資料!S150="","",IF(反向題設定!$C$22="是",反向題設定!$B$2+1-原始資料!S150,原始資料!S150))</f>
        <v/>
      </c>
      <c r="T150">
        <f>IF(原始資料!T150="","",IF(反向題設定!$C$23="是",反向題設定!$B$2+1-原始資料!T150,原始資料!T150))</f>
        <v/>
      </c>
      <c r="U150">
        <f>IF(原始資料!U150="","",IF(反向題設定!$C$24="是",反向題設定!$B$2+1-原始資料!U150,原始資料!U150))</f>
        <v/>
      </c>
      <c r="V150">
        <f>IF(原始資料!V150="","",IF(反向題設定!$C$25="是",反向題設定!$B$2+1-原始資料!V150,原始資料!V150))</f>
        <v/>
      </c>
      <c r="W150">
        <f>IF(原始資料!W150="","",IF(反向題設定!$C$26="是",反向題設定!$B$2+1-原始資料!W150,原始資料!W150))</f>
        <v/>
      </c>
      <c r="X150">
        <f>IF(原始資料!X150="","",IF(反向題設定!$C$27="是",反向題設定!$B$2+1-原始資料!X150,原始資料!X150))</f>
        <v/>
      </c>
      <c r="Y150">
        <f>IF(原始資料!Y150="","",IF(反向題設定!$C$28="是",反向題設定!$B$2+1-原始資料!Y150,原始資料!Y150))</f>
        <v/>
      </c>
      <c r="Z150">
        <f>IF(原始資料!Z150="","",IF(反向題設定!$C$29="是",反向題設定!$B$2+1-原始資料!Z150,原始資料!Z150))</f>
        <v/>
      </c>
      <c r="AA150">
        <f>IF(原始資料!AA150="","",IF(反向題設定!$C$30="是",反向題設定!$B$2+1-原始資料!AA150,原始資料!AA150))</f>
        <v/>
      </c>
      <c r="AB150">
        <f>IF(原始資料!AB150="","",IF(反向題設定!$C$31="是",反向題設定!$B$2+1-原始資料!AB150,原始資料!AB150))</f>
        <v/>
      </c>
      <c r="AC150">
        <f>IF(原始資料!AC150="","",IF(反向題設定!$C$32="是",反向題設定!$B$2+1-原始資料!AC150,原始資料!AC150))</f>
        <v/>
      </c>
      <c r="AD150">
        <f>IF(原始資料!AD150="","",IF(反向題設定!$C$33="是",反向題設定!$B$2+1-原始資料!AD150,原始資料!AD150))</f>
        <v/>
      </c>
      <c r="AE150">
        <f>IF(原始資料!AE150="","",IF(反向題設定!$C$34="是",反向題設定!$B$2+1-原始資料!AE150,原始資料!AE150))</f>
        <v/>
      </c>
      <c r="AF150">
        <f>IF(原始資料!AF150="","",IF(反向題設定!$C$35="是",反向題設定!$B$2+1-原始資料!AF150,原始資料!AF150))</f>
        <v/>
      </c>
      <c r="AG150">
        <f>IF(原始資料!AG150="","",IF(反向題設定!$C$36="是",反向題設定!$B$2+1-原始資料!AG150,原始資料!AG150))</f>
        <v/>
      </c>
      <c r="AH150">
        <f>IF(原始資料!AH150="","",IF(反向題設定!$C$37="是",反向題設定!$B$2+1-原始資料!AH150,原始資料!AH150))</f>
        <v/>
      </c>
      <c r="AI150">
        <f>IF(原始資料!AI150="","",IF(反向題設定!$C$38="是",反向題設定!$B$2+1-原始資料!AI150,原始資料!AI150))</f>
        <v/>
      </c>
      <c r="AJ150">
        <f>IF(原始資料!AJ150="","",IF(反向題設定!$C$39="是",反向題設定!$B$2+1-原始資料!AJ150,原始資料!AJ150))</f>
        <v/>
      </c>
      <c r="AK150">
        <f>IF(原始資料!AK150="","",IF(反向題設定!$C$40="是",反向題設定!$B$2+1-原始資料!AK150,原始資料!AK150))</f>
        <v/>
      </c>
      <c r="AL150">
        <f>IF(原始資料!AL150="","",IF(反向題設定!$C$41="是",反向題設定!$B$2+1-原始資料!AL150,原始資料!AL150))</f>
        <v/>
      </c>
      <c r="AM150">
        <f>IF(原始資料!AM150="","",IF(反向題設定!$C$42="是",反向題設定!$B$2+1-原始資料!AM150,原始資料!AM150))</f>
        <v/>
      </c>
      <c r="AN150">
        <f>IF(原始資料!AN150="","",IF(反向題設定!$C$43="是",反向題設定!$B$2+1-原始資料!AN150,原始資料!AN150))</f>
        <v/>
      </c>
      <c r="AO150">
        <f>IF(原始資料!AO150="","",IF(反向題設定!$C$44="是",反向題設定!$B$2+1-原始資料!AO150,原始資料!AO150))</f>
        <v/>
      </c>
      <c r="AP150">
        <f>IF(COUNT(B150:AO150)=0,"",SUM(B150:AO150))</f>
        <v/>
      </c>
      <c r="AQ150">
        <f>IF(AP150="","",IF(AP150&gt;=項目分析!$C$5,"高",IF(AP150&lt;=項目分析!$C$6,"低","")))</f>
        <v/>
      </c>
    </row>
    <row r="151">
      <c r="A151">
        <f>IF(原始資料!A151="","",原始資料!A151)</f>
        <v/>
      </c>
      <c r="B151">
        <f>IF(原始資料!B151="","",IF(反向題設定!$C$5="是",反向題設定!$B$2+1-原始資料!B151,原始資料!B151))</f>
        <v/>
      </c>
      <c r="C151">
        <f>IF(原始資料!C151="","",IF(反向題設定!$C$6="是",反向題設定!$B$2+1-原始資料!C151,原始資料!C151))</f>
        <v/>
      </c>
      <c r="D151">
        <f>IF(原始資料!D151="","",IF(反向題設定!$C$7="是",反向題設定!$B$2+1-原始資料!D151,原始資料!D151))</f>
        <v/>
      </c>
      <c r="E151">
        <f>IF(原始資料!E151="","",IF(反向題設定!$C$8="是",反向題設定!$B$2+1-原始資料!E151,原始資料!E151))</f>
        <v/>
      </c>
      <c r="F151">
        <f>IF(原始資料!F151="","",IF(反向題設定!$C$9="是",反向題設定!$B$2+1-原始資料!F151,原始資料!F151))</f>
        <v/>
      </c>
      <c r="G151">
        <f>IF(原始資料!G151="","",IF(反向題設定!$C$10="是",反向題設定!$B$2+1-原始資料!G151,原始資料!G151))</f>
        <v/>
      </c>
      <c r="H151">
        <f>IF(原始資料!H151="","",IF(反向題設定!$C$11="是",反向題設定!$B$2+1-原始資料!H151,原始資料!H151))</f>
        <v/>
      </c>
      <c r="I151">
        <f>IF(原始資料!I151="","",IF(反向題設定!$C$12="是",反向題設定!$B$2+1-原始資料!I151,原始資料!I151))</f>
        <v/>
      </c>
      <c r="J151">
        <f>IF(原始資料!J151="","",IF(反向題設定!$C$13="是",反向題設定!$B$2+1-原始資料!J151,原始資料!J151))</f>
        <v/>
      </c>
      <c r="K151">
        <f>IF(原始資料!K151="","",IF(反向題設定!$C$14="是",反向題設定!$B$2+1-原始資料!K151,原始資料!K151))</f>
        <v/>
      </c>
      <c r="L151">
        <f>IF(原始資料!L151="","",IF(反向題設定!$C$15="是",反向題設定!$B$2+1-原始資料!L151,原始資料!L151))</f>
        <v/>
      </c>
      <c r="M151">
        <f>IF(原始資料!M151="","",IF(反向題設定!$C$16="是",反向題設定!$B$2+1-原始資料!M151,原始資料!M151))</f>
        <v/>
      </c>
      <c r="N151">
        <f>IF(原始資料!N151="","",IF(反向題設定!$C$17="是",反向題設定!$B$2+1-原始資料!N151,原始資料!N151))</f>
        <v/>
      </c>
      <c r="O151">
        <f>IF(原始資料!O151="","",IF(反向題設定!$C$18="是",反向題設定!$B$2+1-原始資料!O151,原始資料!O151))</f>
        <v/>
      </c>
      <c r="P151">
        <f>IF(原始資料!P151="","",IF(反向題設定!$C$19="是",反向題設定!$B$2+1-原始資料!P151,原始資料!P151))</f>
        <v/>
      </c>
      <c r="Q151">
        <f>IF(原始資料!Q151="","",IF(反向題設定!$C$20="是",反向題設定!$B$2+1-原始資料!Q151,原始資料!Q151))</f>
        <v/>
      </c>
      <c r="R151">
        <f>IF(原始資料!R151="","",IF(反向題設定!$C$21="是",反向題設定!$B$2+1-原始資料!R151,原始資料!R151))</f>
        <v/>
      </c>
      <c r="S151">
        <f>IF(原始資料!S151="","",IF(反向題設定!$C$22="是",反向題設定!$B$2+1-原始資料!S151,原始資料!S151))</f>
        <v/>
      </c>
      <c r="T151">
        <f>IF(原始資料!T151="","",IF(反向題設定!$C$23="是",反向題設定!$B$2+1-原始資料!T151,原始資料!T151))</f>
        <v/>
      </c>
      <c r="U151">
        <f>IF(原始資料!U151="","",IF(反向題設定!$C$24="是",反向題設定!$B$2+1-原始資料!U151,原始資料!U151))</f>
        <v/>
      </c>
      <c r="V151">
        <f>IF(原始資料!V151="","",IF(反向題設定!$C$25="是",反向題設定!$B$2+1-原始資料!V151,原始資料!V151))</f>
        <v/>
      </c>
      <c r="W151">
        <f>IF(原始資料!W151="","",IF(反向題設定!$C$26="是",反向題設定!$B$2+1-原始資料!W151,原始資料!W151))</f>
        <v/>
      </c>
      <c r="X151">
        <f>IF(原始資料!X151="","",IF(反向題設定!$C$27="是",反向題設定!$B$2+1-原始資料!X151,原始資料!X151))</f>
        <v/>
      </c>
      <c r="Y151">
        <f>IF(原始資料!Y151="","",IF(反向題設定!$C$28="是",反向題設定!$B$2+1-原始資料!Y151,原始資料!Y151))</f>
        <v/>
      </c>
      <c r="Z151">
        <f>IF(原始資料!Z151="","",IF(反向題設定!$C$29="是",反向題設定!$B$2+1-原始資料!Z151,原始資料!Z151))</f>
        <v/>
      </c>
      <c r="AA151">
        <f>IF(原始資料!AA151="","",IF(反向題設定!$C$30="是",反向題設定!$B$2+1-原始資料!AA151,原始資料!AA151))</f>
        <v/>
      </c>
      <c r="AB151">
        <f>IF(原始資料!AB151="","",IF(反向題設定!$C$31="是",反向題設定!$B$2+1-原始資料!AB151,原始資料!AB151))</f>
        <v/>
      </c>
      <c r="AC151">
        <f>IF(原始資料!AC151="","",IF(反向題設定!$C$32="是",反向題設定!$B$2+1-原始資料!AC151,原始資料!AC151))</f>
        <v/>
      </c>
      <c r="AD151">
        <f>IF(原始資料!AD151="","",IF(反向題設定!$C$33="是",反向題設定!$B$2+1-原始資料!AD151,原始資料!AD151))</f>
        <v/>
      </c>
      <c r="AE151">
        <f>IF(原始資料!AE151="","",IF(反向題設定!$C$34="是",反向題設定!$B$2+1-原始資料!AE151,原始資料!AE151))</f>
        <v/>
      </c>
      <c r="AF151">
        <f>IF(原始資料!AF151="","",IF(反向題設定!$C$35="是",反向題設定!$B$2+1-原始資料!AF151,原始資料!AF151))</f>
        <v/>
      </c>
      <c r="AG151">
        <f>IF(原始資料!AG151="","",IF(反向題設定!$C$36="是",反向題設定!$B$2+1-原始資料!AG151,原始資料!AG151))</f>
        <v/>
      </c>
      <c r="AH151">
        <f>IF(原始資料!AH151="","",IF(反向題設定!$C$37="是",反向題設定!$B$2+1-原始資料!AH151,原始資料!AH151))</f>
        <v/>
      </c>
      <c r="AI151">
        <f>IF(原始資料!AI151="","",IF(反向題設定!$C$38="是",反向題設定!$B$2+1-原始資料!AI151,原始資料!AI151))</f>
        <v/>
      </c>
      <c r="AJ151">
        <f>IF(原始資料!AJ151="","",IF(反向題設定!$C$39="是",反向題設定!$B$2+1-原始資料!AJ151,原始資料!AJ151))</f>
        <v/>
      </c>
      <c r="AK151">
        <f>IF(原始資料!AK151="","",IF(反向題設定!$C$40="是",反向題設定!$B$2+1-原始資料!AK151,原始資料!AK151))</f>
        <v/>
      </c>
      <c r="AL151">
        <f>IF(原始資料!AL151="","",IF(反向題設定!$C$41="是",反向題設定!$B$2+1-原始資料!AL151,原始資料!AL151))</f>
        <v/>
      </c>
      <c r="AM151">
        <f>IF(原始資料!AM151="","",IF(反向題設定!$C$42="是",反向題設定!$B$2+1-原始資料!AM151,原始資料!AM151))</f>
        <v/>
      </c>
      <c r="AN151">
        <f>IF(原始資料!AN151="","",IF(反向題設定!$C$43="是",反向題設定!$B$2+1-原始資料!AN151,原始資料!AN151))</f>
        <v/>
      </c>
      <c r="AO151">
        <f>IF(原始資料!AO151="","",IF(反向題設定!$C$44="是",反向題設定!$B$2+1-原始資料!AO151,原始資料!AO151))</f>
        <v/>
      </c>
      <c r="AP151">
        <f>IF(COUNT(B151:AO151)=0,"",SUM(B151:AO151))</f>
        <v/>
      </c>
      <c r="AQ151">
        <f>IF(AP151="","",IF(AP151&gt;=項目分析!$C$5,"高",IF(AP151&lt;=項目分析!$C$6,"低","")))</f>
        <v/>
      </c>
    </row>
    <row r="152">
      <c r="A152">
        <f>IF(原始資料!A152="","",原始資料!A152)</f>
        <v/>
      </c>
      <c r="B152">
        <f>IF(原始資料!B152="","",IF(反向題設定!$C$5="是",反向題設定!$B$2+1-原始資料!B152,原始資料!B152))</f>
        <v/>
      </c>
      <c r="C152">
        <f>IF(原始資料!C152="","",IF(反向題設定!$C$6="是",反向題設定!$B$2+1-原始資料!C152,原始資料!C152))</f>
        <v/>
      </c>
      <c r="D152">
        <f>IF(原始資料!D152="","",IF(反向題設定!$C$7="是",反向題設定!$B$2+1-原始資料!D152,原始資料!D152))</f>
        <v/>
      </c>
      <c r="E152">
        <f>IF(原始資料!E152="","",IF(反向題設定!$C$8="是",反向題設定!$B$2+1-原始資料!E152,原始資料!E152))</f>
        <v/>
      </c>
      <c r="F152">
        <f>IF(原始資料!F152="","",IF(反向題設定!$C$9="是",反向題設定!$B$2+1-原始資料!F152,原始資料!F152))</f>
        <v/>
      </c>
      <c r="G152">
        <f>IF(原始資料!G152="","",IF(反向題設定!$C$10="是",反向題設定!$B$2+1-原始資料!G152,原始資料!G152))</f>
        <v/>
      </c>
      <c r="H152">
        <f>IF(原始資料!H152="","",IF(反向題設定!$C$11="是",反向題設定!$B$2+1-原始資料!H152,原始資料!H152))</f>
        <v/>
      </c>
      <c r="I152">
        <f>IF(原始資料!I152="","",IF(反向題設定!$C$12="是",反向題設定!$B$2+1-原始資料!I152,原始資料!I152))</f>
        <v/>
      </c>
      <c r="J152">
        <f>IF(原始資料!J152="","",IF(反向題設定!$C$13="是",反向題設定!$B$2+1-原始資料!J152,原始資料!J152))</f>
        <v/>
      </c>
      <c r="K152">
        <f>IF(原始資料!K152="","",IF(反向題設定!$C$14="是",反向題設定!$B$2+1-原始資料!K152,原始資料!K152))</f>
        <v/>
      </c>
      <c r="L152">
        <f>IF(原始資料!L152="","",IF(反向題設定!$C$15="是",反向題設定!$B$2+1-原始資料!L152,原始資料!L152))</f>
        <v/>
      </c>
      <c r="M152">
        <f>IF(原始資料!M152="","",IF(反向題設定!$C$16="是",反向題設定!$B$2+1-原始資料!M152,原始資料!M152))</f>
        <v/>
      </c>
      <c r="N152">
        <f>IF(原始資料!N152="","",IF(反向題設定!$C$17="是",反向題設定!$B$2+1-原始資料!N152,原始資料!N152))</f>
        <v/>
      </c>
      <c r="O152">
        <f>IF(原始資料!O152="","",IF(反向題設定!$C$18="是",反向題設定!$B$2+1-原始資料!O152,原始資料!O152))</f>
        <v/>
      </c>
      <c r="P152">
        <f>IF(原始資料!P152="","",IF(反向題設定!$C$19="是",反向題設定!$B$2+1-原始資料!P152,原始資料!P152))</f>
        <v/>
      </c>
      <c r="Q152">
        <f>IF(原始資料!Q152="","",IF(反向題設定!$C$20="是",反向題設定!$B$2+1-原始資料!Q152,原始資料!Q152))</f>
        <v/>
      </c>
      <c r="R152">
        <f>IF(原始資料!R152="","",IF(反向題設定!$C$21="是",反向題設定!$B$2+1-原始資料!R152,原始資料!R152))</f>
        <v/>
      </c>
      <c r="S152">
        <f>IF(原始資料!S152="","",IF(反向題設定!$C$22="是",反向題設定!$B$2+1-原始資料!S152,原始資料!S152))</f>
        <v/>
      </c>
      <c r="T152">
        <f>IF(原始資料!T152="","",IF(反向題設定!$C$23="是",反向題設定!$B$2+1-原始資料!T152,原始資料!T152))</f>
        <v/>
      </c>
      <c r="U152">
        <f>IF(原始資料!U152="","",IF(反向題設定!$C$24="是",反向題設定!$B$2+1-原始資料!U152,原始資料!U152))</f>
        <v/>
      </c>
      <c r="V152">
        <f>IF(原始資料!V152="","",IF(反向題設定!$C$25="是",反向題設定!$B$2+1-原始資料!V152,原始資料!V152))</f>
        <v/>
      </c>
      <c r="W152">
        <f>IF(原始資料!W152="","",IF(反向題設定!$C$26="是",反向題設定!$B$2+1-原始資料!W152,原始資料!W152))</f>
        <v/>
      </c>
      <c r="X152">
        <f>IF(原始資料!X152="","",IF(反向題設定!$C$27="是",反向題設定!$B$2+1-原始資料!X152,原始資料!X152))</f>
        <v/>
      </c>
      <c r="Y152">
        <f>IF(原始資料!Y152="","",IF(反向題設定!$C$28="是",反向題設定!$B$2+1-原始資料!Y152,原始資料!Y152))</f>
        <v/>
      </c>
      <c r="Z152">
        <f>IF(原始資料!Z152="","",IF(反向題設定!$C$29="是",反向題設定!$B$2+1-原始資料!Z152,原始資料!Z152))</f>
        <v/>
      </c>
      <c r="AA152">
        <f>IF(原始資料!AA152="","",IF(反向題設定!$C$30="是",反向題設定!$B$2+1-原始資料!AA152,原始資料!AA152))</f>
        <v/>
      </c>
      <c r="AB152">
        <f>IF(原始資料!AB152="","",IF(反向題設定!$C$31="是",反向題設定!$B$2+1-原始資料!AB152,原始資料!AB152))</f>
        <v/>
      </c>
      <c r="AC152">
        <f>IF(原始資料!AC152="","",IF(反向題設定!$C$32="是",反向題設定!$B$2+1-原始資料!AC152,原始資料!AC152))</f>
        <v/>
      </c>
      <c r="AD152">
        <f>IF(原始資料!AD152="","",IF(反向題設定!$C$33="是",反向題設定!$B$2+1-原始資料!AD152,原始資料!AD152))</f>
        <v/>
      </c>
      <c r="AE152">
        <f>IF(原始資料!AE152="","",IF(反向題設定!$C$34="是",反向題設定!$B$2+1-原始資料!AE152,原始資料!AE152))</f>
        <v/>
      </c>
      <c r="AF152">
        <f>IF(原始資料!AF152="","",IF(反向題設定!$C$35="是",反向題設定!$B$2+1-原始資料!AF152,原始資料!AF152))</f>
        <v/>
      </c>
      <c r="AG152">
        <f>IF(原始資料!AG152="","",IF(反向題設定!$C$36="是",反向題設定!$B$2+1-原始資料!AG152,原始資料!AG152))</f>
        <v/>
      </c>
      <c r="AH152">
        <f>IF(原始資料!AH152="","",IF(反向題設定!$C$37="是",反向題設定!$B$2+1-原始資料!AH152,原始資料!AH152))</f>
        <v/>
      </c>
      <c r="AI152">
        <f>IF(原始資料!AI152="","",IF(反向題設定!$C$38="是",反向題設定!$B$2+1-原始資料!AI152,原始資料!AI152))</f>
        <v/>
      </c>
      <c r="AJ152">
        <f>IF(原始資料!AJ152="","",IF(反向題設定!$C$39="是",反向題設定!$B$2+1-原始資料!AJ152,原始資料!AJ152))</f>
        <v/>
      </c>
      <c r="AK152">
        <f>IF(原始資料!AK152="","",IF(反向題設定!$C$40="是",反向題設定!$B$2+1-原始資料!AK152,原始資料!AK152))</f>
        <v/>
      </c>
      <c r="AL152">
        <f>IF(原始資料!AL152="","",IF(反向題設定!$C$41="是",反向題設定!$B$2+1-原始資料!AL152,原始資料!AL152))</f>
        <v/>
      </c>
      <c r="AM152">
        <f>IF(原始資料!AM152="","",IF(反向題設定!$C$42="是",反向題設定!$B$2+1-原始資料!AM152,原始資料!AM152))</f>
        <v/>
      </c>
      <c r="AN152">
        <f>IF(原始資料!AN152="","",IF(反向題設定!$C$43="是",反向題設定!$B$2+1-原始資料!AN152,原始資料!AN152))</f>
        <v/>
      </c>
      <c r="AO152">
        <f>IF(原始資料!AO152="","",IF(反向題設定!$C$44="是",反向題設定!$B$2+1-原始資料!AO152,原始資料!AO152))</f>
        <v/>
      </c>
      <c r="AP152">
        <f>IF(COUNT(B152:AO152)=0,"",SUM(B152:AO152))</f>
        <v/>
      </c>
      <c r="AQ152">
        <f>IF(AP152="","",IF(AP152&gt;=項目分析!$C$5,"高",IF(AP152&lt;=項目分析!$C$6,"低","")))</f>
        <v/>
      </c>
    </row>
    <row r="153">
      <c r="A153">
        <f>IF(原始資料!A153="","",原始資料!A153)</f>
        <v/>
      </c>
      <c r="B153">
        <f>IF(原始資料!B153="","",IF(反向題設定!$C$5="是",反向題設定!$B$2+1-原始資料!B153,原始資料!B153))</f>
        <v/>
      </c>
      <c r="C153">
        <f>IF(原始資料!C153="","",IF(反向題設定!$C$6="是",反向題設定!$B$2+1-原始資料!C153,原始資料!C153))</f>
        <v/>
      </c>
      <c r="D153">
        <f>IF(原始資料!D153="","",IF(反向題設定!$C$7="是",反向題設定!$B$2+1-原始資料!D153,原始資料!D153))</f>
        <v/>
      </c>
      <c r="E153">
        <f>IF(原始資料!E153="","",IF(反向題設定!$C$8="是",反向題設定!$B$2+1-原始資料!E153,原始資料!E153))</f>
        <v/>
      </c>
      <c r="F153">
        <f>IF(原始資料!F153="","",IF(反向題設定!$C$9="是",反向題設定!$B$2+1-原始資料!F153,原始資料!F153))</f>
        <v/>
      </c>
      <c r="G153">
        <f>IF(原始資料!G153="","",IF(反向題設定!$C$10="是",反向題設定!$B$2+1-原始資料!G153,原始資料!G153))</f>
        <v/>
      </c>
      <c r="H153">
        <f>IF(原始資料!H153="","",IF(反向題設定!$C$11="是",反向題設定!$B$2+1-原始資料!H153,原始資料!H153))</f>
        <v/>
      </c>
      <c r="I153">
        <f>IF(原始資料!I153="","",IF(反向題設定!$C$12="是",反向題設定!$B$2+1-原始資料!I153,原始資料!I153))</f>
        <v/>
      </c>
      <c r="J153">
        <f>IF(原始資料!J153="","",IF(反向題設定!$C$13="是",反向題設定!$B$2+1-原始資料!J153,原始資料!J153))</f>
        <v/>
      </c>
      <c r="K153">
        <f>IF(原始資料!K153="","",IF(反向題設定!$C$14="是",反向題設定!$B$2+1-原始資料!K153,原始資料!K153))</f>
        <v/>
      </c>
      <c r="L153">
        <f>IF(原始資料!L153="","",IF(反向題設定!$C$15="是",反向題設定!$B$2+1-原始資料!L153,原始資料!L153))</f>
        <v/>
      </c>
      <c r="M153">
        <f>IF(原始資料!M153="","",IF(反向題設定!$C$16="是",反向題設定!$B$2+1-原始資料!M153,原始資料!M153))</f>
        <v/>
      </c>
      <c r="N153">
        <f>IF(原始資料!N153="","",IF(反向題設定!$C$17="是",反向題設定!$B$2+1-原始資料!N153,原始資料!N153))</f>
        <v/>
      </c>
      <c r="O153">
        <f>IF(原始資料!O153="","",IF(反向題設定!$C$18="是",反向題設定!$B$2+1-原始資料!O153,原始資料!O153))</f>
        <v/>
      </c>
      <c r="P153">
        <f>IF(原始資料!P153="","",IF(反向題設定!$C$19="是",反向題設定!$B$2+1-原始資料!P153,原始資料!P153))</f>
        <v/>
      </c>
      <c r="Q153">
        <f>IF(原始資料!Q153="","",IF(反向題設定!$C$20="是",反向題設定!$B$2+1-原始資料!Q153,原始資料!Q153))</f>
        <v/>
      </c>
      <c r="R153">
        <f>IF(原始資料!R153="","",IF(反向題設定!$C$21="是",反向題設定!$B$2+1-原始資料!R153,原始資料!R153))</f>
        <v/>
      </c>
      <c r="S153">
        <f>IF(原始資料!S153="","",IF(反向題設定!$C$22="是",反向題設定!$B$2+1-原始資料!S153,原始資料!S153))</f>
        <v/>
      </c>
      <c r="T153">
        <f>IF(原始資料!T153="","",IF(反向題設定!$C$23="是",反向題設定!$B$2+1-原始資料!T153,原始資料!T153))</f>
        <v/>
      </c>
      <c r="U153">
        <f>IF(原始資料!U153="","",IF(反向題設定!$C$24="是",反向題設定!$B$2+1-原始資料!U153,原始資料!U153))</f>
        <v/>
      </c>
      <c r="V153">
        <f>IF(原始資料!V153="","",IF(反向題設定!$C$25="是",反向題設定!$B$2+1-原始資料!V153,原始資料!V153))</f>
        <v/>
      </c>
      <c r="W153">
        <f>IF(原始資料!W153="","",IF(反向題設定!$C$26="是",反向題設定!$B$2+1-原始資料!W153,原始資料!W153))</f>
        <v/>
      </c>
      <c r="X153">
        <f>IF(原始資料!X153="","",IF(反向題設定!$C$27="是",反向題設定!$B$2+1-原始資料!X153,原始資料!X153))</f>
        <v/>
      </c>
      <c r="Y153">
        <f>IF(原始資料!Y153="","",IF(反向題設定!$C$28="是",反向題設定!$B$2+1-原始資料!Y153,原始資料!Y153))</f>
        <v/>
      </c>
      <c r="Z153">
        <f>IF(原始資料!Z153="","",IF(反向題設定!$C$29="是",反向題設定!$B$2+1-原始資料!Z153,原始資料!Z153))</f>
        <v/>
      </c>
      <c r="AA153">
        <f>IF(原始資料!AA153="","",IF(反向題設定!$C$30="是",反向題設定!$B$2+1-原始資料!AA153,原始資料!AA153))</f>
        <v/>
      </c>
      <c r="AB153">
        <f>IF(原始資料!AB153="","",IF(反向題設定!$C$31="是",反向題設定!$B$2+1-原始資料!AB153,原始資料!AB153))</f>
        <v/>
      </c>
      <c r="AC153">
        <f>IF(原始資料!AC153="","",IF(反向題設定!$C$32="是",反向題設定!$B$2+1-原始資料!AC153,原始資料!AC153))</f>
        <v/>
      </c>
      <c r="AD153">
        <f>IF(原始資料!AD153="","",IF(反向題設定!$C$33="是",反向題設定!$B$2+1-原始資料!AD153,原始資料!AD153))</f>
        <v/>
      </c>
      <c r="AE153">
        <f>IF(原始資料!AE153="","",IF(反向題設定!$C$34="是",反向題設定!$B$2+1-原始資料!AE153,原始資料!AE153))</f>
        <v/>
      </c>
      <c r="AF153">
        <f>IF(原始資料!AF153="","",IF(反向題設定!$C$35="是",反向題設定!$B$2+1-原始資料!AF153,原始資料!AF153))</f>
        <v/>
      </c>
      <c r="AG153">
        <f>IF(原始資料!AG153="","",IF(反向題設定!$C$36="是",反向題設定!$B$2+1-原始資料!AG153,原始資料!AG153))</f>
        <v/>
      </c>
      <c r="AH153">
        <f>IF(原始資料!AH153="","",IF(反向題設定!$C$37="是",反向題設定!$B$2+1-原始資料!AH153,原始資料!AH153))</f>
        <v/>
      </c>
      <c r="AI153">
        <f>IF(原始資料!AI153="","",IF(反向題設定!$C$38="是",反向題設定!$B$2+1-原始資料!AI153,原始資料!AI153))</f>
        <v/>
      </c>
      <c r="AJ153">
        <f>IF(原始資料!AJ153="","",IF(反向題設定!$C$39="是",反向題設定!$B$2+1-原始資料!AJ153,原始資料!AJ153))</f>
        <v/>
      </c>
      <c r="AK153">
        <f>IF(原始資料!AK153="","",IF(反向題設定!$C$40="是",反向題設定!$B$2+1-原始資料!AK153,原始資料!AK153))</f>
        <v/>
      </c>
      <c r="AL153">
        <f>IF(原始資料!AL153="","",IF(反向題設定!$C$41="是",反向題設定!$B$2+1-原始資料!AL153,原始資料!AL153))</f>
        <v/>
      </c>
      <c r="AM153">
        <f>IF(原始資料!AM153="","",IF(反向題設定!$C$42="是",反向題設定!$B$2+1-原始資料!AM153,原始資料!AM153))</f>
        <v/>
      </c>
      <c r="AN153">
        <f>IF(原始資料!AN153="","",IF(反向題設定!$C$43="是",反向題設定!$B$2+1-原始資料!AN153,原始資料!AN153))</f>
        <v/>
      </c>
      <c r="AO153">
        <f>IF(原始資料!AO153="","",IF(反向題設定!$C$44="是",反向題設定!$B$2+1-原始資料!AO153,原始資料!AO153))</f>
        <v/>
      </c>
      <c r="AP153">
        <f>IF(COUNT(B153:AO153)=0,"",SUM(B153:AO153))</f>
        <v/>
      </c>
      <c r="AQ153">
        <f>IF(AP153="","",IF(AP153&gt;=項目分析!$C$5,"高",IF(AP153&lt;=項目分析!$C$6,"低","")))</f>
        <v/>
      </c>
    </row>
    <row r="154">
      <c r="A154">
        <f>IF(原始資料!A154="","",原始資料!A154)</f>
        <v/>
      </c>
      <c r="B154">
        <f>IF(原始資料!B154="","",IF(反向題設定!$C$5="是",反向題設定!$B$2+1-原始資料!B154,原始資料!B154))</f>
        <v/>
      </c>
      <c r="C154">
        <f>IF(原始資料!C154="","",IF(反向題設定!$C$6="是",反向題設定!$B$2+1-原始資料!C154,原始資料!C154))</f>
        <v/>
      </c>
      <c r="D154">
        <f>IF(原始資料!D154="","",IF(反向題設定!$C$7="是",反向題設定!$B$2+1-原始資料!D154,原始資料!D154))</f>
        <v/>
      </c>
      <c r="E154">
        <f>IF(原始資料!E154="","",IF(反向題設定!$C$8="是",反向題設定!$B$2+1-原始資料!E154,原始資料!E154))</f>
        <v/>
      </c>
      <c r="F154">
        <f>IF(原始資料!F154="","",IF(反向題設定!$C$9="是",反向題設定!$B$2+1-原始資料!F154,原始資料!F154))</f>
        <v/>
      </c>
      <c r="G154">
        <f>IF(原始資料!G154="","",IF(反向題設定!$C$10="是",反向題設定!$B$2+1-原始資料!G154,原始資料!G154))</f>
        <v/>
      </c>
      <c r="H154">
        <f>IF(原始資料!H154="","",IF(反向題設定!$C$11="是",反向題設定!$B$2+1-原始資料!H154,原始資料!H154))</f>
        <v/>
      </c>
      <c r="I154">
        <f>IF(原始資料!I154="","",IF(反向題設定!$C$12="是",反向題設定!$B$2+1-原始資料!I154,原始資料!I154))</f>
        <v/>
      </c>
      <c r="J154">
        <f>IF(原始資料!J154="","",IF(反向題設定!$C$13="是",反向題設定!$B$2+1-原始資料!J154,原始資料!J154))</f>
        <v/>
      </c>
      <c r="K154">
        <f>IF(原始資料!K154="","",IF(反向題設定!$C$14="是",反向題設定!$B$2+1-原始資料!K154,原始資料!K154))</f>
        <v/>
      </c>
      <c r="L154">
        <f>IF(原始資料!L154="","",IF(反向題設定!$C$15="是",反向題設定!$B$2+1-原始資料!L154,原始資料!L154))</f>
        <v/>
      </c>
      <c r="M154">
        <f>IF(原始資料!M154="","",IF(反向題設定!$C$16="是",反向題設定!$B$2+1-原始資料!M154,原始資料!M154))</f>
        <v/>
      </c>
      <c r="N154">
        <f>IF(原始資料!N154="","",IF(反向題設定!$C$17="是",反向題設定!$B$2+1-原始資料!N154,原始資料!N154))</f>
        <v/>
      </c>
      <c r="O154">
        <f>IF(原始資料!O154="","",IF(反向題設定!$C$18="是",反向題設定!$B$2+1-原始資料!O154,原始資料!O154))</f>
        <v/>
      </c>
      <c r="P154">
        <f>IF(原始資料!P154="","",IF(反向題設定!$C$19="是",反向題設定!$B$2+1-原始資料!P154,原始資料!P154))</f>
        <v/>
      </c>
      <c r="Q154">
        <f>IF(原始資料!Q154="","",IF(反向題設定!$C$20="是",反向題設定!$B$2+1-原始資料!Q154,原始資料!Q154))</f>
        <v/>
      </c>
      <c r="R154">
        <f>IF(原始資料!R154="","",IF(反向題設定!$C$21="是",反向題設定!$B$2+1-原始資料!R154,原始資料!R154))</f>
        <v/>
      </c>
      <c r="S154">
        <f>IF(原始資料!S154="","",IF(反向題設定!$C$22="是",反向題設定!$B$2+1-原始資料!S154,原始資料!S154))</f>
        <v/>
      </c>
      <c r="T154">
        <f>IF(原始資料!T154="","",IF(反向題設定!$C$23="是",反向題設定!$B$2+1-原始資料!T154,原始資料!T154))</f>
        <v/>
      </c>
      <c r="U154">
        <f>IF(原始資料!U154="","",IF(反向題設定!$C$24="是",反向題設定!$B$2+1-原始資料!U154,原始資料!U154))</f>
        <v/>
      </c>
      <c r="V154">
        <f>IF(原始資料!V154="","",IF(反向題設定!$C$25="是",反向題設定!$B$2+1-原始資料!V154,原始資料!V154))</f>
        <v/>
      </c>
      <c r="W154">
        <f>IF(原始資料!W154="","",IF(反向題設定!$C$26="是",反向題設定!$B$2+1-原始資料!W154,原始資料!W154))</f>
        <v/>
      </c>
      <c r="X154">
        <f>IF(原始資料!X154="","",IF(反向題設定!$C$27="是",反向題設定!$B$2+1-原始資料!X154,原始資料!X154))</f>
        <v/>
      </c>
      <c r="Y154">
        <f>IF(原始資料!Y154="","",IF(反向題設定!$C$28="是",反向題設定!$B$2+1-原始資料!Y154,原始資料!Y154))</f>
        <v/>
      </c>
      <c r="Z154">
        <f>IF(原始資料!Z154="","",IF(反向題設定!$C$29="是",反向題設定!$B$2+1-原始資料!Z154,原始資料!Z154))</f>
        <v/>
      </c>
      <c r="AA154">
        <f>IF(原始資料!AA154="","",IF(反向題設定!$C$30="是",反向題設定!$B$2+1-原始資料!AA154,原始資料!AA154))</f>
        <v/>
      </c>
      <c r="AB154">
        <f>IF(原始資料!AB154="","",IF(反向題設定!$C$31="是",反向題設定!$B$2+1-原始資料!AB154,原始資料!AB154))</f>
        <v/>
      </c>
      <c r="AC154">
        <f>IF(原始資料!AC154="","",IF(反向題設定!$C$32="是",反向題設定!$B$2+1-原始資料!AC154,原始資料!AC154))</f>
        <v/>
      </c>
      <c r="AD154">
        <f>IF(原始資料!AD154="","",IF(反向題設定!$C$33="是",反向題設定!$B$2+1-原始資料!AD154,原始資料!AD154))</f>
        <v/>
      </c>
      <c r="AE154">
        <f>IF(原始資料!AE154="","",IF(反向題設定!$C$34="是",反向題設定!$B$2+1-原始資料!AE154,原始資料!AE154))</f>
        <v/>
      </c>
      <c r="AF154">
        <f>IF(原始資料!AF154="","",IF(反向題設定!$C$35="是",反向題設定!$B$2+1-原始資料!AF154,原始資料!AF154))</f>
        <v/>
      </c>
      <c r="AG154">
        <f>IF(原始資料!AG154="","",IF(反向題設定!$C$36="是",反向題設定!$B$2+1-原始資料!AG154,原始資料!AG154))</f>
        <v/>
      </c>
      <c r="AH154">
        <f>IF(原始資料!AH154="","",IF(反向題設定!$C$37="是",反向題設定!$B$2+1-原始資料!AH154,原始資料!AH154))</f>
        <v/>
      </c>
      <c r="AI154">
        <f>IF(原始資料!AI154="","",IF(反向題設定!$C$38="是",反向題設定!$B$2+1-原始資料!AI154,原始資料!AI154))</f>
        <v/>
      </c>
      <c r="AJ154">
        <f>IF(原始資料!AJ154="","",IF(反向題設定!$C$39="是",反向題設定!$B$2+1-原始資料!AJ154,原始資料!AJ154))</f>
        <v/>
      </c>
      <c r="AK154">
        <f>IF(原始資料!AK154="","",IF(反向題設定!$C$40="是",反向題設定!$B$2+1-原始資料!AK154,原始資料!AK154))</f>
        <v/>
      </c>
      <c r="AL154">
        <f>IF(原始資料!AL154="","",IF(反向題設定!$C$41="是",反向題設定!$B$2+1-原始資料!AL154,原始資料!AL154))</f>
        <v/>
      </c>
      <c r="AM154">
        <f>IF(原始資料!AM154="","",IF(反向題設定!$C$42="是",反向題設定!$B$2+1-原始資料!AM154,原始資料!AM154))</f>
        <v/>
      </c>
      <c r="AN154">
        <f>IF(原始資料!AN154="","",IF(反向題設定!$C$43="是",反向題設定!$B$2+1-原始資料!AN154,原始資料!AN154))</f>
        <v/>
      </c>
      <c r="AO154">
        <f>IF(原始資料!AO154="","",IF(反向題設定!$C$44="是",反向題設定!$B$2+1-原始資料!AO154,原始資料!AO154))</f>
        <v/>
      </c>
      <c r="AP154">
        <f>IF(COUNT(B154:AO154)=0,"",SUM(B154:AO154))</f>
        <v/>
      </c>
      <c r="AQ154">
        <f>IF(AP154="","",IF(AP154&gt;=項目分析!$C$5,"高",IF(AP154&lt;=項目分析!$C$6,"低","")))</f>
        <v/>
      </c>
    </row>
    <row r="155">
      <c r="A155">
        <f>IF(原始資料!A155="","",原始資料!A155)</f>
        <v/>
      </c>
      <c r="B155">
        <f>IF(原始資料!B155="","",IF(反向題設定!$C$5="是",反向題設定!$B$2+1-原始資料!B155,原始資料!B155))</f>
        <v/>
      </c>
      <c r="C155">
        <f>IF(原始資料!C155="","",IF(反向題設定!$C$6="是",反向題設定!$B$2+1-原始資料!C155,原始資料!C155))</f>
        <v/>
      </c>
      <c r="D155">
        <f>IF(原始資料!D155="","",IF(反向題設定!$C$7="是",反向題設定!$B$2+1-原始資料!D155,原始資料!D155))</f>
        <v/>
      </c>
      <c r="E155">
        <f>IF(原始資料!E155="","",IF(反向題設定!$C$8="是",反向題設定!$B$2+1-原始資料!E155,原始資料!E155))</f>
        <v/>
      </c>
      <c r="F155">
        <f>IF(原始資料!F155="","",IF(反向題設定!$C$9="是",反向題設定!$B$2+1-原始資料!F155,原始資料!F155))</f>
        <v/>
      </c>
      <c r="G155">
        <f>IF(原始資料!G155="","",IF(反向題設定!$C$10="是",反向題設定!$B$2+1-原始資料!G155,原始資料!G155))</f>
        <v/>
      </c>
      <c r="H155">
        <f>IF(原始資料!H155="","",IF(反向題設定!$C$11="是",反向題設定!$B$2+1-原始資料!H155,原始資料!H155))</f>
        <v/>
      </c>
      <c r="I155">
        <f>IF(原始資料!I155="","",IF(反向題設定!$C$12="是",反向題設定!$B$2+1-原始資料!I155,原始資料!I155))</f>
        <v/>
      </c>
      <c r="J155">
        <f>IF(原始資料!J155="","",IF(反向題設定!$C$13="是",反向題設定!$B$2+1-原始資料!J155,原始資料!J155))</f>
        <v/>
      </c>
      <c r="K155">
        <f>IF(原始資料!K155="","",IF(反向題設定!$C$14="是",反向題設定!$B$2+1-原始資料!K155,原始資料!K155))</f>
        <v/>
      </c>
      <c r="L155">
        <f>IF(原始資料!L155="","",IF(反向題設定!$C$15="是",反向題設定!$B$2+1-原始資料!L155,原始資料!L155))</f>
        <v/>
      </c>
      <c r="M155">
        <f>IF(原始資料!M155="","",IF(反向題設定!$C$16="是",反向題設定!$B$2+1-原始資料!M155,原始資料!M155))</f>
        <v/>
      </c>
      <c r="N155">
        <f>IF(原始資料!N155="","",IF(反向題設定!$C$17="是",反向題設定!$B$2+1-原始資料!N155,原始資料!N155))</f>
        <v/>
      </c>
      <c r="O155">
        <f>IF(原始資料!O155="","",IF(反向題設定!$C$18="是",反向題設定!$B$2+1-原始資料!O155,原始資料!O155))</f>
        <v/>
      </c>
      <c r="P155">
        <f>IF(原始資料!P155="","",IF(反向題設定!$C$19="是",反向題設定!$B$2+1-原始資料!P155,原始資料!P155))</f>
        <v/>
      </c>
      <c r="Q155">
        <f>IF(原始資料!Q155="","",IF(反向題設定!$C$20="是",反向題設定!$B$2+1-原始資料!Q155,原始資料!Q155))</f>
        <v/>
      </c>
      <c r="R155">
        <f>IF(原始資料!R155="","",IF(反向題設定!$C$21="是",反向題設定!$B$2+1-原始資料!R155,原始資料!R155))</f>
        <v/>
      </c>
      <c r="S155">
        <f>IF(原始資料!S155="","",IF(反向題設定!$C$22="是",反向題設定!$B$2+1-原始資料!S155,原始資料!S155))</f>
        <v/>
      </c>
      <c r="T155">
        <f>IF(原始資料!T155="","",IF(反向題設定!$C$23="是",反向題設定!$B$2+1-原始資料!T155,原始資料!T155))</f>
        <v/>
      </c>
      <c r="U155">
        <f>IF(原始資料!U155="","",IF(反向題設定!$C$24="是",反向題設定!$B$2+1-原始資料!U155,原始資料!U155))</f>
        <v/>
      </c>
      <c r="V155">
        <f>IF(原始資料!V155="","",IF(反向題設定!$C$25="是",反向題設定!$B$2+1-原始資料!V155,原始資料!V155))</f>
        <v/>
      </c>
      <c r="W155">
        <f>IF(原始資料!W155="","",IF(反向題設定!$C$26="是",反向題設定!$B$2+1-原始資料!W155,原始資料!W155))</f>
        <v/>
      </c>
      <c r="X155">
        <f>IF(原始資料!X155="","",IF(反向題設定!$C$27="是",反向題設定!$B$2+1-原始資料!X155,原始資料!X155))</f>
        <v/>
      </c>
      <c r="Y155">
        <f>IF(原始資料!Y155="","",IF(反向題設定!$C$28="是",反向題設定!$B$2+1-原始資料!Y155,原始資料!Y155))</f>
        <v/>
      </c>
      <c r="Z155">
        <f>IF(原始資料!Z155="","",IF(反向題設定!$C$29="是",反向題設定!$B$2+1-原始資料!Z155,原始資料!Z155))</f>
        <v/>
      </c>
      <c r="AA155">
        <f>IF(原始資料!AA155="","",IF(反向題設定!$C$30="是",反向題設定!$B$2+1-原始資料!AA155,原始資料!AA155))</f>
        <v/>
      </c>
      <c r="AB155">
        <f>IF(原始資料!AB155="","",IF(反向題設定!$C$31="是",反向題設定!$B$2+1-原始資料!AB155,原始資料!AB155))</f>
        <v/>
      </c>
      <c r="AC155">
        <f>IF(原始資料!AC155="","",IF(反向題設定!$C$32="是",反向題設定!$B$2+1-原始資料!AC155,原始資料!AC155))</f>
        <v/>
      </c>
      <c r="AD155">
        <f>IF(原始資料!AD155="","",IF(反向題設定!$C$33="是",反向題設定!$B$2+1-原始資料!AD155,原始資料!AD155))</f>
        <v/>
      </c>
      <c r="AE155">
        <f>IF(原始資料!AE155="","",IF(反向題設定!$C$34="是",反向題設定!$B$2+1-原始資料!AE155,原始資料!AE155))</f>
        <v/>
      </c>
      <c r="AF155">
        <f>IF(原始資料!AF155="","",IF(反向題設定!$C$35="是",反向題設定!$B$2+1-原始資料!AF155,原始資料!AF155))</f>
        <v/>
      </c>
      <c r="AG155">
        <f>IF(原始資料!AG155="","",IF(反向題設定!$C$36="是",反向題設定!$B$2+1-原始資料!AG155,原始資料!AG155))</f>
        <v/>
      </c>
      <c r="AH155">
        <f>IF(原始資料!AH155="","",IF(反向題設定!$C$37="是",反向題設定!$B$2+1-原始資料!AH155,原始資料!AH155))</f>
        <v/>
      </c>
      <c r="AI155">
        <f>IF(原始資料!AI155="","",IF(反向題設定!$C$38="是",反向題設定!$B$2+1-原始資料!AI155,原始資料!AI155))</f>
        <v/>
      </c>
      <c r="AJ155">
        <f>IF(原始資料!AJ155="","",IF(反向題設定!$C$39="是",反向題設定!$B$2+1-原始資料!AJ155,原始資料!AJ155))</f>
        <v/>
      </c>
      <c r="AK155">
        <f>IF(原始資料!AK155="","",IF(反向題設定!$C$40="是",反向題設定!$B$2+1-原始資料!AK155,原始資料!AK155))</f>
        <v/>
      </c>
      <c r="AL155">
        <f>IF(原始資料!AL155="","",IF(反向題設定!$C$41="是",反向題設定!$B$2+1-原始資料!AL155,原始資料!AL155))</f>
        <v/>
      </c>
      <c r="AM155">
        <f>IF(原始資料!AM155="","",IF(反向題設定!$C$42="是",反向題設定!$B$2+1-原始資料!AM155,原始資料!AM155))</f>
        <v/>
      </c>
      <c r="AN155">
        <f>IF(原始資料!AN155="","",IF(反向題設定!$C$43="是",反向題設定!$B$2+1-原始資料!AN155,原始資料!AN155))</f>
        <v/>
      </c>
      <c r="AO155">
        <f>IF(原始資料!AO155="","",IF(反向題設定!$C$44="是",反向題設定!$B$2+1-原始資料!AO155,原始資料!AO155))</f>
        <v/>
      </c>
      <c r="AP155">
        <f>IF(COUNT(B155:AO155)=0,"",SUM(B155:AO155))</f>
        <v/>
      </c>
      <c r="AQ155">
        <f>IF(AP155="","",IF(AP155&gt;=項目分析!$C$5,"高",IF(AP155&lt;=項目分析!$C$6,"低","")))</f>
        <v/>
      </c>
    </row>
    <row r="156">
      <c r="A156">
        <f>IF(原始資料!A156="","",原始資料!A156)</f>
        <v/>
      </c>
      <c r="B156">
        <f>IF(原始資料!B156="","",IF(反向題設定!$C$5="是",反向題設定!$B$2+1-原始資料!B156,原始資料!B156))</f>
        <v/>
      </c>
      <c r="C156">
        <f>IF(原始資料!C156="","",IF(反向題設定!$C$6="是",反向題設定!$B$2+1-原始資料!C156,原始資料!C156))</f>
        <v/>
      </c>
      <c r="D156">
        <f>IF(原始資料!D156="","",IF(反向題設定!$C$7="是",反向題設定!$B$2+1-原始資料!D156,原始資料!D156))</f>
        <v/>
      </c>
      <c r="E156">
        <f>IF(原始資料!E156="","",IF(反向題設定!$C$8="是",反向題設定!$B$2+1-原始資料!E156,原始資料!E156))</f>
        <v/>
      </c>
      <c r="F156">
        <f>IF(原始資料!F156="","",IF(反向題設定!$C$9="是",反向題設定!$B$2+1-原始資料!F156,原始資料!F156))</f>
        <v/>
      </c>
      <c r="G156">
        <f>IF(原始資料!G156="","",IF(反向題設定!$C$10="是",反向題設定!$B$2+1-原始資料!G156,原始資料!G156))</f>
        <v/>
      </c>
      <c r="H156">
        <f>IF(原始資料!H156="","",IF(反向題設定!$C$11="是",反向題設定!$B$2+1-原始資料!H156,原始資料!H156))</f>
        <v/>
      </c>
      <c r="I156">
        <f>IF(原始資料!I156="","",IF(反向題設定!$C$12="是",反向題設定!$B$2+1-原始資料!I156,原始資料!I156))</f>
        <v/>
      </c>
      <c r="J156">
        <f>IF(原始資料!J156="","",IF(反向題設定!$C$13="是",反向題設定!$B$2+1-原始資料!J156,原始資料!J156))</f>
        <v/>
      </c>
      <c r="K156">
        <f>IF(原始資料!K156="","",IF(反向題設定!$C$14="是",反向題設定!$B$2+1-原始資料!K156,原始資料!K156))</f>
        <v/>
      </c>
      <c r="L156">
        <f>IF(原始資料!L156="","",IF(反向題設定!$C$15="是",反向題設定!$B$2+1-原始資料!L156,原始資料!L156))</f>
        <v/>
      </c>
      <c r="M156">
        <f>IF(原始資料!M156="","",IF(反向題設定!$C$16="是",反向題設定!$B$2+1-原始資料!M156,原始資料!M156))</f>
        <v/>
      </c>
      <c r="N156">
        <f>IF(原始資料!N156="","",IF(反向題設定!$C$17="是",反向題設定!$B$2+1-原始資料!N156,原始資料!N156))</f>
        <v/>
      </c>
      <c r="O156">
        <f>IF(原始資料!O156="","",IF(反向題設定!$C$18="是",反向題設定!$B$2+1-原始資料!O156,原始資料!O156))</f>
        <v/>
      </c>
      <c r="P156">
        <f>IF(原始資料!P156="","",IF(反向題設定!$C$19="是",反向題設定!$B$2+1-原始資料!P156,原始資料!P156))</f>
        <v/>
      </c>
      <c r="Q156">
        <f>IF(原始資料!Q156="","",IF(反向題設定!$C$20="是",反向題設定!$B$2+1-原始資料!Q156,原始資料!Q156))</f>
        <v/>
      </c>
      <c r="R156">
        <f>IF(原始資料!R156="","",IF(反向題設定!$C$21="是",反向題設定!$B$2+1-原始資料!R156,原始資料!R156))</f>
        <v/>
      </c>
      <c r="S156">
        <f>IF(原始資料!S156="","",IF(反向題設定!$C$22="是",反向題設定!$B$2+1-原始資料!S156,原始資料!S156))</f>
        <v/>
      </c>
      <c r="T156">
        <f>IF(原始資料!T156="","",IF(反向題設定!$C$23="是",反向題設定!$B$2+1-原始資料!T156,原始資料!T156))</f>
        <v/>
      </c>
      <c r="U156">
        <f>IF(原始資料!U156="","",IF(反向題設定!$C$24="是",反向題設定!$B$2+1-原始資料!U156,原始資料!U156))</f>
        <v/>
      </c>
      <c r="V156">
        <f>IF(原始資料!V156="","",IF(反向題設定!$C$25="是",反向題設定!$B$2+1-原始資料!V156,原始資料!V156))</f>
        <v/>
      </c>
      <c r="W156">
        <f>IF(原始資料!W156="","",IF(反向題設定!$C$26="是",反向題設定!$B$2+1-原始資料!W156,原始資料!W156))</f>
        <v/>
      </c>
      <c r="X156">
        <f>IF(原始資料!X156="","",IF(反向題設定!$C$27="是",反向題設定!$B$2+1-原始資料!X156,原始資料!X156))</f>
        <v/>
      </c>
      <c r="Y156">
        <f>IF(原始資料!Y156="","",IF(反向題設定!$C$28="是",反向題設定!$B$2+1-原始資料!Y156,原始資料!Y156))</f>
        <v/>
      </c>
      <c r="Z156">
        <f>IF(原始資料!Z156="","",IF(反向題設定!$C$29="是",反向題設定!$B$2+1-原始資料!Z156,原始資料!Z156))</f>
        <v/>
      </c>
      <c r="AA156">
        <f>IF(原始資料!AA156="","",IF(反向題設定!$C$30="是",反向題設定!$B$2+1-原始資料!AA156,原始資料!AA156))</f>
        <v/>
      </c>
      <c r="AB156">
        <f>IF(原始資料!AB156="","",IF(反向題設定!$C$31="是",反向題設定!$B$2+1-原始資料!AB156,原始資料!AB156))</f>
        <v/>
      </c>
      <c r="AC156">
        <f>IF(原始資料!AC156="","",IF(反向題設定!$C$32="是",反向題設定!$B$2+1-原始資料!AC156,原始資料!AC156))</f>
        <v/>
      </c>
      <c r="AD156">
        <f>IF(原始資料!AD156="","",IF(反向題設定!$C$33="是",反向題設定!$B$2+1-原始資料!AD156,原始資料!AD156))</f>
        <v/>
      </c>
      <c r="AE156">
        <f>IF(原始資料!AE156="","",IF(反向題設定!$C$34="是",反向題設定!$B$2+1-原始資料!AE156,原始資料!AE156))</f>
        <v/>
      </c>
      <c r="AF156">
        <f>IF(原始資料!AF156="","",IF(反向題設定!$C$35="是",反向題設定!$B$2+1-原始資料!AF156,原始資料!AF156))</f>
        <v/>
      </c>
      <c r="AG156">
        <f>IF(原始資料!AG156="","",IF(反向題設定!$C$36="是",反向題設定!$B$2+1-原始資料!AG156,原始資料!AG156))</f>
        <v/>
      </c>
      <c r="AH156">
        <f>IF(原始資料!AH156="","",IF(反向題設定!$C$37="是",反向題設定!$B$2+1-原始資料!AH156,原始資料!AH156))</f>
        <v/>
      </c>
      <c r="AI156">
        <f>IF(原始資料!AI156="","",IF(反向題設定!$C$38="是",反向題設定!$B$2+1-原始資料!AI156,原始資料!AI156))</f>
        <v/>
      </c>
      <c r="AJ156">
        <f>IF(原始資料!AJ156="","",IF(反向題設定!$C$39="是",反向題設定!$B$2+1-原始資料!AJ156,原始資料!AJ156))</f>
        <v/>
      </c>
      <c r="AK156">
        <f>IF(原始資料!AK156="","",IF(反向題設定!$C$40="是",反向題設定!$B$2+1-原始資料!AK156,原始資料!AK156))</f>
        <v/>
      </c>
      <c r="AL156">
        <f>IF(原始資料!AL156="","",IF(反向題設定!$C$41="是",反向題設定!$B$2+1-原始資料!AL156,原始資料!AL156))</f>
        <v/>
      </c>
      <c r="AM156">
        <f>IF(原始資料!AM156="","",IF(反向題設定!$C$42="是",反向題設定!$B$2+1-原始資料!AM156,原始資料!AM156))</f>
        <v/>
      </c>
      <c r="AN156">
        <f>IF(原始資料!AN156="","",IF(反向題設定!$C$43="是",反向題設定!$B$2+1-原始資料!AN156,原始資料!AN156))</f>
        <v/>
      </c>
      <c r="AO156">
        <f>IF(原始資料!AO156="","",IF(反向題設定!$C$44="是",反向題設定!$B$2+1-原始資料!AO156,原始資料!AO156))</f>
        <v/>
      </c>
      <c r="AP156">
        <f>IF(COUNT(B156:AO156)=0,"",SUM(B156:AO156))</f>
        <v/>
      </c>
      <c r="AQ156">
        <f>IF(AP156="","",IF(AP156&gt;=項目分析!$C$5,"高",IF(AP156&lt;=項目分析!$C$6,"低","")))</f>
        <v/>
      </c>
    </row>
    <row r="157">
      <c r="A157">
        <f>IF(原始資料!A157="","",原始資料!A157)</f>
        <v/>
      </c>
      <c r="B157">
        <f>IF(原始資料!B157="","",IF(反向題設定!$C$5="是",反向題設定!$B$2+1-原始資料!B157,原始資料!B157))</f>
        <v/>
      </c>
      <c r="C157">
        <f>IF(原始資料!C157="","",IF(反向題設定!$C$6="是",反向題設定!$B$2+1-原始資料!C157,原始資料!C157))</f>
        <v/>
      </c>
      <c r="D157">
        <f>IF(原始資料!D157="","",IF(反向題設定!$C$7="是",反向題設定!$B$2+1-原始資料!D157,原始資料!D157))</f>
        <v/>
      </c>
      <c r="E157">
        <f>IF(原始資料!E157="","",IF(反向題設定!$C$8="是",反向題設定!$B$2+1-原始資料!E157,原始資料!E157))</f>
        <v/>
      </c>
      <c r="F157">
        <f>IF(原始資料!F157="","",IF(反向題設定!$C$9="是",反向題設定!$B$2+1-原始資料!F157,原始資料!F157))</f>
        <v/>
      </c>
      <c r="G157">
        <f>IF(原始資料!G157="","",IF(反向題設定!$C$10="是",反向題設定!$B$2+1-原始資料!G157,原始資料!G157))</f>
        <v/>
      </c>
      <c r="H157">
        <f>IF(原始資料!H157="","",IF(反向題設定!$C$11="是",反向題設定!$B$2+1-原始資料!H157,原始資料!H157))</f>
        <v/>
      </c>
      <c r="I157">
        <f>IF(原始資料!I157="","",IF(反向題設定!$C$12="是",反向題設定!$B$2+1-原始資料!I157,原始資料!I157))</f>
        <v/>
      </c>
      <c r="J157">
        <f>IF(原始資料!J157="","",IF(反向題設定!$C$13="是",反向題設定!$B$2+1-原始資料!J157,原始資料!J157))</f>
        <v/>
      </c>
      <c r="K157">
        <f>IF(原始資料!K157="","",IF(反向題設定!$C$14="是",反向題設定!$B$2+1-原始資料!K157,原始資料!K157))</f>
        <v/>
      </c>
      <c r="L157">
        <f>IF(原始資料!L157="","",IF(反向題設定!$C$15="是",反向題設定!$B$2+1-原始資料!L157,原始資料!L157))</f>
        <v/>
      </c>
      <c r="M157">
        <f>IF(原始資料!M157="","",IF(反向題設定!$C$16="是",反向題設定!$B$2+1-原始資料!M157,原始資料!M157))</f>
        <v/>
      </c>
      <c r="N157">
        <f>IF(原始資料!N157="","",IF(反向題設定!$C$17="是",反向題設定!$B$2+1-原始資料!N157,原始資料!N157))</f>
        <v/>
      </c>
      <c r="O157">
        <f>IF(原始資料!O157="","",IF(反向題設定!$C$18="是",反向題設定!$B$2+1-原始資料!O157,原始資料!O157))</f>
        <v/>
      </c>
      <c r="P157">
        <f>IF(原始資料!P157="","",IF(反向題設定!$C$19="是",反向題設定!$B$2+1-原始資料!P157,原始資料!P157))</f>
        <v/>
      </c>
      <c r="Q157">
        <f>IF(原始資料!Q157="","",IF(反向題設定!$C$20="是",反向題設定!$B$2+1-原始資料!Q157,原始資料!Q157))</f>
        <v/>
      </c>
      <c r="R157">
        <f>IF(原始資料!R157="","",IF(反向題設定!$C$21="是",反向題設定!$B$2+1-原始資料!R157,原始資料!R157))</f>
        <v/>
      </c>
      <c r="S157">
        <f>IF(原始資料!S157="","",IF(反向題設定!$C$22="是",反向題設定!$B$2+1-原始資料!S157,原始資料!S157))</f>
        <v/>
      </c>
      <c r="T157">
        <f>IF(原始資料!T157="","",IF(反向題設定!$C$23="是",反向題設定!$B$2+1-原始資料!T157,原始資料!T157))</f>
        <v/>
      </c>
      <c r="U157">
        <f>IF(原始資料!U157="","",IF(反向題設定!$C$24="是",反向題設定!$B$2+1-原始資料!U157,原始資料!U157))</f>
        <v/>
      </c>
      <c r="V157">
        <f>IF(原始資料!V157="","",IF(反向題設定!$C$25="是",反向題設定!$B$2+1-原始資料!V157,原始資料!V157))</f>
        <v/>
      </c>
      <c r="W157">
        <f>IF(原始資料!W157="","",IF(反向題設定!$C$26="是",反向題設定!$B$2+1-原始資料!W157,原始資料!W157))</f>
        <v/>
      </c>
      <c r="X157">
        <f>IF(原始資料!X157="","",IF(反向題設定!$C$27="是",反向題設定!$B$2+1-原始資料!X157,原始資料!X157))</f>
        <v/>
      </c>
      <c r="Y157">
        <f>IF(原始資料!Y157="","",IF(反向題設定!$C$28="是",反向題設定!$B$2+1-原始資料!Y157,原始資料!Y157))</f>
        <v/>
      </c>
      <c r="Z157">
        <f>IF(原始資料!Z157="","",IF(反向題設定!$C$29="是",反向題設定!$B$2+1-原始資料!Z157,原始資料!Z157))</f>
        <v/>
      </c>
      <c r="AA157">
        <f>IF(原始資料!AA157="","",IF(反向題設定!$C$30="是",反向題設定!$B$2+1-原始資料!AA157,原始資料!AA157))</f>
        <v/>
      </c>
      <c r="AB157">
        <f>IF(原始資料!AB157="","",IF(反向題設定!$C$31="是",反向題設定!$B$2+1-原始資料!AB157,原始資料!AB157))</f>
        <v/>
      </c>
      <c r="AC157">
        <f>IF(原始資料!AC157="","",IF(反向題設定!$C$32="是",反向題設定!$B$2+1-原始資料!AC157,原始資料!AC157))</f>
        <v/>
      </c>
      <c r="AD157">
        <f>IF(原始資料!AD157="","",IF(反向題設定!$C$33="是",反向題設定!$B$2+1-原始資料!AD157,原始資料!AD157))</f>
        <v/>
      </c>
      <c r="AE157">
        <f>IF(原始資料!AE157="","",IF(反向題設定!$C$34="是",反向題設定!$B$2+1-原始資料!AE157,原始資料!AE157))</f>
        <v/>
      </c>
      <c r="AF157">
        <f>IF(原始資料!AF157="","",IF(反向題設定!$C$35="是",反向題設定!$B$2+1-原始資料!AF157,原始資料!AF157))</f>
        <v/>
      </c>
      <c r="AG157">
        <f>IF(原始資料!AG157="","",IF(反向題設定!$C$36="是",反向題設定!$B$2+1-原始資料!AG157,原始資料!AG157))</f>
        <v/>
      </c>
      <c r="AH157">
        <f>IF(原始資料!AH157="","",IF(反向題設定!$C$37="是",反向題設定!$B$2+1-原始資料!AH157,原始資料!AH157))</f>
        <v/>
      </c>
      <c r="AI157">
        <f>IF(原始資料!AI157="","",IF(反向題設定!$C$38="是",反向題設定!$B$2+1-原始資料!AI157,原始資料!AI157))</f>
        <v/>
      </c>
      <c r="AJ157">
        <f>IF(原始資料!AJ157="","",IF(反向題設定!$C$39="是",反向題設定!$B$2+1-原始資料!AJ157,原始資料!AJ157))</f>
        <v/>
      </c>
      <c r="AK157">
        <f>IF(原始資料!AK157="","",IF(反向題設定!$C$40="是",反向題設定!$B$2+1-原始資料!AK157,原始資料!AK157))</f>
        <v/>
      </c>
      <c r="AL157">
        <f>IF(原始資料!AL157="","",IF(反向題設定!$C$41="是",反向題設定!$B$2+1-原始資料!AL157,原始資料!AL157))</f>
        <v/>
      </c>
      <c r="AM157">
        <f>IF(原始資料!AM157="","",IF(反向題設定!$C$42="是",反向題設定!$B$2+1-原始資料!AM157,原始資料!AM157))</f>
        <v/>
      </c>
      <c r="AN157">
        <f>IF(原始資料!AN157="","",IF(反向題設定!$C$43="是",反向題設定!$B$2+1-原始資料!AN157,原始資料!AN157))</f>
        <v/>
      </c>
      <c r="AO157">
        <f>IF(原始資料!AO157="","",IF(反向題設定!$C$44="是",反向題設定!$B$2+1-原始資料!AO157,原始資料!AO157))</f>
        <v/>
      </c>
      <c r="AP157">
        <f>IF(COUNT(B157:AO157)=0,"",SUM(B157:AO157))</f>
        <v/>
      </c>
      <c r="AQ157">
        <f>IF(AP157="","",IF(AP157&gt;=項目分析!$C$5,"高",IF(AP157&lt;=項目分析!$C$6,"低","")))</f>
        <v/>
      </c>
    </row>
    <row r="158">
      <c r="A158">
        <f>IF(原始資料!A158="","",原始資料!A158)</f>
        <v/>
      </c>
      <c r="B158">
        <f>IF(原始資料!B158="","",IF(反向題設定!$C$5="是",反向題設定!$B$2+1-原始資料!B158,原始資料!B158))</f>
        <v/>
      </c>
      <c r="C158">
        <f>IF(原始資料!C158="","",IF(反向題設定!$C$6="是",反向題設定!$B$2+1-原始資料!C158,原始資料!C158))</f>
        <v/>
      </c>
      <c r="D158">
        <f>IF(原始資料!D158="","",IF(反向題設定!$C$7="是",反向題設定!$B$2+1-原始資料!D158,原始資料!D158))</f>
        <v/>
      </c>
      <c r="E158">
        <f>IF(原始資料!E158="","",IF(反向題設定!$C$8="是",反向題設定!$B$2+1-原始資料!E158,原始資料!E158))</f>
        <v/>
      </c>
      <c r="F158">
        <f>IF(原始資料!F158="","",IF(反向題設定!$C$9="是",反向題設定!$B$2+1-原始資料!F158,原始資料!F158))</f>
        <v/>
      </c>
      <c r="G158">
        <f>IF(原始資料!G158="","",IF(反向題設定!$C$10="是",反向題設定!$B$2+1-原始資料!G158,原始資料!G158))</f>
        <v/>
      </c>
      <c r="H158">
        <f>IF(原始資料!H158="","",IF(反向題設定!$C$11="是",反向題設定!$B$2+1-原始資料!H158,原始資料!H158))</f>
        <v/>
      </c>
      <c r="I158">
        <f>IF(原始資料!I158="","",IF(反向題設定!$C$12="是",反向題設定!$B$2+1-原始資料!I158,原始資料!I158))</f>
        <v/>
      </c>
      <c r="J158">
        <f>IF(原始資料!J158="","",IF(反向題設定!$C$13="是",反向題設定!$B$2+1-原始資料!J158,原始資料!J158))</f>
        <v/>
      </c>
      <c r="K158">
        <f>IF(原始資料!K158="","",IF(反向題設定!$C$14="是",反向題設定!$B$2+1-原始資料!K158,原始資料!K158))</f>
        <v/>
      </c>
      <c r="L158">
        <f>IF(原始資料!L158="","",IF(反向題設定!$C$15="是",反向題設定!$B$2+1-原始資料!L158,原始資料!L158))</f>
        <v/>
      </c>
      <c r="M158">
        <f>IF(原始資料!M158="","",IF(反向題設定!$C$16="是",反向題設定!$B$2+1-原始資料!M158,原始資料!M158))</f>
        <v/>
      </c>
      <c r="N158">
        <f>IF(原始資料!N158="","",IF(反向題設定!$C$17="是",反向題設定!$B$2+1-原始資料!N158,原始資料!N158))</f>
        <v/>
      </c>
      <c r="O158">
        <f>IF(原始資料!O158="","",IF(反向題設定!$C$18="是",反向題設定!$B$2+1-原始資料!O158,原始資料!O158))</f>
        <v/>
      </c>
      <c r="P158">
        <f>IF(原始資料!P158="","",IF(反向題設定!$C$19="是",反向題設定!$B$2+1-原始資料!P158,原始資料!P158))</f>
        <v/>
      </c>
      <c r="Q158">
        <f>IF(原始資料!Q158="","",IF(反向題設定!$C$20="是",反向題設定!$B$2+1-原始資料!Q158,原始資料!Q158))</f>
        <v/>
      </c>
      <c r="R158">
        <f>IF(原始資料!R158="","",IF(反向題設定!$C$21="是",反向題設定!$B$2+1-原始資料!R158,原始資料!R158))</f>
        <v/>
      </c>
      <c r="S158">
        <f>IF(原始資料!S158="","",IF(反向題設定!$C$22="是",反向題設定!$B$2+1-原始資料!S158,原始資料!S158))</f>
        <v/>
      </c>
      <c r="T158">
        <f>IF(原始資料!T158="","",IF(反向題設定!$C$23="是",反向題設定!$B$2+1-原始資料!T158,原始資料!T158))</f>
        <v/>
      </c>
      <c r="U158">
        <f>IF(原始資料!U158="","",IF(反向題設定!$C$24="是",反向題設定!$B$2+1-原始資料!U158,原始資料!U158))</f>
        <v/>
      </c>
      <c r="V158">
        <f>IF(原始資料!V158="","",IF(反向題設定!$C$25="是",反向題設定!$B$2+1-原始資料!V158,原始資料!V158))</f>
        <v/>
      </c>
      <c r="W158">
        <f>IF(原始資料!W158="","",IF(反向題設定!$C$26="是",反向題設定!$B$2+1-原始資料!W158,原始資料!W158))</f>
        <v/>
      </c>
      <c r="X158">
        <f>IF(原始資料!X158="","",IF(反向題設定!$C$27="是",反向題設定!$B$2+1-原始資料!X158,原始資料!X158))</f>
        <v/>
      </c>
      <c r="Y158">
        <f>IF(原始資料!Y158="","",IF(反向題設定!$C$28="是",反向題設定!$B$2+1-原始資料!Y158,原始資料!Y158))</f>
        <v/>
      </c>
      <c r="Z158">
        <f>IF(原始資料!Z158="","",IF(反向題設定!$C$29="是",反向題設定!$B$2+1-原始資料!Z158,原始資料!Z158))</f>
        <v/>
      </c>
      <c r="AA158">
        <f>IF(原始資料!AA158="","",IF(反向題設定!$C$30="是",反向題設定!$B$2+1-原始資料!AA158,原始資料!AA158))</f>
        <v/>
      </c>
      <c r="AB158">
        <f>IF(原始資料!AB158="","",IF(反向題設定!$C$31="是",反向題設定!$B$2+1-原始資料!AB158,原始資料!AB158))</f>
        <v/>
      </c>
      <c r="AC158">
        <f>IF(原始資料!AC158="","",IF(反向題設定!$C$32="是",反向題設定!$B$2+1-原始資料!AC158,原始資料!AC158))</f>
        <v/>
      </c>
      <c r="AD158">
        <f>IF(原始資料!AD158="","",IF(反向題設定!$C$33="是",反向題設定!$B$2+1-原始資料!AD158,原始資料!AD158))</f>
        <v/>
      </c>
      <c r="AE158">
        <f>IF(原始資料!AE158="","",IF(反向題設定!$C$34="是",反向題設定!$B$2+1-原始資料!AE158,原始資料!AE158))</f>
        <v/>
      </c>
      <c r="AF158">
        <f>IF(原始資料!AF158="","",IF(反向題設定!$C$35="是",反向題設定!$B$2+1-原始資料!AF158,原始資料!AF158))</f>
        <v/>
      </c>
      <c r="AG158">
        <f>IF(原始資料!AG158="","",IF(反向題設定!$C$36="是",反向題設定!$B$2+1-原始資料!AG158,原始資料!AG158))</f>
        <v/>
      </c>
      <c r="AH158">
        <f>IF(原始資料!AH158="","",IF(反向題設定!$C$37="是",反向題設定!$B$2+1-原始資料!AH158,原始資料!AH158))</f>
        <v/>
      </c>
      <c r="AI158">
        <f>IF(原始資料!AI158="","",IF(反向題設定!$C$38="是",反向題設定!$B$2+1-原始資料!AI158,原始資料!AI158))</f>
        <v/>
      </c>
      <c r="AJ158">
        <f>IF(原始資料!AJ158="","",IF(反向題設定!$C$39="是",反向題設定!$B$2+1-原始資料!AJ158,原始資料!AJ158))</f>
        <v/>
      </c>
      <c r="AK158">
        <f>IF(原始資料!AK158="","",IF(反向題設定!$C$40="是",反向題設定!$B$2+1-原始資料!AK158,原始資料!AK158))</f>
        <v/>
      </c>
      <c r="AL158">
        <f>IF(原始資料!AL158="","",IF(反向題設定!$C$41="是",反向題設定!$B$2+1-原始資料!AL158,原始資料!AL158))</f>
        <v/>
      </c>
      <c r="AM158">
        <f>IF(原始資料!AM158="","",IF(反向題設定!$C$42="是",反向題設定!$B$2+1-原始資料!AM158,原始資料!AM158))</f>
        <v/>
      </c>
      <c r="AN158">
        <f>IF(原始資料!AN158="","",IF(反向題設定!$C$43="是",反向題設定!$B$2+1-原始資料!AN158,原始資料!AN158))</f>
        <v/>
      </c>
      <c r="AO158">
        <f>IF(原始資料!AO158="","",IF(反向題設定!$C$44="是",反向題設定!$B$2+1-原始資料!AO158,原始資料!AO158))</f>
        <v/>
      </c>
      <c r="AP158">
        <f>IF(COUNT(B158:AO158)=0,"",SUM(B158:AO158))</f>
        <v/>
      </c>
      <c r="AQ158">
        <f>IF(AP158="","",IF(AP158&gt;=項目分析!$C$5,"高",IF(AP158&lt;=項目分析!$C$6,"低","")))</f>
        <v/>
      </c>
    </row>
    <row r="159">
      <c r="A159">
        <f>IF(原始資料!A159="","",原始資料!A159)</f>
        <v/>
      </c>
      <c r="B159">
        <f>IF(原始資料!B159="","",IF(反向題設定!$C$5="是",反向題設定!$B$2+1-原始資料!B159,原始資料!B159))</f>
        <v/>
      </c>
      <c r="C159">
        <f>IF(原始資料!C159="","",IF(反向題設定!$C$6="是",反向題設定!$B$2+1-原始資料!C159,原始資料!C159))</f>
        <v/>
      </c>
      <c r="D159">
        <f>IF(原始資料!D159="","",IF(反向題設定!$C$7="是",反向題設定!$B$2+1-原始資料!D159,原始資料!D159))</f>
        <v/>
      </c>
      <c r="E159">
        <f>IF(原始資料!E159="","",IF(反向題設定!$C$8="是",反向題設定!$B$2+1-原始資料!E159,原始資料!E159))</f>
        <v/>
      </c>
      <c r="F159">
        <f>IF(原始資料!F159="","",IF(反向題設定!$C$9="是",反向題設定!$B$2+1-原始資料!F159,原始資料!F159))</f>
        <v/>
      </c>
      <c r="G159">
        <f>IF(原始資料!G159="","",IF(反向題設定!$C$10="是",反向題設定!$B$2+1-原始資料!G159,原始資料!G159))</f>
        <v/>
      </c>
      <c r="H159">
        <f>IF(原始資料!H159="","",IF(反向題設定!$C$11="是",反向題設定!$B$2+1-原始資料!H159,原始資料!H159))</f>
        <v/>
      </c>
      <c r="I159">
        <f>IF(原始資料!I159="","",IF(反向題設定!$C$12="是",反向題設定!$B$2+1-原始資料!I159,原始資料!I159))</f>
        <v/>
      </c>
      <c r="J159">
        <f>IF(原始資料!J159="","",IF(反向題設定!$C$13="是",反向題設定!$B$2+1-原始資料!J159,原始資料!J159))</f>
        <v/>
      </c>
      <c r="K159">
        <f>IF(原始資料!K159="","",IF(反向題設定!$C$14="是",反向題設定!$B$2+1-原始資料!K159,原始資料!K159))</f>
        <v/>
      </c>
      <c r="L159">
        <f>IF(原始資料!L159="","",IF(反向題設定!$C$15="是",反向題設定!$B$2+1-原始資料!L159,原始資料!L159))</f>
        <v/>
      </c>
      <c r="M159">
        <f>IF(原始資料!M159="","",IF(反向題設定!$C$16="是",反向題設定!$B$2+1-原始資料!M159,原始資料!M159))</f>
        <v/>
      </c>
      <c r="N159">
        <f>IF(原始資料!N159="","",IF(反向題設定!$C$17="是",反向題設定!$B$2+1-原始資料!N159,原始資料!N159))</f>
        <v/>
      </c>
      <c r="O159">
        <f>IF(原始資料!O159="","",IF(反向題設定!$C$18="是",反向題設定!$B$2+1-原始資料!O159,原始資料!O159))</f>
        <v/>
      </c>
      <c r="P159">
        <f>IF(原始資料!P159="","",IF(反向題設定!$C$19="是",反向題設定!$B$2+1-原始資料!P159,原始資料!P159))</f>
        <v/>
      </c>
      <c r="Q159">
        <f>IF(原始資料!Q159="","",IF(反向題設定!$C$20="是",反向題設定!$B$2+1-原始資料!Q159,原始資料!Q159))</f>
        <v/>
      </c>
      <c r="R159">
        <f>IF(原始資料!R159="","",IF(反向題設定!$C$21="是",反向題設定!$B$2+1-原始資料!R159,原始資料!R159))</f>
        <v/>
      </c>
      <c r="S159">
        <f>IF(原始資料!S159="","",IF(反向題設定!$C$22="是",反向題設定!$B$2+1-原始資料!S159,原始資料!S159))</f>
        <v/>
      </c>
      <c r="T159">
        <f>IF(原始資料!T159="","",IF(反向題設定!$C$23="是",反向題設定!$B$2+1-原始資料!T159,原始資料!T159))</f>
        <v/>
      </c>
      <c r="U159">
        <f>IF(原始資料!U159="","",IF(反向題設定!$C$24="是",反向題設定!$B$2+1-原始資料!U159,原始資料!U159))</f>
        <v/>
      </c>
      <c r="V159">
        <f>IF(原始資料!V159="","",IF(反向題設定!$C$25="是",反向題設定!$B$2+1-原始資料!V159,原始資料!V159))</f>
        <v/>
      </c>
      <c r="W159">
        <f>IF(原始資料!W159="","",IF(反向題設定!$C$26="是",反向題設定!$B$2+1-原始資料!W159,原始資料!W159))</f>
        <v/>
      </c>
      <c r="X159">
        <f>IF(原始資料!X159="","",IF(反向題設定!$C$27="是",反向題設定!$B$2+1-原始資料!X159,原始資料!X159))</f>
        <v/>
      </c>
      <c r="Y159">
        <f>IF(原始資料!Y159="","",IF(反向題設定!$C$28="是",反向題設定!$B$2+1-原始資料!Y159,原始資料!Y159))</f>
        <v/>
      </c>
      <c r="Z159">
        <f>IF(原始資料!Z159="","",IF(反向題設定!$C$29="是",反向題設定!$B$2+1-原始資料!Z159,原始資料!Z159))</f>
        <v/>
      </c>
      <c r="AA159">
        <f>IF(原始資料!AA159="","",IF(反向題設定!$C$30="是",反向題設定!$B$2+1-原始資料!AA159,原始資料!AA159))</f>
        <v/>
      </c>
      <c r="AB159">
        <f>IF(原始資料!AB159="","",IF(反向題設定!$C$31="是",反向題設定!$B$2+1-原始資料!AB159,原始資料!AB159))</f>
        <v/>
      </c>
      <c r="AC159">
        <f>IF(原始資料!AC159="","",IF(反向題設定!$C$32="是",反向題設定!$B$2+1-原始資料!AC159,原始資料!AC159))</f>
        <v/>
      </c>
      <c r="AD159">
        <f>IF(原始資料!AD159="","",IF(反向題設定!$C$33="是",反向題設定!$B$2+1-原始資料!AD159,原始資料!AD159))</f>
        <v/>
      </c>
      <c r="AE159">
        <f>IF(原始資料!AE159="","",IF(反向題設定!$C$34="是",反向題設定!$B$2+1-原始資料!AE159,原始資料!AE159))</f>
        <v/>
      </c>
      <c r="AF159">
        <f>IF(原始資料!AF159="","",IF(反向題設定!$C$35="是",反向題設定!$B$2+1-原始資料!AF159,原始資料!AF159))</f>
        <v/>
      </c>
      <c r="AG159">
        <f>IF(原始資料!AG159="","",IF(反向題設定!$C$36="是",反向題設定!$B$2+1-原始資料!AG159,原始資料!AG159))</f>
        <v/>
      </c>
      <c r="AH159">
        <f>IF(原始資料!AH159="","",IF(反向題設定!$C$37="是",反向題設定!$B$2+1-原始資料!AH159,原始資料!AH159))</f>
        <v/>
      </c>
      <c r="AI159">
        <f>IF(原始資料!AI159="","",IF(反向題設定!$C$38="是",反向題設定!$B$2+1-原始資料!AI159,原始資料!AI159))</f>
        <v/>
      </c>
      <c r="AJ159">
        <f>IF(原始資料!AJ159="","",IF(反向題設定!$C$39="是",反向題設定!$B$2+1-原始資料!AJ159,原始資料!AJ159))</f>
        <v/>
      </c>
      <c r="AK159">
        <f>IF(原始資料!AK159="","",IF(反向題設定!$C$40="是",反向題設定!$B$2+1-原始資料!AK159,原始資料!AK159))</f>
        <v/>
      </c>
      <c r="AL159">
        <f>IF(原始資料!AL159="","",IF(反向題設定!$C$41="是",反向題設定!$B$2+1-原始資料!AL159,原始資料!AL159))</f>
        <v/>
      </c>
      <c r="AM159">
        <f>IF(原始資料!AM159="","",IF(反向題設定!$C$42="是",反向題設定!$B$2+1-原始資料!AM159,原始資料!AM159))</f>
        <v/>
      </c>
      <c r="AN159">
        <f>IF(原始資料!AN159="","",IF(反向題設定!$C$43="是",反向題設定!$B$2+1-原始資料!AN159,原始資料!AN159))</f>
        <v/>
      </c>
      <c r="AO159">
        <f>IF(原始資料!AO159="","",IF(反向題設定!$C$44="是",反向題設定!$B$2+1-原始資料!AO159,原始資料!AO159))</f>
        <v/>
      </c>
      <c r="AP159">
        <f>IF(COUNT(B159:AO159)=0,"",SUM(B159:AO159))</f>
        <v/>
      </c>
      <c r="AQ159">
        <f>IF(AP159="","",IF(AP159&gt;=項目分析!$C$5,"高",IF(AP159&lt;=項目分析!$C$6,"低","")))</f>
        <v/>
      </c>
    </row>
    <row r="160">
      <c r="A160">
        <f>IF(原始資料!A160="","",原始資料!A160)</f>
        <v/>
      </c>
      <c r="B160">
        <f>IF(原始資料!B160="","",IF(反向題設定!$C$5="是",反向題設定!$B$2+1-原始資料!B160,原始資料!B160))</f>
        <v/>
      </c>
      <c r="C160">
        <f>IF(原始資料!C160="","",IF(反向題設定!$C$6="是",反向題設定!$B$2+1-原始資料!C160,原始資料!C160))</f>
        <v/>
      </c>
      <c r="D160">
        <f>IF(原始資料!D160="","",IF(反向題設定!$C$7="是",反向題設定!$B$2+1-原始資料!D160,原始資料!D160))</f>
        <v/>
      </c>
      <c r="E160">
        <f>IF(原始資料!E160="","",IF(反向題設定!$C$8="是",反向題設定!$B$2+1-原始資料!E160,原始資料!E160))</f>
        <v/>
      </c>
      <c r="F160">
        <f>IF(原始資料!F160="","",IF(反向題設定!$C$9="是",反向題設定!$B$2+1-原始資料!F160,原始資料!F160))</f>
        <v/>
      </c>
      <c r="G160">
        <f>IF(原始資料!G160="","",IF(反向題設定!$C$10="是",反向題設定!$B$2+1-原始資料!G160,原始資料!G160))</f>
        <v/>
      </c>
      <c r="H160">
        <f>IF(原始資料!H160="","",IF(反向題設定!$C$11="是",反向題設定!$B$2+1-原始資料!H160,原始資料!H160))</f>
        <v/>
      </c>
      <c r="I160">
        <f>IF(原始資料!I160="","",IF(反向題設定!$C$12="是",反向題設定!$B$2+1-原始資料!I160,原始資料!I160))</f>
        <v/>
      </c>
      <c r="J160">
        <f>IF(原始資料!J160="","",IF(反向題設定!$C$13="是",反向題設定!$B$2+1-原始資料!J160,原始資料!J160))</f>
        <v/>
      </c>
      <c r="K160">
        <f>IF(原始資料!K160="","",IF(反向題設定!$C$14="是",反向題設定!$B$2+1-原始資料!K160,原始資料!K160))</f>
        <v/>
      </c>
      <c r="L160">
        <f>IF(原始資料!L160="","",IF(反向題設定!$C$15="是",反向題設定!$B$2+1-原始資料!L160,原始資料!L160))</f>
        <v/>
      </c>
      <c r="M160">
        <f>IF(原始資料!M160="","",IF(反向題設定!$C$16="是",反向題設定!$B$2+1-原始資料!M160,原始資料!M160))</f>
        <v/>
      </c>
      <c r="N160">
        <f>IF(原始資料!N160="","",IF(反向題設定!$C$17="是",反向題設定!$B$2+1-原始資料!N160,原始資料!N160))</f>
        <v/>
      </c>
      <c r="O160">
        <f>IF(原始資料!O160="","",IF(反向題設定!$C$18="是",反向題設定!$B$2+1-原始資料!O160,原始資料!O160))</f>
        <v/>
      </c>
      <c r="P160">
        <f>IF(原始資料!P160="","",IF(反向題設定!$C$19="是",反向題設定!$B$2+1-原始資料!P160,原始資料!P160))</f>
        <v/>
      </c>
      <c r="Q160">
        <f>IF(原始資料!Q160="","",IF(反向題設定!$C$20="是",反向題設定!$B$2+1-原始資料!Q160,原始資料!Q160))</f>
        <v/>
      </c>
      <c r="R160">
        <f>IF(原始資料!R160="","",IF(反向題設定!$C$21="是",反向題設定!$B$2+1-原始資料!R160,原始資料!R160))</f>
        <v/>
      </c>
      <c r="S160">
        <f>IF(原始資料!S160="","",IF(反向題設定!$C$22="是",反向題設定!$B$2+1-原始資料!S160,原始資料!S160))</f>
        <v/>
      </c>
      <c r="T160">
        <f>IF(原始資料!T160="","",IF(反向題設定!$C$23="是",反向題設定!$B$2+1-原始資料!T160,原始資料!T160))</f>
        <v/>
      </c>
      <c r="U160">
        <f>IF(原始資料!U160="","",IF(反向題設定!$C$24="是",反向題設定!$B$2+1-原始資料!U160,原始資料!U160))</f>
        <v/>
      </c>
      <c r="V160">
        <f>IF(原始資料!V160="","",IF(反向題設定!$C$25="是",反向題設定!$B$2+1-原始資料!V160,原始資料!V160))</f>
        <v/>
      </c>
      <c r="W160">
        <f>IF(原始資料!W160="","",IF(反向題設定!$C$26="是",反向題設定!$B$2+1-原始資料!W160,原始資料!W160))</f>
        <v/>
      </c>
      <c r="X160">
        <f>IF(原始資料!X160="","",IF(反向題設定!$C$27="是",反向題設定!$B$2+1-原始資料!X160,原始資料!X160))</f>
        <v/>
      </c>
      <c r="Y160">
        <f>IF(原始資料!Y160="","",IF(反向題設定!$C$28="是",反向題設定!$B$2+1-原始資料!Y160,原始資料!Y160))</f>
        <v/>
      </c>
      <c r="Z160">
        <f>IF(原始資料!Z160="","",IF(反向題設定!$C$29="是",反向題設定!$B$2+1-原始資料!Z160,原始資料!Z160))</f>
        <v/>
      </c>
      <c r="AA160">
        <f>IF(原始資料!AA160="","",IF(反向題設定!$C$30="是",反向題設定!$B$2+1-原始資料!AA160,原始資料!AA160))</f>
        <v/>
      </c>
      <c r="AB160">
        <f>IF(原始資料!AB160="","",IF(反向題設定!$C$31="是",反向題設定!$B$2+1-原始資料!AB160,原始資料!AB160))</f>
        <v/>
      </c>
      <c r="AC160">
        <f>IF(原始資料!AC160="","",IF(反向題設定!$C$32="是",反向題設定!$B$2+1-原始資料!AC160,原始資料!AC160))</f>
        <v/>
      </c>
      <c r="AD160">
        <f>IF(原始資料!AD160="","",IF(反向題設定!$C$33="是",反向題設定!$B$2+1-原始資料!AD160,原始資料!AD160))</f>
        <v/>
      </c>
      <c r="AE160">
        <f>IF(原始資料!AE160="","",IF(反向題設定!$C$34="是",反向題設定!$B$2+1-原始資料!AE160,原始資料!AE160))</f>
        <v/>
      </c>
      <c r="AF160">
        <f>IF(原始資料!AF160="","",IF(反向題設定!$C$35="是",反向題設定!$B$2+1-原始資料!AF160,原始資料!AF160))</f>
        <v/>
      </c>
      <c r="AG160">
        <f>IF(原始資料!AG160="","",IF(反向題設定!$C$36="是",反向題設定!$B$2+1-原始資料!AG160,原始資料!AG160))</f>
        <v/>
      </c>
      <c r="AH160">
        <f>IF(原始資料!AH160="","",IF(反向題設定!$C$37="是",反向題設定!$B$2+1-原始資料!AH160,原始資料!AH160))</f>
        <v/>
      </c>
      <c r="AI160">
        <f>IF(原始資料!AI160="","",IF(反向題設定!$C$38="是",反向題設定!$B$2+1-原始資料!AI160,原始資料!AI160))</f>
        <v/>
      </c>
      <c r="AJ160">
        <f>IF(原始資料!AJ160="","",IF(反向題設定!$C$39="是",反向題設定!$B$2+1-原始資料!AJ160,原始資料!AJ160))</f>
        <v/>
      </c>
      <c r="AK160">
        <f>IF(原始資料!AK160="","",IF(反向題設定!$C$40="是",反向題設定!$B$2+1-原始資料!AK160,原始資料!AK160))</f>
        <v/>
      </c>
      <c r="AL160">
        <f>IF(原始資料!AL160="","",IF(反向題設定!$C$41="是",反向題設定!$B$2+1-原始資料!AL160,原始資料!AL160))</f>
        <v/>
      </c>
      <c r="AM160">
        <f>IF(原始資料!AM160="","",IF(反向題設定!$C$42="是",反向題設定!$B$2+1-原始資料!AM160,原始資料!AM160))</f>
        <v/>
      </c>
      <c r="AN160">
        <f>IF(原始資料!AN160="","",IF(反向題設定!$C$43="是",反向題設定!$B$2+1-原始資料!AN160,原始資料!AN160))</f>
        <v/>
      </c>
      <c r="AO160">
        <f>IF(原始資料!AO160="","",IF(反向題設定!$C$44="是",反向題設定!$B$2+1-原始資料!AO160,原始資料!AO160))</f>
        <v/>
      </c>
      <c r="AP160">
        <f>IF(COUNT(B160:AO160)=0,"",SUM(B160:AO160))</f>
        <v/>
      </c>
      <c r="AQ160">
        <f>IF(AP160="","",IF(AP160&gt;=項目分析!$C$5,"高",IF(AP160&lt;=項目分析!$C$6,"低","")))</f>
        <v/>
      </c>
    </row>
    <row r="161">
      <c r="A161">
        <f>IF(原始資料!A161="","",原始資料!A161)</f>
        <v/>
      </c>
      <c r="B161">
        <f>IF(原始資料!B161="","",IF(反向題設定!$C$5="是",反向題設定!$B$2+1-原始資料!B161,原始資料!B161))</f>
        <v/>
      </c>
      <c r="C161">
        <f>IF(原始資料!C161="","",IF(反向題設定!$C$6="是",反向題設定!$B$2+1-原始資料!C161,原始資料!C161))</f>
        <v/>
      </c>
      <c r="D161">
        <f>IF(原始資料!D161="","",IF(反向題設定!$C$7="是",反向題設定!$B$2+1-原始資料!D161,原始資料!D161))</f>
        <v/>
      </c>
      <c r="E161">
        <f>IF(原始資料!E161="","",IF(反向題設定!$C$8="是",反向題設定!$B$2+1-原始資料!E161,原始資料!E161))</f>
        <v/>
      </c>
      <c r="F161">
        <f>IF(原始資料!F161="","",IF(反向題設定!$C$9="是",反向題設定!$B$2+1-原始資料!F161,原始資料!F161))</f>
        <v/>
      </c>
      <c r="G161">
        <f>IF(原始資料!G161="","",IF(反向題設定!$C$10="是",反向題設定!$B$2+1-原始資料!G161,原始資料!G161))</f>
        <v/>
      </c>
      <c r="H161">
        <f>IF(原始資料!H161="","",IF(反向題設定!$C$11="是",反向題設定!$B$2+1-原始資料!H161,原始資料!H161))</f>
        <v/>
      </c>
      <c r="I161">
        <f>IF(原始資料!I161="","",IF(反向題設定!$C$12="是",反向題設定!$B$2+1-原始資料!I161,原始資料!I161))</f>
        <v/>
      </c>
      <c r="J161">
        <f>IF(原始資料!J161="","",IF(反向題設定!$C$13="是",反向題設定!$B$2+1-原始資料!J161,原始資料!J161))</f>
        <v/>
      </c>
      <c r="K161">
        <f>IF(原始資料!K161="","",IF(反向題設定!$C$14="是",反向題設定!$B$2+1-原始資料!K161,原始資料!K161))</f>
        <v/>
      </c>
      <c r="L161">
        <f>IF(原始資料!L161="","",IF(反向題設定!$C$15="是",反向題設定!$B$2+1-原始資料!L161,原始資料!L161))</f>
        <v/>
      </c>
      <c r="M161">
        <f>IF(原始資料!M161="","",IF(反向題設定!$C$16="是",反向題設定!$B$2+1-原始資料!M161,原始資料!M161))</f>
        <v/>
      </c>
      <c r="N161">
        <f>IF(原始資料!N161="","",IF(反向題設定!$C$17="是",反向題設定!$B$2+1-原始資料!N161,原始資料!N161))</f>
        <v/>
      </c>
      <c r="O161">
        <f>IF(原始資料!O161="","",IF(反向題設定!$C$18="是",反向題設定!$B$2+1-原始資料!O161,原始資料!O161))</f>
        <v/>
      </c>
      <c r="P161">
        <f>IF(原始資料!P161="","",IF(反向題設定!$C$19="是",反向題設定!$B$2+1-原始資料!P161,原始資料!P161))</f>
        <v/>
      </c>
      <c r="Q161">
        <f>IF(原始資料!Q161="","",IF(反向題設定!$C$20="是",反向題設定!$B$2+1-原始資料!Q161,原始資料!Q161))</f>
        <v/>
      </c>
      <c r="R161">
        <f>IF(原始資料!R161="","",IF(反向題設定!$C$21="是",反向題設定!$B$2+1-原始資料!R161,原始資料!R161))</f>
        <v/>
      </c>
      <c r="S161">
        <f>IF(原始資料!S161="","",IF(反向題設定!$C$22="是",反向題設定!$B$2+1-原始資料!S161,原始資料!S161))</f>
        <v/>
      </c>
      <c r="T161">
        <f>IF(原始資料!T161="","",IF(反向題設定!$C$23="是",反向題設定!$B$2+1-原始資料!T161,原始資料!T161))</f>
        <v/>
      </c>
      <c r="U161">
        <f>IF(原始資料!U161="","",IF(反向題設定!$C$24="是",反向題設定!$B$2+1-原始資料!U161,原始資料!U161))</f>
        <v/>
      </c>
      <c r="V161">
        <f>IF(原始資料!V161="","",IF(反向題設定!$C$25="是",反向題設定!$B$2+1-原始資料!V161,原始資料!V161))</f>
        <v/>
      </c>
      <c r="W161">
        <f>IF(原始資料!W161="","",IF(反向題設定!$C$26="是",反向題設定!$B$2+1-原始資料!W161,原始資料!W161))</f>
        <v/>
      </c>
      <c r="X161">
        <f>IF(原始資料!X161="","",IF(反向題設定!$C$27="是",反向題設定!$B$2+1-原始資料!X161,原始資料!X161))</f>
        <v/>
      </c>
      <c r="Y161">
        <f>IF(原始資料!Y161="","",IF(反向題設定!$C$28="是",反向題設定!$B$2+1-原始資料!Y161,原始資料!Y161))</f>
        <v/>
      </c>
      <c r="Z161">
        <f>IF(原始資料!Z161="","",IF(反向題設定!$C$29="是",反向題設定!$B$2+1-原始資料!Z161,原始資料!Z161))</f>
        <v/>
      </c>
      <c r="AA161">
        <f>IF(原始資料!AA161="","",IF(反向題設定!$C$30="是",反向題設定!$B$2+1-原始資料!AA161,原始資料!AA161))</f>
        <v/>
      </c>
      <c r="AB161">
        <f>IF(原始資料!AB161="","",IF(反向題設定!$C$31="是",反向題設定!$B$2+1-原始資料!AB161,原始資料!AB161))</f>
        <v/>
      </c>
      <c r="AC161">
        <f>IF(原始資料!AC161="","",IF(反向題設定!$C$32="是",反向題設定!$B$2+1-原始資料!AC161,原始資料!AC161))</f>
        <v/>
      </c>
      <c r="AD161">
        <f>IF(原始資料!AD161="","",IF(反向題設定!$C$33="是",反向題設定!$B$2+1-原始資料!AD161,原始資料!AD161))</f>
        <v/>
      </c>
      <c r="AE161">
        <f>IF(原始資料!AE161="","",IF(反向題設定!$C$34="是",反向題設定!$B$2+1-原始資料!AE161,原始資料!AE161))</f>
        <v/>
      </c>
      <c r="AF161">
        <f>IF(原始資料!AF161="","",IF(反向題設定!$C$35="是",反向題設定!$B$2+1-原始資料!AF161,原始資料!AF161))</f>
        <v/>
      </c>
      <c r="AG161">
        <f>IF(原始資料!AG161="","",IF(反向題設定!$C$36="是",反向題設定!$B$2+1-原始資料!AG161,原始資料!AG161))</f>
        <v/>
      </c>
      <c r="AH161">
        <f>IF(原始資料!AH161="","",IF(反向題設定!$C$37="是",反向題設定!$B$2+1-原始資料!AH161,原始資料!AH161))</f>
        <v/>
      </c>
      <c r="AI161">
        <f>IF(原始資料!AI161="","",IF(反向題設定!$C$38="是",反向題設定!$B$2+1-原始資料!AI161,原始資料!AI161))</f>
        <v/>
      </c>
      <c r="AJ161">
        <f>IF(原始資料!AJ161="","",IF(反向題設定!$C$39="是",反向題設定!$B$2+1-原始資料!AJ161,原始資料!AJ161))</f>
        <v/>
      </c>
      <c r="AK161">
        <f>IF(原始資料!AK161="","",IF(反向題設定!$C$40="是",反向題設定!$B$2+1-原始資料!AK161,原始資料!AK161))</f>
        <v/>
      </c>
      <c r="AL161">
        <f>IF(原始資料!AL161="","",IF(反向題設定!$C$41="是",反向題設定!$B$2+1-原始資料!AL161,原始資料!AL161))</f>
        <v/>
      </c>
      <c r="AM161">
        <f>IF(原始資料!AM161="","",IF(反向題設定!$C$42="是",反向題設定!$B$2+1-原始資料!AM161,原始資料!AM161))</f>
        <v/>
      </c>
      <c r="AN161">
        <f>IF(原始資料!AN161="","",IF(反向題設定!$C$43="是",反向題設定!$B$2+1-原始資料!AN161,原始資料!AN161))</f>
        <v/>
      </c>
      <c r="AO161">
        <f>IF(原始資料!AO161="","",IF(反向題設定!$C$44="是",反向題設定!$B$2+1-原始資料!AO161,原始資料!AO161))</f>
        <v/>
      </c>
      <c r="AP161">
        <f>IF(COUNT(B161:AO161)=0,"",SUM(B161:AO161))</f>
        <v/>
      </c>
      <c r="AQ161">
        <f>IF(AP161="","",IF(AP161&gt;=項目分析!$C$5,"高",IF(AP161&lt;=項目分析!$C$6,"低","")))</f>
        <v/>
      </c>
    </row>
    <row r="162">
      <c r="A162">
        <f>IF(原始資料!A162="","",原始資料!A162)</f>
        <v/>
      </c>
      <c r="B162">
        <f>IF(原始資料!B162="","",IF(反向題設定!$C$5="是",反向題設定!$B$2+1-原始資料!B162,原始資料!B162))</f>
        <v/>
      </c>
      <c r="C162">
        <f>IF(原始資料!C162="","",IF(反向題設定!$C$6="是",反向題設定!$B$2+1-原始資料!C162,原始資料!C162))</f>
        <v/>
      </c>
      <c r="D162">
        <f>IF(原始資料!D162="","",IF(反向題設定!$C$7="是",反向題設定!$B$2+1-原始資料!D162,原始資料!D162))</f>
        <v/>
      </c>
      <c r="E162">
        <f>IF(原始資料!E162="","",IF(反向題設定!$C$8="是",反向題設定!$B$2+1-原始資料!E162,原始資料!E162))</f>
        <v/>
      </c>
      <c r="F162">
        <f>IF(原始資料!F162="","",IF(反向題設定!$C$9="是",反向題設定!$B$2+1-原始資料!F162,原始資料!F162))</f>
        <v/>
      </c>
      <c r="G162">
        <f>IF(原始資料!G162="","",IF(反向題設定!$C$10="是",反向題設定!$B$2+1-原始資料!G162,原始資料!G162))</f>
        <v/>
      </c>
      <c r="H162">
        <f>IF(原始資料!H162="","",IF(反向題設定!$C$11="是",反向題設定!$B$2+1-原始資料!H162,原始資料!H162))</f>
        <v/>
      </c>
      <c r="I162">
        <f>IF(原始資料!I162="","",IF(反向題設定!$C$12="是",反向題設定!$B$2+1-原始資料!I162,原始資料!I162))</f>
        <v/>
      </c>
      <c r="J162">
        <f>IF(原始資料!J162="","",IF(反向題設定!$C$13="是",反向題設定!$B$2+1-原始資料!J162,原始資料!J162))</f>
        <v/>
      </c>
      <c r="K162">
        <f>IF(原始資料!K162="","",IF(反向題設定!$C$14="是",反向題設定!$B$2+1-原始資料!K162,原始資料!K162))</f>
        <v/>
      </c>
      <c r="L162">
        <f>IF(原始資料!L162="","",IF(反向題設定!$C$15="是",反向題設定!$B$2+1-原始資料!L162,原始資料!L162))</f>
        <v/>
      </c>
      <c r="M162">
        <f>IF(原始資料!M162="","",IF(反向題設定!$C$16="是",反向題設定!$B$2+1-原始資料!M162,原始資料!M162))</f>
        <v/>
      </c>
      <c r="N162">
        <f>IF(原始資料!N162="","",IF(反向題設定!$C$17="是",反向題設定!$B$2+1-原始資料!N162,原始資料!N162))</f>
        <v/>
      </c>
      <c r="O162">
        <f>IF(原始資料!O162="","",IF(反向題設定!$C$18="是",反向題設定!$B$2+1-原始資料!O162,原始資料!O162))</f>
        <v/>
      </c>
      <c r="P162">
        <f>IF(原始資料!P162="","",IF(反向題設定!$C$19="是",反向題設定!$B$2+1-原始資料!P162,原始資料!P162))</f>
        <v/>
      </c>
      <c r="Q162">
        <f>IF(原始資料!Q162="","",IF(反向題設定!$C$20="是",反向題設定!$B$2+1-原始資料!Q162,原始資料!Q162))</f>
        <v/>
      </c>
      <c r="R162">
        <f>IF(原始資料!R162="","",IF(反向題設定!$C$21="是",反向題設定!$B$2+1-原始資料!R162,原始資料!R162))</f>
        <v/>
      </c>
      <c r="S162">
        <f>IF(原始資料!S162="","",IF(反向題設定!$C$22="是",反向題設定!$B$2+1-原始資料!S162,原始資料!S162))</f>
        <v/>
      </c>
      <c r="T162">
        <f>IF(原始資料!T162="","",IF(反向題設定!$C$23="是",反向題設定!$B$2+1-原始資料!T162,原始資料!T162))</f>
        <v/>
      </c>
      <c r="U162">
        <f>IF(原始資料!U162="","",IF(反向題設定!$C$24="是",反向題設定!$B$2+1-原始資料!U162,原始資料!U162))</f>
        <v/>
      </c>
      <c r="V162">
        <f>IF(原始資料!V162="","",IF(反向題設定!$C$25="是",反向題設定!$B$2+1-原始資料!V162,原始資料!V162))</f>
        <v/>
      </c>
      <c r="W162">
        <f>IF(原始資料!W162="","",IF(反向題設定!$C$26="是",反向題設定!$B$2+1-原始資料!W162,原始資料!W162))</f>
        <v/>
      </c>
      <c r="X162">
        <f>IF(原始資料!X162="","",IF(反向題設定!$C$27="是",反向題設定!$B$2+1-原始資料!X162,原始資料!X162))</f>
        <v/>
      </c>
      <c r="Y162">
        <f>IF(原始資料!Y162="","",IF(反向題設定!$C$28="是",反向題設定!$B$2+1-原始資料!Y162,原始資料!Y162))</f>
        <v/>
      </c>
      <c r="Z162">
        <f>IF(原始資料!Z162="","",IF(反向題設定!$C$29="是",反向題設定!$B$2+1-原始資料!Z162,原始資料!Z162))</f>
        <v/>
      </c>
      <c r="AA162">
        <f>IF(原始資料!AA162="","",IF(反向題設定!$C$30="是",反向題設定!$B$2+1-原始資料!AA162,原始資料!AA162))</f>
        <v/>
      </c>
      <c r="AB162">
        <f>IF(原始資料!AB162="","",IF(反向題設定!$C$31="是",反向題設定!$B$2+1-原始資料!AB162,原始資料!AB162))</f>
        <v/>
      </c>
      <c r="AC162">
        <f>IF(原始資料!AC162="","",IF(反向題設定!$C$32="是",反向題設定!$B$2+1-原始資料!AC162,原始資料!AC162))</f>
        <v/>
      </c>
      <c r="AD162">
        <f>IF(原始資料!AD162="","",IF(反向題設定!$C$33="是",反向題設定!$B$2+1-原始資料!AD162,原始資料!AD162))</f>
        <v/>
      </c>
      <c r="AE162">
        <f>IF(原始資料!AE162="","",IF(反向題設定!$C$34="是",反向題設定!$B$2+1-原始資料!AE162,原始資料!AE162))</f>
        <v/>
      </c>
      <c r="AF162">
        <f>IF(原始資料!AF162="","",IF(反向題設定!$C$35="是",反向題設定!$B$2+1-原始資料!AF162,原始資料!AF162))</f>
        <v/>
      </c>
      <c r="AG162">
        <f>IF(原始資料!AG162="","",IF(反向題設定!$C$36="是",反向題設定!$B$2+1-原始資料!AG162,原始資料!AG162))</f>
        <v/>
      </c>
      <c r="AH162">
        <f>IF(原始資料!AH162="","",IF(反向題設定!$C$37="是",反向題設定!$B$2+1-原始資料!AH162,原始資料!AH162))</f>
        <v/>
      </c>
      <c r="AI162">
        <f>IF(原始資料!AI162="","",IF(反向題設定!$C$38="是",反向題設定!$B$2+1-原始資料!AI162,原始資料!AI162))</f>
        <v/>
      </c>
      <c r="AJ162">
        <f>IF(原始資料!AJ162="","",IF(反向題設定!$C$39="是",反向題設定!$B$2+1-原始資料!AJ162,原始資料!AJ162))</f>
        <v/>
      </c>
      <c r="AK162">
        <f>IF(原始資料!AK162="","",IF(反向題設定!$C$40="是",反向題設定!$B$2+1-原始資料!AK162,原始資料!AK162))</f>
        <v/>
      </c>
      <c r="AL162">
        <f>IF(原始資料!AL162="","",IF(反向題設定!$C$41="是",反向題設定!$B$2+1-原始資料!AL162,原始資料!AL162))</f>
        <v/>
      </c>
      <c r="AM162">
        <f>IF(原始資料!AM162="","",IF(反向題設定!$C$42="是",反向題設定!$B$2+1-原始資料!AM162,原始資料!AM162))</f>
        <v/>
      </c>
      <c r="AN162">
        <f>IF(原始資料!AN162="","",IF(反向題設定!$C$43="是",反向題設定!$B$2+1-原始資料!AN162,原始資料!AN162))</f>
        <v/>
      </c>
      <c r="AO162">
        <f>IF(原始資料!AO162="","",IF(反向題設定!$C$44="是",反向題設定!$B$2+1-原始資料!AO162,原始資料!AO162))</f>
        <v/>
      </c>
      <c r="AP162">
        <f>IF(COUNT(B162:AO162)=0,"",SUM(B162:AO162))</f>
        <v/>
      </c>
      <c r="AQ162">
        <f>IF(AP162="","",IF(AP162&gt;=項目分析!$C$5,"高",IF(AP162&lt;=項目分析!$C$6,"低","")))</f>
        <v/>
      </c>
    </row>
    <row r="163">
      <c r="A163">
        <f>IF(原始資料!A163="","",原始資料!A163)</f>
        <v/>
      </c>
      <c r="B163">
        <f>IF(原始資料!B163="","",IF(反向題設定!$C$5="是",反向題設定!$B$2+1-原始資料!B163,原始資料!B163))</f>
        <v/>
      </c>
      <c r="C163">
        <f>IF(原始資料!C163="","",IF(反向題設定!$C$6="是",反向題設定!$B$2+1-原始資料!C163,原始資料!C163))</f>
        <v/>
      </c>
      <c r="D163">
        <f>IF(原始資料!D163="","",IF(反向題設定!$C$7="是",反向題設定!$B$2+1-原始資料!D163,原始資料!D163))</f>
        <v/>
      </c>
      <c r="E163">
        <f>IF(原始資料!E163="","",IF(反向題設定!$C$8="是",反向題設定!$B$2+1-原始資料!E163,原始資料!E163))</f>
        <v/>
      </c>
      <c r="F163">
        <f>IF(原始資料!F163="","",IF(反向題設定!$C$9="是",反向題設定!$B$2+1-原始資料!F163,原始資料!F163))</f>
        <v/>
      </c>
      <c r="G163">
        <f>IF(原始資料!G163="","",IF(反向題設定!$C$10="是",反向題設定!$B$2+1-原始資料!G163,原始資料!G163))</f>
        <v/>
      </c>
      <c r="H163">
        <f>IF(原始資料!H163="","",IF(反向題設定!$C$11="是",反向題設定!$B$2+1-原始資料!H163,原始資料!H163))</f>
        <v/>
      </c>
      <c r="I163">
        <f>IF(原始資料!I163="","",IF(反向題設定!$C$12="是",反向題設定!$B$2+1-原始資料!I163,原始資料!I163))</f>
        <v/>
      </c>
      <c r="J163">
        <f>IF(原始資料!J163="","",IF(反向題設定!$C$13="是",反向題設定!$B$2+1-原始資料!J163,原始資料!J163))</f>
        <v/>
      </c>
      <c r="K163">
        <f>IF(原始資料!K163="","",IF(反向題設定!$C$14="是",反向題設定!$B$2+1-原始資料!K163,原始資料!K163))</f>
        <v/>
      </c>
      <c r="L163">
        <f>IF(原始資料!L163="","",IF(反向題設定!$C$15="是",反向題設定!$B$2+1-原始資料!L163,原始資料!L163))</f>
        <v/>
      </c>
      <c r="M163">
        <f>IF(原始資料!M163="","",IF(反向題設定!$C$16="是",反向題設定!$B$2+1-原始資料!M163,原始資料!M163))</f>
        <v/>
      </c>
      <c r="N163">
        <f>IF(原始資料!N163="","",IF(反向題設定!$C$17="是",反向題設定!$B$2+1-原始資料!N163,原始資料!N163))</f>
        <v/>
      </c>
      <c r="O163">
        <f>IF(原始資料!O163="","",IF(反向題設定!$C$18="是",反向題設定!$B$2+1-原始資料!O163,原始資料!O163))</f>
        <v/>
      </c>
      <c r="P163">
        <f>IF(原始資料!P163="","",IF(反向題設定!$C$19="是",反向題設定!$B$2+1-原始資料!P163,原始資料!P163))</f>
        <v/>
      </c>
      <c r="Q163">
        <f>IF(原始資料!Q163="","",IF(反向題設定!$C$20="是",反向題設定!$B$2+1-原始資料!Q163,原始資料!Q163))</f>
        <v/>
      </c>
      <c r="R163">
        <f>IF(原始資料!R163="","",IF(反向題設定!$C$21="是",反向題設定!$B$2+1-原始資料!R163,原始資料!R163))</f>
        <v/>
      </c>
      <c r="S163">
        <f>IF(原始資料!S163="","",IF(反向題設定!$C$22="是",反向題設定!$B$2+1-原始資料!S163,原始資料!S163))</f>
        <v/>
      </c>
      <c r="T163">
        <f>IF(原始資料!T163="","",IF(反向題設定!$C$23="是",反向題設定!$B$2+1-原始資料!T163,原始資料!T163))</f>
        <v/>
      </c>
      <c r="U163">
        <f>IF(原始資料!U163="","",IF(反向題設定!$C$24="是",反向題設定!$B$2+1-原始資料!U163,原始資料!U163))</f>
        <v/>
      </c>
      <c r="V163">
        <f>IF(原始資料!V163="","",IF(反向題設定!$C$25="是",反向題設定!$B$2+1-原始資料!V163,原始資料!V163))</f>
        <v/>
      </c>
      <c r="W163">
        <f>IF(原始資料!W163="","",IF(反向題設定!$C$26="是",反向題設定!$B$2+1-原始資料!W163,原始資料!W163))</f>
        <v/>
      </c>
      <c r="X163">
        <f>IF(原始資料!X163="","",IF(反向題設定!$C$27="是",反向題設定!$B$2+1-原始資料!X163,原始資料!X163))</f>
        <v/>
      </c>
      <c r="Y163">
        <f>IF(原始資料!Y163="","",IF(反向題設定!$C$28="是",反向題設定!$B$2+1-原始資料!Y163,原始資料!Y163))</f>
        <v/>
      </c>
      <c r="Z163">
        <f>IF(原始資料!Z163="","",IF(反向題設定!$C$29="是",反向題設定!$B$2+1-原始資料!Z163,原始資料!Z163))</f>
        <v/>
      </c>
      <c r="AA163">
        <f>IF(原始資料!AA163="","",IF(反向題設定!$C$30="是",反向題設定!$B$2+1-原始資料!AA163,原始資料!AA163))</f>
        <v/>
      </c>
      <c r="AB163">
        <f>IF(原始資料!AB163="","",IF(反向題設定!$C$31="是",反向題設定!$B$2+1-原始資料!AB163,原始資料!AB163))</f>
        <v/>
      </c>
      <c r="AC163">
        <f>IF(原始資料!AC163="","",IF(反向題設定!$C$32="是",反向題設定!$B$2+1-原始資料!AC163,原始資料!AC163))</f>
        <v/>
      </c>
      <c r="AD163">
        <f>IF(原始資料!AD163="","",IF(反向題設定!$C$33="是",反向題設定!$B$2+1-原始資料!AD163,原始資料!AD163))</f>
        <v/>
      </c>
      <c r="AE163">
        <f>IF(原始資料!AE163="","",IF(反向題設定!$C$34="是",反向題設定!$B$2+1-原始資料!AE163,原始資料!AE163))</f>
        <v/>
      </c>
      <c r="AF163">
        <f>IF(原始資料!AF163="","",IF(反向題設定!$C$35="是",反向題設定!$B$2+1-原始資料!AF163,原始資料!AF163))</f>
        <v/>
      </c>
      <c r="AG163">
        <f>IF(原始資料!AG163="","",IF(反向題設定!$C$36="是",反向題設定!$B$2+1-原始資料!AG163,原始資料!AG163))</f>
        <v/>
      </c>
      <c r="AH163">
        <f>IF(原始資料!AH163="","",IF(反向題設定!$C$37="是",反向題設定!$B$2+1-原始資料!AH163,原始資料!AH163))</f>
        <v/>
      </c>
      <c r="AI163">
        <f>IF(原始資料!AI163="","",IF(反向題設定!$C$38="是",反向題設定!$B$2+1-原始資料!AI163,原始資料!AI163))</f>
        <v/>
      </c>
      <c r="AJ163">
        <f>IF(原始資料!AJ163="","",IF(反向題設定!$C$39="是",反向題設定!$B$2+1-原始資料!AJ163,原始資料!AJ163))</f>
        <v/>
      </c>
      <c r="AK163">
        <f>IF(原始資料!AK163="","",IF(反向題設定!$C$40="是",反向題設定!$B$2+1-原始資料!AK163,原始資料!AK163))</f>
        <v/>
      </c>
      <c r="AL163">
        <f>IF(原始資料!AL163="","",IF(反向題設定!$C$41="是",反向題設定!$B$2+1-原始資料!AL163,原始資料!AL163))</f>
        <v/>
      </c>
      <c r="AM163">
        <f>IF(原始資料!AM163="","",IF(反向題設定!$C$42="是",反向題設定!$B$2+1-原始資料!AM163,原始資料!AM163))</f>
        <v/>
      </c>
      <c r="AN163">
        <f>IF(原始資料!AN163="","",IF(反向題設定!$C$43="是",反向題設定!$B$2+1-原始資料!AN163,原始資料!AN163))</f>
        <v/>
      </c>
      <c r="AO163">
        <f>IF(原始資料!AO163="","",IF(反向題設定!$C$44="是",反向題設定!$B$2+1-原始資料!AO163,原始資料!AO163))</f>
        <v/>
      </c>
      <c r="AP163">
        <f>IF(COUNT(B163:AO163)=0,"",SUM(B163:AO163))</f>
        <v/>
      </c>
      <c r="AQ163">
        <f>IF(AP163="","",IF(AP163&gt;=項目分析!$C$5,"高",IF(AP163&lt;=項目分析!$C$6,"低","")))</f>
        <v/>
      </c>
    </row>
    <row r="164">
      <c r="A164">
        <f>IF(原始資料!A164="","",原始資料!A164)</f>
        <v/>
      </c>
      <c r="B164">
        <f>IF(原始資料!B164="","",IF(反向題設定!$C$5="是",反向題設定!$B$2+1-原始資料!B164,原始資料!B164))</f>
        <v/>
      </c>
      <c r="C164">
        <f>IF(原始資料!C164="","",IF(反向題設定!$C$6="是",反向題設定!$B$2+1-原始資料!C164,原始資料!C164))</f>
        <v/>
      </c>
      <c r="D164">
        <f>IF(原始資料!D164="","",IF(反向題設定!$C$7="是",反向題設定!$B$2+1-原始資料!D164,原始資料!D164))</f>
        <v/>
      </c>
      <c r="E164">
        <f>IF(原始資料!E164="","",IF(反向題設定!$C$8="是",反向題設定!$B$2+1-原始資料!E164,原始資料!E164))</f>
        <v/>
      </c>
      <c r="F164">
        <f>IF(原始資料!F164="","",IF(反向題設定!$C$9="是",反向題設定!$B$2+1-原始資料!F164,原始資料!F164))</f>
        <v/>
      </c>
      <c r="G164">
        <f>IF(原始資料!G164="","",IF(反向題設定!$C$10="是",反向題設定!$B$2+1-原始資料!G164,原始資料!G164))</f>
        <v/>
      </c>
      <c r="H164">
        <f>IF(原始資料!H164="","",IF(反向題設定!$C$11="是",反向題設定!$B$2+1-原始資料!H164,原始資料!H164))</f>
        <v/>
      </c>
      <c r="I164">
        <f>IF(原始資料!I164="","",IF(反向題設定!$C$12="是",反向題設定!$B$2+1-原始資料!I164,原始資料!I164))</f>
        <v/>
      </c>
      <c r="J164">
        <f>IF(原始資料!J164="","",IF(反向題設定!$C$13="是",反向題設定!$B$2+1-原始資料!J164,原始資料!J164))</f>
        <v/>
      </c>
      <c r="K164">
        <f>IF(原始資料!K164="","",IF(反向題設定!$C$14="是",反向題設定!$B$2+1-原始資料!K164,原始資料!K164))</f>
        <v/>
      </c>
      <c r="L164">
        <f>IF(原始資料!L164="","",IF(反向題設定!$C$15="是",反向題設定!$B$2+1-原始資料!L164,原始資料!L164))</f>
        <v/>
      </c>
      <c r="M164">
        <f>IF(原始資料!M164="","",IF(反向題設定!$C$16="是",反向題設定!$B$2+1-原始資料!M164,原始資料!M164))</f>
        <v/>
      </c>
      <c r="N164">
        <f>IF(原始資料!N164="","",IF(反向題設定!$C$17="是",反向題設定!$B$2+1-原始資料!N164,原始資料!N164))</f>
        <v/>
      </c>
      <c r="O164">
        <f>IF(原始資料!O164="","",IF(反向題設定!$C$18="是",反向題設定!$B$2+1-原始資料!O164,原始資料!O164))</f>
        <v/>
      </c>
      <c r="P164">
        <f>IF(原始資料!P164="","",IF(反向題設定!$C$19="是",反向題設定!$B$2+1-原始資料!P164,原始資料!P164))</f>
        <v/>
      </c>
      <c r="Q164">
        <f>IF(原始資料!Q164="","",IF(反向題設定!$C$20="是",反向題設定!$B$2+1-原始資料!Q164,原始資料!Q164))</f>
        <v/>
      </c>
      <c r="R164">
        <f>IF(原始資料!R164="","",IF(反向題設定!$C$21="是",反向題設定!$B$2+1-原始資料!R164,原始資料!R164))</f>
        <v/>
      </c>
      <c r="S164">
        <f>IF(原始資料!S164="","",IF(反向題設定!$C$22="是",反向題設定!$B$2+1-原始資料!S164,原始資料!S164))</f>
        <v/>
      </c>
      <c r="T164">
        <f>IF(原始資料!T164="","",IF(反向題設定!$C$23="是",反向題設定!$B$2+1-原始資料!T164,原始資料!T164))</f>
        <v/>
      </c>
      <c r="U164">
        <f>IF(原始資料!U164="","",IF(反向題設定!$C$24="是",反向題設定!$B$2+1-原始資料!U164,原始資料!U164))</f>
        <v/>
      </c>
      <c r="V164">
        <f>IF(原始資料!V164="","",IF(反向題設定!$C$25="是",反向題設定!$B$2+1-原始資料!V164,原始資料!V164))</f>
        <v/>
      </c>
      <c r="W164">
        <f>IF(原始資料!W164="","",IF(反向題設定!$C$26="是",反向題設定!$B$2+1-原始資料!W164,原始資料!W164))</f>
        <v/>
      </c>
      <c r="X164">
        <f>IF(原始資料!X164="","",IF(反向題設定!$C$27="是",反向題設定!$B$2+1-原始資料!X164,原始資料!X164))</f>
        <v/>
      </c>
      <c r="Y164">
        <f>IF(原始資料!Y164="","",IF(反向題設定!$C$28="是",反向題設定!$B$2+1-原始資料!Y164,原始資料!Y164))</f>
        <v/>
      </c>
      <c r="Z164">
        <f>IF(原始資料!Z164="","",IF(反向題設定!$C$29="是",反向題設定!$B$2+1-原始資料!Z164,原始資料!Z164))</f>
        <v/>
      </c>
      <c r="AA164">
        <f>IF(原始資料!AA164="","",IF(反向題設定!$C$30="是",反向題設定!$B$2+1-原始資料!AA164,原始資料!AA164))</f>
        <v/>
      </c>
      <c r="AB164">
        <f>IF(原始資料!AB164="","",IF(反向題設定!$C$31="是",反向題設定!$B$2+1-原始資料!AB164,原始資料!AB164))</f>
        <v/>
      </c>
      <c r="AC164">
        <f>IF(原始資料!AC164="","",IF(反向題設定!$C$32="是",反向題設定!$B$2+1-原始資料!AC164,原始資料!AC164))</f>
        <v/>
      </c>
      <c r="AD164">
        <f>IF(原始資料!AD164="","",IF(反向題設定!$C$33="是",反向題設定!$B$2+1-原始資料!AD164,原始資料!AD164))</f>
        <v/>
      </c>
      <c r="AE164">
        <f>IF(原始資料!AE164="","",IF(反向題設定!$C$34="是",反向題設定!$B$2+1-原始資料!AE164,原始資料!AE164))</f>
        <v/>
      </c>
      <c r="AF164">
        <f>IF(原始資料!AF164="","",IF(反向題設定!$C$35="是",反向題設定!$B$2+1-原始資料!AF164,原始資料!AF164))</f>
        <v/>
      </c>
      <c r="AG164">
        <f>IF(原始資料!AG164="","",IF(反向題設定!$C$36="是",反向題設定!$B$2+1-原始資料!AG164,原始資料!AG164))</f>
        <v/>
      </c>
      <c r="AH164">
        <f>IF(原始資料!AH164="","",IF(反向題設定!$C$37="是",反向題設定!$B$2+1-原始資料!AH164,原始資料!AH164))</f>
        <v/>
      </c>
      <c r="AI164">
        <f>IF(原始資料!AI164="","",IF(反向題設定!$C$38="是",反向題設定!$B$2+1-原始資料!AI164,原始資料!AI164))</f>
        <v/>
      </c>
      <c r="AJ164">
        <f>IF(原始資料!AJ164="","",IF(反向題設定!$C$39="是",反向題設定!$B$2+1-原始資料!AJ164,原始資料!AJ164))</f>
        <v/>
      </c>
      <c r="AK164">
        <f>IF(原始資料!AK164="","",IF(反向題設定!$C$40="是",反向題設定!$B$2+1-原始資料!AK164,原始資料!AK164))</f>
        <v/>
      </c>
      <c r="AL164">
        <f>IF(原始資料!AL164="","",IF(反向題設定!$C$41="是",反向題設定!$B$2+1-原始資料!AL164,原始資料!AL164))</f>
        <v/>
      </c>
      <c r="AM164">
        <f>IF(原始資料!AM164="","",IF(反向題設定!$C$42="是",反向題設定!$B$2+1-原始資料!AM164,原始資料!AM164))</f>
        <v/>
      </c>
      <c r="AN164">
        <f>IF(原始資料!AN164="","",IF(反向題設定!$C$43="是",反向題設定!$B$2+1-原始資料!AN164,原始資料!AN164))</f>
        <v/>
      </c>
      <c r="AO164">
        <f>IF(原始資料!AO164="","",IF(反向題設定!$C$44="是",反向題設定!$B$2+1-原始資料!AO164,原始資料!AO164))</f>
        <v/>
      </c>
      <c r="AP164">
        <f>IF(COUNT(B164:AO164)=0,"",SUM(B164:AO164))</f>
        <v/>
      </c>
      <c r="AQ164">
        <f>IF(AP164="","",IF(AP164&gt;=項目分析!$C$5,"高",IF(AP164&lt;=項目分析!$C$6,"低","")))</f>
        <v/>
      </c>
    </row>
    <row r="165">
      <c r="A165">
        <f>IF(原始資料!A165="","",原始資料!A165)</f>
        <v/>
      </c>
      <c r="B165">
        <f>IF(原始資料!B165="","",IF(反向題設定!$C$5="是",反向題設定!$B$2+1-原始資料!B165,原始資料!B165))</f>
        <v/>
      </c>
      <c r="C165">
        <f>IF(原始資料!C165="","",IF(反向題設定!$C$6="是",反向題設定!$B$2+1-原始資料!C165,原始資料!C165))</f>
        <v/>
      </c>
      <c r="D165">
        <f>IF(原始資料!D165="","",IF(反向題設定!$C$7="是",反向題設定!$B$2+1-原始資料!D165,原始資料!D165))</f>
        <v/>
      </c>
      <c r="E165">
        <f>IF(原始資料!E165="","",IF(反向題設定!$C$8="是",反向題設定!$B$2+1-原始資料!E165,原始資料!E165))</f>
        <v/>
      </c>
      <c r="F165">
        <f>IF(原始資料!F165="","",IF(反向題設定!$C$9="是",反向題設定!$B$2+1-原始資料!F165,原始資料!F165))</f>
        <v/>
      </c>
      <c r="G165">
        <f>IF(原始資料!G165="","",IF(反向題設定!$C$10="是",反向題設定!$B$2+1-原始資料!G165,原始資料!G165))</f>
        <v/>
      </c>
      <c r="H165">
        <f>IF(原始資料!H165="","",IF(反向題設定!$C$11="是",反向題設定!$B$2+1-原始資料!H165,原始資料!H165))</f>
        <v/>
      </c>
      <c r="I165">
        <f>IF(原始資料!I165="","",IF(反向題設定!$C$12="是",反向題設定!$B$2+1-原始資料!I165,原始資料!I165))</f>
        <v/>
      </c>
      <c r="J165">
        <f>IF(原始資料!J165="","",IF(反向題設定!$C$13="是",反向題設定!$B$2+1-原始資料!J165,原始資料!J165))</f>
        <v/>
      </c>
      <c r="K165">
        <f>IF(原始資料!K165="","",IF(反向題設定!$C$14="是",反向題設定!$B$2+1-原始資料!K165,原始資料!K165))</f>
        <v/>
      </c>
      <c r="L165">
        <f>IF(原始資料!L165="","",IF(反向題設定!$C$15="是",反向題設定!$B$2+1-原始資料!L165,原始資料!L165))</f>
        <v/>
      </c>
      <c r="M165">
        <f>IF(原始資料!M165="","",IF(反向題設定!$C$16="是",反向題設定!$B$2+1-原始資料!M165,原始資料!M165))</f>
        <v/>
      </c>
      <c r="N165">
        <f>IF(原始資料!N165="","",IF(反向題設定!$C$17="是",反向題設定!$B$2+1-原始資料!N165,原始資料!N165))</f>
        <v/>
      </c>
      <c r="O165">
        <f>IF(原始資料!O165="","",IF(反向題設定!$C$18="是",反向題設定!$B$2+1-原始資料!O165,原始資料!O165))</f>
        <v/>
      </c>
      <c r="P165">
        <f>IF(原始資料!P165="","",IF(反向題設定!$C$19="是",反向題設定!$B$2+1-原始資料!P165,原始資料!P165))</f>
        <v/>
      </c>
      <c r="Q165">
        <f>IF(原始資料!Q165="","",IF(反向題設定!$C$20="是",反向題設定!$B$2+1-原始資料!Q165,原始資料!Q165))</f>
        <v/>
      </c>
      <c r="R165">
        <f>IF(原始資料!R165="","",IF(反向題設定!$C$21="是",反向題設定!$B$2+1-原始資料!R165,原始資料!R165))</f>
        <v/>
      </c>
      <c r="S165">
        <f>IF(原始資料!S165="","",IF(反向題設定!$C$22="是",反向題設定!$B$2+1-原始資料!S165,原始資料!S165))</f>
        <v/>
      </c>
      <c r="T165">
        <f>IF(原始資料!T165="","",IF(反向題設定!$C$23="是",反向題設定!$B$2+1-原始資料!T165,原始資料!T165))</f>
        <v/>
      </c>
      <c r="U165">
        <f>IF(原始資料!U165="","",IF(反向題設定!$C$24="是",反向題設定!$B$2+1-原始資料!U165,原始資料!U165))</f>
        <v/>
      </c>
      <c r="V165">
        <f>IF(原始資料!V165="","",IF(反向題設定!$C$25="是",反向題設定!$B$2+1-原始資料!V165,原始資料!V165))</f>
        <v/>
      </c>
      <c r="W165">
        <f>IF(原始資料!W165="","",IF(反向題設定!$C$26="是",反向題設定!$B$2+1-原始資料!W165,原始資料!W165))</f>
        <v/>
      </c>
      <c r="X165">
        <f>IF(原始資料!X165="","",IF(反向題設定!$C$27="是",反向題設定!$B$2+1-原始資料!X165,原始資料!X165))</f>
        <v/>
      </c>
      <c r="Y165">
        <f>IF(原始資料!Y165="","",IF(反向題設定!$C$28="是",反向題設定!$B$2+1-原始資料!Y165,原始資料!Y165))</f>
        <v/>
      </c>
      <c r="Z165">
        <f>IF(原始資料!Z165="","",IF(反向題設定!$C$29="是",反向題設定!$B$2+1-原始資料!Z165,原始資料!Z165))</f>
        <v/>
      </c>
      <c r="AA165">
        <f>IF(原始資料!AA165="","",IF(反向題設定!$C$30="是",反向題設定!$B$2+1-原始資料!AA165,原始資料!AA165))</f>
        <v/>
      </c>
      <c r="AB165">
        <f>IF(原始資料!AB165="","",IF(反向題設定!$C$31="是",反向題設定!$B$2+1-原始資料!AB165,原始資料!AB165))</f>
        <v/>
      </c>
      <c r="AC165">
        <f>IF(原始資料!AC165="","",IF(反向題設定!$C$32="是",反向題設定!$B$2+1-原始資料!AC165,原始資料!AC165))</f>
        <v/>
      </c>
      <c r="AD165">
        <f>IF(原始資料!AD165="","",IF(反向題設定!$C$33="是",反向題設定!$B$2+1-原始資料!AD165,原始資料!AD165))</f>
        <v/>
      </c>
      <c r="AE165">
        <f>IF(原始資料!AE165="","",IF(反向題設定!$C$34="是",反向題設定!$B$2+1-原始資料!AE165,原始資料!AE165))</f>
        <v/>
      </c>
      <c r="AF165">
        <f>IF(原始資料!AF165="","",IF(反向題設定!$C$35="是",反向題設定!$B$2+1-原始資料!AF165,原始資料!AF165))</f>
        <v/>
      </c>
      <c r="AG165">
        <f>IF(原始資料!AG165="","",IF(反向題設定!$C$36="是",反向題設定!$B$2+1-原始資料!AG165,原始資料!AG165))</f>
        <v/>
      </c>
      <c r="AH165">
        <f>IF(原始資料!AH165="","",IF(反向題設定!$C$37="是",反向題設定!$B$2+1-原始資料!AH165,原始資料!AH165))</f>
        <v/>
      </c>
      <c r="AI165">
        <f>IF(原始資料!AI165="","",IF(反向題設定!$C$38="是",反向題設定!$B$2+1-原始資料!AI165,原始資料!AI165))</f>
        <v/>
      </c>
      <c r="AJ165">
        <f>IF(原始資料!AJ165="","",IF(反向題設定!$C$39="是",反向題設定!$B$2+1-原始資料!AJ165,原始資料!AJ165))</f>
        <v/>
      </c>
      <c r="AK165">
        <f>IF(原始資料!AK165="","",IF(反向題設定!$C$40="是",反向題設定!$B$2+1-原始資料!AK165,原始資料!AK165))</f>
        <v/>
      </c>
      <c r="AL165">
        <f>IF(原始資料!AL165="","",IF(反向題設定!$C$41="是",反向題設定!$B$2+1-原始資料!AL165,原始資料!AL165))</f>
        <v/>
      </c>
      <c r="AM165">
        <f>IF(原始資料!AM165="","",IF(反向題設定!$C$42="是",反向題設定!$B$2+1-原始資料!AM165,原始資料!AM165))</f>
        <v/>
      </c>
      <c r="AN165">
        <f>IF(原始資料!AN165="","",IF(反向題設定!$C$43="是",反向題設定!$B$2+1-原始資料!AN165,原始資料!AN165))</f>
        <v/>
      </c>
      <c r="AO165">
        <f>IF(原始資料!AO165="","",IF(反向題設定!$C$44="是",反向題設定!$B$2+1-原始資料!AO165,原始資料!AO165))</f>
        <v/>
      </c>
      <c r="AP165">
        <f>IF(COUNT(B165:AO165)=0,"",SUM(B165:AO165))</f>
        <v/>
      </c>
      <c r="AQ165">
        <f>IF(AP165="","",IF(AP165&gt;=項目分析!$C$5,"高",IF(AP165&lt;=項目分析!$C$6,"低","")))</f>
        <v/>
      </c>
    </row>
    <row r="166">
      <c r="A166">
        <f>IF(原始資料!A166="","",原始資料!A166)</f>
        <v/>
      </c>
      <c r="B166">
        <f>IF(原始資料!B166="","",IF(反向題設定!$C$5="是",反向題設定!$B$2+1-原始資料!B166,原始資料!B166))</f>
        <v/>
      </c>
      <c r="C166">
        <f>IF(原始資料!C166="","",IF(反向題設定!$C$6="是",反向題設定!$B$2+1-原始資料!C166,原始資料!C166))</f>
        <v/>
      </c>
      <c r="D166">
        <f>IF(原始資料!D166="","",IF(反向題設定!$C$7="是",反向題設定!$B$2+1-原始資料!D166,原始資料!D166))</f>
        <v/>
      </c>
      <c r="E166">
        <f>IF(原始資料!E166="","",IF(反向題設定!$C$8="是",反向題設定!$B$2+1-原始資料!E166,原始資料!E166))</f>
        <v/>
      </c>
      <c r="F166">
        <f>IF(原始資料!F166="","",IF(反向題設定!$C$9="是",反向題設定!$B$2+1-原始資料!F166,原始資料!F166))</f>
        <v/>
      </c>
      <c r="G166">
        <f>IF(原始資料!G166="","",IF(反向題設定!$C$10="是",反向題設定!$B$2+1-原始資料!G166,原始資料!G166))</f>
        <v/>
      </c>
      <c r="H166">
        <f>IF(原始資料!H166="","",IF(反向題設定!$C$11="是",反向題設定!$B$2+1-原始資料!H166,原始資料!H166))</f>
        <v/>
      </c>
      <c r="I166">
        <f>IF(原始資料!I166="","",IF(反向題設定!$C$12="是",反向題設定!$B$2+1-原始資料!I166,原始資料!I166))</f>
        <v/>
      </c>
      <c r="J166">
        <f>IF(原始資料!J166="","",IF(反向題設定!$C$13="是",反向題設定!$B$2+1-原始資料!J166,原始資料!J166))</f>
        <v/>
      </c>
      <c r="K166">
        <f>IF(原始資料!K166="","",IF(反向題設定!$C$14="是",反向題設定!$B$2+1-原始資料!K166,原始資料!K166))</f>
        <v/>
      </c>
      <c r="L166">
        <f>IF(原始資料!L166="","",IF(反向題設定!$C$15="是",反向題設定!$B$2+1-原始資料!L166,原始資料!L166))</f>
        <v/>
      </c>
      <c r="M166">
        <f>IF(原始資料!M166="","",IF(反向題設定!$C$16="是",反向題設定!$B$2+1-原始資料!M166,原始資料!M166))</f>
        <v/>
      </c>
      <c r="N166">
        <f>IF(原始資料!N166="","",IF(反向題設定!$C$17="是",反向題設定!$B$2+1-原始資料!N166,原始資料!N166))</f>
        <v/>
      </c>
      <c r="O166">
        <f>IF(原始資料!O166="","",IF(反向題設定!$C$18="是",反向題設定!$B$2+1-原始資料!O166,原始資料!O166))</f>
        <v/>
      </c>
      <c r="P166">
        <f>IF(原始資料!P166="","",IF(反向題設定!$C$19="是",反向題設定!$B$2+1-原始資料!P166,原始資料!P166))</f>
        <v/>
      </c>
      <c r="Q166">
        <f>IF(原始資料!Q166="","",IF(反向題設定!$C$20="是",反向題設定!$B$2+1-原始資料!Q166,原始資料!Q166))</f>
        <v/>
      </c>
      <c r="R166">
        <f>IF(原始資料!R166="","",IF(反向題設定!$C$21="是",反向題設定!$B$2+1-原始資料!R166,原始資料!R166))</f>
        <v/>
      </c>
      <c r="S166">
        <f>IF(原始資料!S166="","",IF(反向題設定!$C$22="是",反向題設定!$B$2+1-原始資料!S166,原始資料!S166))</f>
        <v/>
      </c>
      <c r="T166">
        <f>IF(原始資料!T166="","",IF(反向題設定!$C$23="是",反向題設定!$B$2+1-原始資料!T166,原始資料!T166))</f>
        <v/>
      </c>
      <c r="U166">
        <f>IF(原始資料!U166="","",IF(反向題設定!$C$24="是",反向題設定!$B$2+1-原始資料!U166,原始資料!U166))</f>
        <v/>
      </c>
      <c r="V166">
        <f>IF(原始資料!V166="","",IF(反向題設定!$C$25="是",反向題設定!$B$2+1-原始資料!V166,原始資料!V166))</f>
        <v/>
      </c>
      <c r="W166">
        <f>IF(原始資料!W166="","",IF(反向題設定!$C$26="是",反向題設定!$B$2+1-原始資料!W166,原始資料!W166))</f>
        <v/>
      </c>
      <c r="X166">
        <f>IF(原始資料!X166="","",IF(反向題設定!$C$27="是",反向題設定!$B$2+1-原始資料!X166,原始資料!X166))</f>
        <v/>
      </c>
      <c r="Y166">
        <f>IF(原始資料!Y166="","",IF(反向題設定!$C$28="是",反向題設定!$B$2+1-原始資料!Y166,原始資料!Y166))</f>
        <v/>
      </c>
      <c r="Z166">
        <f>IF(原始資料!Z166="","",IF(反向題設定!$C$29="是",反向題設定!$B$2+1-原始資料!Z166,原始資料!Z166))</f>
        <v/>
      </c>
      <c r="AA166">
        <f>IF(原始資料!AA166="","",IF(反向題設定!$C$30="是",反向題設定!$B$2+1-原始資料!AA166,原始資料!AA166))</f>
        <v/>
      </c>
      <c r="AB166">
        <f>IF(原始資料!AB166="","",IF(反向題設定!$C$31="是",反向題設定!$B$2+1-原始資料!AB166,原始資料!AB166))</f>
        <v/>
      </c>
      <c r="AC166">
        <f>IF(原始資料!AC166="","",IF(反向題設定!$C$32="是",反向題設定!$B$2+1-原始資料!AC166,原始資料!AC166))</f>
        <v/>
      </c>
      <c r="AD166">
        <f>IF(原始資料!AD166="","",IF(反向題設定!$C$33="是",反向題設定!$B$2+1-原始資料!AD166,原始資料!AD166))</f>
        <v/>
      </c>
      <c r="AE166">
        <f>IF(原始資料!AE166="","",IF(反向題設定!$C$34="是",反向題設定!$B$2+1-原始資料!AE166,原始資料!AE166))</f>
        <v/>
      </c>
      <c r="AF166">
        <f>IF(原始資料!AF166="","",IF(反向題設定!$C$35="是",反向題設定!$B$2+1-原始資料!AF166,原始資料!AF166))</f>
        <v/>
      </c>
      <c r="AG166">
        <f>IF(原始資料!AG166="","",IF(反向題設定!$C$36="是",反向題設定!$B$2+1-原始資料!AG166,原始資料!AG166))</f>
        <v/>
      </c>
      <c r="AH166">
        <f>IF(原始資料!AH166="","",IF(反向題設定!$C$37="是",反向題設定!$B$2+1-原始資料!AH166,原始資料!AH166))</f>
        <v/>
      </c>
      <c r="AI166">
        <f>IF(原始資料!AI166="","",IF(反向題設定!$C$38="是",反向題設定!$B$2+1-原始資料!AI166,原始資料!AI166))</f>
        <v/>
      </c>
      <c r="AJ166">
        <f>IF(原始資料!AJ166="","",IF(反向題設定!$C$39="是",反向題設定!$B$2+1-原始資料!AJ166,原始資料!AJ166))</f>
        <v/>
      </c>
      <c r="AK166">
        <f>IF(原始資料!AK166="","",IF(反向題設定!$C$40="是",反向題設定!$B$2+1-原始資料!AK166,原始資料!AK166))</f>
        <v/>
      </c>
      <c r="AL166">
        <f>IF(原始資料!AL166="","",IF(反向題設定!$C$41="是",反向題設定!$B$2+1-原始資料!AL166,原始資料!AL166))</f>
        <v/>
      </c>
      <c r="AM166">
        <f>IF(原始資料!AM166="","",IF(反向題設定!$C$42="是",反向題設定!$B$2+1-原始資料!AM166,原始資料!AM166))</f>
        <v/>
      </c>
      <c r="AN166">
        <f>IF(原始資料!AN166="","",IF(反向題設定!$C$43="是",反向題設定!$B$2+1-原始資料!AN166,原始資料!AN166))</f>
        <v/>
      </c>
      <c r="AO166">
        <f>IF(原始資料!AO166="","",IF(反向題設定!$C$44="是",反向題設定!$B$2+1-原始資料!AO166,原始資料!AO166))</f>
        <v/>
      </c>
      <c r="AP166">
        <f>IF(COUNT(B166:AO166)=0,"",SUM(B166:AO166))</f>
        <v/>
      </c>
      <c r="AQ166">
        <f>IF(AP166="","",IF(AP166&gt;=項目分析!$C$5,"高",IF(AP166&lt;=項目分析!$C$6,"低","")))</f>
        <v/>
      </c>
    </row>
    <row r="167">
      <c r="A167">
        <f>IF(原始資料!A167="","",原始資料!A167)</f>
        <v/>
      </c>
      <c r="B167">
        <f>IF(原始資料!B167="","",IF(反向題設定!$C$5="是",反向題設定!$B$2+1-原始資料!B167,原始資料!B167))</f>
        <v/>
      </c>
      <c r="C167">
        <f>IF(原始資料!C167="","",IF(反向題設定!$C$6="是",反向題設定!$B$2+1-原始資料!C167,原始資料!C167))</f>
        <v/>
      </c>
      <c r="D167">
        <f>IF(原始資料!D167="","",IF(反向題設定!$C$7="是",反向題設定!$B$2+1-原始資料!D167,原始資料!D167))</f>
        <v/>
      </c>
      <c r="E167">
        <f>IF(原始資料!E167="","",IF(反向題設定!$C$8="是",反向題設定!$B$2+1-原始資料!E167,原始資料!E167))</f>
        <v/>
      </c>
      <c r="F167">
        <f>IF(原始資料!F167="","",IF(反向題設定!$C$9="是",反向題設定!$B$2+1-原始資料!F167,原始資料!F167))</f>
        <v/>
      </c>
      <c r="G167">
        <f>IF(原始資料!G167="","",IF(反向題設定!$C$10="是",反向題設定!$B$2+1-原始資料!G167,原始資料!G167))</f>
        <v/>
      </c>
      <c r="H167">
        <f>IF(原始資料!H167="","",IF(反向題設定!$C$11="是",反向題設定!$B$2+1-原始資料!H167,原始資料!H167))</f>
        <v/>
      </c>
      <c r="I167">
        <f>IF(原始資料!I167="","",IF(反向題設定!$C$12="是",反向題設定!$B$2+1-原始資料!I167,原始資料!I167))</f>
        <v/>
      </c>
      <c r="J167">
        <f>IF(原始資料!J167="","",IF(反向題設定!$C$13="是",反向題設定!$B$2+1-原始資料!J167,原始資料!J167))</f>
        <v/>
      </c>
      <c r="K167">
        <f>IF(原始資料!K167="","",IF(反向題設定!$C$14="是",反向題設定!$B$2+1-原始資料!K167,原始資料!K167))</f>
        <v/>
      </c>
      <c r="L167">
        <f>IF(原始資料!L167="","",IF(反向題設定!$C$15="是",反向題設定!$B$2+1-原始資料!L167,原始資料!L167))</f>
        <v/>
      </c>
      <c r="M167">
        <f>IF(原始資料!M167="","",IF(反向題設定!$C$16="是",反向題設定!$B$2+1-原始資料!M167,原始資料!M167))</f>
        <v/>
      </c>
      <c r="N167">
        <f>IF(原始資料!N167="","",IF(反向題設定!$C$17="是",反向題設定!$B$2+1-原始資料!N167,原始資料!N167))</f>
        <v/>
      </c>
      <c r="O167">
        <f>IF(原始資料!O167="","",IF(反向題設定!$C$18="是",反向題設定!$B$2+1-原始資料!O167,原始資料!O167))</f>
        <v/>
      </c>
      <c r="P167">
        <f>IF(原始資料!P167="","",IF(反向題設定!$C$19="是",反向題設定!$B$2+1-原始資料!P167,原始資料!P167))</f>
        <v/>
      </c>
      <c r="Q167">
        <f>IF(原始資料!Q167="","",IF(反向題設定!$C$20="是",反向題設定!$B$2+1-原始資料!Q167,原始資料!Q167))</f>
        <v/>
      </c>
      <c r="R167">
        <f>IF(原始資料!R167="","",IF(反向題設定!$C$21="是",反向題設定!$B$2+1-原始資料!R167,原始資料!R167))</f>
        <v/>
      </c>
      <c r="S167">
        <f>IF(原始資料!S167="","",IF(反向題設定!$C$22="是",反向題設定!$B$2+1-原始資料!S167,原始資料!S167))</f>
        <v/>
      </c>
      <c r="T167">
        <f>IF(原始資料!T167="","",IF(反向題設定!$C$23="是",反向題設定!$B$2+1-原始資料!T167,原始資料!T167))</f>
        <v/>
      </c>
      <c r="U167">
        <f>IF(原始資料!U167="","",IF(反向題設定!$C$24="是",反向題設定!$B$2+1-原始資料!U167,原始資料!U167))</f>
        <v/>
      </c>
      <c r="V167">
        <f>IF(原始資料!V167="","",IF(反向題設定!$C$25="是",反向題設定!$B$2+1-原始資料!V167,原始資料!V167))</f>
        <v/>
      </c>
      <c r="W167">
        <f>IF(原始資料!W167="","",IF(反向題設定!$C$26="是",反向題設定!$B$2+1-原始資料!W167,原始資料!W167))</f>
        <v/>
      </c>
      <c r="X167">
        <f>IF(原始資料!X167="","",IF(反向題設定!$C$27="是",反向題設定!$B$2+1-原始資料!X167,原始資料!X167))</f>
        <v/>
      </c>
      <c r="Y167">
        <f>IF(原始資料!Y167="","",IF(反向題設定!$C$28="是",反向題設定!$B$2+1-原始資料!Y167,原始資料!Y167))</f>
        <v/>
      </c>
      <c r="Z167">
        <f>IF(原始資料!Z167="","",IF(反向題設定!$C$29="是",反向題設定!$B$2+1-原始資料!Z167,原始資料!Z167))</f>
        <v/>
      </c>
      <c r="AA167">
        <f>IF(原始資料!AA167="","",IF(反向題設定!$C$30="是",反向題設定!$B$2+1-原始資料!AA167,原始資料!AA167))</f>
        <v/>
      </c>
      <c r="AB167">
        <f>IF(原始資料!AB167="","",IF(反向題設定!$C$31="是",反向題設定!$B$2+1-原始資料!AB167,原始資料!AB167))</f>
        <v/>
      </c>
      <c r="AC167">
        <f>IF(原始資料!AC167="","",IF(反向題設定!$C$32="是",反向題設定!$B$2+1-原始資料!AC167,原始資料!AC167))</f>
        <v/>
      </c>
      <c r="AD167">
        <f>IF(原始資料!AD167="","",IF(反向題設定!$C$33="是",反向題設定!$B$2+1-原始資料!AD167,原始資料!AD167))</f>
        <v/>
      </c>
      <c r="AE167">
        <f>IF(原始資料!AE167="","",IF(反向題設定!$C$34="是",反向題設定!$B$2+1-原始資料!AE167,原始資料!AE167))</f>
        <v/>
      </c>
      <c r="AF167">
        <f>IF(原始資料!AF167="","",IF(反向題設定!$C$35="是",反向題設定!$B$2+1-原始資料!AF167,原始資料!AF167))</f>
        <v/>
      </c>
      <c r="AG167">
        <f>IF(原始資料!AG167="","",IF(反向題設定!$C$36="是",反向題設定!$B$2+1-原始資料!AG167,原始資料!AG167))</f>
        <v/>
      </c>
      <c r="AH167">
        <f>IF(原始資料!AH167="","",IF(反向題設定!$C$37="是",反向題設定!$B$2+1-原始資料!AH167,原始資料!AH167))</f>
        <v/>
      </c>
      <c r="AI167">
        <f>IF(原始資料!AI167="","",IF(反向題設定!$C$38="是",反向題設定!$B$2+1-原始資料!AI167,原始資料!AI167))</f>
        <v/>
      </c>
      <c r="AJ167">
        <f>IF(原始資料!AJ167="","",IF(反向題設定!$C$39="是",反向題設定!$B$2+1-原始資料!AJ167,原始資料!AJ167))</f>
        <v/>
      </c>
      <c r="AK167">
        <f>IF(原始資料!AK167="","",IF(反向題設定!$C$40="是",反向題設定!$B$2+1-原始資料!AK167,原始資料!AK167))</f>
        <v/>
      </c>
      <c r="AL167">
        <f>IF(原始資料!AL167="","",IF(反向題設定!$C$41="是",反向題設定!$B$2+1-原始資料!AL167,原始資料!AL167))</f>
        <v/>
      </c>
      <c r="AM167">
        <f>IF(原始資料!AM167="","",IF(反向題設定!$C$42="是",反向題設定!$B$2+1-原始資料!AM167,原始資料!AM167))</f>
        <v/>
      </c>
      <c r="AN167">
        <f>IF(原始資料!AN167="","",IF(反向題設定!$C$43="是",反向題設定!$B$2+1-原始資料!AN167,原始資料!AN167))</f>
        <v/>
      </c>
      <c r="AO167">
        <f>IF(原始資料!AO167="","",IF(反向題設定!$C$44="是",反向題設定!$B$2+1-原始資料!AO167,原始資料!AO167))</f>
        <v/>
      </c>
      <c r="AP167">
        <f>IF(COUNT(B167:AO167)=0,"",SUM(B167:AO167))</f>
        <v/>
      </c>
      <c r="AQ167">
        <f>IF(AP167="","",IF(AP167&gt;=項目分析!$C$5,"高",IF(AP167&lt;=項目分析!$C$6,"低","")))</f>
        <v/>
      </c>
    </row>
    <row r="168">
      <c r="A168">
        <f>IF(原始資料!A168="","",原始資料!A168)</f>
        <v/>
      </c>
      <c r="B168">
        <f>IF(原始資料!B168="","",IF(反向題設定!$C$5="是",反向題設定!$B$2+1-原始資料!B168,原始資料!B168))</f>
        <v/>
      </c>
      <c r="C168">
        <f>IF(原始資料!C168="","",IF(反向題設定!$C$6="是",反向題設定!$B$2+1-原始資料!C168,原始資料!C168))</f>
        <v/>
      </c>
      <c r="D168">
        <f>IF(原始資料!D168="","",IF(反向題設定!$C$7="是",反向題設定!$B$2+1-原始資料!D168,原始資料!D168))</f>
        <v/>
      </c>
      <c r="E168">
        <f>IF(原始資料!E168="","",IF(反向題設定!$C$8="是",反向題設定!$B$2+1-原始資料!E168,原始資料!E168))</f>
        <v/>
      </c>
      <c r="F168">
        <f>IF(原始資料!F168="","",IF(反向題設定!$C$9="是",反向題設定!$B$2+1-原始資料!F168,原始資料!F168))</f>
        <v/>
      </c>
      <c r="G168">
        <f>IF(原始資料!G168="","",IF(反向題設定!$C$10="是",反向題設定!$B$2+1-原始資料!G168,原始資料!G168))</f>
        <v/>
      </c>
      <c r="H168">
        <f>IF(原始資料!H168="","",IF(反向題設定!$C$11="是",反向題設定!$B$2+1-原始資料!H168,原始資料!H168))</f>
        <v/>
      </c>
      <c r="I168">
        <f>IF(原始資料!I168="","",IF(反向題設定!$C$12="是",反向題設定!$B$2+1-原始資料!I168,原始資料!I168))</f>
        <v/>
      </c>
      <c r="J168">
        <f>IF(原始資料!J168="","",IF(反向題設定!$C$13="是",反向題設定!$B$2+1-原始資料!J168,原始資料!J168))</f>
        <v/>
      </c>
      <c r="K168">
        <f>IF(原始資料!K168="","",IF(反向題設定!$C$14="是",反向題設定!$B$2+1-原始資料!K168,原始資料!K168))</f>
        <v/>
      </c>
      <c r="L168">
        <f>IF(原始資料!L168="","",IF(反向題設定!$C$15="是",反向題設定!$B$2+1-原始資料!L168,原始資料!L168))</f>
        <v/>
      </c>
      <c r="M168">
        <f>IF(原始資料!M168="","",IF(反向題設定!$C$16="是",反向題設定!$B$2+1-原始資料!M168,原始資料!M168))</f>
        <v/>
      </c>
      <c r="N168">
        <f>IF(原始資料!N168="","",IF(反向題設定!$C$17="是",反向題設定!$B$2+1-原始資料!N168,原始資料!N168))</f>
        <v/>
      </c>
      <c r="O168">
        <f>IF(原始資料!O168="","",IF(反向題設定!$C$18="是",反向題設定!$B$2+1-原始資料!O168,原始資料!O168))</f>
        <v/>
      </c>
      <c r="P168">
        <f>IF(原始資料!P168="","",IF(反向題設定!$C$19="是",反向題設定!$B$2+1-原始資料!P168,原始資料!P168))</f>
        <v/>
      </c>
      <c r="Q168">
        <f>IF(原始資料!Q168="","",IF(反向題設定!$C$20="是",反向題設定!$B$2+1-原始資料!Q168,原始資料!Q168))</f>
        <v/>
      </c>
      <c r="R168">
        <f>IF(原始資料!R168="","",IF(反向題設定!$C$21="是",反向題設定!$B$2+1-原始資料!R168,原始資料!R168))</f>
        <v/>
      </c>
      <c r="S168">
        <f>IF(原始資料!S168="","",IF(反向題設定!$C$22="是",反向題設定!$B$2+1-原始資料!S168,原始資料!S168))</f>
        <v/>
      </c>
      <c r="T168">
        <f>IF(原始資料!T168="","",IF(反向題設定!$C$23="是",反向題設定!$B$2+1-原始資料!T168,原始資料!T168))</f>
        <v/>
      </c>
      <c r="U168">
        <f>IF(原始資料!U168="","",IF(反向題設定!$C$24="是",反向題設定!$B$2+1-原始資料!U168,原始資料!U168))</f>
        <v/>
      </c>
      <c r="V168">
        <f>IF(原始資料!V168="","",IF(反向題設定!$C$25="是",反向題設定!$B$2+1-原始資料!V168,原始資料!V168))</f>
        <v/>
      </c>
      <c r="W168">
        <f>IF(原始資料!W168="","",IF(反向題設定!$C$26="是",反向題設定!$B$2+1-原始資料!W168,原始資料!W168))</f>
        <v/>
      </c>
      <c r="X168">
        <f>IF(原始資料!X168="","",IF(反向題設定!$C$27="是",反向題設定!$B$2+1-原始資料!X168,原始資料!X168))</f>
        <v/>
      </c>
      <c r="Y168">
        <f>IF(原始資料!Y168="","",IF(反向題設定!$C$28="是",反向題設定!$B$2+1-原始資料!Y168,原始資料!Y168))</f>
        <v/>
      </c>
      <c r="Z168">
        <f>IF(原始資料!Z168="","",IF(反向題設定!$C$29="是",反向題設定!$B$2+1-原始資料!Z168,原始資料!Z168))</f>
        <v/>
      </c>
      <c r="AA168">
        <f>IF(原始資料!AA168="","",IF(反向題設定!$C$30="是",反向題設定!$B$2+1-原始資料!AA168,原始資料!AA168))</f>
        <v/>
      </c>
      <c r="AB168">
        <f>IF(原始資料!AB168="","",IF(反向題設定!$C$31="是",反向題設定!$B$2+1-原始資料!AB168,原始資料!AB168))</f>
        <v/>
      </c>
      <c r="AC168">
        <f>IF(原始資料!AC168="","",IF(反向題設定!$C$32="是",反向題設定!$B$2+1-原始資料!AC168,原始資料!AC168))</f>
        <v/>
      </c>
      <c r="AD168">
        <f>IF(原始資料!AD168="","",IF(反向題設定!$C$33="是",反向題設定!$B$2+1-原始資料!AD168,原始資料!AD168))</f>
        <v/>
      </c>
      <c r="AE168">
        <f>IF(原始資料!AE168="","",IF(反向題設定!$C$34="是",反向題設定!$B$2+1-原始資料!AE168,原始資料!AE168))</f>
        <v/>
      </c>
      <c r="AF168">
        <f>IF(原始資料!AF168="","",IF(反向題設定!$C$35="是",反向題設定!$B$2+1-原始資料!AF168,原始資料!AF168))</f>
        <v/>
      </c>
      <c r="AG168">
        <f>IF(原始資料!AG168="","",IF(反向題設定!$C$36="是",反向題設定!$B$2+1-原始資料!AG168,原始資料!AG168))</f>
        <v/>
      </c>
      <c r="AH168">
        <f>IF(原始資料!AH168="","",IF(反向題設定!$C$37="是",反向題設定!$B$2+1-原始資料!AH168,原始資料!AH168))</f>
        <v/>
      </c>
      <c r="AI168">
        <f>IF(原始資料!AI168="","",IF(反向題設定!$C$38="是",反向題設定!$B$2+1-原始資料!AI168,原始資料!AI168))</f>
        <v/>
      </c>
      <c r="AJ168">
        <f>IF(原始資料!AJ168="","",IF(反向題設定!$C$39="是",反向題設定!$B$2+1-原始資料!AJ168,原始資料!AJ168))</f>
        <v/>
      </c>
      <c r="AK168">
        <f>IF(原始資料!AK168="","",IF(反向題設定!$C$40="是",反向題設定!$B$2+1-原始資料!AK168,原始資料!AK168))</f>
        <v/>
      </c>
      <c r="AL168">
        <f>IF(原始資料!AL168="","",IF(反向題設定!$C$41="是",反向題設定!$B$2+1-原始資料!AL168,原始資料!AL168))</f>
        <v/>
      </c>
      <c r="AM168">
        <f>IF(原始資料!AM168="","",IF(反向題設定!$C$42="是",反向題設定!$B$2+1-原始資料!AM168,原始資料!AM168))</f>
        <v/>
      </c>
      <c r="AN168">
        <f>IF(原始資料!AN168="","",IF(反向題設定!$C$43="是",反向題設定!$B$2+1-原始資料!AN168,原始資料!AN168))</f>
        <v/>
      </c>
      <c r="AO168">
        <f>IF(原始資料!AO168="","",IF(反向題設定!$C$44="是",反向題設定!$B$2+1-原始資料!AO168,原始資料!AO168))</f>
        <v/>
      </c>
      <c r="AP168">
        <f>IF(COUNT(B168:AO168)=0,"",SUM(B168:AO168))</f>
        <v/>
      </c>
      <c r="AQ168">
        <f>IF(AP168="","",IF(AP168&gt;=項目分析!$C$5,"高",IF(AP168&lt;=項目分析!$C$6,"低","")))</f>
        <v/>
      </c>
    </row>
    <row r="169">
      <c r="A169">
        <f>IF(原始資料!A169="","",原始資料!A169)</f>
        <v/>
      </c>
      <c r="B169">
        <f>IF(原始資料!B169="","",IF(反向題設定!$C$5="是",反向題設定!$B$2+1-原始資料!B169,原始資料!B169))</f>
        <v/>
      </c>
      <c r="C169">
        <f>IF(原始資料!C169="","",IF(反向題設定!$C$6="是",反向題設定!$B$2+1-原始資料!C169,原始資料!C169))</f>
        <v/>
      </c>
      <c r="D169">
        <f>IF(原始資料!D169="","",IF(反向題設定!$C$7="是",反向題設定!$B$2+1-原始資料!D169,原始資料!D169))</f>
        <v/>
      </c>
      <c r="E169">
        <f>IF(原始資料!E169="","",IF(反向題設定!$C$8="是",反向題設定!$B$2+1-原始資料!E169,原始資料!E169))</f>
        <v/>
      </c>
      <c r="F169">
        <f>IF(原始資料!F169="","",IF(反向題設定!$C$9="是",反向題設定!$B$2+1-原始資料!F169,原始資料!F169))</f>
        <v/>
      </c>
      <c r="G169">
        <f>IF(原始資料!G169="","",IF(反向題設定!$C$10="是",反向題設定!$B$2+1-原始資料!G169,原始資料!G169))</f>
        <v/>
      </c>
      <c r="H169">
        <f>IF(原始資料!H169="","",IF(反向題設定!$C$11="是",反向題設定!$B$2+1-原始資料!H169,原始資料!H169))</f>
        <v/>
      </c>
      <c r="I169">
        <f>IF(原始資料!I169="","",IF(反向題設定!$C$12="是",反向題設定!$B$2+1-原始資料!I169,原始資料!I169))</f>
        <v/>
      </c>
      <c r="J169">
        <f>IF(原始資料!J169="","",IF(反向題設定!$C$13="是",反向題設定!$B$2+1-原始資料!J169,原始資料!J169))</f>
        <v/>
      </c>
      <c r="K169">
        <f>IF(原始資料!K169="","",IF(反向題設定!$C$14="是",反向題設定!$B$2+1-原始資料!K169,原始資料!K169))</f>
        <v/>
      </c>
      <c r="L169">
        <f>IF(原始資料!L169="","",IF(反向題設定!$C$15="是",反向題設定!$B$2+1-原始資料!L169,原始資料!L169))</f>
        <v/>
      </c>
      <c r="M169">
        <f>IF(原始資料!M169="","",IF(反向題設定!$C$16="是",反向題設定!$B$2+1-原始資料!M169,原始資料!M169))</f>
        <v/>
      </c>
      <c r="N169">
        <f>IF(原始資料!N169="","",IF(反向題設定!$C$17="是",反向題設定!$B$2+1-原始資料!N169,原始資料!N169))</f>
        <v/>
      </c>
      <c r="O169">
        <f>IF(原始資料!O169="","",IF(反向題設定!$C$18="是",反向題設定!$B$2+1-原始資料!O169,原始資料!O169))</f>
        <v/>
      </c>
      <c r="P169">
        <f>IF(原始資料!P169="","",IF(反向題設定!$C$19="是",反向題設定!$B$2+1-原始資料!P169,原始資料!P169))</f>
        <v/>
      </c>
      <c r="Q169">
        <f>IF(原始資料!Q169="","",IF(反向題設定!$C$20="是",反向題設定!$B$2+1-原始資料!Q169,原始資料!Q169))</f>
        <v/>
      </c>
      <c r="R169">
        <f>IF(原始資料!R169="","",IF(反向題設定!$C$21="是",反向題設定!$B$2+1-原始資料!R169,原始資料!R169))</f>
        <v/>
      </c>
      <c r="S169">
        <f>IF(原始資料!S169="","",IF(反向題設定!$C$22="是",反向題設定!$B$2+1-原始資料!S169,原始資料!S169))</f>
        <v/>
      </c>
      <c r="T169">
        <f>IF(原始資料!T169="","",IF(反向題設定!$C$23="是",反向題設定!$B$2+1-原始資料!T169,原始資料!T169))</f>
        <v/>
      </c>
      <c r="U169">
        <f>IF(原始資料!U169="","",IF(反向題設定!$C$24="是",反向題設定!$B$2+1-原始資料!U169,原始資料!U169))</f>
        <v/>
      </c>
      <c r="V169">
        <f>IF(原始資料!V169="","",IF(反向題設定!$C$25="是",反向題設定!$B$2+1-原始資料!V169,原始資料!V169))</f>
        <v/>
      </c>
      <c r="W169">
        <f>IF(原始資料!W169="","",IF(反向題設定!$C$26="是",反向題設定!$B$2+1-原始資料!W169,原始資料!W169))</f>
        <v/>
      </c>
      <c r="X169">
        <f>IF(原始資料!X169="","",IF(反向題設定!$C$27="是",反向題設定!$B$2+1-原始資料!X169,原始資料!X169))</f>
        <v/>
      </c>
      <c r="Y169">
        <f>IF(原始資料!Y169="","",IF(反向題設定!$C$28="是",反向題設定!$B$2+1-原始資料!Y169,原始資料!Y169))</f>
        <v/>
      </c>
      <c r="Z169">
        <f>IF(原始資料!Z169="","",IF(反向題設定!$C$29="是",反向題設定!$B$2+1-原始資料!Z169,原始資料!Z169))</f>
        <v/>
      </c>
      <c r="AA169">
        <f>IF(原始資料!AA169="","",IF(反向題設定!$C$30="是",反向題設定!$B$2+1-原始資料!AA169,原始資料!AA169))</f>
        <v/>
      </c>
      <c r="AB169">
        <f>IF(原始資料!AB169="","",IF(反向題設定!$C$31="是",反向題設定!$B$2+1-原始資料!AB169,原始資料!AB169))</f>
        <v/>
      </c>
      <c r="AC169">
        <f>IF(原始資料!AC169="","",IF(反向題設定!$C$32="是",反向題設定!$B$2+1-原始資料!AC169,原始資料!AC169))</f>
        <v/>
      </c>
      <c r="AD169">
        <f>IF(原始資料!AD169="","",IF(反向題設定!$C$33="是",反向題設定!$B$2+1-原始資料!AD169,原始資料!AD169))</f>
        <v/>
      </c>
      <c r="AE169">
        <f>IF(原始資料!AE169="","",IF(反向題設定!$C$34="是",反向題設定!$B$2+1-原始資料!AE169,原始資料!AE169))</f>
        <v/>
      </c>
      <c r="AF169">
        <f>IF(原始資料!AF169="","",IF(反向題設定!$C$35="是",反向題設定!$B$2+1-原始資料!AF169,原始資料!AF169))</f>
        <v/>
      </c>
      <c r="AG169">
        <f>IF(原始資料!AG169="","",IF(反向題設定!$C$36="是",反向題設定!$B$2+1-原始資料!AG169,原始資料!AG169))</f>
        <v/>
      </c>
      <c r="AH169">
        <f>IF(原始資料!AH169="","",IF(反向題設定!$C$37="是",反向題設定!$B$2+1-原始資料!AH169,原始資料!AH169))</f>
        <v/>
      </c>
      <c r="AI169">
        <f>IF(原始資料!AI169="","",IF(反向題設定!$C$38="是",反向題設定!$B$2+1-原始資料!AI169,原始資料!AI169))</f>
        <v/>
      </c>
      <c r="AJ169">
        <f>IF(原始資料!AJ169="","",IF(反向題設定!$C$39="是",反向題設定!$B$2+1-原始資料!AJ169,原始資料!AJ169))</f>
        <v/>
      </c>
      <c r="AK169">
        <f>IF(原始資料!AK169="","",IF(反向題設定!$C$40="是",反向題設定!$B$2+1-原始資料!AK169,原始資料!AK169))</f>
        <v/>
      </c>
      <c r="AL169">
        <f>IF(原始資料!AL169="","",IF(反向題設定!$C$41="是",反向題設定!$B$2+1-原始資料!AL169,原始資料!AL169))</f>
        <v/>
      </c>
      <c r="AM169">
        <f>IF(原始資料!AM169="","",IF(反向題設定!$C$42="是",反向題設定!$B$2+1-原始資料!AM169,原始資料!AM169))</f>
        <v/>
      </c>
      <c r="AN169">
        <f>IF(原始資料!AN169="","",IF(反向題設定!$C$43="是",反向題設定!$B$2+1-原始資料!AN169,原始資料!AN169))</f>
        <v/>
      </c>
      <c r="AO169">
        <f>IF(原始資料!AO169="","",IF(反向題設定!$C$44="是",反向題設定!$B$2+1-原始資料!AO169,原始資料!AO169))</f>
        <v/>
      </c>
      <c r="AP169">
        <f>IF(COUNT(B169:AO169)=0,"",SUM(B169:AO169))</f>
        <v/>
      </c>
      <c r="AQ169">
        <f>IF(AP169="","",IF(AP169&gt;=項目分析!$C$5,"高",IF(AP169&lt;=項目分析!$C$6,"低","")))</f>
        <v/>
      </c>
    </row>
    <row r="170">
      <c r="A170">
        <f>IF(原始資料!A170="","",原始資料!A170)</f>
        <v/>
      </c>
      <c r="B170">
        <f>IF(原始資料!B170="","",IF(反向題設定!$C$5="是",反向題設定!$B$2+1-原始資料!B170,原始資料!B170))</f>
        <v/>
      </c>
      <c r="C170">
        <f>IF(原始資料!C170="","",IF(反向題設定!$C$6="是",反向題設定!$B$2+1-原始資料!C170,原始資料!C170))</f>
        <v/>
      </c>
      <c r="D170">
        <f>IF(原始資料!D170="","",IF(反向題設定!$C$7="是",反向題設定!$B$2+1-原始資料!D170,原始資料!D170))</f>
        <v/>
      </c>
      <c r="E170">
        <f>IF(原始資料!E170="","",IF(反向題設定!$C$8="是",反向題設定!$B$2+1-原始資料!E170,原始資料!E170))</f>
        <v/>
      </c>
      <c r="F170">
        <f>IF(原始資料!F170="","",IF(反向題設定!$C$9="是",反向題設定!$B$2+1-原始資料!F170,原始資料!F170))</f>
        <v/>
      </c>
      <c r="G170">
        <f>IF(原始資料!G170="","",IF(反向題設定!$C$10="是",反向題設定!$B$2+1-原始資料!G170,原始資料!G170))</f>
        <v/>
      </c>
      <c r="H170">
        <f>IF(原始資料!H170="","",IF(反向題設定!$C$11="是",反向題設定!$B$2+1-原始資料!H170,原始資料!H170))</f>
        <v/>
      </c>
      <c r="I170">
        <f>IF(原始資料!I170="","",IF(反向題設定!$C$12="是",反向題設定!$B$2+1-原始資料!I170,原始資料!I170))</f>
        <v/>
      </c>
      <c r="J170">
        <f>IF(原始資料!J170="","",IF(反向題設定!$C$13="是",反向題設定!$B$2+1-原始資料!J170,原始資料!J170))</f>
        <v/>
      </c>
      <c r="K170">
        <f>IF(原始資料!K170="","",IF(反向題設定!$C$14="是",反向題設定!$B$2+1-原始資料!K170,原始資料!K170))</f>
        <v/>
      </c>
      <c r="L170">
        <f>IF(原始資料!L170="","",IF(反向題設定!$C$15="是",反向題設定!$B$2+1-原始資料!L170,原始資料!L170))</f>
        <v/>
      </c>
      <c r="M170">
        <f>IF(原始資料!M170="","",IF(反向題設定!$C$16="是",反向題設定!$B$2+1-原始資料!M170,原始資料!M170))</f>
        <v/>
      </c>
      <c r="N170">
        <f>IF(原始資料!N170="","",IF(反向題設定!$C$17="是",反向題設定!$B$2+1-原始資料!N170,原始資料!N170))</f>
        <v/>
      </c>
      <c r="O170">
        <f>IF(原始資料!O170="","",IF(反向題設定!$C$18="是",反向題設定!$B$2+1-原始資料!O170,原始資料!O170))</f>
        <v/>
      </c>
      <c r="P170">
        <f>IF(原始資料!P170="","",IF(反向題設定!$C$19="是",反向題設定!$B$2+1-原始資料!P170,原始資料!P170))</f>
        <v/>
      </c>
      <c r="Q170">
        <f>IF(原始資料!Q170="","",IF(反向題設定!$C$20="是",反向題設定!$B$2+1-原始資料!Q170,原始資料!Q170))</f>
        <v/>
      </c>
      <c r="R170">
        <f>IF(原始資料!R170="","",IF(反向題設定!$C$21="是",反向題設定!$B$2+1-原始資料!R170,原始資料!R170))</f>
        <v/>
      </c>
      <c r="S170">
        <f>IF(原始資料!S170="","",IF(反向題設定!$C$22="是",反向題設定!$B$2+1-原始資料!S170,原始資料!S170))</f>
        <v/>
      </c>
      <c r="T170">
        <f>IF(原始資料!T170="","",IF(反向題設定!$C$23="是",反向題設定!$B$2+1-原始資料!T170,原始資料!T170))</f>
        <v/>
      </c>
      <c r="U170">
        <f>IF(原始資料!U170="","",IF(反向題設定!$C$24="是",反向題設定!$B$2+1-原始資料!U170,原始資料!U170))</f>
        <v/>
      </c>
      <c r="V170">
        <f>IF(原始資料!V170="","",IF(反向題設定!$C$25="是",反向題設定!$B$2+1-原始資料!V170,原始資料!V170))</f>
        <v/>
      </c>
      <c r="W170">
        <f>IF(原始資料!W170="","",IF(反向題設定!$C$26="是",反向題設定!$B$2+1-原始資料!W170,原始資料!W170))</f>
        <v/>
      </c>
      <c r="X170">
        <f>IF(原始資料!X170="","",IF(反向題設定!$C$27="是",反向題設定!$B$2+1-原始資料!X170,原始資料!X170))</f>
        <v/>
      </c>
      <c r="Y170">
        <f>IF(原始資料!Y170="","",IF(反向題設定!$C$28="是",反向題設定!$B$2+1-原始資料!Y170,原始資料!Y170))</f>
        <v/>
      </c>
      <c r="Z170">
        <f>IF(原始資料!Z170="","",IF(反向題設定!$C$29="是",反向題設定!$B$2+1-原始資料!Z170,原始資料!Z170))</f>
        <v/>
      </c>
      <c r="AA170">
        <f>IF(原始資料!AA170="","",IF(反向題設定!$C$30="是",反向題設定!$B$2+1-原始資料!AA170,原始資料!AA170))</f>
        <v/>
      </c>
      <c r="AB170">
        <f>IF(原始資料!AB170="","",IF(反向題設定!$C$31="是",反向題設定!$B$2+1-原始資料!AB170,原始資料!AB170))</f>
        <v/>
      </c>
      <c r="AC170">
        <f>IF(原始資料!AC170="","",IF(反向題設定!$C$32="是",反向題設定!$B$2+1-原始資料!AC170,原始資料!AC170))</f>
        <v/>
      </c>
      <c r="AD170">
        <f>IF(原始資料!AD170="","",IF(反向題設定!$C$33="是",反向題設定!$B$2+1-原始資料!AD170,原始資料!AD170))</f>
        <v/>
      </c>
      <c r="AE170">
        <f>IF(原始資料!AE170="","",IF(反向題設定!$C$34="是",反向題設定!$B$2+1-原始資料!AE170,原始資料!AE170))</f>
        <v/>
      </c>
      <c r="AF170">
        <f>IF(原始資料!AF170="","",IF(反向題設定!$C$35="是",反向題設定!$B$2+1-原始資料!AF170,原始資料!AF170))</f>
        <v/>
      </c>
      <c r="AG170">
        <f>IF(原始資料!AG170="","",IF(反向題設定!$C$36="是",反向題設定!$B$2+1-原始資料!AG170,原始資料!AG170))</f>
        <v/>
      </c>
      <c r="AH170">
        <f>IF(原始資料!AH170="","",IF(反向題設定!$C$37="是",反向題設定!$B$2+1-原始資料!AH170,原始資料!AH170))</f>
        <v/>
      </c>
      <c r="AI170">
        <f>IF(原始資料!AI170="","",IF(反向題設定!$C$38="是",反向題設定!$B$2+1-原始資料!AI170,原始資料!AI170))</f>
        <v/>
      </c>
      <c r="AJ170">
        <f>IF(原始資料!AJ170="","",IF(反向題設定!$C$39="是",反向題設定!$B$2+1-原始資料!AJ170,原始資料!AJ170))</f>
        <v/>
      </c>
      <c r="AK170">
        <f>IF(原始資料!AK170="","",IF(反向題設定!$C$40="是",反向題設定!$B$2+1-原始資料!AK170,原始資料!AK170))</f>
        <v/>
      </c>
      <c r="AL170">
        <f>IF(原始資料!AL170="","",IF(反向題設定!$C$41="是",反向題設定!$B$2+1-原始資料!AL170,原始資料!AL170))</f>
        <v/>
      </c>
      <c r="AM170">
        <f>IF(原始資料!AM170="","",IF(反向題設定!$C$42="是",反向題設定!$B$2+1-原始資料!AM170,原始資料!AM170))</f>
        <v/>
      </c>
      <c r="AN170">
        <f>IF(原始資料!AN170="","",IF(反向題設定!$C$43="是",反向題設定!$B$2+1-原始資料!AN170,原始資料!AN170))</f>
        <v/>
      </c>
      <c r="AO170">
        <f>IF(原始資料!AO170="","",IF(反向題設定!$C$44="是",反向題設定!$B$2+1-原始資料!AO170,原始資料!AO170))</f>
        <v/>
      </c>
      <c r="AP170">
        <f>IF(COUNT(B170:AO170)=0,"",SUM(B170:AO170))</f>
        <v/>
      </c>
      <c r="AQ170">
        <f>IF(AP170="","",IF(AP170&gt;=項目分析!$C$5,"高",IF(AP170&lt;=項目分析!$C$6,"低","")))</f>
        <v/>
      </c>
    </row>
    <row r="171">
      <c r="A171">
        <f>IF(原始資料!A171="","",原始資料!A171)</f>
        <v/>
      </c>
      <c r="B171">
        <f>IF(原始資料!B171="","",IF(反向題設定!$C$5="是",反向題設定!$B$2+1-原始資料!B171,原始資料!B171))</f>
        <v/>
      </c>
      <c r="C171">
        <f>IF(原始資料!C171="","",IF(反向題設定!$C$6="是",反向題設定!$B$2+1-原始資料!C171,原始資料!C171))</f>
        <v/>
      </c>
      <c r="D171">
        <f>IF(原始資料!D171="","",IF(反向題設定!$C$7="是",反向題設定!$B$2+1-原始資料!D171,原始資料!D171))</f>
        <v/>
      </c>
      <c r="E171">
        <f>IF(原始資料!E171="","",IF(反向題設定!$C$8="是",反向題設定!$B$2+1-原始資料!E171,原始資料!E171))</f>
        <v/>
      </c>
      <c r="F171">
        <f>IF(原始資料!F171="","",IF(反向題設定!$C$9="是",反向題設定!$B$2+1-原始資料!F171,原始資料!F171))</f>
        <v/>
      </c>
      <c r="G171">
        <f>IF(原始資料!G171="","",IF(反向題設定!$C$10="是",反向題設定!$B$2+1-原始資料!G171,原始資料!G171))</f>
        <v/>
      </c>
      <c r="H171">
        <f>IF(原始資料!H171="","",IF(反向題設定!$C$11="是",反向題設定!$B$2+1-原始資料!H171,原始資料!H171))</f>
        <v/>
      </c>
      <c r="I171">
        <f>IF(原始資料!I171="","",IF(反向題設定!$C$12="是",反向題設定!$B$2+1-原始資料!I171,原始資料!I171))</f>
        <v/>
      </c>
      <c r="J171">
        <f>IF(原始資料!J171="","",IF(反向題設定!$C$13="是",反向題設定!$B$2+1-原始資料!J171,原始資料!J171))</f>
        <v/>
      </c>
      <c r="K171">
        <f>IF(原始資料!K171="","",IF(反向題設定!$C$14="是",反向題設定!$B$2+1-原始資料!K171,原始資料!K171))</f>
        <v/>
      </c>
      <c r="L171">
        <f>IF(原始資料!L171="","",IF(反向題設定!$C$15="是",反向題設定!$B$2+1-原始資料!L171,原始資料!L171))</f>
        <v/>
      </c>
      <c r="M171">
        <f>IF(原始資料!M171="","",IF(反向題設定!$C$16="是",反向題設定!$B$2+1-原始資料!M171,原始資料!M171))</f>
        <v/>
      </c>
      <c r="N171">
        <f>IF(原始資料!N171="","",IF(反向題設定!$C$17="是",反向題設定!$B$2+1-原始資料!N171,原始資料!N171))</f>
        <v/>
      </c>
      <c r="O171">
        <f>IF(原始資料!O171="","",IF(反向題設定!$C$18="是",反向題設定!$B$2+1-原始資料!O171,原始資料!O171))</f>
        <v/>
      </c>
      <c r="P171">
        <f>IF(原始資料!P171="","",IF(反向題設定!$C$19="是",反向題設定!$B$2+1-原始資料!P171,原始資料!P171))</f>
        <v/>
      </c>
      <c r="Q171">
        <f>IF(原始資料!Q171="","",IF(反向題設定!$C$20="是",反向題設定!$B$2+1-原始資料!Q171,原始資料!Q171))</f>
        <v/>
      </c>
      <c r="R171">
        <f>IF(原始資料!R171="","",IF(反向題設定!$C$21="是",反向題設定!$B$2+1-原始資料!R171,原始資料!R171))</f>
        <v/>
      </c>
      <c r="S171">
        <f>IF(原始資料!S171="","",IF(反向題設定!$C$22="是",反向題設定!$B$2+1-原始資料!S171,原始資料!S171))</f>
        <v/>
      </c>
      <c r="T171">
        <f>IF(原始資料!T171="","",IF(反向題設定!$C$23="是",反向題設定!$B$2+1-原始資料!T171,原始資料!T171))</f>
        <v/>
      </c>
      <c r="U171">
        <f>IF(原始資料!U171="","",IF(反向題設定!$C$24="是",反向題設定!$B$2+1-原始資料!U171,原始資料!U171))</f>
        <v/>
      </c>
      <c r="V171">
        <f>IF(原始資料!V171="","",IF(反向題設定!$C$25="是",反向題設定!$B$2+1-原始資料!V171,原始資料!V171))</f>
        <v/>
      </c>
      <c r="W171">
        <f>IF(原始資料!W171="","",IF(反向題設定!$C$26="是",反向題設定!$B$2+1-原始資料!W171,原始資料!W171))</f>
        <v/>
      </c>
      <c r="X171">
        <f>IF(原始資料!X171="","",IF(反向題設定!$C$27="是",反向題設定!$B$2+1-原始資料!X171,原始資料!X171))</f>
        <v/>
      </c>
      <c r="Y171">
        <f>IF(原始資料!Y171="","",IF(反向題設定!$C$28="是",反向題設定!$B$2+1-原始資料!Y171,原始資料!Y171))</f>
        <v/>
      </c>
      <c r="Z171">
        <f>IF(原始資料!Z171="","",IF(反向題設定!$C$29="是",反向題設定!$B$2+1-原始資料!Z171,原始資料!Z171))</f>
        <v/>
      </c>
      <c r="AA171">
        <f>IF(原始資料!AA171="","",IF(反向題設定!$C$30="是",反向題設定!$B$2+1-原始資料!AA171,原始資料!AA171))</f>
        <v/>
      </c>
      <c r="AB171">
        <f>IF(原始資料!AB171="","",IF(反向題設定!$C$31="是",反向題設定!$B$2+1-原始資料!AB171,原始資料!AB171))</f>
        <v/>
      </c>
      <c r="AC171">
        <f>IF(原始資料!AC171="","",IF(反向題設定!$C$32="是",反向題設定!$B$2+1-原始資料!AC171,原始資料!AC171))</f>
        <v/>
      </c>
      <c r="AD171">
        <f>IF(原始資料!AD171="","",IF(反向題設定!$C$33="是",反向題設定!$B$2+1-原始資料!AD171,原始資料!AD171))</f>
        <v/>
      </c>
      <c r="AE171">
        <f>IF(原始資料!AE171="","",IF(反向題設定!$C$34="是",反向題設定!$B$2+1-原始資料!AE171,原始資料!AE171))</f>
        <v/>
      </c>
      <c r="AF171">
        <f>IF(原始資料!AF171="","",IF(反向題設定!$C$35="是",反向題設定!$B$2+1-原始資料!AF171,原始資料!AF171))</f>
        <v/>
      </c>
      <c r="AG171">
        <f>IF(原始資料!AG171="","",IF(反向題設定!$C$36="是",反向題設定!$B$2+1-原始資料!AG171,原始資料!AG171))</f>
        <v/>
      </c>
      <c r="AH171">
        <f>IF(原始資料!AH171="","",IF(反向題設定!$C$37="是",反向題設定!$B$2+1-原始資料!AH171,原始資料!AH171))</f>
        <v/>
      </c>
      <c r="AI171">
        <f>IF(原始資料!AI171="","",IF(反向題設定!$C$38="是",反向題設定!$B$2+1-原始資料!AI171,原始資料!AI171))</f>
        <v/>
      </c>
      <c r="AJ171">
        <f>IF(原始資料!AJ171="","",IF(反向題設定!$C$39="是",反向題設定!$B$2+1-原始資料!AJ171,原始資料!AJ171))</f>
        <v/>
      </c>
      <c r="AK171">
        <f>IF(原始資料!AK171="","",IF(反向題設定!$C$40="是",反向題設定!$B$2+1-原始資料!AK171,原始資料!AK171))</f>
        <v/>
      </c>
      <c r="AL171">
        <f>IF(原始資料!AL171="","",IF(反向題設定!$C$41="是",反向題設定!$B$2+1-原始資料!AL171,原始資料!AL171))</f>
        <v/>
      </c>
      <c r="AM171">
        <f>IF(原始資料!AM171="","",IF(反向題設定!$C$42="是",反向題設定!$B$2+1-原始資料!AM171,原始資料!AM171))</f>
        <v/>
      </c>
      <c r="AN171">
        <f>IF(原始資料!AN171="","",IF(反向題設定!$C$43="是",反向題設定!$B$2+1-原始資料!AN171,原始資料!AN171))</f>
        <v/>
      </c>
      <c r="AO171">
        <f>IF(原始資料!AO171="","",IF(反向題設定!$C$44="是",反向題設定!$B$2+1-原始資料!AO171,原始資料!AO171))</f>
        <v/>
      </c>
      <c r="AP171">
        <f>IF(COUNT(B171:AO171)=0,"",SUM(B171:AO171))</f>
        <v/>
      </c>
      <c r="AQ171">
        <f>IF(AP171="","",IF(AP171&gt;=項目分析!$C$5,"高",IF(AP171&lt;=項目分析!$C$6,"低","")))</f>
        <v/>
      </c>
    </row>
    <row r="172">
      <c r="A172">
        <f>IF(原始資料!A172="","",原始資料!A172)</f>
        <v/>
      </c>
      <c r="B172">
        <f>IF(原始資料!B172="","",IF(反向題設定!$C$5="是",反向題設定!$B$2+1-原始資料!B172,原始資料!B172))</f>
        <v/>
      </c>
      <c r="C172">
        <f>IF(原始資料!C172="","",IF(反向題設定!$C$6="是",反向題設定!$B$2+1-原始資料!C172,原始資料!C172))</f>
        <v/>
      </c>
      <c r="D172">
        <f>IF(原始資料!D172="","",IF(反向題設定!$C$7="是",反向題設定!$B$2+1-原始資料!D172,原始資料!D172))</f>
        <v/>
      </c>
      <c r="E172">
        <f>IF(原始資料!E172="","",IF(反向題設定!$C$8="是",反向題設定!$B$2+1-原始資料!E172,原始資料!E172))</f>
        <v/>
      </c>
      <c r="F172">
        <f>IF(原始資料!F172="","",IF(反向題設定!$C$9="是",反向題設定!$B$2+1-原始資料!F172,原始資料!F172))</f>
        <v/>
      </c>
      <c r="G172">
        <f>IF(原始資料!G172="","",IF(反向題設定!$C$10="是",反向題設定!$B$2+1-原始資料!G172,原始資料!G172))</f>
        <v/>
      </c>
      <c r="H172">
        <f>IF(原始資料!H172="","",IF(反向題設定!$C$11="是",反向題設定!$B$2+1-原始資料!H172,原始資料!H172))</f>
        <v/>
      </c>
      <c r="I172">
        <f>IF(原始資料!I172="","",IF(反向題設定!$C$12="是",反向題設定!$B$2+1-原始資料!I172,原始資料!I172))</f>
        <v/>
      </c>
      <c r="J172">
        <f>IF(原始資料!J172="","",IF(反向題設定!$C$13="是",反向題設定!$B$2+1-原始資料!J172,原始資料!J172))</f>
        <v/>
      </c>
      <c r="K172">
        <f>IF(原始資料!K172="","",IF(反向題設定!$C$14="是",反向題設定!$B$2+1-原始資料!K172,原始資料!K172))</f>
        <v/>
      </c>
      <c r="L172">
        <f>IF(原始資料!L172="","",IF(反向題設定!$C$15="是",反向題設定!$B$2+1-原始資料!L172,原始資料!L172))</f>
        <v/>
      </c>
      <c r="M172">
        <f>IF(原始資料!M172="","",IF(反向題設定!$C$16="是",反向題設定!$B$2+1-原始資料!M172,原始資料!M172))</f>
        <v/>
      </c>
      <c r="N172">
        <f>IF(原始資料!N172="","",IF(反向題設定!$C$17="是",反向題設定!$B$2+1-原始資料!N172,原始資料!N172))</f>
        <v/>
      </c>
      <c r="O172">
        <f>IF(原始資料!O172="","",IF(反向題設定!$C$18="是",反向題設定!$B$2+1-原始資料!O172,原始資料!O172))</f>
        <v/>
      </c>
      <c r="P172">
        <f>IF(原始資料!P172="","",IF(反向題設定!$C$19="是",反向題設定!$B$2+1-原始資料!P172,原始資料!P172))</f>
        <v/>
      </c>
      <c r="Q172">
        <f>IF(原始資料!Q172="","",IF(反向題設定!$C$20="是",反向題設定!$B$2+1-原始資料!Q172,原始資料!Q172))</f>
        <v/>
      </c>
      <c r="R172">
        <f>IF(原始資料!R172="","",IF(反向題設定!$C$21="是",反向題設定!$B$2+1-原始資料!R172,原始資料!R172))</f>
        <v/>
      </c>
      <c r="S172">
        <f>IF(原始資料!S172="","",IF(反向題設定!$C$22="是",反向題設定!$B$2+1-原始資料!S172,原始資料!S172))</f>
        <v/>
      </c>
      <c r="T172">
        <f>IF(原始資料!T172="","",IF(反向題設定!$C$23="是",反向題設定!$B$2+1-原始資料!T172,原始資料!T172))</f>
        <v/>
      </c>
      <c r="U172">
        <f>IF(原始資料!U172="","",IF(反向題設定!$C$24="是",反向題設定!$B$2+1-原始資料!U172,原始資料!U172))</f>
        <v/>
      </c>
      <c r="V172">
        <f>IF(原始資料!V172="","",IF(反向題設定!$C$25="是",反向題設定!$B$2+1-原始資料!V172,原始資料!V172))</f>
        <v/>
      </c>
      <c r="W172">
        <f>IF(原始資料!W172="","",IF(反向題設定!$C$26="是",反向題設定!$B$2+1-原始資料!W172,原始資料!W172))</f>
        <v/>
      </c>
      <c r="X172">
        <f>IF(原始資料!X172="","",IF(反向題設定!$C$27="是",反向題設定!$B$2+1-原始資料!X172,原始資料!X172))</f>
        <v/>
      </c>
      <c r="Y172">
        <f>IF(原始資料!Y172="","",IF(反向題設定!$C$28="是",反向題設定!$B$2+1-原始資料!Y172,原始資料!Y172))</f>
        <v/>
      </c>
      <c r="Z172">
        <f>IF(原始資料!Z172="","",IF(反向題設定!$C$29="是",反向題設定!$B$2+1-原始資料!Z172,原始資料!Z172))</f>
        <v/>
      </c>
      <c r="AA172">
        <f>IF(原始資料!AA172="","",IF(反向題設定!$C$30="是",反向題設定!$B$2+1-原始資料!AA172,原始資料!AA172))</f>
        <v/>
      </c>
      <c r="AB172">
        <f>IF(原始資料!AB172="","",IF(反向題設定!$C$31="是",反向題設定!$B$2+1-原始資料!AB172,原始資料!AB172))</f>
        <v/>
      </c>
      <c r="AC172">
        <f>IF(原始資料!AC172="","",IF(反向題設定!$C$32="是",反向題設定!$B$2+1-原始資料!AC172,原始資料!AC172))</f>
        <v/>
      </c>
      <c r="AD172">
        <f>IF(原始資料!AD172="","",IF(反向題設定!$C$33="是",反向題設定!$B$2+1-原始資料!AD172,原始資料!AD172))</f>
        <v/>
      </c>
      <c r="AE172">
        <f>IF(原始資料!AE172="","",IF(反向題設定!$C$34="是",反向題設定!$B$2+1-原始資料!AE172,原始資料!AE172))</f>
        <v/>
      </c>
      <c r="AF172">
        <f>IF(原始資料!AF172="","",IF(反向題設定!$C$35="是",反向題設定!$B$2+1-原始資料!AF172,原始資料!AF172))</f>
        <v/>
      </c>
      <c r="AG172">
        <f>IF(原始資料!AG172="","",IF(反向題設定!$C$36="是",反向題設定!$B$2+1-原始資料!AG172,原始資料!AG172))</f>
        <v/>
      </c>
      <c r="AH172">
        <f>IF(原始資料!AH172="","",IF(反向題設定!$C$37="是",反向題設定!$B$2+1-原始資料!AH172,原始資料!AH172))</f>
        <v/>
      </c>
      <c r="AI172">
        <f>IF(原始資料!AI172="","",IF(反向題設定!$C$38="是",反向題設定!$B$2+1-原始資料!AI172,原始資料!AI172))</f>
        <v/>
      </c>
      <c r="AJ172">
        <f>IF(原始資料!AJ172="","",IF(反向題設定!$C$39="是",反向題設定!$B$2+1-原始資料!AJ172,原始資料!AJ172))</f>
        <v/>
      </c>
      <c r="AK172">
        <f>IF(原始資料!AK172="","",IF(反向題設定!$C$40="是",反向題設定!$B$2+1-原始資料!AK172,原始資料!AK172))</f>
        <v/>
      </c>
      <c r="AL172">
        <f>IF(原始資料!AL172="","",IF(反向題設定!$C$41="是",反向題設定!$B$2+1-原始資料!AL172,原始資料!AL172))</f>
        <v/>
      </c>
      <c r="AM172">
        <f>IF(原始資料!AM172="","",IF(反向題設定!$C$42="是",反向題設定!$B$2+1-原始資料!AM172,原始資料!AM172))</f>
        <v/>
      </c>
      <c r="AN172">
        <f>IF(原始資料!AN172="","",IF(反向題設定!$C$43="是",反向題設定!$B$2+1-原始資料!AN172,原始資料!AN172))</f>
        <v/>
      </c>
      <c r="AO172">
        <f>IF(原始資料!AO172="","",IF(反向題設定!$C$44="是",反向題設定!$B$2+1-原始資料!AO172,原始資料!AO172))</f>
        <v/>
      </c>
      <c r="AP172">
        <f>IF(COUNT(B172:AO172)=0,"",SUM(B172:AO172))</f>
        <v/>
      </c>
      <c r="AQ172">
        <f>IF(AP172="","",IF(AP172&gt;=項目分析!$C$5,"高",IF(AP172&lt;=項目分析!$C$6,"低","")))</f>
        <v/>
      </c>
    </row>
    <row r="173">
      <c r="A173">
        <f>IF(原始資料!A173="","",原始資料!A173)</f>
        <v/>
      </c>
      <c r="B173">
        <f>IF(原始資料!B173="","",IF(反向題設定!$C$5="是",反向題設定!$B$2+1-原始資料!B173,原始資料!B173))</f>
        <v/>
      </c>
      <c r="C173">
        <f>IF(原始資料!C173="","",IF(反向題設定!$C$6="是",反向題設定!$B$2+1-原始資料!C173,原始資料!C173))</f>
        <v/>
      </c>
      <c r="D173">
        <f>IF(原始資料!D173="","",IF(反向題設定!$C$7="是",反向題設定!$B$2+1-原始資料!D173,原始資料!D173))</f>
        <v/>
      </c>
      <c r="E173">
        <f>IF(原始資料!E173="","",IF(反向題設定!$C$8="是",反向題設定!$B$2+1-原始資料!E173,原始資料!E173))</f>
        <v/>
      </c>
      <c r="F173">
        <f>IF(原始資料!F173="","",IF(反向題設定!$C$9="是",反向題設定!$B$2+1-原始資料!F173,原始資料!F173))</f>
        <v/>
      </c>
      <c r="G173">
        <f>IF(原始資料!G173="","",IF(反向題設定!$C$10="是",反向題設定!$B$2+1-原始資料!G173,原始資料!G173))</f>
        <v/>
      </c>
      <c r="H173">
        <f>IF(原始資料!H173="","",IF(反向題設定!$C$11="是",反向題設定!$B$2+1-原始資料!H173,原始資料!H173))</f>
        <v/>
      </c>
      <c r="I173">
        <f>IF(原始資料!I173="","",IF(反向題設定!$C$12="是",反向題設定!$B$2+1-原始資料!I173,原始資料!I173))</f>
        <v/>
      </c>
      <c r="J173">
        <f>IF(原始資料!J173="","",IF(反向題設定!$C$13="是",反向題設定!$B$2+1-原始資料!J173,原始資料!J173))</f>
        <v/>
      </c>
      <c r="K173">
        <f>IF(原始資料!K173="","",IF(反向題設定!$C$14="是",反向題設定!$B$2+1-原始資料!K173,原始資料!K173))</f>
        <v/>
      </c>
      <c r="L173">
        <f>IF(原始資料!L173="","",IF(反向題設定!$C$15="是",反向題設定!$B$2+1-原始資料!L173,原始資料!L173))</f>
        <v/>
      </c>
      <c r="M173">
        <f>IF(原始資料!M173="","",IF(反向題設定!$C$16="是",反向題設定!$B$2+1-原始資料!M173,原始資料!M173))</f>
        <v/>
      </c>
      <c r="N173">
        <f>IF(原始資料!N173="","",IF(反向題設定!$C$17="是",反向題設定!$B$2+1-原始資料!N173,原始資料!N173))</f>
        <v/>
      </c>
      <c r="O173">
        <f>IF(原始資料!O173="","",IF(反向題設定!$C$18="是",反向題設定!$B$2+1-原始資料!O173,原始資料!O173))</f>
        <v/>
      </c>
      <c r="P173">
        <f>IF(原始資料!P173="","",IF(反向題設定!$C$19="是",反向題設定!$B$2+1-原始資料!P173,原始資料!P173))</f>
        <v/>
      </c>
      <c r="Q173">
        <f>IF(原始資料!Q173="","",IF(反向題設定!$C$20="是",反向題設定!$B$2+1-原始資料!Q173,原始資料!Q173))</f>
        <v/>
      </c>
      <c r="R173">
        <f>IF(原始資料!R173="","",IF(反向題設定!$C$21="是",反向題設定!$B$2+1-原始資料!R173,原始資料!R173))</f>
        <v/>
      </c>
      <c r="S173">
        <f>IF(原始資料!S173="","",IF(反向題設定!$C$22="是",反向題設定!$B$2+1-原始資料!S173,原始資料!S173))</f>
        <v/>
      </c>
      <c r="T173">
        <f>IF(原始資料!T173="","",IF(反向題設定!$C$23="是",反向題設定!$B$2+1-原始資料!T173,原始資料!T173))</f>
        <v/>
      </c>
      <c r="U173">
        <f>IF(原始資料!U173="","",IF(反向題設定!$C$24="是",反向題設定!$B$2+1-原始資料!U173,原始資料!U173))</f>
        <v/>
      </c>
      <c r="V173">
        <f>IF(原始資料!V173="","",IF(反向題設定!$C$25="是",反向題設定!$B$2+1-原始資料!V173,原始資料!V173))</f>
        <v/>
      </c>
      <c r="W173">
        <f>IF(原始資料!W173="","",IF(反向題設定!$C$26="是",反向題設定!$B$2+1-原始資料!W173,原始資料!W173))</f>
        <v/>
      </c>
      <c r="X173">
        <f>IF(原始資料!X173="","",IF(反向題設定!$C$27="是",反向題設定!$B$2+1-原始資料!X173,原始資料!X173))</f>
        <v/>
      </c>
      <c r="Y173">
        <f>IF(原始資料!Y173="","",IF(反向題設定!$C$28="是",反向題設定!$B$2+1-原始資料!Y173,原始資料!Y173))</f>
        <v/>
      </c>
      <c r="Z173">
        <f>IF(原始資料!Z173="","",IF(反向題設定!$C$29="是",反向題設定!$B$2+1-原始資料!Z173,原始資料!Z173))</f>
        <v/>
      </c>
      <c r="AA173">
        <f>IF(原始資料!AA173="","",IF(反向題設定!$C$30="是",反向題設定!$B$2+1-原始資料!AA173,原始資料!AA173))</f>
        <v/>
      </c>
      <c r="AB173">
        <f>IF(原始資料!AB173="","",IF(反向題設定!$C$31="是",反向題設定!$B$2+1-原始資料!AB173,原始資料!AB173))</f>
        <v/>
      </c>
      <c r="AC173">
        <f>IF(原始資料!AC173="","",IF(反向題設定!$C$32="是",反向題設定!$B$2+1-原始資料!AC173,原始資料!AC173))</f>
        <v/>
      </c>
      <c r="AD173">
        <f>IF(原始資料!AD173="","",IF(反向題設定!$C$33="是",反向題設定!$B$2+1-原始資料!AD173,原始資料!AD173))</f>
        <v/>
      </c>
      <c r="AE173">
        <f>IF(原始資料!AE173="","",IF(反向題設定!$C$34="是",反向題設定!$B$2+1-原始資料!AE173,原始資料!AE173))</f>
        <v/>
      </c>
      <c r="AF173">
        <f>IF(原始資料!AF173="","",IF(反向題設定!$C$35="是",反向題設定!$B$2+1-原始資料!AF173,原始資料!AF173))</f>
        <v/>
      </c>
      <c r="AG173">
        <f>IF(原始資料!AG173="","",IF(反向題設定!$C$36="是",反向題設定!$B$2+1-原始資料!AG173,原始資料!AG173))</f>
        <v/>
      </c>
      <c r="AH173">
        <f>IF(原始資料!AH173="","",IF(反向題設定!$C$37="是",反向題設定!$B$2+1-原始資料!AH173,原始資料!AH173))</f>
        <v/>
      </c>
      <c r="AI173">
        <f>IF(原始資料!AI173="","",IF(反向題設定!$C$38="是",反向題設定!$B$2+1-原始資料!AI173,原始資料!AI173))</f>
        <v/>
      </c>
      <c r="AJ173">
        <f>IF(原始資料!AJ173="","",IF(反向題設定!$C$39="是",反向題設定!$B$2+1-原始資料!AJ173,原始資料!AJ173))</f>
        <v/>
      </c>
      <c r="AK173">
        <f>IF(原始資料!AK173="","",IF(反向題設定!$C$40="是",反向題設定!$B$2+1-原始資料!AK173,原始資料!AK173))</f>
        <v/>
      </c>
      <c r="AL173">
        <f>IF(原始資料!AL173="","",IF(反向題設定!$C$41="是",反向題設定!$B$2+1-原始資料!AL173,原始資料!AL173))</f>
        <v/>
      </c>
      <c r="AM173">
        <f>IF(原始資料!AM173="","",IF(反向題設定!$C$42="是",反向題設定!$B$2+1-原始資料!AM173,原始資料!AM173))</f>
        <v/>
      </c>
      <c r="AN173">
        <f>IF(原始資料!AN173="","",IF(反向題設定!$C$43="是",反向題設定!$B$2+1-原始資料!AN173,原始資料!AN173))</f>
        <v/>
      </c>
      <c r="AO173">
        <f>IF(原始資料!AO173="","",IF(反向題設定!$C$44="是",反向題設定!$B$2+1-原始資料!AO173,原始資料!AO173))</f>
        <v/>
      </c>
      <c r="AP173">
        <f>IF(COUNT(B173:AO173)=0,"",SUM(B173:AO173))</f>
        <v/>
      </c>
      <c r="AQ173">
        <f>IF(AP173="","",IF(AP173&gt;=項目分析!$C$5,"高",IF(AP173&lt;=項目分析!$C$6,"低","")))</f>
        <v/>
      </c>
    </row>
    <row r="174">
      <c r="A174">
        <f>IF(原始資料!A174="","",原始資料!A174)</f>
        <v/>
      </c>
      <c r="B174">
        <f>IF(原始資料!B174="","",IF(反向題設定!$C$5="是",反向題設定!$B$2+1-原始資料!B174,原始資料!B174))</f>
        <v/>
      </c>
      <c r="C174">
        <f>IF(原始資料!C174="","",IF(反向題設定!$C$6="是",反向題設定!$B$2+1-原始資料!C174,原始資料!C174))</f>
        <v/>
      </c>
      <c r="D174">
        <f>IF(原始資料!D174="","",IF(反向題設定!$C$7="是",反向題設定!$B$2+1-原始資料!D174,原始資料!D174))</f>
        <v/>
      </c>
      <c r="E174">
        <f>IF(原始資料!E174="","",IF(反向題設定!$C$8="是",反向題設定!$B$2+1-原始資料!E174,原始資料!E174))</f>
        <v/>
      </c>
      <c r="F174">
        <f>IF(原始資料!F174="","",IF(反向題設定!$C$9="是",反向題設定!$B$2+1-原始資料!F174,原始資料!F174))</f>
        <v/>
      </c>
      <c r="G174">
        <f>IF(原始資料!G174="","",IF(反向題設定!$C$10="是",反向題設定!$B$2+1-原始資料!G174,原始資料!G174))</f>
        <v/>
      </c>
      <c r="H174">
        <f>IF(原始資料!H174="","",IF(反向題設定!$C$11="是",反向題設定!$B$2+1-原始資料!H174,原始資料!H174))</f>
        <v/>
      </c>
      <c r="I174">
        <f>IF(原始資料!I174="","",IF(反向題設定!$C$12="是",反向題設定!$B$2+1-原始資料!I174,原始資料!I174))</f>
        <v/>
      </c>
      <c r="J174">
        <f>IF(原始資料!J174="","",IF(反向題設定!$C$13="是",反向題設定!$B$2+1-原始資料!J174,原始資料!J174))</f>
        <v/>
      </c>
      <c r="K174">
        <f>IF(原始資料!K174="","",IF(反向題設定!$C$14="是",反向題設定!$B$2+1-原始資料!K174,原始資料!K174))</f>
        <v/>
      </c>
      <c r="L174">
        <f>IF(原始資料!L174="","",IF(反向題設定!$C$15="是",反向題設定!$B$2+1-原始資料!L174,原始資料!L174))</f>
        <v/>
      </c>
      <c r="M174">
        <f>IF(原始資料!M174="","",IF(反向題設定!$C$16="是",反向題設定!$B$2+1-原始資料!M174,原始資料!M174))</f>
        <v/>
      </c>
      <c r="N174">
        <f>IF(原始資料!N174="","",IF(反向題設定!$C$17="是",反向題設定!$B$2+1-原始資料!N174,原始資料!N174))</f>
        <v/>
      </c>
      <c r="O174">
        <f>IF(原始資料!O174="","",IF(反向題設定!$C$18="是",反向題設定!$B$2+1-原始資料!O174,原始資料!O174))</f>
        <v/>
      </c>
      <c r="P174">
        <f>IF(原始資料!P174="","",IF(反向題設定!$C$19="是",反向題設定!$B$2+1-原始資料!P174,原始資料!P174))</f>
        <v/>
      </c>
      <c r="Q174">
        <f>IF(原始資料!Q174="","",IF(反向題設定!$C$20="是",反向題設定!$B$2+1-原始資料!Q174,原始資料!Q174))</f>
        <v/>
      </c>
      <c r="R174">
        <f>IF(原始資料!R174="","",IF(反向題設定!$C$21="是",反向題設定!$B$2+1-原始資料!R174,原始資料!R174))</f>
        <v/>
      </c>
      <c r="S174">
        <f>IF(原始資料!S174="","",IF(反向題設定!$C$22="是",反向題設定!$B$2+1-原始資料!S174,原始資料!S174))</f>
        <v/>
      </c>
      <c r="T174">
        <f>IF(原始資料!T174="","",IF(反向題設定!$C$23="是",反向題設定!$B$2+1-原始資料!T174,原始資料!T174))</f>
        <v/>
      </c>
      <c r="U174">
        <f>IF(原始資料!U174="","",IF(反向題設定!$C$24="是",反向題設定!$B$2+1-原始資料!U174,原始資料!U174))</f>
        <v/>
      </c>
      <c r="V174">
        <f>IF(原始資料!V174="","",IF(反向題設定!$C$25="是",反向題設定!$B$2+1-原始資料!V174,原始資料!V174))</f>
        <v/>
      </c>
      <c r="W174">
        <f>IF(原始資料!W174="","",IF(反向題設定!$C$26="是",反向題設定!$B$2+1-原始資料!W174,原始資料!W174))</f>
        <v/>
      </c>
      <c r="X174">
        <f>IF(原始資料!X174="","",IF(反向題設定!$C$27="是",反向題設定!$B$2+1-原始資料!X174,原始資料!X174))</f>
        <v/>
      </c>
      <c r="Y174">
        <f>IF(原始資料!Y174="","",IF(反向題設定!$C$28="是",反向題設定!$B$2+1-原始資料!Y174,原始資料!Y174))</f>
        <v/>
      </c>
      <c r="Z174">
        <f>IF(原始資料!Z174="","",IF(反向題設定!$C$29="是",反向題設定!$B$2+1-原始資料!Z174,原始資料!Z174))</f>
        <v/>
      </c>
      <c r="AA174">
        <f>IF(原始資料!AA174="","",IF(反向題設定!$C$30="是",反向題設定!$B$2+1-原始資料!AA174,原始資料!AA174))</f>
        <v/>
      </c>
      <c r="AB174">
        <f>IF(原始資料!AB174="","",IF(反向題設定!$C$31="是",反向題設定!$B$2+1-原始資料!AB174,原始資料!AB174))</f>
        <v/>
      </c>
      <c r="AC174">
        <f>IF(原始資料!AC174="","",IF(反向題設定!$C$32="是",反向題設定!$B$2+1-原始資料!AC174,原始資料!AC174))</f>
        <v/>
      </c>
      <c r="AD174">
        <f>IF(原始資料!AD174="","",IF(反向題設定!$C$33="是",反向題設定!$B$2+1-原始資料!AD174,原始資料!AD174))</f>
        <v/>
      </c>
      <c r="AE174">
        <f>IF(原始資料!AE174="","",IF(反向題設定!$C$34="是",反向題設定!$B$2+1-原始資料!AE174,原始資料!AE174))</f>
        <v/>
      </c>
      <c r="AF174">
        <f>IF(原始資料!AF174="","",IF(反向題設定!$C$35="是",反向題設定!$B$2+1-原始資料!AF174,原始資料!AF174))</f>
        <v/>
      </c>
      <c r="AG174">
        <f>IF(原始資料!AG174="","",IF(反向題設定!$C$36="是",反向題設定!$B$2+1-原始資料!AG174,原始資料!AG174))</f>
        <v/>
      </c>
      <c r="AH174">
        <f>IF(原始資料!AH174="","",IF(反向題設定!$C$37="是",反向題設定!$B$2+1-原始資料!AH174,原始資料!AH174))</f>
        <v/>
      </c>
      <c r="AI174">
        <f>IF(原始資料!AI174="","",IF(反向題設定!$C$38="是",反向題設定!$B$2+1-原始資料!AI174,原始資料!AI174))</f>
        <v/>
      </c>
      <c r="AJ174">
        <f>IF(原始資料!AJ174="","",IF(反向題設定!$C$39="是",反向題設定!$B$2+1-原始資料!AJ174,原始資料!AJ174))</f>
        <v/>
      </c>
      <c r="AK174">
        <f>IF(原始資料!AK174="","",IF(反向題設定!$C$40="是",反向題設定!$B$2+1-原始資料!AK174,原始資料!AK174))</f>
        <v/>
      </c>
      <c r="AL174">
        <f>IF(原始資料!AL174="","",IF(反向題設定!$C$41="是",反向題設定!$B$2+1-原始資料!AL174,原始資料!AL174))</f>
        <v/>
      </c>
      <c r="AM174">
        <f>IF(原始資料!AM174="","",IF(反向題設定!$C$42="是",反向題設定!$B$2+1-原始資料!AM174,原始資料!AM174))</f>
        <v/>
      </c>
      <c r="AN174">
        <f>IF(原始資料!AN174="","",IF(反向題設定!$C$43="是",反向題設定!$B$2+1-原始資料!AN174,原始資料!AN174))</f>
        <v/>
      </c>
      <c r="AO174">
        <f>IF(原始資料!AO174="","",IF(反向題設定!$C$44="是",反向題設定!$B$2+1-原始資料!AO174,原始資料!AO174))</f>
        <v/>
      </c>
      <c r="AP174">
        <f>IF(COUNT(B174:AO174)=0,"",SUM(B174:AO174))</f>
        <v/>
      </c>
      <c r="AQ174">
        <f>IF(AP174="","",IF(AP174&gt;=項目分析!$C$5,"高",IF(AP174&lt;=項目分析!$C$6,"低","")))</f>
        <v/>
      </c>
    </row>
    <row r="175">
      <c r="A175">
        <f>IF(原始資料!A175="","",原始資料!A175)</f>
        <v/>
      </c>
      <c r="B175">
        <f>IF(原始資料!B175="","",IF(反向題設定!$C$5="是",反向題設定!$B$2+1-原始資料!B175,原始資料!B175))</f>
        <v/>
      </c>
      <c r="C175">
        <f>IF(原始資料!C175="","",IF(反向題設定!$C$6="是",反向題設定!$B$2+1-原始資料!C175,原始資料!C175))</f>
        <v/>
      </c>
      <c r="D175">
        <f>IF(原始資料!D175="","",IF(反向題設定!$C$7="是",反向題設定!$B$2+1-原始資料!D175,原始資料!D175))</f>
        <v/>
      </c>
      <c r="E175">
        <f>IF(原始資料!E175="","",IF(反向題設定!$C$8="是",反向題設定!$B$2+1-原始資料!E175,原始資料!E175))</f>
        <v/>
      </c>
      <c r="F175">
        <f>IF(原始資料!F175="","",IF(反向題設定!$C$9="是",反向題設定!$B$2+1-原始資料!F175,原始資料!F175))</f>
        <v/>
      </c>
      <c r="G175">
        <f>IF(原始資料!G175="","",IF(反向題設定!$C$10="是",反向題設定!$B$2+1-原始資料!G175,原始資料!G175))</f>
        <v/>
      </c>
      <c r="H175">
        <f>IF(原始資料!H175="","",IF(反向題設定!$C$11="是",反向題設定!$B$2+1-原始資料!H175,原始資料!H175))</f>
        <v/>
      </c>
      <c r="I175">
        <f>IF(原始資料!I175="","",IF(反向題設定!$C$12="是",反向題設定!$B$2+1-原始資料!I175,原始資料!I175))</f>
        <v/>
      </c>
      <c r="J175">
        <f>IF(原始資料!J175="","",IF(反向題設定!$C$13="是",反向題設定!$B$2+1-原始資料!J175,原始資料!J175))</f>
        <v/>
      </c>
      <c r="K175">
        <f>IF(原始資料!K175="","",IF(反向題設定!$C$14="是",反向題設定!$B$2+1-原始資料!K175,原始資料!K175))</f>
        <v/>
      </c>
      <c r="L175">
        <f>IF(原始資料!L175="","",IF(反向題設定!$C$15="是",反向題設定!$B$2+1-原始資料!L175,原始資料!L175))</f>
        <v/>
      </c>
      <c r="M175">
        <f>IF(原始資料!M175="","",IF(反向題設定!$C$16="是",反向題設定!$B$2+1-原始資料!M175,原始資料!M175))</f>
        <v/>
      </c>
      <c r="N175">
        <f>IF(原始資料!N175="","",IF(反向題設定!$C$17="是",反向題設定!$B$2+1-原始資料!N175,原始資料!N175))</f>
        <v/>
      </c>
      <c r="O175">
        <f>IF(原始資料!O175="","",IF(反向題設定!$C$18="是",反向題設定!$B$2+1-原始資料!O175,原始資料!O175))</f>
        <v/>
      </c>
      <c r="P175">
        <f>IF(原始資料!P175="","",IF(反向題設定!$C$19="是",反向題設定!$B$2+1-原始資料!P175,原始資料!P175))</f>
        <v/>
      </c>
      <c r="Q175">
        <f>IF(原始資料!Q175="","",IF(反向題設定!$C$20="是",反向題設定!$B$2+1-原始資料!Q175,原始資料!Q175))</f>
        <v/>
      </c>
      <c r="R175">
        <f>IF(原始資料!R175="","",IF(反向題設定!$C$21="是",反向題設定!$B$2+1-原始資料!R175,原始資料!R175))</f>
        <v/>
      </c>
      <c r="S175">
        <f>IF(原始資料!S175="","",IF(反向題設定!$C$22="是",反向題設定!$B$2+1-原始資料!S175,原始資料!S175))</f>
        <v/>
      </c>
      <c r="T175">
        <f>IF(原始資料!T175="","",IF(反向題設定!$C$23="是",反向題設定!$B$2+1-原始資料!T175,原始資料!T175))</f>
        <v/>
      </c>
      <c r="U175">
        <f>IF(原始資料!U175="","",IF(反向題設定!$C$24="是",反向題設定!$B$2+1-原始資料!U175,原始資料!U175))</f>
        <v/>
      </c>
      <c r="V175">
        <f>IF(原始資料!V175="","",IF(反向題設定!$C$25="是",反向題設定!$B$2+1-原始資料!V175,原始資料!V175))</f>
        <v/>
      </c>
      <c r="W175">
        <f>IF(原始資料!W175="","",IF(反向題設定!$C$26="是",反向題設定!$B$2+1-原始資料!W175,原始資料!W175))</f>
        <v/>
      </c>
      <c r="X175">
        <f>IF(原始資料!X175="","",IF(反向題設定!$C$27="是",反向題設定!$B$2+1-原始資料!X175,原始資料!X175))</f>
        <v/>
      </c>
      <c r="Y175">
        <f>IF(原始資料!Y175="","",IF(反向題設定!$C$28="是",反向題設定!$B$2+1-原始資料!Y175,原始資料!Y175))</f>
        <v/>
      </c>
      <c r="Z175">
        <f>IF(原始資料!Z175="","",IF(反向題設定!$C$29="是",反向題設定!$B$2+1-原始資料!Z175,原始資料!Z175))</f>
        <v/>
      </c>
      <c r="AA175">
        <f>IF(原始資料!AA175="","",IF(反向題設定!$C$30="是",反向題設定!$B$2+1-原始資料!AA175,原始資料!AA175))</f>
        <v/>
      </c>
      <c r="AB175">
        <f>IF(原始資料!AB175="","",IF(反向題設定!$C$31="是",反向題設定!$B$2+1-原始資料!AB175,原始資料!AB175))</f>
        <v/>
      </c>
      <c r="AC175">
        <f>IF(原始資料!AC175="","",IF(反向題設定!$C$32="是",反向題設定!$B$2+1-原始資料!AC175,原始資料!AC175))</f>
        <v/>
      </c>
      <c r="AD175">
        <f>IF(原始資料!AD175="","",IF(反向題設定!$C$33="是",反向題設定!$B$2+1-原始資料!AD175,原始資料!AD175))</f>
        <v/>
      </c>
      <c r="AE175">
        <f>IF(原始資料!AE175="","",IF(反向題設定!$C$34="是",反向題設定!$B$2+1-原始資料!AE175,原始資料!AE175))</f>
        <v/>
      </c>
      <c r="AF175">
        <f>IF(原始資料!AF175="","",IF(反向題設定!$C$35="是",反向題設定!$B$2+1-原始資料!AF175,原始資料!AF175))</f>
        <v/>
      </c>
      <c r="AG175">
        <f>IF(原始資料!AG175="","",IF(反向題設定!$C$36="是",反向題設定!$B$2+1-原始資料!AG175,原始資料!AG175))</f>
        <v/>
      </c>
      <c r="AH175">
        <f>IF(原始資料!AH175="","",IF(反向題設定!$C$37="是",反向題設定!$B$2+1-原始資料!AH175,原始資料!AH175))</f>
        <v/>
      </c>
      <c r="AI175">
        <f>IF(原始資料!AI175="","",IF(反向題設定!$C$38="是",反向題設定!$B$2+1-原始資料!AI175,原始資料!AI175))</f>
        <v/>
      </c>
      <c r="AJ175">
        <f>IF(原始資料!AJ175="","",IF(反向題設定!$C$39="是",反向題設定!$B$2+1-原始資料!AJ175,原始資料!AJ175))</f>
        <v/>
      </c>
      <c r="AK175">
        <f>IF(原始資料!AK175="","",IF(反向題設定!$C$40="是",反向題設定!$B$2+1-原始資料!AK175,原始資料!AK175))</f>
        <v/>
      </c>
      <c r="AL175">
        <f>IF(原始資料!AL175="","",IF(反向題設定!$C$41="是",反向題設定!$B$2+1-原始資料!AL175,原始資料!AL175))</f>
        <v/>
      </c>
      <c r="AM175">
        <f>IF(原始資料!AM175="","",IF(反向題設定!$C$42="是",反向題設定!$B$2+1-原始資料!AM175,原始資料!AM175))</f>
        <v/>
      </c>
      <c r="AN175">
        <f>IF(原始資料!AN175="","",IF(反向題設定!$C$43="是",反向題設定!$B$2+1-原始資料!AN175,原始資料!AN175))</f>
        <v/>
      </c>
      <c r="AO175">
        <f>IF(原始資料!AO175="","",IF(反向題設定!$C$44="是",反向題設定!$B$2+1-原始資料!AO175,原始資料!AO175))</f>
        <v/>
      </c>
      <c r="AP175">
        <f>IF(COUNT(B175:AO175)=0,"",SUM(B175:AO175))</f>
        <v/>
      </c>
      <c r="AQ175">
        <f>IF(AP175="","",IF(AP175&gt;=項目分析!$C$5,"高",IF(AP175&lt;=項目分析!$C$6,"低","")))</f>
        <v/>
      </c>
    </row>
    <row r="176">
      <c r="A176">
        <f>IF(原始資料!A176="","",原始資料!A176)</f>
        <v/>
      </c>
      <c r="B176">
        <f>IF(原始資料!B176="","",IF(反向題設定!$C$5="是",反向題設定!$B$2+1-原始資料!B176,原始資料!B176))</f>
        <v/>
      </c>
      <c r="C176">
        <f>IF(原始資料!C176="","",IF(反向題設定!$C$6="是",反向題設定!$B$2+1-原始資料!C176,原始資料!C176))</f>
        <v/>
      </c>
      <c r="D176">
        <f>IF(原始資料!D176="","",IF(反向題設定!$C$7="是",反向題設定!$B$2+1-原始資料!D176,原始資料!D176))</f>
        <v/>
      </c>
      <c r="E176">
        <f>IF(原始資料!E176="","",IF(反向題設定!$C$8="是",反向題設定!$B$2+1-原始資料!E176,原始資料!E176))</f>
        <v/>
      </c>
      <c r="F176">
        <f>IF(原始資料!F176="","",IF(反向題設定!$C$9="是",反向題設定!$B$2+1-原始資料!F176,原始資料!F176))</f>
        <v/>
      </c>
      <c r="G176">
        <f>IF(原始資料!G176="","",IF(反向題設定!$C$10="是",反向題設定!$B$2+1-原始資料!G176,原始資料!G176))</f>
        <v/>
      </c>
      <c r="H176">
        <f>IF(原始資料!H176="","",IF(反向題設定!$C$11="是",反向題設定!$B$2+1-原始資料!H176,原始資料!H176))</f>
        <v/>
      </c>
      <c r="I176">
        <f>IF(原始資料!I176="","",IF(反向題設定!$C$12="是",反向題設定!$B$2+1-原始資料!I176,原始資料!I176))</f>
        <v/>
      </c>
      <c r="J176">
        <f>IF(原始資料!J176="","",IF(反向題設定!$C$13="是",反向題設定!$B$2+1-原始資料!J176,原始資料!J176))</f>
        <v/>
      </c>
      <c r="K176">
        <f>IF(原始資料!K176="","",IF(反向題設定!$C$14="是",反向題設定!$B$2+1-原始資料!K176,原始資料!K176))</f>
        <v/>
      </c>
      <c r="L176">
        <f>IF(原始資料!L176="","",IF(反向題設定!$C$15="是",反向題設定!$B$2+1-原始資料!L176,原始資料!L176))</f>
        <v/>
      </c>
      <c r="M176">
        <f>IF(原始資料!M176="","",IF(反向題設定!$C$16="是",反向題設定!$B$2+1-原始資料!M176,原始資料!M176))</f>
        <v/>
      </c>
      <c r="N176">
        <f>IF(原始資料!N176="","",IF(反向題設定!$C$17="是",反向題設定!$B$2+1-原始資料!N176,原始資料!N176))</f>
        <v/>
      </c>
      <c r="O176">
        <f>IF(原始資料!O176="","",IF(反向題設定!$C$18="是",反向題設定!$B$2+1-原始資料!O176,原始資料!O176))</f>
        <v/>
      </c>
      <c r="P176">
        <f>IF(原始資料!P176="","",IF(反向題設定!$C$19="是",反向題設定!$B$2+1-原始資料!P176,原始資料!P176))</f>
        <v/>
      </c>
      <c r="Q176">
        <f>IF(原始資料!Q176="","",IF(反向題設定!$C$20="是",反向題設定!$B$2+1-原始資料!Q176,原始資料!Q176))</f>
        <v/>
      </c>
      <c r="R176">
        <f>IF(原始資料!R176="","",IF(反向題設定!$C$21="是",反向題設定!$B$2+1-原始資料!R176,原始資料!R176))</f>
        <v/>
      </c>
      <c r="S176">
        <f>IF(原始資料!S176="","",IF(反向題設定!$C$22="是",反向題設定!$B$2+1-原始資料!S176,原始資料!S176))</f>
        <v/>
      </c>
      <c r="T176">
        <f>IF(原始資料!T176="","",IF(反向題設定!$C$23="是",反向題設定!$B$2+1-原始資料!T176,原始資料!T176))</f>
        <v/>
      </c>
      <c r="U176">
        <f>IF(原始資料!U176="","",IF(反向題設定!$C$24="是",反向題設定!$B$2+1-原始資料!U176,原始資料!U176))</f>
        <v/>
      </c>
      <c r="V176">
        <f>IF(原始資料!V176="","",IF(反向題設定!$C$25="是",反向題設定!$B$2+1-原始資料!V176,原始資料!V176))</f>
        <v/>
      </c>
      <c r="W176">
        <f>IF(原始資料!W176="","",IF(反向題設定!$C$26="是",反向題設定!$B$2+1-原始資料!W176,原始資料!W176))</f>
        <v/>
      </c>
      <c r="X176">
        <f>IF(原始資料!X176="","",IF(反向題設定!$C$27="是",反向題設定!$B$2+1-原始資料!X176,原始資料!X176))</f>
        <v/>
      </c>
      <c r="Y176">
        <f>IF(原始資料!Y176="","",IF(反向題設定!$C$28="是",反向題設定!$B$2+1-原始資料!Y176,原始資料!Y176))</f>
        <v/>
      </c>
      <c r="Z176">
        <f>IF(原始資料!Z176="","",IF(反向題設定!$C$29="是",反向題設定!$B$2+1-原始資料!Z176,原始資料!Z176))</f>
        <v/>
      </c>
      <c r="AA176">
        <f>IF(原始資料!AA176="","",IF(反向題設定!$C$30="是",反向題設定!$B$2+1-原始資料!AA176,原始資料!AA176))</f>
        <v/>
      </c>
      <c r="AB176">
        <f>IF(原始資料!AB176="","",IF(反向題設定!$C$31="是",反向題設定!$B$2+1-原始資料!AB176,原始資料!AB176))</f>
        <v/>
      </c>
      <c r="AC176">
        <f>IF(原始資料!AC176="","",IF(反向題設定!$C$32="是",反向題設定!$B$2+1-原始資料!AC176,原始資料!AC176))</f>
        <v/>
      </c>
      <c r="AD176">
        <f>IF(原始資料!AD176="","",IF(反向題設定!$C$33="是",反向題設定!$B$2+1-原始資料!AD176,原始資料!AD176))</f>
        <v/>
      </c>
      <c r="AE176">
        <f>IF(原始資料!AE176="","",IF(反向題設定!$C$34="是",反向題設定!$B$2+1-原始資料!AE176,原始資料!AE176))</f>
        <v/>
      </c>
      <c r="AF176">
        <f>IF(原始資料!AF176="","",IF(反向題設定!$C$35="是",反向題設定!$B$2+1-原始資料!AF176,原始資料!AF176))</f>
        <v/>
      </c>
      <c r="AG176">
        <f>IF(原始資料!AG176="","",IF(反向題設定!$C$36="是",反向題設定!$B$2+1-原始資料!AG176,原始資料!AG176))</f>
        <v/>
      </c>
      <c r="AH176">
        <f>IF(原始資料!AH176="","",IF(反向題設定!$C$37="是",反向題設定!$B$2+1-原始資料!AH176,原始資料!AH176))</f>
        <v/>
      </c>
      <c r="AI176">
        <f>IF(原始資料!AI176="","",IF(反向題設定!$C$38="是",反向題設定!$B$2+1-原始資料!AI176,原始資料!AI176))</f>
        <v/>
      </c>
      <c r="AJ176">
        <f>IF(原始資料!AJ176="","",IF(反向題設定!$C$39="是",反向題設定!$B$2+1-原始資料!AJ176,原始資料!AJ176))</f>
        <v/>
      </c>
      <c r="AK176">
        <f>IF(原始資料!AK176="","",IF(反向題設定!$C$40="是",反向題設定!$B$2+1-原始資料!AK176,原始資料!AK176))</f>
        <v/>
      </c>
      <c r="AL176">
        <f>IF(原始資料!AL176="","",IF(反向題設定!$C$41="是",反向題設定!$B$2+1-原始資料!AL176,原始資料!AL176))</f>
        <v/>
      </c>
      <c r="AM176">
        <f>IF(原始資料!AM176="","",IF(反向題設定!$C$42="是",反向題設定!$B$2+1-原始資料!AM176,原始資料!AM176))</f>
        <v/>
      </c>
      <c r="AN176">
        <f>IF(原始資料!AN176="","",IF(反向題設定!$C$43="是",反向題設定!$B$2+1-原始資料!AN176,原始資料!AN176))</f>
        <v/>
      </c>
      <c r="AO176">
        <f>IF(原始資料!AO176="","",IF(反向題設定!$C$44="是",反向題設定!$B$2+1-原始資料!AO176,原始資料!AO176))</f>
        <v/>
      </c>
      <c r="AP176">
        <f>IF(COUNT(B176:AO176)=0,"",SUM(B176:AO176))</f>
        <v/>
      </c>
      <c r="AQ176">
        <f>IF(AP176="","",IF(AP176&gt;=項目分析!$C$5,"高",IF(AP176&lt;=項目分析!$C$6,"低","")))</f>
        <v/>
      </c>
    </row>
    <row r="177">
      <c r="A177">
        <f>IF(原始資料!A177="","",原始資料!A177)</f>
        <v/>
      </c>
      <c r="B177">
        <f>IF(原始資料!B177="","",IF(反向題設定!$C$5="是",反向題設定!$B$2+1-原始資料!B177,原始資料!B177))</f>
        <v/>
      </c>
      <c r="C177">
        <f>IF(原始資料!C177="","",IF(反向題設定!$C$6="是",反向題設定!$B$2+1-原始資料!C177,原始資料!C177))</f>
        <v/>
      </c>
      <c r="D177">
        <f>IF(原始資料!D177="","",IF(反向題設定!$C$7="是",反向題設定!$B$2+1-原始資料!D177,原始資料!D177))</f>
        <v/>
      </c>
      <c r="E177">
        <f>IF(原始資料!E177="","",IF(反向題設定!$C$8="是",反向題設定!$B$2+1-原始資料!E177,原始資料!E177))</f>
        <v/>
      </c>
      <c r="F177">
        <f>IF(原始資料!F177="","",IF(反向題設定!$C$9="是",反向題設定!$B$2+1-原始資料!F177,原始資料!F177))</f>
        <v/>
      </c>
      <c r="G177">
        <f>IF(原始資料!G177="","",IF(反向題設定!$C$10="是",反向題設定!$B$2+1-原始資料!G177,原始資料!G177))</f>
        <v/>
      </c>
      <c r="H177">
        <f>IF(原始資料!H177="","",IF(反向題設定!$C$11="是",反向題設定!$B$2+1-原始資料!H177,原始資料!H177))</f>
        <v/>
      </c>
      <c r="I177">
        <f>IF(原始資料!I177="","",IF(反向題設定!$C$12="是",反向題設定!$B$2+1-原始資料!I177,原始資料!I177))</f>
        <v/>
      </c>
      <c r="J177">
        <f>IF(原始資料!J177="","",IF(反向題設定!$C$13="是",反向題設定!$B$2+1-原始資料!J177,原始資料!J177))</f>
        <v/>
      </c>
      <c r="K177">
        <f>IF(原始資料!K177="","",IF(反向題設定!$C$14="是",反向題設定!$B$2+1-原始資料!K177,原始資料!K177))</f>
        <v/>
      </c>
      <c r="L177">
        <f>IF(原始資料!L177="","",IF(反向題設定!$C$15="是",反向題設定!$B$2+1-原始資料!L177,原始資料!L177))</f>
        <v/>
      </c>
      <c r="M177">
        <f>IF(原始資料!M177="","",IF(反向題設定!$C$16="是",反向題設定!$B$2+1-原始資料!M177,原始資料!M177))</f>
        <v/>
      </c>
      <c r="N177">
        <f>IF(原始資料!N177="","",IF(反向題設定!$C$17="是",反向題設定!$B$2+1-原始資料!N177,原始資料!N177))</f>
        <v/>
      </c>
      <c r="O177">
        <f>IF(原始資料!O177="","",IF(反向題設定!$C$18="是",反向題設定!$B$2+1-原始資料!O177,原始資料!O177))</f>
        <v/>
      </c>
      <c r="P177">
        <f>IF(原始資料!P177="","",IF(反向題設定!$C$19="是",反向題設定!$B$2+1-原始資料!P177,原始資料!P177))</f>
        <v/>
      </c>
      <c r="Q177">
        <f>IF(原始資料!Q177="","",IF(反向題設定!$C$20="是",反向題設定!$B$2+1-原始資料!Q177,原始資料!Q177))</f>
        <v/>
      </c>
      <c r="R177">
        <f>IF(原始資料!R177="","",IF(反向題設定!$C$21="是",反向題設定!$B$2+1-原始資料!R177,原始資料!R177))</f>
        <v/>
      </c>
      <c r="S177">
        <f>IF(原始資料!S177="","",IF(反向題設定!$C$22="是",反向題設定!$B$2+1-原始資料!S177,原始資料!S177))</f>
        <v/>
      </c>
      <c r="T177">
        <f>IF(原始資料!T177="","",IF(反向題設定!$C$23="是",反向題設定!$B$2+1-原始資料!T177,原始資料!T177))</f>
        <v/>
      </c>
      <c r="U177">
        <f>IF(原始資料!U177="","",IF(反向題設定!$C$24="是",反向題設定!$B$2+1-原始資料!U177,原始資料!U177))</f>
        <v/>
      </c>
      <c r="V177">
        <f>IF(原始資料!V177="","",IF(反向題設定!$C$25="是",反向題設定!$B$2+1-原始資料!V177,原始資料!V177))</f>
        <v/>
      </c>
      <c r="W177">
        <f>IF(原始資料!W177="","",IF(反向題設定!$C$26="是",反向題設定!$B$2+1-原始資料!W177,原始資料!W177))</f>
        <v/>
      </c>
      <c r="X177">
        <f>IF(原始資料!X177="","",IF(反向題設定!$C$27="是",反向題設定!$B$2+1-原始資料!X177,原始資料!X177))</f>
        <v/>
      </c>
      <c r="Y177">
        <f>IF(原始資料!Y177="","",IF(反向題設定!$C$28="是",反向題設定!$B$2+1-原始資料!Y177,原始資料!Y177))</f>
        <v/>
      </c>
      <c r="Z177">
        <f>IF(原始資料!Z177="","",IF(反向題設定!$C$29="是",反向題設定!$B$2+1-原始資料!Z177,原始資料!Z177))</f>
        <v/>
      </c>
      <c r="AA177">
        <f>IF(原始資料!AA177="","",IF(反向題設定!$C$30="是",反向題設定!$B$2+1-原始資料!AA177,原始資料!AA177))</f>
        <v/>
      </c>
      <c r="AB177">
        <f>IF(原始資料!AB177="","",IF(反向題設定!$C$31="是",反向題設定!$B$2+1-原始資料!AB177,原始資料!AB177))</f>
        <v/>
      </c>
      <c r="AC177">
        <f>IF(原始資料!AC177="","",IF(反向題設定!$C$32="是",反向題設定!$B$2+1-原始資料!AC177,原始資料!AC177))</f>
        <v/>
      </c>
      <c r="AD177">
        <f>IF(原始資料!AD177="","",IF(反向題設定!$C$33="是",反向題設定!$B$2+1-原始資料!AD177,原始資料!AD177))</f>
        <v/>
      </c>
      <c r="AE177">
        <f>IF(原始資料!AE177="","",IF(反向題設定!$C$34="是",反向題設定!$B$2+1-原始資料!AE177,原始資料!AE177))</f>
        <v/>
      </c>
      <c r="AF177">
        <f>IF(原始資料!AF177="","",IF(反向題設定!$C$35="是",反向題設定!$B$2+1-原始資料!AF177,原始資料!AF177))</f>
        <v/>
      </c>
      <c r="AG177">
        <f>IF(原始資料!AG177="","",IF(反向題設定!$C$36="是",反向題設定!$B$2+1-原始資料!AG177,原始資料!AG177))</f>
        <v/>
      </c>
      <c r="AH177">
        <f>IF(原始資料!AH177="","",IF(反向題設定!$C$37="是",反向題設定!$B$2+1-原始資料!AH177,原始資料!AH177))</f>
        <v/>
      </c>
      <c r="AI177">
        <f>IF(原始資料!AI177="","",IF(反向題設定!$C$38="是",反向題設定!$B$2+1-原始資料!AI177,原始資料!AI177))</f>
        <v/>
      </c>
      <c r="AJ177">
        <f>IF(原始資料!AJ177="","",IF(反向題設定!$C$39="是",反向題設定!$B$2+1-原始資料!AJ177,原始資料!AJ177))</f>
        <v/>
      </c>
      <c r="AK177">
        <f>IF(原始資料!AK177="","",IF(反向題設定!$C$40="是",反向題設定!$B$2+1-原始資料!AK177,原始資料!AK177))</f>
        <v/>
      </c>
      <c r="AL177">
        <f>IF(原始資料!AL177="","",IF(反向題設定!$C$41="是",反向題設定!$B$2+1-原始資料!AL177,原始資料!AL177))</f>
        <v/>
      </c>
      <c r="AM177">
        <f>IF(原始資料!AM177="","",IF(反向題設定!$C$42="是",反向題設定!$B$2+1-原始資料!AM177,原始資料!AM177))</f>
        <v/>
      </c>
      <c r="AN177">
        <f>IF(原始資料!AN177="","",IF(反向題設定!$C$43="是",反向題設定!$B$2+1-原始資料!AN177,原始資料!AN177))</f>
        <v/>
      </c>
      <c r="AO177">
        <f>IF(原始資料!AO177="","",IF(反向題設定!$C$44="是",反向題設定!$B$2+1-原始資料!AO177,原始資料!AO177))</f>
        <v/>
      </c>
      <c r="AP177">
        <f>IF(COUNT(B177:AO177)=0,"",SUM(B177:AO177))</f>
        <v/>
      </c>
      <c r="AQ177">
        <f>IF(AP177="","",IF(AP177&gt;=項目分析!$C$5,"高",IF(AP177&lt;=項目分析!$C$6,"低","")))</f>
        <v/>
      </c>
    </row>
    <row r="178">
      <c r="A178">
        <f>IF(原始資料!A178="","",原始資料!A178)</f>
        <v/>
      </c>
      <c r="B178">
        <f>IF(原始資料!B178="","",IF(反向題設定!$C$5="是",反向題設定!$B$2+1-原始資料!B178,原始資料!B178))</f>
        <v/>
      </c>
      <c r="C178">
        <f>IF(原始資料!C178="","",IF(反向題設定!$C$6="是",反向題設定!$B$2+1-原始資料!C178,原始資料!C178))</f>
        <v/>
      </c>
      <c r="D178">
        <f>IF(原始資料!D178="","",IF(反向題設定!$C$7="是",反向題設定!$B$2+1-原始資料!D178,原始資料!D178))</f>
        <v/>
      </c>
      <c r="E178">
        <f>IF(原始資料!E178="","",IF(反向題設定!$C$8="是",反向題設定!$B$2+1-原始資料!E178,原始資料!E178))</f>
        <v/>
      </c>
      <c r="F178">
        <f>IF(原始資料!F178="","",IF(反向題設定!$C$9="是",反向題設定!$B$2+1-原始資料!F178,原始資料!F178))</f>
        <v/>
      </c>
      <c r="G178">
        <f>IF(原始資料!G178="","",IF(反向題設定!$C$10="是",反向題設定!$B$2+1-原始資料!G178,原始資料!G178))</f>
        <v/>
      </c>
      <c r="H178">
        <f>IF(原始資料!H178="","",IF(反向題設定!$C$11="是",反向題設定!$B$2+1-原始資料!H178,原始資料!H178))</f>
        <v/>
      </c>
      <c r="I178">
        <f>IF(原始資料!I178="","",IF(反向題設定!$C$12="是",反向題設定!$B$2+1-原始資料!I178,原始資料!I178))</f>
        <v/>
      </c>
      <c r="J178">
        <f>IF(原始資料!J178="","",IF(反向題設定!$C$13="是",反向題設定!$B$2+1-原始資料!J178,原始資料!J178))</f>
        <v/>
      </c>
      <c r="K178">
        <f>IF(原始資料!K178="","",IF(反向題設定!$C$14="是",反向題設定!$B$2+1-原始資料!K178,原始資料!K178))</f>
        <v/>
      </c>
      <c r="L178">
        <f>IF(原始資料!L178="","",IF(反向題設定!$C$15="是",反向題設定!$B$2+1-原始資料!L178,原始資料!L178))</f>
        <v/>
      </c>
      <c r="M178">
        <f>IF(原始資料!M178="","",IF(反向題設定!$C$16="是",反向題設定!$B$2+1-原始資料!M178,原始資料!M178))</f>
        <v/>
      </c>
      <c r="N178">
        <f>IF(原始資料!N178="","",IF(反向題設定!$C$17="是",反向題設定!$B$2+1-原始資料!N178,原始資料!N178))</f>
        <v/>
      </c>
      <c r="O178">
        <f>IF(原始資料!O178="","",IF(反向題設定!$C$18="是",反向題設定!$B$2+1-原始資料!O178,原始資料!O178))</f>
        <v/>
      </c>
      <c r="P178">
        <f>IF(原始資料!P178="","",IF(反向題設定!$C$19="是",反向題設定!$B$2+1-原始資料!P178,原始資料!P178))</f>
        <v/>
      </c>
      <c r="Q178">
        <f>IF(原始資料!Q178="","",IF(反向題設定!$C$20="是",反向題設定!$B$2+1-原始資料!Q178,原始資料!Q178))</f>
        <v/>
      </c>
      <c r="R178">
        <f>IF(原始資料!R178="","",IF(反向題設定!$C$21="是",反向題設定!$B$2+1-原始資料!R178,原始資料!R178))</f>
        <v/>
      </c>
      <c r="S178">
        <f>IF(原始資料!S178="","",IF(反向題設定!$C$22="是",反向題設定!$B$2+1-原始資料!S178,原始資料!S178))</f>
        <v/>
      </c>
      <c r="T178">
        <f>IF(原始資料!T178="","",IF(反向題設定!$C$23="是",反向題設定!$B$2+1-原始資料!T178,原始資料!T178))</f>
        <v/>
      </c>
      <c r="U178">
        <f>IF(原始資料!U178="","",IF(反向題設定!$C$24="是",反向題設定!$B$2+1-原始資料!U178,原始資料!U178))</f>
        <v/>
      </c>
      <c r="V178">
        <f>IF(原始資料!V178="","",IF(反向題設定!$C$25="是",反向題設定!$B$2+1-原始資料!V178,原始資料!V178))</f>
        <v/>
      </c>
      <c r="W178">
        <f>IF(原始資料!W178="","",IF(反向題設定!$C$26="是",反向題設定!$B$2+1-原始資料!W178,原始資料!W178))</f>
        <v/>
      </c>
      <c r="X178">
        <f>IF(原始資料!X178="","",IF(反向題設定!$C$27="是",反向題設定!$B$2+1-原始資料!X178,原始資料!X178))</f>
        <v/>
      </c>
      <c r="Y178">
        <f>IF(原始資料!Y178="","",IF(反向題設定!$C$28="是",反向題設定!$B$2+1-原始資料!Y178,原始資料!Y178))</f>
        <v/>
      </c>
      <c r="Z178">
        <f>IF(原始資料!Z178="","",IF(反向題設定!$C$29="是",反向題設定!$B$2+1-原始資料!Z178,原始資料!Z178))</f>
        <v/>
      </c>
      <c r="AA178">
        <f>IF(原始資料!AA178="","",IF(反向題設定!$C$30="是",反向題設定!$B$2+1-原始資料!AA178,原始資料!AA178))</f>
        <v/>
      </c>
      <c r="AB178">
        <f>IF(原始資料!AB178="","",IF(反向題設定!$C$31="是",反向題設定!$B$2+1-原始資料!AB178,原始資料!AB178))</f>
        <v/>
      </c>
      <c r="AC178">
        <f>IF(原始資料!AC178="","",IF(反向題設定!$C$32="是",反向題設定!$B$2+1-原始資料!AC178,原始資料!AC178))</f>
        <v/>
      </c>
      <c r="AD178">
        <f>IF(原始資料!AD178="","",IF(反向題設定!$C$33="是",反向題設定!$B$2+1-原始資料!AD178,原始資料!AD178))</f>
        <v/>
      </c>
      <c r="AE178">
        <f>IF(原始資料!AE178="","",IF(反向題設定!$C$34="是",反向題設定!$B$2+1-原始資料!AE178,原始資料!AE178))</f>
        <v/>
      </c>
      <c r="AF178">
        <f>IF(原始資料!AF178="","",IF(反向題設定!$C$35="是",反向題設定!$B$2+1-原始資料!AF178,原始資料!AF178))</f>
        <v/>
      </c>
      <c r="AG178">
        <f>IF(原始資料!AG178="","",IF(反向題設定!$C$36="是",反向題設定!$B$2+1-原始資料!AG178,原始資料!AG178))</f>
        <v/>
      </c>
      <c r="AH178">
        <f>IF(原始資料!AH178="","",IF(反向題設定!$C$37="是",反向題設定!$B$2+1-原始資料!AH178,原始資料!AH178))</f>
        <v/>
      </c>
      <c r="AI178">
        <f>IF(原始資料!AI178="","",IF(反向題設定!$C$38="是",反向題設定!$B$2+1-原始資料!AI178,原始資料!AI178))</f>
        <v/>
      </c>
      <c r="AJ178">
        <f>IF(原始資料!AJ178="","",IF(反向題設定!$C$39="是",反向題設定!$B$2+1-原始資料!AJ178,原始資料!AJ178))</f>
        <v/>
      </c>
      <c r="AK178">
        <f>IF(原始資料!AK178="","",IF(反向題設定!$C$40="是",反向題設定!$B$2+1-原始資料!AK178,原始資料!AK178))</f>
        <v/>
      </c>
      <c r="AL178">
        <f>IF(原始資料!AL178="","",IF(反向題設定!$C$41="是",反向題設定!$B$2+1-原始資料!AL178,原始資料!AL178))</f>
        <v/>
      </c>
      <c r="AM178">
        <f>IF(原始資料!AM178="","",IF(反向題設定!$C$42="是",反向題設定!$B$2+1-原始資料!AM178,原始資料!AM178))</f>
        <v/>
      </c>
      <c r="AN178">
        <f>IF(原始資料!AN178="","",IF(反向題設定!$C$43="是",反向題設定!$B$2+1-原始資料!AN178,原始資料!AN178))</f>
        <v/>
      </c>
      <c r="AO178">
        <f>IF(原始資料!AO178="","",IF(反向題設定!$C$44="是",反向題設定!$B$2+1-原始資料!AO178,原始資料!AO178))</f>
        <v/>
      </c>
      <c r="AP178">
        <f>IF(COUNT(B178:AO178)=0,"",SUM(B178:AO178))</f>
        <v/>
      </c>
      <c r="AQ178">
        <f>IF(AP178="","",IF(AP178&gt;=項目分析!$C$5,"高",IF(AP178&lt;=項目分析!$C$6,"低","")))</f>
        <v/>
      </c>
    </row>
    <row r="179">
      <c r="A179">
        <f>IF(原始資料!A179="","",原始資料!A179)</f>
        <v/>
      </c>
      <c r="B179">
        <f>IF(原始資料!B179="","",IF(反向題設定!$C$5="是",反向題設定!$B$2+1-原始資料!B179,原始資料!B179))</f>
        <v/>
      </c>
      <c r="C179">
        <f>IF(原始資料!C179="","",IF(反向題設定!$C$6="是",反向題設定!$B$2+1-原始資料!C179,原始資料!C179))</f>
        <v/>
      </c>
      <c r="D179">
        <f>IF(原始資料!D179="","",IF(反向題設定!$C$7="是",反向題設定!$B$2+1-原始資料!D179,原始資料!D179))</f>
        <v/>
      </c>
      <c r="E179">
        <f>IF(原始資料!E179="","",IF(反向題設定!$C$8="是",反向題設定!$B$2+1-原始資料!E179,原始資料!E179))</f>
        <v/>
      </c>
      <c r="F179">
        <f>IF(原始資料!F179="","",IF(反向題設定!$C$9="是",反向題設定!$B$2+1-原始資料!F179,原始資料!F179))</f>
        <v/>
      </c>
      <c r="G179">
        <f>IF(原始資料!G179="","",IF(反向題設定!$C$10="是",反向題設定!$B$2+1-原始資料!G179,原始資料!G179))</f>
        <v/>
      </c>
      <c r="H179">
        <f>IF(原始資料!H179="","",IF(反向題設定!$C$11="是",反向題設定!$B$2+1-原始資料!H179,原始資料!H179))</f>
        <v/>
      </c>
      <c r="I179">
        <f>IF(原始資料!I179="","",IF(反向題設定!$C$12="是",反向題設定!$B$2+1-原始資料!I179,原始資料!I179))</f>
        <v/>
      </c>
      <c r="J179">
        <f>IF(原始資料!J179="","",IF(反向題設定!$C$13="是",反向題設定!$B$2+1-原始資料!J179,原始資料!J179))</f>
        <v/>
      </c>
      <c r="K179">
        <f>IF(原始資料!K179="","",IF(反向題設定!$C$14="是",反向題設定!$B$2+1-原始資料!K179,原始資料!K179))</f>
        <v/>
      </c>
      <c r="L179">
        <f>IF(原始資料!L179="","",IF(反向題設定!$C$15="是",反向題設定!$B$2+1-原始資料!L179,原始資料!L179))</f>
        <v/>
      </c>
      <c r="M179">
        <f>IF(原始資料!M179="","",IF(反向題設定!$C$16="是",反向題設定!$B$2+1-原始資料!M179,原始資料!M179))</f>
        <v/>
      </c>
      <c r="N179">
        <f>IF(原始資料!N179="","",IF(反向題設定!$C$17="是",反向題設定!$B$2+1-原始資料!N179,原始資料!N179))</f>
        <v/>
      </c>
      <c r="O179">
        <f>IF(原始資料!O179="","",IF(反向題設定!$C$18="是",反向題設定!$B$2+1-原始資料!O179,原始資料!O179))</f>
        <v/>
      </c>
      <c r="P179">
        <f>IF(原始資料!P179="","",IF(反向題設定!$C$19="是",反向題設定!$B$2+1-原始資料!P179,原始資料!P179))</f>
        <v/>
      </c>
      <c r="Q179">
        <f>IF(原始資料!Q179="","",IF(反向題設定!$C$20="是",反向題設定!$B$2+1-原始資料!Q179,原始資料!Q179))</f>
        <v/>
      </c>
      <c r="R179">
        <f>IF(原始資料!R179="","",IF(反向題設定!$C$21="是",反向題設定!$B$2+1-原始資料!R179,原始資料!R179))</f>
        <v/>
      </c>
      <c r="S179">
        <f>IF(原始資料!S179="","",IF(反向題設定!$C$22="是",反向題設定!$B$2+1-原始資料!S179,原始資料!S179))</f>
        <v/>
      </c>
      <c r="T179">
        <f>IF(原始資料!T179="","",IF(反向題設定!$C$23="是",反向題設定!$B$2+1-原始資料!T179,原始資料!T179))</f>
        <v/>
      </c>
      <c r="U179">
        <f>IF(原始資料!U179="","",IF(反向題設定!$C$24="是",反向題設定!$B$2+1-原始資料!U179,原始資料!U179))</f>
        <v/>
      </c>
      <c r="V179">
        <f>IF(原始資料!V179="","",IF(反向題設定!$C$25="是",反向題設定!$B$2+1-原始資料!V179,原始資料!V179))</f>
        <v/>
      </c>
      <c r="W179">
        <f>IF(原始資料!W179="","",IF(反向題設定!$C$26="是",反向題設定!$B$2+1-原始資料!W179,原始資料!W179))</f>
        <v/>
      </c>
      <c r="X179">
        <f>IF(原始資料!X179="","",IF(反向題設定!$C$27="是",反向題設定!$B$2+1-原始資料!X179,原始資料!X179))</f>
        <v/>
      </c>
      <c r="Y179">
        <f>IF(原始資料!Y179="","",IF(反向題設定!$C$28="是",反向題設定!$B$2+1-原始資料!Y179,原始資料!Y179))</f>
        <v/>
      </c>
      <c r="Z179">
        <f>IF(原始資料!Z179="","",IF(反向題設定!$C$29="是",反向題設定!$B$2+1-原始資料!Z179,原始資料!Z179))</f>
        <v/>
      </c>
      <c r="AA179">
        <f>IF(原始資料!AA179="","",IF(反向題設定!$C$30="是",反向題設定!$B$2+1-原始資料!AA179,原始資料!AA179))</f>
        <v/>
      </c>
      <c r="AB179">
        <f>IF(原始資料!AB179="","",IF(反向題設定!$C$31="是",反向題設定!$B$2+1-原始資料!AB179,原始資料!AB179))</f>
        <v/>
      </c>
      <c r="AC179">
        <f>IF(原始資料!AC179="","",IF(反向題設定!$C$32="是",反向題設定!$B$2+1-原始資料!AC179,原始資料!AC179))</f>
        <v/>
      </c>
      <c r="AD179">
        <f>IF(原始資料!AD179="","",IF(反向題設定!$C$33="是",反向題設定!$B$2+1-原始資料!AD179,原始資料!AD179))</f>
        <v/>
      </c>
      <c r="AE179">
        <f>IF(原始資料!AE179="","",IF(反向題設定!$C$34="是",反向題設定!$B$2+1-原始資料!AE179,原始資料!AE179))</f>
        <v/>
      </c>
      <c r="AF179">
        <f>IF(原始資料!AF179="","",IF(反向題設定!$C$35="是",反向題設定!$B$2+1-原始資料!AF179,原始資料!AF179))</f>
        <v/>
      </c>
      <c r="AG179">
        <f>IF(原始資料!AG179="","",IF(反向題設定!$C$36="是",反向題設定!$B$2+1-原始資料!AG179,原始資料!AG179))</f>
        <v/>
      </c>
      <c r="AH179">
        <f>IF(原始資料!AH179="","",IF(反向題設定!$C$37="是",反向題設定!$B$2+1-原始資料!AH179,原始資料!AH179))</f>
        <v/>
      </c>
      <c r="AI179">
        <f>IF(原始資料!AI179="","",IF(反向題設定!$C$38="是",反向題設定!$B$2+1-原始資料!AI179,原始資料!AI179))</f>
        <v/>
      </c>
      <c r="AJ179">
        <f>IF(原始資料!AJ179="","",IF(反向題設定!$C$39="是",反向題設定!$B$2+1-原始資料!AJ179,原始資料!AJ179))</f>
        <v/>
      </c>
      <c r="AK179">
        <f>IF(原始資料!AK179="","",IF(反向題設定!$C$40="是",反向題設定!$B$2+1-原始資料!AK179,原始資料!AK179))</f>
        <v/>
      </c>
      <c r="AL179">
        <f>IF(原始資料!AL179="","",IF(反向題設定!$C$41="是",反向題設定!$B$2+1-原始資料!AL179,原始資料!AL179))</f>
        <v/>
      </c>
      <c r="AM179">
        <f>IF(原始資料!AM179="","",IF(反向題設定!$C$42="是",反向題設定!$B$2+1-原始資料!AM179,原始資料!AM179))</f>
        <v/>
      </c>
      <c r="AN179">
        <f>IF(原始資料!AN179="","",IF(反向題設定!$C$43="是",反向題設定!$B$2+1-原始資料!AN179,原始資料!AN179))</f>
        <v/>
      </c>
      <c r="AO179">
        <f>IF(原始資料!AO179="","",IF(反向題設定!$C$44="是",反向題設定!$B$2+1-原始資料!AO179,原始資料!AO179))</f>
        <v/>
      </c>
      <c r="AP179">
        <f>IF(COUNT(B179:AO179)=0,"",SUM(B179:AO179))</f>
        <v/>
      </c>
      <c r="AQ179">
        <f>IF(AP179="","",IF(AP179&gt;=項目分析!$C$5,"高",IF(AP179&lt;=項目分析!$C$6,"低","")))</f>
        <v/>
      </c>
    </row>
    <row r="180">
      <c r="A180">
        <f>IF(原始資料!A180="","",原始資料!A180)</f>
        <v/>
      </c>
      <c r="B180">
        <f>IF(原始資料!B180="","",IF(反向題設定!$C$5="是",反向題設定!$B$2+1-原始資料!B180,原始資料!B180))</f>
        <v/>
      </c>
      <c r="C180">
        <f>IF(原始資料!C180="","",IF(反向題設定!$C$6="是",反向題設定!$B$2+1-原始資料!C180,原始資料!C180))</f>
        <v/>
      </c>
      <c r="D180">
        <f>IF(原始資料!D180="","",IF(反向題設定!$C$7="是",反向題設定!$B$2+1-原始資料!D180,原始資料!D180))</f>
        <v/>
      </c>
      <c r="E180">
        <f>IF(原始資料!E180="","",IF(反向題設定!$C$8="是",反向題設定!$B$2+1-原始資料!E180,原始資料!E180))</f>
        <v/>
      </c>
      <c r="F180">
        <f>IF(原始資料!F180="","",IF(反向題設定!$C$9="是",反向題設定!$B$2+1-原始資料!F180,原始資料!F180))</f>
        <v/>
      </c>
      <c r="G180">
        <f>IF(原始資料!G180="","",IF(反向題設定!$C$10="是",反向題設定!$B$2+1-原始資料!G180,原始資料!G180))</f>
        <v/>
      </c>
      <c r="H180">
        <f>IF(原始資料!H180="","",IF(反向題設定!$C$11="是",反向題設定!$B$2+1-原始資料!H180,原始資料!H180))</f>
        <v/>
      </c>
      <c r="I180">
        <f>IF(原始資料!I180="","",IF(反向題設定!$C$12="是",反向題設定!$B$2+1-原始資料!I180,原始資料!I180))</f>
        <v/>
      </c>
      <c r="J180">
        <f>IF(原始資料!J180="","",IF(反向題設定!$C$13="是",反向題設定!$B$2+1-原始資料!J180,原始資料!J180))</f>
        <v/>
      </c>
      <c r="K180">
        <f>IF(原始資料!K180="","",IF(反向題設定!$C$14="是",反向題設定!$B$2+1-原始資料!K180,原始資料!K180))</f>
        <v/>
      </c>
      <c r="L180">
        <f>IF(原始資料!L180="","",IF(反向題設定!$C$15="是",反向題設定!$B$2+1-原始資料!L180,原始資料!L180))</f>
        <v/>
      </c>
      <c r="M180">
        <f>IF(原始資料!M180="","",IF(反向題設定!$C$16="是",反向題設定!$B$2+1-原始資料!M180,原始資料!M180))</f>
        <v/>
      </c>
      <c r="N180">
        <f>IF(原始資料!N180="","",IF(反向題設定!$C$17="是",反向題設定!$B$2+1-原始資料!N180,原始資料!N180))</f>
        <v/>
      </c>
      <c r="O180">
        <f>IF(原始資料!O180="","",IF(反向題設定!$C$18="是",反向題設定!$B$2+1-原始資料!O180,原始資料!O180))</f>
        <v/>
      </c>
      <c r="P180">
        <f>IF(原始資料!P180="","",IF(反向題設定!$C$19="是",反向題設定!$B$2+1-原始資料!P180,原始資料!P180))</f>
        <v/>
      </c>
      <c r="Q180">
        <f>IF(原始資料!Q180="","",IF(反向題設定!$C$20="是",反向題設定!$B$2+1-原始資料!Q180,原始資料!Q180))</f>
        <v/>
      </c>
      <c r="R180">
        <f>IF(原始資料!R180="","",IF(反向題設定!$C$21="是",反向題設定!$B$2+1-原始資料!R180,原始資料!R180))</f>
        <v/>
      </c>
      <c r="S180">
        <f>IF(原始資料!S180="","",IF(反向題設定!$C$22="是",反向題設定!$B$2+1-原始資料!S180,原始資料!S180))</f>
        <v/>
      </c>
      <c r="T180">
        <f>IF(原始資料!T180="","",IF(反向題設定!$C$23="是",反向題設定!$B$2+1-原始資料!T180,原始資料!T180))</f>
        <v/>
      </c>
      <c r="U180">
        <f>IF(原始資料!U180="","",IF(反向題設定!$C$24="是",反向題設定!$B$2+1-原始資料!U180,原始資料!U180))</f>
        <v/>
      </c>
      <c r="V180">
        <f>IF(原始資料!V180="","",IF(反向題設定!$C$25="是",反向題設定!$B$2+1-原始資料!V180,原始資料!V180))</f>
        <v/>
      </c>
      <c r="W180">
        <f>IF(原始資料!W180="","",IF(反向題設定!$C$26="是",反向題設定!$B$2+1-原始資料!W180,原始資料!W180))</f>
        <v/>
      </c>
      <c r="X180">
        <f>IF(原始資料!X180="","",IF(反向題設定!$C$27="是",反向題設定!$B$2+1-原始資料!X180,原始資料!X180))</f>
        <v/>
      </c>
      <c r="Y180">
        <f>IF(原始資料!Y180="","",IF(反向題設定!$C$28="是",反向題設定!$B$2+1-原始資料!Y180,原始資料!Y180))</f>
        <v/>
      </c>
      <c r="Z180">
        <f>IF(原始資料!Z180="","",IF(反向題設定!$C$29="是",反向題設定!$B$2+1-原始資料!Z180,原始資料!Z180))</f>
        <v/>
      </c>
      <c r="AA180">
        <f>IF(原始資料!AA180="","",IF(反向題設定!$C$30="是",反向題設定!$B$2+1-原始資料!AA180,原始資料!AA180))</f>
        <v/>
      </c>
      <c r="AB180">
        <f>IF(原始資料!AB180="","",IF(反向題設定!$C$31="是",反向題設定!$B$2+1-原始資料!AB180,原始資料!AB180))</f>
        <v/>
      </c>
      <c r="AC180">
        <f>IF(原始資料!AC180="","",IF(反向題設定!$C$32="是",反向題設定!$B$2+1-原始資料!AC180,原始資料!AC180))</f>
        <v/>
      </c>
      <c r="AD180">
        <f>IF(原始資料!AD180="","",IF(反向題設定!$C$33="是",反向題設定!$B$2+1-原始資料!AD180,原始資料!AD180))</f>
        <v/>
      </c>
      <c r="AE180">
        <f>IF(原始資料!AE180="","",IF(反向題設定!$C$34="是",反向題設定!$B$2+1-原始資料!AE180,原始資料!AE180))</f>
        <v/>
      </c>
      <c r="AF180">
        <f>IF(原始資料!AF180="","",IF(反向題設定!$C$35="是",反向題設定!$B$2+1-原始資料!AF180,原始資料!AF180))</f>
        <v/>
      </c>
      <c r="AG180">
        <f>IF(原始資料!AG180="","",IF(反向題設定!$C$36="是",反向題設定!$B$2+1-原始資料!AG180,原始資料!AG180))</f>
        <v/>
      </c>
      <c r="AH180">
        <f>IF(原始資料!AH180="","",IF(反向題設定!$C$37="是",反向題設定!$B$2+1-原始資料!AH180,原始資料!AH180))</f>
        <v/>
      </c>
      <c r="AI180">
        <f>IF(原始資料!AI180="","",IF(反向題設定!$C$38="是",反向題設定!$B$2+1-原始資料!AI180,原始資料!AI180))</f>
        <v/>
      </c>
      <c r="AJ180">
        <f>IF(原始資料!AJ180="","",IF(反向題設定!$C$39="是",反向題設定!$B$2+1-原始資料!AJ180,原始資料!AJ180))</f>
        <v/>
      </c>
      <c r="AK180">
        <f>IF(原始資料!AK180="","",IF(反向題設定!$C$40="是",反向題設定!$B$2+1-原始資料!AK180,原始資料!AK180))</f>
        <v/>
      </c>
      <c r="AL180">
        <f>IF(原始資料!AL180="","",IF(反向題設定!$C$41="是",反向題設定!$B$2+1-原始資料!AL180,原始資料!AL180))</f>
        <v/>
      </c>
      <c r="AM180">
        <f>IF(原始資料!AM180="","",IF(反向題設定!$C$42="是",反向題設定!$B$2+1-原始資料!AM180,原始資料!AM180))</f>
        <v/>
      </c>
      <c r="AN180">
        <f>IF(原始資料!AN180="","",IF(反向題設定!$C$43="是",反向題設定!$B$2+1-原始資料!AN180,原始資料!AN180))</f>
        <v/>
      </c>
      <c r="AO180">
        <f>IF(原始資料!AO180="","",IF(反向題設定!$C$44="是",反向題設定!$B$2+1-原始資料!AO180,原始資料!AO180))</f>
        <v/>
      </c>
      <c r="AP180">
        <f>IF(COUNT(B180:AO180)=0,"",SUM(B180:AO180))</f>
        <v/>
      </c>
      <c r="AQ180">
        <f>IF(AP180="","",IF(AP180&gt;=項目分析!$C$5,"高",IF(AP180&lt;=項目分析!$C$6,"低","")))</f>
        <v/>
      </c>
    </row>
    <row r="181">
      <c r="A181">
        <f>IF(原始資料!A181="","",原始資料!A181)</f>
        <v/>
      </c>
      <c r="B181">
        <f>IF(原始資料!B181="","",IF(反向題設定!$C$5="是",反向題設定!$B$2+1-原始資料!B181,原始資料!B181))</f>
        <v/>
      </c>
      <c r="C181">
        <f>IF(原始資料!C181="","",IF(反向題設定!$C$6="是",反向題設定!$B$2+1-原始資料!C181,原始資料!C181))</f>
        <v/>
      </c>
      <c r="D181">
        <f>IF(原始資料!D181="","",IF(反向題設定!$C$7="是",反向題設定!$B$2+1-原始資料!D181,原始資料!D181))</f>
        <v/>
      </c>
      <c r="E181">
        <f>IF(原始資料!E181="","",IF(反向題設定!$C$8="是",反向題設定!$B$2+1-原始資料!E181,原始資料!E181))</f>
        <v/>
      </c>
      <c r="F181">
        <f>IF(原始資料!F181="","",IF(反向題設定!$C$9="是",反向題設定!$B$2+1-原始資料!F181,原始資料!F181))</f>
        <v/>
      </c>
      <c r="G181">
        <f>IF(原始資料!G181="","",IF(反向題設定!$C$10="是",反向題設定!$B$2+1-原始資料!G181,原始資料!G181))</f>
        <v/>
      </c>
      <c r="H181">
        <f>IF(原始資料!H181="","",IF(反向題設定!$C$11="是",反向題設定!$B$2+1-原始資料!H181,原始資料!H181))</f>
        <v/>
      </c>
      <c r="I181">
        <f>IF(原始資料!I181="","",IF(反向題設定!$C$12="是",反向題設定!$B$2+1-原始資料!I181,原始資料!I181))</f>
        <v/>
      </c>
      <c r="J181">
        <f>IF(原始資料!J181="","",IF(反向題設定!$C$13="是",反向題設定!$B$2+1-原始資料!J181,原始資料!J181))</f>
        <v/>
      </c>
      <c r="K181">
        <f>IF(原始資料!K181="","",IF(反向題設定!$C$14="是",反向題設定!$B$2+1-原始資料!K181,原始資料!K181))</f>
        <v/>
      </c>
      <c r="L181">
        <f>IF(原始資料!L181="","",IF(反向題設定!$C$15="是",反向題設定!$B$2+1-原始資料!L181,原始資料!L181))</f>
        <v/>
      </c>
      <c r="M181">
        <f>IF(原始資料!M181="","",IF(反向題設定!$C$16="是",反向題設定!$B$2+1-原始資料!M181,原始資料!M181))</f>
        <v/>
      </c>
      <c r="N181">
        <f>IF(原始資料!N181="","",IF(反向題設定!$C$17="是",反向題設定!$B$2+1-原始資料!N181,原始資料!N181))</f>
        <v/>
      </c>
      <c r="O181">
        <f>IF(原始資料!O181="","",IF(反向題設定!$C$18="是",反向題設定!$B$2+1-原始資料!O181,原始資料!O181))</f>
        <v/>
      </c>
      <c r="P181">
        <f>IF(原始資料!P181="","",IF(反向題設定!$C$19="是",反向題設定!$B$2+1-原始資料!P181,原始資料!P181))</f>
        <v/>
      </c>
      <c r="Q181">
        <f>IF(原始資料!Q181="","",IF(反向題設定!$C$20="是",反向題設定!$B$2+1-原始資料!Q181,原始資料!Q181))</f>
        <v/>
      </c>
      <c r="R181">
        <f>IF(原始資料!R181="","",IF(反向題設定!$C$21="是",反向題設定!$B$2+1-原始資料!R181,原始資料!R181))</f>
        <v/>
      </c>
      <c r="S181">
        <f>IF(原始資料!S181="","",IF(反向題設定!$C$22="是",反向題設定!$B$2+1-原始資料!S181,原始資料!S181))</f>
        <v/>
      </c>
      <c r="T181">
        <f>IF(原始資料!T181="","",IF(反向題設定!$C$23="是",反向題設定!$B$2+1-原始資料!T181,原始資料!T181))</f>
        <v/>
      </c>
      <c r="U181">
        <f>IF(原始資料!U181="","",IF(反向題設定!$C$24="是",反向題設定!$B$2+1-原始資料!U181,原始資料!U181))</f>
        <v/>
      </c>
      <c r="V181">
        <f>IF(原始資料!V181="","",IF(反向題設定!$C$25="是",反向題設定!$B$2+1-原始資料!V181,原始資料!V181))</f>
        <v/>
      </c>
      <c r="W181">
        <f>IF(原始資料!W181="","",IF(反向題設定!$C$26="是",反向題設定!$B$2+1-原始資料!W181,原始資料!W181))</f>
        <v/>
      </c>
      <c r="X181">
        <f>IF(原始資料!X181="","",IF(反向題設定!$C$27="是",反向題設定!$B$2+1-原始資料!X181,原始資料!X181))</f>
        <v/>
      </c>
      <c r="Y181">
        <f>IF(原始資料!Y181="","",IF(反向題設定!$C$28="是",反向題設定!$B$2+1-原始資料!Y181,原始資料!Y181))</f>
        <v/>
      </c>
      <c r="Z181">
        <f>IF(原始資料!Z181="","",IF(反向題設定!$C$29="是",反向題設定!$B$2+1-原始資料!Z181,原始資料!Z181))</f>
        <v/>
      </c>
      <c r="AA181">
        <f>IF(原始資料!AA181="","",IF(反向題設定!$C$30="是",反向題設定!$B$2+1-原始資料!AA181,原始資料!AA181))</f>
        <v/>
      </c>
      <c r="AB181">
        <f>IF(原始資料!AB181="","",IF(反向題設定!$C$31="是",反向題設定!$B$2+1-原始資料!AB181,原始資料!AB181))</f>
        <v/>
      </c>
      <c r="AC181">
        <f>IF(原始資料!AC181="","",IF(反向題設定!$C$32="是",反向題設定!$B$2+1-原始資料!AC181,原始資料!AC181))</f>
        <v/>
      </c>
      <c r="AD181">
        <f>IF(原始資料!AD181="","",IF(反向題設定!$C$33="是",反向題設定!$B$2+1-原始資料!AD181,原始資料!AD181))</f>
        <v/>
      </c>
      <c r="AE181">
        <f>IF(原始資料!AE181="","",IF(反向題設定!$C$34="是",反向題設定!$B$2+1-原始資料!AE181,原始資料!AE181))</f>
        <v/>
      </c>
      <c r="AF181">
        <f>IF(原始資料!AF181="","",IF(反向題設定!$C$35="是",反向題設定!$B$2+1-原始資料!AF181,原始資料!AF181))</f>
        <v/>
      </c>
      <c r="AG181">
        <f>IF(原始資料!AG181="","",IF(反向題設定!$C$36="是",反向題設定!$B$2+1-原始資料!AG181,原始資料!AG181))</f>
        <v/>
      </c>
      <c r="AH181">
        <f>IF(原始資料!AH181="","",IF(反向題設定!$C$37="是",反向題設定!$B$2+1-原始資料!AH181,原始資料!AH181))</f>
        <v/>
      </c>
      <c r="AI181">
        <f>IF(原始資料!AI181="","",IF(反向題設定!$C$38="是",反向題設定!$B$2+1-原始資料!AI181,原始資料!AI181))</f>
        <v/>
      </c>
      <c r="AJ181">
        <f>IF(原始資料!AJ181="","",IF(反向題設定!$C$39="是",反向題設定!$B$2+1-原始資料!AJ181,原始資料!AJ181))</f>
        <v/>
      </c>
      <c r="AK181">
        <f>IF(原始資料!AK181="","",IF(反向題設定!$C$40="是",反向題設定!$B$2+1-原始資料!AK181,原始資料!AK181))</f>
        <v/>
      </c>
      <c r="AL181">
        <f>IF(原始資料!AL181="","",IF(反向題設定!$C$41="是",反向題設定!$B$2+1-原始資料!AL181,原始資料!AL181))</f>
        <v/>
      </c>
      <c r="AM181">
        <f>IF(原始資料!AM181="","",IF(反向題設定!$C$42="是",反向題設定!$B$2+1-原始資料!AM181,原始資料!AM181))</f>
        <v/>
      </c>
      <c r="AN181">
        <f>IF(原始資料!AN181="","",IF(反向題設定!$C$43="是",反向題設定!$B$2+1-原始資料!AN181,原始資料!AN181))</f>
        <v/>
      </c>
      <c r="AO181">
        <f>IF(原始資料!AO181="","",IF(反向題設定!$C$44="是",反向題設定!$B$2+1-原始資料!AO181,原始資料!AO181))</f>
        <v/>
      </c>
      <c r="AP181">
        <f>IF(COUNT(B181:AO181)=0,"",SUM(B181:AO181))</f>
        <v/>
      </c>
      <c r="AQ181">
        <f>IF(AP181="","",IF(AP181&gt;=項目分析!$C$5,"高",IF(AP181&lt;=項目分析!$C$6,"低","")))</f>
        <v/>
      </c>
    </row>
    <row r="182">
      <c r="A182">
        <f>IF(原始資料!A182="","",原始資料!A182)</f>
        <v/>
      </c>
      <c r="B182">
        <f>IF(原始資料!B182="","",IF(反向題設定!$C$5="是",反向題設定!$B$2+1-原始資料!B182,原始資料!B182))</f>
        <v/>
      </c>
      <c r="C182">
        <f>IF(原始資料!C182="","",IF(反向題設定!$C$6="是",反向題設定!$B$2+1-原始資料!C182,原始資料!C182))</f>
        <v/>
      </c>
      <c r="D182">
        <f>IF(原始資料!D182="","",IF(反向題設定!$C$7="是",反向題設定!$B$2+1-原始資料!D182,原始資料!D182))</f>
        <v/>
      </c>
      <c r="E182">
        <f>IF(原始資料!E182="","",IF(反向題設定!$C$8="是",反向題設定!$B$2+1-原始資料!E182,原始資料!E182))</f>
        <v/>
      </c>
      <c r="F182">
        <f>IF(原始資料!F182="","",IF(反向題設定!$C$9="是",反向題設定!$B$2+1-原始資料!F182,原始資料!F182))</f>
        <v/>
      </c>
      <c r="G182">
        <f>IF(原始資料!G182="","",IF(反向題設定!$C$10="是",反向題設定!$B$2+1-原始資料!G182,原始資料!G182))</f>
        <v/>
      </c>
      <c r="H182">
        <f>IF(原始資料!H182="","",IF(反向題設定!$C$11="是",反向題設定!$B$2+1-原始資料!H182,原始資料!H182))</f>
        <v/>
      </c>
      <c r="I182">
        <f>IF(原始資料!I182="","",IF(反向題設定!$C$12="是",反向題設定!$B$2+1-原始資料!I182,原始資料!I182))</f>
        <v/>
      </c>
      <c r="J182">
        <f>IF(原始資料!J182="","",IF(反向題設定!$C$13="是",反向題設定!$B$2+1-原始資料!J182,原始資料!J182))</f>
        <v/>
      </c>
      <c r="K182">
        <f>IF(原始資料!K182="","",IF(反向題設定!$C$14="是",反向題設定!$B$2+1-原始資料!K182,原始資料!K182))</f>
        <v/>
      </c>
      <c r="L182">
        <f>IF(原始資料!L182="","",IF(反向題設定!$C$15="是",反向題設定!$B$2+1-原始資料!L182,原始資料!L182))</f>
        <v/>
      </c>
      <c r="M182">
        <f>IF(原始資料!M182="","",IF(反向題設定!$C$16="是",反向題設定!$B$2+1-原始資料!M182,原始資料!M182))</f>
        <v/>
      </c>
      <c r="N182">
        <f>IF(原始資料!N182="","",IF(反向題設定!$C$17="是",反向題設定!$B$2+1-原始資料!N182,原始資料!N182))</f>
        <v/>
      </c>
      <c r="O182">
        <f>IF(原始資料!O182="","",IF(反向題設定!$C$18="是",反向題設定!$B$2+1-原始資料!O182,原始資料!O182))</f>
        <v/>
      </c>
      <c r="P182">
        <f>IF(原始資料!P182="","",IF(反向題設定!$C$19="是",反向題設定!$B$2+1-原始資料!P182,原始資料!P182))</f>
        <v/>
      </c>
      <c r="Q182">
        <f>IF(原始資料!Q182="","",IF(反向題設定!$C$20="是",反向題設定!$B$2+1-原始資料!Q182,原始資料!Q182))</f>
        <v/>
      </c>
      <c r="R182">
        <f>IF(原始資料!R182="","",IF(反向題設定!$C$21="是",反向題設定!$B$2+1-原始資料!R182,原始資料!R182))</f>
        <v/>
      </c>
      <c r="S182">
        <f>IF(原始資料!S182="","",IF(反向題設定!$C$22="是",反向題設定!$B$2+1-原始資料!S182,原始資料!S182))</f>
        <v/>
      </c>
      <c r="T182">
        <f>IF(原始資料!T182="","",IF(反向題設定!$C$23="是",反向題設定!$B$2+1-原始資料!T182,原始資料!T182))</f>
        <v/>
      </c>
      <c r="U182">
        <f>IF(原始資料!U182="","",IF(反向題設定!$C$24="是",反向題設定!$B$2+1-原始資料!U182,原始資料!U182))</f>
        <v/>
      </c>
      <c r="V182">
        <f>IF(原始資料!V182="","",IF(反向題設定!$C$25="是",反向題設定!$B$2+1-原始資料!V182,原始資料!V182))</f>
        <v/>
      </c>
      <c r="W182">
        <f>IF(原始資料!W182="","",IF(反向題設定!$C$26="是",反向題設定!$B$2+1-原始資料!W182,原始資料!W182))</f>
        <v/>
      </c>
      <c r="X182">
        <f>IF(原始資料!X182="","",IF(反向題設定!$C$27="是",反向題設定!$B$2+1-原始資料!X182,原始資料!X182))</f>
        <v/>
      </c>
      <c r="Y182">
        <f>IF(原始資料!Y182="","",IF(反向題設定!$C$28="是",反向題設定!$B$2+1-原始資料!Y182,原始資料!Y182))</f>
        <v/>
      </c>
      <c r="Z182">
        <f>IF(原始資料!Z182="","",IF(反向題設定!$C$29="是",反向題設定!$B$2+1-原始資料!Z182,原始資料!Z182))</f>
        <v/>
      </c>
      <c r="AA182">
        <f>IF(原始資料!AA182="","",IF(反向題設定!$C$30="是",反向題設定!$B$2+1-原始資料!AA182,原始資料!AA182))</f>
        <v/>
      </c>
      <c r="AB182">
        <f>IF(原始資料!AB182="","",IF(反向題設定!$C$31="是",反向題設定!$B$2+1-原始資料!AB182,原始資料!AB182))</f>
        <v/>
      </c>
      <c r="AC182">
        <f>IF(原始資料!AC182="","",IF(反向題設定!$C$32="是",反向題設定!$B$2+1-原始資料!AC182,原始資料!AC182))</f>
        <v/>
      </c>
      <c r="AD182">
        <f>IF(原始資料!AD182="","",IF(反向題設定!$C$33="是",反向題設定!$B$2+1-原始資料!AD182,原始資料!AD182))</f>
        <v/>
      </c>
      <c r="AE182">
        <f>IF(原始資料!AE182="","",IF(反向題設定!$C$34="是",反向題設定!$B$2+1-原始資料!AE182,原始資料!AE182))</f>
        <v/>
      </c>
      <c r="AF182">
        <f>IF(原始資料!AF182="","",IF(反向題設定!$C$35="是",反向題設定!$B$2+1-原始資料!AF182,原始資料!AF182))</f>
        <v/>
      </c>
      <c r="AG182">
        <f>IF(原始資料!AG182="","",IF(反向題設定!$C$36="是",反向題設定!$B$2+1-原始資料!AG182,原始資料!AG182))</f>
        <v/>
      </c>
      <c r="AH182">
        <f>IF(原始資料!AH182="","",IF(反向題設定!$C$37="是",反向題設定!$B$2+1-原始資料!AH182,原始資料!AH182))</f>
        <v/>
      </c>
      <c r="AI182">
        <f>IF(原始資料!AI182="","",IF(反向題設定!$C$38="是",反向題設定!$B$2+1-原始資料!AI182,原始資料!AI182))</f>
        <v/>
      </c>
      <c r="AJ182">
        <f>IF(原始資料!AJ182="","",IF(反向題設定!$C$39="是",反向題設定!$B$2+1-原始資料!AJ182,原始資料!AJ182))</f>
        <v/>
      </c>
      <c r="AK182">
        <f>IF(原始資料!AK182="","",IF(反向題設定!$C$40="是",反向題設定!$B$2+1-原始資料!AK182,原始資料!AK182))</f>
        <v/>
      </c>
      <c r="AL182">
        <f>IF(原始資料!AL182="","",IF(反向題設定!$C$41="是",反向題設定!$B$2+1-原始資料!AL182,原始資料!AL182))</f>
        <v/>
      </c>
      <c r="AM182">
        <f>IF(原始資料!AM182="","",IF(反向題設定!$C$42="是",反向題設定!$B$2+1-原始資料!AM182,原始資料!AM182))</f>
        <v/>
      </c>
      <c r="AN182">
        <f>IF(原始資料!AN182="","",IF(反向題設定!$C$43="是",反向題設定!$B$2+1-原始資料!AN182,原始資料!AN182))</f>
        <v/>
      </c>
      <c r="AO182">
        <f>IF(原始資料!AO182="","",IF(反向題設定!$C$44="是",反向題設定!$B$2+1-原始資料!AO182,原始資料!AO182))</f>
        <v/>
      </c>
      <c r="AP182">
        <f>IF(COUNT(B182:AO182)=0,"",SUM(B182:AO182))</f>
        <v/>
      </c>
      <c r="AQ182">
        <f>IF(AP182="","",IF(AP182&gt;=項目分析!$C$5,"高",IF(AP182&lt;=項目分析!$C$6,"低","")))</f>
        <v/>
      </c>
    </row>
    <row r="183">
      <c r="A183">
        <f>IF(原始資料!A183="","",原始資料!A183)</f>
        <v/>
      </c>
      <c r="B183">
        <f>IF(原始資料!B183="","",IF(反向題設定!$C$5="是",反向題設定!$B$2+1-原始資料!B183,原始資料!B183))</f>
        <v/>
      </c>
      <c r="C183">
        <f>IF(原始資料!C183="","",IF(反向題設定!$C$6="是",反向題設定!$B$2+1-原始資料!C183,原始資料!C183))</f>
        <v/>
      </c>
      <c r="D183">
        <f>IF(原始資料!D183="","",IF(反向題設定!$C$7="是",反向題設定!$B$2+1-原始資料!D183,原始資料!D183))</f>
        <v/>
      </c>
      <c r="E183">
        <f>IF(原始資料!E183="","",IF(反向題設定!$C$8="是",反向題設定!$B$2+1-原始資料!E183,原始資料!E183))</f>
        <v/>
      </c>
      <c r="F183">
        <f>IF(原始資料!F183="","",IF(反向題設定!$C$9="是",反向題設定!$B$2+1-原始資料!F183,原始資料!F183))</f>
        <v/>
      </c>
      <c r="G183">
        <f>IF(原始資料!G183="","",IF(反向題設定!$C$10="是",反向題設定!$B$2+1-原始資料!G183,原始資料!G183))</f>
        <v/>
      </c>
      <c r="H183">
        <f>IF(原始資料!H183="","",IF(反向題設定!$C$11="是",反向題設定!$B$2+1-原始資料!H183,原始資料!H183))</f>
        <v/>
      </c>
      <c r="I183">
        <f>IF(原始資料!I183="","",IF(反向題設定!$C$12="是",反向題設定!$B$2+1-原始資料!I183,原始資料!I183))</f>
        <v/>
      </c>
      <c r="J183">
        <f>IF(原始資料!J183="","",IF(反向題設定!$C$13="是",反向題設定!$B$2+1-原始資料!J183,原始資料!J183))</f>
        <v/>
      </c>
      <c r="K183">
        <f>IF(原始資料!K183="","",IF(反向題設定!$C$14="是",反向題設定!$B$2+1-原始資料!K183,原始資料!K183))</f>
        <v/>
      </c>
      <c r="L183">
        <f>IF(原始資料!L183="","",IF(反向題設定!$C$15="是",反向題設定!$B$2+1-原始資料!L183,原始資料!L183))</f>
        <v/>
      </c>
      <c r="M183">
        <f>IF(原始資料!M183="","",IF(反向題設定!$C$16="是",反向題設定!$B$2+1-原始資料!M183,原始資料!M183))</f>
        <v/>
      </c>
      <c r="N183">
        <f>IF(原始資料!N183="","",IF(反向題設定!$C$17="是",反向題設定!$B$2+1-原始資料!N183,原始資料!N183))</f>
        <v/>
      </c>
      <c r="O183">
        <f>IF(原始資料!O183="","",IF(反向題設定!$C$18="是",反向題設定!$B$2+1-原始資料!O183,原始資料!O183))</f>
        <v/>
      </c>
      <c r="P183">
        <f>IF(原始資料!P183="","",IF(反向題設定!$C$19="是",反向題設定!$B$2+1-原始資料!P183,原始資料!P183))</f>
        <v/>
      </c>
      <c r="Q183">
        <f>IF(原始資料!Q183="","",IF(反向題設定!$C$20="是",反向題設定!$B$2+1-原始資料!Q183,原始資料!Q183))</f>
        <v/>
      </c>
      <c r="R183">
        <f>IF(原始資料!R183="","",IF(反向題設定!$C$21="是",反向題設定!$B$2+1-原始資料!R183,原始資料!R183))</f>
        <v/>
      </c>
      <c r="S183">
        <f>IF(原始資料!S183="","",IF(反向題設定!$C$22="是",反向題設定!$B$2+1-原始資料!S183,原始資料!S183))</f>
        <v/>
      </c>
      <c r="T183">
        <f>IF(原始資料!T183="","",IF(反向題設定!$C$23="是",反向題設定!$B$2+1-原始資料!T183,原始資料!T183))</f>
        <v/>
      </c>
      <c r="U183">
        <f>IF(原始資料!U183="","",IF(反向題設定!$C$24="是",反向題設定!$B$2+1-原始資料!U183,原始資料!U183))</f>
        <v/>
      </c>
      <c r="V183">
        <f>IF(原始資料!V183="","",IF(反向題設定!$C$25="是",反向題設定!$B$2+1-原始資料!V183,原始資料!V183))</f>
        <v/>
      </c>
      <c r="W183">
        <f>IF(原始資料!W183="","",IF(反向題設定!$C$26="是",反向題設定!$B$2+1-原始資料!W183,原始資料!W183))</f>
        <v/>
      </c>
      <c r="X183">
        <f>IF(原始資料!X183="","",IF(反向題設定!$C$27="是",反向題設定!$B$2+1-原始資料!X183,原始資料!X183))</f>
        <v/>
      </c>
      <c r="Y183">
        <f>IF(原始資料!Y183="","",IF(反向題設定!$C$28="是",反向題設定!$B$2+1-原始資料!Y183,原始資料!Y183))</f>
        <v/>
      </c>
      <c r="Z183">
        <f>IF(原始資料!Z183="","",IF(反向題設定!$C$29="是",反向題設定!$B$2+1-原始資料!Z183,原始資料!Z183))</f>
        <v/>
      </c>
      <c r="AA183">
        <f>IF(原始資料!AA183="","",IF(反向題設定!$C$30="是",反向題設定!$B$2+1-原始資料!AA183,原始資料!AA183))</f>
        <v/>
      </c>
      <c r="AB183">
        <f>IF(原始資料!AB183="","",IF(反向題設定!$C$31="是",反向題設定!$B$2+1-原始資料!AB183,原始資料!AB183))</f>
        <v/>
      </c>
      <c r="AC183">
        <f>IF(原始資料!AC183="","",IF(反向題設定!$C$32="是",反向題設定!$B$2+1-原始資料!AC183,原始資料!AC183))</f>
        <v/>
      </c>
      <c r="AD183">
        <f>IF(原始資料!AD183="","",IF(反向題設定!$C$33="是",反向題設定!$B$2+1-原始資料!AD183,原始資料!AD183))</f>
        <v/>
      </c>
      <c r="AE183">
        <f>IF(原始資料!AE183="","",IF(反向題設定!$C$34="是",反向題設定!$B$2+1-原始資料!AE183,原始資料!AE183))</f>
        <v/>
      </c>
      <c r="AF183">
        <f>IF(原始資料!AF183="","",IF(反向題設定!$C$35="是",反向題設定!$B$2+1-原始資料!AF183,原始資料!AF183))</f>
        <v/>
      </c>
      <c r="AG183">
        <f>IF(原始資料!AG183="","",IF(反向題設定!$C$36="是",反向題設定!$B$2+1-原始資料!AG183,原始資料!AG183))</f>
        <v/>
      </c>
      <c r="AH183">
        <f>IF(原始資料!AH183="","",IF(反向題設定!$C$37="是",反向題設定!$B$2+1-原始資料!AH183,原始資料!AH183))</f>
        <v/>
      </c>
      <c r="AI183">
        <f>IF(原始資料!AI183="","",IF(反向題設定!$C$38="是",反向題設定!$B$2+1-原始資料!AI183,原始資料!AI183))</f>
        <v/>
      </c>
      <c r="AJ183">
        <f>IF(原始資料!AJ183="","",IF(反向題設定!$C$39="是",反向題設定!$B$2+1-原始資料!AJ183,原始資料!AJ183))</f>
        <v/>
      </c>
      <c r="AK183">
        <f>IF(原始資料!AK183="","",IF(反向題設定!$C$40="是",反向題設定!$B$2+1-原始資料!AK183,原始資料!AK183))</f>
        <v/>
      </c>
      <c r="AL183">
        <f>IF(原始資料!AL183="","",IF(反向題設定!$C$41="是",反向題設定!$B$2+1-原始資料!AL183,原始資料!AL183))</f>
        <v/>
      </c>
      <c r="AM183">
        <f>IF(原始資料!AM183="","",IF(反向題設定!$C$42="是",反向題設定!$B$2+1-原始資料!AM183,原始資料!AM183))</f>
        <v/>
      </c>
      <c r="AN183">
        <f>IF(原始資料!AN183="","",IF(反向題設定!$C$43="是",反向題設定!$B$2+1-原始資料!AN183,原始資料!AN183))</f>
        <v/>
      </c>
      <c r="AO183">
        <f>IF(原始資料!AO183="","",IF(反向題設定!$C$44="是",反向題設定!$B$2+1-原始資料!AO183,原始資料!AO183))</f>
        <v/>
      </c>
      <c r="AP183">
        <f>IF(COUNT(B183:AO183)=0,"",SUM(B183:AO183))</f>
        <v/>
      </c>
      <c r="AQ183">
        <f>IF(AP183="","",IF(AP183&gt;=項目分析!$C$5,"高",IF(AP183&lt;=項目分析!$C$6,"低","")))</f>
        <v/>
      </c>
    </row>
    <row r="184">
      <c r="A184">
        <f>IF(原始資料!A184="","",原始資料!A184)</f>
        <v/>
      </c>
      <c r="B184">
        <f>IF(原始資料!B184="","",IF(反向題設定!$C$5="是",反向題設定!$B$2+1-原始資料!B184,原始資料!B184))</f>
        <v/>
      </c>
      <c r="C184">
        <f>IF(原始資料!C184="","",IF(反向題設定!$C$6="是",反向題設定!$B$2+1-原始資料!C184,原始資料!C184))</f>
        <v/>
      </c>
      <c r="D184">
        <f>IF(原始資料!D184="","",IF(反向題設定!$C$7="是",反向題設定!$B$2+1-原始資料!D184,原始資料!D184))</f>
        <v/>
      </c>
      <c r="E184">
        <f>IF(原始資料!E184="","",IF(反向題設定!$C$8="是",反向題設定!$B$2+1-原始資料!E184,原始資料!E184))</f>
        <v/>
      </c>
      <c r="F184">
        <f>IF(原始資料!F184="","",IF(反向題設定!$C$9="是",反向題設定!$B$2+1-原始資料!F184,原始資料!F184))</f>
        <v/>
      </c>
      <c r="G184">
        <f>IF(原始資料!G184="","",IF(反向題設定!$C$10="是",反向題設定!$B$2+1-原始資料!G184,原始資料!G184))</f>
        <v/>
      </c>
      <c r="H184">
        <f>IF(原始資料!H184="","",IF(反向題設定!$C$11="是",反向題設定!$B$2+1-原始資料!H184,原始資料!H184))</f>
        <v/>
      </c>
      <c r="I184">
        <f>IF(原始資料!I184="","",IF(反向題設定!$C$12="是",反向題設定!$B$2+1-原始資料!I184,原始資料!I184))</f>
        <v/>
      </c>
      <c r="J184">
        <f>IF(原始資料!J184="","",IF(反向題設定!$C$13="是",反向題設定!$B$2+1-原始資料!J184,原始資料!J184))</f>
        <v/>
      </c>
      <c r="K184">
        <f>IF(原始資料!K184="","",IF(反向題設定!$C$14="是",反向題設定!$B$2+1-原始資料!K184,原始資料!K184))</f>
        <v/>
      </c>
      <c r="L184">
        <f>IF(原始資料!L184="","",IF(反向題設定!$C$15="是",反向題設定!$B$2+1-原始資料!L184,原始資料!L184))</f>
        <v/>
      </c>
      <c r="M184">
        <f>IF(原始資料!M184="","",IF(反向題設定!$C$16="是",反向題設定!$B$2+1-原始資料!M184,原始資料!M184))</f>
        <v/>
      </c>
      <c r="N184">
        <f>IF(原始資料!N184="","",IF(反向題設定!$C$17="是",反向題設定!$B$2+1-原始資料!N184,原始資料!N184))</f>
        <v/>
      </c>
      <c r="O184">
        <f>IF(原始資料!O184="","",IF(反向題設定!$C$18="是",反向題設定!$B$2+1-原始資料!O184,原始資料!O184))</f>
        <v/>
      </c>
      <c r="P184">
        <f>IF(原始資料!P184="","",IF(反向題設定!$C$19="是",反向題設定!$B$2+1-原始資料!P184,原始資料!P184))</f>
        <v/>
      </c>
      <c r="Q184">
        <f>IF(原始資料!Q184="","",IF(反向題設定!$C$20="是",反向題設定!$B$2+1-原始資料!Q184,原始資料!Q184))</f>
        <v/>
      </c>
      <c r="R184">
        <f>IF(原始資料!R184="","",IF(反向題設定!$C$21="是",反向題設定!$B$2+1-原始資料!R184,原始資料!R184))</f>
        <v/>
      </c>
      <c r="S184">
        <f>IF(原始資料!S184="","",IF(反向題設定!$C$22="是",反向題設定!$B$2+1-原始資料!S184,原始資料!S184))</f>
        <v/>
      </c>
      <c r="T184">
        <f>IF(原始資料!T184="","",IF(反向題設定!$C$23="是",反向題設定!$B$2+1-原始資料!T184,原始資料!T184))</f>
        <v/>
      </c>
      <c r="U184">
        <f>IF(原始資料!U184="","",IF(反向題設定!$C$24="是",反向題設定!$B$2+1-原始資料!U184,原始資料!U184))</f>
        <v/>
      </c>
      <c r="V184">
        <f>IF(原始資料!V184="","",IF(反向題設定!$C$25="是",反向題設定!$B$2+1-原始資料!V184,原始資料!V184))</f>
        <v/>
      </c>
      <c r="W184">
        <f>IF(原始資料!W184="","",IF(反向題設定!$C$26="是",反向題設定!$B$2+1-原始資料!W184,原始資料!W184))</f>
        <v/>
      </c>
      <c r="X184">
        <f>IF(原始資料!X184="","",IF(反向題設定!$C$27="是",反向題設定!$B$2+1-原始資料!X184,原始資料!X184))</f>
        <v/>
      </c>
      <c r="Y184">
        <f>IF(原始資料!Y184="","",IF(反向題設定!$C$28="是",反向題設定!$B$2+1-原始資料!Y184,原始資料!Y184))</f>
        <v/>
      </c>
      <c r="Z184">
        <f>IF(原始資料!Z184="","",IF(反向題設定!$C$29="是",反向題設定!$B$2+1-原始資料!Z184,原始資料!Z184))</f>
        <v/>
      </c>
      <c r="AA184">
        <f>IF(原始資料!AA184="","",IF(反向題設定!$C$30="是",反向題設定!$B$2+1-原始資料!AA184,原始資料!AA184))</f>
        <v/>
      </c>
      <c r="AB184">
        <f>IF(原始資料!AB184="","",IF(反向題設定!$C$31="是",反向題設定!$B$2+1-原始資料!AB184,原始資料!AB184))</f>
        <v/>
      </c>
      <c r="AC184">
        <f>IF(原始資料!AC184="","",IF(反向題設定!$C$32="是",反向題設定!$B$2+1-原始資料!AC184,原始資料!AC184))</f>
        <v/>
      </c>
      <c r="AD184">
        <f>IF(原始資料!AD184="","",IF(反向題設定!$C$33="是",反向題設定!$B$2+1-原始資料!AD184,原始資料!AD184))</f>
        <v/>
      </c>
      <c r="AE184">
        <f>IF(原始資料!AE184="","",IF(反向題設定!$C$34="是",反向題設定!$B$2+1-原始資料!AE184,原始資料!AE184))</f>
        <v/>
      </c>
      <c r="AF184">
        <f>IF(原始資料!AF184="","",IF(反向題設定!$C$35="是",反向題設定!$B$2+1-原始資料!AF184,原始資料!AF184))</f>
        <v/>
      </c>
      <c r="AG184">
        <f>IF(原始資料!AG184="","",IF(反向題設定!$C$36="是",反向題設定!$B$2+1-原始資料!AG184,原始資料!AG184))</f>
        <v/>
      </c>
      <c r="AH184">
        <f>IF(原始資料!AH184="","",IF(反向題設定!$C$37="是",反向題設定!$B$2+1-原始資料!AH184,原始資料!AH184))</f>
        <v/>
      </c>
      <c r="AI184">
        <f>IF(原始資料!AI184="","",IF(反向題設定!$C$38="是",反向題設定!$B$2+1-原始資料!AI184,原始資料!AI184))</f>
        <v/>
      </c>
      <c r="AJ184">
        <f>IF(原始資料!AJ184="","",IF(反向題設定!$C$39="是",反向題設定!$B$2+1-原始資料!AJ184,原始資料!AJ184))</f>
        <v/>
      </c>
      <c r="AK184">
        <f>IF(原始資料!AK184="","",IF(反向題設定!$C$40="是",反向題設定!$B$2+1-原始資料!AK184,原始資料!AK184))</f>
        <v/>
      </c>
      <c r="AL184">
        <f>IF(原始資料!AL184="","",IF(反向題設定!$C$41="是",反向題設定!$B$2+1-原始資料!AL184,原始資料!AL184))</f>
        <v/>
      </c>
      <c r="AM184">
        <f>IF(原始資料!AM184="","",IF(反向題設定!$C$42="是",反向題設定!$B$2+1-原始資料!AM184,原始資料!AM184))</f>
        <v/>
      </c>
      <c r="AN184">
        <f>IF(原始資料!AN184="","",IF(反向題設定!$C$43="是",反向題設定!$B$2+1-原始資料!AN184,原始資料!AN184))</f>
        <v/>
      </c>
      <c r="AO184">
        <f>IF(原始資料!AO184="","",IF(反向題設定!$C$44="是",反向題設定!$B$2+1-原始資料!AO184,原始資料!AO184))</f>
        <v/>
      </c>
      <c r="AP184">
        <f>IF(COUNT(B184:AO184)=0,"",SUM(B184:AO184))</f>
        <v/>
      </c>
      <c r="AQ184">
        <f>IF(AP184="","",IF(AP184&gt;=項目分析!$C$5,"高",IF(AP184&lt;=項目分析!$C$6,"低","")))</f>
        <v/>
      </c>
    </row>
    <row r="185">
      <c r="A185">
        <f>IF(原始資料!A185="","",原始資料!A185)</f>
        <v/>
      </c>
      <c r="B185">
        <f>IF(原始資料!B185="","",IF(反向題設定!$C$5="是",反向題設定!$B$2+1-原始資料!B185,原始資料!B185))</f>
        <v/>
      </c>
      <c r="C185">
        <f>IF(原始資料!C185="","",IF(反向題設定!$C$6="是",反向題設定!$B$2+1-原始資料!C185,原始資料!C185))</f>
        <v/>
      </c>
      <c r="D185">
        <f>IF(原始資料!D185="","",IF(反向題設定!$C$7="是",反向題設定!$B$2+1-原始資料!D185,原始資料!D185))</f>
        <v/>
      </c>
      <c r="E185">
        <f>IF(原始資料!E185="","",IF(反向題設定!$C$8="是",反向題設定!$B$2+1-原始資料!E185,原始資料!E185))</f>
        <v/>
      </c>
      <c r="F185">
        <f>IF(原始資料!F185="","",IF(反向題設定!$C$9="是",反向題設定!$B$2+1-原始資料!F185,原始資料!F185))</f>
        <v/>
      </c>
      <c r="G185">
        <f>IF(原始資料!G185="","",IF(反向題設定!$C$10="是",反向題設定!$B$2+1-原始資料!G185,原始資料!G185))</f>
        <v/>
      </c>
      <c r="H185">
        <f>IF(原始資料!H185="","",IF(反向題設定!$C$11="是",反向題設定!$B$2+1-原始資料!H185,原始資料!H185))</f>
        <v/>
      </c>
      <c r="I185">
        <f>IF(原始資料!I185="","",IF(反向題設定!$C$12="是",反向題設定!$B$2+1-原始資料!I185,原始資料!I185))</f>
        <v/>
      </c>
      <c r="J185">
        <f>IF(原始資料!J185="","",IF(反向題設定!$C$13="是",反向題設定!$B$2+1-原始資料!J185,原始資料!J185))</f>
        <v/>
      </c>
      <c r="K185">
        <f>IF(原始資料!K185="","",IF(反向題設定!$C$14="是",反向題設定!$B$2+1-原始資料!K185,原始資料!K185))</f>
        <v/>
      </c>
      <c r="L185">
        <f>IF(原始資料!L185="","",IF(反向題設定!$C$15="是",反向題設定!$B$2+1-原始資料!L185,原始資料!L185))</f>
        <v/>
      </c>
      <c r="M185">
        <f>IF(原始資料!M185="","",IF(反向題設定!$C$16="是",反向題設定!$B$2+1-原始資料!M185,原始資料!M185))</f>
        <v/>
      </c>
      <c r="N185">
        <f>IF(原始資料!N185="","",IF(反向題設定!$C$17="是",反向題設定!$B$2+1-原始資料!N185,原始資料!N185))</f>
        <v/>
      </c>
      <c r="O185">
        <f>IF(原始資料!O185="","",IF(反向題設定!$C$18="是",反向題設定!$B$2+1-原始資料!O185,原始資料!O185))</f>
        <v/>
      </c>
      <c r="P185">
        <f>IF(原始資料!P185="","",IF(反向題設定!$C$19="是",反向題設定!$B$2+1-原始資料!P185,原始資料!P185))</f>
        <v/>
      </c>
      <c r="Q185">
        <f>IF(原始資料!Q185="","",IF(反向題設定!$C$20="是",反向題設定!$B$2+1-原始資料!Q185,原始資料!Q185))</f>
        <v/>
      </c>
      <c r="R185">
        <f>IF(原始資料!R185="","",IF(反向題設定!$C$21="是",反向題設定!$B$2+1-原始資料!R185,原始資料!R185))</f>
        <v/>
      </c>
      <c r="S185">
        <f>IF(原始資料!S185="","",IF(反向題設定!$C$22="是",反向題設定!$B$2+1-原始資料!S185,原始資料!S185))</f>
        <v/>
      </c>
      <c r="T185">
        <f>IF(原始資料!T185="","",IF(反向題設定!$C$23="是",反向題設定!$B$2+1-原始資料!T185,原始資料!T185))</f>
        <v/>
      </c>
      <c r="U185">
        <f>IF(原始資料!U185="","",IF(反向題設定!$C$24="是",反向題設定!$B$2+1-原始資料!U185,原始資料!U185))</f>
        <v/>
      </c>
      <c r="V185">
        <f>IF(原始資料!V185="","",IF(反向題設定!$C$25="是",反向題設定!$B$2+1-原始資料!V185,原始資料!V185))</f>
        <v/>
      </c>
      <c r="W185">
        <f>IF(原始資料!W185="","",IF(反向題設定!$C$26="是",反向題設定!$B$2+1-原始資料!W185,原始資料!W185))</f>
        <v/>
      </c>
      <c r="X185">
        <f>IF(原始資料!X185="","",IF(反向題設定!$C$27="是",反向題設定!$B$2+1-原始資料!X185,原始資料!X185))</f>
        <v/>
      </c>
      <c r="Y185">
        <f>IF(原始資料!Y185="","",IF(反向題設定!$C$28="是",反向題設定!$B$2+1-原始資料!Y185,原始資料!Y185))</f>
        <v/>
      </c>
      <c r="Z185">
        <f>IF(原始資料!Z185="","",IF(反向題設定!$C$29="是",反向題設定!$B$2+1-原始資料!Z185,原始資料!Z185))</f>
        <v/>
      </c>
      <c r="AA185">
        <f>IF(原始資料!AA185="","",IF(反向題設定!$C$30="是",反向題設定!$B$2+1-原始資料!AA185,原始資料!AA185))</f>
        <v/>
      </c>
      <c r="AB185">
        <f>IF(原始資料!AB185="","",IF(反向題設定!$C$31="是",反向題設定!$B$2+1-原始資料!AB185,原始資料!AB185))</f>
        <v/>
      </c>
      <c r="AC185">
        <f>IF(原始資料!AC185="","",IF(反向題設定!$C$32="是",反向題設定!$B$2+1-原始資料!AC185,原始資料!AC185))</f>
        <v/>
      </c>
      <c r="AD185">
        <f>IF(原始資料!AD185="","",IF(反向題設定!$C$33="是",反向題設定!$B$2+1-原始資料!AD185,原始資料!AD185))</f>
        <v/>
      </c>
      <c r="AE185">
        <f>IF(原始資料!AE185="","",IF(反向題設定!$C$34="是",反向題設定!$B$2+1-原始資料!AE185,原始資料!AE185))</f>
        <v/>
      </c>
      <c r="AF185">
        <f>IF(原始資料!AF185="","",IF(反向題設定!$C$35="是",反向題設定!$B$2+1-原始資料!AF185,原始資料!AF185))</f>
        <v/>
      </c>
      <c r="AG185">
        <f>IF(原始資料!AG185="","",IF(反向題設定!$C$36="是",反向題設定!$B$2+1-原始資料!AG185,原始資料!AG185))</f>
        <v/>
      </c>
      <c r="AH185">
        <f>IF(原始資料!AH185="","",IF(反向題設定!$C$37="是",反向題設定!$B$2+1-原始資料!AH185,原始資料!AH185))</f>
        <v/>
      </c>
      <c r="AI185">
        <f>IF(原始資料!AI185="","",IF(反向題設定!$C$38="是",反向題設定!$B$2+1-原始資料!AI185,原始資料!AI185))</f>
        <v/>
      </c>
      <c r="AJ185">
        <f>IF(原始資料!AJ185="","",IF(反向題設定!$C$39="是",反向題設定!$B$2+1-原始資料!AJ185,原始資料!AJ185))</f>
        <v/>
      </c>
      <c r="AK185">
        <f>IF(原始資料!AK185="","",IF(反向題設定!$C$40="是",反向題設定!$B$2+1-原始資料!AK185,原始資料!AK185))</f>
        <v/>
      </c>
      <c r="AL185">
        <f>IF(原始資料!AL185="","",IF(反向題設定!$C$41="是",反向題設定!$B$2+1-原始資料!AL185,原始資料!AL185))</f>
        <v/>
      </c>
      <c r="AM185">
        <f>IF(原始資料!AM185="","",IF(反向題設定!$C$42="是",反向題設定!$B$2+1-原始資料!AM185,原始資料!AM185))</f>
        <v/>
      </c>
      <c r="AN185">
        <f>IF(原始資料!AN185="","",IF(反向題設定!$C$43="是",反向題設定!$B$2+1-原始資料!AN185,原始資料!AN185))</f>
        <v/>
      </c>
      <c r="AO185">
        <f>IF(原始資料!AO185="","",IF(反向題設定!$C$44="是",反向題設定!$B$2+1-原始資料!AO185,原始資料!AO185))</f>
        <v/>
      </c>
      <c r="AP185">
        <f>IF(COUNT(B185:AO185)=0,"",SUM(B185:AO185))</f>
        <v/>
      </c>
      <c r="AQ185">
        <f>IF(AP185="","",IF(AP185&gt;=項目分析!$C$5,"高",IF(AP185&lt;=項目分析!$C$6,"低","")))</f>
        <v/>
      </c>
    </row>
    <row r="186">
      <c r="A186">
        <f>IF(原始資料!A186="","",原始資料!A186)</f>
        <v/>
      </c>
      <c r="B186">
        <f>IF(原始資料!B186="","",IF(反向題設定!$C$5="是",反向題設定!$B$2+1-原始資料!B186,原始資料!B186))</f>
        <v/>
      </c>
      <c r="C186">
        <f>IF(原始資料!C186="","",IF(反向題設定!$C$6="是",反向題設定!$B$2+1-原始資料!C186,原始資料!C186))</f>
        <v/>
      </c>
      <c r="D186">
        <f>IF(原始資料!D186="","",IF(反向題設定!$C$7="是",反向題設定!$B$2+1-原始資料!D186,原始資料!D186))</f>
        <v/>
      </c>
      <c r="E186">
        <f>IF(原始資料!E186="","",IF(反向題設定!$C$8="是",反向題設定!$B$2+1-原始資料!E186,原始資料!E186))</f>
        <v/>
      </c>
      <c r="F186">
        <f>IF(原始資料!F186="","",IF(反向題設定!$C$9="是",反向題設定!$B$2+1-原始資料!F186,原始資料!F186))</f>
        <v/>
      </c>
      <c r="G186">
        <f>IF(原始資料!G186="","",IF(反向題設定!$C$10="是",反向題設定!$B$2+1-原始資料!G186,原始資料!G186))</f>
        <v/>
      </c>
      <c r="H186">
        <f>IF(原始資料!H186="","",IF(反向題設定!$C$11="是",反向題設定!$B$2+1-原始資料!H186,原始資料!H186))</f>
        <v/>
      </c>
      <c r="I186">
        <f>IF(原始資料!I186="","",IF(反向題設定!$C$12="是",反向題設定!$B$2+1-原始資料!I186,原始資料!I186))</f>
        <v/>
      </c>
      <c r="J186">
        <f>IF(原始資料!J186="","",IF(反向題設定!$C$13="是",反向題設定!$B$2+1-原始資料!J186,原始資料!J186))</f>
        <v/>
      </c>
      <c r="K186">
        <f>IF(原始資料!K186="","",IF(反向題設定!$C$14="是",反向題設定!$B$2+1-原始資料!K186,原始資料!K186))</f>
        <v/>
      </c>
      <c r="L186">
        <f>IF(原始資料!L186="","",IF(反向題設定!$C$15="是",反向題設定!$B$2+1-原始資料!L186,原始資料!L186))</f>
        <v/>
      </c>
      <c r="M186">
        <f>IF(原始資料!M186="","",IF(反向題設定!$C$16="是",反向題設定!$B$2+1-原始資料!M186,原始資料!M186))</f>
        <v/>
      </c>
      <c r="N186">
        <f>IF(原始資料!N186="","",IF(反向題設定!$C$17="是",反向題設定!$B$2+1-原始資料!N186,原始資料!N186))</f>
        <v/>
      </c>
      <c r="O186">
        <f>IF(原始資料!O186="","",IF(反向題設定!$C$18="是",反向題設定!$B$2+1-原始資料!O186,原始資料!O186))</f>
        <v/>
      </c>
      <c r="P186">
        <f>IF(原始資料!P186="","",IF(反向題設定!$C$19="是",反向題設定!$B$2+1-原始資料!P186,原始資料!P186))</f>
        <v/>
      </c>
      <c r="Q186">
        <f>IF(原始資料!Q186="","",IF(反向題設定!$C$20="是",反向題設定!$B$2+1-原始資料!Q186,原始資料!Q186))</f>
        <v/>
      </c>
      <c r="R186">
        <f>IF(原始資料!R186="","",IF(反向題設定!$C$21="是",反向題設定!$B$2+1-原始資料!R186,原始資料!R186))</f>
        <v/>
      </c>
      <c r="S186">
        <f>IF(原始資料!S186="","",IF(反向題設定!$C$22="是",反向題設定!$B$2+1-原始資料!S186,原始資料!S186))</f>
        <v/>
      </c>
      <c r="T186">
        <f>IF(原始資料!T186="","",IF(反向題設定!$C$23="是",反向題設定!$B$2+1-原始資料!T186,原始資料!T186))</f>
        <v/>
      </c>
      <c r="U186">
        <f>IF(原始資料!U186="","",IF(反向題設定!$C$24="是",反向題設定!$B$2+1-原始資料!U186,原始資料!U186))</f>
        <v/>
      </c>
      <c r="V186">
        <f>IF(原始資料!V186="","",IF(反向題設定!$C$25="是",反向題設定!$B$2+1-原始資料!V186,原始資料!V186))</f>
        <v/>
      </c>
      <c r="W186">
        <f>IF(原始資料!W186="","",IF(反向題設定!$C$26="是",反向題設定!$B$2+1-原始資料!W186,原始資料!W186))</f>
        <v/>
      </c>
      <c r="X186">
        <f>IF(原始資料!X186="","",IF(反向題設定!$C$27="是",反向題設定!$B$2+1-原始資料!X186,原始資料!X186))</f>
        <v/>
      </c>
      <c r="Y186">
        <f>IF(原始資料!Y186="","",IF(反向題設定!$C$28="是",反向題設定!$B$2+1-原始資料!Y186,原始資料!Y186))</f>
        <v/>
      </c>
      <c r="Z186">
        <f>IF(原始資料!Z186="","",IF(反向題設定!$C$29="是",反向題設定!$B$2+1-原始資料!Z186,原始資料!Z186))</f>
        <v/>
      </c>
      <c r="AA186">
        <f>IF(原始資料!AA186="","",IF(反向題設定!$C$30="是",反向題設定!$B$2+1-原始資料!AA186,原始資料!AA186))</f>
        <v/>
      </c>
      <c r="AB186">
        <f>IF(原始資料!AB186="","",IF(反向題設定!$C$31="是",反向題設定!$B$2+1-原始資料!AB186,原始資料!AB186))</f>
        <v/>
      </c>
      <c r="AC186">
        <f>IF(原始資料!AC186="","",IF(反向題設定!$C$32="是",反向題設定!$B$2+1-原始資料!AC186,原始資料!AC186))</f>
        <v/>
      </c>
      <c r="AD186">
        <f>IF(原始資料!AD186="","",IF(反向題設定!$C$33="是",反向題設定!$B$2+1-原始資料!AD186,原始資料!AD186))</f>
        <v/>
      </c>
      <c r="AE186">
        <f>IF(原始資料!AE186="","",IF(反向題設定!$C$34="是",反向題設定!$B$2+1-原始資料!AE186,原始資料!AE186))</f>
        <v/>
      </c>
      <c r="AF186">
        <f>IF(原始資料!AF186="","",IF(反向題設定!$C$35="是",反向題設定!$B$2+1-原始資料!AF186,原始資料!AF186))</f>
        <v/>
      </c>
      <c r="AG186">
        <f>IF(原始資料!AG186="","",IF(反向題設定!$C$36="是",反向題設定!$B$2+1-原始資料!AG186,原始資料!AG186))</f>
        <v/>
      </c>
      <c r="AH186">
        <f>IF(原始資料!AH186="","",IF(反向題設定!$C$37="是",反向題設定!$B$2+1-原始資料!AH186,原始資料!AH186))</f>
        <v/>
      </c>
      <c r="AI186">
        <f>IF(原始資料!AI186="","",IF(反向題設定!$C$38="是",反向題設定!$B$2+1-原始資料!AI186,原始資料!AI186))</f>
        <v/>
      </c>
      <c r="AJ186">
        <f>IF(原始資料!AJ186="","",IF(反向題設定!$C$39="是",反向題設定!$B$2+1-原始資料!AJ186,原始資料!AJ186))</f>
        <v/>
      </c>
      <c r="AK186">
        <f>IF(原始資料!AK186="","",IF(反向題設定!$C$40="是",反向題設定!$B$2+1-原始資料!AK186,原始資料!AK186))</f>
        <v/>
      </c>
      <c r="AL186">
        <f>IF(原始資料!AL186="","",IF(反向題設定!$C$41="是",反向題設定!$B$2+1-原始資料!AL186,原始資料!AL186))</f>
        <v/>
      </c>
      <c r="AM186">
        <f>IF(原始資料!AM186="","",IF(反向題設定!$C$42="是",反向題設定!$B$2+1-原始資料!AM186,原始資料!AM186))</f>
        <v/>
      </c>
      <c r="AN186">
        <f>IF(原始資料!AN186="","",IF(反向題設定!$C$43="是",反向題設定!$B$2+1-原始資料!AN186,原始資料!AN186))</f>
        <v/>
      </c>
      <c r="AO186">
        <f>IF(原始資料!AO186="","",IF(反向題設定!$C$44="是",反向題設定!$B$2+1-原始資料!AO186,原始資料!AO186))</f>
        <v/>
      </c>
      <c r="AP186">
        <f>IF(COUNT(B186:AO186)=0,"",SUM(B186:AO186))</f>
        <v/>
      </c>
      <c r="AQ186">
        <f>IF(AP186="","",IF(AP186&gt;=項目分析!$C$5,"高",IF(AP186&lt;=項目分析!$C$6,"低","")))</f>
        <v/>
      </c>
    </row>
    <row r="187">
      <c r="A187">
        <f>IF(原始資料!A187="","",原始資料!A187)</f>
        <v/>
      </c>
      <c r="B187">
        <f>IF(原始資料!B187="","",IF(反向題設定!$C$5="是",反向題設定!$B$2+1-原始資料!B187,原始資料!B187))</f>
        <v/>
      </c>
      <c r="C187">
        <f>IF(原始資料!C187="","",IF(反向題設定!$C$6="是",反向題設定!$B$2+1-原始資料!C187,原始資料!C187))</f>
        <v/>
      </c>
      <c r="D187">
        <f>IF(原始資料!D187="","",IF(反向題設定!$C$7="是",反向題設定!$B$2+1-原始資料!D187,原始資料!D187))</f>
        <v/>
      </c>
      <c r="E187">
        <f>IF(原始資料!E187="","",IF(反向題設定!$C$8="是",反向題設定!$B$2+1-原始資料!E187,原始資料!E187))</f>
        <v/>
      </c>
      <c r="F187">
        <f>IF(原始資料!F187="","",IF(反向題設定!$C$9="是",反向題設定!$B$2+1-原始資料!F187,原始資料!F187))</f>
        <v/>
      </c>
      <c r="G187">
        <f>IF(原始資料!G187="","",IF(反向題設定!$C$10="是",反向題設定!$B$2+1-原始資料!G187,原始資料!G187))</f>
        <v/>
      </c>
      <c r="H187">
        <f>IF(原始資料!H187="","",IF(反向題設定!$C$11="是",反向題設定!$B$2+1-原始資料!H187,原始資料!H187))</f>
        <v/>
      </c>
      <c r="I187">
        <f>IF(原始資料!I187="","",IF(反向題設定!$C$12="是",反向題設定!$B$2+1-原始資料!I187,原始資料!I187))</f>
        <v/>
      </c>
      <c r="J187">
        <f>IF(原始資料!J187="","",IF(反向題設定!$C$13="是",反向題設定!$B$2+1-原始資料!J187,原始資料!J187))</f>
        <v/>
      </c>
      <c r="K187">
        <f>IF(原始資料!K187="","",IF(反向題設定!$C$14="是",反向題設定!$B$2+1-原始資料!K187,原始資料!K187))</f>
        <v/>
      </c>
      <c r="L187">
        <f>IF(原始資料!L187="","",IF(反向題設定!$C$15="是",反向題設定!$B$2+1-原始資料!L187,原始資料!L187))</f>
        <v/>
      </c>
      <c r="M187">
        <f>IF(原始資料!M187="","",IF(反向題設定!$C$16="是",反向題設定!$B$2+1-原始資料!M187,原始資料!M187))</f>
        <v/>
      </c>
      <c r="N187">
        <f>IF(原始資料!N187="","",IF(反向題設定!$C$17="是",反向題設定!$B$2+1-原始資料!N187,原始資料!N187))</f>
        <v/>
      </c>
      <c r="O187">
        <f>IF(原始資料!O187="","",IF(反向題設定!$C$18="是",反向題設定!$B$2+1-原始資料!O187,原始資料!O187))</f>
        <v/>
      </c>
      <c r="P187">
        <f>IF(原始資料!P187="","",IF(反向題設定!$C$19="是",反向題設定!$B$2+1-原始資料!P187,原始資料!P187))</f>
        <v/>
      </c>
      <c r="Q187">
        <f>IF(原始資料!Q187="","",IF(反向題設定!$C$20="是",反向題設定!$B$2+1-原始資料!Q187,原始資料!Q187))</f>
        <v/>
      </c>
      <c r="R187">
        <f>IF(原始資料!R187="","",IF(反向題設定!$C$21="是",反向題設定!$B$2+1-原始資料!R187,原始資料!R187))</f>
        <v/>
      </c>
      <c r="S187">
        <f>IF(原始資料!S187="","",IF(反向題設定!$C$22="是",反向題設定!$B$2+1-原始資料!S187,原始資料!S187))</f>
        <v/>
      </c>
      <c r="T187">
        <f>IF(原始資料!T187="","",IF(反向題設定!$C$23="是",反向題設定!$B$2+1-原始資料!T187,原始資料!T187))</f>
        <v/>
      </c>
      <c r="U187">
        <f>IF(原始資料!U187="","",IF(反向題設定!$C$24="是",反向題設定!$B$2+1-原始資料!U187,原始資料!U187))</f>
        <v/>
      </c>
      <c r="V187">
        <f>IF(原始資料!V187="","",IF(反向題設定!$C$25="是",反向題設定!$B$2+1-原始資料!V187,原始資料!V187))</f>
        <v/>
      </c>
      <c r="W187">
        <f>IF(原始資料!W187="","",IF(反向題設定!$C$26="是",反向題設定!$B$2+1-原始資料!W187,原始資料!W187))</f>
        <v/>
      </c>
      <c r="X187">
        <f>IF(原始資料!X187="","",IF(反向題設定!$C$27="是",反向題設定!$B$2+1-原始資料!X187,原始資料!X187))</f>
        <v/>
      </c>
      <c r="Y187">
        <f>IF(原始資料!Y187="","",IF(反向題設定!$C$28="是",反向題設定!$B$2+1-原始資料!Y187,原始資料!Y187))</f>
        <v/>
      </c>
      <c r="Z187">
        <f>IF(原始資料!Z187="","",IF(反向題設定!$C$29="是",反向題設定!$B$2+1-原始資料!Z187,原始資料!Z187))</f>
        <v/>
      </c>
      <c r="AA187">
        <f>IF(原始資料!AA187="","",IF(反向題設定!$C$30="是",反向題設定!$B$2+1-原始資料!AA187,原始資料!AA187))</f>
        <v/>
      </c>
      <c r="AB187">
        <f>IF(原始資料!AB187="","",IF(反向題設定!$C$31="是",反向題設定!$B$2+1-原始資料!AB187,原始資料!AB187))</f>
        <v/>
      </c>
      <c r="AC187">
        <f>IF(原始資料!AC187="","",IF(反向題設定!$C$32="是",反向題設定!$B$2+1-原始資料!AC187,原始資料!AC187))</f>
        <v/>
      </c>
      <c r="AD187">
        <f>IF(原始資料!AD187="","",IF(反向題設定!$C$33="是",反向題設定!$B$2+1-原始資料!AD187,原始資料!AD187))</f>
        <v/>
      </c>
      <c r="AE187">
        <f>IF(原始資料!AE187="","",IF(反向題設定!$C$34="是",反向題設定!$B$2+1-原始資料!AE187,原始資料!AE187))</f>
        <v/>
      </c>
      <c r="AF187">
        <f>IF(原始資料!AF187="","",IF(反向題設定!$C$35="是",反向題設定!$B$2+1-原始資料!AF187,原始資料!AF187))</f>
        <v/>
      </c>
      <c r="AG187">
        <f>IF(原始資料!AG187="","",IF(反向題設定!$C$36="是",反向題設定!$B$2+1-原始資料!AG187,原始資料!AG187))</f>
        <v/>
      </c>
      <c r="AH187">
        <f>IF(原始資料!AH187="","",IF(反向題設定!$C$37="是",反向題設定!$B$2+1-原始資料!AH187,原始資料!AH187))</f>
        <v/>
      </c>
      <c r="AI187">
        <f>IF(原始資料!AI187="","",IF(反向題設定!$C$38="是",反向題設定!$B$2+1-原始資料!AI187,原始資料!AI187))</f>
        <v/>
      </c>
      <c r="AJ187">
        <f>IF(原始資料!AJ187="","",IF(反向題設定!$C$39="是",反向題設定!$B$2+1-原始資料!AJ187,原始資料!AJ187))</f>
        <v/>
      </c>
      <c r="AK187">
        <f>IF(原始資料!AK187="","",IF(反向題設定!$C$40="是",反向題設定!$B$2+1-原始資料!AK187,原始資料!AK187))</f>
        <v/>
      </c>
      <c r="AL187">
        <f>IF(原始資料!AL187="","",IF(反向題設定!$C$41="是",反向題設定!$B$2+1-原始資料!AL187,原始資料!AL187))</f>
        <v/>
      </c>
      <c r="AM187">
        <f>IF(原始資料!AM187="","",IF(反向題設定!$C$42="是",反向題設定!$B$2+1-原始資料!AM187,原始資料!AM187))</f>
        <v/>
      </c>
      <c r="AN187">
        <f>IF(原始資料!AN187="","",IF(反向題設定!$C$43="是",反向題設定!$B$2+1-原始資料!AN187,原始資料!AN187))</f>
        <v/>
      </c>
      <c r="AO187">
        <f>IF(原始資料!AO187="","",IF(反向題設定!$C$44="是",反向題設定!$B$2+1-原始資料!AO187,原始資料!AO187))</f>
        <v/>
      </c>
      <c r="AP187">
        <f>IF(COUNT(B187:AO187)=0,"",SUM(B187:AO187))</f>
        <v/>
      </c>
      <c r="AQ187">
        <f>IF(AP187="","",IF(AP187&gt;=項目分析!$C$5,"高",IF(AP187&lt;=項目分析!$C$6,"低","")))</f>
        <v/>
      </c>
    </row>
    <row r="188">
      <c r="A188">
        <f>IF(原始資料!A188="","",原始資料!A188)</f>
        <v/>
      </c>
      <c r="B188">
        <f>IF(原始資料!B188="","",IF(反向題設定!$C$5="是",反向題設定!$B$2+1-原始資料!B188,原始資料!B188))</f>
        <v/>
      </c>
      <c r="C188">
        <f>IF(原始資料!C188="","",IF(反向題設定!$C$6="是",反向題設定!$B$2+1-原始資料!C188,原始資料!C188))</f>
        <v/>
      </c>
      <c r="D188">
        <f>IF(原始資料!D188="","",IF(反向題設定!$C$7="是",反向題設定!$B$2+1-原始資料!D188,原始資料!D188))</f>
        <v/>
      </c>
      <c r="E188">
        <f>IF(原始資料!E188="","",IF(反向題設定!$C$8="是",反向題設定!$B$2+1-原始資料!E188,原始資料!E188))</f>
        <v/>
      </c>
      <c r="F188">
        <f>IF(原始資料!F188="","",IF(反向題設定!$C$9="是",反向題設定!$B$2+1-原始資料!F188,原始資料!F188))</f>
        <v/>
      </c>
      <c r="G188">
        <f>IF(原始資料!G188="","",IF(反向題設定!$C$10="是",反向題設定!$B$2+1-原始資料!G188,原始資料!G188))</f>
        <v/>
      </c>
      <c r="H188">
        <f>IF(原始資料!H188="","",IF(反向題設定!$C$11="是",反向題設定!$B$2+1-原始資料!H188,原始資料!H188))</f>
        <v/>
      </c>
      <c r="I188">
        <f>IF(原始資料!I188="","",IF(反向題設定!$C$12="是",反向題設定!$B$2+1-原始資料!I188,原始資料!I188))</f>
        <v/>
      </c>
      <c r="J188">
        <f>IF(原始資料!J188="","",IF(反向題設定!$C$13="是",反向題設定!$B$2+1-原始資料!J188,原始資料!J188))</f>
        <v/>
      </c>
      <c r="K188">
        <f>IF(原始資料!K188="","",IF(反向題設定!$C$14="是",反向題設定!$B$2+1-原始資料!K188,原始資料!K188))</f>
        <v/>
      </c>
      <c r="L188">
        <f>IF(原始資料!L188="","",IF(反向題設定!$C$15="是",反向題設定!$B$2+1-原始資料!L188,原始資料!L188))</f>
        <v/>
      </c>
      <c r="M188">
        <f>IF(原始資料!M188="","",IF(反向題設定!$C$16="是",反向題設定!$B$2+1-原始資料!M188,原始資料!M188))</f>
        <v/>
      </c>
      <c r="N188">
        <f>IF(原始資料!N188="","",IF(反向題設定!$C$17="是",反向題設定!$B$2+1-原始資料!N188,原始資料!N188))</f>
        <v/>
      </c>
      <c r="O188">
        <f>IF(原始資料!O188="","",IF(反向題設定!$C$18="是",反向題設定!$B$2+1-原始資料!O188,原始資料!O188))</f>
        <v/>
      </c>
      <c r="P188">
        <f>IF(原始資料!P188="","",IF(反向題設定!$C$19="是",反向題設定!$B$2+1-原始資料!P188,原始資料!P188))</f>
        <v/>
      </c>
      <c r="Q188">
        <f>IF(原始資料!Q188="","",IF(反向題設定!$C$20="是",反向題設定!$B$2+1-原始資料!Q188,原始資料!Q188))</f>
        <v/>
      </c>
      <c r="R188">
        <f>IF(原始資料!R188="","",IF(反向題設定!$C$21="是",反向題設定!$B$2+1-原始資料!R188,原始資料!R188))</f>
        <v/>
      </c>
      <c r="S188">
        <f>IF(原始資料!S188="","",IF(反向題設定!$C$22="是",反向題設定!$B$2+1-原始資料!S188,原始資料!S188))</f>
        <v/>
      </c>
      <c r="T188">
        <f>IF(原始資料!T188="","",IF(反向題設定!$C$23="是",反向題設定!$B$2+1-原始資料!T188,原始資料!T188))</f>
        <v/>
      </c>
      <c r="U188">
        <f>IF(原始資料!U188="","",IF(反向題設定!$C$24="是",反向題設定!$B$2+1-原始資料!U188,原始資料!U188))</f>
        <v/>
      </c>
      <c r="V188">
        <f>IF(原始資料!V188="","",IF(反向題設定!$C$25="是",反向題設定!$B$2+1-原始資料!V188,原始資料!V188))</f>
        <v/>
      </c>
      <c r="W188">
        <f>IF(原始資料!W188="","",IF(反向題設定!$C$26="是",反向題設定!$B$2+1-原始資料!W188,原始資料!W188))</f>
        <v/>
      </c>
      <c r="X188">
        <f>IF(原始資料!X188="","",IF(反向題設定!$C$27="是",反向題設定!$B$2+1-原始資料!X188,原始資料!X188))</f>
        <v/>
      </c>
      <c r="Y188">
        <f>IF(原始資料!Y188="","",IF(反向題設定!$C$28="是",反向題設定!$B$2+1-原始資料!Y188,原始資料!Y188))</f>
        <v/>
      </c>
      <c r="Z188">
        <f>IF(原始資料!Z188="","",IF(反向題設定!$C$29="是",反向題設定!$B$2+1-原始資料!Z188,原始資料!Z188))</f>
        <v/>
      </c>
      <c r="AA188">
        <f>IF(原始資料!AA188="","",IF(反向題設定!$C$30="是",反向題設定!$B$2+1-原始資料!AA188,原始資料!AA188))</f>
        <v/>
      </c>
      <c r="AB188">
        <f>IF(原始資料!AB188="","",IF(反向題設定!$C$31="是",反向題設定!$B$2+1-原始資料!AB188,原始資料!AB188))</f>
        <v/>
      </c>
      <c r="AC188">
        <f>IF(原始資料!AC188="","",IF(反向題設定!$C$32="是",反向題設定!$B$2+1-原始資料!AC188,原始資料!AC188))</f>
        <v/>
      </c>
      <c r="AD188">
        <f>IF(原始資料!AD188="","",IF(反向題設定!$C$33="是",反向題設定!$B$2+1-原始資料!AD188,原始資料!AD188))</f>
        <v/>
      </c>
      <c r="AE188">
        <f>IF(原始資料!AE188="","",IF(反向題設定!$C$34="是",反向題設定!$B$2+1-原始資料!AE188,原始資料!AE188))</f>
        <v/>
      </c>
      <c r="AF188">
        <f>IF(原始資料!AF188="","",IF(反向題設定!$C$35="是",反向題設定!$B$2+1-原始資料!AF188,原始資料!AF188))</f>
        <v/>
      </c>
      <c r="AG188">
        <f>IF(原始資料!AG188="","",IF(反向題設定!$C$36="是",反向題設定!$B$2+1-原始資料!AG188,原始資料!AG188))</f>
        <v/>
      </c>
      <c r="AH188">
        <f>IF(原始資料!AH188="","",IF(反向題設定!$C$37="是",反向題設定!$B$2+1-原始資料!AH188,原始資料!AH188))</f>
        <v/>
      </c>
      <c r="AI188">
        <f>IF(原始資料!AI188="","",IF(反向題設定!$C$38="是",反向題設定!$B$2+1-原始資料!AI188,原始資料!AI188))</f>
        <v/>
      </c>
      <c r="AJ188">
        <f>IF(原始資料!AJ188="","",IF(反向題設定!$C$39="是",反向題設定!$B$2+1-原始資料!AJ188,原始資料!AJ188))</f>
        <v/>
      </c>
      <c r="AK188">
        <f>IF(原始資料!AK188="","",IF(反向題設定!$C$40="是",反向題設定!$B$2+1-原始資料!AK188,原始資料!AK188))</f>
        <v/>
      </c>
      <c r="AL188">
        <f>IF(原始資料!AL188="","",IF(反向題設定!$C$41="是",反向題設定!$B$2+1-原始資料!AL188,原始資料!AL188))</f>
        <v/>
      </c>
      <c r="AM188">
        <f>IF(原始資料!AM188="","",IF(反向題設定!$C$42="是",反向題設定!$B$2+1-原始資料!AM188,原始資料!AM188))</f>
        <v/>
      </c>
      <c r="AN188">
        <f>IF(原始資料!AN188="","",IF(反向題設定!$C$43="是",反向題設定!$B$2+1-原始資料!AN188,原始資料!AN188))</f>
        <v/>
      </c>
      <c r="AO188">
        <f>IF(原始資料!AO188="","",IF(反向題設定!$C$44="是",反向題設定!$B$2+1-原始資料!AO188,原始資料!AO188))</f>
        <v/>
      </c>
      <c r="AP188">
        <f>IF(COUNT(B188:AO188)=0,"",SUM(B188:AO188))</f>
        <v/>
      </c>
      <c r="AQ188">
        <f>IF(AP188="","",IF(AP188&gt;=項目分析!$C$5,"高",IF(AP188&lt;=項目分析!$C$6,"低","")))</f>
        <v/>
      </c>
    </row>
    <row r="189">
      <c r="A189">
        <f>IF(原始資料!A189="","",原始資料!A189)</f>
        <v/>
      </c>
      <c r="B189">
        <f>IF(原始資料!B189="","",IF(反向題設定!$C$5="是",反向題設定!$B$2+1-原始資料!B189,原始資料!B189))</f>
        <v/>
      </c>
      <c r="C189">
        <f>IF(原始資料!C189="","",IF(反向題設定!$C$6="是",反向題設定!$B$2+1-原始資料!C189,原始資料!C189))</f>
        <v/>
      </c>
      <c r="D189">
        <f>IF(原始資料!D189="","",IF(反向題設定!$C$7="是",反向題設定!$B$2+1-原始資料!D189,原始資料!D189))</f>
        <v/>
      </c>
      <c r="E189">
        <f>IF(原始資料!E189="","",IF(反向題設定!$C$8="是",反向題設定!$B$2+1-原始資料!E189,原始資料!E189))</f>
        <v/>
      </c>
      <c r="F189">
        <f>IF(原始資料!F189="","",IF(反向題設定!$C$9="是",反向題設定!$B$2+1-原始資料!F189,原始資料!F189))</f>
        <v/>
      </c>
      <c r="G189">
        <f>IF(原始資料!G189="","",IF(反向題設定!$C$10="是",反向題設定!$B$2+1-原始資料!G189,原始資料!G189))</f>
        <v/>
      </c>
      <c r="H189">
        <f>IF(原始資料!H189="","",IF(反向題設定!$C$11="是",反向題設定!$B$2+1-原始資料!H189,原始資料!H189))</f>
        <v/>
      </c>
      <c r="I189">
        <f>IF(原始資料!I189="","",IF(反向題設定!$C$12="是",反向題設定!$B$2+1-原始資料!I189,原始資料!I189))</f>
        <v/>
      </c>
      <c r="J189">
        <f>IF(原始資料!J189="","",IF(反向題設定!$C$13="是",反向題設定!$B$2+1-原始資料!J189,原始資料!J189))</f>
        <v/>
      </c>
      <c r="K189">
        <f>IF(原始資料!K189="","",IF(反向題設定!$C$14="是",反向題設定!$B$2+1-原始資料!K189,原始資料!K189))</f>
        <v/>
      </c>
      <c r="L189">
        <f>IF(原始資料!L189="","",IF(反向題設定!$C$15="是",反向題設定!$B$2+1-原始資料!L189,原始資料!L189))</f>
        <v/>
      </c>
      <c r="M189">
        <f>IF(原始資料!M189="","",IF(反向題設定!$C$16="是",反向題設定!$B$2+1-原始資料!M189,原始資料!M189))</f>
        <v/>
      </c>
      <c r="N189">
        <f>IF(原始資料!N189="","",IF(反向題設定!$C$17="是",反向題設定!$B$2+1-原始資料!N189,原始資料!N189))</f>
        <v/>
      </c>
      <c r="O189">
        <f>IF(原始資料!O189="","",IF(反向題設定!$C$18="是",反向題設定!$B$2+1-原始資料!O189,原始資料!O189))</f>
        <v/>
      </c>
      <c r="P189">
        <f>IF(原始資料!P189="","",IF(反向題設定!$C$19="是",反向題設定!$B$2+1-原始資料!P189,原始資料!P189))</f>
        <v/>
      </c>
      <c r="Q189">
        <f>IF(原始資料!Q189="","",IF(反向題設定!$C$20="是",反向題設定!$B$2+1-原始資料!Q189,原始資料!Q189))</f>
        <v/>
      </c>
      <c r="R189">
        <f>IF(原始資料!R189="","",IF(反向題設定!$C$21="是",反向題設定!$B$2+1-原始資料!R189,原始資料!R189))</f>
        <v/>
      </c>
      <c r="S189">
        <f>IF(原始資料!S189="","",IF(反向題設定!$C$22="是",反向題設定!$B$2+1-原始資料!S189,原始資料!S189))</f>
        <v/>
      </c>
      <c r="T189">
        <f>IF(原始資料!T189="","",IF(反向題設定!$C$23="是",反向題設定!$B$2+1-原始資料!T189,原始資料!T189))</f>
        <v/>
      </c>
      <c r="U189">
        <f>IF(原始資料!U189="","",IF(反向題設定!$C$24="是",反向題設定!$B$2+1-原始資料!U189,原始資料!U189))</f>
        <v/>
      </c>
      <c r="V189">
        <f>IF(原始資料!V189="","",IF(反向題設定!$C$25="是",反向題設定!$B$2+1-原始資料!V189,原始資料!V189))</f>
        <v/>
      </c>
      <c r="W189">
        <f>IF(原始資料!W189="","",IF(反向題設定!$C$26="是",反向題設定!$B$2+1-原始資料!W189,原始資料!W189))</f>
        <v/>
      </c>
      <c r="X189">
        <f>IF(原始資料!X189="","",IF(反向題設定!$C$27="是",反向題設定!$B$2+1-原始資料!X189,原始資料!X189))</f>
        <v/>
      </c>
      <c r="Y189">
        <f>IF(原始資料!Y189="","",IF(反向題設定!$C$28="是",反向題設定!$B$2+1-原始資料!Y189,原始資料!Y189))</f>
        <v/>
      </c>
      <c r="Z189">
        <f>IF(原始資料!Z189="","",IF(反向題設定!$C$29="是",反向題設定!$B$2+1-原始資料!Z189,原始資料!Z189))</f>
        <v/>
      </c>
      <c r="AA189">
        <f>IF(原始資料!AA189="","",IF(反向題設定!$C$30="是",反向題設定!$B$2+1-原始資料!AA189,原始資料!AA189))</f>
        <v/>
      </c>
      <c r="AB189">
        <f>IF(原始資料!AB189="","",IF(反向題設定!$C$31="是",反向題設定!$B$2+1-原始資料!AB189,原始資料!AB189))</f>
        <v/>
      </c>
      <c r="AC189">
        <f>IF(原始資料!AC189="","",IF(反向題設定!$C$32="是",反向題設定!$B$2+1-原始資料!AC189,原始資料!AC189))</f>
        <v/>
      </c>
      <c r="AD189">
        <f>IF(原始資料!AD189="","",IF(反向題設定!$C$33="是",反向題設定!$B$2+1-原始資料!AD189,原始資料!AD189))</f>
        <v/>
      </c>
      <c r="AE189">
        <f>IF(原始資料!AE189="","",IF(反向題設定!$C$34="是",反向題設定!$B$2+1-原始資料!AE189,原始資料!AE189))</f>
        <v/>
      </c>
      <c r="AF189">
        <f>IF(原始資料!AF189="","",IF(反向題設定!$C$35="是",反向題設定!$B$2+1-原始資料!AF189,原始資料!AF189))</f>
        <v/>
      </c>
      <c r="AG189">
        <f>IF(原始資料!AG189="","",IF(反向題設定!$C$36="是",反向題設定!$B$2+1-原始資料!AG189,原始資料!AG189))</f>
        <v/>
      </c>
      <c r="AH189">
        <f>IF(原始資料!AH189="","",IF(反向題設定!$C$37="是",反向題設定!$B$2+1-原始資料!AH189,原始資料!AH189))</f>
        <v/>
      </c>
      <c r="AI189">
        <f>IF(原始資料!AI189="","",IF(反向題設定!$C$38="是",反向題設定!$B$2+1-原始資料!AI189,原始資料!AI189))</f>
        <v/>
      </c>
      <c r="AJ189">
        <f>IF(原始資料!AJ189="","",IF(反向題設定!$C$39="是",反向題設定!$B$2+1-原始資料!AJ189,原始資料!AJ189))</f>
        <v/>
      </c>
      <c r="AK189">
        <f>IF(原始資料!AK189="","",IF(反向題設定!$C$40="是",反向題設定!$B$2+1-原始資料!AK189,原始資料!AK189))</f>
        <v/>
      </c>
      <c r="AL189">
        <f>IF(原始資料!AL189="","",IF(反向題設定!$C$41="是",反向題設定!$B$2+1-原始資料!AL189,原始資料!AL189))</f>
        <v/>
      </c>
      <c r="AM189">
        <f>IF(原始資料!AM189="","",IF(反向題設定!$C$42="是",反向題設定!$B$2+1-原始資料!AM189,原始資料!AM189))</f>
        <v/>
      </c>
      <c r="AN189">
        <f>IF(原始資料!AN189="","",IF(反向題設定!$C$43="是",反向題設定!$B$2+1-原始資料!AN189,原始資料!AN189))</f>
        <v/>
      </c>
      <c r="AO189">
        <f>IF(原始資料!AO189="","",IF(反向題設定!$C$44="是",反向題設定!$B$2+1-原始資料!AO189,原始資料!AO189))</f>
        <v/>
      </c>
      <c r="AP189">
        <f>IF(COUNT(B189:AO189)=0,"",SUM(B189:AO189))</f>
        <v/>
      </c>
      <c r="AQ189">
        <f>IF(AP189="","",IF(AP189&gt;=項目分析!$C$5,"高",IF(AP189&lt;=項目分析!$C$6,"低","")))</f>
        <v/>
      </c>
    </row>
    <row r="190">
      <c r="A190">
        <f>IF(原始資料!A190="","",原始資料!A190)</f>
        <v/>
      </c>
      <c r="B190">
        <f>IF(原始資料!B190="","",IF(反向題設定!$C$5="是",反向題設定!$B$2+1-原始資料!B190,原始資料!B190))</f>
        <v/>
      </c>
      <c r="C190">
        <f>IF(原始資料!C190="","",IF(反向題設定!$C$6="是",反向題設定!$B$2+1-原始資料!C190,原始資料!C190))</f>
        <v/>
      </c>
      <c r="D190">
        <f>IF(原始資料!D190="","",IF(反向題設定!$C$7="是",反向題設定!$B$2+1-原始資料!D190,原始資料!D190))</f>
        <v/>
      </c>
      <c r="E190">
        <f>IF(原始資料!E190="","",IF(反向題設定!$C$8="是",反向題設定!$B$2+1-原始資料!E190,原始資料!E190))</f>
        <v/>
      </c>
      <c r="F190">
        <f>IF(原始資料!F190="","",IF(反向題設定!$C$9="是",反向題設定!$B$2+1-原始資料!F190,原始資料!F190))</f>
        <v/>
      </c>
      <c r="G190">
        <f>IF(原始資料!G190="","",IF(反向題設定!$C$10="是",反向題設定!$B$2+1-原始資料!G190,原始資料!G190))</f>
        <v/>
      </c>
      <c r="H190">
        <f>IF(原始資料!H190="","",IF(反向題設定!$C$11="是",反向題設定!$B$2+1-原始資料!H190,原始資料!H190))</f>
        <v/>
      </c>
      <c r="I190">
        <f>IF(原始資料!I190="","",IF(反向題設定!$C$12="是",反向題設定!$B$2+1-原始資料!I190,原始資料!I190))</f>
        <v/>
      </c>
      <c r="J190">
        <f>IF(原始資料!J190="","",IF(反向題設定!$C$13="是",反向題設定!$B$2+1-原始資料!J190,原始資料!J190))</f>
        <v/>
      </c>
      <c r="K190">
        <f>IF(原始資料!K190="","",IF(反向題設定!$C$14="是",反向題設定!$B$2+1-原始資料!K190,原始資料!K190))</f>
        <v/>
      </c>
      <c r="L190">
        <f>IF(原始資料!L190="","",IF(反向題設定!$C$15="是",反向題設定!$B$2+1-原始資料!L190,原始資料!L190))</f>
        <v/>
      </c>
      <c r="M190">
        <f>IF(原始資料!M190="","",IF(反向題設定!$C$16="是",反向題設定!$B$2+1-原始資料!M190,原始資料!M190))</f>
        <v/>
      </c>
      <c r="N190">
        <f>IF(原始資料!N190="","",IF(反向題設定!$C$17="是",反向題設定!$B$2+1-原始資料!N190,原始資料!N190))</f>
        <v/>
      </c>
      <c r="O190">
        <f>IF(原始資料!O190="","",IF(反向題設定!$C$18="是",反向題設定!$B$2+1-原始資料!O190,原始資料!O190))</f>
        <v/>
      </c>
      <c r="P190">
        <f>IF(原始資料!P190="","",IF(反向題設定!$C$19="是",反向題設定!$B$2+1-原始資料!P190,原始資料!P190))</f>
        <v/>
      </c>
      <c r="Q190">
        <f>IF(原始資料!Q190="","",IF(反向題設定!$C$20="是",反向題設定!$B$2+1-原始資料!Q190,原始資料!Q190))</f>
        <v/>
      </c>
      <c r="R190">
        <f>IF(原始資料!R190="","",IF(反向題設定!$C$21="是",反向題設定!$B$2+1-原始資料!R190,原始資料!R190))</f>
        <v/>
      </c>
      <c r="S190">
        <f>IF(原始資料!S190="","",IF(反向題設定!$C$22="是",反向題設定!$B$2+1-原始資料!S190,原始資料!S190))</f>
        <v/>
      </c>
      <c r="T190">
        <f>IF(原始資料!T190="","",IF(反向題設定!$C$23="是",反向題設定!$B$2+1-原始資料!T190,原始資料!T190))</f>
        <v/>
      </c>
      <c r="U190">
        <f>IF(原始資料!U190="","",IF(反向題設定!$C$24="是",反向題設定!$B$2+1-原始資料!U190,原始資料!U190))</f>
        <v/>
      </c>
      <c r="V190">
        <f>IF(原始資料!V190="","",IF(反向題設定!$C$25="是",反向題設定!$B$2+1-原始資料!V190,原始資料!V190))</f>
        <v/>
      </c>
      <c r="W190">
        <f>IF(原始資料!W190="","",IF(反向題設定!$C$26="是",反向題設定!$B$2+1-原始資料!W190,原始資料!W190))</f>
        <v/>
      </c>
      <c r="X190">
        <f>IF(原始資料!X190="","",IF(反向題設定!$C$27="是",反向題設定!$B$2+1-原始資料!X190,原始資料!X190))</f>
        <v/>
      </c>
      <c r="Y190">
        <f>IF(原始資料!Y190="","",IF(反向題設定!$C$28="是",反向題設定!$B$2+1-原始資料!Y190,原始資料!Y190))</f>
        <v/>
      </c>
      <c r="Z190">
        <f>IF(原始資料!Z190="","",IF(反向題設定!$C$29="是",反向題設定!$B$2+1-原始資料!Z190,原始資料!Z190))</f>
        <v/>
      </c>
      <c r="AA190">
        <f>IF(原始資料!AA190="","",IF(反向題設定!$C$30="是",反向題設定!$B$2+1-原始資料!AA190,原始資料!AA190))</f>
        <v/>
      </c>
      <c r="AB190">
        <f>IF(原始資料!AB190="","",IF(反向題設定!$C$31="是",反向題設定!$B$2+1-原始資料!AB190,原始資料!AB190))</f>
        <v/>
      </c>
      <c r="AC190">
        <f>IF(原始資料!AC190="","",IF(反向題設定!$C$32="是",反向題設定!$B$2+1-原始資料!AC190,原始資料!AC190))</f>
        <v/>
      </c>
      <c r="AD190">
        <f>IF(原始資料!AD190="","",IF(反向題設定!$C$33="是",反向題設定!$B$2+1-原始資料!AD190,原始資料!AD190))</f>
        <v/>
      </c>
      <c r="AE190">
        <f>IF(原始資料!AE190="","",IF(反向題設定!$C$34="是",反向題設定!$B$2+1-原始資料!AE190,原始資料!AE190))</f>
        <v/>
      </c>
      <c r="AF190">
        <f>IF(原始資料!AF190="","",IF(反向題設定!$C$35="是",反向題設定!$B$2+1-原始資料!AF190,原始資料!AF190))</f>
        <v/>
      </c>
      <c r="AG190">
        <f>IF(原始資料!AG190="","",IF(反向題設定!$C$36="是",反向題設定!$B$2+1-原始資料!AG190,原始資料!AG190))</f>
        <v/>
      </c>
      <c r="AH190">
        <f>IF(原始資料!AH190="","",IF(反向題設定!$C$37="是",反向題設定!$B$2+1-原始資料!AH190,原始資料!AH190))</f>
        <v/>
      </c>
      <c r="AI190">
        <f>IF(原始資料!AI190="","",IF(反向題設定!$C$38="是",反向題設定!$B$2+1-原始資料!AI190,原始資料!AI190))</f>
        <v/>
      </c>
      <c r="AJ190">
        <f>IF(原始資料!AJ190="","",IF(反向題設定!$C$39="是",反向題設定!$B$2+1-原始資料!AJ190,原始資料!AJ190))</f>
        <v/>
      </c>
      <c r="AK190">
        <f>IF(原始資料!AK190="","",IF(反向題設定!$C$40="是",反向題設定!$B$2+1-原始資料!AK190,原始資料!AK190))</f>
        <v/>
      </c>
      <c r="AL190">
        <f>IF(原始資料!AL190="","",IF(反向題設定!$C$41="是",反向題設定!$B$2+1-原始資料!AL190,原始資料!AL190))</f>
        <v/>
      </c>
      <c r="AM190">
        <f>IF(原始資料!AM190="","",IF(反向題設定!$C$42="是",反向題設定!$B$2+1-原始資料!AM190,原始資料!AM190))</f>
        <v/>
      </c>
      <c r="AN190">
        <f>IF(原始資料!AN190="","",IF(反向題設定!$C$43="是",反向題設定!$B$2+1-原始資料!AN190,原始資料!AN190))</f>
        <v/>
      </c>
      <c r="AO190">
        <f>IF(原始資料!AO190="","",IF(反向題設定!$C$44="是",反向題設定!$B$2+1-原始資料!AO190,原始資料!AO190))</f>
        <v/>
      </c>
      <c r="AP190">
        <f>IF(COUNT(B190:AO190)=0,"",SUM(B190:AO190))</f>
        <v/>
      </c>
      <c r="AQ190">
        <f>IF(AP190="","",IF(AP190&gt;=項目分析!$C$5,"高",IF(AP190&lt;=項目分析!$C$6,"低","")))</f>
        <v/>
      </c>
    </row>
    <row r="191">
      <c r="A191">
        <f>IF(原始資料!A191="","",原始資料!A191)</f>
        <v/>
      </c>
      <c r="B191">
        <f>IF(原始資料!B191="","",IF(反向題設定!$C$5="是",反向題設定!$B$2+1-原始資料!B191,原始資料!B191))</f>
        <v/>
      </c>
      <c r="C191">
        <f>IF(原始資料!C191="","",IF(反向題設定!$C$6="是",反向題設定!$B$2+1-原始資料!C191,原始資料!C191))</f>
        <v/>
      </c>
      <c r="D191">
        <f>IF(原始資料!D191="","",IF(反向題設定!$C$7="是",反向題設定!$B$2+1-原始資料!D191,原始資料!D191))</f>
        <v/>
      </c>
      <c r="E191">
        <f>IF(原始資料!E191="","",IF(反向題設定!$C$8="是",反向題設定!$B$2+1-原始資料!E191,原始資料!E191))</f>
        <v/>
      </c>
      <c r="F191">
        <f>IF(原始資料!F191="","",IF(反向題設定!$C$9="是",反向題設定!$B$2+1-原始資料!F191,原始資料!F191))</f>
        <v/>
      </c>
      <c r="G191">
        <f>IF(原始資料!G191="","",IF(反向題設定!$C$10="是",反向題設定!$B$2+1-原始資料!G191,原始資料!G191))</f>
        <v/>
      </c>
      <c r="H191">
        <f>IF(原始資料!H191="","",IF(反向題設定!$C$11="是",反向題設定!$B$2+1-原始資料!H191,原始資料!H191))</f>
        <v/>
      </c>
      <c r="I191">
        <f>IF(原始資料!I191="","",IF(反向題設定!$C$12="是",反向題設定!$B$2+1-原始資料!I191,原始資料!I191))</f>
        <v/>
      </c>
      <c r="J191">
        <f>IF(原始資料!J191="","",IF(反向題設定!$C$13="是",反向題設定!$B$2+1-原始資料!J191,原始資料!J191))</f>
        <v/>
      </c>
      <c r="K191">
        <f>IF(原始資料!K191="","",IF(反向題設定!$C$14="是",反向題設定!$B$2+1-原始資料!K191,原始資料!K191))</f>
        <v/>
      </c>
      <c r="L191">
        <f>IF(原始資料!L191="","",IF(反向題設定!$C$15="是",反向題設定!$B$2+1-原始資料!L191,原始資料!L191))</f>
        <v/>
      </c>
      <c r="M191">
        <f>IF(原始資料!M191="","",IF(反向題設定!$C$16="是",反向題設定!$B$2+1-原始資料!M191,原始資料!M191))</f>
        <v/>
      </c>
      <c r="N191">
        <f>IF(原始資料!N191="","",IF(反向題設定!$C$17="是",反向題設定!$B$2+1-原始資料!N191,原始資料!N191))</f>
        <v/>
      </c>
      <c r="O191">
        <f>IF(原始資料!O191="","",IF(反向題設定!$C$18="是",反向題設定!$B$2+1-原始資料!O191,原始資料!O191))</f>
        <v/>
      </c>
      <c r="P191">
        <f>IF(原始資料!P191="","",IF(反向題設定!$C$19="是",反向題設定!$B$2+1-原始資料!P191,原始資料!P191))</f>
        <v/>
      </c>
      <c r="Q191">
        <f>IF(原始資料!Q191="","",IF(反向題設定!$C$20="是",反向題設定!$B$2+1-原始資料!Q191,原始資料!Q191))</f>
        <v/>
      </c>
      <c r="R191">
        <f>IF(原始資料!R191="","",IF(反向題設定!$C$21="是",反向題設定!$B$2+1-原始資料!R191,原始資料!R191))</f>
        <v/>
      </c>
      <c r="S191">
        <f>IF(原始資料!S191="","",IF(反向題設定!$C$22="是",反向題設定!$B$2+1-原始資料!S191,原始資料!S191))</f>
        <v/>
      </c>
      <c r="T191">
        <f>IF(原始資料!T191="","",IF(反向題設定!$C$23="是",反向題設定!$B$2+1-原始資料!T191,原始資料!T191))</f>
        <v/>
      </c>
      <c r="U191">
        <f>IF(原始資料!U191="","",IF(反向題設定!$C$24="是",反向題設定!$B$2+1-原始資料!U191,原始資料!U191))</f>
        <v/>
      </c>
      <c r="V191">
        <f>IF(原始資料!V191="","",IF(反向題設定!$C$25="是",反向題設定!$B$2+1-原始資料!V191,原始資料!V191))</f>
        <v/>
      </c>
      <c r="W191">
        <f>IF(原始資料!W191="","",IF(反向題設定!$C$26="是",反向題設定!$B$2+1-原始資料!W191,原始資料!W191))</f>
        <v/>
      </c>
      <c r="X191">
        <f>IF(原始資料!X191="","",IF(反向題設定!$C$27="是",反向題設定!$B$2+1-原始資料!X191,原始資料!X191))</f>
        <v/>
      </c>
      <c r="Y191">
        <f>IF(原始資料!Y191="","",IF(反向題設定!$C$28="是",反向題設定!$B$2+1-原始資料!Y191,原始資料!Y191))</f>
        <v/>
      </c>
      <c r="Z191">
        <f>IF(原始資料!Z191="","",IF(反向題設定!$C$29="是",反向題設定!$B$2+1-原始資料!Z191,原始資料!Z191))</f>
        <v/>
      </c>
      <c r="AA191">
        <f>IF(原始資料!AA191="","",IF(反向題設定!$C$30="是",反向題設定!$B$2+1-原始資料!AA191,原始資料!AA191))</f>
        <v/>
      </c>
      <c r="AB191">
        <f>IF(原始資料!AB191="","",IF(反向題設定!$C$31="是",反向題設定!$B$2+1-原始資料!AB191,原始資料!AB191))</f>
        <v/>
      </c>
      <c r="AC191">
        <f>IF(原始資料!AC191="","",IF(反向題設定!$C$32="是",反向題設定!$B$2+1-原始資料!AC191,原始資料!AC191))</f>
        <v/>
      </c>
      <c r="AD191">
        <f>IF(原始資料!AD191="","",IF(反向題設定!$C$33="是",反向題設定!$B$2+1-原始資料!AD191,原始資料!AD191))</f>
        <v/>
      </c>
      <c r="AE191">
        <f>IF(原始資料!AE191="","",IF(反向題設定!$C$34="是",反向題設定!$B$2+1-原始資料!AE191,原始資料!AE191))</f>
        <v/>
      </c>
      <c r="AF191">
        <f>IF(原始資料!AF191="","",IF(反向題設定!$C$35="是",反向題設定!$B$2+1-原始資料!AF191,原始資料!AF191))</f>
        <v/>
      </c>
      <c r="AG191">
        <f>IF(原始資料!AG191="","",IF(反向題設定!$C$36="是",反向題設定!$B$2+1-原始資料!AG191,原始資料!AG191))</f>
        <v/>
      </c>
      <c r="AH191">
        <f>IF(原始資料!AH191="","",IF(反向題設定!$C$37="是",反向題設定!$B$2+1-原始資料!AH191,原始資料!AH191))</f>
        <v/>
      </c>
      <c r="AI191">
        <f>IF(原始資料!AI191="","",IF(反向題設定!$C$38="是",反向題設定!$B$2+1-原始資料!AI191,原始資料!AI191))</f>
        <v/>
      </c>
      <c r="AJ191">
        <f>IF(原始資料!AJ191="","",IF(反向題設定!$C$39="是",反向題設定!$B$2+1-原始資料!AJ191,原始資料!AJ191))</f>
        <v/>
      </c>
      <c r="AK191">
        <f>IF(原始資料!AK191="","",IF(反向題設定!$C$40="是",反向題設定!$B$2+1-原始資料!AK191,原始資料!AK191))</f>
        <v/>
      </c>
      <c r="AL191">
        <f>IF(原始資料!AL191="","",IF(反向題設定!$C$41="是",反向題設定!$B$2+1-原始資料!AL191,原始資料!AL191))</f>
        <v/>
      </c>
      <c r="AM191">
        <f>IF(原始資料!AM191="","",IF(反向題設定!$C$42="是",反向題設定!$B$2+1-原始資料!AM191,原始資料!AM191))</f>
        <v/>
      </c>
      <c r="AN191">
        <f>IF(原始資料!AN191="","",IF(反向題設定!$C$43="是",反向題設定!$B$2+1-原始資料!AN191,原始資料!AN191))</f>
        <v/>
      </c>
      <c r="AO191">
        <f>IF(原始資料!AO191="","",IF(反向題設定!$C$44="是",反向題設定!$B$2+1-原始資料!AO191,原始資料!AO191))</f>
        <v/>
      </c>
      <c r="AP191">
        <f>IF(COUNT(B191:AO191)=0,"",SUM(B191:AO191))</f>
        <v/>
      </c>
      <c r="AQ191">
        <f>IF(AP191="","",IF(AP191&gt;=項目分析!$C$5,"高",IF(AP191&lt;=項目分析!$C$6,"低","")))</f>
        <v/>
      </c>
    </row>
    <row r="192">
      <c r="A192">
        <f>IF(原始資料!A192="","",原始資料!A192)</f>
        <v/>
      </c>
      <c r="B192">
        <f>IF(原始資料!B192="","",IF(反向題設定!$C$5="是",反向題設定!$B$2+1-原始資料!B192,原始資料!B192))</f>
        <v/>
      </c>
      <c r="C192">
        <f>IF(原始資料!C192="","",IF(反向題設定!$C$6="是",反向題設定!$B$2+1-原始資料!C192,原始資料!C192))</f>
        <v/>
      </c>
      <c r="D192">
        <f>IF(原始資料!D192="","",IF(反向題設定!$C$7="是",反向題設定!$B$2+1-原始資料!D192,原始資料!D192))</f>
        <v/>
      </c>
      <c r="E192">
        <f>IF(原始資料!E192="","",IF(反向題設定!$C$8="是",反向題設定!$B$2+1-原始資料!E192,原始資料!E192))</f>
        <v/>
      </c>
      <c r="F192">
        <f>IF(原始資料!F192="","",IF(反向題設定!$C$9="是",反向題設定!$B$2+1-原始資料!F192,原始資料!F192))</f>
        <v/>
      </c>
      <c r="G192">
        <f>IF(原始資料!G192="","",IF(反向題設定!$C$10="是",反向題設定!$B$2+1-原始資料!G192,原始資料!G192))</f>
        <v/>
      </c>
      <c r="H192">
        <f>IF(原始資料!H192="","",IF(反向題設定!$C$11="是",反向題設定!$B$2+1-原始資料!H192,原始資料!H192))</f>
        <v/>
      </c>
      <c r="I192">
        <f>IF(原始資料!I192="","",IF(反向題設定!$C$12="是",反向題設定!$B$2+1-原始資料!I192,原始資料!I192))</f>
        <v/>
      </c>
      <c r="J192">
        <f>IF(原始資料!J192="","",IF(反向題設定!$C$13="是",反向題設定!$B$2+1-原始資料!J192,原始資料!J192))</f>
        <v/>
      </c>
      <c r="K192">
        <f>IF(原始資料!K192="","",IF(反向題設定!$C$14="是",反向題設定!$B$2+1-原始資料!K192,原始資料!K192))</f>
        <v/>
      </c>
      <c r="L192">
        <f>IF(原始資料!L192="","",IF(反向題設定!$C$15="是",反向題設定!$B$2+1-原始資料!L192,原始資料!L192))</f>
        <v/>
      </c>
      <c r="M192">
        <f>IF(原始資料!M192="","",IF(反向題設定!$C$16="是",反向題設定!$B$2+1-原始資料!M192,原始資料!M192))</f>
        <v/>
      </c>
      <c r="N192">
        <f>IF(原始資料!N192="","",IF(反向題設定!$C$17="是",反向題設定!$B$2+1-原始資料!N192,原始資料!N192))</f>
        <v/>
      </c>
      <c r="O192">
        <f>IF(原始資料!O192="","",IF(反向題設定!$C$18="是",反向題設定!$B$2+1-原始資料!O192,原始資料!O192))</f>
        <v/>
      </c>
      <c r="P192">
        <f>IF(原始資料!P192="","",IF(反向題設定!$C$19="是",反向題設定!$B$2+1-原始資料!P192,原始資料!P192))</f>
        <v/>
      </c>
      <c r="Q192">
        <f>IF(原始資料!Q192="","",IF(反向題設定!$C$20="是",反向題設定!$B$2+1-原始資料!Q192,原始資料!Q192))</f>
        <v/>
      </c>
      <c r="R192">
        <f>IF(原始資料!R192="","",IF(反向題設定!$C$21="是",反向題設定!$B$2+1-原始資料!R192,原始資料!R192))</f>
        <v/>
      </c>
      <c r="S192">
        <f>IF(原始資料!S192="","",IF(反向題設定!$C$22="是",反向題設定!$B$2+1-原始資料!S192,原始資料!S192))</f>
        <v/>
      </c>
      <c r="T192">
        <f>IF(原始資料!T192="","",IF(反向題設定!$C$23="是",反向題設定!$B$2+1-原始資料!T192,原始資料!T192))</f>
        <v/>
      </c>
      <c r="U192">
        <f>IF(原始資料!U192="","",IF(反向題設定!$C$24="是",反向題設定!$B$2+1-原始資料!U192,原始資料!U192))</f>
        <v/>
      </c>
      <c r="V192">
        <f>IF(原始資料!V192="","",IF(反向題設定!$C$25="是",反向題設定!$B$2+1-原始資料!V192,原始資料!V192))</f>
        <v/>
      </c>
      <c r="W192">
        <f>IF(原始資料!W192="","",IF(反向題設定!$C$26="是",反向題設定!$B$2+1-原始資料!W192,原始資料!W192))</f>
        <v/>
      </c>
      <c r="X192">
        <f>IF(原始資料!X192="","",IF(反向題設定!$C$27="是",反向題設定!$B$2+1-原始資料!X192,原始資料!X192))</f>
        <v/>
      </c>
      <c r="Y192">
        <f>IF(原始資料!Y192="","",IF(反向題設定!$C$28="是",反向題設定!$B$2+1-原始資料!Y192,原始資料!Y192))</f>
        <v/>
      </c>
      <c r="Z192">
        <f>IF(原始資料!Z192="","",IF(反向題設定!$C$29="是",反向題設定!$B$2+1-原始資料!Z192,原始資料!Z192))</f>
        <v/>
      </c>
      <c r="AA192">
        <f>IF(原始資料!AA192="","",IF(反向題設定!$C$30="是",反向題設定!$B$2+1-原始資料!AA192,原始資料!AA192))</f>
        <v/>
      </c>
      <c r="AB192">
        <f>IF(原始資料!AB192="","",IF(反向題設定!$C$31="是",反向題設定!$B$2+1-原始資料!AB192,原始資料!AB192))</f>
        <v/>
      </c>
      <c r="AC192">
        <f>IF(原始資料!AC192="","",IF(反向題設定!$C$32="是",反向題設定!$B$2+1-原始資料!AC192,原始資料!AC192))</f>
        <v/>
      </c>
      <c r="AD192">
        <f>IF(原始資料!AD192="","",IF(反向題設定!$C$33="是",反向題設定!$B$2+1-原始資料!AD192,原始資料!AD192))</f>
        <v/>
      </c>
      <c r="AE192">
        <f>IF(原始資料!AE192="","",IF(反向題設定!$C$34="是",反向題設定!$B$2+1-原始資料!AE192,原始資料!AE192))</f>
        <v/>
      </c>
      <c r="AF192">
        <f>IF(原始資料!AF192="","",IF(反向題設定!$C$35="是",反向題設定!$B$2+1-原始資料!AF192,原始資料!AF192))</f>
        <v/>
      </c>
      <c r="AG192">
        <f>IF(原始資料!AG192="","",IF(反向題設定!$C$36="是",反向題設定!$B$2+1-原始資料!AG192,原始資料!AG192))</f>
        <v/>
      </c>
      <c r="AH192">
        <f>IF(原始資料!AH192="","",IF(反向題設定!$C$37="是",反向題設定!$B$2+1-原始資料!AH192,原始資料!AH192))</f>
        <v/>
      </c>
      <c r="AI192">
        <f>IF(原始資料!AI192="","",IF(反向題設定!$C$38="是",反向題設定!$B$2+1-原始資料!AI192,原始資料!AI192))</f>
        <v/>
      </c>
      <c r="AJ192">
        <f>IF(原始資料!AJ192="","",IF(反向題設定!$C$39="是",反向題設定!$B$2+1-原始資料!AJ192,原始資料!AJ192))</f>
        <v/>
      </c>
      <c r="AK192">
        <f>IF(原始資料!AK192="","",IF(反向題設定!$C$40="是",反向題設定!$B$2+1-原始資料!AK192,原始資料!AK192))</f>
        <v/>
      </c>
      <c r="AL192">
        <f>IF(原始資料!AL192="","",IF(反向題設定!$C$41="是",反向題設定!$B$2+1-原始資料!AL192,原始資料!AL192))</f>
        <v/>
      </c>
      <c r="AM192">
        <f>IF(原始資料!AM192="","",IF(反向題設定!$C$42="是",反向題設定!$B$2+1-原始資料!AM192,原始資料!AM192))</f>
        <v/>
      </c>
      <c r="AN192">
        <f>IF(原始資料!AN192="","",IF(反向題設定!$C$43="是",反向題設定!$B$2+1-原始資料!AN192,原始資料!AN192))</f>
        <v/>
      </c>
      <c r="AO192">
        <f>IF(原始資料!AO192="","",IF(反向題設定!$C$44="是",反向題設定!$B$2+1-原始資料!AO192,原始資料!AO192))</f>
        <v/>
      </c>
      <c r="AP192">
        <f>IF(COUNT(B192:AO192)=0,"",SUM(B192:AO192))</f>
        <v/>
      </c>
      <c r="AQ192">
        <f>IF(AP192="","",IF(AP192&gt;=項目分析!$C$5,"高",IF(AP192&lt;=項目分析!$C$6,"低","")))</f>
        <v/>
      </c>
    </row>
    <row r="193">
      <c r="A193">
        <f>IF(原始資料!A193="","",原始資料!A193)</f>
        <v/>
      </c>
      <c r="B193">
        <f>IF(原始資料!B193="","",IF(反向題設定!$C$5="是",反向題設定!$B$2+1-原始資料!B193,原始資料!B193))</f>
        <v/>
      </c>
      <c r="C193">
        <f>IF(原始資料!C193="","",IF(反向題設定!$C$6="是",反向題設定!$B$2+1-原始資料!C193,原始資料!C193))</f>
        <v/>
      </c>
      <c r="D193">
        <f>IF(原始資料!D193="","",IF(反向題設定!$C$7="是",反向題設定!$B$2+1-原始資料!D193,原始資料!D193))</f>
        <v/>
      </c>
      <c r="E193">
        <f>IF(原始資料!E193="","",IF(反向題設定!$C$8="是",反向題設定!$B$2+1-原始資料!E193,原始資料!E193))</f>
        <v/>
      </c>
      <c r="F193">
        <f>IF(原始資料!F193="","",IF(反向題設定!$C$9="是",反向題設定!$B$2+1-原始資料!F193,原始資料!F193))</f>
        <v/>
      </c>
      <c r="G193">
        <f>IF(原始資料!G193="","",IF(反向題設定!$C$10="是",反向題設定!$B$2+1-原始資料!G193,原始資料!G193))</f>
        <v/>
      </c>
      <c r="H193">
        <f>IF(原始資料!H193="","",IF(反向題設定!$C$11="是",反向題設定!$B$2+1-原始資料!H193,原始資料!H193))</f>
        <v/>
      </c>
      <c r="I193">
        <f>IF(原始資料!I193="","",IF(反向題設定!$C$12="是",反向題設定!$B$2+1-原始資料!I193,原始資料!I193))</f>
        <v/>
      </c>
      <c r="J193">
        <f>IF(原始資料!J193="","",IF(反向題設定!$C$13="是",反向題設定!$B$2+1-原始資料!J193,原始資料!J193))</f>
        <v/>
      </c>
      <c r="K193">
        <f>IF(原始資料!K193="","",IF(反向題設定!$C$14="是",反向題設定!$B$2+1-原始資料!K193,原始資料!K193))</f>
        <v/>
      </c>
      <c r="L193">
        <f>IF(原始資料!L193="","",IF(反向題設定!$C$15="是",反向題設定!$B$2+1-原始資料!L193,原始資料!L193))</f>
        <v/>
      </c>
      <c r="M193">
        <f>IF(原始資料!M193="","",IF(反向題設定!$C$16="是",反向題設定!$B$2+1-原始資料!M193,原始資料!M193))</f>
        <v/>
      </c>
      <c r="N193">
        <f>IF(原始資料!N193="","",IF(反向題設定!$C$17="是",反向題設定!$B$2+1-原始資料!N193,原始資料!N193))</f>
        <v/>
      </c>
      <c r="O193">
        <f>IF(原始資料!O193="","",IF(反向題設定!$C$18="是",反向題設定!$B$2+1-原始資料!O193,原始資料!O193))</f>
        <v/>
      </c>
      <c r="P193">
        <f>IF(原始資料!P193="","",IF(反向題設定!$C$19="是",反向題設定!$B$2+1-原始資料!P193,原始資料!P193))</f>
        <v/>
      </c>
      <c r="Q193">
        <f>IF(原始資料!Q193="","",IF(反向題設定!$C$20="是",反向題設定!$B$2+1-原始資料!Q193,原始資料!Q193))</f>
        <v/>
      </c>
      <c r="R193">
        <f>IF(原始資料!R193="","",IF(反向題設定!$C$21="是",反向題設定!$B$2+1-原始資料!R193,原始資料!R193))</f>
        <v/>
      </c>
      <c r="S193">
        <f>IF(原始資料!S193="","",IF(反向題設定!$C$22="是",反向題設定!$B$2+1-原始資料!S193,原始資料!S193))</f>
        <v/>
      </c>
      <c r="T193">
        <f>IF(原始資料!T193="","",IF(反向題設定!$C$23="是",反向題設定!$B$2+1-原始資料!T193,原始資料!T193))</f>
        <v/>
      </c>
      <c r="U193">
        <f>IF(原始資料!U193="","",IF(反向題設定!$C$24="是",反向題設定!$B$2+1-原始資料!U193,原始資料!U193))</f>
        <v/>
      </c>
      <c r="V193">
        <f>IF(原始資料!V193="","",IF(反向題設定!$C$25="是",反向題設定!$B$2+1-原始資料!V193,原始資料!V193))</f>
        <v/>
      </c>
      <c r="W193">
        <f>IF(原始資料!W193="","",IF(反向題設定!$C$26="是",反向題設定!$B$2+1-原始資料!W193,原始資料!W193))</f>
        <v/>
      </c>
      <c r="X193">
        <f>IF(原始資料!X193="","",IF(反向題設定!$C$27="是",反向題設定!$B$2+1-原始資料!X193,原始資料!X193))</f>
        <v/>
      </c>
      <c r="Y193">
        <f>IF(原始資料!Y193="","",IF(反向題設定!$C$28="是",反向題設定!$B$2+1-原始資料!Y193,原始資料!Y193))</f>
        <v/>
      </c>
      <c r="Z193">
        <f>IF(原始資料!Z193="","",IF(反向題設定!$C$29="是",反向題設定!$B$2+1-原始資料!Z193,原始資料!Z193))</f>
        <v/>
      </c>
      <c r="AA193">
        <f>IF(原始資料!AA193="","",IF(反向題設定!$C$30="是",反向題設定!$B$2+1-原始資料!AA193,原始資料!AA193))</f>
        <v/>
      </c>
      <c r="AB193">
        <f>IF(原始資料!AB193="","",IF(反向題設定!$C$31="是",反向題設定!$B$2+1-原始資料!AB193,原始資料!AB193))</f>
        <v/>
      </c>
      <c r="AC193">
        <f>IF(原始資料!AC193="","",IF(反向題設定!$C$32="是",反向題設定!$B$2+1-原始資料!AC193,原始資料!AC193))</f>
        <v/>
      </c>
      <c r="AD193">
        <f>IF(原始資料!AD193="","",IF(反向題設定!$C$33="是",反向題設定!$B$2+1-原始資料!AD193,原始資料!AD193))</f>
        <v/>
      </c>
      <c r="AE193">
        <f>IF(原始資料!AE193="","",IF(反向題設定!$C$34="是",反向題設定!$B$2+1-原始資料!AE193,原始資料!AE193))</f>
        <v/>
      </c>
      <c r="AF193">
        <f>IF(原始資料!AF193="","",IF(反向題設定!$C$35="是",反向題設定!$B$2+1-原始資料!AF193,原始資料!AF193))</f>
        <v/>
      </c>
      <c r="AG193">
        <f>IF(原始資料!AG193="","",IF(反向題設定!$C$36="是",反向題設定!$B$2+1-原始資料!AG193,原始資料!AG193))</f>
        <v/>
      </c>
      <c r="AH193">
        <f>IF(原始資料!AH193="","",IF(反向題設定!$C$37="是",反向題設定!$B$2+1-原始資料!AH193,原始資料!AH193))</f>
        <v/>
      </c>
      <c r="AI193">
        <f>IF(原始資料!AI193="","",IF(反向題設定!$C$38="是",反向題設定!$B$2+1-原始資料!AI193,原始資料!AI193))</f>
        <v/>
      </c>
      <c r="AJ193">
        <f>IF(原始資料!AJ193="","",IF(反向題設定!$C$39="是",反向題設定!$B$2+1-原始資料!AJ193,原始資料!AJ193))</f>
        <v/>
      </c>
      <c r="AK193">
        <f>IF(原始資料!AK193="","",IF(反向題設定!$C$40="是",反向題設定!$B$2+1-原始資料!AK193,原始資料!AK193))</f>
        <v/>
      </c>
      <c r="AL193">
        <f>IF(原始資料!AL193="","",IF(反向題設定!$C$41="是",反向題設定!$B$2+1-原始資料!AL193,原始資料!AL193))</f>
        <v/>
      </c>
      <c r="AM193">
        <f>IF(原始資料!AM193="","",IF(反向題設定!$C$42="是",反向題設定!$B$2+1-原始資料!AM193,原始資料!AM193))</f>
        <v/>
      </c>
      <c r="AN193">
        <f>IF(原始資料!AN193="","",IF(反向題設定!$C$43="是",反向題設定!$B$2+1-原始資料!AN193,原始資料!AN193))</f>
        <v/>
      </c>
      <c r="AO193">
        <f>IF(原始資料!AO193="","",IF(反向題設定!$C$44="是",反向題設定!$B$2+1-原始資料!AO193,原始資料!AO193))</f>
        <v/>
      </c>
      <c r="AP193">
        <f>IF(COUNT(B193:AO193)=0,"",SUM(B193:AO193))</f>
        <v/>
      </c>
      <c r="AQ193">
        <f>IF(AP193="","",IF(AP193&gt;=項目分析!$C$5,"高",IF(AP193&lt;=項目分析!$C$6,"低","")))</f>
        <v/>
      </c>
    </row>
    <row r="194">
      <c r="A194">
        <f>IF(原始資料!A194="","",原始資料!A194)</f>
        <v/>
      </c>
      <c r="B194">
        <f>IF(原始資料!B194="","",IF(反向題設定!$C$5="是",反向題設定!$B$2+1-原始資料!B194,原始資料!B194))</f>
        <v/>
      </c>
      <c r="C194">
        <f>IF(原始資料!C194="","",IF(反向題設定!$C$6="是",反向題設定!$B$2+1-原始資料!C194,原始資料!C194))</f>
        <v/>
      </c>
      <c r="D194">
        <f>IF(原始資料!D194="","",IF(反向題設定!$C$7="是",反向題設定!$B$2+1-原始資料!D194,原始資料!D194))</f>
        <v/>
      </c>
      <c r="E194">
        <f>IF(原始資料!E194="","",IF(反向題設定!$C$8="是",反向題設定!$B$2+1-原始資料!E194,原始資料!E194))</f>
        <v/>
      </c>
      <c r="F194">
        <f>IF(原始資料!F194="","",IF(反向題設定!$C$9="是",反向題設定!$B$2+1-原始資料!F194,原始資料!F194))</f>
        <v/>
      </c>
      <c r="G194">
        <f>IF(原始資料!G194="","",IF(反向題設定!$C$10="是",反向題設定!$B$2+1-原始資料!G194,原始資料!G194))</f>
        <v/>
      </c>
      <c r="H194">
        <f>IF(原始資料!H194="","",IF(反向題設定!$C$11="是",反向題設定!$B$2+1-原始資料!H194,原始資料!H194))</f>
        <v/>
      </c>
      <c r="I194">
        <f>IF(原始資料!I194="","",IF(反向題設定!$C$12="是",反向題設定!$B$2+1-原始資料!I194,原始資料!I194))</f>
        <v/>
      </c>
      <c r="J194">
        <f>IF(原始資料!J194="","",IF(反向題設定!$C$13="是",反向題設定!$B$2+1-原始資料!J194,原始資料!J194))</f>
        <v/>
      </c>
      <c r="K194">
        <f>IF(原始資料!K194="","",IF(反向題設定!$C$14="是",反向題設定!$B$2+1-原始資料!K194,原始資料!K194))</f>
        <v/>
      </c>
      <c r="L194">
        <f>IF(原始資料!L194="","",IF(反向題設定!$C$15="是",反向題設定!$B$2+1-原始資料!L194,原始資料!L194))</f>
        <v/>
      </c>
      <c r="M194">
        <f>IF(原始資料!M194="","",IF(反向題設定!$C$16="是",反向題設定!$B$2+1-原始資料!M194,原始資料!M194))</f>
        <v/>
      </c>
      <c r="N194">
        <f>IF(原始資料!N194="","",IF(反向題設定!$C$17="是",反向題設定!$B$2+1-原始資料!N194,原始資料!N194))</f>
        <v/>
      </c>
      <c r="O194">
        <f>IF(原始資料!O194="","",IF(反向題設定!$C$18="是",反向題設定!$B$2+1-原始資料!O194,原始資料!O194))</f>
        <v/>
      </c>
      <c r="P194">
        <f>IF(原始資料!P194="","",IF(反向題設定!$C$19="是",反向題設定!$B$2+1-原始資料!P194,原始資料!P194))</f>
        <v/>
      </c>
      <c r="Q194">
        <f>IF(原始資料!Q194="","",IF(反向題設定!$C$20="是",反向題設定!$B$2+1-原始資料!Q194,原始資料!Q194))</f>
        <v/>
      </c>
      <c r="R194">
        <f>IF(原始資料!R194="","",IF(反向題設定!$C$21="是",反向題設定!$B$2+1-原始資料!R194,原始資料!R194))</f>
        <v/>
      </c>
      <c r="S194">
        <f>IF(原始資料!S194="","",IF(反向題設定!$C$22="是",反向題設定!$B$2+1-原始資料!S194,原始資料!S194))</f>
        <v/>
      </c>
      <c r="T194">
        <f>IF(原始資料!T194="","",IF(反向題設定!$C$23="是",反向題設定!$B$2+1-原始資料!T194,原始資料!T194))</f>
        <v/>
      </c>
      <c r="U194">
        <f>IF(原始資料!U194="","",IF(反向題設定!$C$24="是",反向題設定!$B$2+1-原始資料!U194,原始資料!U194))</f>
        <v/>
      </c>
      <c r="V194">
        <f>IF(原始資料!V194="","",IF(反向題設定!$C$25="是",反向題設定!$B$2+1-原始資料!V194,原始資料!V194))</f>
        <v/>
      </c>
      <c r="W194">
        <f>IF(原始資料!W194="","",IF(反向題設定!$C$26="是",反向題設定!$B$2+1-原始資料!W194,原始資料!W194))</f>
        <v/>
      </c>
      <c r="X194">
        <f>IF(原始資料!X194="","",IF(反向題設定!$C$27="是",反向題設定!$B$2+1-原始資料!X194,原始資料!X194))</f>
        <v/>
      </c>
      <c r="Y194">
        <f>IF(原始資料!Y194="","",IF(反向題設定!$C$28="是",反向題設定!$B$2+1-原始資料!Y194,原始資料!Y194))</f>
        <v/>
      </c>
      <c r="Z194">
        <f>IF(原始資料!Z194="","",IF(反向題設定!$C$29="是",反向題設定!$B$2+1-原始資料!Z194,原始資料!Z194))</f>
        <v/>
      </c>
      <c r="AA194">
        <f>IF(原始資料!AA194="","",IF(反向題設定!$C$30="是",反向題設定!$B$2+1-原始資料!AA194,原始資料!AA194))</f>
        <v/>
      </c>
      <c r="AB194">
        <f>IF(原始資料!AB194="","",IF(反向題設定!$C$31="是",反向題設定!$B$2+1-原始資料!AB194,原始資料!AB194))</f>
        <v/>
      </c>
      <c r="AC194">
        <f>IF(原始資料!AC194="","",IF(反向題設定!$C$32="是",反向題設定!$B$2+1-原始資料!AC194,原始資料!AC194))</f>
        <v/>
      </c>
      <c r="AD194">
        <f>IF(原始資料!AD194="","",IF(反向題設定!$C$33="是",反向題設定!$B$2+1-原始資料!AD194,原始資料!AD194))</f>
        <v/>
      </c>
      <c r="AE194">
        <f>IF(原始資料!AE194="","",IF(反向題設定!$C$34="是",反向題設定!$B$2+1-原始資料!AE194,原始資料!AE194))</f>
        <v/>
      </c>
      <c r="AF194">
        <f>IF(原始資料!AF194="","",IF(反向題設定!$C$35="是",反向題設定!$B$2+1-原始資料!AF194,原始資料!AF194))</f>
        <v/>
      </c>
      <c r="AG194">
        <f>IF(原始資料!AG194="","",IF(反向題設定!$C$36="是",反向題設定!$B$2+1-原始資料!AG194,原始資料!AG194))</f>
        <v/>
      </c>
      <c r="AH194">
        <f>IF(原始資料!AH194="","",IF(反向題設定!$C$37="是",反向題設定!$B$2+1-原始資料!AH194,原始資料!AH194))</f>
        <v/>
      </c>
      <c r="AI194">
        <f>IF(原始資料!AI194="","",IF(反向題設定!$C$38="是",反向題設定!$B$2+1-原始資料!AI194,原始資料!AI194))</f>
        <v/>
      </c>
      <c r="AJ194">
        <f>IF(原始資料!AJ194="","",IF(反向題設定!$C$39="是",反向題設定!$B$2+1-原始資料!AJ194,原始資料!AJ194))</f>
        <v/>
      </c>
      <c r="AK194">
        <f>IF(原始資料!AK194="","",IF(反向題設定!$C$40="是",反向題設定!$B$2+1-原始資料!AK194,原始資料!AK194))</f>
        <v/>
      </c>
      <c r="AL194">
        <f>IF(原始資料!AL194="","",IF(反向題設定!$C$41="是",反向題設定!$B$2+1-原始資料!AL194,原始資料!AL194))</f>
        <v/>
      </c>
      <c r="AM194">
        <f>IF(原始資料!AM194="","",IF(反向題設定!$C$42="是",反向題設定!$B$2+1-原始資料!AM194,原始資料!AM194))</f>
        <v/>
      </c>
      <c r="AN194">
        <f>IF(原始資料!AN194="","",IF(反向題設定!$C$43="是",反向題設定!$B$2+1-原始資料!AN194,原始資料!AN194))</f>
        <v/>
      </c>
      <c r="AO194">
        <f>IF(原始資料!AO194="","",IF(反向題設定!$C$44="是",反向題設定!$B$2+1-原始資料!AO194,原始資料!AO194))</f>
        <v/>
      </c>
      <c r="AP194">
        <f>IF(COUNT(B194:AO194)=0,"",SUM(B194:AO194))</f>
        <v/>
      </c>
      <c r="AQ194">
        <f>IF(AP194="","",IF(AP194&gt;=項目分析!$C$5,"高",IF(AP194&lt;=項目分析!$C$6,"低","")))</f>
        <v/>
      </c>
    </row>
    <row r="195">
      <c r="A195">
        <f>IF(原始資料!A195="","",原始資料!A195)</f>
        <v/>
      </c>
      <c r="B195">
        <f>IF(原始資料!B195="","",IF(反向題設定!$C$5="是",反向題設定!$B$2+1-原始資料!B195,原始資料!B195))</f>
        <v/>
      </c>
      <c r="C195">
        <f>IF(原始資料!C195="","",IF(反向題設定!$C$6="是",反向題設定!$B$2+1-原始資料!C195,原始資料!C195))</f>
        <v/>
      </c>
      <c r="D195">
        <f>IF(原始資料!D195="","",IF(反向題設定!$C$7="是",反向題設定!$B$2+1-原始資料!D195,原始資料!D195))</f>
        <v/>
      </c>
      <c r="E195">
        <f>IF(原始資料!E195="","",IF(反向題設定!$C$8="是",反向題設定!$B$2+1-原始資料!E195,原始資料!E195))</f>
        <v/>
      </c>
      <c r="F195">
        <f>IF(原始資料!F195="","",IF(反向題設定!$C$9="是",反向題設定!$B$2+1-原始資料!F195,原始資料!F195))</f>
        <v/>
      </c>
      <c r="G195">
        <f>IF(原始資料!G195="","",IF(反向題設定!$C$10="是",反向題設定!$B$2+1-原始資料!G195,原始資料!G195))</f>
        <v/>
      </c>
      <c r="H195">
        <f>IF(原始資料!H195="","",IF(反向題設定!$C$11="是",反向題設定!$B$2+1-原始資料!H195,原始資料!H195))</f>
        <v/>
      </c>
      <c r="I195">
        <f>IF(原始資料!I195="","",IF(反向題設定!$C$12="是",反向題設定!$B$2+1-原始資料!I195,原始資料!I195))</f>
        <v/>
      </c>
      <c r="J195">
        <f>IF(原始資料!J195="","",IF(反向題設定!$C$13="是",反向題設定!$B$2+1-原始資料!J195,原始資料!J195))</f>
        <v/>
      </c>
      <c r="K195">
        <f>IF(原始資料!K195="","",IF(反向題設定!$C$14="是",反向題設定!$B$2+1-原始資料!K195,原始資料!K195))</f>
        <v/>
      </c>
      <c r="L195">
        <f>IF(原始資料!L195="","",IF(反向題設定!$C$15="是",反向題設定!$B$2+1-原始資料!L195,原始資料!L195))</f>
        <v/>
      </c>
      <c r="M195">
        <f>IF(原始資料!M195="","",IF(反向題設定!$C$16="是",反向題設定!$B$2+1-原始資料!M195,原始資料!M195))</f>
        <v/>
      </c>
      <c r="N195">
        <f>IF(原始資料!N195="","",IF(反向題設定!$C$17="是",反向題設定!$B$2+1-原始資料!N195,原始資料!N195))</f>
        <v/>
      </c>
      <c r="O195">
        <f>IF(原始資料!O195="","",IF(反向題設定!$C$18="是",反向題設定!$B$2+1-原始資料!O195,原始資料!O195))</f>
        <v/>
      </c>
      <c r="P195">
        <f>IF(原始資料!P195="","",IF(反向題設定!$C$19="是",反向題設定!$B$2+1-原始資料!P195,原始資料!P195))</f>
        <v/>
      </c>
      <c r="Q195">
        <f>IF(原始資料!Q195="","",IF(反向題設定!$C$20="是",反向題設定!$B$2+1-原始資料!Q195,原始資料!Q195))</f>
        <v/>
      </c>
      <c r="R195">
        <f>IF(原始資料!R195="","",IF(反向題設定!$C$21="是",反向題設定!$B$2+1-原始資料!R195,原始資料!R195))</f>
        <v/>
      </c>
      <c r="S195">
        <f>IF(原始資料!S195="","",IF(反向題設定!$C$22="是",反向題設定!$B$2+1-原始資料!S195,原始資料!S195))</f>
        <v/>
      </c>
      <c r="T195">
        <f>IF(原始資料!T195="","",IF(反向題設定!$C$23="是",反向題設定!$B$2+1-原始資料!T195,原始資料!T195))</f>
        <v/>
      </c>
      <c r="U195">
        <f>IF(原始資料!U195="","",IF(反向題設定!$C$24="是",反向題設定!$B$2+1-原始資料!U195,原始資料!U195))</f>
        <v/>
      </c>
      <c r="V195">
        <f>IF(原始資料!V195="","",IF(反向題設定!$C$25="是",反向題設定!$B$2+1-原始資料!V195,原始資料!V195))</f>
        <v/>
      </c>
      <c r="W195">
        <f>IF(原始資料!W195="","",IF(反向題設定!$C$26="是",反向題設定!$B$2+1-原始資料!W195,原始資料!W195))</f>
        <v/>
      </c>
      <c r="X195">
        <f>IF(原始資料!X195="","",IF(反向題設定!$C$27="是",反向題設定!$B$2+1-原始資料!X195,原始資料!X195))</f>
        <v/>
      </c>
      <c r="Y195">
        <f>IF(原始資料!Y195="","",IF(反向題設定!$C$28="是",反向題設定!$B$2+1-原始資料!Y195,原始資料!Y195))</f>
        <v/>
      </c>
      <c r="Z195">
        <f>IF(原始資料!Z195="","",IF(反向題設定!$C$29="是",反向題設定!$B$2+1-原始資料!Z195,原始資料!Z195))</f>
        <v/>
      </c>
      <c r="AA195">
        <f>IF(原始資料!AA195="","",IF(反向題設定!$C$30="是",反向題設定!$B$2+1-原始資料!AA195,原始資料!AA195))</f>
        <v/>
      </c>
      <c r="AB195">
        <f>IF(原始資料!AB195="","",IF(反向題設定!$C$31="是",反向題設定!$B$2+1-原始資料!AB195,原始資料!AB195))</f>
        <v/>
      </c>
      <c r="AC195">
        <f>IF(原始資料!AC195="","",IF(反向題設定!$C$32="是",反向題設定!$B$2+1-原始資料!AC195,原始資料!AC195))</f>
        <v/>
      </c>
      <c r="AD195">
        <f>IF(原始資料!AD195="","",IF(反向題設定!$C$33="是",反向題設定!$B$2+1-原始資料!AD195,原始資料!AD195))</f>
        <v/>
      </c>
      <c r="AE195">
        <f>IF(原始資料!AE195="","",IF(反向題設定!$C$34="是",反向題設定!$B$2+1-原始資料!AE195,原始資料!AE195))</f>
        <v/>
      </c>
      <c r="AF195">
        <f>IF(原始資料!AF195="","",IF(反向題設定!$C$35="是",反向題設定!$B$2+1-原始資料!AF195,原始資料!AF195))</f>
        <v/>
      </c>
      <c r="AG195">
        <f>IF(原始資料!AG195="","",IF(反向題設定!$C$36="是",反向題設定!$B$2+1-原始資料!AG195,原始資料!AG195))</f>
        <v/>
      </c>
      <c r="AH195">
        <f>IF(原始資料!AH195="","",IF(反向題設定!$C$37="是",反向題設定!$B$2+1-原始資料!AH195,原始資料!AH195))</f>
        <v/>
      </c>
      <c r="AI195">
        <f>IF(原始資料!AI195="","",IF(反向題設定!$C$38="是",反向題設定!$B$2+1-原始資料!AI195,原始資料!AI195))</f>
        <v/>
      </c>
      <c r="AJ195">
        <f>IF(原始資料!AJ195="","",IF(反向題設定!$C$39="是",反向題設定!$B$2+1-原始資料!AJ195,原始資料!AJ195))</f>
        <v/>
      </c>
      <c r="AK195">
        <f>IF(原始資料!AK195="","",IF(反向題設定!$C$40="是",反向題設定!$B$2+1-原始資料!AK195,原始資料!AK195))</f>
        <v/>
      </c>
      <c r="AL195">
        <f>IF(原始資料!AL195="","",IF(反向題設定!$C$41="是",反向題設定!$B$2+1-原始資料!AL195,原始資料!AL195))</f>
        <v/>
      </c>
      <c r="AM195">
        <f>IF(原始資料!AM195="","",IF(反向題設定!$C$42="是",反向題設定!$B$2+1-原始資料!AM195,原始資料!AM195))</f>
        <v/>
      </c>
      <c r="AN195">
        <f>IF(原始資料!AN195="","",IF(反向題設定!$C$43="是",反向題設定!$B$2+1-原始資料!AN195,原始資料!AN195))</f>
        <v/>
      </c>
      <c r="AO195">
        <f>IF(原始資料!AO195="","",IF(反向題設定!$C$44="是",反向題設定!$B$2+1-原始資料!AO195,原始資料!AO195))</f>
        <v/>
      </c>
      <c r="AP195">
        <f>IF(COUNT(B195:AO195)=0,"",SUM(B195:AO195))</f>
        <v/>
      </c>
      <c r="AQ195">
        <f>IF(AP195="","",IF(AP195&gt;=項目分析!$C$5,"高",IF(AP195&lt;=項目分析!$C$6,"低","")))</f>
        <v/>
      </c>
    </row>
    <row r="196">
      <c r="A196">
        <f>IF(原始資料!A196="","",原始資料!A196)</f>
        <v/>
      </c>
      <c r="B196">
        <f>IF(原始資料!B196="","",IF(反向題設定!$C$5="是",反向題設定!$B$2+1-原始資料!B196,原始資料!B196))</f>
        <v/>
      </c>
      <c r="C196">
        <f>IF(原始資料!C196="","",IF(反向題設定!$C$6="是",反向題設定!$B$2+1-原始資料!C196,原始資料!C196))</f>
        <v/>
      </c>
      <c r="D196">
        <f>IF(原始資料!D196="","",IF(反向題設定!$C$7="是",反向題設定!$B$2+1-原始資料!D196,原始資料!D196))</f>
        <v/>
      </c>
      <c r="E196">
        <f>IF(原始資料!E196="","",IF(反向題設定!$C$8="是",反向題設定!$B$2+1-原始資料!E196,原始資料!E196))</f>
        <v/>
      </c>
      <c r="F196">
        <f>IF(原始資料!F196="","",IF(反向題設定!$C$9="是",反向題設定!$B$2+1-原始資料!F196,原始資料!F196))</f>
        <v/>
      </c>
      <c r="G196">
        <f>IF(原始資料!G196="","",IF(反向題設定!$C$10="是",反向題設定!$B$2+1-原始資料!G196,原始資料!G196))</f>
        <v/>
      </c>
      <c r="H196">
        <f>IF(原始資料!H196="","",IF(反向題設定!$C$11="是",反向題設定!$B$2+1-原始資料!H196,原始資料!H196))</f>
        <v/>
      </c>
      <c r="I196">
        <f>IF(原始資料!I196="","",IF(反向題設定!$C$12="是",反向題設定!$B$2+1-原始資料!I196,原始資料!I196))</f>
        <v/>
      </c>
      <c r="J196">
        <f>IF(原始資料!J196="","",IF(反向題設定!$C$13="是",反向題設定!$B$2+1-原始資料!J196,原始資料!J196))</f>
        <v/>
      </c>
      <c r="K196">
        <f>IF(原始資料!K196="","",IF(反向題設定!$C$14="是",反向題設定!$B$2+1-原始資料!K196,原始資料!K196))</f>
        <v/>
      </c>
      <c r="L196">
        <f>IF(原始資料!L196="","",IF(反向題設定!$C$15="是",反向題設定!$B$2+1-原始資料!L196,原始資料!L196))</f>
        <v/>
      </c>
      <c r="M196">
        <f>IF(原始資料!M196="","",IF(反向題設定!$C$16="是",反向題設定!$B$2+1-原始資料!M196,原始資料!M196))</f>
        <v/>
      </c>
      <c r="N196">
        <f>IF(原始資料!N196="","",IF(反向題設定!$C$17="是",反向題設定!$B$2+1-原始資料!N196,原始資料!N196))</f>
        <v/>
      </c>
      <c r="O196">
        <f>IF(原始資料!O196="","",IF(反向題設定!$C$18="是",反向題設定!$B$2+1-原始資料!O196,原始資料!O196))</f>
        <v/>
      </c>
      <c r="P196">
        <f>IF(原始資料!P196="","",IF(反向題設定!$C$19="是",反向題設定!$B$2+1-原始資料!P196,原始資料!P196))</f>
        <v/>
      </c>
      <c r="Q196">
        <f>IF(原始資料!Q196="","",IF(反向題設定!$C$20="是",反向題設定!$B$2+1-原始資料!Q196,原始資料!Q196))</f>
        <v/>
      </c>
      <c r="R196">
        <f>IF(原始資料!R196="","",IF(反向題設定!$C$21="是",反向題設定!$B$2+1-原始資料!R196,原始資料!R196))</f>
        <v/>
      </c>
      <c r="S196">
        <f>IF(原始資料!S196="","",IF(反向題設定!$C$22="是",反向題設定!$B$2+1-原始資料!S196,原始資料!S196))</f>
        <v/>
      </c>
      <c r="T196">
        <f>IF(原始資料!T196="","",IF(反向題設定!$C$23="是",反向題設定!$B$2+1-原始資料!T196,原始資料!T196))</f>
        <v/>
      </c>
      <c r="U196">
        <f>IF(原始資料!U196="","",IF(反向題設定!$C$24="是",反向題設定!$B$2+1-原始資料!U196,原始資料!U196))</f>
        <v/>
      </c>
      <c r="V196">
        <f>IF(原始資料!V196="","",IF(反向題設定!$C$25="是",反向題設定!$B$2+1-原始資料!V196,原始資料!V196))</f>
        <v/>
      </c>
      <c r="W196">
        <f>IF(原始資料!W196="","",IF(反向題設定!$C$26="是",反向題設定!$B$2+1-原始資料!W196,原始資料!W196))</f>
        <v/>
      </c>
      <c r="X196">
        <f>IF(原始資料!X196="","",IF(反向題設定!$C$27="是",反向題設定!$B$2+1-原始資料!X196,原始資料!X196))</f>
        <v/>
      </c>
      <c r="Y196">
        <f>IF(原始資料!Y196="","",IF(反向題設定!$C$28="是",反向題設定!$B$2+1-原始資料!Y196,原始資料!Y196))</f>
        <v/>
      </c>
      <c r="Z196">
        <f>IF(原始資料!Z196="","",IF(反向題設定!$C$29="是",反向題設定!$B$2+1-原始資料!Z196,原始資料!Z196))</f>
        <v/>
      </c>
      <c r="AA196">
        <f>IF(原始資料!AA196="","",IF(反向題設定!$C$30="是",反向題設定!$B$2+1-原始資料!AA196,原始資料!AA196))</f>
        <v/>
      </c>
      <c r="AB196">
        <f>IF(原始資料!AB196="","",IF(反向題設定!$C$31="是",反向題設定!$B$2+1-原始資料!AB196,原始資料!AB196))</f>
        <v/>
      </c>
      <c r="AC196">
        <f>IF(原始資料!AC196="","",IF(反向題設定!$C$32="是",反向題設定!$B$2+1-原始資料!AC196,原始資料!AC196))</f>
        <v/>
      </c>
      <c r="AD196">
        <f>IF(原始資料!AD196="","",IF(反向題設定!$C$33="是",反向題設定!$B$2+1-原始資料!AD196,原始資料!AD196))</f>
        <v/>
      </c>
      <c r="AE196">
        <f>IF(原始資料!AE196="","",IF(反向題設定!$C$34="是",反向題設定!$B$2+1-原始資料!AE196,原始資料!AE196))</f>
        <v/>
      </c>
      <c r="AF196">
        <f>IF(原始資料!AF196="","",IF(反向題設定!$C$35="是",反向題設定!$B$2+1-原始資料!AF196,原始資料!AF196))</f>
        <v/>
      </c>
      <c r="AG196">
        <f>IF(原始資料!AG196="","",IF(反向題設定!$C$36="是",反向題設定!$B$2+1-原始資料!AG196,原始資料!AG196))</f>
        <v/>
      </c>
      <c r="AH196">
        <f>IF(原始資料!AH196="","",IF(反向題設定!$C$37="是",反向題設定!$B$2+1-原始資料!AH196,原始資料!AH196))</f>
        <v/>
      </c>
      <c r="AI196">
        <f>IF(原始資料!AI196="","",IF(反向題設定!$C$38="是",反向題設定!$B$2+1-原始資料!AI196,原始資料!AI196))</f>
        <v/>
      </c>
      <c r="AJ196">
        <f>IF(原始資料!AJ196="","",IF(反向題設定!$C$39="是",反向題設定!$B$2+1-原始資料!AJ196,原始資料!AJ196))</f>
        <v/>
      </c>
      <c r="AK196">
        <f>IF(原始資料!AK196="","",IF(反向題設定!$C$40="是",反向題設定!$B$2+1-原始資料!AK196,原始資料!AK196))</f>
        <v/>
      </c>
      <c r="AL196">
        <f>IF(原始資料!AL196="","",IF(反向題設定!$C$41="是",反向題設定!$B$2+1-原始資料!AL196,原始資料!AL196))</f>
        <v/>
      </c>
      <c r="AM196">
        <f>IF(原始資料!AM196="","",IF(反向題設定!$C$42="是",反向題設定!$B$2+1-原始資料!AM196,原始資料!AM196))</f>
        <v/>
      </c>
      <c r="AN196">
        <f>IF(原始資料!AN196="","",IF(反向題設定!$C$43="是",反向題設定!$B$2+1-原始資料!AN196,原始資料!AN196))</f>
        <v/>
      </c>
      <c r="AO196">
        <f>IF(原始資料!AO196="","",IF(反向題設定!$C$44="是",反向題設定!$B$2+1-原始資料!AO196,原始資料!AO196))</f>
        <v/>
      </c>
      <c r="AP196">
        <f>IF(COUNT(B196:AO196)=0,"",SUM(B196:AO196))</f>
        <v/>
      </c>
      <c r="AQ196">
        <f>IF(AP196="","",IF(AP196&gt;=項目分析!$C$5,"高",IF(AP196&lt;=項目分析!$C$6,"低","")))</f>
        <v/>
      </c>
    </row>
    <row r="197">
      <c r="A197">
        <f>IF(原始資料!A197="","",原始資料!A197)</f>
        <v/>
      </c>
      <c r="B197">
        <f>IF(原始資料!B197="","",IF(反向題設定!$C$5="是",反向題設定!$B$2+1-原始資料!B197,原始資料!B197))</f>
        <v/>
      </c>
      <c r="C197">
        <f>IF(原始資料!C197="","",IF(反向題設定!$C$6="是",反向題設定!$B$2+1-原始資料!C197,原始資料!C197))</f>
        <v/>
      </c>
      <c r="D197">
        <f>IF(原始資料!D197="","",IF(反向題設定!$C$7="是",反向題設定!$B$2+1-原始資料!D197,原始資料!D197))</f>
        <v/>
      </c>
      <c r="E197">
        <f>IF(原始資料!E197="","",IF(反向題設定!$C$8="是",反向題設定!$B$2+1-原始資料!E197,原始資料!E197))</f>
        <v/>
      </c>
      <c r="F197">
        <f>IF(原始資料!F197="","",IF(反向題設定!$C$9="是",反向題設定!$B$2+1-原始資料!F197,原始資料!F197))</f>
        <v/>
      </c>
      <c r="G197">
        <f>IF(原始資料!G197="","",IF(反向題設定!$C$10="是",反向題設定!$B$2+1-原始資料!G197,原始資料!G197))</f>
        <v/>
      </c>
      <c r="H197">
        <f>IF(原始資料!H197="","",IF(反向題設定!$C$11="是",反向題設定!$B$2+1-原始資料!H197,原始資料!H197))</f>
        <v/>
      </c>
      <c r="I197">
        <f>IF(原始資料!I197="","",IF(反向題設定!$C$12="是",反向題設定!$B$2+1-原始資料!I197,原始資料!I197))</f>
        <v/>
      </c>
      <c r="J197">
        <f>IF(原始資料!J197="","",IF(反向題設定!$C$13="是",反向題設定!$B$2+1-原始資料!J197,原始資料!J197))</f>
        <v/>
      </c>
      <c r="K197">
        <f>IF(原始資料!K197="","",IF(反向題設定!$C$14="是",反向題設定!$B$2+1-原始資料!K197,原始資料!K197))</f>
        <v/>
      </c>
      <c r="L197">
        <f>IF(原始資料!L197="","",IF(反向題設定!$C$15="是",反向題設定!$B$2+1-原始資料!L197,原始資料!L197))</f>
        <v/>
      </c>
      <c r="M197">
        <f>IF(原始資料!M197="","",IF(反向題設定!$C$16="是",反向題設定!$B$2+1-原始資料!M197,原始資料!M197))</f>
        <v/>
      </c>
      <c r="N197">
        <f>IF(原始資料!N197="","",IF(反向題設定!$C$17="是",反向題設定!$B$2+1-原始資料!N197,原始資料!N197))</f>
        <v/>
      </c>
      <c r="O197">
        <f>IF(原始資料!O197="","",IF(反向題設定!$C$18="是",反向題設定!$B$2+1-原始資料!O197,原始資料!O197))</f>
        <v/>
      </c>
      <c r="P197">
        <f>IF(原始資料!P197="","",IF(反向題設定!$C$19="是",反向題設定!$B$2+1-原始資料!P197,原始資料!P197))</f>
        <v/>
      </c>
      <c r="Q197">
        <f>IF(原始資料!Q197="","",IF(反向題設定!$C$20="是",反向題設定!$B$2+1-原始資料!Q197,原始資料!Q197))</f>
        <v/>
      </c>
      <c r="R197">
        <f>IF(原始資料!R197="","",IF(反向題設定!$C$21="是",反向題設定!$B$2+1-原始資料!R197,原始資料!R197))</f>
        <v/>
      </c>
      <c r="S197">
        <f>IF(原始資料!S197="","",IF(反向題設定!$C$22="是",反向題設定!$B$2+1-原始資料!S197,原始資料!S197))</f>
        <v/>
      </c>
      <c r="T197">
        <f>IF(原始資料!T197="","",IF(反向題設定!$C$23="是",反向題設定!$B$2+1-原始資料!T197,原始資料!T197))</f>
        <v/>
      </c>
      <c r="U197">
        <f>IF(原始資料!U197="","",IF(反向題設定!$C$24="是",反向題設定!$B$2+1-原始資料!U197,原始資料!U197))</f>
        <v/>
      </c>
      <c r="V197">
        <f>IF(原始資料!V197="","",IF(反向題設定!$C$25="是",反向題設定!$B$2+1-原始資料!V197,原始資料!V197))</f>
        <v/>
      </c>
      <c r="W197">
        <f>IF(原始資料!W197="","",IF(反向題設定!$C$26="是",反向題設定!$B$2+1-原始資料!W197,原始資料!W197))</f>
        <v/>
      </c>
      <c r="X197">
        <f>IF(原始資料!X197="","",IF(反向題設定!$C$27="是",反向題設定!$B$2+1-原始資料!X197,原始資料!X197))</f>
        <v/>
      </c>
      <c r="Y197">
        <f>IF(原始資料!Y197="","",IF(反向題設定!$C$28="是",反向題設定!$B$2+1-原始資料!Y197,原始資料!Y197))</f>
        <v/>
      </c>
      <c r="Z197">
        <f>IF(原始資料!Z197="","",IF(反向題設定!$C$29="是",反向題設定!$B$2+1-原始資料!Z197,原始資料!Z197))</f>
        <v/>
      </c>
      <c r="AA197">
        <f>IF(原始資料!AA197="","",IF(反向題設定!$C$30="是",反向題設定!$B$2+1-原始資料!AA197,原始資料!AA197))</f>
        <v/>
      </c>
      <c r="AB197">
        <f>IF(原始資料!AB197="","",IF(反向題設定!$C$31="是",反向題設定!$B$2+1-原始資料!AB197,原始資料!AB197))</f>
        <v/>
      </c>
      <c r="AC197">
        <f>IF(原始資料!AC197="","",IF(反向題設定!$C$32="是",反向題設定!$B$2+1-原始資料!AC197,原始資料!AC197))</f>
        <v/>
      </c>
      <c r="AD197">
        <f>IF(原始資料!AD197="","",IF(反向題設定!$C$33="是",反向題設定!$B$2+1-原始資料!AD197,原始資料!AD197))</f>
        <v/>
      </c>
      <c r="AE197">
        <f>IF(原始資料!AE197="","",IF(反向題設定!$C$34="是",反向題設定!$B$2+1-原始資料!AE197,原始資料!AE197))</f>
        <v/>
      </c>
      <c r="AF197">
        <f>IF(原始資料!AF197="","",IF(反向題設定!$C$35="是",反向題設定!$B$2+1-原始資料!AF197,原始資料!AF197))</f>
        <v/>
      </c>
      <c r="AG197">
        <f>IF(原始資料!AG197="","",IF(反向題設定!$C$36="是",反向題設定!$B$2+1-原始資料!AG197,原始資料!AG197))</f>
        <v/>
      </c>
      <c r="AH197">
        <f>IF(原始資料!AH197="","",IF(反向題設定!$C$37="是",反向題設定!$B$2+1-原始資料!AH197,原始資料!AH197))</f>
        <v/>
      </c>
      <c r="AI197">
        <f>IF(原始資料!AI197="","",IF(反向題設定!$C$38="是",反向題設定!$B$2+1-原始資料!AI197,原始資料!AI197))</f>
        <v/>
      </c>
      <c r="AJ197">
        <f>IF(原始資料!AJ197="","",IF(反向題設定!$C$39="是",反向題設定!$B$2+1-原始資料!AJ197,原始資料!AJ197))</f>
        <v/>
      </c>
      <c r="AK197">
        <f>IF(原始資料!AK197="","",IF(反向題設定!$C$40="是",反向題設定!$B$2+1-原始資料!AK197,原始資料!AK197))</f>
        <v/>
      </c>
      <c r="AL197">
        <f>IF(原始資料!AL197="","",IF(反向題設定!$C$41="是",反向題設定!$B$2+1-原始資料!AL197,原始資料!AL197))</f>
        <v/>
      </c>
      <c r="AM197">
        <f>IF(原始資料!AM197="","",IF(反向題設定!$C$42="是",反向題設定!$B$2+1-原始資料!AM197,原始資料!AM197))</f>
        <v/>
      </c>
      <c r="AN197">
        <f>IF(原始資料!AN197="","",IF(反向題設定!$C$43="是",反向題設定!$B$2+1-原始資料!AN197,原始資料!AN197))</f>
        <v/>
      </c>
      <c r="AO197">
        <f>IF(原始資料!AO197="","",IF(反向題設定!$C$44="是",反向題設定!$B$2+1-原始資料!AO197,原始資料!AO197))</f>
        <v/>
      </c>
      <c r="AP197">
        <f>IF(COUNT(B197:AO197)=0,"",SUM(B197:AO197))</f>
        <v/>
      </c>
      <c r="AQ197">
        <f>IF(AP197="","",IF(AP197&gt;=項目分析!$C$5,"高",IF(AP197&lt;=項目分析!$C$6,"低","")))</f>
        <v/>
      </c>
    </row>
    <row r="198">
      <c r="A198">
        <f>IF(原始資料!A198="","",原始資料!A198)</f>
        <v/>
      </c>
      <c r="B198">
        <f>IF(原始資料!B198="","",IF(反向題設定!$C$5="是",反向題設定!$B$2+1-原始資料!B198,原始資料!B198))</f>
        <v/>
      </c>
      <c r="C198">
        <f>IF(原始資料!C198="","",IF(反向題設定!$C$6="是",反向題設定!$B$2+1-原始資料!C198,原始資料!C198))</f>
        <v/>
      </c>
      <c r="D198">
        <f>IF(原始資料!D198="","",IF(反向題設定!$C$7="是",反向題設定!$B$2+1-原始資料!D198,原始資料!D198))</f>
        <v/>
      </c>
      <c r="E198">
        <f>IF(原始資料!E198="","",IF(反向題設定!$C$8="是",反向題設定!$B$2+1-原始資料!E198,原始資料!E198))</f>
        <v/>
      </c>
      <c r="F198">
        <f>IF(原始資料!F198="","",IF(反向題設定!$C$9="是",反向題設定!$B$2+1-原始資料!F198,原始資料!F198))</f>
        <v/>
      </c>
      <c r="G198">
        <f>IF(原始資料!G198="","",IF(反向題設定!$C$10="是",反向題設定!$B$2+1-原始資料!G198,原始資料!G198))</f>
        <v/>
      </c>
      <c r="H198">
        <f>IF(原始資料!H198="","",IF(反向題設定!$C$11="是",反向題設定!$B$2+1-原始資料!H198,原始資料!H198))</f>
        <v/>
      </c>
      <c r="I198">
        <f>IF(原始資料!I198="","",IF(反向題設定!$C$12="是",反向題設定!$B$2+1-原始資料!I198,原始資料!I198))</f>
        <v/>
      </c>
      <c r="J198">
        <f>IF(原始資料!J198="","",IF(反向題設定!$C$13="是",反向題設定!$B$2+1-原始資料!J198,原始資料!J198))</f>
        <v/>
      </c>
      <c r="K198">
        <f>IF(原始資料!K198="","",IF(反向題設定!$C$14="是",反向題設定!$B$2+1-原始資料!K198,原始資料!K198))</f>
        <v/>
      </c>
      <c r="L198">
        <f>IF(原始資料!L198="","",IF(反向題設定!$C$15="是",反向題設定!$B$2+1-原始資料!L198,原始資料!L198))</f>
        <v/>
      </c>
      <c r="M198">
        <f>IF(原始資料!M198="","",IF(反向題設定!$C$16="是",反向題設定!$B$2+1-原始資料!M198,原始資料!M198))</f>
        <v/>
      </c>
      <c r="N198">
        <f>IF(原始資料!N198="","",IF(反向題設定!$C$17="是",反向題設定!$B$2+1-原始資料!N198,原始資料!N198))</f>
        <v/>
      </c>
      <c r="O198">
        <f>IF(原始資料!O198="","",IF(反向題設定!$C$18="是",反向題設定!$B$2+1-原始資料!O198,原始資料!O198))</f>
        <v/>
      </c>
      <c r="P198">
        <f>IF(原始資料!P198="","",IF(反向題設定!$C$19="是",反向題設定!$B$2+1-原始資料!P198,原始資料!P198))</f>
        <v/>
      </c>
      <c r="Q198">
        <f>IF(原始資料!Q198="","",IF(反向題設定!$C$20="是",反向題設定!$B$2+1-原始資料!Q198,原始資料!Q198))</f>
        <v/>
      </c>
      <c r="R198">
        <f>IF(原始資料!R198="","",IF(反向題設定!$C$21="是",反向題設定!$B$2+1-原始資料!R198,原始資料!R198))</f>
        <v/>
      </c>
      <c r="S198">
        <f>IF(原始資料!S198="","",IF(反向題設定!$C$22="是",反向題設定!$B$2+1-原始資料!S198,原始資料!S198))</f>
        <v/>
      </c>
      <c r="T198">
        <f>IF(原始資料!T198="","",IF(反向題設定!$C$23="是",反向題設定!$B$2+1-原始資料!T198,原始資料!T198))</f>
        <v/>
      </c>
      <c r="U198">
        <f>IF(原始資料!U198="","",IF(反向題設定!$C$24="是",反向題設定!$B$2+1-原始資料!U198,原始資料!U198))</f>
        <v/>
      </c>
      <c r="V198">
        <f>IF(原始資料!V198="","",IF(反向題設定!$C$25="是",反向題設定!$B$2+1-原始資料!V198,原始資料!V198))</f>
        <v/>
      </c>
      <c r="W198">
        <f>IF(原始資料!W198="","",IF(反向題設定!$C$26="是",反向題設定!$B$2+1-原始資料!W198,原始資料!W198))</f>
        <v/>
      </c>
      <c r="X198">
        <f>IF(原始資料!X198="","",IF(反向題設定!$C$27="是",反向題設定!$B$2+1-原始資料!X198,原始資料!X198))</f>
        <v/>
      </c>
      <c r="Y198">
        <f>IF(原始資料!Y198="","",IF(反向題設定!$C$28="是",反向題設定!$B$2+1-原始資料!Y198,原始資料!Y198))</f>
        <v/>
      </c>
      <c r="Z198">
        <f>IF(原始資料!Z198="","",IF(反向題設定!$C$29="是",反向題設定!$B$2+1-原始資料!Z198,原始資料!Z198))</f>
        <v/>
      </c>
      <c r="AA198">
        <f>IF(原始資料!AA198="","",IF(反向題設定!$C$30="是",反向題設定!$B$2+1-原始資料!AA198,原始資料!AA198))</f>
        <v/>
      </c>
      <c r="AB198">
        <f>IF(原始資料!AB198="","",IF(反向題設定!$C$31="是",反向題設定!$B$2+1-原始資料!AB198,原始資料!AB198))</f>
        <v/>
      </c>
      <c r="AC198">
        <f>IF(原始資料!AC198="","",IF(反向題設定!$C$32="是",反向題設定!$B$2+1-原始資料!AC198,原始資料!AC198))</f>
        <v/>
      </c>
      <c r="AD198">
        <f>IF(原始資料!AD198="","",IF(反向題設定!$C$33="是",反向題設定!$B$2+1-原始資料!AD198,原始資料!AD198))</f>
        <v/>
      </c>
      <c r="AE198">
        <f>IF(原始資料!AE198="","",IF(反向題設定!$C$34="是",反向題設定!$B$2+1-原始資料!AE198,原始資料!AE198))</f>
        <v/>
      </c>
      <c r="AF198">
        <f>IF(原始資料!AF198="","",IF(反向題設定!$C$35="是",反向題設定!$B$2+1-原始資料!AF198,原始資料!AF198))</f>
        <v/>
      </c>
      <c r="AG198">
        <f>IF(原始資料!AG198="","",IF(反向題設定!$C$36="是",反向題設定!$B$2+1-原始資料!AG198,原始資料!AG198))</f>
        <v/>
      </c>
      <c r="AH198">
        <f>IF(原始資料!AH198="","",IF(反向題設定!$C$37="是",反向題設定!$B$2+1-原始資料!AH198,原始資料!AH198))</f>
        <v/>
      </c>
      <c r="AI198">
        <f>IF(原始資料!AI198="","",IF(反向題設定!$C$38="是",反向題設定!$B$2+1-原始資料!AI198,原始資料!AI198))</f>
        <v/>
      </c>
      <c r="AJ198">
        <f>IF(原始資料!AJ198="","",IF(反向題設定!$C$39="是",反向題設定!$B$2+1-原始資料!AJ198,原始資料!AJ198))</f>
        <v/>
      </c>
      <c r="AK198">
        <f>IF(原始資料!AK198="","",IF(反向題設定!$C$40="是",反向題設定!$B$2+1-原始資料!AK198,原始資料!AK198))</f>
        <v/>
      </c>
      <c r="AL198">
        <f>IF(原始資料!AL198="","",IF(反向題設定!$C$41="是",反向題設定!$B$2+1-原始資料!AL198,原始資料!AL198))</f>
        <v/>
      </c>
      <c r="AM198">
        <f>IF(原始資料!AM198="","",IF(反向題設定!$C$42="是",反向題設定!$B$2+1-原始資料!AM198,原始資料!AM198))</f>
        <v/>
      </c>
      <c r="AN198">
        <f>IF(原始資料!AN198="","",IF(反向題設定!$C$43="是",反向題設定!$B$2+1-原始資料!AN198,原始資料!AN198))</f>
        <v/>
      </c>
      <c r="AO198">
        <f>IF(原始資料!AO198="","",IF(反向題設定!$C$44="是",反向題設定!$B$2+1-原始資料!AO198,原始資料!AO198))</f>
        <v/>
      </c>
      <c r="AP198">
        <f>IF(COUNT(B198:AO198)=0,"",SUM(B198:AO198))</f>
        <v/>
      </c>
      <c r="AQ198">
        <f>IF(AP198="","",IF(AP198&gt;=項目分析!$C$5,"高",IF(AP198&lt;=項目分析!$C$6,"低","")))</f>
        <v/>
      </c>
    </row>
    <row r="199">
      <c r="A199">
        <f>IF(原始資料!A199="","",原始資料!A199)</f>
        <v/>
      </c>
      <c r="B199">
        <f>IF(原始資料!B199="","",IF(反向題設定!$C$5="是",反向題設定!$B$2+1-原始資料!B199,原始資料!B199))</f>
        <v/>
      </c>
      <c r="C199">
        <f>IF(原始資料!C199="","",IF(反向題設定!$C$6="是",反向題設定!$B$2+1-原始資料!C199,原始資料!C199))</f>
        <v/>
      </c>
      <c r="D199">
        <f>IF(原始資料!D199="","",IF(反向題設定!$C$7="是",反向題設定!$B$2+1-原始資料!D199,原始資料!D199))</f>
        <v/>
      </c>
      <c r="E199">
        <f>IF(原始資料!E199="","",IF(反向題設定!$C$8="是",反向題設定!$B$2+1-原始資料!E199,原始資料!E199))</f>
        <v/>
      </c>
      <c r="F199">
        <f>IF(原始資料!F199="","",IF(反向題設定!$C$9="是",反向題設定!$B$2+1-原始資料!F199,原始資料!F199))</f>
        <v/>
      </c>
      <c r="G199">
        <f>IF(原始資料!G199="","",IF(反向題設定!$C$10="是",反向題設定!$B$2+1-原始資料!G199,原始資料!G199))</f>
        <v/>
      </c>
      <c r="H199">
        <f>IF(原始資料!H199="","",IF(反向題設定!$C$11="是",反向題設定!$B$2+1-原始資料!H199,原始資料!H199))</f>
        <v/>
      </c>
      <c r="I199">
        <f>IF(原始資料!I199="","",IF(反向題設定!$C$12="是",反向題設定!$B$2+1-原始資料!I199,原始資料!I199))</f>
        <v/>
      </c>
      <c r="J199">
        <f>IF(原始資料!J199="","",IF(反向題設定!$C$13="是",反向題設定!$B$2+1-原始資料!J199,原始資料!J199))</f>
        <v/>
      </c>
      <c r="K199">
        <f>IF(原始資料!K199="","",IF(反向題設定!$C$14="是",反向題設定!$B$2+1-原始資料!K199,原始資料!K199))</f>
        <v/>
      </c>
      <c r="L199">
        <f>IF(原始資料!L199="","",IF(反向題設定!$C$15="是",反向題設定!$B$2+1-原始資料!L199,原始資料!L199))</f>
        <v/>
      </c>
      <c r="M199">
        <f>IF(原始資料!M199="","",IF(反向題設定!$C$16="是",反向題設定!$B$2+1-原始資料!M199,原始資料!M199))</f>
        <v/>
      </c>
      <c r="N199">
        <f>IF(原始資料!N199="","",IF(反向題設定!$C$17="是",反向題設定!$B$2+1-原始資料!N199,原始資料!N199))</f>
        <v/>
      </c>
      <c r="O199">
        <f>IF(原始資料!O199="","",IF(反向題設定!$C$18="是",反向題設定!$B$2+1-原始資料!O199,原始資料!O199))</f>
        <v/>
      </c>
      <c r="P199">
        <f>IF(原始資料!P199="","",IF(反向題設定!$C$19="是",反向題設定!$B$2+1-原始資料!P199,原始資料!P199))</f>
        <v/>
      </c>
      <c r="Q199">
        <f>IF(原始資料!Q199="","",IF(反向題設定!$C$20="是",反向題設定!$B$2+1-原始資料!Q199,原始資料!Q199))</f>
        <v/>
      </c>
      <c r="R199">
        <f>IF(原始資料!R199="","",IF(反向題設定!$C$21="是",反向題設定!$B$2+1-原始資料!R199,原始資料!R199))</f>
        <v/>
      </c>
      <c r="S199">
        <f>IF(原始資料!S199="","",IF(反向題設定!$C$22="是",反向題設定!$B$2+1-原始資料!S199,原始資料!S199))</f>
        <v/>
      </c>
      <c r="T199">
        <f>IF(原始資料!T199="","",IF(反向題設定!$C$23="是",反向題設定!$B$2+1-原始資料!T199,原始資料!T199))</f>
        <v/>
      </c>
      <c r="U199">
        <f>IF(原始資料!U199="","",IF(反向題設定!$C$24="是",反向題設定!$B$2+1-原始資料!U199,原始資料!U199))</f>
        <v/>
      </c>
      <c r="V199">
        <f>IF(原始資料!V199="","",IF(反向題設定!$C$25="是",反向題設定!$B$2+1-原始資料!V199,原始資料!V199))</f>
        <v/>
      </c>
      <c r="W199">
        <f>IF(原始資料!W199="","",IF(反向題設定!$C$26="是",反向題設定!$B$2+1-原始資料!W199,原始資料!W199))</f>
        <v/>
      </c>
      <c r="X199">
        <f>IF(原始資料!X199="","",IF(反向題設定!$C$27="是",反向題設定!$B$2+1-原始資料!X199,原始資料!X199))</f>
        <v/>
      </c>
      <c r="Y199">
        <f>IF(原始資料!Y199="","",IF(反向題設定!$C$28="是",反向題設定!$B$2+1-原始資料!Y199,原始資料!Y199))</f>
        <v/>
      </c>
      <c r="Z199">
        <f>IF(原始資料!Z199="","",IF(反向題設定!$C$29="是",反向題設定!$B$2+1-原始資料!Z199,原始資料!Z199))</f>
        <v/>
      </c>
      <c r="AA199">
        <f>IF(原始資料!AA199="","",IF(反向題設定!$C$30="是",反向題設定!$B$2+1-原始資料!AA199,原始資料!AA199))</f>
        <v/>
      </c>
      <c r="AB199">
        <f>IF(原始資料!AB199="","",IF(反向題設定!$C$31="是",反向題設定!$B$2+1-原始資料!AB199,原始資料!AB199))</f>
        <v/>
      </c>
      <c r="AC199">
        <f>IF(原始資料!AC199="","",IF(反向題設定!$C$32="是",反向題設定!$B$2+1-原始資料!AC199,原始資料!AC199))</f>
        <v/>
      </c>
      <c r="AD199">
        <f>IF(原始資料!AD199="","",IF(反向題設定!$C$33="是",反向題設定!$B$2+1-原始資料!AD199,原始資料!AD199))</f>
        <v/>
      </c>
      <c r="AE199">
        <f>IF(原始資料!AE199="","",IF(反向題設定!$C$34="是",反向題設定!$B$2+1-原始資料!AE199,原始資料!AE199))</f>
        <v/>
      </c>
      <c r="AF199">
        <f>IF(原始資料!AF199="","",IF(反向題設定!$C$35="是",反向題設定!$B$2+1-原始資料!AF199,原始資料!AF199))</f>
        <v/>
      </c>
      <c r="AG199">
        <f>IF(原始資料!AG199="","",IF(反向題設定!$C$36="是",反向題設定!$B$2+1-原始資料!AG199,原始資料!AG199))</f>
        <v/>
      </c>
      <c r="AH199">
        <f>IF(原始資料!AH199="","",IF(反向題設定!$C$37="是",反向題設定!$B$2+1-原始資料!AH199,原始資料!AH199))</f>
        <v/>
      </c>
      <c r="AI199">
        <f>IF(原始資料!AI199="","",IF(反向題設定!$C$38="是",反向題設定!$B$2+1-原始資料!AI199,原始資料!AI199))</f>
        <v/>
      </c>
      <c r="AJ199">
        <f>IF(原始資料!AJ199="","",IF(反向題設定!$C$39="是",反向題設定!$B$2+1-原始資料!AJ199,原始資料!AJ199))</f>
        <v/>
      </c>
      <c r="AK199">
        <f>IF(原始資料!AK199="","",IF(反向題設定!$C$40="是",反向題設定!$B$2+1-原始資料!AK199,原始資料!AK199))</f>
        <v/>
      </c>
      <c r="AL199">
        <f>IF(原始資料!AL199="","",IF(反向題設定!$C$41="是",反向題設定!$B$2+1-原始資料!AL199,原始資料!AL199))</f>
        <v/>
      </c>
      <c r="AM199">
        <f>IF(原始資料!AM199="","",IF(反向題設定!$C$42="是",反向題設定!$B$2+1-原始資料!AM199,原始資料!AM199))</f>
        <v/>
      </c>
      <c r="AN199">
        <f>IF(原始資料!AN199="","",IF(反向題設定!$C$43="是",反向題設定!$B$2+1-原始資料!AN199,原始資料!AN199))</f>
        <v/>
      </c>
      <c r="AO199">
        <f>IF(原始資料!AO199="","",IF(反向題設定!$C$44="是",反向題設定!$B$2+1-原始資料!AO199,原始資料!AO199))</f>
        <v/>
      </c>
      <c r="AP199">
        <f>IF(COUNT(B199:AO199)=0,"",SUM(B199:AO199))</f>
        <v/>
      </c>
      <c r="AQ199">
        <f>IF(AP199="","",IF(AP199&gt;=項目分析!$C$5,"高",IF(AP199&lt;=項目分析!$C$6,"低","")))</f>
        <v/>
      </c>
    </row>
    <row r="200">
      <c r="A200">
        <f>IF(原始資料!A200="","",原始資料!A200)</f>
        <v/>
      </c>
      <c r="B200">
        <f>IF(原始資料!B200="","",IF(反向題設定!$C$5="是",反向題設定!$B$2+1-原始資料!B200,原始資料!B200))</f>
        <v/>
      </c>
      <c r="C200">
        <f>IF(原始資料!C200="","",IF(反向題設定!$C$6="是",反向題設定!$B$2+1-原始資料!C200,原始資料!C200))</f>
        <v/>
      </c>
      <c r="D200">
        <f>IF(原始資料!D200="","",IF(反向題設定!$C$7="是",反向題設定!$B$2+1-原始資料!D200,原始資料!D200))</f>
        <v/>
      </c>
      <c r="E200">
        <f>IF(原始資料!E200="","",IF(反向題設定!$C$8="是",反向題設定!$B$2+1-原始資料!E200,原始資料!E200))</f>
        <v/>
      </c>
      <c r="F200">
        <f>IF(原始資料!F200="","",IF(反向題設定!$C$9="是",反向題設定!$B$2+1-原始資料!F200,原始資料!F200))</f>
        <v/>
      </c>
      <c r="G200">
        <f>IF(原始資料!G200="","",IF(反向題設定!$C$10="是",反向題設定!$B$2+1-原始資料!G200,原始資料!G200))</f>
        <v/>
      </c>
      <c r="H200">
        <f>IF(原始資料!H200="","",IF(反向題設定!$C$11="是",反向題設定!$B$2+1-原始資料!H200,原始資料!H200))</f>
        <v/>
      </c>
      <c r="I200">
        <f>IF(原始資料!I200="","",IF(反向題設定!$C$12="是",反向題設定!$B$2+1-原始資料!I200,原始資料!I200))</f>
        <v/>
      </c>
      <c r="J200">
        <f>IF(原始資料!J200="","",IF(反向題設定!$C$13="是",反向題設定!$B$2+1-原始資料!J200,原始資料!J200))</f>
        <v/>
      </c>
      <c r="K200">
        <f>IF(原始資料!K200="","",IF(反向題設定!$C$14="是",反向題設定!$B$2+1-原始資料!K200,原始資料!K200))</f>
        <v/>
      </c>
      <c r="L200">
        <f>IF(原始資料!L200="","",IF(反向題設定!$C$15="是",反向題設定!$B$2+1-原始資料!L200,原始資料!L200))</f>
        <v/>
      </c>
      <c r="M200">
        <f>IF(原始資料!M200="","",IF(反向題設定!$C$16="是",反向題設定!$B$2+1-原始資料!M200,原始資料!M200))</f>
        <v/>
      </c>
      <c r="N200">
        <f>IF(原始資料!N200="","",IF(反向題設定!$C$17="是",反向題設定!$B$2+1-原始資料!N200,原始資料!N200))</f>
        <v/>
      </c>
      <c r="O200">
        <f>IF(原始資料!O200="","",IF(反向題設定!$C$18="是",反向題設定!$B$2+1-原始資料!O200,原始資料!O200))</f>
        <v/>
      </c>
      <c r="P200">
        <f>IF(原始資料!P200="","",IF(反向題設定!$C$19="是",反向題設定!$B$2+1-原始資料!P200,原始資料!P200))</f>
        <v/>
      </c>
      <c r="Q200">
        <f>IF(原始資料!Q200="","",IF(反向題設定!$C$20="是",反向題設定!$B$2+1-原始資料!Q200,原始資料!Q200))</f>
        <v/>
      </c>
      <c r="R200">
        <f>IF(原始資料!R200="","",IF(反向題設定!$C$21="是",反向題設定!$B$2+1-原始資料!R200,原始資料!R200))</f>
        <v/>
      </c>
      <c r="S200">
        <f>IF(原始資料!S200="","",IF(反向題設定!$C$22="是",反向題設定!$B$2+1-原始資料!S200,原始資料!S200))</f>
        <v/>
      </c>
      <c r="T200">
        <f>IF(原始資料!T200="","",IF(反向題設定!$C$23="是",反向題設定!$B$2+1-原始資料!T200,原始資料!T200))</f>
        <v/>
      </c>
      <c r="U200">
        <f>IF(原始資料!U200="","",IF(反向題設定!$C$24="是",反向題設定!$B$2+1-原始資料!U200,原始資料!U200))</f>
        <v/>
      </c>
      <c r="V200">
        <f>IF(原始資料!V200="","",IF(反向題設定!$C$25="是",反向題設定!$B$2+1-原始資料!V200,原始資料!V200))</f>
        <v/>
      </c>
      <c r="W200">
        <f>IF(原始資料!W200="","",IF(反向題設定!$C$26="是",反向題設定!$B$2+1-原始資料!W200,原始資料!W200))</f>
        <v/>
      </c>
      <c r="X200">
        <f>IF(原始資料!X200="","",IF(反向題設定!$C$27="是",反向題設定!$B$2+1-原始資料!X200,原始資料!X200))</f>
        <v/>
      </c>
      <c r="Y200">
        <f>IF(原始資料!Y200="","",IF(反向題設定!$C$28="是",反向題設定!$B$2+1-原始資料!Y200,原始資料!Y200))</f>
        <v/>
      </c>
      <c r="Z200">
        <f>IF(原始資料!Z200="","",IF(反向題設定!$C$29="是",反向題設定!$B$2+1-原始資料!Z200,原始資料!Z200))</f>
        <v/>
      </c>
      <c r="AA200">
        <f>IF(原始資料!AA200="","",IF(反向題設定!$C$30="是",反向題設定!$B$2+1-原始資料!AA200,原始資料!AA200))</f>
        <v/>
      </c>
      <c r="AB200">
        <f>IF(原始資料!AB200="","",IF(反向題設定!$C$31="是",反向題設定!$B$2+1-原始資料!AB200,原始資料!AB200))</f>
        <v/>
      </c>
      <c r="AC200">
        <f>IF(原始資料!AC200="","",IF(反向題設定!$C$32="是",反向題設定!$B$2+1-原始資料!AC200,原始資料!AC200))</f>
        <v/>
      </c>
      <c r="AD200">
        <f>IF(原始資料!AD200="","",IF(反向題設定!$C$33="是",反向題設定!$B$2+1-原始資料!AD200,原始資料!AD200))</f>
        <v/>
      </c>
      <c r="AE200">
        <f>IF(原始資料!AE200="","",IF(反向題設定!$C$34="是",反向題設定!$B$2+1-原始資料!AE200,原始資料!AE200))</f>
        <v/>
      </c>
      <c r="AF200">
        <f>IF(原始資料!AF200="","",IF(反向題設定!$C$35="是",反向題設定!$B$2+1-原始資料!AF200,原始資料!AF200))</f>
        <v/>
      </c>
      <c r="AG200">
        <f>IF(原始資料!AG200="","",IF(反向題設定!$C$36="是",反向題設定!$B$2+1-原始資料!AG200,原始資料!AG200))</f>
        <v/>
      </c>
      <c r="AH200">
        <f>IF(原始資料!AH200="","",IF(反向題設定!$C$37="是",反向題設定!$B$2+1-原始資料!AH200,原始資料!AH200))</f>
        <v/>
      </c>
      <c r="AI200">
        <f>IF(原始資料!AI200="","",IF(反向題設定!$C$38="是",反向題設定!$B$2+1-原始資料!AI200,原始資料!AI200))</f>
        <v/>
      </c>
      <c r="AJ200">
        <f>IF(原始資料!AJ200="","",IF(反向題設定!$C$39="是",反向題設定!$B$2+1-原始資料!AJ200,原始資料!AJ200))</f>
        <v/>
      </c>
      <c r="AK200">
        <f>IF(原始資料!AK200="","",IF(反向題設定!$C$40="是",反向題設定!$B$2+1-原始資料!AK200,原始資料!AK200))</f>
        <v/>
      </c>
      <c r="AL200">
        <f>IF(原始資料!AL200="","",IF(反向題設定!$C$41="是",反向題設定!$B$2+1-原始資料!AL200,原始資料!AL200))</f>
        <v/>
      </c>
      <c r="AM200">
        <f>IF(原始資料!AM200="","",IF(反向題設定!$C$42="是",反向題設定!$B$2+1-原始資料!AM200,原始資料!AM200))</f>
        <v/>
      </c>
      <c r="AN200">
        <f>IF(原始資料!AN200="","",IF(反向題設定!$C$43="是",反向題設定!$B$2+1-原始資料!AN200,原始資料!AN200))</f>
        <v/>
      </c>
      <c r="AO200">
        <f>IF(原始資料!AO200="","",IF(反向題設定!$C$44="是",反向題設定!$B$2+1-原始資料!AO200,原始資料!AO200))</f>
        <v/>
      </c>
      <c r="AP200">
        <f>IF(COUNT(B200:AO200)=0,"",SUM(B200:AO200))</f>
        <v/>
      </c>
      <c r="AQ200">
        <f>IF(AP200="","",IF(AP200&gt;=項目分析!$C$5,"高",IF(AP200&lt;=項目分析!$C$6,"低","")))</f>
        <v/>
      </c>
    </row>
    <row r="201">
      <c r="A201">
        <f>IF(原始資料!A201="","",原始資料!A201)</f>
        <v/>
      </c>
      <c r="B201">
        <f>IF(原始資料!B201="","",IF(反向題設定!$C$5="是",反向題設定!$B$2+1-原始資料!B201,原始資料!B201))</f>
        <v/>
      </c>
      <c r="C201">
        <f>IF(原始資料!C201="","",IF(反向題設定!$C$6="是",反向題設定!$B$2+1-原始資料!C201,原始資料!C201))</f>
        <v/>
      </c>
      <c r="D201">
        <f>IF(原始資料!D201="","",IF(反向題設定!$C$7="是",反向題設定!$B$2+1-原始資料!D201,原始資料!D201))</f>
        <v/>
      </c>
      <c r="E201">
        <f>IF(原始資料!E201="","",IF(反向題設定!$C$8="是",反向題設定!$B$2+1-原始資料!E201,原始資料!E201))</f>
        <v/>
      </c>
      <c r="F201">
        <f>IF(原始資料!F201="","",IF(反向題設定!$C$9="是",反向題設定!$B$2+1-原始資料!F201,原始資料!F201))</f>
        <v/>
      </c>
      <c r="G201">
        <f>IF(原始資料!G201="","",IF(反向題設定!$C$10="是",反向題設定!$B$2+1-原始資料!G201,原始資料!G201))</f>
        <v/>
      </c>
      <c r="H201">
        <f>IF(原始資料!H201="","",IF(反向題設定!$C$11="是",反向題設定!$B$2+1-原始資料!H201,原始資料!H201))</f>
        <v/>
      </c>
      <c r="I201">
        <f>IF(原始資料!I201="","",IF(反向題設定!$C$12="是",反向題設定!$B$2+1-原始資料!I201,原始資料!I201))</f>
        <v/>
      </c>
      <c r="J201">
        <f>IF(原始資料!J201="","",IF(反向題設定!$C$13="是",反向題設定!$B$2+1-原始資料!J201,原始資料!J201))</f>
        <v/>
      </c>
      <c r="K201">
        <f>IF(原始資料!K201="","",IF(反向題設定!$C$14="是",反向題設定!$B$2+1-原始資料!K201,原始資料!K201))</f>
        <v/>
      </c>
      <c r="L201">
        <f>IF(原始資料!L201="","",IF(反向題設定!$C$15="是",反向題設定!$B$2+1-原始資料!L201,原始資料!L201))</f>
        <v/>
      </c>
      <c r="M201">
        <f>IF(原始資料!M201="","",IF(反向題設定!$C$16="是",反向題設定!$B$2+1-原始資料!M201,原始資料!M201))</f>
        <v/>
      </c>
      <c r="N201">
        <f>IF(原始資料!N201="","",IF(反向題設定!$C$17="是",反向題設定!$B$2+1-原始資料!N201,原始資料!N201))</f>
        <v/>
      </c>
      <c r="O201">
        <f>IF(原始資料!O201="","",IF(反向題設定!$C$18="是",反向題設定!$B$2+1-原始資料!O201,原始資料!O201))</f>
        <v/>
      </c>
      <c r="P201">
        <f>IF(原始資料!P201="","",IF(反向題設定!$C$19="是",反向題設定!$B$2+1-原始資料!P201,原始資料!P201))</f>
        <v/>
      </c>
      <c r="Q201">
        <f>IF(原始資料!Q201="","",IF(反向題設定!$C$20="是",反向題設定!$B$2+1-原始資料!Q201,原始資料!Q201))</f>
        <v/>
      </c>
      <c r="R201">
        <f>IF(原始資料!R201="","",IF(反向題設定!$C$21="是",反向題設定!$B$2+1-原始資料!R201,原始資料!R201))</f>
        <v/>
      </c>
      <c r="S201">
        <f>IF(原始資料!S201="","",IF(反向題設定!$C$22="是",反向題設定!$B$2+1-原始資料!S201,原始資料!S201))</f>
        <v/>
      </c>
      <c r="T201">
        <f>IF(原始資料!T201="","",IF(反向題設定!$C$23="是",反向題設定!$B$2+1-原始資料!T201,原始資料!T201))</f>
        <v/>
      </c>
      <c r="U201">
        <f>IF(原始資料!U201="","",IF(反向題設定!$C$24="是",反向題設定!$B$2+1-原始資料!U201,原始資料!U201))</f>
        <v/>
      </c>
      <c r="V201">
        <f>IF(原始資料!V201="","",IF(反向題設定!$C$25="是",反向題設定!$B$2+1-原始資料!V201,原始資料!V201))</f>
        <v/>
      </c>
      <c r="W201">
        <f>IF(原始資料!W201="","",IF(反向題設定!$C$26="是",反向題設定!$B$2+1-原始資料!W201,原始資料!W201))</f>
        <v/>
      </c>
      <c r="X201">
        <f>IF(原始資料!X201="","",IF(反向題設定!$C$27="是",反向題設定!$B$2+1-原始資料!X201,原始資料!X201))</f>
        <v/>
      </c>
      <c r="Y201">
        <f>IF(原始資料!Y201="","",IF(反向題設定!$C$28="是",反向題設定!$B$2+1-原始資料!Y201,原始資料!Y201))</f>
        <v/>
      </c>
      <c r="Z201">
        <f>IF(原始資料!Z201="","",IF(反向題設定!$C$29="是",反向題設定!$B$2+1-原始資料!Z201,原始資料!Z201))</f>
        <v/>
      </c>
      <c r="AA201">
        <f>IF(原始資料!AA201="","",IF(反向題設定!$C$30="是",反向題設定!$B$2+1-原始資料!AA201,原始資料!AA201))</f>
        <v/>
      </c>
      <c r="AB201">
        <f>IF(原始資料!AB201="","",IF(反向題設定!$C$31="是",反向題設定!$B$2+1-原始資料!AB201,原始資料!AB201))</f>
        <v/>
      </c>
      <c r="AC201">
        <f>IF(原始資料!AC201="","",IF(反向題設定!$C$32="是",反向題設定!$B$2+1-原始資料!AC201,原始資料!AC201))</f>
        <v/>
      </c>
      <c r="AD201">
        <f>IF(原始資料!AD201="","",IF(反向題設定!$C$33="是",反向題設定!$B$2+1-原始資料!AD201,原始資料!AD201))</f>
        <v/>
      </c>
      <c r="AE201">
        <f>IF(原始資料!AE201="","",IF(反向題設定!$C$34="是",反向題設定!$B$2+1-原始資料!AE201,原始資料!AE201))</f>
        <v/>
      </c>
      <c r="AF201">
        <f>IF(原始資料!AF201="","",IF(反向題設定!$C$35="是",反向題設定!$B$2+1-原始資料!AF201,原始資料!AF201))</f>
        <v/>
      </c>
      <c r="AG201">
        <f>IF(原始資料!AG201="","",IF(反向題設定!$C$36="是",反向題設定!$B$2+1-原始資料!AG201,原始資料!AG201))</f>
        <v/>
      </c>
      <c r="AH201">
        <f>IF(原始資料!AH201="","",IF(反向題設定!$C$37="是",反向題設定!$B$2+1-原始資料!AH201,原始資料!AH201))</f>
        <v/>
      </c>
      <c r="AI201">
        <f>IF(原始資料!AI201="","",IF(反向題設定!$C$38="是",反向題設定!$B$2+1-原始資料!AI201,原始資料!AI201))</f>
        <v/>
      </c>
      <c r="AJ201">
        <f>IF(原始資料!AJ201="","",IF(反向題設定!$C$39="是",反向題設定!$B$2+1-原始資料!AJ201,原始資料!AJ201))</f>
        <v/>
      </c>
      <c r="AK201">
        <f>IF(原始資料!AK201="","",IF(反向題設定!$C$40="是",反向題設定!$B$2+1-原始資料!AK201,原始資料!AK201))</f>
        <v/>
      </c>
      <c r="AL201">
        <f>IF(原始資料!AL201="","",IF(反向題設定!$C$41="是",反向題設定!$B$2+1-原始資料!AL201,原始資料!AL201))</f>
        <v/>
      </c>
      <c r="AM201">
        <f>IF(原始資料!AM201="","",IF(反向題設定!$C$42="是",反向題設定!$B$2+1-原始資料!AM201,原始資料!AM201))</f>
        <v/>
      </c>
      <c r="AN201">
        <f>IF(原始資料!AN201="","",IF(反向題設定!$C$43="是",反向題設定!$B$2+1-原始資料!AN201,原始資料!AN201))</f>
        <v/>
      </c>
      <c r="AO201">
        <f>IF(原始資料!AO201="","",IF(反向題設定!$C$44="是",反向題設定!$B$2+1-原始資料!AO201,原始資料!AO201))</f>
        <v/>
      </c>
      <c r="AP201">
        <f>IF(COUNT(B201:AO201)=0,"",SUM(B201:AO201))</f>
        <v/>
      </c>
      <c r="AQ201">
        <f>IF(AP201="","",IF(AP201&gt;=項目分析!$C$5,"高",IF(AP201&lt;=項目分析!$C$6,"低","")))</f>
        <v/>
      </c>
    </row>
    <row r="202">
      <c r="A202">
        <f>IF(原始資料!A202="","",原始資料!A202)</f>
        <v/>
      </c>
      <c r="B202">
        <f>IF(原始資料!B202="","",IF(反向題設定!$C$5="是",反向題設定!$B$2+1-原始資料!B202,原始資料!B202))</f>
        <v/>
      </c>
      <c r="C202">
        <f>IF(原始資料!C202="","",IF(反向題設定!$C$6="是",反向題設定!$B$2+1-原始資料!C202,原始資料!C202))</f>
        <v/>
      </c>
      <c r="D202">
        <f>IF(原始資料!D202="","",IF(反向題設定!$C$7="是",反向題設定!$B$2+1-原始資料!D202,原始資料!D202))</f>
        <v/>
      </c>
      <c r="E202">
        <f>IF(原始資料!E202="","",IF(反向題設定!$C$8="是",反向題設定!$B$2+1-原始資料!E202,原始資料!E202))</f>
        <v/>
      </c>
      <c r="F202">
        <f>IF(原始資料!F202="","",IF(反向題設定!$C$9="是",反向題設定!$B$2+1-原始資料!F202,原始資料!F202))</f>
        <v/>
      </c>
      <c r="G202">
        <f>IF(原始資料!G202="","",IF(反向題設定!$C$10="是",反向題設定!$B$2+1-原始資料!G202,原始資料!G202))</f>
        <v/>
      </c>
      <c r="H202">
        <f>IF(原始資料!H202="","",IF(反向題設定!$C$11="是",反向題設定!$B$2+1-原始資料!H202,原始資料!H202))</f>
        <v/>
      </c>
      <c r="I202">
        <f>IF(原始資料!I202="","",IF(反向題設定!$C$12="是",反向題設定!$B$2+1-原始資料!I202,原始資料!I202))</f>
        <v/>
      </c>
      <c r="J202">
        <f>IF(原始資料!J202="","",IF(反向題設定!$C$13="是",反向題設定!$B$2+1-原始資料!J202,原始資料!J202))</f>
        <v/>
      </c>
      <c r="K202">
        <f>IF(原始資料!K202="","",IF(反向題設定!$C$14="是",反向題設定!$B$2+1-原始資料!K202,原始資料!K202))</f>
        <v/>
      </c>
      <c r="L202">
        <f>IF(原始資料!L202="","",IF(反向題設定!$C$15="是",反向題設定!$B$2+1-原始資料!L202,原始資料!L202))</f>
        <v/>
      </c>
      <c r="M202">
        <f>IF(原始資料!M202="","",IF(反向題設定!$C$16="是",反向題設定!$B$2+1-原始資料!M202,原始資料!M202))</f>
        <v/>
      </c>
      <c r="N202">
        <f>IF(原始資料!N202="","",IF(反向題設定!$C$17="是",反向題設定!$B$2+1-原始資料!N202,原始資料!N202))</f>
        <v/>
      </c>
      <c r="O202">
        <f>IF(原始資料!O202="","",IF(反向題設定!$C$18="是",反向題設定!$B$2+1-原始資料!O202,原始資料!O202))</f>
        <v/>
      </c>
      <c r="P202">
        <f>IF(原始資料!P202="","",IF(反向題設定!$C$19="是",反向題設定!$B$2+1-原始資料!P202,原始資料!P202))</f>
        <v/>
      </c>
      <c r="Q202">
        <f>IF(原始資料!Q202="","",IF(反向題設定!$C$20="是",反向題設定!$B$2+1-原始資料!Q202,原始資料!Q202))</f>
        <v/>
      </c>
      <c r="R202">
        <f>IF(原始資料!R202="","",IF(反向題設定!$C$21="是",反向題設定!$B$2+1-原始資料!R202,原始資料!R202))</f>
        <v/>
      </c>
      <c r="S202">
        <f>IF(原始資料!S202="","",IF(反向題設定!$C$22="是",反向題設定!$B$2+1-原始資料!S202,原始資料!S202))</f>
        <v/>
      </c>
      <c r="T202">
        <f>IF(原始資料!T202="","",IF(反向題設定!$C$23="是",反向題設定!$B$2+1-原始資料!T202,原始資料!T202))</f>
        <v/>
      </c>
      <c r="U202">
        <f>IF(原始資料!U202="","",IF(反向題設定!$C$24="是",反向題設定!$B$2+1-原始資料!U202,原始資料!U202))</f>
        <v/>
      </c>
      <c r="V202">
        <f>IF(原始資料!V202="","",IF(反向題設定!$C$25="是",反向題設定!$B$2+1-原始資料!V202,原始資料!V202))</f>
        <v/>
      </c>
      <c r="W202">
        <f>IF(原始資料!W202="","",IF(反向題設定!$C$26="是",反向題設定!$B$2+1-原始資料!W202,原始資料!W202))</f>
        <v/>
      </c>
      <c r="X202">
        <f>IF(原始資料!X202="","",IF(反向題設定!$C$27="是",反向題設定!$B$2+1-原始資料!X202,原始資料!X202))</f>
        <v/>
      </c>
      <c r="Y202">
        <f>IF(原始資料!Y202="","",IF(反向題設定!$C$28="是",反向題設定!$B$2+1-原始資料!Y202,原始資料!Y202))</f>
        <v/>
      </c>
      <c r="Z202">
        <f>IF(原始資料!Z202="","",IF(反向題設定!$C$29="是",反向題設定!$B$2+1-原始資料!Z202,原始資料!Z202))</f>
        <v/>
      </c>
      <c r="AA202">
        <f>IF(原始資料!AA202="","",IF(反向題設定!$C$30="是",反向題設定!$B$2+1-原始資料!AA202,原始資料!AA202))</f>
        <v/>
      </c>
      <c r="AB202">
        <f>IF(原始資料!AB202="","",IF(反向題設定!$C$31="是",反向題設定!$B$2+1-原始資料!AB202,原始資料!AB202))</f>
        <v/>
      </c>
      <c r="AC202">
        <f>IF(原始資料!AC202="","",IF(反向題設定!$C$32="是",反向題設定!$B$2+1-原始資料!AC202,原始資料!AC202))</f>
        <v/>
      </c>
      <c r="AD202">
        <f>IF(原始資料!AD202="","",IF(反向題設定!$C$33="是",反向題設定!$B$2+1-原始資料!AD202,原始資料!AD202))</f>
        <v/>
      </c>
      <c r="AE202">
        <f>IF(原始資料!AE202="","",IF(反向題設定!$C$34="是",反向題設定!$B$2+1-原始資料!AE202,原始資料!AE202))</f>
        <v/>
      </c>
      <c r="AF202">
        <f>IF(原始資料!AF202="","",IF(反向題設定!$C$35="是",反向題設定!$B$2+1-原始資料!AF202,原始資料!AF202))</f>
        <v/>
      </c>
      <c r="AG202">
        <f>IF(原始資料!AG202="","",IF(反向題設定!$C$36="是",反向題設定!$B$2+1-原始資料!AG202,原始資料!AG202))</f>
        <v/>
      </c>
      <c r="AH202">
        <f>IF(原始資料!AH202="","",IF(反向題設定!$C$37="是",反向題設定!$B$2+1-原始資料!AH202,原始資料!AH202))</f>
        <v/>
      </c>
      <c r="AI202">
        <f>IF(原始資料!AI202="","",IF(反向題設定!$C$38="是",反向題設定!$B$2+1-原始資料!AI202,原始資料!AI202))</f>
        <v/>
      </c>
      <c r="AJ202">
        <f>IF(原始資料!AJ202="","",IF(反向題設定!$C$39="是",反向題設定!$B$2+1-原始資料!AJ202,原始資料!AJ202))</f>
        <v/>
      </c>
      <c r="AK202">
        <f>IF(原始資料!AK202="","",IF(反向題設定!$C$40="是",反向題設定!$B$2+1-原始資料!AK202,原始資料!AK202))</f>
        <v/>
      </c>
      <c r="AL202">
        <f>IF(原始資料!AL202="","",IF(反向題設定!$C$41="是",反向題設定!$B$2+1-原始資料!AL202,原始資料!AL202))</f>
        <v/>
      </c>
      <c r="AM202">
        <f>IF(原始資料!AM202="","",IF(反向題設定!$C$42="是",反向題設定!$B$2+1-原始資料!AM202,原始資料!AM202))</f>
        <v/>
      </c>
      <c r="AN202">
        <f>IF(原始資料!AN202="","",IF(反向題設定!$C$43="是",反向題設定!$B$2+1-原始資料!AN202,原始資料!AN202))</f>
        <v/>
      </c>
      <c r="AO202">
        <f>IF(原始資料!AO202="","",IF(反向題設定!$C$44="是",反向題設定!$B$2+1-原始資料!AO202,原始資料!AO202))</f>
        <v/>
      </c>
      <c r="AP202">
        <f>IF(COUNT(B202:AO202)=0,"",SUM(B202:AO202))</f>
        <v/>
      </c>
      <c r="AQ202">
        <f>IF(AP202="","",IF(AP202&gt;=項目分析!$C$5,"高",IF(AP202&lt;=項目分析!$C$6,"低","")))</f>
        <v/>
      </c>
    </row>
    <row r="203">
      <c r="A203">
        <f>IF(原始資料!A203="","",原始資料!A203)</f>
        <v/>
      </c>
      <c r="B203">
        <f>IF(原始資料!B203="","",IF(反向題設定!$C$5="是",反向題設定!$B$2+1-原始資料!B203,原始資料!B203))</f>
        <v/>
      </c>
      <c r="C203">
        <f>IF(原始資料!C203="","",IF(反向題設定!$C$6="是",反向題設定!$B$2+1-原始資料!C203,原始資料!C203))</f>
        <v/>
      </c>
      <c r="D203">
        <f>IF(原始資料!D203="","",IF(反向題設定!$C$7="是",反向題設定!$B$2+1-原始資料!D203,原始資料!D203))</f>
        <v/>
      </c>
      <c r="E203">
        <f>IF(原始資料!E203="","",IF(反向題設定!$C$8="是",反向題設定!$B$2+1-原始資料!E203,原始資料!E203))</f>
        <v/>
      </c>
      <c r="F203">
        <f>IF(原始資料!F203="","",IF(反向題設定!$C$9="是",反向題設定!$B$2+1-原始資料!F203,原始資料!F203))</f>
        <v/>
      </c>
      <c r="G203">
        <f>IF(原始資料!G203="","",IF(反向題設定!$C$10="是",反向題設定!$B$2+1-原始資料!G203,原始資料!G203))</f>
        <v/>
      </c>
      <c r="H203">
        <f>IF(原始資料!H203="","",IF(反向題設定!$C$11="是",反向題設定!$B$2+1-原始資料!H203,原始資料!H203))</f>
        <v/>
      </c>
      <c r="I203">
        <f>IF(原始資料!I203="","",IF(反向題設定!$C$12="是",反向題設定!$B$2+1-原始資料!I203,原始資料!I203))</f>
        <v/>
      </c>
      <c r="J203">
        <f>IF(原始資料!J203="","",IF(反向題設定!$C$13="是",反向題設定!$B$2+1-原始資料!J203,原始資料!J203))</f>
        <v/>
      </c>
      <c r="K203">
        <f>IF(原始資料!K203="","",IF(反向題設定!$C$14="是",反向題設定!$B$2+1-原始資料!K203,原始資料!K203))</f>
        <v/>
      </c>
      <c r="L203">
        <f>IF(原始資料!L203="","",IF(反向題設定!$C$15="是",反向題設定!$B$2+1-原始資料!L203,原始資料!L203))</f>
        <v/>
      </c>
      <c r="M203">
        <f>IF(原始資料!M203="","",IF(反向題設定!$C$16="是",反向題設定!$B$2+1-原始資料!M203,原始資料!M203))</f>
        <v/>
      </c>
      <c r="N203">
        <f>IF(原始資料!N203="","",IF(反向題設定!$C$17="是",反向題設定!$B$2+1-原始資料!N203,原始資料!N203))</f>
        <v/>
      </c>
      <c r="O203">
        <f>IF(原始資料!O203="","",IF(反向題設定!$C$18="是",反向題設定!$B$2+1-原始資料!O203,原始資料!O203))</f>
        <v/>
      </c>
      <c r="P203">
        <f>IF(原始資料!P203="","",IF(反向題設定!$C$19="是",反向題設定!$B$2+1-原始資料!P203,原始資料!P203))</f>
        <v/>
      </c>
      <c r="Q203">
        <f>IF(原始資料!Q203="","",IF(反向題設定!$C$20="是",反向題設定!$B$2+1-原始資料!Q203,原始資料!Q203))</f>
        <v/>
      </c>
      <c r="R203">
        <f>IF(原始資料!R203="","",IF(反向題設定!$C$21="是",反向題設定!$B$2+1-原始資料!R203,原始資料!R203))</f>
        <v/>
      </c>
      <c r="S203">
        <f>IF(原始資料!S203="","",IF(反向題設定!$C$22="是",反向題設定!$B$2+1-原始資料!S203,原始資料!S203))</f>
        <v/>
      </c>
      <c r="T203">
        <f>IF(原始資料!T203="","",IF(反向題設定!$C$23="是",反向題設定!$B$2+1-原始資料!T203,原始資料!T203))</f>
        <v/>
      </c>
      <c r="U203">
        <f>IF(原始資料!U203="","",IF(反向題設定!$C$24="是",反向題設定!$B$2+1-原始資料!U203,原始資料!U203))</f>
        <v/>
      </c>
      <c r="V203">
        <f>IF(原始資料!V203="","",IF(反向題設定!$C$25="是",反向題設定!$B$2+1-原始資料!V203,原始資料!V203))</f>
        <v/>
      </c>
      <c r="W203">
        <f>IF(原始資料!W203="","",IF(反向題設定!$C$26="是",反向題設定!$B$2+1-原始資料!W203,原始資料!W203))</f>
        <v/>
      </c>
      <c r="X203">
        <f>IF(原始資料!X203="","",IF(反向題設定!$C$27="是",反向題設定!$B$2+1-原始資料!X203,原始資料!X203))</f>
        <v/>
      </c>
      <c r="Y203">
        <f>IF(原始資料!Y203="","",IF(反向題設定!$C$28="是",反向題設定!$B$2+1-原始資料!Y203,原始資料!Y203))</f>
        <v/>
      </c>
      <c r="Z203">
        <f>IF(原始資料!Z203="","",IF(反向題設定!$C$29="是",反向題設定!$B$2+1-原始資料!Z203,原始資料!Z203))</f>
        <v/>
      </c>
      <c r="AA203">
        <f>IF(原始資料!AA203="","",IF(反向題設定!$C$30="是",反向題設定!$B$2+1-原始資料!AA203,原始資料!AA203))</f>
        <v/>
      </c>
      <c r="AB203">
        <f>IF(原始資料!AB203="","",IF(反向題設定!$C$31="是",反向題設定!$B$2+1-原始資料!AB203,原始資料!AB203))</f>
        <v/>
      </c>
      <c r="AC203">
        <f>IF(原始資料!AC203="","",IF(反向題設定!$C$32="是",反向題設定!$B$2+1-原始資料!AC203,原始資料!AC203))</f>
        <v/>
      </c>
      <c r="AD203">
        <f>IF(原始資料!AD203="","",IF(反向題設定!$C$33="是",反向題設定!$B$2+1-原始資料!AD203,原始資料!AD203))</f>
        <v/>
      </c>
      <c r="AE203">
        <f>IF(原始資料!AE203="","",IF(反向題設定!$C$34="是",反向題設定!$B$2+1-原始資料!AE203,原始資料!AE203))</f>
        <v/>
      </c>
      <c r="AF203">
        <f>IF(原始資料!AF203="","",IF(反向題設定!$C$35="是",反向題設定!$B$2+1-原始資料!AF203,原始資料!AF203))</f>
        <v/>
      </c>
      <c r="AG203">
        <f>IF(原始資料!AG203="","",IF(反向題設定!$C$36="是",反向題設定!$B$2+1-原始資料!AG203,原始資料!AG203))</f>
        <v/>
      </c>
      <c r="AH203">
        <f>IF(原始資料!AH203="","",IF(反向題設定!$C$37="是",反向題設定!$B$2+1-原始資料!AH203,原始資料!AH203))</f>
        <v/>
      </c>
      <c r="AI203">
        <f>IF(原始資料!AI203="","",IF(反向題設定!$C$38="是",反向題設定!$B$2+1-原始資料!AI203,原始資料!AI203))</f>
        <v/>
      </c>
      <c r="AJ203">
        <f>IF(原始資料!AJ203="","",IF(反向題設定!$C$39="是",反向題設定!$B$2+1-原始資料!AJ203,原始資料!AJ203))</f>
        <v/>
      </c>
      <c r="AK203">
        <f>IF(原始資料!AK203="","",IF(反向題設定!$C$40="是",反向題設定!$B$2+1-原始資料!AK203,原始資料!AK203))</f>
        <v/>
      </c>
      <c r="AL203">
        <f>IF(原始資料!AL203="","",IF(反向題設定!$C$41="是",反向題設定!$B$2+1-原始資料!AL203,原始資料!AL203))</f>
        <v/>
      </c>
      <c r="AM203">
        <f>IF(原始資料!AM203="","",IF(反向題設定!$C$42="是",反向題設定!$B$2+1-原始資料!AM203,原始資料!AM203))</f>
        <v/>
      </c>
      <c r="AN203">
        <f>IF(原始資料!AN203="","",IF(反向題設定!$C$43="是",反向題設定!$B$2+1-原始資料!AN203,原始資料!AN203))</f>
        <v/>
      </c>
      <c r="AO203">
        <f>IF(原始資料!AO203="","",IF(反向題設定!$C$44="是",反向題設定!$B$2+1-原始資料!AO203,原始資料!AO203))</f>
        <v/>
      </c>
      <c r="AP203">
        <f>IF(COUNT(B203:AO203)=0,"",SUM(B203:AO203))</f>
        <v/>
      </c>
      <c r="AQ203">
        <f>IF(AP203="","",IF(AP203&gt;=項目分析!$C$5,"高",IF(AP203&lt;=項目分析!$C$6,"低","")))</f>
        <v/>
      </c>
    </row>
    <row r="204">
      <c r="A204">
        <f>IF(原始資料!A204="","",原始資料!A204)</f>
        <v/>
      </c>
      <c r="B204">
        <f>IF(原始資料!B204="","",IF(反向題設定!$C$5="是",反向題設定!$B$2+1-原始資料!B204,原始資料!B204))</f>
        <v/>
      </c>
      <c r="C204">
        <f>IF(原始資料!C204="","",IF(反向題設定!$C$6="是",反向題設定!$B$2+1-原始資料!C204,原始資料!C204))</f>
        <v/>
      </c>
      <c r="D204">
        <f>IF(原始資料!D204="","",IF(反向題設定!$C$7="是",反向題設定!$B$2+1-原始資料!D204,原始資料!D204))</f>
        <v/>
      </c>
      <c r="E204">
        <f>IF(原始資料!E204="","",IF(反向題設定!$C$8="是",反向題設定!$B$2+1-原始資料!E204,原始資料!E204))</f>
        <v/>
      </c>
      <c r="F204">
        <f>IF(原始資料!F204="","",IF(反向題設定!$C$9="是",反向題設定!$B$2+1-原始資料!F204,原始資料!F204))</f>
        <v/>
      </c>
      <c r="G204">
        <f>IF(原始資料!G204="","",IF(反向題設定!$C$10="是",反向題設定!$B$2+1-原始資料!G204,原始資料!G204))</f>
        <v/>
      </c>
      <c r="H204">
        <f>IF(原始資料!H204="","",IF(反向題設定!$C$11="是",反向題設定!$B$2+1-原始資料!H204,原始資料!H204))</f>
        <v/>
      </c>
      <c r="I204">
        <f>IF(原始資料!I204="","",IF(反向題設定!$C$12="是",反向題設定!$B$2+1-原始資料!I204,原始資料!I204))</f>
        <v/>
      </c>
      <c r="J204">
        <f>IF(原始資料!J204="","",IF(反向題設定!$C$13="是",反向題設定!$B$2+1-原始資料!J204,原始資料!J204))</f>
        <v/>
      </c>
      <c r="K204">
        <f>IF(原始資料!K204="","",IF(反向題設定!$C$14="是",反向題設定!$B$2+1-原始資料!K204,原始資料!K204))</f>
        <v/>
      </c>
      <c r="L204">
        <f>IF(原始資料!L204="","",IF(反向題設定!$C$15="是",反向題設定!$B$2+1-原始資料!L204,原始資料!L204))</f>
        <v/>
      </c>
      <c r="M204">
        <f>IF(原始資料!M204="","",IF(反向題設定!$C$16="是",反向題設定!$B$2+1-原始資料!M204,原始資料!M204))</f>
        <v/>
      </c>
      <c r="N204">
        <f>IF(原始資料!N204="","",IF(反向題設定!$C$17="是",反向題設定!$B$2+1-原始資料!N204,原始資料!N204))</f>
        <v/>
      </c>
      <c r="O204">
        <f>IF(原始資料!O204="","",IF(反向題設定!$C$18="是",反向題設定!$B$2+1-原始資料!O204,原始資料!O204))</f>
        <v/>
      </c>
      <c r="P204">
        <f>IF(原始資料!P204="","",IF(反向題設定!$C$19="是",反向題設定!$B$2+1-原始資料!P204,原始資料!P204))</f>
        <v/>
      </c>
      <c r="Q204">
        <f>IF(原始資料!Q204="","",IF(反向題設定!$C$20="是",反向題設定!$B$2+1-原始資料!Q204,原始資料!Q204))</f>
        <v/>
      </c>
      <c r="R204">
        <f>IF(原始資料!R204="","",IF(反向題設定!$C$21="是",反向題設定!$B$2+1-原始資料!R204,原始資料!R204))</f>
        <v/>
      </c>
      <c r="S204">
        <f>IF(原始資料!S204="","",IF(反向題設定!$C$22="是",反向題設定!$B$2+1-原始資料!S204,原始資料!S204))</f>
        <v/>
      </c>
      <c r="T204">
        <f>IF(原始資料!T204="","",IF(反向題設定!$C$23="是",反向題設定!$B$2+1-原始資料!T204,原始資料!T204))</f>
        <v/>
      </c>
      <c r="U204">
        <f>IF(原始資料!U204="","",IF(反向題設定!$C$24="是",反向題設定!$B$2+1-原始資料!U204,原始資料!U204))</f>
        <v/>
      </c>
      <c r="V204">
        <f>IF(原始資料!V204="","",IF(反向題設定!$C$25="是",反向題設定!$B$2+1-原始資料!V204,原始資料!V204))</f>
        <v/>
      </c>
      <c r="W204">
        <f>IF(原始資料!W204="","",IF(反向題設定!$C$26="是",反向題設定!$B$2+1-原始資料!W204,原始資料!W204))</f>
        <v/>
      </c>
      <c r="X204">
        <f>IF(原始資料!X204="","",IF(反向題設定!$C$27="是",反向題設定!$B$2+1-原始資料!X204,原始資料!X204))</f>
        <v/>
      </c>
      <c r="Y204">
        <f>IF(原始資料!Y204="","",IF(反向題設定!$C$28="是",反向題設定!$B$2+1-原始資料!Y204,原始資料!Y204))</f>
        <v/>
      </c>
      <c r="Z204">
        <f>IF(原始資料!Z204="","",IF(反向題設定!$C$29="是",反向題設定!$B$2+1-原始資料!Z204,原始資料!Z204))</f>
        <v/>
      </c>
      <c r="AA204">
        <f>IF(原始資料!AA204="","",IF(反向題設定!$C$30="是",反向題設定!$B$2+1-原始資料!AA204,原始資料!AA204))</f>
        <v/>
      </c>
      <c r="AB204">
        <f>IF(原始資料!AB204="","",IF(反向題設定!$C$31="是",反向題設定!$B$2+1-原始資料!AB204,原始資料!AB204))</f>
        <v/>
      </c>
      <c r="AC204">
        <f>IF(原始資料!AC204="","",IF(反向題設定!$C$32="是",反向題設定!$B$2+1-原始資料!AC204,原始資料!AC204))</f>
        <v/>
      </c>
      <c r="AD204">
        <f>IF(原始資料!AD204="","",IF(反向題設定!$C$33="是",反向題設定!$B$2+1-原始資料!AD204,原始資料!AD204))</f>
        <v/>
      </c>
      <c r="AE204">
        <f>IF(原始資料!AE204="","",IF(反向題設定!$C$34="是",反向題設定!$B$2+1-原始資料!AE204,原始資料!AE204))</f>
        <v/>
      </c>
      <c r="AF204">
        <f>IF(原始資料!AF204="","",IF(反向題設定!$C$35="是",反向題設定!$B$2+1-原始資料!AF204,原始資料!AF204))</f>
        <v/>
      </c>
      <c r="AG204">
        <f>IF(原始資料!AG204="","",IF(反向題設定!$C$36="是",反向題設定!$B$2+1-原始資料!AG204,原始資料!AG204))</f>
        <v/>
      </c>
      <c r="AH204">
        <f>IF(原始資料!AH204="","",IF(反向題設定!$C$37="是",反向題設定!$B$2+1-原始資料!AH204,原始資料!AH204))</f>
        <v/>
      </c>
      <c r="AI204">
        <f>IF(原始資料!AI204="","",IF(反向題設定!$C$38="是",反向題設定!$B$2+1-原始資料!AI204,原始資料!AI204))</f>
        <v/>
      </c>
      <c r="AJ204">
        <f>IF(原始資料!AJ204="","",IF(反向題設定!$C$39="是",反向題設定!$B$2+1-原始資料!AJ204,原始資料!AJ204))</f>
        <v/>
      </c>
      <c r="AK204">
        <f>IF(原始資料!AK204="","",IF(反向題設定!$C$40="是",反向題設定!$B$2+1-原始資料!AK204,原始資料!AK204))</f>
        <v/>
      </c>
      <c r="AL204">
        <f>IF(原始資料!AL204="","",IF(反向題設定!$C$41="是",反向題設定!$B$2+1-原始資料!AL204,原始資料!AL204))</f>
        <v/>
      </c>
      <c r="AM204">
        <f>IF(原始資料!AM204="","",IF(反向題設定!$C$42="是",反向題設定!$B$2+1-原始資料!AM204,原始資料!AM204))</f>
        <v/>
      </c>
      <c r="AN204">
        <f>IF(原始資料!AN204="","",IF(反向題設定!$C$43="是",反向題設定!$B$2+1-原始資料!AN204,原始資料!AN204))</f>
        <v/>
      </c>
      <c r="AO204">
        <f>IF(原始資料!AO204="","",IF(反向題設定!$C$44="是",反向題設定!$B$2+1-原始資料!AO204,原始資料!AO204))</f>
        <v/>
      </c>
      <c r="AP204">
        <f>IF(COUNT(B204:AO204)=0,"",SUM(B204:AO204))</f>
        <v/>
      </c>
      <c r="AQ204">
        <f>IF(AP204="","",IF(AP204&gt;=項目分析!$C$5,"高",IF(AP204&lt;=項目分析!$C$6,"低","")))</f>
        <v/>
      </c>
    </row>
    <row r="205">
      <c r="A205">
        <f>IF(原始資料!A205="","",原始資料!A205)</f>
        <v/>
      </c>
      <c r="B205">
        <f>IF(原始資料!B205="","",IF(反向題設定!$C$5="是",反向題設定!$B$2+1-原始資料!B205,原始資料!B205))</f>
        <v/>
      </c>
      <c r="C205">
        <f>IF(原始資料!C205="","",IF(反向題設定!$C$6="是",反向題設定!$B$2+1-原始資料!C205,原始資料!C205))</f>
        <v/>
      </c>
      <c r="D205">
        <f>IF(原始資料!D205="","",IF(反向題設定!$C$7="是",反向題設定!$B$2+1-原始資料!D205,原始資料!D205))</f>
        <v/>
      </c>
      <c r="E205">
        <f>IF(原始資料!E205="","",IF(反向題設定!$C$8="是",反向題設定!$B$2+1-原始資料!E205,原始資料!E205))</f>
        <v/>
      </c>
      <c r="F205">
        <f>IF(原始資料!F205="","",IF(反向題設定!$C$9="是",反向題設定!$B$2+1-原始資料!F205,原始資料!F205))</f>
        <v/>
      </c>
      <c r="G205">
        <f>IF(原始資料!G205="","",IF(反向題設定!$C$10="是",反向題設定!$B$2+1-原始資料!G205,原始資料!G205))</f>
        <v/>
      </c>
      <c r="H205">
        <f>IF(原始資料!H205="","",IF(反向題設定!$C$11="是",反向題設定!$B$2+1-原始資料!H205,原始資料!H205))</f>
        <v/>
      </c>
      <c r="I205">
        <f>IF(原始資料!I205="","",IF(反向題設定!$C$12="是",反向題設定!$B$2+1-原始資料!I205,原始資料!I205))</f>
        <v/>
      </c>
      <c r="J205">
        <f>IF(原始資料!J205="","",IF(反向題設定!$C$13="是",反向題設定!$B$2+1-原始資料!J205,原始資料!J205))</f>
        <v/>
      </c>
      <c r="K205">
        <f>IF(原始資料!K205="","",IF(反向題設定!$C$14="是",反向題設定!$B$2+1-原始資料!K205,原始資料!K205))</f>
        <v/>
      </c>
      <c r="L205">
        <f>IF(原始資料!L205="","",IF(反向題設定!$C$15="是",反向題設定!$B$2+1-原始資料!L205,原始資料!L205))</f>
        <v/>
      </c>
      <c r="M205">
        <f>IF(原始資料!M205="","",IF(反向題設定!$C$16="是",反向題設定!$B$2+1-原始資料!M205,原始資料!M205))</f>
        <v/>
      </c>
      <c r="N205">
        <f>IF(原始資料!N205="","",IF(反向題設定!$C$17="是",反向題設定!$B$2+1-原始資料!N205,原始資料!N205))</f>
        <v/>
      </c>
      <c r="O205">
        <f>IF(原始資料!O205="","",IF(反向題設定!$C$18="是",反向題設定!$B$2+1-原始資料!O205,原始資料!O205))</f>
        <v/>
      </c>
      <c r="P205">
        <f>IF(原始資料!P205="","",IF(反向題設定!$C$19="是",反向題設定!$B$2+1-原始資料!P205,原始資料!P205))</f>
        <v/>
      </c>
      <c r="Q205">
        <f>IF(原始資料!Q205="","",IF(反向題設定!$C$20="是",反向題設定!$B$2+1-原始資料!Q205,原始資料!Q205))</f>
        <v/>
      </c>
      <c r="R205">
        <f>IF(原始資料!R205="","",IF(反向題設定!$C$21="是",反向題設定!$B$2+1-原始資料!R205,原始資料!R205))</f>
        <v/>
      </c>
      <c r="S205">
        <f>IF(原始資料!S205="","",IF(反向題設定!$C$22="是",反向題設定!$B$2+1-原始資料!S205,原始資料!S205))</f>
        <v/>
      </c>
      <c r="T205">
        <f>IF(原始資料!T205="","",IF(反向題設定!$C$23="是",反向題設定!$B$2+1-原始資料!T205,原始資料!T205))</f>
        <v/>
      </c>
      <c r="U205">
        <f>IF(原始資料!U205="","",IF(反向題設定!$C$24="是",反向題設定!$B$2+1-原始資料!U205,原始資料!U205))</f>
        <v/>
      </c>
      <c r="V205">
        <f>IF(原始資料!V205="","",IF(反向題設定!$C$25="是",反向題設定!$B$2+1-原始資料!V205,原始資料!V205))</f>
        <v/>
      </c>
      <c r="W205">
        <f>IF(原始資料!W205="","",IF(反向題設定!$C$26="是",反向題設定!$B$2+1-原始資料!W205,原始資料!W205))</f>
        <v/>
      </c>
      <c r="X205">
        <f>IF(原始資料!X205="","",IF(反向題設定!$C$27="是",反向題設定!$B$2+1-原始資料!X205,原始資料!X205))</f>
        <v/>
      </c>
      <c r="Y205">
        <f>IF(原始資料!Y205="","",IF(反向題設定!$C$28="是",反向題設定!$B$2+1-原始資料!Y205,原始資料!Y205))</f>
        <v/>
      </c>
      <c r="Z205">
        <f>IF(原始資料!Z205="","",IF(反向題設定!$C$29="是",反向題設定!$B$2+1-原始資料!Z205,原始資料!Z205))</f>
        <v/>
      </c>
      <c r="AA205">
        <f>IF(原始資料!AA205="","",IF(反向題設定!$C$30="是",反向題設定!$B$2+1-原始資料!AA205,原始資料!AA205))</f>
        <v/>
      </c>
      <c r="AB205">
        <f>IF(原始資料!AB205="","",IF(反向題設定!$C$31="是",反向題設定!$B$2+1-原始資料!AB205,原始資料!AB205))</f>
        <v/>
      </c>
      <c r="AC205">
        <f>IF(原始資料!AC205="","",IF(反向題設定!$C$32="是",反向題設定!$B$2+1-原始資料!AC205,原始資料!AC205))</f>
        <v/>
      </c>
      <c r="AD205">
        <f>IF(原始資料!AD205="","",IF(反向題設定!$C$33="是",反向題設定!$B$2+1-原始資料!AD205,原始資料!AD205))</f>
        <v/>
      </c>
      <c r="AE205">
        <f>IF(原始資料!AE205="","",IF(反向題設定!$C$34="是",反向題設定!$B$2+1-原始資料!AE205,原始資料!AE205))</f>
        <v/>
      </c>
      <c r="AF205">
        <f>IF(原始資料!AF205="","",IF(反向題設定!$C$35="是",反向題設定!$B$2+1-原始資料!AF205,原始資料!AF205))</f>
        <v/>
      </c>
      <c r="AG205">
        <f>IF(原始資料!AG205="","",IF(反向題設定!$C$36="是",反向題設定!$B$2+1-原始資料!AG205,原始資料!AG205))</f>
        <v/>
      </c>
      <c r="AH205">
        <f>IF(原始資料!AH205="","",IF(反向題設定!$C$37="是",反向題設定!$B$2+1-原始資料!AH205,原始資料!AH205))</f>
        <v/>
      </c>
      <c r="AI205">
        <f>IF(原始資料!AI205="","",IF(反向題設定!$C$38="是",反向題設定!$B$2+1-原始資料!AI205,原始資料!AI205))</f>
        <v/>
      </c>
      <c r="AJ205">
        <f>IF(原始資料!AJ205="","",IF(反向題設定!$C$39="是",反向題設定!$B$2+1-原始資料!AJ205,原始資料!AJ205))</f>
        <v/>
      </c>
      <c r="AK205">
        <f>IF(原始資料!AK205="","",IF(反向題設定!$C$40="是",反向題設定!$B$2+1-原始資料!AK205,原始資料!AK205))</f>
        <v/>
      </c>
      <c r="AL205">
        <f>IF(原始資料!AL205="","",IF(反向題設定!$C$41="是",反向題設定!$B$2+1-原始資料!AL205,原始資料!AL205))</f>
        <v/>
      </c>
      <c r="AM205">
        <f>IF(原始資料!AM205="","",IF(反向題設定!$C$42="是",反向題設定!$B$2+1-原始資料!AM205,原始資料!AM205))</f>
        <v/>
      </c>
      <c r="AN205">
        <f>IF(原始資料!AN205="","",IF(反向題設定!$C$43="是",反向題設定!$B$2+1-原始資料!AN205,原始資料!AN205))</f>
        <v/>
      </c>
      <c r="AO205">
        <f>IF(原始資料!AO205="","",IF(反向題設定!$C$44="是",反向題設定!$B$2+1-原始資料!AO205,原始資料!AO205))</f>
        <v/>
      </c>
      <c r="AP205">
        <f>IF(COUNT(B205:AO205)=0,"",SUM(B205:AO205))</f>
        <v/>
      </c>
      <c r="AQ205">
        <f>IF(AP205="","",IF(AP205&gt;=項目分析!$C$5,"高",IF(AP205&lt;=項目分析!$C$6,"低","")))</f>
        <v/>
      </c>
    </row>
    <row r="206">
      <c r="A206">
        <f>IF(原始資料!A206="","",原始資料!A206)</f>
        <v/>
      </c>
      <c r="B206">
        <f>IF(原始資料!B206="","",IF(反向題設定!$C$5="是",反向題設定!$B$2+1-原始資料!B206,原始資料!B206))</f>
        <v/>
      </c>
      <c r="C206">
        <f>IF(原始資料!C206="","",IF(反向題設定!$C$6="是",反向題設定!$B$2+1-原始資料!C206,原始資料!C206))</f>
        <v/>
      </c>
      <c r="D206">
        <f>IF(原始資料!D206="","",IF(反向題設定!$C$7="是",反向題設定!$B$2+1-原始資料!D206,原始資料!D206))</f>
        <v/>
      </c>
      <c r="E206">
        <f>IF(原始資料!E206="","",IF(反向題設定!$C$8="是",反向題設定!$B$2+1-原始資料!E206,原始資料!E206))</f>
        <v/>
      </c>
      <c r="F206">
        <f>IF(原始資料!F206="","",IF(反向題設定!$C$9="是",反向題設定!$B$2+1-原始資料!F206,原始資料!F206))</f>
        <v/>
      </c>
      <c r="G206">
        <f>IF(原始資料!G206="","",IF(反向題設定!$C$10="是",反向題設定!$B$2+1-原始資料!G206,原始資料!G206))</f>
        <v/>
      </c>
      <c r="H206">
        <f>IF(原始資料!H206="","",IF(反向題設定!$C$11="是",反向題設定!$B$2+1-原始資料!H206,原始資料!H206))</f>
        <v/>
      </c>
      <c r="I206">
        <f>IF(原始資料!I206="","",IF(反向題設定!$C$12="是",反向題設定!$B$2+1-原始資料!I206,原始資料!I206))</f>
        <v/>
      </c>
      <c r="J206">
        <f>IF(原始資料!J206="","",IF(反向題設定!$C$13="是",反向題設定!$B$2+1-原始資料!J206,原始資料!J206))</f>
        <v/>
      </c>
      <c r="K206">
        <f>IF(原始資料!K206="","",IF(反向題設定!$C$14="是",反向題設定!$B$2+1-原始資料!K206,原始資料!K206))</f>
        <v/>
      </c>
      <c r="L206">
        <f>IF(原始資料!L206="","",IF(反向題設定!$C$15="是",反向題設定!$B$2+1-原始資料!L206,原始資料!L206))</f>
        <v/>
      </c>
      <c r="M206">
        <f>IF(原始資料!M206="","",IF(反向題設定!$C$16="是",反向題設定!$B$2+1-原始資料!M206,原始資料!M206))</f>
        <v/>
      </c>
      <c r="N206">
        <f>IF(原始資料!N206="","",IF(反向題設定!$C$17="是",反向題設定!$B$2+1-原始資料!N206,原始資料!N206))</f>
        <v/>
      </c>
      <c r="O206">
        <f>IF(原始資料!O206="","",IF(反向題設定!$C$18="是",反向題設定!$B$2+1-原始資料!O206,原始資料!O206))</f>
        <v/>
      </c>
      <c r="P206">
        <f>IF(原始資料!P206="","",IF(反向題設定!$C$19="是",反向題設定!$B$2+1-原始資料!P206,原始資料!P206))</f>
        <v/>
      </c>
      <c r="Q206">
        <f>IF(原始資料!Q206="","",IF(反向題設定!$C$20="是",反向題設定!$B$2+1-原始資料!Q206,原始資料!Q206))</f>
        <v/>
      </c>
      <c r="R206">
        <f>IF(原始資料!R206="","",IF(反向題設定!$C$21="是",反向題設定!$B$2+1-原始資料!R206,原始資料!R206))</f>
        <v/>
      </c>
      <c r="S206">
        <f>IF(原始資料!S206="","",IF(反向題設定!$C$22="是",反向題設定!$B$2+1-原始資料!S206,原始資料!S206))</f>
        <v/>
      </c>
      <c r="T206">
        <f>IF(原始資料!T206="","",IF(反向題設定!$C$23="是",反向題設定!$B$2+1-原始資料!T206,原始資料!T206))</f>
        <v/>
      </c>
      <c r="U206">
        <f>IF(原始資料!U206="","",IF(反向題設定!$C$24="是",反向題設定!$B$2+1-原始資料!U206,原始資料!U206))</f>
        <v/>
      </c>
      <c r="V206">
        <f>IF(原始資料!V206="","",IF(反向題設定!$C$25="是",反向題設定!$B$2+1-原始資料!V206,原始資料!V206))</f>
        <v/>
      </c>
      <c r="W206">
        <f>IF(原始資料!W206="","",IF(反向題設定!$C$26="是",反向題設定!$B$2+1-原始資料!W206,原始資料!W206))</f>
        <v/>
      </c>
      <c r="X206">
        <f>IF(原始資料!X206="","",IF(反向題設定!$C$27="是",反向題設定!$B$2+1-原始資料!X206,原始資料!X206))</f>
        <v/>
      </c>
      <c r="Y206">
        <f>IF(原始資料!Y206="","",IF(反向題設定!$C$28="是",反向題設定!$B$2+1-原始資料!Y206,原始資料!Y206))</f>
        <v/>
      </c>
      <c r="Z206">
        <f>IF(原始資料!Z206="","",IF(反向題設定!$C$29="是",反向題設定!$B$2+1-原始資料!Z206,原始資料!Z206))</f>
        <v/>
      </c>
      <c r="AA206">
        <f>IF(原始資料!AA206="","",IF(反向題設定!$C$30="是",反向題設定!$B$2+1-原始資料!AA206,原始資料!AA206))</f>
        <v/>
      </c>
      <c r="AB206">
        <f>IF(原始資料!AB206="","",IF(反向題設定!$C$31="是",反向題設定!$B$2+1-原始資料!AB206,原始資料!AB206))</f>
        <v/>
      </c>
      <c r="AC206">
        <f>IF(原始資料!AC206="","",IF(反向題設定!$C$32="是",反向題設定!$B$2+1-原始資料!AC206,原始資料!AC206))</f>
        <v/>
      </c>
      <c r="AD206">
        <f>IF(原始資料!AD206="","",IF(反向題設定!$C$33="是",反向題設定!$B$2+1-原始資料!AD206,原始資料!AD206))</f>
        <v/>
      </c>
      <c r="AE206">
        <f>IF(原始資料!AE206="","",IF(反向題設定!$C$34="是",反向題設定!$B$2+1-原始資料!AE206,原始資料!AE206))</f>
        <v/>
      </c>
      <c r="AF206">
        <f>IF(原始資料!AF206="","",IF(反向題設定!$C$35="是",反向題設定!$B$2+1-原始資料!AF206,原始資料!AF206))</f>
        <v/>
      </c>
      <c r="AG206">
        <f>IF(原始資料!AG206="","",IF(反向題設定!$C$36="是",反向題設定!$B$2+1-原始資料!AG206,原始資料!AG206))</f>
        <v/>
      </c>
      <c r="AH206">
        <f>IF(原始資料!AH206="","",IF(反向題設定!$C$37="是",反向題設定!$B$2+1-原始資料!AH206,原始資料!AH206))</f>
        <v/>
      </c>
      <c r="AI206">
        <f>IF(原始資料!AI206="","",IF(反向題設定!$C$38="是",反向題設定!$B$2+1-原始資料!AI206,原始資料!AI206))</f>
        <v/>
      </c>
      <c r="AJ206">
        <f>IF(原始資料!AJ206="","",IF(反向題設定!$C$39="是",反向題設定!$B$2+1-原始資料!AJ206,原始資料!AJ206))</f>
        <v/>
      </c>
      <c r="AK206">
        <f>IF(原始資料!AK206="","",IF(反向題設定!$C$40="是",反向題設定!$B$2+1-原始資料!AK206,原始資料!AK206))</f>
        <v/>
      </c>
      <c r="AL206">
        <f>IF(原始資料!AL206="","",IF(反向題設定!$C$41="是",反向題設定!$B$2+1-原始資料!AL206,原始資料!AL206))</f>
        <v/>
      </c>
      <c r="AM206">
        <f>IF(原始資料!AM206="","",IF(反向題設定!$C$42="是",反向題設定!$B$2+1-原始資料!AM206,原始資料!AM206))</f>
        <v/>
      </c>
      <c r="AN206">
        <f>IF(原始資料!AN206="","",IF(反向題設定!$C$43="是",反向題設定!$B$2+1-原始資料!AN206,原始資料!AN206))</f>
        <v/>
      </c>
      <c r="AO206">
        <f>IF(原始資料!AO206="","",IF(反向題設定!$C$44="是",反向題設定!$B$2+1-原始資料!AO206,原始資料!AO206))</f>
        <v/>
      </c>
      <c r="AP206">
        <f>IF(COUNT(B206:AO206)=0,"",SUM(B206:AO206))</f>
        <v/>
      </c>
      <c r="AQ206">
        <f>IF(AP206="","",IF(AP206&gt;=項目分析!$C$5,"高",IF(AP206&lt;=項目分析!$C$6,"低","")))</f>
        <v/>
      </c>
    </row>
    <row r="207">
      <c r="A207">
        <f>IF(原始資料!A207="","",原始資料!A207)</f>
        <v/>
      </c>
      <c r="B207">
        <f>IF(原始資料!B207="","",IF(反向題設定!$C$5="是",反向題設定!$B$2+1-原始資料!B207,原始資料!B207))</f>
        <v/>
      </c>
      <c r="C207">
        <f>IF(原始資料!C207="","",IF(反向題設定!$C$6="是",反向題設定!$B$2+1-原始資料!C207,原始資料!C207))</f>
        <v/>
      </c>
      <c r="D207">
        <f>IF(原始資料!D207="","",IF(反向題設定!$C$7="是",反向題設定!$B$2+1-原始資料!D207,原始資料!D207))</f>
        <v/>
      </c>
      <c r="E207">
        <f>IF(原始資料!E207="","",IF(反向題設定!$C$8="是",反向題設定!$B$2+1-原始資料!E207,原始資料!E207))</f>
        <v/>
      </c>
      <c r="F207">
        <f>IF(原始資料!F207="","",IF(反向題設定!$C$9="是",反向題設定!$B$2+1-原始資料!F207,原始資料!F207))</f>
        <v/>
      </c>
      <c r="G207">
        <f>IF(原始資料!G207="","",IF(反向題設定!$C$10="是",反向題設定!$B$2+1-原始資料!G207,原始資料!G207))</f>
        <v/>
      </c>
      <c r="H207">
        <f>IF(原始資料!H207="","",IF(反向題設定!$C$11="是",反向題設定!$B$2+1-原始資料!H207,原始資料!H207))</f>
        <v/>
      </c>
      <c r="I207">
        <f>IF(原始資料!I207="","",IF(反向題設定!$C$12="是",反向題設定!$B$2+1-原始資料!I207,原始資料!I207))</f>
        <v/>
      </c>
      <c r="J207">
        <f>IF(原始資料!J207="","",IF(反向題設定!$C$13="是",反向題設定!$B$2+1-原始資料!J207,原始資料!J207))</f>
        <v/>
      </c>
      <c r="K207">
        <f>IF(原始資料!K207="","",IF(反向題設定!$C$14="是",反向題設定!$B$2+1-原始資料!K207,原始資料!K207))</f>
        <v/>
      </c>
      <c r="L207">
        <f>IF(原始資料!L207="","",IF(反向題設定!$C$15="是",反向題設定!$B$2+1-原始資料!L207,原始資料!L207))</f>
        <v/>
      </c>
      <c r="M207">
        <f>IF(原始資料!M207="","",IF(反向題設定!$C$16="是",反向題設定!$B$2+1-原始資料!M207,原始資料!M207))</f>
        <v/>
      </c>
      <c r="N207">
        <f>IF(原始資料!N207="","",IF(反向題設定!$C$17="是",反向題設定!$B$2+1-原始資料!N207,原始資料!N207))</f>
        <v/>
      </c>
      <c r="O207">
        <f>IF(原始資料!O207="","",IF(反向題設定!$C$18="是",反向題設定!$B$2+1-原始資料!O207,原始資料!O207))</f>
        <v/>
      </c>
      <c r="P207">
        <f>IF(原始資料!P207="","",IF(反向題設定!$C$19="是",反向題設定!$B$2+1-原始資料!P207,原始資料!P207))</f>
        <v/>
      </c>
      <c r="Q207">
        <f>IF(原始資料!Q207="","",IF(反向題設定!$C$20="是",反向題設定!$B$2+1-原始資料!Q207,原始資料!Q207))</f>
        <v/>
      </c>
      <c r="R207">
        <f>IF(原始資料!R207="","",IF(反向題設定!$C$21="是",反向題設定!$B$2+1-原始資料!R207,原始資料!R207))</f>
        <v/>
      </c>
      <c r="S207">
        <f>IF(原始資料!S207="","",IF(反向題設定!$C$22="是",反向題設定!$B$2+1-原始資料!S207,原始資料!S207))</f>
        <v/>
      </c>
      <c r="T207">
        <f>IF(原始資料!T207="","",IF(反向題設定!$C$23="是",反向題設定!$B$2+1-原始資料!T207,原始資料!T207))</f>
        <v/>
      </c>
      <c r="U207">
        <f>IF(原始資料!U207="","",IF(反向題設定!$C$24="是",反向題設定!$B$2+1-原始資料!U207,原始資料!U207))</f>
        <v/>
      </c>
      <c r="V207">
        <f>IF(原始資料!V207="","",IF(反向題設定!$C$25="是",反向題設定!$B$2+1-原始資料!V207,原始資料!V207))</f>
        <v/>
      </c>
      <c r="W207">
        <f>IF(原始資料!W207="","",IF(反向題設定!$C$26="是",反向題設定!$B$2+1-原始資料!W207,原始資料!W207))</f>
        <v/>
      </c>
      <c r="X207">
        <f>IF(原始資料!X207="","",IF(反向題設定!$C$27="是",反向題設定!$B$2+1-原始資料!X207,原始資料!X207))</f>
        <v/>
      </c>
      <c r="Y207">
        <f>IF(原始資料!Y207="","",IF(反向題設定!$C$28="是",反向題設定!$B$2+1-原始資料!Y207,原始資料!Y207))</f>
        <v/>
      </c>
      <c r="Z207">
        <f>IF(原始資料!Z207="","",IF(反向題設定!$C$29="是",反向題設定!$B$2+1-原始資料!Z207,原始資料!Z207))</f>
        <v/>
      </c>
      <c r="AA207">
        <f>IF(原始資料!AA207="","",IF(反向題設定!$C$30="是",反向題設定!$B$2+1-原始資料!AA207,原始資料!AA207))</f>
        <v/>
      </c>
      <c r="AB207">
        <f>IF(原始資料!AB207="","",IF(反向題設定!$C$31="是",反向題設定!$B$2+1-原始資料!AB207,原始資料!AB207))</f>
        <v/>
      </c>
      <c r="AC207">
        <f>IF(原始資料!AC207="","",IF(反向題設定!$C$32="是",反向題設定!$B$2+1-原始資料!AC207,原始資料!AC207))</f>
        <v/>
      </c>
      <c r="AD207">
        <f>IF(原始資料!AD207="","",IF(反向題設定!$C$33="是",反向題設定!$B$2+1-原始資料!AD207,原始資料!AD207))</f>
        <v/>
      </c>
      <c r="AE207">
        <f>IF(原始資料!AE207="","",IF(反向題設定!$C$34="是",反向題設定!$B$2+1-原始資料!AE207,原始資料!AE207))</f>
        <v/>
      </c>
      <c r="AF207">
        <f>IF(原始資料!AF207="","",IF(反向題設定!$C$35="是",反向題設定!$B$2+1-原始資料!AF207,原始資料!AF207))</f>
        <v/>
      </c>
      <c r="AG207">
        <f>IF(原始資料!AG207="","",IF(反向題設定!$C$36="是",反向題設定!$B$2+1-原始資料!AG207,原始資料!AG207))</f>
        <v/>
      </c>
      <c r="AH207">
        <f>IF(原始資料!AH207="","",IF(反向題設定!$C$37="是",反向題設定!$B$2+1-原始資料!AH207,原始資料!AH207))</f>
        <v/>
      </c>
      <c r="AI207">
        <f>IF(原始資料!AI207="","",IF(反向題設定!$C$38="是",反向題設定!$B$2+1-原始資料!AI207,原始資料!AI207))</f>
        <v/>
      </c>
      <c r="AJ207">
        <f>IF(原始資料!AJ207="","",IF(反向題設定!$C$39="是",反向題設定!$B$2+1-原始資料!AJ207,原始資料!AJ207))</f>
        <v/>
      </c>
      <c r="AK207">
        <f>IF(原始資料!AK207="","",IF(反向題設定!$C$40="是",反向題設定!$B$2+1-原始資料!AK207,原始資料!AK207))</f>
        <v/>
      </c>
      <c r="AL207">
        <f>IF(原始資料!AL207="","",IF(反向題設定!$C$41="是",反向題設定!$B$2+1-原始資料!AL207,原始資料!AL207))</f>
        <v/>
      </c>
      <c r="AM207">
        <f>IF(原始資料!AM207="","",IF(反向題設定!$C$42="是",反向題設定!$B$2+1-原始資料!AM207,原始資料!AM207))</f>
        <v/>
      </c>
      <c r="AN207">
        <f>IF(原始資料!AN207="","",IF(反向題設定!$C$43="是",反向題設定!$B$2+1-原始資料!AN207,原始資料!AN207))</f>
        <v/>
      </c>
      <c r="AO207">
        <f>IF(原始資料!AO207="","",IF(反向題設定!$C$44="是",反向題設定!$B$2+1-原始資料!AO207,原始資料!AO207))</f>
        <v/>
      </c>
      <c r="AP207">
        <f>IF(COUNT(B207:AO207)=0,"",SUM(B207:AO207))</f>
        <v/>
      </c>
      <c r="AQ207">
        <f>IF(AP207="","",IF(AP207&gt;=項目分析!$C$5,"高",IF(AP207&lt;=項目分析!$C$6,"低","")))</f>
        <v/>
      </c>
    </row>
    <row r="208">
      <c r="A208">
        <f>IF(原始資料!A208="","",原始資料!A208)</f>
        <v/>
      </c>
      <c r="B208">
        <f>IF(原始資料!B208="","",IF(反向題設定!$C$5="是",反向題設定!$B$2+1-原始資料!B208,原始資料!B208))</f>
        <v/>
      </c>
      <c r="C208">
        <f>IF(原始資料!C208="","",IF(反向題設定!$C$6="是",反向題設定!$B$2+1-原始資料!C208,原始資料!C208))</f>
        <v/>
      </c>
      <c r="D208">
        <f>IF(原始資料!D208="","",IF(反向題設定!$C$7="是",反向題設定!$B$2+1-原始資料!D208,原始資料!D208))</f>
        <v/>
      </c>
      <c r="E208">
        <f>IF(原始資料!E208="","",IF(反向題設定!$C$8="是",反向題設定!$B$2+1-原始資料!E208,原始資料!E208))</f>
        <v/>
      </c>
      <c r="F208">
        <f>IF(原始資料!F208="","",IF(反向題設定!$C$9="是",反向題設定!$B$2+1-原始資料!F208,原始資料!F208))</f>
        <v/>
      </c>
      <c r="G208">
        <f>IF(原始資料!G208="","",IF(反向題設定!$C$10="是",反向題設定!$B$2+1-原始資料!G208,原始資料!G208))</f>
        <v/>
      </c>
      <c r="H208">
        <f>IF(原始資料!H208="","",IF(反向題設定!$C$11="是",反向題設定!$B$2+1-原始資料!H208,原始資料!H208))</f>
        <v/>
      </c>
      <c r="I208">
        <f>IF(原始資料!I208="","",IF(反向題設定!$C$12="是",反向題設定!$B$2+1-原始資料!I208,原始資料!I208))</f>
        <v/>
      </c>
      <c r="J208">
        <f>IF(原始資料!J208="","",IF(反向題設定!$C$13="是",反向題設定!$B$2+1-原始資料!J208,原始資料!J208))</f>
        <v/>
      </c>
      <c r="K208">
        <f>IF(原始資料!K208="","",IF(反向題設定!$C$14="是",反向題設定!$B$2+1-原始資料!K208,原始資料!K208))</f>
        <v/>
      </c>
      <c r="L208">
        <f>IF(原始資料!L208="","",IF(反向題設定!$C$15="是",反向題設定!$B$2+1-原始資料!L208,原始資料!L208))</f>
        <v/>
      </c>
      <c r="M208">
        <f>IF(原始資料!M208="","",IF(反向題設定!$C$16="是",反向題設定!$B$2+1-原始資料!M208,原始資料!M208))</f>
        <v/>
      </c>
      <c r="N208">
        <f>IF(原始資料!N208="","",IF(反向題設定!$C$17="是",反向題設定!$B$2+1-原始資料!N208,原始資料!N208))</f>
        <v/>
      </c>
      <c r="O208">
        <f>IF(原始資料!O208="","",IF(反向題設定!$C$18="是",反向題設定!$B$2+1-原始資料!O208,原始資料!O208))</f>
        <v/>
      </c>
      <c r="P208">
        <f>IF(原始資料!P208="","",IF(反向題設定!$C$19="是",反向題設定!$B$2+1-原始資料!P208,原始資料!P208))</f>
        <v/>
      </c>
      <c r="Q208">
        <f>IF(原始資料!Q208="","",IF(反向題設定!$C$20="是",反向題設定!$B$2+1-原始資料!Q208,原始資料!Q208))</f>
        <v/>
      </c>
      <c r="R208">
        <f>IF(原始資料!R208="","",IF(反向題設定!$C$21="是",反向題設定!$B$2+1-原始資料!R208,原始資料!R208))</f>
        <v/>
      </c>
      <c r="S208">
        <f>IF(原始資料!S208="","",IF(反向題設定!$C$22="是",反向題設定!$B$2+1-原始資料!S208,原始資料!S208))</f>
        <v/>
      </c>
      <c r="T208">
        <f>IF(原始資料!T208="","",IF(反向題設定!$C$23="是",反向題設定!$B$2+1-原始資料!T208,原始資料!T208))</f>
        <v/>
      </c>
      <c r="U208">
        <f>IF(原始資料!U208="","",IF(反向題設定!$C$24="是",反向題設定!$B$2+1-原始資料!U208,原始資料!U208))</f>
        <v/>
      </c>
      <c r="V208">
        <f>IF(原始資料!V208="","",IF(反向題設定!$C$25="是",反向題設定!$B$2+1-原始資料!V208,原始資料!V208))</f>
        <v/>
      </c>
      <c r="W208">
        <f>IF(原始資料!W208="","",IF(反向題設定!$C$26="是",反向題設定!$B$2+1-原始資料!W208,原始資料!W208))</f>
        <v/>
      </c>
      <c r="X208">
        <f>IF(原始資料!X208="","",IF(反向題設定!$C$27="是",反向題設定!$B$2+1-原始資料!X208,原始資料!X208))</f>
        <v/>
      </c>
      <c r="Y208">
        <f>IF(原始資料!Y208="","",IF(反向題設定!$C$28="是",反向題設定!$B$2+1-原始資料!Y208,原始資料!Y208))</f>
        <v/>
      </c>
      <c r="Z208">
        <f>IF(原始資料!Z208="","",IF(反向題設定!$C$29="是",反向題設定!$B$2+1-原始資料!Z208,原始資料!Z208))</f>
        <v/>
      </c>
      <c r="AA208">
        <f>IF(原始資料!AA208="","",IF(反向題設定!$C$30="是",反向題設定!$B$2+1-原始資料!AA208,原始資料!AA208))</f>
        <v/>
      </c>
      <c r="AB208">
        <f>IF(原始資料!AB208="","",IF(反向題設定!$C$31="是",反向題設定!$B$2+1-原始資料!AB208,原始資料!AB208))</f>
        <v/>
      </c>
      <c r="AC208">
        <f>IF(原始資料!AC208="","",IF(反向題設定!$C$32="是",反向題設定!$B$2+1-原始資料!AC208,原始資料!AC208))</f>
        <v/>
      </c>
      <c r="AD208">
        <f>IF(原始資料!AD208="","",IF(反向題設定!$C$33="是",反向題設定!$B$2+1-原始資料!AD208,原始資料!AD208))</f>
        <v/>
      </c>
      <c r="AE208">
        <f>IF(原始資料!AE208="","",IF(反向題設定!$C$34="是",反向題設定!$B$2+1-原始資料!AE208,原始資料!AE208))</f>
        <v/>
      </c>
      <c r="AF208">
        <f>IF(原始資料!AF208="","",IF(反向題設定!$C$35="是",反向題設定!$B$2+1-原始資料!AF208,原始資料!AF208))</f>
        <v/>
      </c>
      <c r="AG208">
        <f>IF(原始資料!AG208="","",IF(反向題設定!$C$36="是",反向題設定!$B$2+1-原始資料!AG208,原始資料!AG208))</f>
        <v/>
      </c>
      <c r="AH208">
        <f>IF(原始資料!AH208="","",IF(反向題設定!$C$37="是",反向題設定!$B$2+1-原始資料!AH208,原始資料!AH208))</f>
        <v/>
      </c>
      <c r="AI208">
        <f>IF(原始資料!AI208="","",IF(反向題設定!$C$38="是",反向題設定!$B$2+1-原始資料!AI208,原始資料!AI208))</f>
        <v/>
      </c>
      <c r="AJ208">
        <f>IF(原始資料!AJ208="","",IF(反向題設定!$C$39="是",反向題設定!$B$2+1-原始資料!AJ208,原始資料!AJ208))</f>
        <v/>
      </c>
      <c r="AK208">
        <f>IF(原始資料!AK208="","",IF(反向題設定!$C$40="是",反向題設定!$B$2+1-原始資料!AK208,原始資料!AK208))</f>
        <v/>
      </c>
      <c r="AL208">
        <f>IF(原始資料!AL208="","",IF(反向題設定!$C$41="是",反向題設定!$B$2+1-原始資料!AL208,原始資料!AL208))</f>
        <v/>
      </c>
      <c r="AM208">
        <f>IF(原始資料!AM208="","",IF(反向題設定!$C$42="是",反向題設定!$B$2+1-原始資料!AM208,原始資料!AM208))</f>
        <v/>
      </c>
      <c r="AN208">
        <f>IF(原始資料!AN208="","",IF(反向題設定!$C$43="是",反向題設定!$B$2+1-原始資料!AN208,原始資料!AN208))</f>
        <v/>
      </c>
      <c r="AO208">
        <f>IF(原始資料!AO208="","",IF(反向題設定!$C$44="是",反向題設定!$B$2+1-原始資料!AO208,原始資料!AO208))</f>
        <v/>
      </c>
      <c r="AP208">
        <f>IF(COUNT(B208:AO208)=0,"",SUM(B208:AO208))</f>
        <v/>
      </c>
      <c r="AQ208">
        <f>IF(AP208="","",IF(AP208&gt;=項目分析!$C$5,"高",IF(AP208&lt;=項目分析!$C$6,"低","")))</f>
        <v/>
      </c>
    </row>
    <row r="209">
      <c r="A209">
        <f>IF(原始資料!A209="","",原始資料!A209)</f>
        <v/>
      </c>
      <c r="B209">
        <f>IF(原始資料!B209="","",IF(反向題設定!$C$5="是",反向題設定!$B$2+1-原始資料!B209,原始資料!B209))</f>
        <v/>
      </c>
      <c r="C209">
        <f>IF(原始資料!C209="","",IF(反向題設定!$C$6="是",反向題設定!$B$2+1-原始資料!C209,原始資料!C209))</f>
        <v/>
      </c>
      <c r="D209">
        <f>IF(原始資料!D209="","",IF(反向題設定!$C$7="是",反向題設定!$B$2+1-原始資料!D209,原始資料!D209))</f>
        <v/>
      </c>
      <c r="E209">
        <f>IF(原始資料!E209="","",IF(反向題設定!$C$8="是",反向題設定!$B$2+1-原始資料!E209,原始資料!E209))</f>
        <v/>
      </c>
      <c r="F209">
        <f>IF(原始資料!F209="","",IF(反向題設定!$C$9="是",反向題設定!$B$2+1-原始資料!F209,原始資料!F209))</f>
        <v/>
      </c>
      <c r="G209">
        <f>IF(原始資料!G209="","",IF(反向題設定!$C$10="是",反向題設定!$B$2+1-原始資料!G209,原始資料!G209))</f>
        <v/>
      </c>
      <c r="H209">
        <f>IF(原始資料!H209="","",IF(反向題設定!$C$11="是",反向題設定!$B$2+1-原始資料!H209,原始資料!H209))</f>
        <v/>
      </c>
      <c r="I209">
        <f>IF(原始資料!I209="","",IF(反向題設定!$C$12="是",反向題設定!$B$2+1-原始資料!I209,原始資料!I209))</f>
        <v/>
      </c>
      <c r="J209">
        <f>IF(原始資料!J209="","",IF(反向題設定!$C$13="是",反向題設定!$B$2+1-原始資料!J209,原始資料!J209))</f>
        <v/>
      </c>
      <c r="K209">
        <f>IF(原始資料!K209="","",IF(反向題設定!$C$14="是",反向題設定!$B$2+1-原始資料!K209,原始資料!K209))</f>
        <v/>
      </c>
      <c r="L209">
        <f>IF(原始資料!L209="","",IF(反向題設定!$C$15="是",反向題設定!$B$2+1-原始資料!L209,原始資料!L209))</f>
        <v/>
      </c>
      <c r="M209">
        <f>IF(原始資料!M209="","",IF(反向題設定!$C$16="是",反向題設定!$B$2+1-原始資料!M209,原始資料!M209))</f>
        <v/>
      </c>
      <c r="N209">
        <f>IF(原始資料!N209="","",IF(反向題設定!$C$17="是",反向題設定!$B$2+1-原始資料!N209,原始資料!N209))</f>
        <v/>
      </c>
      <c r="O209">
        <f>IF(原始資料!O209="","",IF(反向題設定!$C$18="是",反向題設定!$B$2+1-原始資料!O209,原始資料!O209))</f>
        <v/>
      </c>
      <c r="P209">
        <f>IF(原始資料!P209="","",IF(反向題設定!$C$19="是",反向題設定!$B$2+1-原始資料!P209,原始資料!P209))</f>
        <v/>
      </c>
      <c r="Q209">
        <f>IF(原始資料!Q209="","",IF(反向題設定!$C$20="是",反向題設定!$B$2+1-原始資料!Q209,原始資料!Q209))</f>
        <v/>
      </c>
      <c r="R209">
        <f>IF(原始資料!R209="","",IF(反向題設定!$C$21="是",反向題設定!$B$2+1-原始資料!R209,原始資料!R209))</f>
        <v/>
      </c>
      <c r="S209">
        <f>IF(原始資料!S209="","",IF(反向題設定!$C$22="是",反向題設定!$B$2+1-原始資料!S209,原始資料!S209))</f>
        <v/>
      </c>
      <c r="T209">
        <f>IF(原始資料!T209="","",IF(反向題設定!$C$23="是",反向題設定!$B$2+1-原始資料!T209,原始資料!T209))</f>
        <v/>
      </c>
      <c r="U209">
        <f>IF(原始資料!U209="","",IF(反向題設定!$C$24="是",反向題設定!$B$2+1-原始資料!U209,原始資料!U209))</f>
        <v/>
      </c>
      <c r="V209">
        <f>IF(原始資料!V209="","",IF(反向題設定!$C$25="是",反向題設定!$B$2+1-原始資料!V209,原始資料!V209))</f>
        <v/>
      </c>
      <c r="W209">
        <f>IF(原始資料!W209="","",IF(反向題設定!$C$26="是",反向題設定!$B$2+1-原始資料!W209,原始資料!W209))</f>
        <v/>
      </c>
      <c r="X209">
        <f>IF(原始資料!X209="","",IF(反向題設定!$C$27="是",反向題設定!$B$2+1-原始資料!X209,原始資料!X209))</f>
        <v/>
      </c>
      <c r="Y209">
        <f>IF(原始資料!Y209="","",IF(反向題設定!$C$28="是",反向題設定!$B$2+1-原始資料!Y209,原始資料!Y209))</f>
        <v/>
      </c>
      <c r="Z209">
        <f>IF(原始資料!Z209="","",IF(反向題設定!$C$29="是",反向題設定!$B$2+1-原始資料!Z209,原始資料!Z209))</f>
        <v/>
      </c>
      <c r="AA209">
        <f>IF(原始資料!AA209="","",IF(反向題設定!$C$30="是",反向題設定!$B$2+1-原始資料!AA209,原始資料!AA209))</f>
        <v/>
      </c>
      <c r="AB209">
        <f>IF(原始資料!AB209="","",IF(反向題設定!$C$31="是",反向題設定!$B$2+1-原始資料!AB209,原始資料!AB209))</f>
        <v/>
      </c>
      <c r="AC209">
        <f>IF(原始資料!AC209="","",IF(反向題設定!$C$32="是",反向題設定!$B$2+1-原始資料!AC209,原始資料!AC209))</f>
        <v/>
      </c>
      <c r="AD209">
        <f>IF(原始資料!AD209="","",IF(反向題設定!$C$33="是",反向題設定!$B$2+1-原始資料!AD209,原始資料!AD209))</f>
        <v/>
      </c>
      <c r="AE209">
        <f>IF(原始資料!AE209="","",IF(反向題設定!$C$34="是",反向題設定!$B$2+1-原始資料!AE209,原始資料!AE209))</f>
        <v/>
      </c>
      <c r="AF209">
        <f>IF(原始資料!AF209="","",IF(反向題設定!$C$35="是",反向題設定!$B$2+1-原始資料!AF209,原始資料!AF209))</f>
        <v/>
      </c>
      <c r="AG209">
        <f>IF(原始資料!AG209="","",IF(反向題設定!$C$36="是",反向題設定!$B$2+1-原始資料!AG209,原始資料!AG209))</f>
        <v/>
      </c>
      <c r="AH209">
        <f>IF(原始資料!AH209="","",IF(反向題設定!$C$37="是",反向題設定!$B$2+1-原始資料!AH209,原始資料!AH209))</f>
        <v/>
      </c>
      <c r="AI209">
        <f>IF(原始資料!AI209="","",IF(反向題設定!$C$38="是",反向題設定!$B$2+1-原始資料!AI209,原始資料!AI209))</f>
        <v/>
      </c>
      <c r="AJ209">
        <f>IF(原始資料!AJ209="","",IF(反向題設定!$C$39="是",反向題設定!$B$2+1-原始資料!AJ209,原始資料!AJ209))</f>
        <v/>
      </c>
      <c r="AK209">
        <f>IF(原始資料!AK209="","",IF(反向題設定!$C$40="是",反向題設定!$B$2+1-原始資料!AK209,原始資料!AK209))</f>
        <v/>
      </c>
      <c r="AL209">
        <f>IF(原始資料!AL209="","",IF(反向題設定!$C$41="是",反向題設定!$B$2+1-原始資料!AL209,原始資料!AL209))</f>
        <v/>
      </c>
      <c r="AM209">
        <f>IF(原始資料!AM209="","",IF(反向題設定!$C$42="是",反向題設定!$B$2+1-原始資料!AM209,原始資料!AM209))</f>
        <v/>
      </c>
      <c r="AN209">
        <f>IF(原始資料!AN209="","",IF(反向題設定!$C$43="是",反向題設定!$B$2+1-原始資料!AN209,原始資料!AN209))</f>
        <v/>
      </c>
      <c r="AO209">
        <f>IF(原始資料!AO209="","",IF(反向題設定!$C$44="是",反向題設定!$B$2+1-原始資料!AO209,原始資料!AO209))</f>
        <v/>
      </c>
      <c r="AP209">
        <f>IF(COUNT(B209:AO209)=0,"",SUM(B209:AO209))</f>
        <v/>
      </c>
      <c r="AQ209">
        <f>IF(AP209="","",IF(AP209&gt;=項目分析!$C$5,"高",IF(AP209&lt;=項目分析!$C$6,"低","")))</f>
        <v/>
      </c>
    </row>
    <row r="210">
      <c r="A210">
        <f>IF(原始資料!A210="","",原始資料!A210)</f>
        <v/>
      </c>
      <c r="B210">
        <f>IF(原始資料!B210="","",IF(反向題設定!$C$5="是",反向題設定!$B$2+1-原始資料!B210,原始資料!B210))</f>
        <v/>
      </c>
      <c r="C210">
        <f>IF(原始資料!C210="","",IF(反向題設定!$C$6="是",反向題設定!$B$2+1-原始資料!C210,原始資料!C210))</f>
        <v/>
      </c>
      <c r="D210">
        <f>IF(原始資料!D210="","",IF(反向題設定!$C$7="是",反向題設定!$B$2+1-原始資料!D210,原始資料!D210))</f>
        <v/>
      </c>
      <c r="E210">
        <f>IF(原始資料!E210="","",IF(反向題設定!$C$8="是",反向題設定!$B$2+1-原始資料!E210,原始資料!E210))</f>
        <v/>
      </c>
      <c r="F210">
        <f>IF(原始資料!F210="","",IF(反向題設定!$C$9="是",反向題設定!$B$2+1-原始資料!F210,原始資料!F210))</f>
        <v/>
      </c>
      <c r="G210">
        <f>IF(原始資料!G210="","",IF(反向題設定!$C$10="是",反向題設定!$B$2+1-原始資料!G210,原始資料!G210))</f>
        <v/>
      </c>
      <c r="H210">
        <f>IF(原始資料!H210="","",IF(反向題設定!$C$11="是",反向題設定!$B$2+1-原始資料!H210,原始資料!H210))</f>
        <v/>
      </c>
      <c r="I210">
        <f>IF(原始資料!I210="","",IF(反向題設定!$C$12="是",反向題設定!$B$2+1-原始資料!I210,原始資料!I210))</f>
        <v/>
      </c>
      <c r="J210">
        <f>IF(原始資料!J210="","",IF(反向題設定!$C$13="是",反向題設定!$B$2+1-原始資料!J210,原始資料!J210))</f>
        <v/>
      </c>
      <c r="K210">
        <f>IF(原始資料!K210="","",IF(反向題設定!$C$14="是",反向題設定!$B$2+1-原始資料!K210,原始資料!K210))</f>
        <v/>
      </c>
      <c r="L210">
        <f>IF(原始資料!L210="","",IF(反向題設定!$C$15="是",反向題設定!$B$2+1-原始資料!L210,原始資料!L210))</f>
        <v/>
      </c>
      <c r="M210">
        <f>IF(原始資料!M210="","",IF(反向題設定!$C$16="是",反向題設定!$B$2+1-原始資料!M210,原始資料!M210))</f>
        <v/>
      </c>
      <c r="N210">
        <f>IF(原始資料!N210="","",IF(反向題設定!$C$17="是",反向題設定!$B$2+1-原始資料!N210,原始資料!N210))</f>
        <v/>
      </c>
      <c r="O210">
        <f>IF(原始資料!O210="","",IF(反向題設定!$C$18="是",反向題設定!$B$2+1-原始資料!O210,原始資料!O210))</f>
        <v/>
      </c>
      <c r="P210">
        <f>IF(原始資料!P210="","",IF(反向題設定!$C$19="是",反向題設定!$B$2+1-原始資料!P210,原始資料!P210))</f>
        <v/>
      </c>
      <c r="Q210">
        <f>IF(原始資料!Q210="","",IF(反向題設定!$C$20="是",反向題設定!$B$2+1-原始資料!Q210,原始資料!Q210))</f>
        <v/>
      </c>
      <c r="R210">
        <f>IF(原始資料!R210="","",IF(反向題設定!$C$21="是",反向題設定!$B$2+1-原始資料!R210,原始資料!R210))</f>
        <v/>
      </c>
      <c r="S210">
        <f>IF(原始資料!S210="","",IF(反向題設定!$C$22="是",反向題設定!$B$2+1-原始資料!S210,原始資料!S210))</f>
        <v/>
      </c>
      <c r="T210">
        <f>IF(原始資料!T210="","",IF(反向題設定!$C$23="是",反向題設定!$B$2+1-原始資料!T210,原始資料!T210))</f>
        <v/>
      </c>
      <c r="U210">
        <f>IF(原始資料!U210="","",IF(反向題設定!$C$24="是",反向題設定!$B$2+1-原始資料!U210,原始資料!U210))</f>
        <v/>
      </c>
      <c r="V210">
        <f>IF(原始資料!V210="","",IF(反向題設定!$C$25="是",反向題設定!$B$2+1-原始資料!V210,原始資料!V210))</f>
        <v/>
      </c>
      <c r="W210">
        <f>IF(原始資料!W210="","",IF(反向題設定!$C$26="是",反向題設定!$B$2+1-原始資料!W210,原始資料!W210))</f>
        <v/>
      </c>
      <c r="X210">
        <f>IF(原始資料!X210="","",IF(反向題設定!$C$27="是",反向題設定!$B$2+1-原始資料!X210,原始資料!X210))</f>
        <v/>
      </c>
      <c r="Y210">
        <f>IF(原始資料!Y210="","",IF(反向題設定!$C$28="是",反向題設定!$B$2+1-原始資料!Y210,原始資料!Y210))</f>
        <v/>
      </c>
      <c r="Z210">
        <f>IF(原始資料!Z210="","",IF(反向題設定!$C$29="是",反向題設定!$B$2+1-原始資料!Z210,原始資料!Z210))</f>
        <v/>
      </c>
      <c r="AA210">
        <f>IF(原始資料!AA210="","",IF(反向題設定!$C$30="是",反向題設定!$B$2+1-原始資料!AA210,原始資料!AA210))</f>
        <v/>
      </c>
      <c r="AB210">
        <f>IF(原始資料!AB210="","",IF(反向題設定!$C$31="是",反向題設定!$B$2+1-原始資料!AB210,原始資料!AB210))</f>
        <v/>
      </c>
      <c r="AC210">
        <f>IF(原始資料!AC210="","",IF(反向題設定!$C$32="是",反向題設定!$B$2+1-原始資料!AC210,原始資料!AC210))</f>
        <v/>
      </c>
      <c r="AD210">
        <f>IF(原始資料!AD210="","",IF(反向題設定!$C$33="是",反向題設定!$B$2+1-原始資料!AD210,原始資料!AD210))</f>
        <v/>
      </c>
      <c r="AE210">
        <f>IF(原始資料!AE210="","",IF(反向題設定!$C$34="是",反向題設定!$B$2+1-原始資料!AE210,原始資料!AE210))</f>
        <v/>
      </c>
      <c r="AF210">
        <f>IF(原始資料!AF210="","",IF(反向題設定!$C$35="是",反向題設定!$B$2+1-原始資料!AF210,原始資料!AF210))</f>
        <v/>
      </c>
      <c r="AG210">
        <f>IF(原始資料!AG210="","",IF(反向題設定!$C$36="是",反向題設定!$B$2+1-原始資料!AG210,原始資料!AG210))</f>
        <v/>
      </c>
      <c r="AH210">
        <f>IF(原始資料!AH210="","",IF(反向題設定!$C$37="是",反向題設定!$B$2+1-原始資料!AH210,原始資料!AH210))</f>
        <v/>
      </c>
      <c r="AI210">
        <f>IF(原始資料!AI210="","",IF(反向題設定!$C$38="是",反向題設定!$B$2+1-原始資料!AI210,原始資料!AI210))</f>
        <v/>
      </c>
      <c r="AJ210">
        <f>IF(原始資料!AJ210="","",IF(反向題設定!$C$39="是",反向題設定!$B$2+1-原始資料!AJ210,原始資料!AJ210))</f>
        <v/>
      </c>
      <c r="AK210">
        <f>IF(原始資料!AK210="","",IF(反向題設定!$C$40="是",反向題設定!$B$2+1-原始資料!AK210,原始資料!AK210))</f>
        <v/>
      </c>
      <c r="AL210">
        <f>IF(原始資料!AL210="","",IF(反向題設定!$C$41="是",反向題設定!$B$2+1-原始資料!AL210,原始資料!AL210))</f>
        <v/>
      </c>
      <c r="AM210">
        <f>IF(原始資料!AM210="","",IF(反向題設定!$C$42="是",反向題設定!$B$2+1-原始資料!AM210,原始資料!AM210))</f>
        <v/>
      </c>
      <c r="AN210">
        <f>IF(原始資料!AN210="","",IF(反向題設定!$C$43="是",反向題設定!$B$2+1-原始資料!AN210,原始資料!AN210))</f>
        <v/>
      </c>
      <c r="AO210">
        <f>IF(原始資料!AO210="","",IF(反向題設定!$C$44="是",反向題設定!$B$2+1-原始資料!AO210,原始資料!AO210))</f>
        <v/>
      </c>
      <c r="AP210">
        <f>IF(COUNT(B210:AO210)=0,"",SUM(B210:AO210))</f>
        <v/>
      </c>
      <c r="AQ210">
        <f>IF(AP210="","",IF(AP210&gt;=項目分析!$C$5,"高",IF(AP210&lt;=項目分析!$C$6,"低","")))</f>
        <v/>
      </c>
    </row>
    <row r="211">
      <c r="A211">
        <f>IF(原始資料!A211="","",原始資料!A211)</f>
        <v/>
      </c>
      <c r="B211">
        <f>IF(原始資料!B211="","",IF(反向題設定!$C$5="是",反向題設定!$B$2+1-原始資料!B211,原始資料!B211))</f>
        <v/>
      </c>
      <c r="C211">
        <f>IF(原始資料!C211="","",IF(反向題設定!$C$6="是",反向題設定!$B$2+1-原始資料!C211,原始資料!C211))</f>
        <v/>
      </c>
      <c r="D211">
        <f>IF(原始資料!D211="","",IF(反向題設定!$C$7="是",反向題設定!$B$2+1-原始資料!D211,原始資料!D211))</f>
        <v/>
      </c>
      <c r="E211">
        <f>IF(原始資料!E211="","",IF(反向題設定!$C$8="是",反向題設定!$B$2+1-原始資料!E211,原始資料!E211))</f>
        <v/>
      </c>
      <c r="F211">
        <f>IF(原始資料!F211="","",IF(反向題設定!$C$9="是",反向題設定!$B$2+1-原始資料!F211,原始資料!F211))</f>
        <v/>
      </c>
      <c r="G211">
        <f>IF(原始資料!G211="","",IF(反向題設定!$C$10="是",反向題設定!$B$2+1-原始資料!G211,原始資料!G211))</f>
        <v/>
      </c>
      <c r="H211">
        <f>IF(原始資料!H211="","",IF(反向題設定!$C$11="是",反向題設定!$B$2+1-原始資料!H211,原始資料!H211))</f>
        <v/>
      </c>
      <c r="I211">
        <f>IF(原始資料!I211="","",IF(反向題設定!$C$12="是",反向題設定!$B$2+1-原始資料!I211,原始資料!I211))</f>
        <v/>
      </c>
      <c r="J211">
        <f>IF(原始資料!J211="","",IF(反向題設定!$C$13="是",反向題設定!$B$2+1-原始資料!J211,原始資料!J211))</f>
        <v/>
      </c>
      <c r="K211">
        <f>IF(原始資料!K211="","",IF(反向題設定!$C$14="是",反向題設定!$B$2+1-原始資料!K211,原始資料!K211))</f>
        <v/>
      </c>
      <c r="L211">
        <f>IF(原始資料!L211="","",IF(反向題設定!$C$15="是",反向題設定!$B$2+1-原始資料!L211,原始資料!L211))</f>
        <v/>
      </c>
      <c r="M211">
        <f>IF(原始資料!M211="","",IF(反向題設定!$C$16="是",反向題設定!$B$2+1-原始資料!M211,原始資料!M211))</f>
        <v/>
      </c>
      <c r="N211">
        <f>IF(原始資料!N211="","",IF(反向題設定!$C$17="是",反向題設定!$B$2+1-原始資料!N211,原始資料!N211))</f>
        <v/>
      </c>
      <c r="O211">
        <f>IF(原始資料!O211="","",IF(反向題設定!$C$18="是",反向題設定!$B$2+1-原始資料!O211,原始資料!O211))</f>
        <v/>
      </c>
      <c r="P211">
        <f>IF(原始資料!P211="","",IF(反向題設定!$C$19="是",反向題設定!$B$2+1-原始資料!P211,原始資料!P211))</f>
        <v/>
      </c>
      <c r="Q211">
        <f>IF(原始資料!Q211="","",IF(反向題設定!$C$20="是",反向題設定!$B$2+1-原始資料!Q211,原始資料!Q211))</f>
        <v/>
      </c>
      <c r="R211">
        <f>IF(原始資料!R211="","",IF(反向題設定!$C$21="是",反向題設定!$B$2+1-原始資料!R211,原始資料!R211))</f>
        <v/>
      </c>
      <c r="S211">
        <f>IF(原始資料!S211="","",IF(反向題設定!$C$22="是",反向題設定!$B$2+1-原始資料!S211,原始資料!S211))</f>
        <v/>
      </c>
      <c r="T211">
        <f>IF(原始資料!T211="","",IF(反向題設定!$C$23="是",反向題設定!$B$2+1-原始資料!T211,原始資料!T211))</f>
        <v/>
      </c>
      <c r="U211">
        <f>IF(原始資料!U211="","",IF(反向題設定!$C$24="是",反向題設定!$B$2+1-原始資料!U211,原始資料!U211))</f>
        <v/>
      </c>
      <c r="V211">
        <f>IF(原始資料!V211="","",IF(反向題設定!$C$25="是",反向題設定!$B$2+1-原始資料!V211,原始資料!V211))</f>
        <v/>
      </c>
      <c r="W211">
        <f>IF(原始資料!W211="","",IF(反向題設定!$C$26="是",反向題設定!$B$2+1-原始資料!W211,原始資料!W211))</f>
        <v/>
      </c>
      <c r="X211">
        <f>IF(原始資料!X211="","",IF(反向題設定!$C$27="是",反向題設定!$B$2+1-原始資料!X211,原始資料!X211))</f>
        <v/>
      </c>
      <c r="Y211">
        <f>IF(原始資料!Y211="","",IF(反向題設定!$C$28="是",反向題設定!$B$2+1-原始資料!Y211,原始資料!Y211))</f>
        <v/>
      </c>
      <c r="Z211">
        <f>IF(原始資料!Z211="","",IF(反向題設定!$C$29="是",反向題設定!$B$2+1-原始資料!Z211,原始資料!Z211))</f>
        <v/>
      </c>
      <c r="AA211">
        <f>IF(原始資料!AA211="","",IF(反向題設定!$C$30="是",反向題設定!$B$2+1-原始資料!AA211,原始資料!AA211))</f>
        <v/>
      </c>
      <c r="AB211">
        <f>IF(原始資料!AB211="","",IF(反向題設定!$C$31="是",反向題設定!$B$2+1-原始資料!AB211,原始資料!AB211))</f>
        <v/>
      </c>
      <c r="AC211">
        <f>IF(原始資料!AC211="","",IF(反向題設定!$C$32="是",反向題設定!$B$2+1-原始資料!AC211,原始資料!AC211))</f>
        <v/>
      </c>
      <c r="AD211">
        <f>IF(原始資料!AD211="","",IF(反向題設定!$C$33="是",反向題設定!$B$2+1-原始資料!AD211,原始資料!AD211))</f>
        <v/>
      </c>
      <c r="AE211">
        <f>IF(原始資料!AE211="","",IF(反向題設定!$C$34="是",反向題設定!$B$2+1-原始資料!AE211,原始資料!AE211))</f>
        <v/>
      </c>
      <c r="AF211">
        <f>IF(原始資料!AF211="","",IF(反向題設定!$C$35="是",反向題設定!$B$2+1-原始資料!AF211,原始資料!AF211))</f>
        <v/>
      </c>
      <c r="AG211">
        <f>IF(原始資料!AG211="","",IF(反向題設定!$C$36="是",反向題設定!$B$2+1-原始資料!AG211,原始資料!AG211))</f>
        <v/>
      </c>
      <c r="AH211">
        <f>IF(原始資料!AH211="","",IF(反向題設定!$C$37="是",反向題設定!$B$2+1-原始資料!AH211,原始資料!AH211))</f>
        <v/>
      </c>
      <c r="AI211">
        <f>IF(原始資料!AI211="","",IF(反向題設定!$C$38="是",反向題設定!$B$2+1-原始資料!AI211,原始資料!AI211))</f>
        <v/>
      </c>
      <c r="AJ211">
        <f>IF(原始資料!AJ211="","",IF(反向題設定!$C$39="是",反向題設定!$B$2+1-原始資料!AJ211,原始資料!AJ211))</f>
        <v/>
      </c>
      <c r="AK211">
        <f>IF(原始資料!AK211="","",IF(反向題設定!$C$40="是",反向題設定!$B$2+1-原始資料!AK211,原始資料!AK211))</f>
        <v/>
      </c>
      <c r="AL211">
        <f>IF(原始資料!AL211="","",IF(反向題設定!$C$41="是",反向題設定!$B$2+1-原始資料!AL211,原始資料!AL211))</f>
        <v/>
      </c>
      <c r="AM211">
        <f>IF(原始資料!AM211="","",IF(反向題設定!$C$42="是",反向題設定!$B$2+1-原始資料!AM211,原始資料!AM211))</f>
        <v/>
      </c>
      <c r="AN211">
        <f>IF(原始資料!AN211="","",IF(反向題設定!$C$43="是",反向題設定!$B$2+1-原始資料!AN211,原始資料!AN211))</f>
        <v/>
      </c>
      <c r="AO211">
        <f>IF(原始資料!AO211="","",IF(反向題設定!$C$44="是",反向題設定!$B$2+1-原始資料!AO211,原始資料!AO211))</f>
        <v/>
      </c>
      <c r="AP211">
        <f>IF(COUNT(B211:AO211)=0,"",SUM(B211:AO211))</f>
        <v/>
      </c>
      <c r="AQ211">
        <f>IF(AP211="","",IF(AP211&gt;=項目分析!$C$5,"高",IF(AP211&lt;=項目分析!$C$6,"低","")))</f>
        <v/>
      </c>
    </row>
    <row r="212">
      <c r="A212">
        <f>IF(原始資料!A212="","",原始資料!A212)</f>
        <v/>
      </c>
      <c r="B212">
        <f>IF(原始資料!B212="","",IF(反向題設定!$C$5="是",反向題設定!$B$2+1-原始資料!B212,原始資料!B212))</f>
        <v/>
      </c>
      <c r="C212">
        <f>IF(原始資料!C212="","",IF(反向題設定!$C$6="是",反向題設定!$B$2+1-原始資料!C212,原始資料!C212))</f>
        <v/>
      </c>
      <c r="D212">
        <f>IF(原始資料!D212="","",IF(反向題設定!$C$7="是",反向題設定!$B$2+1-原始資料!D212,原始資料!D212))</f>
        <v/>
      </c>
      <c r="E212">
        <f>IF(原始資料!E212="","",IF(反向題設定!$C$8="是",反向題設定!$B$2+1-原始資料!E212,原始資料!E212))</f>
        <v/>
      </c>
      <c r="F212">
        <f>IF(原始資料!F212="","",IF(反向題設定!$C$9="是",反向題設定!$B$2+1-原始資料!F212,原始資料!F212))</f>
        <v/>
      </c>
      <c r="G212">
        <f>IF(原始資料!G212="","",IF(反向題設定!$C$10="是",反向題設定!$B$2+1-原始資料!G212,原始資料!G212))</f>
        <v/>
      </c>
      <c r="H212">
        <f>IF(原始資料!H212="","",IF(反向題設定!$C$11="是",反向題設定!$B$2+1-原始資料!H212,原始資料!H212))</f>
        <v/>
      </c>
      <c r="I212">
        <f>IF(原始資料!I212="","",IF(反向題設定!$C$12="是",反向題設定!$B$2+1-原始資料!I212,原始資料!I212))</f>
        <v/>
      </c>
      <c r="J212">
        <f>IF(原始資料!J212="","",IF(反向題設定!$C$13="是",反向題設定!$B$2+1-原始資料!J212,原始資料!J212))</f>
        <v/>
      </c>
      <c r="K212">
        <f>IF(原始資料!K212="","",IF(反向題設定!$C$14="是",反向題設定!$B$2+1-原始資料!K212,原始資料!K212))</f>
        <v/>
      </c>
      <c r="L212">
        <f>IF(原始資料!L212="","",IF(反向題設定!$C$15="是",反向題設定!$B$2+1-原始資料!L212,原始資料!L212))</f>
        <v/>
      </c>
      <c r="M212">
        <f>IF(原始資料!M212="","",IF(反向題設定!$C$16="是",反向題設定!$B$2+1-原始資料!M212,原始資料!M212))</f>
        <v/>
      </c>
      <c r="N212">
        <f>IF(原始資料!N212="","",IF(反向題設定!$C$17="是",反向題設定!$B$2+1-原始資料!N212,原始資料!N212))</f>
        <v/>
      </c>
      <c r="O212">
        <f>IF(原始資料!O212="","",IF(反向題設定!$C$18="是",反向題設定!$B$2+1-原始資料!O212,原始資料!O212))</f>
        <v/>
      </c>
      <c r="P212">
        <f>IF(原始資料!P212="","",IF(反向題設定!$C$19="是",反向題設定!$B$2+1-原始資料!P212,原始資料!P212))</f>
        <v/>
      </c>
      <c r="Q212">
        <f>IF(原始資料!Q212="","",IF(反向題設定!$C$20="是",反向題設定!$B$2+1-原始資料!Q212,原始資料!Q212))</f>
        <v/>
      </c>
      <c r="R212">
        <f>IF(原始資料!R212="","",IF(反向題設定!$C$21="是",反向題設定!$B$2+1-原始資料!R212,原始資料!R212))</f>
        <v/>
      </c>
      <c r="S212">
        <f>IF(原始資料!S212="","",IF(反向題設定!$C$22="是",反向題設定!$B$2+1-原始資料!S212,原始資料!S212))</f>
        <v/>
      </c>
      <c r="T212">
        <f>IF(原始資料!T212="","",IF(反向題設定!$C$23="是",反向題設定!$B$2+1-原始資料!T212,原始資料!T212))</f>
        <v/>
      </c>
      <c r="U212">
        <f>IF(原始資料!U212="","",IF(反向題設定!$C$24="是",反向題設定!$B$2+1-原始資料!U212,原始資料!U212))</f>
        <v/>
      </c>
      <c r="V212">
        <f>IF(原始資料!V212="","",IF(反向題設定!$C$25="是",反向題設定!$B$2+1-原始資料!V212,原始資料!V212))</f>
        <v/>
      </c>
      <c r="W212">
        <f>IF(原始資料!W212="","",IF(反向題設定!$C$26="是",反向題設定!$B$2+1-原始資料!W212,原始資料!W212))</f>
        <v/>
      </c>
      <c r="X212">
        <f>IF(原始資料!X212="","",IF(反向題設定!$C$27="是",反向題設定!$B$2+1-原始資料!X212,原始資料!X212))</f>
        <v/>
      </c>
      <c r="Y212">
        <f>IF(原始資料!Y212="","",IF(反向題設定!$C$28="是",反向題設定!$B$2+1-原始資料!Y212,原始資料!Y212))</f>
        <v/>
      </c>
      <c r="Z212">
        <f>IF(原始資料!Z212="","",IF(反向題設定!$C$29="是",反向題設定!$B$2+1-原始資料!Z212,原始資料!Z212))</f>
        <v/>
      </c>
      <c r="AA212">
        <f>IF(原始資料!AA212="","",IF(反向題設定!$C$30="是",反向題設定!$B$2+1-原始資料!AA212,原始資料!AA212))</f>
        <v/>
      </c>
      <c r="AB212">
        <f>IF(原始資料!AB212="","",IF(反向題設定!$C$31="是",反向題設定!$B$2+1-原始資料!AB212,原始資料!AB212))</f>
        <v/>
      </c>
      <c r="AC212">
        <f>IF(原始資料!AC212="","",IF(反向題設定!$C$32="是",反向題設定!$B$2+1-原始資料!AC212,原始資料!AC212))</f>
        <v/>
      </c>
      <c r="AD212">
        <f>IF(原始資料!AD212="","",IF(反向題設定!$C$33="是",反向題設定!$B$2+1-原始資料!AD212,原始資料!AD212))</f>
        <v/>
      </c>
      <c r="AE212">
        <f>IF(原始資料!AE212="","",IF(反向題設定!$C$34="是",反向題設定!$B$2+1-原始資料!AE212,原始資料!AE212))</f>
        <v/>
      </c>
      <c r="AF212">
        <f>IF(原始資料!AF212="","",IF(反向題設定!$C$35="是",反向題設定!$B$2+1-原始資料!AF212,原始資料!AF212))</f>
        <v/>
      </c>
      <c r="AG212">
        <f>IF(原始資料!AG212="","",IF(反向題設定!$C$36="是",反向題設定!$B$2+1-原始資料!AG212,原始資料!AG212))</f>
        <v/>
      </c>
      <c r="AH212">
        <f>IF(原始資料!AH212="","",IF(反向題設定!$C$37="是",反向題設定!$B$2+1-原始資料!AH212,原始資料!AH212))</f>
        <v/>
      </c>
      <c r="AI212">
        <f>IF(原始資料!AI212="","",IF(反向題設定!$C$38="是",反向題設定!$B$2+1-原始資料!AI212,原始資料!AI212))</f>
        <v/>
      </c>
      <c r="AJ212">
        <f>IF(原始資料!AJ212="","",IF(反向題設定!$C$39="是",反向題設定!$B$2+1-原始資料!AJ212,原始資料!AJ212))</f>
        <v/>
      </c>
      <c r="AK212">
        <f>IF(原始資料!AK212="","",IF(反向題設定!$C$40="是",反向題設定!$B$2+1-原始資料!AK212,原始資料!AK212))</f>
        <v/>
      </c>
      <c r="AL212">
        <f>IF(原始資料!AL212="","",IF(反向題設定!$C$41="是",反向題設定!$B$2+1-原始資料!AL212,原始資料!AL212))</f>
        <v/>
      </c>
      <c r="AM212">
        <f>IF(原始資料!AM212="","",IF(反向題設定!$C$42="是",反向題設定!$B$2+1-原始資料!AM212,原始資料!AM212))</f>
        <v/>
      </c>
      <c r="AN212">
        <f>IF(原始資料!AN212="","",IF(反向題設定!$C$43="是",反向題設定!$B$2+1-原始資料!AN212,原始資料!AN212))</f>
        <v/>
      </c>
      <c r="AO212">
        <f>IF(原始資料!AO212="","",IF(反向題設定!$C$44="是",反向題設定!$B$2+1-原始資料!AO212,原始資料!AO212))</f>
        <v/>
      </c>
      <c r="AP212">
        <f>IF(COUNT(B212:AO212)=0,"",SUM(B212:AO212))</f>
        <v/>
      </c>
      <c r="AQ212">
        <f>IF(AP212="","",IF(AP212&gt;=項目分析!$C$5,"高",IF(AP212&lt;=項目分析!$C$6,"低","")))</f>
        <v/>
      </c>
    </row>
    <row r="213">
      <c r="A213">
        <f>IF(原始資料!A213="","",原始資料!A213)</f>
        <v/>
      </c>
      <c r="B213">
        <f>IF(原始資料!B213="","",IF(反向題設定!$C$5="是",反向題設定!$B$2+1-原始資料!B213,原始資料!B213))</f>
        <v/>
      </c>
      <c r="C213">
        <f>IF(原始資料!C213="","",IF(反向題設定!$C$6="是",反向題設定!$B$2+1-原始資料!C213,原始資料!C213))</f>
        <v/>
      </c>
      <c r="D213">
        <f>IF(原始資料!D213="","",IF(反向題設定!$C$7="是",反向題設定!$B$2+1-原始資料!D213,原始資料!D213))</f>
        <v/>
      </c>
      <c r="E213">
        <f>IF(原始資料!E213="","",IF(反向題設定!$C$8="是",反向題設定!$B$2+1-原始資料!E213,原始資料!E213))</f>
        <v/>
      </c>
      <c r="F213">
        <f>IF(原始資料!F213="","",IF(反向題設定!$C$9="是",反向題設定!$B$2+1-原始資料!F213,原始資料!F213))</f>
        <v/>
      </c>
      <c r="G213">
        <f>IF(原始資料!G213="","",IF(反向題設定!$C$10="是",反向題設定!$B$2+1-原始資料!G213,原始資料!G213))</f>
        <v/>
      </c>
      <c r="H213">
        <f>IF(原始資料!H213="","",IF(反向題設定!$C$11="是",反向題設定!$B$2+1-原始資料!H213,原始資料!H213))</f>
        <v/>
      </c>
      <c r="I213">
        <f>IF(原始資料!I213="","",IF(反向題設定!$C$12="是",反向題設定!$B$2+1-原始資料!I213,原始資料!I213))</f>
        <v/>
      </c>
      <c r="J213">
        <f>IF(原始資料!J213="","",IF(反向題設定!$C$13="是",反向題設定!$B$2+1-原始資料!J213,原始資料!J213))</f>
        <v/>
      </c>
      <c r="K213">
        <f>IF(原始資料!K213="","",IF(反向題設定!$C$14="是",反向題設定!$B$2+1-原始資料!K213,原始資料!K213))</f>
        <v/>
      </c>
      <c r="L213">
        <f>IF(原始資料!L213="","",IF(反向題設定!$C$15="是",反向題設定!$B$2+1-原始資料!L213,原始資料!L213))</f>
        <v/>
      </c>
      <c r="M213">
        <f>IF(原始資料!M213="","",IF(反向題設定!$C$16="是",反向題設定!$B$2+1-原始資料!M213,原始資料!M213))</f>
        <v/>
      </c>
      <c r="N213">
        <f>IF(原始資料!N213="","",IF(反向題設定!$C$17="是",反向題設定!$B$2+1-原始資料!N213,原始資料!N213))</f>
        <v/>
      </c>
      <c r="O213">
        <f>IF(原始資料!O213="","",IF(反向題設定!$C$18="是",反向題設定!$B$2+1-原始資料!O213,原始資料!O213))</f>
        <v/>
      </c>
      <c r="P213">
        <f>IF(原始資料!P213="","",IF(反向題設定!$C$19="是",反向題設定!$B$2+1-原始資料!P213,原始資料!P213))</f>
        <v/>
      </c>
      <c r="Q213">
        <f>IF(原始資料!Q213="","",IF(反向題設定!$C$20="是",反向題設定!$B$2+1-原始資料!Q213,原始資料!Q213))</f>
        <v/>
      </c>
      <c r="R213">
        <f>IF(原始資料!R213="","",IF(反向題設定!$C$21="是",反向題設定!$B$2+1-原始資料!R213,原始資料!R213))</f>
        <v/>
      </c>
      <c r="S213">
        <f>IF(原始資料!S213="","",IF(反向題設定!$C$22="是",反向題設定!$B$2+1-原始資料!S213,原始資料!S213))</f>
        <v/>
      </c>
      <c r="T213">
        <f>IF(原始資料!T213="","",IF(反向題設定!$C$23="是",反向題設定!$B$2+1-原始資料!T213,原始資料!T213))</f>
        <v/>
      </c>
      <c r="U213">
        <f>IF(原始資料!U213="","",IF(反向題設定!$C$24="是",反向題設定!$B$2+1-原始資料!U213,原始資料!U213))</f>
        <v/>
      </c>
      <c r="V213">
        <f>IF(原始資料!V213="","",IF(反向題設定!$C$25="是",反向題設定!$B$2+1-原始資料!V213,原始資料!V213))</f>
        <v/>
      </c>
      <c r="W213">
        <f>IF(原始資料!W213="","",IF(反向題設定!$C$26="是",反向題設定!$B$2+1-原始資料!W213,原始資料!W213))</f>
        <v/>
      </c>
      <c r="X213">
        <f>IF(原始資料!X213="","",IF(反向題設定!$C$27="是",反向題設定!$B$2+1-原始資料!X213,原始資料!X213))</f>
        <v/>
      </c>
      <c r="Y213">
        <f>IF(原始資料!Y213="","",IF(反向題設定!$C$28="是",反向題設定!$B$2+1-原始資料!Y213,原始資料!Y213))</f>
        <v/>
      </c>
      <c r="Z213">
        <f>IF(原始資料!Z213="","",IF(反向題設定!$C$29="是",反向題設定!$B$2+1-原始資料!Z213,原始資料!Z213))</f>
        <v/>
      </c>
      <c r="AA213">
        <f>IF(原始資料!AA213="","",IF(反向題設定!$C$30="是",反向題設定!$B$2+1-原始資料!AA213,原始資料!AA213))</f>
        <v/>
      </c>
      <c r="AB213">
        <f>IF(原始資料!AB213="","",IF(反向題設定!$C$31="是",反向題設定!$B$2+1-原始資料!AB213,原始資料!AB213))</f>
        <v/>
      </c>
      <c r="AC213">
        <f>IF(原始資料!AC213="","",IF(反向題設定!$C$32="是",反向題設定!$B$2+1-原始資料!AC213,原始資料!AC213))</f>
        <v/>
      </c>
      <c r="AD213">
        <f>IF(原始資料!AD213="","",IF(反向題設定!$C$33="是",反向題設定!$B$2+1-原始資料!AD213,原始資料!AD213))</f>
        <v/>
      </c>
      <c r="AE213">
        <f>IF(原始資料!AE213="","",IF(反向題設定!$C$34="是",反向題設定!$B$2+1-原始資料!AE213,原始資料!AE213))</f>
        <v/>
      </c>
      <c r="AF213">
        <f>IF(原始資料!AF213="","",IF(反向題設定!$C$35="是",反向題設定!$B$2+1-原始資料!AF213,原始資料!AF213))</f>
        <v/>
      </c>
      <c r="AG213">
        <f>IF(原始資料!AG213="","",IF(反向題設定!$C$36="是",反向題設定!$B$2+1-原始資料!AG213,原始資料!AG213))</f>
        <v/>
      </c>
      <c r="AH213">
        <f>IF(原始資料!AH213="","",IF(反向題設定!$C$37="是",反向題設定!$B$2+1-原始資料!AH213,原始資料!AH213))</f>
        <v/>
      </c>
      <c r="AI213">
        <f>IF(原始資料!AI213="","",IF(反向題設定!$C$38="是",反向題設定!$B$2+1-原始資料!AI213,原始資料!AI213))</f>
        <v/>
      </c>
      <c r="AJ213">
        <f>IF(原始資料!AJ213="","",IF(反向題設定!$C$39="是",反向題設定!$B$2+1-原始資料!AJ213,原始資料!AJ213))</f>
        <v/>
      </c>
      <c r="AK213">
        <f>IF(原始資料!AK213="","",IF(反向題設定!$C$40="是",反向題設定!$B$2+1-原始資料!AK213,原始資料!AK213))</f>
        <v/>
      </c>
      <c r="AL213">
        <f>IF(原始資料!AL213="","",IF(反向題設定!$C$41="是",反向題設定!$B$2+1-原始資料!AL213,原始資料!AL213))</f>
        <v/>
      </c>
      <c r="AM213">
        <f>IF(原始資料!AM213="","",IF(反向題設定!$C$42="是",反向題設定!$B$2+1-原始資料!AM213,原始資料!AM213))</f>
        <v/>
      </c>
      <c r="AN213">
        <f>IF(原始資料!AN213="","",IF(反向題設定!$C$43="是",反向題設定!$B$2+1-原始資料!AN213,原始資料!AN213))</f>
        <v/>
      </c>
      <c r="AO213">
        <f>IF(原始資料!AO213="","",IF(反向題設定!$C$44="是",反向題設定!$B$2+1-原始資料!AO213,原始資料!AO213))</f>
        <v/>
      </c>
      <c r="AP213">
        <f>IF(COUNT(B213:AO213)=0,"",SUM(B213:AO213))</f>
        <v/>
      </c>
      <c r="AQ213">
        <f>IF(AP213="","",IF(AP213&gt;=項目分析!$C$5,"高",IF(AP213&lt;=項目分析!$C$6,"低","")))</f>
        <v/>
      </c>
    </row>
    <row r="214">
      <c r="A214">
        <f>IF(原始資料!A214="","",原始資料!A214)</f>
        <v/>
      </c>
      <c r="B214">
        <f>IF(原始資料!B214="","",IF(反向題設定!$C$5="是",反向題設定!$B$2+1-原始資料!B214,原始資料!B214))</f>
        <v/>
      </c>
      <c r="C214">
        <f>IF(原始資料!C214="","",IF(反向題設定!$C$6="是",反向題設定!$B$2+1-原始資料!C214,原始資料!C214))</f>
        <v/>
      </c>
      <c r="D214">
        <f>IF(原始資料!D214="","",IF(反向題設定!$C$7="是",反向題設定!$B$2+1-原始資料!D214,原始資料!D214))</f>
        <v/>
      </c>
      <c r="E214">
        <f>IF(原始資料!E214="","",IF(反向題設定!$C$8="是",反向題設定!$B$2+1-原始資料!E214,原始資料!E214))</f>
        <v/>
      </c>
      <c r="F214">
        <f>IF(原始資料!F214="","",IF(反向題設定!$C$9="是",反向題設定!$B$2+1-原始資料!F214,原始資料!F214))</f>
        <v/>
      </c>
      <c r="G214">
        <f>IF(原始資料!G214="","",IF(反向題設定!$C$10="是",反向題設定!$B$2+1-原始資料!G214,原始資料!G214))</f>
        <v/>
      </c>
      <c r="H214">
        <f>IF(原始資料!H214="","",IF(反向題設定!$C$11="是",反向題設定!$B$2+1-原始資料!H214,原始資料!H214))</f>
        <v/>
      </c>
      <c r="I214">
        <f>IF(原始資料!I214="","",IF(反向題設定!$C$12="是",反向題設定!$B$2+1-原始資料!I214,原始資料!I214))</f>
        <v/>
      </c>
      <c r="J214">
        <f>IF(原始資料!J214="","",IF(反向題設定!$C$13="是",反向題設定!$B$2+1-原始資料!J214,原始資料!J214))</f>
        <v/>
      </c>
      <c r="K214">
        <f>IF(原始資料!K214="","",IF(反向題設定!$C$14="是",反向題設定!$B$2+1-原始資料!K214,原始資料!K214))</f>
        <v/>
      </c>
      <c r="L214">
        <f>IF(原始資料!L214="","",IF(反向題設定!$C$15="是",反向題設定!$B$2+1-原始資料!L214,原始資料!L214))</f>
        <v/>
      </c>
      <c r="M214">
        <f>IF(原始資料!M214="","",IF(反向題設定!$C$16="是",反向題設定!$B$2+1-原始資料!M214,原始資料!M214))</f>
        <v/>
      </c>
      <c r="N214">
        <f>IF(原始資料!N214="","",IF(反向題設定!$C$17="是",反向題設定!$B$2+1-原始資料!N214,原始資料!N214))</f>
        <v/>
      </c>
      <c r="O214">
        <f>IF(原始資料!O214="","",IF(反向題設定!$C$18="是",反向題設定!$B$2+1-原始資料!O214,原始資料!O214))</f>
        <v/>
      </c>
      <c r="P214">
        <f>IF(原始資料!P214="","",IF(反向題設定!$C$19="是",反向題設定!$B$2+1-原始資料!P214,原始資料!P214))</f>
        <v/>
      </c>
      <c r="Q214">
        <f>IF(原始資料!Q214="","",IF(反向題設定!$C$20="是",反向題設定!$B$2+1-原始資料!Q214,原始資料!Q214))</f>
        <v/>
      </c>
      <c r="R214">
        <f>IF(原始資料!R214="","",IF(反向題設定!$C$21="是",反向題設定!$B$2+1-原始資料!R214,原始資料!R214))</f>
        <v/>
      </c>
      <c r="S214">
        <f>IF(原始資料!S214="","",IF(反向題設定!$C$22="是",反向題設定!$B$2+1-原始資料!S214,原始資料!S214))</f>
        <v/>
      </c>
      <c r="T214">
        <f>IF(原始資料!T214="","",IF(反向題設定!$C$23="是",反向題設定!$B$2+1-原始資料!T214,原始資料!T214))</f>
        <v/>
      </c>
      <c r="U214">
        <f>IF(原始資料!U214="","",IF(反向題設定!$C$24="是",反向題設定!$B$2+1-原始資料!U214,原始資料!U214))</f>
        <v/>
      </c>
      <c r="V214">
        <f>IF(原始資料!V214="","",IF(反向題設定!$C$25="是",反向題設定!$B$2+1-原始資料!V214,原始資料!V214))</f>
        <v/>
      </c>
      <c r="W214">
        <f>IF(原始資料!W214="","",IF(反向題設定!$C$26="是",反向題設定!$B$2+1-原始資料!W214,原始資料!W214))</f>
        <v/>
      </c>
      <c r="X214">
        <f>IF(原始資料!X214="","",IF(反向題設定!$C$27="是",反向題設定!$B$2+1-原始資料!X214,原始資料!X214))</f>
        <v/>
      </c>
      <c r="Y214">
        <f>IF(原始資料!Y214="","",IF(反向題設定!$C$28="是",反向題設定!$B$2+1-原始資料!Y214,原始資料!Y214))</f>
        <v/>
      </c>
      <c r="Z214">
        <f>IF(原始資料!Z214="","",IF(反向題設定!$C$29="是",反向題設定!$B$2+1-原始資料!Z214,原始資料!Z214))</f>
        <v/>
      </c>
      <c r="AA214">
        <f>IF(原始資料!AA214="","",IF(反向題設定!$C$30="是",反向題設定!$B$2+1-原始資料!AA214,原始資料!AA214))</f>
        <v/>
      </c>
      <c r="AB214">
        <f>IF(原始資料!AB214="","",IF(反向題設定!$C$31="是",反向題設定!$B$2+1-原始資料!AB214,原始資料!AB214))</f>
        <v/>
      </c>
      <c r="AC214">
        <f>IF(原始資料!AC214="","",IF(反向題設定!$C$32="是",反向題設定!$B$2+1-原始資料!AC214,原始資料!AC214))</f>
        <v/>
      </c>
      <c r="AD214">
        <f>IF(原始資料!AD214="","",IF(反向題設定!$C$33="是",反向題設定!$B$2+1-原始資料!AD214,原始資料!AD214))</f>
        <v/>
      </c>
      <c r="AE214">
        <f>IF(原始資料!AE214="","",IF(反向題設定!$C$34="是",反向題設定!$B$2+1-原始資料!AE214,原始資料!AE214))</f>
        <v/>
      </c>
      <c r="AF214">
        <f>IF(原始資料!AF214="","",IF(反向題設定!$C$35="是",反向題設定!$B$2+1-原始資料!AF214,原始資料!AF214))</f>
        <v/>
      </c>
      <c r="AG214">
        <f>IF(原始資料!AG214="","",IF(反向題設定!$C$36="是",反向題設定!$B$2+1-原始資料!AG214,原始資料!AG214))</f>
        <v/>
      </c>
      <c r="AH214">
        <f>IF(原始資料!AH214="","",IF(反向題設定!$C$37="是",反向題設定!$B$2+1-原始資料!AH214,原始資料!AH214))</f>
        <v/>
      </c>
      <c r="AI214">
        <f>IF(原始資料!AI214="","",IF(反向題設定!$C$38="是",反向題設定!$B$2+1-原始資料!AI214,原始資料!AI214))</f>
        <v/>
      </c>
      <c r="AJ214">
        <f>IF(原始資料!AJ214="","",IF(反向題設定!$C$39="是",反向題設定!$B$2+1-原始資料!AJ214,原始資料!AJ214))</f>
        <v/>
      </c>
      <c r="AK214">
        <f>IF(原始資料!AK214="","",IF(反向題設定!$C$40="是",反向題設定!$B$2+1-原始資料!AK214,原始資料!AK214))</f>
        <v/>
      </c>
      <c r="AL214">
        <f>IF(原始資料!AL214="","",IF(反向題設定!$C$41="是",反向題設定!$B$2+1-原始資料!AL214,原始資料!AL214))</f>
        <v/>
      </c>
      <c r="AM214">
        <f>IF(原始資料!AM214="","",IF(反向題設定!$C$42="是",反向題設定!$B$2+1-原始資料!AM214,原始資料!AM214))</f>
        <v/>
      </c>
      <c r="AN214">
        <f>IF(原始資料!AN214="","",IF(反向題設定!$C$43="是",反向題設定!$B$2+1-原始資料!AN214,原始資料!AN214))</f>
        <v/>
      </c>
      <c r="AO214">
        <f>IF(原始資料!AO214="","",IF(反向題設定!$C$44="是",反向題設定!$B$2+1-原始資料!AO214,原始資料!AO214))</f>
        <v/>
      </c>
      <c r="AP214">
        <f>IF(COUNT(B214:AO214)=0,"",SUM(B214:AO214))</f>
        <v/>
      </c>
      <c r="AQ214">
        <f>IF(AP214="","",IF(AP214&gt;=項目分析!$C$5,"高",IF(AP214&lt;=項目分析!$C$6,"低","")))</f>
        <v/>
      </c>
    </row>
    <row r="215">
      <c r="A215">
        <f>IF(原始資料!A215="","",原始資料!A215)</f>
        <v/>
      </c>
      <c r="B215">
        <f>IF(原始資料!B215="","",IF(反向題設定!$C$5="是",反向題設定!$B$2+1-原始資料!B215,原始資料!B215))</f>
        <v/>
      </c>
      <c r="C215">
        <f>IF(原始資料!C215="","",IF(反向題設定!$C$6="是",反向題設定!$B$2+1-原始資料!C215,原始資料!C215))</f>
        <v/>
      </c>
      <c r="D215">
        <f>IF(原始資料!D215="","",IF(反向題設定!$C$7="是",反向題設定!$B$2+1-原始資料!D215,原始資料!D215))</f>
        <v/>
      </c>
      <c r="E215">
        <f>IF(原始資料!E215="","",IF(反向題設定!$C$8="是",反向題設定!$B$2+1-原始資料!E215,原始資料!E215))</f>
        <v/>
      </c>
      <c r="F215">
        <f>IF(原始資料!F215="","",IF(反向題設定!$C$9="是",反向題設定!$B$2+1-原始資料!F215,原始資料!F215))</f>
        <v/>
      </c>
      <c r="G215">
        <f>IF(原始資料!G215="","",IF(反向題設定!$C$10="是",反向題設定!$B$2+1-原始資料!G215,原始資料!G215))</f>
        <v/>
      </c>
      <c r="H215">
        <f>IF(原始資料!H215="","",IF(反向題設定!$C$11="是",反向題設定!$B$2+1-原始資料!H215,原始資料!H215))</f>
        <v/>
      </c>
      <c r="I215">
        <f>IF(原始資料!I215="","",IF(反向題設定!$C$12="是",反向題設定!$B$2+1-原始資料!I215,原始資料!I215))</f>
        <v/>
      </c>
      <c r="J215">
        <f>IF(原始資料!J215="","",IF(反向題設定!$C$13="是",反向題設定!$B$2+1-原始資料!J215,原始資料!J215))</f>
        <v/>
      </c>
      <c r="K215">
        <f>IF(原始資料!K215="","",IF(反向題設定!$C$14="是",反向題設定!$B$2+1-原始資料!K215,原始資料!K215))</f>
        <v/>
      </c>
      <c r="L215">
        <f>IF(原始資料!L215="","",IF(反向題設定!$C$15="是",反向題設定!$B$2+1-原始資料!L215,原始資料!L215))</f>
        <v/>
      </c>
      <c r="M215">
        <f>IF(原始資料!M215="","",IF(反向題設定!$C$16="是",反向題設定!$B$2+1-原始資料!M215,原始資料!M215))</f>
        <v/>
      </c>
      <c r="N215">
        <f>IF(原始資料!N215="","",IF(反向題設定!$C$17="是",反向題設定!$B$2+1-原始資料!N215,原始資料!N215))</f>
        <v/>
      </c>
      <c r="O215">
        <f>IF(原始資料!O215="","",IF(反向題設定!$C$18="是",反向題設定!$B$2+1-原始資料!O215,原始資料!O215))</f>
        <v/>
      </c>
      <c r="P215">
        <f>IF(原始資料!P215="","",IF(反向題設定!$C$19="是",反向題設定!$B$2+1-原始資料!P215,原始資料!P215))</f>
        <v/>
      </c>
      <c r="Q215">
        <f>IF(原始資料!Q215="","",IF(反向題設定!$C$20="是",反向題設定!$B$2+1-原始資料!Q215,原始資料!Q215))</f>
        <v/>
      </c>
      <c r="R215">
        <f>IF(原始資料!R215="","",IF(反向題設定!$C$21="是",反向題設定!$B$2+1-原始資料!R215,原始資料!R215))</f>
        <v/>
      </c>
      <c r="S215">
        <f>IF(原始資料!S215="","",IF(反向題設定!$C$22="是",反向題設定!$B$2+1-原始資料!S215,原始資料!S215))</f>
        <v/>
      </c>
      <c r="T215">
        <f>IF(原始資料!T215="","",IF(反向題設定!$C$23="是",反向題設定!$B$2+1-原始資料!T215,原始資料!T215))</f>
        <v/>
      </c>
      <c r="U215">
        <f>IF(原始資料!U215="","",IF(反向題設定!$C$24="是",反向題設定!$B$2+1-原始資料!U215,原始資料!U215))</f>
        <v/>
      </c>
      <c r="V215">
        <f>IF(原始資料!V215="","",IF(反向題設定!$C$25="是",反向題設定!$B$2+1-原始資料!V215,原始資料!V215))</f>
        <v/>
      </c>
      <c r="W215">
        <f>IF(原始資料!W215="","",IF(反向題設定!$C$26="是",反向題設定!$B$2+1-原始資料!W215,原始資料!W215))</f>
        <v/>
      </c>
      <c r="X215">
        <f>IF(原始資料!X215="","",IF(反向題設定!$C$27="是",反向題設定!$B$2+1-原始資料!X215,原始資料!X215))</f>
        <v/>
      </c>
      <c r="Y215">
        <f>IF(原始資料!Y215="","",IF(反向題設定!$C$28="是",反向題設定!$B$2+1-原始資料!Y215,原始資料!Y215))</f>
        <v/>
      </c>
      <c r="Z215">
        <f>IF(原始資料!Z215="","",IF(反向題設定!$C$29="是",反向題設定!$B$2+1-原始資料!Z215,原始資料!Z215))</f>
        <v/>
      </c>
      <c r="AA215">
        <f>IF(原始資料!AA215="","",IF(反向題設定!$C$30="是",反向題設定!$B$2+1-原始資料!AA215,原始資料!AA215))</f>
        <v/>
      </c>
      <c r="AB215">
        <f>IF(原始資料!AB215="","",IF(反向題設定!$C$31="是",反向題設定!$B$2+1-原始資料!AB215,原始資料!AB215))</f>
        <v/>
      </c>
      <c r="AC215">
        <f>IF(原始資料!AC215="","",IF(反向題設定!$C$32="是",反向題設定!$B$2+1-原始資料!AC215,原始資料!AC215))</f>
        <v/>
      </c>
      <c r="AD215">
        <f>IF(原始資料!AD215="","",IF(反向題設定!$C$33="是",反向題設定!$B$2+1-原始資料!AD215,原始資料!AD215))</f>
        <v/>
      </c>
      <c r="AE215">
        <f>IF(原始資料!AE215="","",IF(反向題設定!$C$34="是",反向題設定!$B$2+1-原始資料!AE215,原始資料!AE215))</f>
        <v/>
      </c>
      <c r="AF215">
        <f>IF(原始資料!AF215="","",IF(反向題設定!$C$35="是",反向題設定!$B$2+1-原始資料!AF215,原始資料!AF215))</f>
        <v/>
      </c>
      <c r="AG215">
        <f>IF(原始資料!AG215="","",IF(反向題設定!$C$36="是",反向題設定!$B$2+1-原始資料!AG215,原始資料!AG215))</f>
        <v/>
      </c>
      <c r="AH215">
        <f>IF(原始資料!AH215="","",IF(反向題設定!$C$37="是",反向題設定!$B$2+1-原始資料!AH215,原始資料!AH215))</f>
        <v/>
      </c>
      <c r="AI215">
        <f>IF(原始資料!AI215="","",IF(反向題設定!$C$38="是",反向題設定!$B$2+1-原始資料!AI215,原始資料!AI215))</f>
        <v/>
      </c>
      <c r="AJ215">
        <f>IF(原始資料!AJ215="","",IF(反向題設定!$C$39="是",反向題設定!$B$2+1-原始資料!AJ215,原始資料!AJ215))</f>
        <v/>
      </c>
      <c r="AK215">
        <f>IF(原始資料!AK215="","",IF(反向題設定!$C$40="是",反向題設定!$B$2+1-原始資料!AK215,原始資料!AK215))</f>
        <v/>
      </c>
      <c r="AL215">
        <f>IF(原始資料!AL215="","",IF(反向題設定!$C$41="是",反向題設定!$B$2+1-原始資料!AL215,原始資料!AL215))</f>
        <v/>
      </c>
      <c r="AM215">
        <f>IF(原始資料!AM215="","",IF(反向題設定!$C$42="是",反向題設定!$B$2+1-原始資料!AM215,原始資料!AM215))</f>
        <v/>
      </c>
      <c r="AN215">
        <f>IF(原始資料!AN215="","",IF(反向題設定!$C$43="是",反向題設定!$B$2+1-原始資料!AN215,原始資料!AN215))</f>
        <v/>
      </c>
      <c r="AO215">
        <f>IF(原始資料!AO215="","",IF(反向題設定!$C$44="是",反向題設定!$B$2+1-原始資料!AO215,原始資料!AO215))</f>
        <v/>
      </c>
      <c r="AP215">
        <f>IF(COUNT(B215:AO215)=0,"",SUM(B215:AO215))</f>
        <v/>
      </c>
      <c r="AQ215">
        <f>IF(AP215="","",IF(AP215&gt;=項目分析!$C$5,"高",IF(AP215&lt;=項目分析!$C$6,"低","")))</f>
        <v/>
      </c>
    </row>
    <row r="216">
      <c r="A216">
        <f>IF(原始資料!A216="","",原始資料!A216)</f>
        <v/>
      </c>
      <c r="B216">
        <f>IF(原始資料!B216="","",IF(反向題設定!$C$5="是",反向題設定!$B$2+1-原始資料!B216,原始資料!B216))</f>
        <v/>
      </c>
      <c r="C216">
        <f>IF(原始資料!C216="","",IF(反向題設定!$C$6="是",反向題設定!$B$2+1-原始資料!C216,原始資料!C216))</f>
        <v/>
      </c>
      <c r="D216">
        <f>IF(原始資料!D216="","",IF(反向題設定!$C$7="是",反向題設定!$B$2+1-原始資料!D216,原始資料!D216))</f>
        <v/>
      </c>
      <c r="E216">
        <f>IF(原始資料!E216="","",IF(反向題設定!$C$8="是",反向題設定!$B$2+1-原始資料!E216,原始資料!E216))</f>
        <v/>
      </c>
      <c r="F216">
        <f>IF(原始資料!F216="","",IF(反向題設定!$C$9="是",反向題設定!$B$2+1-原始資料!F216,原始資料!F216))</f>
        <v/>
      </c>
      <c r="G216">
        <f>IF(原始資料!G216="","",IF(反向題設定!$C$10="是",反向題設定!$B$2+1-原始資料!G216,原始資料!G216))</f>
        <v/>
      </c>
      <c r="H216">
        <f>IF(原始資料!H216="","",IF(反向題設定!$C$11="是",反向題設定!$B$2+1-原始資料!H216,原始資料!H216))</f>
        <v/>
      </c>
      <c r="I216">
        <f>IF(原始資料!I216="","",IF(反向題設定!$C$12="是",反向題設定!$B$2+1-原始資料!I216,原始資料!I216))</f>
        <v/>
      </c>
      <c r="J216">
        <f>IF(原始資料!J216="","",IF(反向題設定!$C$13="是",反向題設定!$B$2+1-原始資料!J216,原始資料!J216))</f>
        <v/>
      </c>
      <c r="K216">
        <f>IF(原始資料!K216="","",IF(反向題設定!$C$14="是",反向題設定!$B$2+1-原始資料!K216,原始資料!K216))</f>
        <v/>
      </c>
      <c r="L216">
        <f>IF(原始資料!L216="","",IF(反向題設定!$C$15="是",反向題設定!$B$2+1-原始資料!L216,原始資料!L216))</f>
        <v/>
      </c>
      <c r="M216">
        <f>IF(原始資料!M216="","",IF(反向題設定!$C$16="是",反向題設定!$B$2+1-原始資料!M216,原始資料!M216))</f>
        <v/>
      </c>
      <c r="N216">
        <f>IF(原始資料!N216="","",IF(反向題設定!$C$17="是",反向題設定!$B$2+1-原始資料!N216,原始資料!N216))</f>
        <v/>
      </c>
      <c r="O216">
        <f>IF(原始資料!O216="","",IF(反向題設定!$C$18="是",反向題設定!$B$2+1-原始資料!O216,原始資料!O216))</f>
        <v/>
      </c>
      <c r="P216">
        <f>IF(原始資料!P216="","",IF(反向題設定!$C$19="是",反向題設定!$B$2+1-原始資料!P216,原始資料!P216))</f>
        <v/>
      </c>
      <c r="Q216">
        <f>IF(原始資料!Q216="","",IF(反向題設定!$C$20="是",反向題設定!$B$2+1-原始資料!Q216,原始資料!Q216))</f>
        <v/>
      </c>
      <c r="R216">
        <f>IF(原始資料!R216="","",IF(反向題設定!$C$21="是",反向題設定!$B$2+1-原始資料!R216,原始資料!R216))</f>
        <v/>
      </c>
      <c r="S216">
        <f>IF(原始資料!S216="","",IF(反向題設定!$C$22="是",反向題設定!$B$2+1-原始資料!S216,原始資料!S216))</f>
        <v/>
      </c>
      <c r="T216">
        <f>IF(原始資料!T216="","",IF(反向題設定!$C$23="是",反向題設定!$B$2+1-原始資料!T216,原始資料!T216))</f>
        <v/>
      </c>
      <c r="U216">
        <f>IF(原始資料!U216="","",IF(反向題設定!$C$24="是",反向題設定!$B$2+1-原始資料!U216,原始資料!U216))</f>
        <v/>
      </c>
      <c r="V216">
        <f>IF(原始資料!V216="","",IF(反向題設定!$C$25="是",反向題設定!$B$2+1-原始資料!V216,原始資料!V216))</f>
        <v/>
      </c>
      <c r="W216">
        <f>IF(原始資料!W216="","",IF(反向題設定!$C$26="是",反向題設定!$B$2+1-原始資料!W216,原始資料!W216))</f>
        <v/>
      </c>
      <c r="X216">
        <f>IF(原始資料!X216="","",IF(反向題設定!$C$27="是",反向題設定!$B$2+1-原始資料!X216,原始資料!X216))</f>
        <v/>
      </c>
      <c r="Y216">
        <f>IF(原始資料!Y216="","",IF(反向題設定!$C$28="是",反向題設定!$B$2+1-原始資料!Y216,原始資料!Y216))</f>
        <v/>
      </c>
      <c r="Z216">
        <f>IF(原始資料!Z216="","",IF(反向題設定!$C$29="是",反向題設定!$B$2+1-原始資料!Z216,原始資料!Z216))</f>
        <v/>
      </c>
      <c r="AA216">
        <f>IF(原始資料!AA216="","",IF(反向題設定!$C$30="是",反向題設定!$B$2+1-原始資料!AA216,原始資料!AA216))</f>
        <v/>
      </c>
      <c r="AB216">
        <f>IF(原始資料!AB216="","",IF(反向題設定!$C$31="是",反向題設定!$B$2+1-原始資料!AB216,原始資料!AB216))</f>
        <v/>
      </c>
      <c r="AC216">
        <f>IF(原始資料!AC216="","",IF(反向題設定!$C$32="是",反向題設定!$B$2+1-原始資料!AC216,原始資料!AC216))</f>
        <v/>
      </c>
      <c r="AD216">
        <f>IF(原始資料!AD216="","",IF(反向題設定!$C$33="是",反向題設定!$B$2+1-原始資料!AD216,原始資料!AD216))</f>
        <v/>
      </c>
      <c r="AE216">
        <f>IF(原始資料!AE216="","",IF(反向題設定!$C$34="是",反向題設定!$B$2+1-原始資料!AE216,原始資料!AE216))</f>
        <v/>
      </c>
      <c r="AF216">
        <f>IF(原始資料!AF216="","",IF(反向題設定!$C$35="是",反向題設定!$B$2+1-原始資料!AF216,原始資料!AF216))</f>
        <v/>
      </c>
      <c r="AG216">
        <f>IF(原始資料!AG216="","",IF(反向題設定!$C$36="是",反向題設定!$B$2+1-原始資料!AG216,原始資料!AG216))</f>
        <v/>
      </c>
      <c r="AH216">
        <f>IF(原始資料!AH216="","",IF(反向題設定!$C$37="是",反向題設定!$B$2+1-原始資料!AH216,原始資料!AH216))</f>
        <v/>
      </c>
      <c r="AI216">
        <f>IF(原始資料!AI216="","",IF(反向題設定!$C$38="是",反向題設定!$B$2+1-原始資料!AI216,原始資料!AI216))</f>
        <v/>
      </c>
      <c r="AJ216">
        <f>IF(原始資料!AJ216="","",IF(反向題設定!$C$39="是",反向題設定!$B$2+1-原始資料!AJ216,原始資料!AJ216))</f>
        <v/>
      </c>
      <c r="AK216">
        <f>IF(原始資料!AK216="","",IF(反向題設定!$C$40="是",反向題設定!$B$2+1-原始資料!AK216,原始資料!AK216))</f>
        <v/>
      </c>
      <c r="AL216">
        <f>IF(原始資料!AL216="","",IF(反向題設定!$C$41="是",反向題設定!$B$2+1-原始資料!AL216,原始資料!AL216))</f>
        <v/>
      </c>
      <c r="AM216">
        <f>IF(原始資料!AM216="","",IF(反向題設定!$C$42="是",反向題設定!$B$2+1-原始資料!AM216,原始資料!AM216))</f>
        <v/>
      </c>
      <c r="AN216">
        <f>IF(原始資料!AN216="","",IF(反向題設定!$C$43="是",反向題設定!$B$2+1-原始資料!AN216,原始資料!AN216))</f>
        <v/>
      </c>
      <c r="AO216">
        <f>IF(原始資料!AO216="","",IF(反向題設定!$C$44="是",反向題設定!$B$2+1-原始資料!AO216,原始資料!AO216))</f>
        <v/>
      </c>
      <c r="AP216">
        <f>IF(COUNT(B216:AO216)=0,"",SUM(B216:AO216))</f>
        <v/>
      </c>
      <c r="AQ216">
        <f>IF(AP216="","",IF(AP216&gt;=項目分析!$C$5,"高",IF(AP216&lt;=項目分析!$C$6,"低","")))</f>
        <v/>
      </c>
    </row>
    <row r="217">
      <c r="A217">
        <f>IF(原始資料!A217="","",原始資料!A217)</f>
        <v/>
      </c>
      <c r="B217">
        <f>IF(原始資料!B217="","",IF(反向題設定!$C$5="是",反向題設定!$B$2+1-原始資料!B217,原始資料!B217))</f>
        <v/>
      </c>
      <c r="C217">
        <f>IF(原始資料!C217="","",IF(反向題設定!$C$6="是",反向題設定!$B$2+1-原始資料!C217,原始資料!C217))</f>
        <v/>
      </c>
      <c r="D217">
        <f>IF(原始資料!D217="","",IF(反向題設定!$C$7="是",反向題設定!$B$2+1-原始資料!D217,原始資料!D217))</f>
        <v/>
      </c>
      <c r="E217">
        <f>IF(原始資料!E217="","",IF(反向題設定!$C$8="是",反向題設定!$B$2+1-原始資料!E217,原始資料!E217))</f>
        <v/>
      </c>
      <c r="F217">
        <f>IF(原始資料!F217="","",IF(反向題設定!$C$9="是",反向題設定!$B$2+1-原始資料!F217,原始資料!F217))</f>
        <v/>
      </c>
      <c r="G217">
        <f>IF(原始資料!G217="","",IF(反向題設定!$C$10="是",反向題設定!$B$2+1-原始資料!G217,原始資料!G217))</f>
        <v/>
      </c>
      <c r="H217">
        <f>IF(原始資料!H217="","",IF(反向題設定!$C$11="是",反向題設定!$B$2+1-原始資料!H217,原始資料!H217))</f>
        <v/>
      </c>
      <c r="I217">
        <f>IF(原始資料!I217="","",IF(反向題設定!$C$12="是",反向題設定!$B$2+1-原始資料!I217,原始資料!I217))</f>
        <v/>
      </c>
      <c r="J217">
        <f>IF(原始資料!J217="","",IF(反向題設定!$C$13="是",反向題設定!$B$2+1-原始資料!J217,原始資料!J217))</f>
        <v/>
      </c>
      <c r="K217">
        <f>IF(原始資料!K217="","",IF(反向題設定!$C$14="是",反向題設定!$B$2+1-原始資料!K217,原始資料!K217))</f>
        <v/>
      </c>
      <c r="L217">
        <f>IF(原始資料!L217="","",IF(反向題設定!$C$15="是",反向題設定!$B$2+1-原始資料!L217,原始資料!L217))</f>
        <v/>
      </c>
      <c r="M217">
        <f>IF(原始資料!M217="","",IF(反向題設定!$C$16="是",反向題設定!$B$2+1-原始資料!M217,原始資料!M217))</f>
        <v/>
      </c>
      <c r="N217">
        <f>IF(原始資料!N217="","",IF(反向題設定!$C$17="是",反向題設定!$B$2+1-原始資料!N217,原始資料!N217))</f>
        <v/>
      </c>
      <c r="O217">
        <f>IF(原始資料!O217="","",IF(反向題設定!$C$18="是",反向題設定!$B$2+1-原始資料!O217,原始資料!O217))</f>
        <v/>
      </c>
      <c r="P217">
        <f>IF(原始資料!P217="","",IF(反向題設定!$C$19="是",反向題設定!$B$2+1-原始資料!P217,原始資料!P217))</f>
        <v/>
      </c>
      <c r="Q217">
        <f>IF(原始資料!Q217="","",IF(反向題設定!$C$20="是",反向題設定!$B$2+1-原始資料!Q217,原始資料!Q217))</f>
        <v/>
      </c>
      <c r="R217">
        <f>IF(原始資料!R217="","",IF(反向題設定!$C$21="是",反向題設定!$B$2+1-原始資料!R217,原始資料!R217))</f>
        <v/>
      </c>
      <c r="S217">
        <f>IF(原始資料!S217="","",IF(反向題設定!$C$22="是",反向題設定!$B$2+1-原始資料!S217,原始資料!S217))</f>
        <v/>
      </c>
      <c r="T217">
        <f>IF(原始資料!T217="","",IF(反向題設定!$C$23="是",反向題設定!$B$2+1-原始資料!T217,原始資料!T217))</f>
        <v/>
      </c>
      <c r="U217">
        <f>IF(原始資料!U217="","",IF(反向題設定!$C$24="是",反向題設定!$B$2+1-原始資料!U217,原始資料!U217))</f>
        <v/>
      </c>
      <c r="V217">
        <f>IF(原始資料!V217="","",IF(反向題設定!$C$25="是",反向題設定!$B$2+1-原始資料!V217,原始資料!V217))</f>
        <v/>
      </c>
      <c r="W217">
        <f>IF(原始資料!W217="","",IF(反向題設定!$C$26="是",反向題設定!$B$2+1-原始資料!W217,原始資料!W217))</f>
        <v/>
      </c>
      <c r="X217">
        <f>IF(原始資料!X217="","",IF(反向題設定!$C$27="是",反向題設定!$B$2+1-原始資料!X217,原始資料!X217))</f>
        <v/>
      </c>
      <c r="Y217">
        <f>IF(原始資料!Y217="","",IF(反向題設定!$C$28="是",反向題設定!$B$2+1-原始資料!Y217,原始資料!Y217))</f>
        <v/>
      </c>
      <c r="Z217">
        <f>IF(原始資料!Z217="","",IF(反向題設定!$C$29="是",反向題設定!$B$2+1-原始資料!Z217,原始資料!Z217))</f>
        <v/>
      </c>
      <c r="AA217">
        <f>IF(原始資料!AA217="","",IF(反向題設定!$C$30="是",反向題設定!$B$2+1-原始資料!AA217,原始資料!AA217))</f>
        <v/>
      </c>
      <c r="AB217">
        <f>IF(原始資料!AB217="","",IF(反向題設定!$C$31="是",反向題設定!$B$2+1-原始資料!AB217,原始資料!AB217))</f>
        <v/>
      </c>
      <c r="AC217">
        <f>IF(原始資料!AC217="","",IF(反向題設定!$C$32="是",反向題設定!$B$2+1-原始資料!AC217,原始資料!AC217))</f>
        <v/>
      </c>
      <c r="AD217">
        <f>IF(原始資料!AD217="","",IF(反向題設定!$C$33="是",反向題設定!$B$2+1-原始資料!AD217,原始資料!AD217))</f>
        <v/>
      </c>
      <c r="AE217">
        <f>IF(原始資料!AE217="","",IF(反向題設定!$C$34="是",反向題設定!$B$2+1-原始資料!AE217,原始資料!AE217))</f>
        <v/>
      </c>
      <c r="AF217">
        <f>IF(原始資料!AF217="","",IF(反向題設定!$C$35="是",反向題設定!$B$2+1-原始資料!AF217,原始資料!AF217))</f>
        <v/>
      </c>
      <c r="AG217">
        <f>IF(原始資料!AG217="","",IF(反向題設定!$C$36="是",反向題設定!$B$2+1-原始資料!AG217,原始資料!AG217))</f>
        <v/>
      </c>
      <c r="AH217">
        <f>IF(原始資料!AH217="","",IF(反向題設定!$C$37="是",反向題設定!$B$2+1-原始資料!AH217,原始資料!AH217))</f>
        <v/>
      </c>
      <c r="AI217">
        <f>IF(原始資料!AI217="","",IF(反向題設定!$C$38="是",反向題設定!$B$2+1-原始資料!AI217,原始資料!AI217))</f>
        <v/>
      </c>
      <c r="AJ217">
        <f>IF(原始資料!AJ217="","",IF(反向題設定!$C$39="是",反向題設定!$B$2+1-原始資料!AJ217,原始資料!AJ217))</f>
        <v/>
      </c>
      <c r="AK217">
        <f>IF(原始資料!AK217="","",IF(反向題設定!$C$40="是",反向題設定!$B$2+1-原始資料!AK217,原始資料!AK217))</f>
        <v/>
      </c>
      <c r="AL217">
        <f>IF(原始資料!AL217="","",IF(反向題設定!$C$41="是",反向題設定!$B$2+1-原始資料!AL217,原始資料!AL217))</f>
        <v/>
      </c>
      <c r="AM217">
        <f>IF(原始資料!AM217="","",IF(反向題設定!$C$42="是",反向題設定!$B$2+1-原始資料!AM217,原始資料!AM217))</f>
        <v/>
      </c>
      <c r="AN217">
        <f>IF(原始資料!AN217="","",IF(反向題設定!$C$43="是",反向題設定!$B$2+1-原始資料!AN217,原始資料!AN217))</f>
        <v/>
      </c>
      <c r="AO217">
        <f>IF(原始資料!AO217="","",IF(反向題設定!$C$44="是",反向題設定!$B$2+1-原始資料!AO217,原始資料!AO217))</f>
        <v/>
      </c>
      <c r="AP217">
        <f>IF(COUNT(B217:AO217)=0,"",SUM(B217:AO217))</f>
        <v/>
      </c>
      <c r="AQ217">
        <f>IF(AP217="","",IF(AP217&gt;=項目分析!$C$5,"高",IF(AP217&lt;=項目分析!$C$6,"低","")))</f>
        <v/>
      </c>
    </row>
    <row r="218">
      <c r="A218">
        <f>IF(原始資料!A218="","",原始資料!A218)</f>
        <v/>
      </c>
      <c r="B218">
        <f>IF(原始資料!B218="","",IF(反向題設定!$C$5="是",反向題設定!$B$2+1-原始資料!B218,原始資料!B218))</f>
        <v/>
      </c>
      <c r="C218">
        <f>IF(原始資料!C218="","",IF(反向題設定!$C$6="是",反向題設定!$B$2+1-原始資料!C218,原始資料!C218))</f>
        <v/>
      </c>
      <c r="D218">
        <f>IF(原始資料!D218="","",IF(反向題設定!$C$7="是",反向題設定!$B$2+1-原始資料!D218,原始資料!D218))</f>
        <v/>
      </c>
      <c r="E218">
        <f>IF(原始資料!E218="","",IF(反向題設定!$C$8="是",反向題設定!$B$2+1-原始資料!E218,原始資料!E218))</f>
        <v/>
      </c>
      <c r="F218">
        <f>IF(原始資料!F218="","",IF(反向題設定!$C$9="是",反向題設定!$B$2+1-原始資料!F218,原始資料!F218))</f>
        <v/>
      </c>
      <c r="G218">
        <f>IF(原始資料!G218="","",IF(反向題設定!$C$10="是",反向題設定!$B$2+1-原始資料!G218,原始資料!G218))</f>
        <v/>
      </c>
      <c r="H218">
        <f>IF(原始資料!H218="","",IF(反向題設定!$C$11="是",反向題設定!$B$2+1-原始資料!H218,原始資料!H218))</f>
        <v/>
      </c>
      <c r="I218">
        <f>IF(原始資料!I218="","",IF(反向題設定!$C$12="是",反向題設定!$B$2+1-原始資料!I218,原始資料!I218))</f>
        <v/>
      </c>
      <c r="J218">
        <f>IF(原始資料!J218="","",IF(反向題設定!$C$13="是",反向題設定!$B$2+1-原始資料!J218,原始資料!J218))</f>
        <v/>
      </c>
      <c r="K218">
        <f>IF(原始資料!K218="","",IF(反向題設定!$C$14="是",反向題設定!$B$2+1-原始資料!K218,原始資料!K218))</f>
        <v/>
      </c>
      <c r="L218">
        <f>IF(原始資料!L218="","",IF(反向題設定!$C$15="是",反向題設定!$B$2+1-原始資料!L218,原始資料!L218))</f>
        <v/>
      </c>
      <c r="M218">
        <f>IF(原始資料!M218="","",IF(反向題設定!$C$16="是",反向題設定!$B$2+1-原始資料!M218,原始資料!M218))</f>
        <v/>
      </c>
      <c r="N218">
        <f>IF(原始資料!N218="","",IF(反向題設定!$C$17="是",反向題設定!$B$2+1-原始資料!N218,原始資料!N218))</f>
        <v/>
      </c>
      <c r="O218">
        <f>IF(原始資料!O218="","",IF(反向題設定!$C$18="是",反向題設定!$B$2+1-原始資料!O218,原始資料!O218))</f>
        <v/>
      </c>
      <c r="P218">
        <f>IF(原始資料!P218="","",IF(反向題設定!$C$19="是",反向題設定!$B$2+1-原始資料!P218,原始資料!P218))</f>
        <v/>
      </c>
      <c r="Q218">
        <f>IF(原始資料!Q218="","",IF(反向題設定!$C$20="是",反向題設定!$B$2+1-原始資料!Q218,原始資料!Q218))</f>
        <v/>
      </c>
      <c r="R218">
        <f>IF(原始資料!R218="","",IF(反向題設定!$C$21="是",反向題設定!$B$2+1-原始資料!R218,原始資料!R218))</f>
        <v/>
      </c>
      <c r="S218">
        <f>IF(原始資料!S218="","",IF(反向題設定!$C$22="是",反向題設定!$B$2+1-原始資料!S218,原始資料!S218))</f>
        <v/>
      </c>
      <c r="T218">
        <f>IF(原始資料!T218="","",IF(反向題設定!$C$23="是",反向題設定!$B$2+1-原始資料!T218,原始資料!T218))</f>
        <v/>
      </c>
      <c r="U218">
        <f>IF(原始資料!U218="","",IF(反向題設定!$C$24="是",反向題設定!$B$2+1-原始資料!U218,原始資料!U218))</f>
        <v/>
      </c>
      <c r="V218">
        <f>IF(原始資料!V218="","",IF(反向題設定!$C$25="是",反向題設定!$B$2+1-原始資料!V218,原始資料!V218))</f>
        <v/>
      </c>
      <c r="W218">
        <f>IF(原始資料!W218="","",IF(反向題設定!$C$26="是",反向題設定!$B$2+1-原始資料!W218,原始資料!W218))</f>
        <v/>
      </c>
      <c r="X218">
        <f>IF(原始資料!X218="","",IF(反向題設定!$C$27="是",反向題設定!$B$2+1-原始資料!X218,原始資料!X218))</f>
        <v/>
      </c>
      <c r="Y218">
        <f>IF(原始資料!Y218="","",IF(反向題設定!$C$28="是",反向題設定!$B$2+1-原始資料!Y218,原始資料!Y218))</f>
        <v/>
      </c>
      <c r="Z218">
        <f>IF(原始資料!Z218="","",IF(反向題設定!$C$29="是",反向題設定!$B$2+1-原始資料!Z218,原始資料!Z218))</f>
        <v/>
      </c>
      <c r="AA218">
        <f>IF(原始資料!AA218="","",IF(反向題設定!$C$30="是",反向題設定!$B$2+1-原始資料!AA218,原始資料!AA218))</f>
        <v/>
      </c>
      <c r="AB218">
        <f>IF(原始資料!AB218="","",IF(反向題設定!$C$31="是",反向題設定!$B$2+1-原始資料!AB218,原始資料!AB218))</f>
        <v/>
      </c>
      <c r="AC218">
        <f>IF(原始資料!AC218="","",IF(反向題設定!$C$32="是",反向題設定!$B$2+1-原始資料!AC218,原始資料!AC218))</f>
        <v/>
      </c>
      <c r="AD218">
        <f>IF(原始資料!AD218="","",IF(反向題設定!$C$33="是",反向題設定!$B$2+1-原始資料!AD218,原始資料!AD218))</f>
        <v/>
      </c>
      <c r="AE218">
        <f>IF(原始資料!AE218="","",IF(反向題設定!$C$34="是",反向題設定!$B$2+1-原始資料!AE218,原始資料!AE218))</f>
        <v/>
      </c>
      <c r="AF218">
        <f>IF(原始資料!AF218="","",IF(反向題設定!$C$35="是",反向題設定!$B$2+1-原始資料!AF218,原始資料!AF218))</f>
        <v/>
      </c>
      <c r="AG218">
        <f>IF(原始資料!AG218="","",IF(反向題設定!$C$36="是",反向題設定!$B$2+1-原始資料!AG218,原始資料!AG218))</f>
        <v/>
      </c>
      <c r="AH218">
        <f>IF(原始資料!AH218="","",IF(反向題設定!$C$37="是",反向題設定!$B$2+1-原始資料!AH218,原始資料!AH218))</f>
        <v/>
      </c>
      <c r="AI218">
        <f>IF(原始資料!AI218="","",IF(反向題設定!$C$38="是",反向題設定!$B$2+1-原始資料!AI218,原始資料!AI218))</f>
        <v/>
      </c>
      <c r="AJ218">
        <f>IF(原始資料!AJ218="","",IF(反向題設定!$C$39="是",反向題設定!$B$2+1-原始資料!AJ218,原始資料!AJ218))</f>
        <v/>
      </c>
      <c r="AK218">
        <f>IF(原始資料!AK218="","",IF(反向題設定!$C$40="是",反向題設定!$B$2+1-原始資料!AK218,原始資料!AK218))</f>
        <v/>
      </c>
      <c r="AL218">
        <f>IF(原始資料!AL218="","",IF(反向題設定!$C$41="是",反向題設定!$B$2+1-原始資料!AL218,原始資料!AL218))</f>
        <v/>
      </c>
      <c r="AM218">
        <f>IF(原始資料!AM218="","",IF(反向題設定!$C$42="是",反向題設定!$B$2+1-原始資料!AM218,原始資料!AM218))</f>
        <v/>
      </c>
      <c r="AN218">
        <f>IF(原始資料!AN218="","",IF(反向題設定!$C$43="是",反向題設定!$B$2+1-原始資料!AN218,原始資料!AN218))</f>
        <v/>
      </c>
      <c r="AO218">
        <f>IF(原始資料!AO218="","",IF(反向題設定!$C$44="是",反向題設定!$B$2+1-原始資料!AO218,原始資料!AO218))</f>
        <v/>
      </c>
      <c r="AP218">
        <f>IF(COUNT(B218:AO218)=0,"",SUM(B218:AO218))</f>
        <v/>
      </c>
      <c r="AQ218">
        <f>IF(AP218="","",IF(AP218&gt;=項目分析!$C$5,"高",IF(AP218&lt;=項目分析!$C$6,"低","")))</f>
        <v/>
      </c>
    </row>
    <row r="219">
      <c r="A219">
        <f>IF(原始資料!A219="","",原始資料!A219)</f>
        <v/>
      </c>
      <c r="B219">
        <f>IF(原始資料!B219="","",IF(反向題設定!$C$5="是",反向題設定!$B$2+1-原始資料!B219,原始資料!B219))</f>
        <v/>
      </c>
      <c r="C219">
        <f>IF(原始資料!C219="","",IF(反向題設定!$C$6="是",反向題設定!$B$2+1-原始資料!C219,原始資料!C219))</f>
        <v/>
      </c>
      <c r="D219">
        <f>IF(原始資料!D219="","",IF(反向題設定!$C$7="是",反向題設定!$B$2+1-原始資料!D219,原始資料!D219))</f>
        <v/>
      </c>
      <c r="E219">
        <f>IF(原始資料!E219="","",IF(反向題設定!$C$8="是",反向題設定!$B$2+1-原始資料!E219,原始資料!E219))</f>
        <v/>
      </c>
      <c r="F219">
        <f>IF(原始資料!F219="","",IF(反向題設定!$C$9="是",反向題設定!$B$2+1-原始資料!F219,原始資料!F219))</f>
        <v/>
      </c>
      <c r="G219">
        <f>IF(原始資料!G219="","",IF(反向題設定!$C$10="是",反向題設定!$B$2+1-原始資料!G219,原始資料!G219))</f>
        <v/>
      </c>
      <c r="H219">
        <f>IF(原始資料!H219="","",IF(反向題設定!$C$11="是",反向題設定!$B$2+1-原始資料!H219,原始資料!H219))</f>
        <v/>
      </c>
      <c r="I219">
        <f>IF(原始資料!I219="","",IF(反向題設定!$C$12="是",反向題設定!$B$2+1-原始資料!I219,原始資料!I219))</f>
        <v/>
      </c>
      <c r="J219">
        <f>IF(原始資料!J219="","",IF(反向題設定!$C$13="是",反向題設定!$B$2+1-原始資料!J219,原始資料!J219))</f>
        <v/>
      </c>
      <c r="K219">
        <f>IF(原始資料!K219="","",IF(反向題設定!$C$14="是",反向題設定!$B$2+1-原始資料!K219,原始資料!K219))</f>
        <v/>
      </c>
      <c r="L219">
        <f>IF(原始資料!L219="","",IF(反向題設定!$C$15="是",反向題設定!$B$2+1-原始資料!L219,原始資料!L219))</f>
        <v/>
      </c>
      <c r="M219">
        <f>IF(原始資料!M219="","",IF(反向題設定!$C$16="是",反向題設定!$B$2+1-原始資料!M219,原始資料!M219))</f>
        <v/>
      </c>
      <c r="N219">
        <f>IF(原始資料!N219="","",IF(反向題設定!$C$17="是",反向題設定!$B$2+1-原始資料!N219,原始資料!N219))</f>
        <v/>
      </c>
      <c r="O219">
        <f>IF(原始資料!O219="","",IF(反向題設定!$C$18="是",反向題設定!$B$2+1-原始資料!O219,原始資料!O219))</f>
        <v/>
      </c>
      <c r="P219">
        <f>IF(原始資料!P219="","",IF(反向題設定!$C$19="是",反向題設定!$B$2+1-原始資料!P219,原始資料!P219))</f>
        <v/>
      </c>
      <c r="Q219">
        <f>IF(原始資料!Q219="","",IF(反向題設定!$C$20="是",反向題設定!$B$2+1-原始資料!Q219,原始資料!Q219))</f>
        <v/>
      </c>
      <c r="R219">
        <f>IF(原始資料!R219="","",IF(反向題設定!$C$21="是",反向題設定!$B$2+1-原始資料!R219,原始資料!R219))</f>
        <v/>
      </c>
      <c r="S219">
        <f>IF(原始資料!S219="","",IF(反向題設定!$C$22="是",反向題設定!$B$2+1-原始資料!S219,原始資料!S219))</f>
        <v/>
      </c>
      <c r="T219">
        <f>IF(原始資料!T219="","",IF(反向題設定!$C$23="是",反向題設定!$B$2+1-原始資料!T219,原始資料!T219))</f>
        <v/>
      </c>
      <c r="U219">
        <f>IF(原始資料!U219="","",IF(反向題設定!$C$24="是",反向題設定!$B$2+1-原始資料!U219,原始資料!U219))</f>
        <v/>
      </c>
      <c r="V219">
        <f>IF(原始資料!V219="","",IF(反向題設定!$C$25="是",反向題設定!$B$2+1-原始資料!V219,原始資料!V219))</f>
        <v/>
      </c>
      <c r="W219">
        <f>IF(原始資料!W219="","",IF(反向題設定!$C$26="是",反向題設定!$B$2+1-原始資料!W219,原始資料!W219))</f>
        <v/>
      </c>
      <c r="X219">
        <f>IF(原始資料!X219="","",IF(反向題設定!$C$27="是",反向題設定!$B$2+1-原始資料!X219,原始資料!X219))</f>
        <v/>
      </c>
      <c r="Y219">
        <f>IF(原始資料!Y219="","",IF(反向題設定!$C$28="是",反向題設定!$B$2+1-原始資料!Y219,原始資料!Y219))</f>
        <v/>
      </c>
      <c r="Z219">
        <f>IF(原始資料!Z219="","",IF(反向題設定!$C$29="是",反向題設定!$B$2+1-原始資料!Z219,原始資料!Z219))</f>
        <v/>
      </c>
      <c r="AA219">
        <f>IF(原始資料!AA219="","",IF(反向題設定!$C$30="是",反向題設定!$B$2+1-原始資料!AA219,原始資料!AA219))</f>
        <v/>
      </c>
      <c r="AB219">
        <f>IF(原始資料!AB219="","",IF(反向題設定!$C$31="是",反向題設定!$B$2+1-原始資料!AB219,原始資料!AB219))</f>
        <v/>
      </c>
      <c r="AC219">
        <f>IF(原始資料!AC219="","",IF(反向題設定!$C$32="是",反向題設定!$B$2+1-原始資料!AC219,原始資料!AC219))</f>
        <v/>
      </c>
      <c r="AD219">
        <f>IF(原始資料!AD219="","",IF(反向題設定!$C$33="是",反向題設定!$B$2+1-原始資料!AD219,原始資料!AD219))</f>
        <v/>
      </c>
      <c r="AE219">
        <f>IF(原始資料!AE219="","",IF(反向題設定!$C$34="是",反向題設定!$B$2+1-原始資料!AE219,原始資料!AE219))</f>
        <v/>
      </c>
      <c r="AF219">
        <f>IF(原始資料!AF219="","",IF(反向題設定!$C$35="是",反向題設定!$B$2+1-原始資料!AF219,原始資料!AF219))</f>
        <v/>
      </c>
      <c r="AG219">
        <f>IF(原始資料!AG219="","",IF(反向題設定!$C$36="是",反向題設定!$B$2+1-原始資料!AG219,原始資料!AG219))</f>
        <v/>
      </c>
      <c r="AH219">
        <f>IF(原始資料!AH219="","",IF(反向題設定!$C$37="是",反向題設定!$B$2+1-原始資料!AH219,原始資料!AH219))</f>
        <v/>
      </c>
      <c r="AI219">
        <f>IF(原始資料!AI219="","",IF(反向題設定!$C$38="是",反向題設定!$B$2+1-原始資料!AI219,原始資料!AI219))</f>
        <v/>
      </c>
      <c r="AJ219">
        <f>IF(原始資料!AJ219="","",IF(反向題設定!$C$39="是",反向題設定!$B$2+1-原始資料!AJ219,原始資料!AJ219))</f>
        <v/>
      </c>
      <c r="AK219">
        <f>IF(原始資料!AK219="","",IF(反向題設定!$C$40="是",反向題設定!$B$2+1-原始資料!AK219,原始資料!AK219))</f>
        <v/>
      </c>
      <c r="AL219">
        <f>IF(原始資料!AL219="","",IF(反向題設定!$C$41="是",反向題設定!$B$2+1-原始資料!AL219,原始資料!AL219))</f>
        <v/>
      </c>
      <c r="AM219">
        <f>IF(原始資料!AM219="","",IF(反向題設定!$C$42="是",反向題設定!$B$2+1-原始資料!AM219,原始資料!AM219))</f>
        <v/>
      </c>
      <c r="AN219">
        <f>IF(原始資料!AN219="","",IF(反向題設定!$C$43="是",反向題設定!$B$2+1-原始資料!AN219,原始資料!AN219))</f>
        <v/>
      </c>
      <c r="AO219">
        <f>IF(原始資料!AO219="","",IF(反向題設定!$C$44="是",反向題設定!$B$2+1-原始資料!AO219,原始資料!AO219))</f>
        <v/>
      </c>
      <c r="AP219">
        <f>IF(COUNT(B219:AO219)=0,"",SUM(B219:AO219))</f>
        <v/>
      </c>
      <c r="AQ219">
        <f>IF(AP219="","",IF(AP219&gt;=項目分析!$C$5,"高",IF(AP219&lt;=項目分析!$C$6,"低","")))</f>
        <v/>
      </c>
    </row>
    <row r="220">
      <c r="A220">
        <f>IF(原始資料!A220="","",原始資料!A220)</f>
        <v/>
      </c>
      <c r="B220">
        <f>IF(原始資料!B220="","",IF(反向題設定!$C$5="是",反向題設定!$B$2+1-原始資料!B220,原始資料!B220))</f>
        <v/>
      </c>
      <c r="C220">
        <f>IF(原始資料!C220="","",IF(反向題設定!$C$6="是",反向題設定!$B$2+1-原始資料!C220,原始資料!C220))</f>
        <v/>
      </c>
      <c r="D220">
        <f>IF(原始資料!D220="","",IF(反向題設定!$C$7="是",反向題設定!$B$2+1-原始資料!D220,原始資料!D220))</f>
        <v/>
      </c>
      <c r="E220">
        <f>IF(原始資料!E220="","",IF(反向題設定!$C$8="是",反向題設定!$B$2+1-原始資料!E220,原始資料!E220))</f>
        <v/>
      </c>
      <c r="F220">
        <f>IF(原始資料!F220="","",IF(反向題設定!$C$9="是",反向題設定!$B$2+1-原始資料!F220,原始資料!F220))</f>
        <v/>
      </c>
      <c r="G220">
        <f>IF(原始資料!G220="","",IF(反向題設定!$C$10="是",反向題設定!$B$2+1-原始資料!G220,原始資料!G220))</f>
        <v/>
      </c>
      <c r="H220">
        <f>IF(原始資料!H220="","",IF(反向題設定!$C$11="是",反向題設定!$B$2+1-原始資料!H220,原始資料!H220))</f>
        <v/>
      </c>
      <c r="I220">
        <f>IF(原始資料!I220="","",IF(反向題設定!$C$12="是",反向題設定!$B$2+1-原始資料!I220,原始資料!I220))</f>
        <v/>
      </c>
      <c r="J220">
        <f>IF(原始資料!J220="","",IF(反向題設定!$C$13="是",反向題設定!$B$2+1-原始資料!J220,原始資料!J220))</f>
        <v/>
      </c>
      <c r="K220">
        <f>IF(原始資料!K220="","",IF(反向題設定!$C$14="是",反向題設定!$B$2+1-原始資料!K220,原始資料!K220))</f>
        <v/>
      </c>
      <c r="L220">
        <f>IF(原始資料!L220="","",IF(反向題設定!$C$15="是",反向題設定!$B$2+1-原始資料!L220,原始資料!L220))</f>
        <v/>
      </c>
      <c r="M220">
        <f>IF(原始資料!M220="","",IF(反向題設定!$C$16="是",反向題設定!$B$2+1-原始資料!M220,原始資料!M220))</f>
        <v/>
      </c>
      <c r="N220">
        <f>IF(原始資料!N220="","",IF(反向題設定!$C$17="是",反向題設定!$B$2+1-原始資料!N220,原始資料!N220))</f>
        <v/>
      </c>
      <c r="O220">
        <f>IF(原始資料!O220="","",IF(反向題設定!$C$18="是",反向題設定!$B$2+1-原始資料!O220,原始資料!O220))</f>
        <v/>
      </c>
      <c r="P220">
        <f>IF(原始資料!P220="","",IF(反向題設定!$C$19="是",反向題設定!$B$2+1-原始資料!P220,原始資料!P220))</f>
        <v/>
      </c>
      <c r="Q220">
        <f>IF(原始資料!Q220="","",IF(反向題設定!$C$20="是",反向題設定!$B$2+1-原始資料!Q220,原始資料!Q220))</f>
        <v/>
      </c>
      <c r="R220">
        <f>IF(原始資料!R220="","",IF(反向題設定!$C$21="是",反向題設定!$B$2+1-原始資料!R220,原始資料!R220))</f>
        <v/>
      </c>
      <c r="S220">
        <f>IF(原始資料!S220="","",IF(反向題設定!$C$22="是",反向題設定!$B$2+1-原始資料!S220,原始資料!S220))</f>
        <v/>
      </c>
      <c r="T220">
        <f>IF(原始資料!T220="","",IF(反向題設定!$C$23="是",反向題設定!$B$2+1-原始資料!T220,原始資料!T220))</f>
        <v/>
      </c>
      <c r="U220">
        <f>IF(原始資料!U220="","",IF(反向題設定!$C$24="是",反向題設定!$B$2+1-原始資料!U220,原始資料!U220))</f>
        <v/>
      </c>
      <c r="V220">
        <f>IF(原始資料!V220="","",IF(反向題設定!$C$25="是",反向題設定!$B$2+1-原始資料!V220,原始資料!V220))</f>
        <v/>
      </c>
      <c r="W220">
        <f>IF(原始資料!W220="","",IF(反向題設定!$C$26="是",反向題設定!$B$2+1-原始資料!W220,原始資料!W220))</f>
        <v/>
      </c>
      <c r="X220">
        <f>IF(原始資料!X220="","",IF(反向題設定!$C$27="是",反向題設定!$B$2+1-原始資料!X220,原始資料!X220))</f>
        <v/>
      </c>
      <c r="Y220">
        <f>IF(原始資料!Y220="","",IF(反向題設定!$C$28="是",反向題設定!$B$2+1-原始資料!Y220,原始資料!Y220))</f>
        <v/>
      </c>
      <c r="Z220">
        <f>IF(原始資料!Z220="","",IF(反向題設定!$C$29="是",反向題設定!$B$2+1-原始資料!Z220,原始資料!Z220))</f>
        <v/>
      </c>
      <c r="AA220">
        <f>IF(原始資料!AA220="","",IF(反向題設定!$C$30="是",反向題設定!$B$2+1-原始資料!AA220,原始資料!AA220))</f>
        <v/>
      </c>
      <c r="AB220">
        <f>IF(原始資料!AB220="","",IF(反向題設定!$C$31="是",反向題設定!$B$2+1-原始資料!AB220,原始資料!AB220))</f>
        <v/>
      </c>
      <c r="AC220">
        <f>IF(原始資料!AC220="","",IF(反向題設定!$C$32="是",反向題設定!$B$2+1-原始資料!AC220,原始資料!AC220))</f>
        <v/>
      </c>
      <c r="AD220">
        <f>IF(原始資料!AD220="","",IF(反向題設定!$C$33="是",反向題設定!$B$2+1-原始資料!AD220,原始資料!AD220))</f>
        <v/>
      </c>
      <c r="AE220">
        <f>IF(原始資料!AE220="","",IF(反向題設定!$C$34="是",反向題設定!$B$2+1-原始資料!AE220,原始資料!AE220))</f>
        <v/>
      </c>
      <c r="AF220">
        <f>IF(原始資料!AF220="","",IF(反向題設定!$C$35="是",反向題設定!$B$2+1-原始資料!AF220,原始資料!AF220))</f>
        <v/>
      </c>
      <c r="AG220">
        <f>IF(原始資料!AG220="","",IF(反向題設定!$C$36="是",反向題設定!$B$2+1-原始資料!AG220,原始資料!AG220))</f>
        <v/>
      </c>
      <c r="AH220">
        <f>IF(原始資料!AH220="","",IF(反向題設定!$C$37="是",反向題設定!$B$2+1-原始資料!AH220,原始資料!AH220))</f>
        <v/>
      </c>
      <c r="AI220">
        <f>IF(原始資料!AI220="","",IF(反向題設定!$C$38="是",反向題設定!$B$2+1-原始資料!AI220,原始資料!AI220))</f>
        <v/>
      </c>
      <c r="AJ220">
        <f>IF(原始資料!AJ220="","",IF(反向題設定!$C$39="是",反向題設定!$B$2+1-原始資料!AJ220,原始資料!AJ220))</f>
        <v/>
      </c>
      <c r="AK220">
        <f>IF(原始資料!AK220="","",IF(反向題設定!$C$40="是",反向題設定!$B$2+1-原始資料!AK220,原始資料!AK220))</f>
        <v/>
      </c>
      <c r="AL220">
        <f>IF(原始資料!AL220="","",IF(反向題設定!$C$41="是",反向題設定!$B$2+1-原始資料!AL220,原始資料!AL220))</f>
        <v/>
      </c>
      <c r="AM220">
        <f>IF(原始資料!AM220="","",IF(反向題設定!$C$42="是",反向題設定!$B$2+1-原始資料!AM220,原始資料!AM220))</f>
        <v/>
      </c>
      <c r="AN220">
        <f>IF(原始資料!AN220="","",IF(反向題設定!$C$43="是",反向題設定!$B$2+1-原始資料!AN220,原始資料!AN220))</f>
        <v/>
      </c>
      <c r="AO220">
        <f>IF(原始資料!AO220="","",IF(反向題設定!$C$44="是",反向題設定!$B$2+1-原始資料!AO220,原始資料!AO220))</f>
        <v/>
      </c>
      <c r="AP220">
        <f>IF(COUNT(B220:AO220)=0,"",SUM(B220:AO220))</f>
        <v/>
      </c>
      <c r="AQ220">
        <f>IF(AP220="","",IF(AP220&gt;=項目分析!$C$5,"高",IF(AP220&lt;=項目分析!$C$6,"低","")))</f>
        <v/>
      </c>
    </row>
    <row r="221">
      <c r="A221">
        <f>IF(原始資料!A221="","",原始資料!A221)</f>
        <v/>
      </c>
      <c r="B221">
        <f>IF(原始資料!B221="","",IF(反向題設定!$C$5="是",反向題設定!$B$2+1-原始資料!B221,原始資料!B221))</f>
        <v/>
      </c>
      <c r="C221">
        <f>IF(原始資料!C221="","",IF(反向題設定!$C$6="是",反向題設定!$B$2+1-原始資料!C221,原始資料!C221))</f>
        <v/>
      </c>
      <c r="D221">
        <f>IF(原始資料!D221="","",IF(反向題設定!$C$7="是",反向題設定!$B$2+1-原始資料!D221,原始資料!D221))</f>
        <v/>
      </c>
      <c r="E221">
        <f>IF(原始資料!E221="","",IF(反向題設定!$C$8="是",反向題設定!$B$2+1-原始資料!E221,原始資料!E221))</f>
        <v/>
      </c>
      <c r="F221">
        <f>IF(原始資料!F221="","",IF(反向題設定!$C$9="是",反向題設定!$B$2+1-原始資料!F221,原始資料!F221))</f>
        <v/>
      </c>
      <c r="G221">
        <f>IF(原始資料!G221="","",IF(反向題設定!$C$10="是",反向題設定!$B$2+1-原始資料!G221,原始資料!G221))</f>
        <v/>
      </c>
      <c r="H221">
        <f>IF(原始資料!H221="","",IF(反向題設定!$C$11="是",反向題設定!$B$2+1-原始資料!H221,原始資料!H221))</f>
        <v/>
      </c>
      <c r="I221">
        <f>IF(原始資料!I221="","",IF(反向題設定!$C$12="是",反向題設定!$B$2+1-原始資料!I221,原始資料!I221))</f>
        <v/>
      </c>
      <c r="J221">
        <f>IF(原始資料!J221="","",IF(反向題設定!$C$13="是",反向題設定!$B$2+1-原始資料!J221,原始資料!J221))</f>
        <v/>
      </c>
      <c r="K221">
        <f>IF(原始資料!K221="","",IF(反向題設定!$C$14="是",反向題設定!$B$2+1-原始資料!K221,原始資料!K221))</f>
        <v/>
      </c>
      <c r="L221">
        <f>IF(原始資料!L221="","",IF(反向題設定!$C$15="是",反向題設定!$B$2+1-原始資料!L221,原始資料!L221))</f>
        <v/>
      </c>
      <c r="M221">
        <f>IF(原始資料!M221="","",IF(反向題設定!$C$16="是",反向題設定!$B$2+1-原始資料!M221,原始資料!M221))</f>
        <v/>
      </c>
      <c r="N221">
        <f>IF(原始資料!N221="","",IF(反向題設定!$C$17="是",反向題設定!$B$2+1-原始資料!N221,原始資料!N221))</f>
        <v/>
      </c>
      <c r="O221">
        <f>IF(原始資料!O221="","",IF(反向題設定!$C$18="是",反向題設定!$B$2+1-原始資料!O221,原始資料!O221))</f>
        <v/>
      </c>
      <c r="P221">
        <f>IF(原始資料!P221="","",IF(反向題設定!$C$19="是",反向題設定!$B$2+1-原始資料!P221,原始資料!P221))</f>
        <v/>
      </c>
      <c r="Q221">
        <f>IF(原始資料!Q221="","",IF(反向題設定!$C$20="是",反向題設定!$B$2+1-原始資料!Q221,原始資料!Q221))</f>
        <v/>
      </c>
      <c r="R221">
        <f>IF(原始資料!R221="","",IF(反向題設定!$C$21="是",反向題設定!$B$2+1-原始資料!R221,原始資料!R221))</f>
        <v/>
      </c>
      <c r="S221">
        <f>IF(原始資料!S221="","",IF(反向題設定!$C$22="是",反向題設定!$B$2+1-原始資料!S221,原始資料!S221))</f>
        <v/>
      </c>
      <c r="T221">
        <f>IF(原始資料!T221="","",IF(反向題設定!$C$23="是",反向題設定!$B$2+1-原始資料!T221,原始資料!T221))</f>
        <v/>
      </c>
      <c r="U221">
        <f>IF(原始資料!U221="","",IF(反向題設定!$C$24="是",反向題設定!$B$2+1-原始資料!U221,原始資料!U221))</f>
        <v/>
      </c>
      <c r="V221">
        <f>IF(原始資料!V221="","",IF(反向題設定!$C$25="是",反向題設定!$B$2+1-原始資料!V221,原始資料!V221))</f>
        <v/>
      </c>
      <c r="W221">
        <f>IF(原始資料!W221="","",IF(反向題設定!$C$26="是",反向題設定!$B$2+1-原始資料!W221,原始資料!W221))</f>
        <v/>
      </c>
      <c r="X221">
        <f>IF(原始資料!X221="","",IF(反向題設定!$C$27="是",反向題設定!$B$2+1-原始資料!X221,原始資料!X221))</f>
        <v/>
      </c>
      <c r="Y221">
        <f>IF(原始資料!Y221="","",IF(反向題設定!$C$28="是",反向題設定!$B$2+1-原始資料!Y221,原始資料!Y221))</f>
        <v/>
      </c>
      <c r="Z221">
        <f>IF(原始資料!Z221="","",IF(反向題設定!$C$29="是",反向題設定!$B$2+1-原始資料!Z221,原始資料!Z221))</f>
        <v/>
      </c>
      <c r="AA221">
        <f>IF(原始資料!AA221="","",IF(反向題設定!$C$30="是",反向題設定!$B$2+1-原始資料!AA221,原始資料!AA221))</f>
        <v/>
      </c>
      <c r="AB221">
        <f>IF(原始資料!AB221="","",IF(反向題設定!$C$31="是",反向題設定!$B$2+1-原始資料!AB221,原始資料!AB221))</f>
        <v/>
      </c>
      <c r="AC221">
        <f>IF(原始資料!AC221="","",IF(反向題設定!$C$32="是",反向題設定!$B$2+1-原始資料!AC221,原始資料!AC221))</f>
        <v/>
      </c>
      <c r="AD221">
        <f>IF(原始資料!AD221="","",IF(反向題設定!$C$33="是",反向題設定!$B$2+1-原始資料!AD221,原始資料!AD221))</f>
        <v/>
      </c>
      <c r="AE221">
        <f>IF(原始資料!AE221="","",IF(反向題設定!$C$34="是",反向題設定!$B$2+1-原始資料!AE221,原始資料!AE221))</f>
        <v/>
      </c>
      <c r="AF221">
        <f>IF(原始資料!AF221="","",IF(反向題設定!$C$35="是",反向題設定!$B$2+1-原始資料!AF221,原始資料!AF221))</f>
        <v/>
      </c>
      <c r="AG221">
        <f>IF(原始資料!AG221="","",IF(反向題設定!$C$36="是",反向題設定!$B$2+1-原始資料!AG221,原始資料!AG221))</f>
        <v/>
      </c>
      <c r="AH221">
        <f>IF(原始資料!AH221="","",IF(反向題設定!$C$37="是",反向題設定!$B$2+1-原始資料!AH221,原始資料!AH221))</f>
        <v/>
      </c>
      <c r="AI221">
        <f>IF(原始資料!AI221="","",IF(反向題設定!$C$38="是",反向題設定!$B$2+1-原始資料!AI221,原始資料!AI221))</f>
        <v/>
      </c>
      <c r="AJ221">
        <f>IF(原始資料!AJ221="","",IF(反向題設定!$C$39="是",反向題設定!$B$2+1-原始資料!AJ221,原始資料!AJ221))</f>
        <v/>
      </c>
      <c r="AK221">
        <f>IF(原始資料!AK221="","",IF(反向題設定!$C$40="是",反向題設定!$B$2+1-原始資料!AK221,原始資料!AK221))</f>
        <v/>
      </c>
      <c r="AL221">
        <f>IF(原始資料!AL221="","",IF(反向題設定!$C$41="是",反向題設定!$B$2+1-原始資料!AL221,原始資料!AL221))</f>
        <v/>
      </c>
      <c r="AM221">
        <f>IF(原始資料!AM221="","",IF(反向題設定!$C$42="是",反向題設定!$B$2+1-原始資料!AM221,原始資料!AM221))</f>
        <v/>
      </c>
      <c r="AN221">
        <f>IF(原始資料!AN221="","",IF(反向題設定!$C$43="是",反向題設定!$B$2+1-原始資料!AN221,原始資料!AN221))</f>
        <v/>
      </c>
      <c r="AO221">
        <f>IF(原始資料!AO221="","",IF(反向題設定!$C$44="是",反向題設定!$B$2+1-原始資料!AO221,原始資料!AO221))</f>
        <v/>
      </c>
      <c r="AP221">
        <f>IF(COUNT(B221:AO221)=0,"",SUM(B221:AO221))</f>
        <v/>
      </c>
      <c r="AQ221">
        <f>IF(AP221="","",IF(AP221&gt;=項目分析!$C$5,"高",IF(AP221&lt;=項目分析!$C$6,"低","")))</f>
        <v/>
      </c>
    </row>
    <row r="222">
      <c r="A222">
        <f>IF(原始資料!A222="","",原始資料!A222)</f>
        <v/>
      </c>
      <c r="B222">
        <f>IF(原始資料!B222="","",IF(反向題設定!$C$5="是",反向題設定!$B$2+1-原始資料!B222,原始資料!B222))</f>
        <v/>
      </c>
      <c r="C222">
        <f>IF(原始資料!C222="","",IF(反向題設定!$C$6="是",反向題設定!$B$2+1-原始資料!C222,原始資料!C222))</f>
        <v/>
      </c>
      <c r="D222">
        <f>IF(原始資料!D222="","",IF(反向題設定!$C$7="是",反向題設定!$B$2+1-原始資料!D222,原始資料!D222))</f>
        <v/>
      </c>
      <c r="E222">
        <f>IF(原始資料!E222="","",IF(反向題設定!$C$8="是",反向題設定!$B$2+1-原始資料!E222,原始資料!E222))</f>
        <v/>
      </c>
      <c r="F222">
        <f>IF(原始資料!F222="","",IF(反向題設定!$C$9="是",反向題設定!$B$2+1-原始資料!F222,原始資料!F222))</f>
        <v/>
      </c>
      <c r="G222">
        <f>IF(原始資料!G222="","",IF(反向題設定!$C$10="是",反向題設定!$B$2+1-原始資料!G222,原始資料!G222))</f>
        <v/>
      </c>
      <c r="H222">
        <f>IF(原始資料!H222="","",IF(反向題設定!$C$11="是",反向題設定!$B$2+1-原始資料!H222,原始資料!H222))</f>
        <v/>
      </c>
      <c r="I222">
        <f>IF(原始資料!I222="","",IF(反向題設定!$C$12="是",反向題設定!$B$2+1-原始資料!I222,原始資料!I222))</f>
        <v/>
      </c>
      <c r="J222">
        <f>IF(原始資料!J222="","",IF(反向題設定!$C$13="是",反向題設定!$B$2+1-原始資料!J222,原始資料!J222))</f>
        <v/>
      </c>
      <c r="K222">
        <f>IF(原始資料!K222="","",IF(反向題設定!$C$14="是",反向題設定!$B$2+1-原始資料!K222,原始資料!K222))</f>
        <v/>
      </c>
      <c r="L222">
        <f>IF(原始資料!L222="","",IF(反向題設定!$C$15="是",反向題設定!$B$2+1-原始資料!L222,原始資料!L222))</f>
        <v/>
      </c>
      <c r="M222">
        <f>IF(原始資料!M222="","",IF(反向題設定!$C$16="是",反向題設定!$B$2+1-原始資料!M222,原始資料!M222))</f>
        <v/>
      </c>
      <c r="N222">
        <f>IF(原始資料!N222="","",IF(反向題設定!$C$17="是",反向題設定!$B$2+1-原始資料!N222,原始資料!N222))</f>
        <v/>
      </c>
      <c r="O222">
        <f>IF(原始資料!O222="","",IF(反向題設定!$C$18="是",反向題設定!$B$2+1-原始資料!O222,原始資料!O222))</f>
        <v/>
      </c>
      <c r="P222">
        <f>IF(原始資料!P222="","",IF(反向題設定!$C$19="是",反向題設定!$B$2+1-原始資料!P222,原始資料!P222))</f>
        <v/>
      </c>
      <c r="Q222">
        <f>IF(原始資料!Q222="","",IF(反向題設定!$C$20="是",反向題設定!$B$2+1-原始資料!Q222,原始資料!Q222))</f>
        <v/>
      </c>
      <c r="R222">
        <f>IF(原始資料!R222="","",IF(反向題設定!$C$21="是",反向題設定!$B$2+1-原始資料!R222,原始資料!R222))</f>
        <v/>
      </c>
      <c r="S222">
        <f>IF(原始資料!S222="","",IF(反向題設定!$C$22="是",反向題設定!$B$2+1-原始資料!S222,原始資料!S222))</f>
        <v/>
      </c>
      <c r="T222">
        <f>IF(原始資料!T222="","",IF(反向題設定!$C$23="是",反向題設定!$B$2+1-原始資料!T222,原始資料!T222))</f>
        <v/>
      </c>
      <c r="U222">
        <f>IF(原始資料!U222="","",IF(反向題設定!$C$24="是",反向題設定!$B$2+1-原始資料!U222,原始資料!U222))</f>
        <v/>
      </c>
      <c r="V222">
        <f>IF(原始資料!V222="","",IF(反向題設定!$C$25="是",反向題設定!$B$2+1-原始資料!V222,原始資料!V222))</f>
        <v/>
      </c>
      <c r="W222">
        <f>IF(原始資料!W222="","",IF(反向題設定!$C$26="是",反向題設定!$B$2+1-原始資料!W222,原始資料!W222))</f>
        <v/>
      </c>
      <c r="X222">
        <f>IF(原始資料!X222="","",IF(反向題設定!$C$27="是",反向題設定!$B$2+1-原始資料!X222,原始資料!X222))</f>
        <v/>
      </c>
      <c r="Y222">
        <f>IF(原始資料!Y222="","",IF(反向題設定!$C$28="是",反向題設定!$B$2+1-原始資料!Y222,原始資料!Y222))</f>
        <v/>
      </c>
      <c r="Z222">
        <f>IF(原始資料!Z222="","",IF(反向題設定!$C$29="是",反向題設定!$B$2+1-原始資料!Z222,原始資料!Z222))</f>
        <v/>
      </c>
      <c r="AA222">
        <f>IF(原始資料!AA222="","",IF(反向題設定!$C$30="是",反向題設定!$B$2+1-原始資料!AA222,原始資料!AA222))</f>
        <v/>
      </c>
      <c r="AB222">
        <f>IF(原始資料!AB222="","",IF(反向題設定!$C$31="是",反向題設定!$B$2+1-原始資料!AB222,原始資料!AB222))</f>
        <v/>
      </c>
      <c r="AC222">
        <f>IF(原始資料!AC222="","",IF(反向題設定!$C$32="是",反向題設定!$B$2+1-原始資料!AC222,原始資料!AC222))</f>
        <v/>
      </c>
      <c r="AD222">
        <f>IF(原始資料!AD222="","",IF(反向題設定!$C$33="是",反向題設定!$B$2+1-原始資料!AD222,原始資料!AD222))</f>
        <v/>
      </c>
      <c r="AE222">
        <f>IF(原始資料!AE222="","",IF(反向題設定!$C$34="是",反向題設定!$B$2+1-原始資料!AE222,原始資料!AE222))</f>
        <v/>
      </c>
      <c r="AF222">
        <f>IF(原始資料!AF222="","",IF(反向題設定!$C$35="是",反向題設定!$B$2+1-原始資料!AF222,原始資料!AF222))</f>
        <v/>
      </c>
      <c r="AG222">
        <f>IF(原始資料!AG222="","",IF(反向題設定!$C$36="是",反向題設定!$B$2+1-原始資料!AG222,原始資料!AG222))</f>
        <v/>
      </c>
      <c r="AH222">
        <f>IF(原始資料!AH222="","",IF(反向題設定!$C$37="是",反向題設定!$B$2+1-原始資料!AH222,原始資料!AH222))</f>
        <v/>
      </c>
      <c r="AI222">
        <f>IF(原始資料!AI222="","",IF(反向題設定!$C$38="是",反向題設定!$B$2+1-原始資料!AI222,原始資料!AI222))</f>
        <v/>
      </c>
      <c r="AJ222">
        <f>IF(原始資料!AJ222="","",IF(反向題設定!$C$39="是",反向題設定!$B$2+1-原始資料!AJ222,原始資料!AJ222))</f>
        <v/>
      </c>
      <c r="AK222">
        <f>IF(原始資料!AK222="","",IF(反向題設定!$C$40="是",反向題設定!$B$2+1-原始資料!AK222,原始資料!AK222))</f>
        <v/>
      </c>
      <c r="AL222">
        <f>IF(原始資料!AL222="","",IF(反向題設定!$C$41="是",反向題設定!$B$2+1-原始資料!AL222,原始資料!AL222))</f>
        <v/>
      </c>
      <c r="AM222">
        <f>IF(原始資料!AM222="","",IF(反向題設定!$C$42="是",反向題設定!$B$2+1-原始資料!AM222,原始資料!AM222))</f>
        <v/>
      </c>
      <c r="AN222">
        <f>IF(原始資料!AN222="","",IF(反向題設定!$C$43="是",反向題設定!$B$2+1-原始資料!AN222,原始資料!AN222))</f>
        <v/>
      </c>
      <c r="AO222">
        <f>IF(原始資料!AO222="","",IF(反向題設定!$C$44="是",反向題設定!$B$2+1-原始資料!AO222,原始資料!AO222))</f>
        <v/>
      </c>
      <c r="AP222">
        <f>IF(COUNT(B222:AO222)=0,"",SUM(B222:AO222))</f>
        <v/>
      </c>
      <c r="AQ222">
        <f>IF(AP222="","",IF(AP222&gt;=項目分析!$C$5,"高",IF(AP222&lt;=項目分析!$C$6,"低","")))</f>
        <v/>
      </c>
    </row>
    <row r="223">
      <c r="A223">
        <f>IF(原始資料!A223="","",原始資料!A223)</f>
        <v/>
      </c>
      <c r="B223">
        <f>IF(原始資料!B223="","",IF(反向題設定!$C$5="是",反向題設定!$B$2+1-原始資料!B223,原始資料!B223))</f>
        <v/>
      </c>
      <c r="C223">
        <f>IF(原始資料!C223="","",IF(反向題設定!$C$6="是",反向題設定!$B$2+1-原始資料!C223,原始資料!C223))</f>
        <v/>
      </c>
      <c r="D223">
        <f>IF(原始資料!D223="","",IF(反向題設定!$C$7="是",反向題設定!$B$2+1-原始資料!D223,原始資料!D223))</f>
        <v/>
      </c>
      <c r="E223">
        <f>IF(原始資料!E223="","",IF(反向題設定!$C$8="是",反向題設定!$B$2+1-原始資料!E223,原始資料!E223))</f>
        <v/>
      </c>
      <c r="F223">
        <f>IF(原始資料!F223="","",IF(反向題設定!$C$9="是",反向題設定!$B$2+1-原始資料!F223,原始資料!F223))</f>
        <v/>
      </c>
      <c r="G223">
        <f>IF(原始資料!G223="","",IF(反向題設定!$C$10="是",反向題設定!$B$2+1-原始資料!G223,原始資料!G223))</f>
        <v/>
      </c>
      <c r="H223">
        <f>IF(原始資料!H223="","",IF(反向題設定!$C$11="是",反向題設定!$B$2+1-原始資料!H223,原始資料!H223))</f>
        <v/>
      </c>
      <c r="I223">
        <f>IF(原始資料!I223="","",IF(反向題設定!$C$12="是",反向題設定!$B$2+1-原始資料!I223,原始資料!I223))</f>
        <v/>
      </c>
      <c r="J223">
        <f>IF(原始資料!J223="","",IF(反向題設定!$C$13="是",反向題設定!$B$2+1-原始資料!J223,原始資料!J223))</f>
        <v/>
      </c>
      <c r="K223">
        <f>IF(原始資料!K223="","",IF(反向題設定!$C$14="是",反向題設定!$B$2+1-原始資料!K223,原始資料!K223))</f>
        <v/>
      </c>
      <c r="L223">
        <f>IF(原始資料!L223="","",IF(反向題設定!$C$15="是",反向題設定!$B$2+1-原始資料!L223,原始資料!L223))</f>
        <v/>
      </c>
      <c r="M223">
        <f>IF(原始資料!M223="","",IF(反向題設定!$C$16="是",反向題設定!$B$2+1-原始資料!M223,原始資料!M223))</f>
        <v/>
      </c>
      <c r="N223">
        <f>IF(原始資料!N223="","",IF(反向題設定!$C$17="是",反向題設定!$B$2+1-原始資料!N223,原始資料!N223))</f>
        <v/>
      </c>
      <c r="O223">
        <f>IF(原始資料!O223="","",IF(反向題設定!$C$18="是",反向題設定!$B$2+1-原始資料!O223,原始資料!O223))</f>
        <v/>
      </c>
      <c r="P223">
        <f>IF(原始資料!P223="","",IF(反向題設定!$C$19="是",反向題設定!$B$2+1-原始資料!P223,原始資料!P223))</f>
        <v/>
      </c>
      <c r="Q223">
        <f>IF(原始資料!Q223="","",IF(反向題設定!$C$20="是",反向題設定!$B$2+1-原始資料!Q223,原始資料!Q223))</f>
        <v/>
      </c>
      <c r="R223">
        <f>IF(原始資料!R223="","",IF(反向題設定!$C$21="是",反向題設定!$B$2+1-原始資料!R223,原始資料!R223))</f>
        <v/>
      </c>
      <c r="S223">
        <f>IF(原始資料!S223="","",IF(反向題設定!$C$22="是",反向題設定!$B$2+1-原始資料!S223,原始資料!S223))</f>
        <v/>
      </c>
      <c r="T223">
        <f>IF(原始資料!T223="","",IF(反向題設定!$C$23="是",反向題設定!$B$2+1-原始資料!T223,原始資料!T223))</f>
        <v/>
      </c>
      <c r="U223">
        <f>IF(原始資料!U223="","",IF(反向題設定!$C$24="是",反向題設定!$B$2+1-原始資料!U223,原始資料!U223))</f>
        <v/>
      </c>
      <c r="V223">
        <f>IF(原始資料!V223="","",IF(反向題設定!$C$25="是",反向題設定!$B$2+1-原始資料!V223,原始資料!V223))</f>
        <v/>
      </c>
      <c r="W223">
        <f>IF(原始資料!W223="","",IF(反向題設定!$C$26="是",反向題設定!$B$2+1-原始資料!W223,原始資料!W223))</f>
        <v/>
      </c>
      <c r="X223">
        <f>IF(原始資料!X223="","",IF(反向題設定!$C$27="是",反向題設定!$B$2+1-原始資料!X223,原始資料!X223))</f>
        <v/>
      </c>
      <c r="Y223">
        <f>IF(原始資料!Y223="","",IF(反向題設定!$C$28="是",反向題設定!$B$2+1-原始資料!Y223,原始資料!Y223))</f>
        <v/>
      </c>
      <c r="Z223">
        <f>IF(原始資料!Z223="","",IF(反向題設定!$C$29="是",反向題設定!$B$2+1-原始資料!Z223,原始資料!Z223))</f>
        <v/>
      </c>
      <c r="AA223">
        <f>IF(原始資料!AA223="","",IF(反向題設定!$C$30="是",反向題設定!$B$2+1-原始資料!AA223,原始資料!AA223))</f>
        <v/>
      </c>
      <c r="AB223">
        <f>IF(原始資料!AB223="","",IF(反向題設定!$C$31="是",反向題設定!$B$2+1-原始資料!AB223,原始資料!AB223))</f>
        <v/>
      </c>
      <c r="AC223">
        <f>IF(原始資料!AC223="","",IF(反向題設定!$C$32="是",反向題設定!$B$2+1-原始資料!AC223,原始資料!AC223))</f>
        <v/>
      </c>
      <c r="AD223">
        <f>IF(原始資料!AD223="","",IF(反向題設定!$C$33="是",反向題設定!$B$2+1-原始資料!AD223,原始資料!AD223))</f>
        <v/>
      </c>
      <c r="AE223">
        <f>IF(原始資料!AE223="","",IF(反向題設定!$C$34="是",反向題設定!$B$2+1-原始資料!AE223,原始資料!AE223))</f>
        <v/>
      </c>
      <c r="AF223">
        <f>IF(原始資料!AF223="","",IF(反向題設定!$C$35="是",反向題設定!$B$2+1-原始資料!AF223,原始資料!AF223))</f>
        <v/>
      </c>
      <c r="AG223">
        <f>IF(原始資料!AG223="","",IF(反向題設定!$C$36="是",反向題設定!$B$2+1-原始資料!AG223,原始資料!AG223))</f>
        <v/>
      </c>
      <c r="AH223">
        <f>IF(原始資料!AH223="","",IF(反向題設定!$C$37="是",反向題設定!$B$2+1-原始資料!AH223,原始資料!AH223))</f>
        <v/>
      </c>
      <c r="AI223">
        <f>IF(原始資料!AI223="","",IF(反向題設定!$C$38="是",反向題設定!$B$2+1-原始資料!AI223,原始資料!AI223))</f>
        <v/>
      </c>
      <c r="AJ223">
        <f>IF(原始資料!AJ223="","",IF(反向題設定!$C$39="是",反向題設定!$B$2+1-原始資料!AJ223,原始資料!AJ223))</f>
        <v/>
      </c>
      <c r="AK223">
        <f>IF(原始資料!AK223="","",IF(反向題設定!$C$40="是",反向題設定!$B$2+1-原始資料!AK223,原始資料!AK223))</f>
        <v/>
      </c>
      <c r="AL223">
        <f>IF(原始資料!AL223="","",IF(反向題設定!$C$41="是",反向題設定!$B$2+1-原始資料!AL223,原始資料!AL223))</f>
        <v/>
      </c>
      <c r="AM223">
        <f>IF(原始資料!AM223="","",IF(反向題設定!$C$42="是",反向題設定!$B$2+1-原始資料!AM223,原始資料!AM223))</f>
        <v/>
      </c>
      <c r="AN223">
        <f>IF(原始資料!AN223="","",IF(反向題設定!$C$43="是",反向題設定!$B$2+1-原始資料!AN223,原始資料!AN223))</f>
        <v/>
      </c>
      <c r="AO223">
        <f>IF(原始資料!AO223="","",IF(反向題設定!$C$44="是",反向題設定!$B$2+1-原始資料!AO223,原始資料!AO223))</f>
        <v/>
      </c>
      <c r="AP223">
        <f>IF(COUNT(B223:AO223)=0,"",SUM(B223:AO223))</f>
        <v/>
      </c>
      <c r="AQ223">
        <f>IF(AP223="","",IF(AP223&gt;=項目分析!$C$5,"高",IF(AP223&lt;=項目分析!$C$6,"低","")))</f>
        <v/>
      </c>
    </row>
    <row r="224">
      <c r="A224">
        <f>IF(原始資料!A224="","",原始資料!A224)</f>
        <v/>
      </c>
      <c r="B224">
        <f>IF(原始資料!B224="","",IF(反向題設定!$C$5="是",反向題設定!$B$2+1-原始資料!B224,原始資料!B224))</f>
        <v/>
      </c>
      <c r="C224">
        <f>IF(原始資料!C224="","",IF(反向題設定!$C$6="是",反向題設定!$B$2+1-原始資料!C224,原始資料!C224))</f>
        <v/>
      </c>
      <c r="D224">
        <f>IF(原始資料!D224="","",IF(反向題設定!$C$7="是",反向題設定!$B$2+1-原始資料!D224,原始資料!D224))</f>
        <v/>
      </c>
      <c r="E224">
        <f>IF(原始資料!E224="","",IF(反向題設定!$C$8="是",反向題設定!$B$2+1-原始資料!E224,原始資料!E224))</f>
        <v/>
      </c>
      <c r="F224">
        <f>IF(原始資料!F224="","",IF(反向題設定!$C$9="是",反向題設定!$B$2+1-原始資料!F224,原始資料!F224))</f>
        <v/>
      </c>
      <c r="G224">
        <f>IF(原始資料!G224="","",IF(反向題設定!$C$10="是",反向題設定!$B$2+1-原始資料!G224,原始資料!G224))</f>
        <v/>
      </c>
      <c r="H224">
        <f>IF(原始資料!H224="","",IF(反向題設定!$C$11="是",反向題設定!$B$2+1-原始資料!H224,原始資料!H224))</f>
        <v/>
      </c>
      <c r="I224">
        <f>IF(原始資料!I224="","",IF(反向題設定!$C$12="是",反向題設定!$B$2+1-原始資料!I224,原始資料!I224))</f>
        <v/>
      </c>
      <c r="J224">
        <f>IF(原始資料!J224="","",IF(反向題設定!$C$13="是",反向題設定!$B$2+1-原始資料!J224,原始資料!J224))</f>
        <v/>
      </c>
      <c r="K224">
        <f>IF(原始資料!K224="","",IF(反向題設定!$C$14="是",反向題設定!$B$2+1-原始資料!K224,原始資料!K224))</f>
        <v/>
      </c>
      <c r="L224">
        <f>IF(原始資料!L224="","",IF(反向題設定!$C$15="是",反向題設定!$B$2+1-原始資料!L224,原始資料!L224))</f>
        <v/>
      </c>
      <c r="M224">
        <f>IF(原始資料!M224="","",IF(反向題設定!$C$16="是",反向題設定!$B$2+1-原始資料!M224,原始資料!M224))</f>
        <v/>
      </c>
      <c r="N224">
        <f>IF(原始資料!N224="","",IF(反向題設定!$C$17="是",反向題設定!$B$2+1-原始資料!N224,原始資料!N224))</f>
        <v/>
      </c>
      <c r="O224">
        <f>IF(原始資料!O224="","",IF(反向題設定!$C$18="是",反向題設定!$B$2+1-原始資料!O224,原始資料!O224))</f>
        <v/>
      </c>
      <c r="P224">
        <f>IF(原始資料!P224="","",IF(反向題設定!$C$19="是",反向題設定!$B$2+1-原始資料!P224,原始資料!P224))</f>
        <v/>
      </c>
      <c r="Q224">
        <f>IF(原始資料!Q224="","",IF(反向題設定!$C$20="是",反向題設定!$B$2+1-原始資料!Q224,原始資料!Q224))</f>
        <v/>
      </c>
      <c r="R224">
        <f>IF(原始資料!R224="","",IF(反向題設定!$C$21="是",反向題設定!$B$2+1-原始資料!R224,原始資料!R224))</f>
        <v/>
      </c>
      <c r="S224">
        <f>IF(原始資料!S224="","",IF(反向題設定!$C$22="是",反向題設定!$B$2+1-原始資料!S224,原始資料!S224))</f>
        <v/>
      </c>
      <c r="T224">
        <f>IF(原始資料!T224="","",IF(反向題設定!$C$23="是",反向題設定!$B$2+1-原始資料!T224,原始資料!T224))</f>
        <v/>
      </c>
      <c r="U224">
        <f>IF(原始資料!U224="","",IF(反向題設定!$C$24="是",反向題設定!$B$2+1-原始資料!U224,原始資料!U224))</f>
        <v/>
      </c>
      <c r="V224">
        <f>IF(原始資料!V224="","",IF(反向題設定!$C$25="是",反向題設定!$B$2+1-原始資料!V224,原始資料!V224))</f>
        <v/>
      </c>
      <c r="W224">
        <f>IF(原始資料!W224="","",IF(反向題設定!$C$26="是",反向題設定!$B$2+1-原始資料!W224,原始資料!W224))</f>
        <v/>
      </c>
      <c r="X224">
        <f>IF(原始資料!X224="","",IF(反向題設定!$C$27="是",反向題設定!$B$2+1-原始資料!X224,原始資料!X224))</f>
        <v/>
      </c>
      <c r="Y224">
        <f>IF(原始資料!Y224="","",IF(反向題設定!$C$28="是",反向題設定!$B$2+1-原始資料!Y224,原始資料!Y224))</f>
        <v/>
      </c>
      <c r="Z224">
        <f>IF(原始資料!Z224="","",IF(反向題設定!$C$29="是",反向題設定!$B$2+1-原始資料!Z224,原始資料!Z224))</f>
        <v/>
      </c>
      <c r="AA224">
        <f>IF(原始資料!AA224="","",IF(反向題設定!$C$30="是",反向題設定!$B$2+1-原始資料!AA224,原始資料!AA224))</f>
        <v/>
      </c>
      <c r="AB224">
        <f>IF(原始資料!AB224="","",IF(反向題設定!$C$31="是",反向題設定!$B$2+1-原始資料!AB224,原始資料!AB224))</f>
        <v/>
      </c>
      <c r="AC224">
        <f>IF(原始資料!AC224="","",IF(反向題設定!$C$32="是",反向題設定!$B$2+1-原始資料!AC224,原始資料!AC224))</f>
        <v/>
      </c>
      <c r="AD224">
        <f>IF(原始資料!AD224="","",IF(反向題設定!$C$33="是",反向題設定!$B$2+1-原始資料!AD224,原始資料!AD224))</f>
        <v/>
      </c>
      <c r="AE224">
        <f>IF(原始資料!AE224="","",IF(反向題設定!$C$34="是",反向題設定!$B$2+1-原始資料!AE224,原始資料!AE224))</f>
        <v/>
      </c>
      <c r="AF224">
        <f>IF(原始資料!AF224="","",IF(反向題設定!$C$35="是",反向題設定!$B$2+1-原始資料!AF224,原始資料!AF224))</f>
        <v/>
      </c>
      <c r="AG224">
        <f>IF(原始資料!AG224="","",IF(反向題設定!$C$36="是",反向題設定!$B$2+1-原始資料!AG224,原始資料!AG224))</f>
        <v/>
      </c>
      <c r="AH224">
        <f>IF(原始資料!AH224="","",IF(反向題設定!$C$37="是",反向題設定!$B$2+1-原始資料!AH224,原始資料!AH224))</f>
        <v/>
      </c>
      <c r="AI224">
        <f>IF(原始資料!AI224="","",IF(反向題設定!$C$38="是",反向題設定!$B$2+1-原始資料!AI224,原始資料!AI224))</f>
        <v/>
      </c>
      <c r="AJ224">
        <f>IF(原始資料!AJ224="","",IF(反向題設定!$C$39="是",反向題設定!$B$2+1-原始資料!AJ224,原始資料!AJ224))</f>
        <v/>
      </c>
      <c r="AK224">
        <f>IF(原始資料!AK224="","",IF(反向題設定!$C$40="是",反向題設定!$B$2+1-原始資料!AK224,原始資料!AK224))</f>
        <v/>
      </c>
      <c r="AL224">
        <f>IF(原始資料!AL224="","",IF(反向題設定!$C$41="是",反向題設定!$B$2+1-原始資料!AL224,原始資料!AL224))</f>
        <v/>
      </c>
      <c r="AM224">
        <f>IF(原始資料!AM224="","",IF(反向題設定!$C$42="是",反向題設定!$B$2+1-原始資料!AM224,原始資料!AM224))</f>
        <v/>
      </c>
      <c r="AN224">
        <f>IF(原始資料!AN224="","",IF(反向題設定!$C$43="是",反向題設定!$B$2+1-原始資料!AN224,原始資料!AN224))</f>
        <v/>
      </c>
      <c r="AO224">
        <f>IF(原始資料!AO224="","",IF(反向題設定!$C$44="是",反向題設定!$B$2+1-原始資料!AO224,原始資料!AO224))</f>
        <v/>
      </c>
      <c r="AP224">
        <f>IF(COUNT(B224:AO224)=0,"",SUM(B224:AO224))</f>
        <v/>
      </c>
      <c r="AQ224">
        <f>IF(AP224="","",IF(AP224&gt;=項目分析!$C$5,"高",IF(AP224&lt;=項目分析!$C$6,"低","")))</f>
        <v/>
      </c>
    </row>
    <row r="225">
      <c r="A225">
        <f>IF(原始資料!A225="","",原始資料!A225)</f>
        <v/>
      </c>
      <c r="B225">
        <f>IF(原始資料!B225="","",IF(反向題設定!$C$5="是",反向題設定!$B$2+1-原始資料!B225,原始資料!B225))</f>
        <v/>
      </c>
      <c r="C225">
        <f>IF(原始資料!C225="","",IF(反向題設定!$C$6="是",反向題設定!$B$2+1-原始資料!C225,原始資料!C225))</f>
        <v/>
      </c>
      <c r="D225">
        <f>IF(原始資料!D225="","",IF(反向題設定!$C$7="是",反向題設定!$B$2+1-原始資料!D225,原始資料!D225))</f>
        <v/>
      </c>
      <c r="E225">
        <f>IF(原始資料!E225="","",IF(反向題設定!$C$8="是",反向題設定!$B$2+1-原始資料!E225,原始資料!E225))</f>
        <v/>
      </c>
      <c r="F225">
        <f>IF(原始資料!F225="","",IF(反向題設定!$C$9="是",反向題設定!$B$2+1-原始資料!F225,原始資料!F225))</f>
        <v/>
      </c>
      <c r="G225">
        <f>IF(原始資料!G225="","",IF(反向題設定!$C$10="是",反向題設定!$B$2+1-原始資料!G225,原始資料!G225))</f>
        <v/>
      </c>
      <c r="H225">
        <f>IF(原始資料!H225="","",IF(反向題設定!$C$11="是",反向題設定!$B$2+1-原始資料!H225,原始資料!H225))</f>
        <v/>
      </c>
      <c r="I225">
        <f>IF(原始資料!I225="","",IF(反向題設定!$C$12="是",反向題設定!$B$2+1-原始資料!I225,原始資料!I225))</f>
        <v/>
      </c>
      <c r="J225">
        <f>IF(原始資料!J225="","",IF(反向題設定!$C$13="是",反向題設定!$B$2+1-原始資料!J225,原始資料!J225))</f>
        <v/>
      </c>
      <c r="K225">
        <f>IF(原始資料!K225="","",IF(反向題設定!$C$14="是",反向題設定!$B$2+1-原始資料!K225,原始資料!K225))</f>
        <v/>
      </c>
      <c r="L225">
        <f>IF(原始資料!L225="","",IF(反向題設定!$C$15="是",反向題設定!$B$2+1-原始資料!L225,原始資料!L225))</f>
        <v/>
      </c>
      <c r="M225">
        <f>IF(原始資料!M225="","",IF(反向題設定!$C$16="是",反向題設定!$B$2+1-原始資料!M225,原始資料!M225))</f>
        <v/>
      </c>
      <c r="N225">
        <f>IF(原始資料!N225="","",IF(反向題設定!$C$17="是",反向題設定!$B$2+1-原始資料!N225,原始資料!N225))</f>
        <v/>
      </c>
      <c r="O225">
        <f>IF(原始資料!O225="","",IF(反向題設定!$C$18="是",反向題設定!$B$2+1-原始資料!O225,原始資料!O225))</f>
        <v/>
      </c>
      <c r="P225">
        <f>IF(原始資料!P225="","",IF(反向題設定!$C$19="是",反向題設定!$B$2+1-原始資料!P225,原始資料!P225))</f>
        <v/>
      </c>
      <c r="Q225">
        <f>IF(原始資料!Q225="","",IF(反向題設定!$C$20="是",反向題設定!$B$2+1-原始資料!Q225,原始資料!Q225))</f>
        <v/>
      </c>
      <c r="R225">
        <f>IF(原始資料!R225="","",IF(反向題設定!$C$21="是",反向題設定!$B$2+1-原始資料!R225,原始資料!R225))</f>
        <v/>
      </c>
      <c r="S225">
        <f>IF(原始資料!S225="","",IF(反向題設定!$C$22="是",反向題設定!$B$2+1-原始資料!S225,原始資料!S225))</f>
        <v/>
      </c>
      <c r="T225">
        <f>IF(原始資料!T225="","",IF(反向題設定!$C$23="是",反向題設定!$B$2+1-原始資料!T225,原始資料!T225))</f>
        <v/>
      </c>
      <c r="U225">
        <f>IF(原始資料!U225="","",IF(反向題設定!$C$24="是",反向題設定!$B$2+1-原始資料!U225,原始資料!U225))</f>
        <v/>
      </c>
      <c r="V225">
        <f>IF(原始資料!V225="","",IF(反向題設定!$C$25="是",反向題設定!$B$2+1-原始資料!V225,原始資料!V225))</f>
        <v/>
      </c>
      <c r="W225">
        <f>IF(原始資料!W225="","",IF(反向題設定!$C$26="是",反向題設定!$B$2+1-原始資料!W225,原始資料!W225))</f>
        <v/>
      </c>
      <c r="X225">
        <f>IF(原始資料!X225="","",IF(反向題設定!$C$27="是",反向題設定!$B$2+1-原始資料!X225,原始資料!X225))</f>
        <v/>
      </c>
      <c r="Y225">
        <f>IF(原始資料!Y225="","",IF(反向題設定!$C$28="是",反向題設定!$B$2+1-原始資料!Y225,原始資料!Y225))</f>
        <v/>
      </c>
      <c r="Z225">
        <f>IF(原始資料!Z225="","",IF(反向題設定!$C$29="是",反向題設定!$B$2+1-原始資料!Z225,原始資料!Z225))</f>
        <v/>
      </c>
      <c r="AA225">
        <f>IF(原始資料!AA225="","",IF(反向題設定!$C$30="是",反向題設定!$B$2+1-原始資料!AA225,原始資料!AA225))</f>
        <v/>
      </c>
      <c r="AB225">
        <f>IF(原始資料!AB225="","",IF(反向題設定!$C$31="是",反向題設定!$B$2+1-原始資料!AB225,原始資料!AB225))</f>
        <v/>
      </c>
      <c r="AC225">
        <f>IF(原始資料!AC225="","",IF(反向題設定!$C$32="是",反向題設定!$B$2+1-原始資料!AC225,原始資料!AC225))</f>
        <v/>
      </c>
      <c r="AD225">
        <f>IF(原始資料!AD225="","",IF(反向題設定!$C$33="是",反向題設定!$B$2+1-原始資料!AD225,原始資料!AD225))</f>
        <v/>
      </c>
      <c r="AE225">
        <f>IF(原始資料!AE225="","",IF(反向題設定!$C$34="是",反向題設定!$B$2+1-原始資料!AE225,原始資料!AE225))</f>
        <v/>
      </c>
      <c r="AF225">
        <f>IF(原始資料!AF225="","",IF(反向題設定!$C$35="是",反向題設定!$B$2+1-原始資料!AF225,原始資料!AF225))</f>
        <v/>
      </c>
      <c r="AG225">
        <f>IF(原始資料!AG225="","",IF(反向題設定!$C$36="是",反向題設定!$B$2+1-原始資料!AG225,原始資料!AG225))</f>
        <v/>
      </c>
      <c r="AH225">
        <f>IF(原始資料!AH225="","",IF(反向題設定!$C$37="是",反向題設定!$B$2+1-原始資料!AH225,原始資料!AH225))</f>
        <v/>
      </c>
      <c r="AI225">
        <f>IF(原始資料!AI225="","",IF(反向題設定!$C$38="是",反向題設定!$B$2+1-原始資料!AI225,原始資料!AI225))</f>
        <v/>
      </c>
      <c r="AJ225">
        <f>IF(原始資料!AJ225="","",IF(反向題設定!$C$39="是",反向題設定!$B$2+1-原始資料!AJ225,原始資料!AJ225))</f>
        <v/>
      </c>
      <c r="AK225">
        <f>IF(原始資料!AK225="","",IF(反向題設定!$C$40="是",反向題設定!$B$2+1-原始資料!AK225,原始資料!AK225))</f>
        <v/>
      </c>
      <c r="AL225">
        <f>IF(原始資料!AL225="","",IF(反向題設定!$C$41="是",反向題設定!$B$2+1-原始資料!AL225,原始資料!AL225))</f>
        <v/>
      </c>
      <c r="AM225">
        <f>IF(原始資料!AM225="","",IF(反向題設定!$C$42="是",反向題設定!$B$2+1-原始資料!AM225,原始資料!AM225))</f>
        <v/>
      </c>
      <c r="AN225">
        <f>IF(原始資料!AN225="","",IF(反向題設定!$C$43="是",反向題設定!$B$2+1-原始資料!AN225,原始資料!AN225))</f>
        <v/>
      </c>
      <c r="AO225">
        <f>IF(原始資料!AO225="","",IF(反向題設定!$C$44="是",反向題設定!$B$2+1-原始資料!AO225,原始資料!AO225))</f>
        <v/>
      </c>
      <c r="AP225">
        <f>IF(COUNT(B225:AO225)=0,"",SUM(B225:AO225))</f>
        <v/>
      </c>
      <c r="AQ225">
        <f>IF(AP225="","",IF(AP225&gt;=項目分析!$C$5,"高",IF(AP225&lt;=項目分析!$C$6,"低","")))</f>
        <v/>
      </c>
    </row>
    <row r="226">
      <c r="A226">
        <f>IF(原始資料!A226="","",原始資料!A226)</f>
        <v/>
      </c>
      <c r="B226">
        <f>IF(原始資料!B226="","",IF(反向題設定!$C$5="是",反向題設定!$B$2+1-原始資料!B226,原始資料!B226))</f>
        <v/>
      </c>
      <c r="C226">
        <f>IF(原始資料!C226="","",IF(反向題設定!$C$6="是",反向題設定!$B$2+1-原始資料!C226,原始資料!C226))</f>
        <v/>
      </c>
      <c r="D226">
        <f>IF(原始資料!D226="","",IF(反向題設定!$C$7="是",反向題設定!$B$2+1-原始資料!D226,原始資料!D226))</f>
        <v/>
      </c>
      <c r="E226">
        <f>IF(原始資料!E226="","",IF(反向題設定!$C$8="是",反向題設定!$B$2+1-原始資料!E226,原始資料!E226))</f>
        <v/>
      </c>
      <c r="F226">
        <f>IF(原始資料!F226="","",IF(反向題設定!$C$9="是",反向題設定!$B$2+1-原始資料!F226,原始資料!F226))</f>
        <v/>
      </c>
      <c r="G226">
        <f>IF(原始資料!G226="","",IF(反向題設定!$C$10="是",反向題設定!$B$2+1-原始資料!G226,原始資料!G226))</f>
        <v/>
      </c>
      <c r="H226">
        <f>IF(原始資料!H226="","",IF(反向題設定!$C$11="是",反向題設定!$B$2+1-原始資料!H226,原始資料!H226))</f>
        <v/>
      </c>
      <c r="I226">
        <f>IF(原始資料!I226="","",IF(反向題設定!$C$12="是",反向題設定!$B$2+1-原始資料!I226,原始資料!I226))</f>
        <v/>
      </c>
      <c r="J226">
        <f>IF(原始資料!J226="","",IF(反向題設定!$C$13="是",反向題設定!$B$2+1-原始資料!J226,原始資料!J226))</f>
        <v/>
      </c>
      <c r="K226">
        <f>IF(原始資料!K226="","",IF(反向題設定!$C$14="是",反向題設定!$B$2+1-原始資料!K226,原始資料!K226))</f>
        <v/>
      </c>
      <c r="L226">
        <f>IF(原始資料!L226="","",IF(反向題設定!$C$15="是",反向題設定!$B$2+1-原始資料!L226,原始資料!L226))</f>
        <v/>
      </c>
      <c r="M226">
        <f>IF(原始資料!M226="","",IF(反向題設定!$C$16="是",反向題設定!$B$2+1-原始資料!M226,原始資料!M226))</f>
        <v/>
      </c>
      <c r="N226">
        <f>IF(原始資料!N226="","",IF(反向題設定!$C$17="是",反向題設定!$B$2+1-原始資料!N226,原始資料!N226))</f>
        <v/>
      </c>
      <c r="O226">
        <f>IF(原始資料!O226="","",IF(反向題設定!$C$18="是",反向題設定!$B$2+1-原始資料!O226,原始資料!O226))</f>
        <v/>
      </c>
      <c r="P226">
        <f>IF(原始資料!P226="","",IF(反向題設定!$C$19="是",反向題設定!$B$2+1-原始資料!P226,原始資料!P226))</f>
        <v/>
      </c>
      <c r="Q226">
        <f>IF(原始資料!Q226="","",IF(反向題設定!$C$20="是",反向題設定!$B$2+1-原始資料!Q226,原始資料!Q226))</f>
        <v/>
      </c>
      <c r="R226">
        <f>IF(原始資料!R226="","",IF(反向題設定!$C$21="是",反向題設定!$B$2+1-原始資料!R226,原始資料!R226))</f>
        <v/>
      </c>
      <c r="S226">
        <f>IF(原始資料!S226="","",IF(反向題設定!$C$22="是",反向題設定!$B$2+1-原始資料!S226,原始資料!S226))</f>
        <v/>
      </c>
      <c r="T226">
        <f>IF(原始資料!T226="","",IF(反向題設定!$C$23="是",反向題設定!$B$2+1-原始資料!T226,原始資料!T226))</f>
        <v/>
      </c>
      <c r="U226">
        <f>IF(原始資料!U226="","",IF(反向題設定!$C$24="是",反向題設定!$B$2+1-原始資料!U226,原始資料!U226))</f>
        <v/>
      </c>
      <c r="V226">
        <f>IF(原始資料!V226="","",IF(反向題設定!$C$25="是",反向題設定!$B$2+1-原始資料!V226,原始資料!V226))</f>
        <v/>
      </c>
      <c r="W226">
        <f>IF(原始資料!W226="","",IF(反向題設定!$C$26="是",反向題設定!$B$2+1-原始資料!W226,原始資料!W226))</f>
        <v/>
      </c>
      <c r="X226">
        <f>IF(原始資料!X226="","",IF(反向題設定!$C$27="是",反向題設定!$B$2+1-原始資料!X226,原始資料!X226))</f>
        <v/>
      </c>
      <c r="Y226">
        <f>IF(原始資料!Y226="","",IF(反向題設定!$C$28="是",反向題設定!$B$2+1-原始資料!Y226,原始資料!Y226))</f>
        <v/>
      </c>
      <c r="Z226">
        <f>IF(原始資料!Z226="","",IF(反向題設定!$C$29="是",反向題設定!$B$2+1-原始資料!Z226,原始資料!Z226))</f>
        <v/>
      </c>
      <c r="AA226">
        <f>IF(原始資料!AA226="","",IF(反向題設定!$C$30="是",反向題設定!$B$2+1-原始資料!AA226,原始資料!AA226))</f>
        <v/>
      </c>
      <c r="AB226">
        <f>IF(原始資料!AB226="","",IF(反向題設定!$C$31="是",反向題設定!$B$2+1-原始資料!AB226,原始資料!AB226))</f>
        <v/>
      </c>
      <c r="AC226">
        <f>IF(原始資料!AC226="","",IF(反向題設定!$C$32="是",反向題設定!$B$2+1-原始資料!AC226,原始資料!AC226))</f>
        <v/>
      </c>
      <c r="AD226">
        <f>IF(原始資料!AD226="","",IF(反向題設定!$C$33="是",反向題設定!$B$2+1-原始資料!AD226,原始資料!AD226))</f>
        <v/>
      </c>
      <c r="AE226">
        <f>IF(原始資料!AE226="","",IF(反向題設定!$C$34="是",反向題設定!$B$2+1-原始資料!AE226,原始資料!AE226))</f>
        <v/>
      </c>
      <c r="AF226">
        <f>IF(原始資料!AF226="","",IF(反向題設定!$C$35="是",反向題設定!$B$2+1-原始資料!AF226,原始資料!AF226))</f>
        <v/>
      </c>
      <c r="AG226">
        <f>IF(原始資料!AG226="","",IF(反向題設定!$C$36="是",反向題設定!$B$2+1-原始資料!AG226,原始資料!AG226))</f>
        <v/>
      </c>
      <c r="AH226">
        <f>IF(原始資料!AH226="","",IF(反向題設定!$C$37="是",反向題設定!$B$2+1-原始資料!AH226,原始資料!AH226))</f>
        <v/>
      </c>
      <c r="AI226">
        <f>IF(原始資料!AI226="","",IF(反向題設定!$C$38="是",反向題設定!$B$2+1-原始資料!AI226,原始資料!AI226))</f>
        <v/>
      </c>
      <c r="AJ226">
        <f>IF(原始資料!AJ226="","",IF(反向題設定!$C$39="是",反向題設定!$B$2+1-原始資料!AJ226,原始資料!AJ226))</f>
        <v/>
      </c>
      <c r="AK226">
        <f>IF(原始資料!AK226="","",IF(反向題設定!$C$40="是",反向題設定!$B$2+1-原始資料!AK226,原始資料!AK226))</f>
        <v/>
      </c>
      <c r="AL226">
        <f>IF(原始資料!AL226="","",IF(反向題設定!$C$41="是",反向題設定!$B$2+1-原始資料!AL226,原始資料!AL226))</f>
        <v/>
      </c>
      <c r="AM226">
        <f>IF(原始資料!AM226="","",IF(反向題設定!$C$42="是",反向題設定!$B$2+1-原始資料!AM226,原始資料!AM226))</f>
        <v/>
      </c>
      <c r="AN226">
        <f>IF(原始資料!AN226="","",IF(反向題設定!$C$43="是",反向題設定!$B$2+1-原始資料!AN226,原始資料!AN226))</f>
        <v/>
      </c>
      <c r="AO226">
        <f>IF(原始資料!AO226="","",IF(反向題設定!$C$44="是",反向題設定!$B$2+1-原始資料!AO226,原始資料!AO226))</f>
        <v/>
      </c>
      <c r="AP226">
        <f>IF(COUNT(B226:AO226)=0,"",SUM(B226:AO226))</f>
        <v/>
      </c>
      <c r="AQ226">
        <f>IF(AP226="","",IF(AP226&gt;=項目分析!$C$5,"高",IF(AP226&lt;=項目分析!$C$6,"低","")))</f>
        <v/>
      </c>
    </row>
    <row r="227">
      <c r="A227">
        <f>IF(原始資料!A227="","",原始資料!A227)</f>
        <v/>
      </c>
      <c r="B227">
        <f>IF(原始資料!B227="","",IF(反向題設定!$C$5="是",反向題設定!$B$2+1-原始資料!B227,原始資料!B227))</f>
        <v/>
      </c>
      <c r="C227">
        <f>IF(原始資料!C227="","",IF(反向題設定!$C$6="是",反向題設定!$B$2+1-原始資料!C227,原始資料!C227))</f>
        <v/>
      </c>
      <c r="D227">
        <f>IF(原始資料!D227="","",IF(反向題設定!$C$7="是",反向題設定!$B$2+1-原始資料!D227,原始資料!D227))</f>
        <v/>
      </c>
      <c r="E227">
        <f>IF(原始資料!E227="","",IF(反向題設定!$C$8="是",反向題設定!$B$2+1-原始資料!E227,原始資料!E227))</f>
        <v/>
      </c>
      <c r="F227">
        <f>IF(原始資料!F227="","",IF(反向題設定!$C$9="是",反向題設定!$B$2+1-原始資料!F227,原始資料!F227))</f>
        <v/>
      </c>
      <c r="G227">
        <f>IF(原始資料!G227="","",IF(反向題設定!$C$10="是",反向題設定!$B$2+1-原始資料!G227,原始資料!G227))</f>
        <v/>
      </c>
      <c r="H227">
        <f>IF(原始資料!H227="","",IF(反向題設定!$C$11="是",反向題設定!$B$2+1-原始資料!H227,原始資料!H227))</f>
        <v/>
      </c>
      <c r="I227">
        <f>IF(原始資料!I227="","",IF(反向題設定!$C$12="是",反向題設定!$B$2+1-原始資料!I227,原始資料!I227))</f>
        <v/>
      </c>
      <c r="J227">
        <f>IF(原始資料!J227="","",IF(反向題設定!$C$13="是",反向題設定!$B$2+1-原始資料!J227,原始資料!J227))</f>
        <v/>
      </c>
      <c r="K227">
        <f>IF(原始資料!K227="","",IF(反向題設定!$C$14="是",反向題設定!$B$2+1-原始資料!K227,原始資料!K227))</f>
        <v/>
      </c>
      <c r="L227">
        <f>IF(原始資料!L227="","",IF(反向題設定!$C$15="是",反向題設定!$B$2+1-原始資料!L227,原始資料!L227))</f>
        <v/>
      </c>
      <c r="M227">
        <f>IF(原始資料!M227="","",IF(反向題設定!$C$16="是",反向題設定!$B$2+1-原始資料!M227,原始資料!M227))</f>
        <v/>
      </c>
      <c r="N227">
        <f>IF(原始資料!N227="","",IF(反向題設定!$C$17="是",反向題設定!$B$2+1-原始資料!N227,原始資料!N227))</f>
        <v/>
      </c>
      <c r="O227">
        <f>IF(原始資料!O227="","",IF(反向題設定!$C$18="是",反向題設定!$B$2+1-原始資料!O227,原始資料!O227))</f>
        <v/>
      </c>
      <c r="P227">
        <f>IF(原始資料!P227="","",IF(反向題設定!$C$19="是",反向題設定!$B$2+1-原始資料!P227,原始資料!P227))</f>
        <v/>
      </c>
      <c r="Q227">
        <f>IF(原始資料!Q227="","",IF(反向題設定!$C$20="是",反向題設定!$B$2+1-原始資料!Q227,原始資料!Q227))</f>
        <v/>
      </c>
      <c r="R227">
        <f>IF(原始資料!R227="","",IF(反向題設定!$C$21="是",反向題設定!$B$2+1-原始資料!R227,原始資料!R227))</f>
        <v/>
      </c>
      <c r="S227">
        <f>IF(原始資料!S227="","",IF(反向題設定!$C$22="是",反向題設定!$B$2+1-原始資料!S227,原始資料!S227))</f>
        <v/>
      </c>
      <c r="T227">
        <f>IF(原始資料!T227="","",IF(反向題設定!$C$23="是",反向題設定!$B$2+1-原始資料!T227,原始資料!T227))</f>
        <v/>
      </c>
      <c r="U227">
        <f>IF(原始資料!U227="","",IF(反向題設定!$C$24="是",反向題設定!$B$2+1-原始資料!U227,原始資料!U227))</f>
        <v/>
      </c>
      <c r="V227">
        <f>IF(原始資料!V227="","",IF(反向題設定!$C$25="是",反向題設定!$B$2+1-原始資料!V227,原始資料!V227))</f>
        <v/>
      </c>
      <c r="W227">
        <f>IF(原始資料!W227="","",IF(反向題設定!$C$26="是",反向題設定!$B$2+1-原始資料!W227,原始資料!W227))</f>
        <v/>
      </c>
      <c r="X227">
        <f>IF(原始資料!X227="","",IF(反向題設定!$C$27="是",反向題設定!$B$2+1-原始資料!X227,原始資料!X227))</f>
        <v/>
      </c>
      <c r="Y227">
        <f>IF(原始資料!Y227="","",IF(反向題設定!$C$28="是",反向題設定!$B$2+1-原始資料!Y227,原始資料!Y227))</f>
        <v/>
      </c>
      <c r="Z227">
        <f>IF(原始資料!Z227="","",IF(反向題設定!$C$29="是",反向題設定!$B$2+1-原始資料!Z227,原始資料!Z227))</f>
        <v/>
      </c>
      <c r="AA227">
        <f>IF(原始資料!AA227="","",IF(反向題設定!$C$30="是",反向題設定!$B$2+1-原始資料!AA227,原始資料!AA227))</f>
        <v/>
      </c>
      <c r="AB227">
        <f>IF(原始資料!AB227="","",IF(反向題設定!$C$31="是",反向題設定!$B$2+1-原始資料!AB227,原始資料!AB227))</f>
        <v/>
      </c>
      <c r="AC227">
        <f>IF(原始資料!AC227="","",IF(反向題設定!$C$32="是",反向題設定!$B$2+1-原始資料!AC227,原始資料!AC227))</f>
        <v/>
      </c>
      <c r="AD227">
        <f>IF(原始資料!AD227="","",IF(反向題設定!$C$33="是",反向題設定!$B$2+1-原始資料!AD227,原始資料!AD227))</f>
        <v/>
      </c>
      <c r="AE227">
        <f>IF(原始資料!AE227="","",IF(反向題設定!$C$34="是",反向題設定!$B$2+1-原始資料!AE227,原始資料!AE227))</f>
        <v/>
      </c>
      <c r="AF227">
        <f>IF(原始資料!AF227="","",IF(反向題設定!$C$35="是",反向題設定!$B$2+1-原始資料!AF227,原始資料!AF227))</f>
        <v/>
      </c>
      <c r="AG227">
        <f>IF(原始資料!AG227="","",IF(反向題設定!$C$36="是",反向題設定!$B$2+1-原始資料!AG227,原始資料!AG227))</f>
        <v/>
      </c>
      <c r="AH227">
        <f>IF(原始資料!AH227="","",IF(反向題設定!$C$37="是",反向題設定!$B$2+1-原始資料!AH227,原始資料!AH227))</f>
        <v/>
      </c>
      <c r="AI227">
        <f>IF(原始資料!AI227="","",IF(反向題設定!$C$38="是",反向題設定!$B$2+1-原始資料!AI227,原始資料!AI227))</f>
        <v/>
      </c>
      <c r="AJ227">
        <f>IF(原始資料!AJ227="","",IF(反向題設定!$C$39="是",反向題設定!$B$2+1-原始資料!AJ227,原始資料!AJ227))</f>
        <v/>
      </c>
      <c r="AK227">
        <f>IF(原始資料!AK227="","",IF(反向題設定!$C$40="是",反向題設定!$B$2+1-原始資料!AK227,原始資料!AK227))</f>
        <v/>
      </c>
      <c r="AL227">
        <f>IF(原始資料!AL227="","",IF(反向題設定!$C$41="是",反向題設定!$B$2+1-原始資料!AL227,原始資料!AL227))</f>
        <v/>
      </c>
      <c r="AM227">
        <f>IF(原始資料!AM227="","",IF(反向題設定!$C$42="是",反向題設定!$B$2+1-原始資料!AM227,原始資料!AM227))</f>
        <v/>
      </c>
      <c r="AN227">
        <f>IF(原始資料!AN227="","",IF(反向題設定!$C$43="是",反向題設定!$B$2+1-原始資料!AN227,原始資料!AN227))</f>
        <v/>
      </c>
      <c r="AO227">
        <f>IF(原始資料!AO227="","",IF(反向題設定!$C$44="是",反向題設定!$B$2+1-原始資料!AO227,原始資料!AO227))</f>
        <v/>
      </c>
      <c r="AP227">
        <f>IF(COUNT(B227:AO227)=0,"",SUM(B227:AO227))</f>
        <v/>
      </c>
      <c r="AQ227">
        <f>IF(AP227="","",IF(AP227&gt;=項目分析!$C$5,"高",IF(AP227&lt;=項目分析!$C$6,"低","")))</f>
        <v/>
      </c>
    </row>
    <row r="228">
      <c r="A228">
        <f>IF(原始資料!A228="","",原始資料!A228)</f>
        <v/>
      </c>
      <c r="B228">
        <f>IF(原始資料!B228="","",IF(反向題設定!$C$5="是",反向題設定!$B$2+1-原始資料!B228,原始資料!B228))</f>
        <v/>
      </c>
      <c r="C228">
        <f>IF(原始資料!C228="","",IF(反向題設定!$C$6="是",反向題設定!$B$2+1-原始資料!C228,原始資料!C228))</f>
        <v/>
      </c>
      <c r="D228">
        <f>IF(原始資料!D228="","",IF(反向題設定!$C$7="是",反向題設定!$B$2+1-原始資料!D228,原始資料!D228))</f>
        <v/>
      </c>
      <c r="E228">
        <f>IF(原始資料!E228="","",IF(反向題設定!$C$8="是",反向題設定!$B$2+1-原始資料!E228,原始資料!E228))</f>
        <v/>
      </c>
      <c r="F228">
        <f>IF(原始資料!F228="","",IF(反向題設定!$C$9="是",反向題設定!$B$2+1-原始資料!F228,原始資料!F228))</f>
        <v/>
      </c>
      <c r="G228">
        <f>IF(原始資料!G228="","",IF(反向題設定!$C$10="是",反向題設定!$B$2+1-原始資料!G228,原始資料!G228))</f>
        <v/>
      </c>
      <c r="H228">
        <f>IF(原始資料!H228="","",IF(反向題設定!$C$11="是",反向題設定!$B$2+1-原始資料!H228,原始資料!H228))</f>
        <v/>
      </c>
      <c r="I228">
        <f>IF(原始資料!I228="","",IF(反向題設定!$C$12="是",反向題設定!$B$2+1-原始資料!I228,原始資料!I228))</f>
        <v/>
      </c>
      <c r="J228">
        <f>IF(原始資料!J228="","",IF(反向題設定!$C$13="是",反向題設定!$B$2+1-原始資料!J228,原始資料!J228))</f>
        <v/>
      </c>
      <c r="K228">
        <f>IF(原始資料!K228="","",IF(反向題設定!$C$14="是",反向題設定!$B$2+1-原始資料!K228,原始資料!K228))</f>
        <v/>
      </c>
      <c r="L228">
        <f>IF(原始資料!L228="","",IF(反向題設定!$C$15="是",反向題設定!$B$2+1-原始資料!L228,原始資料!L228))</f>
        <v/>
      </c>
      <c r="M228">
        <f>IF(原始資料!M228="","",IF(反向題設定!$C$16="是",反向題設定!$B$2+1-原始資料!M228,原始資料!M228))</f>
        <v/>
      </c>
      <c r="N228">
        <f>IF(原始資料!N228="","",IF(反向題設定!$C$17="是",反向題設定!$B$2+1-原始資料!N228,原始資料!N228))</f>
        <v/>
      </c>
      <c r="O228">
        <f>IF(原始資料!O228="","",IF(反向題設定!$C$18="是",反向題設定!$B$2+1-原始資料!O228,原始資料!O228))</f>
        <v/>
      </c>
      <c r="P228">
        <f>IF(原始資料!P228="","",IF(反向題設定!$C$19="是",反向題設定!$B$2+1-原始資料!P228,原始資料!P228))</f>
        <v/>
      </c>
      <c r="Q228">
        <f>IF(原始資料!Q228="","",IF(反向題設定!$C$20="是",反向題設定!$B$2+1-原始資料!Q228,原始資料!Q228))</f>
        <v/>
      </c>
      <c r="R228">
        <f>IF(原始資料!R228="","",IF(反向題設定!$C$21="是",反向題設定!$B$2+1-原始資料!R228,原始資料!R228))</f>
        <v/>
      </c>
      <c r="S228">
        <f>IF(原始資料!S228="","",IF(反向題設定!$C$22="是",反向題設定!$B$2+1-原始資料!S228,原始資料!S228))</f>
        <v/>
      </c>
      <c r="T228">
        <f>IF(原始資料!T228="","",IF(反向題設定!$C$23="是",反向題設定!$B$2+1-原始資料!T228,原始資料!T228))</f>
        <v/>
      </c>
      <c r="U228">
        <f>IF(原始資料!U228="","",IF(反向題設定!$C$24="是",反向題設定!$B$2+1-原始資料!U228,原始資料!U228))</f>
        <v/>
      </c>
      <c r="V228">
        <f>IF(原始資料!V228="","",IF(反向題設定!$C$25="是",反向題設定!$B$2+1-原始資料!V228,原始資料!V228))</f>
        <v/>
      </c>
      <c r="W228">
        <f>IF(原始資料!W228="","",IF(反向題設定!$C$26="是",反向題設定!$B$2+1-原始資料!W228,原始資料!W228))</f>
        <v/>
      </c>
      <c r="X228">
        <f>IF(原始資料!X228="","",IF(反向題設定!$C$27="是",反向題設定!$B$2+1-原始資料!X228,原始資料!X228))</f>
        <v/>
      </c>
      <c r="Y228">
        <f>IF(原始資料!Y228="","",IF(反向題設定!$C$28="是",反向題設定!$B$2+1-原始資料!Y228,原始資料!Y228))</f>
        <v/>
      </c>
      <c r="Z228">
        <f>IF(原始資料!Z228="","",IF(反向題設定!$C$29="是",反向題設定!$B$2+1-原始資料!Z228,原始資料!Z228))</f>
        <v/>
      </c>
      <c r="AA228">
        <f>IF(原始資料!AA228="","",IF(反向題設定!$C$30="是",反向題設定!$B$2+1-原始資料!AA228,原始資料!AA228))</f>
        <v/>
      </c>
      <c r="AB228">
        <f>IF(原始資料!AB228="","",IF(反向題設定!$C$31="是",反向題設定!$B$2+1-原始資料!AB228,原始資料!AB228))</f>
        <v/>
      </c>
      <c r="AC228">
        <f>IF(原始資料!AC228="","",IF(反向題設定!$C$32="是",反向題設定!$B$2+1-原始資料!AC228,原始資料!AC228))</f>
        <v/>
      </c>
      <c r="AD228">
        <f>IF(原始資料!AD228="","",IF(反向題設定!$C$33="是",反向題設定!$B$2+1-原始資料!AD228,原始資料!AD228))</f>
        <v/>
      </c>
      <c r="AE228">
        <f>IF(原始資料!AE228="","",IF(反向題設定!$C$34="是",反向題設定!$B$2+1-原始資料!AE228,原始資料!AE228))</f>
        <v/>
      </c>
      <c r="AF228">
        <f>IF(原始資料!AF228="","",IF(反向題設定!$C$35="是",反向題設定!$B$2+1-原始資料!AF228,原始資料!AF228))</f>
        <v/>
      </c>
      <c r="AG228">
        <f>IF(原始資料!AG228="","",IF(反向題設定!$C$36="是",反向題設定!$B$2+1-原始資料!AG228,原始資料!AG228))</f>
        <v/>
      </c>
      <c r="AH228">
        <f>IF(原始資料!AH228="","",IF(反向題設定!$C$37="是",反向題設定!$B$2+1-原始資料!AH228,原始資料!AH228))</f>
        <v/>
      </c>
      <c r="AI228">
        <f>IF(原始資料!AI228="","",IF(反向題設定!$C$38="是",反向題設定!$B$2+1-原始資料!AI228,原始資料!AI228))</f>
        <v/>
      </c>
      <c r="AJ228">
        <f>IF(原始資料!AJ228="","",IF(反向題設定!$C$39="是",反向題設定!$B$2+1-原始資料!AJ228,原始資料!AJ228))</f>
        <v/>
      </c>
      <c r="AK228">
        <f>IF(原始資料!AK228="","",IF(反向題設定!$C$40="是",反向題設定!$B$2+1-原始資料!AK228,原始資料!AK228))</f>
        <v/>
      </c>
      <c r="AL228">
        <f>IF(原始資料!AL228="","",IF(反向題設定!$C$41="是",反向題設定!$B$2+1-原始資料!AL228,原始資料!AL228))</f>
        <v/>
      </c>
      <c r="AM228">
        <f>IF(原始資料!AM228="","",IF(反向題設定!$C$42="是",反向題設定!$B$2+1-原始資料!AM228,原始資料!AM228))</f>
        <v/>
      </c>
      <c r="AN228">
        <f>IF(原始資料!AN228="","",IF(反向題設定!$C$43="是",反向題設定!$B$2+1-原始資料!AN228,原始資料!AN228))</f>
        <v/>
      </c>
      <c r="AO228">
        <f>IF(原始資料!AO228="","",IF(反向題設定!$C$44="是",反向題設定!$B$2+1-原始資料!AO228,原始資料!AO228))</f>
        <v/>
      </c>
      <c r="AP228">
        <f>IF(COUNT(B228:AO228)=0,"",SUM(B228:AO228))</f>
        <v/>
      </c>
      <c r="AQ228">
        <f>IF(AP228="","",IF(AP228&gt;=項目分析!$C$5,"高",IF(AP228&lt;=項目分析!$C$6,"低","")))</f>
        <v/>
      </c>
    </row>
    <row r="229">
      <c r="A229">
        <f>IF(原始資料!A229="","",原始資料!A229)</f>
        <v/>
      </c>
      <c r="B229">
        <f>IF(原始資料!B229="","",IF(反向題設定!$C$5="是",反向題設定!$B$2+1-原始資料!B229,原始資料!B229))</f>
        <v/>
      </c>
      <c r="C229">
        <f>IF(原始資料!C229="","",IF(反向題設定!$C$6="是",反向題設定!$B$2+1-原始資料!C229,原始資料!C229))</f>
        <v/>
      </c>
      <c r="D229">
        <f>IF(原始資料!D229="","",IF(反向題設定!$C$7="是",反向題設定!$B$2+1-原始資料!D229,原始資料!D229))</f>
        <v/>
      </c>
      <c r="E229">
        <f>IF(原始資料!E229="","",IF(反向題設定!$C$8="是",反向題設定!$B$2+1-原始資料!E229,原始資料!E229))</f>
        <v/>
      </c>
      <c r="F229">
        <f>IF(原始資料!F229="","",IF(反向題設定!$C$9="是",反向題設定!$B$2+1-原始資料!F229,原始資料!F229))</f>
        <v/>
      </c>
      <c r="G229">
        <f>IF(原始資料!G229="","",IF(反向題設定!$C$10="是",反向題設定!$B$2+1-原始資料!G229,原始資料!G229))</f>
        <v/>
      </c>
      <c r="H229">
        <f>IF(原始資料!H229="","",IF(反向題設定!$C$11="是",反向題設定!$B$2+1-原始資料!H229,原始資料!H229))</f>
        <v/>
      </c>
      <c r="I229">
        <f>IF(原始資料!I229="","",IF(反向題設定!$C$12="是",反向題設定!$B$2+1-原始資料!I229,原始資料!I229))</f>
        <v/>
      </c>
      <c r="J229">
        <f>IF(原始資料!J229="","",IF(反向題設定!$C$13="是",反向題設定!$B$2+1-原始資料!J229,原始資料!J229))</f>
        <v/>
      </c>
      <c r="K229">
        <f>IF(原始資料!K229="","",IF(反向題設定!$C$14="是",反向題設定!$B$2+1-原始資料!K229,原始資料!K229))</f>
        <v/>
      </c>
      <c r="L229">
        <f>IF(原始資料!L229="","",IF(反向題設定!$C$15="是",反向題設定!$B$2+1-原始資料!L229,原始資料!L229))</f>
        <v/>
      </c>
      <c r="M229">
        <f>IF(原始資料!M229="","",IF(反向題設定!$C$16="是",反向題設定!$B$2+1-原始資料!M229,原始資料!M229))</f>
        <v/>
      </c>
      <c r="N229">
        <f>IF(原始資料!N229="","",IF(反向題設定!$C$17="是",反向題設定!$B$2+1-原始資料!N229,原始資料!N229))</f>
        <v/>
      </c>
      <c r="O229">
        <f>IF(原始資料!O229="","",IF(反向題設定!$C$18="是",反向題設定!$B$2+1-原始資料!O229,原始資料!O229))</f>
        <v/>
      </c>
      <c r="P229">
        <f>IF(原始資料!P229="","",IF(反向題設定!$C$19="是",反向題設定!$B$2+1-原始資料!P229,原始資料!P229))</f>
        <v/>
      </c>
      <c r="Q229">
        <f>IF(原始資料!Q229="","",IF(反向題設定!$C$20="是",反向題設定!$B$2+1-原始資料!Q229,原始資料!Q229))</f>
        <v/>
      </c>
      <c r="R229">
        <f>IF(原始資料!R229="","",IF(反向題設定!$C$21="是",反向題設定!$B$2+1-原始資料!R229,原始資料!R229))</f>
        <v/>
      </c>
      <c r="S229">
        <f>IF(原始資料!S229="","",IF(反向題設定!$C$22="是",反向題設定!$B$2+1-原始資料!S229,原始資料!S229))</f>
        <v/>
      </c>
      <c r="T229">
        <f>IF(原始資料!T229="","",IF(反向題設定!$C$23="是",反向題設定!$B$2+1-原始資料!T229,原始資料!T229))</f>
        <v/>
      </c>
      <c r="U229">
        <f>IF(原始資料!U229="","",IF(反向題設定!$C$24="是",反向題設定!$B$2+1-原始資料!U229,原始資料!U229))</f>
        <v/>
      </c>
      <c r="V229">
        <f>IF(原始資料!V229="","",IF(反向題設定!$C$25="是",反向題設定!$B$2+1-原始資料!V229,原始資料!V229))</f>
        <v/>
      </c>
      <c r="W229">
        <f>IF(原始資料!W229="","",IF(反向題設定!$C$26="是",反向題設定!$B$2+1-原始資料!W229,原始資料!W229))</f>
        <v/>
      </c>
      <c r="X229">
        <f>IF(原始資料!X229="","",IF(反向題設定!$C$27="是",反向題設定!$B$2+1-原始資料!X229,原始資料!X229))</f>
        <v/>
      </c>
      <c r="Y229">
        <f>IF(原始資料!Y229="","",IF(反向題設定!$C$28="是",反向題設定!$B$2+1-原始資料!Y229,原始資料!Y229))</f>
        <v/>
      </c>
      <c r="Z229">
        <f>IF(原始資料!Z229="","",IF(反向題設定!$C$29="是",反向題設定!$B$2+1-原始資料!Z229,原始資料!Z229))</f>
        <v/>
      </c>
      <c r="AA229">
        <f>IF(原始資料!AA229="","",IF(反向題設定!$C$30="是",反向題設定!$B$2+1-原始資料!AA229,原始資料!AA229))</f>
        <v/>
      </c>
      <c r="AB229">
        <f>IF(原始資料!AB229="","",IF(反向題設定!$C$31="是",反向題設定!$B$2+1-原始資料!AB229,原始資料!AB229))</f>
        <v/>
      </c>
      <c r="AC229">
        <f>IF(原始資料!AC229="","",IF(反向題設定!$C$32="是",反向題設定!$B$2+1-原始資料!AC229,原始資料!AC229))</f>
        <v/>
      </c>
      <c r="AD229">
        <f>IF(原始資料!AD229="","",IF(反向題設定!$C$33="是",反向題設定!$B$2+1-原始資料!AD229,原始資料!AD229))</f>
        <v/>
      </c>
      <c r="AE229">
        <f>IF(原始資料!AE229="","",IF(反向題設定!$C$34="是",反向題設定!$B$2+1-原始資料!AE229,原始資料!AE229))</f>
        <v/>
      </c>
      <c r="AF229">
        <f>IF(原始資料!AF229="","",IF(反向題設定!$C$35="是",反向題設定!$B$2+1-原始資料!AF229,原始資料!AF229))</f>
        <v/>
      </c>
      <c r="AG229">
        <f>IF(原始資料!AG229="","",IF(反向題設定!$C$36="是",反向題設定!$B$2+1-原始資料!AG229,原始資料!AG229))</f>
        <v/>
      </c>
      <c r="AH229">
        <f>IF(原始資料!AH229="","",IF(反向題設定!$C$37="是",反向題設定!$B$2+1-原始資料!AH229,原始資料!AH229))</f>
        <v/>
      </c>
      <c r="AI229">
        <f>IF(原始資料!AI229="","",IF(反向題設定!$C$38="是",反向題設定!$B$2+1-原始資料!AI229,原始資料!AI229))</f>
        <v/>
      </c>
      <c r="AJ229">
        <f>IF(原始資料!AJ229="","",IF(反向題設定!$C$39="是",反向題設定!$B$2+1-原始資料!AJ229,原始資料!AJ229))</f>
        <v/>
      </c>
      <c r="AK229">
        <f>IF(原始資料!AK229="","",IF(反向題設定!$C$40="是",反向題設定!$B$2+1-原始資料!AK229,原始資料!AK229))</f>
        <v/>
      </c>
      <c r="AL229">
        <f>IF(原始資料!AL229="","",IF(反向題設定!$C$41="是",反向題設定!$B$2+1-原始資料!AL229,原始資料!AL229))</f>
        <v/>
      </c>
      <c r="AM229">
        <f>IF(原始資料!AM229="","",IF(反向題設定!$C$42="是",反向題設定!$B$2+1-原始資料!AM229,原始資料!AM229))</f>
        <v/>
      </c>
      <c r="AN229">
        <f>IF(原始資料!AN229="","",IF(反向題設定!$C$43="是",反向題設定!$B$2+1-原始資料!AN229,原始資料!AN229))</f>
        <v/>
      </c>
      <c r="AO229">
        <f>IF(原始資料!AO229="","",IF(反向題設定!$C$44="是",反向題設定!$B$2+1-原始資料!AO229,原始資料!AO229))</f>
        <v/>
      </c>
      <c r="AP229">
        <f>IF(COUNT(B229:AO229)=0,"",SUM(B229:AO229))</f>
        <v/>
      </c>
      <c r="AQ229">
        <f>IF(AP229="","",IF(AP229&gt;=項目分析!$C$5,"高",IF(AP229&lt;=項目分析!$C$6,"低","")))</f>
        <v/>
      </c>
    </row>
    <row r="230">
      <c r="A230">
        <f>IF(原始資料!A230="","",原始資料!A230)</f>
        <v/>
      </c>
      <c r="B230">
        <f>IF(原始資料!B230="","",IF(反向題設定!$C$5="是",反向題設定!$B$2+1-原始資料!B230,原始資料!B230))</f>
        <v/>
      </c>
      <c r="C230">
        <f>IF(原始資料!C230="","",IF(反向題設定!$C$6="是",反向題設定!$B$2+1-原始資料!C230,原始資料!C230))</f>
        <v/>
      </c>
      <c r="D230">
        <f>IF(原始資料!D230="","",IF(反向題設定!$C$7="是",反向題設定!$B$2+1-原始資料!D230,原始資料!D230))</f>
        <v/>
      </c>
      <c r="E230">
        <f>IF(原始資料!E230="","",IF(反向題設定!$C$8="是",反向題設定!$B$2+1-原始資料!E230,原始資料!E230))</f>
        <v/>
      </c>
      <c r="F230">
        <f>IF(原始資料!F230="","",IF(反向題設定!$C$9="是",反向題設定!$B$2+1-原始資料!F230,原始資料!F230))</f>
        <v/>
      </c>
      <c r="G230">
        <f>IF(原始資料!G230="","",IF(反向題設定!$C$10="是",反向題設定!$B$2+1-原始資料!G230,原始資料!G230))</f>
        <v/>
      </c>
      <c r="H230">
        <f>IF(原始資料!H230="","",IF(反向題設定!$C$11="是",反向題設定!$B$2+1-原始資料!H230,原始資料!H230))</f>
        <v/>
      </c>
      <c r="I230">
        <f>IF(原始資料!I230="","",IF(反向題設定!$C$12="是",反向題設定!$B$2+1-原始資料!I230,原始資料!I230))</f>
        <v/>
      </c>
      <c r="J230">
        <f>IF(原始資料!J230="","",IF(反向題設定!$C$13="是",反向題設定!$B$2+1-原始資料!J230,原始資料!J230))</f>
        <v/>
      </c>
      <c r="K230">
        <f>IF(原始資料!K230="","",IF(反向題設定!$C$14="是",反向題設定!$B$2+1-原始資料!K230,原始資料!K230))</f>
        <v/>
      </c>
      <c r="L230">
        <f>IF(原始資料!L230="","",IF(反向題設定!$C$15="是",反向題設定!$B$2+1-原始資料!L230,原始資料!L230))</f>
        <v/>
      </c>
      <c r="M230">
        <f>IF(原始資料!M230="","",IF(反向題設定!$C$16="是",反向題設定!$B$2+1-原始資料!M230,原始資料!M230))</f>
        <v/>
      </c>
      <c r="N230">
        <f>IF(原始資料!N230="","",IF(反向題設定!$C$17="是",反向題設定!$B$2+1-原始資料!N230,原始資料!N230))</f>
        <v/>
      </c>
      <c r="O230">
        <f>IF(原始資料!O230="","",IF(反向題設定!$C$18="是",反向題設定!$B$2+1-原始資料!O230,原始資料!O230))</f>
        <v/>
      </c>
      <c r="P230">
        <f>IF(原始資料!P230="","",IF(反向題設定!$C$19="是",反向題設定!$B$2+1-原始資料!P230,原始資料!P230))</f>
        <v/>
      </c>
      <c r="Q230">
        <f>IF(原始資料!Q230="","",IF(反向題設定!$C$20="是",反向題設定!$B$2+1-原始資料!Q230,原始資料!Q230))</f>
        <v/>
      </c>
      <c r="R230">
        <f>IF(原始資料!R230="","",IF(反向題設定!$C$21="是",反向題設定!$B$2+1-原始資料!R230,原始資料!R230))</f>
        <v/>
      </c>
      <c r="S230">
        <f>IF(原始資料!S230="","",IF(反向題設定!$C$22="是",反向題設定!$B$2+1-原始資料!S230,原始資料!S230))</f>
        <v/>
      </c>
      <c r="T230">
        <f>IF(原始資料!T230="","",IF(反向題設定!$C$23="是",反向題設定!$B$2+1-原始資料!T230,原始資料!T230))</f>
        <v/>
      </c>
      <c r="U230">
        <f>IF(原始資料!U230="","",IF(反向題設定!$C$24="是",反向題設定!$B$2+1-原始資料!U230,原始資料!U230))</f>
        <v/>
      </c>
      <c r="V230">
        <f>IF(原始資料!V230="","",IF(反向題設定!$C$25="是",反向題設定!$B$2+1-原始資料!V230,原始資料!V230))</f>
        <v/>
      </c>
      <c r="W230">
        <f>IF(原始資料!W230="","",IF(反向題設定!$C$26="是",反向題設定!$B$2+1-原始資料!W230,原始資料!W230))</f>
        <v/>
      </c>
      <c r="X230">
        <f>IF(原始資料!X230="","",IF(反向題設定!$C$27="是",反向題設定!$B$2+1-原始資料!X230,原始資料!X230))</f>
        <v/>
      </c>
      <c r="Y230">
        <f>IF(原始資料!Y230="","",IF(反向題設定!$C$28="是",反向題設定!$B$2+1-原始資料!Y230,原始資料!Y230))</f>
        <v/>
      </c>
      <c r="Z230">
        <f>IF(原始資料!Z230="","",IF(反向題設定!$C$29="是",反向題設定!$B$2+1-原始資料!Z230,原始資料!Z230))</f>
        <v/>
      </c>
      <c r="AA230">
        <f>IF(原始資料!AA230="","",IF(反向題設定!$C$30="是",反向題設定!$B$2+1-原始資料!AA230,原始資料!AA230))</f>
        <v/>
      </c>
      <c r="AB230">
        <f>IF(原始資料!AB230="","",IF(反向題設定!$C$31="是",反向題設定!$B$2+1-原始資料!AB230,原始資料!AB230))</f>
        <v/>
      </c>
      <c r="AC230">
        <f>IF(原始資料!AC230="","",IF(反向題設定!$C$32="是",反向題設定!$B$2+1-原始資料!AC230,原始資料!AC230))</f>
        <v/>
      </c>
      <c r="AD230">
        <f>IF(原始資料!AD230="","",IF(反向題設定!$C$33="是",反向題設定!$B$2+1-原始資料!AD230,原始資料!AD230))</f>
        <v/>
      </c>
      <c r="AE230">
        <f>IF(原始資料!AE230="","",IF(反向題設定!$C$34="是",反向題設定!$B$2+1-原始資料!AE230,原始資料!AE230))</f>
        <v/>
      </c>
      <c r="AF230">
        <f>IF(原始資料!AF230="","",IF(反向題設定!$C$35="是",反向題設定!$B$2+1-原始資料!AF230,原始資料!AF230))</f>
        <v/>
      </c>
      <c r="AG230">
        <f>IF(原始資料!AG230="","",IF(反向題設定!$C$36="是",反向題設定!$B$2+1-原始資料!AG230,原始資料!AG230))</f>
        <v/>
      </c>
      <c r="AH230">
        <f>IF(原始資料!AH230="","",IF(反向題設定!$C$37="是",反向題設定!$B$2+1-原始資料!AH230,原始資料!AH230))</f>
        <v/>
      </c>
      <c r="AI230">
        <f>IF(原始資料!AI230="","",IF(反向題設定!$C$38="是",反向題設定!$B$2+1-原始資料!AI230,原始資料!AI230))</f>
        <v/>
      </c>
      <c r="AJ230">
        <f>IF(原始資料!AJ230="","",IF(反向題設定!$C$39="是",反向題設定!$B$2+1-原始資料!AJ230,原始資料!AJ230))</f>
        <v/>
      </c>
      <c r="AK230">
        <f>IF(原始資料!AK230="","",IF(反向題設定!$C$40="是",反向題設定!$B$2+1-原始資料!AK230,原始資料!AK230))</f>
        <v/>
      </c>
      <c r="AL230">
        <f>IF(原始資料!AL230="","",IF(反向題設定!$C$41="是",反向題設定!$B$2+1-原始資料!AL230,原始資料!AL230))</f>
        <v/>
      </c>
      <c r="AM230">
        <f>IF(原始資料!AM230="","",IF(反向題設定!$C$42="是",反向題設定!$B$2+1-原始資料!AM230,原始資料!AM230))</f>
        <v/>
      </c>
      <c r="AN230">
        <f>IF(原始資料!AN230="","",IF(反向題設定!$C$43="是",反向題設定!$B$2+1-原始資料!AN230,原始資料!AN230))</f>
        <v/>
      </c>
      <c r="AO230">
        <f>IF(原始資料!AO230="","",IF(反向題設定!$C$44="是",反向題設定!$B$2+1-原始資料!AO230,原始資料!AO230))</f>
        <v/>
      </c>
      <c r="AP230">
        <f>IF(COUNT(B230:AO230)=0,"",SUM(B230:AO230))</f>
        <v/>
      </c>
      <c r="AQ230">
        <f>IF(AP230="","",IF(AP230&gt;=項目分析!$C$5,"高",IF(AP230&lt;=項目分析!$C$6,"低","")))</f>
        <v/>
      </c>
    </row>
    <row r="231">
      <c r="A231">
        <f>IF(原始資料!A231="","",原始資料!A231)</f>
        <v/>
      </c>
      <c r="B231">
        <f>IF(原始資料!B231="","",IF(反向題設定!$C$5="是",反向題設定!$B$2+1-原始資料!B231,原始資料!B231))</f>
        <v/>
      </c>
      <c r="C231">
        <f>IF(原始資料!C231="","",IF(反向題設定!$C$6="是",反向題設定!$B$2+1-原始資料!C231,原始資料!C231))</f>
        <v/>
      </c>
      <c r="D231">
        <f>IF(原始資料!D231="","",IF(反向題設定!$C$7="是",反向題設定!$B$2+1-原始資料!D231,原始資料!D231))</f>
        <v/>
      </c>
      <c r="E231">
        <f>IF(原始資料!E231="","",IF(反向題設定!$C$8="是",反向題設定!$B$2+1-原始資料!E231,原始資料!E231))</f>
        <v/>
      </c>
      <c r="F231">
        <f>IF(原始資料!F231="","",IF(反向題設定!$C$9="是",反向題設定!$B$2+1-原始資料!F231,原始資料!F231))</f>
        <v/>
      </c>
      <c r="G231">
        <f>IF(原始資料!G231="","",IF(反向題設定!$C$10="是",反向題設定!$B$2+1-原始資料!G231,原始資料!G231))</f>
        <v/>
      </c>
      <c r="H231">
        <f>IF(原始資料!H231="","",IF(反向題設定!$C$11="是",反向題設定!$B$2+1-原始資料!H231,原始資料!H231))</f>
        <v/>
      </c>
      <c r="I231">
        <f>IF(原始資料!I231="","",IF(反向題設定!$C$12="是",反向題設定!$B$2+1-原始資料!I231,原始資料!I231))</f>
        <v/>
      </c>
      <c r="J231">
        <f>IF(原始資料!J231="","",IF(反向題設定!$C$13="是",反向題設定!$B$2+1-原始資料!J231,原始資料!J231))</f>
        <v/>
      </c>
      <c r="K231">
        <f>IF(原始資料!K231="","",IF(反向題設定!$C$14="是",反向題設定!$B$2+1-原始資料!K231,原始資料!K231))</f>
        <v/>
      </c>
      <c r="L231">
        <f>IF(原始資料!L231="","",IF(反向題設定!$C$15="是",反向題設定!$B$2+1-原始資料!L231,原始資料!L231))</f>
        <v/>
      </c>
      <c r="M231">
        <f>IF(原始資料!M231="","",IF(反向題設定!$C$16="是",反向題設定!$B$2+1-原始資料!M231,原始資料!M231))</f>
        <v/>
      </c>
      <c r="N231">
        <f>IF(原始資料!N231="","",IF(反向題設定!$C$17="是",反向題設定!$B$2+1-原始資料!N231,原始資料!N231))</f>
        <v/>
      </c>
      <c r="O231">
        <f>IF(原始資料!O231="","",IF(反向題設定!$C$18="是",反向題設定!$B$2+1-原始資料!O231,原始資料!O231))</f>
        <v/>
      </c>
      <c r="P231">
        <f>IF(原始資料!P231="","",IF(反向題設定!$C$19="是",反向題設定!$B$2+1-原始資料!P231,原始資料!P231))</f>
        <v/>
      </c>
      <c r="Q231">
        <f>IF(原始資料!Q231="","",IF(反向題設定!$C$20="是",反向題設定!$B$2+1-原始資料!Q231,原始資料!Q231))</f>
        <v/>
      </c>
      <c r="R231">
        <f>IF(原始資料!R231="","",IF(反向題設定!$C$21="是",反向題設定!$B$2+1-原始資料!R231,原始資料!R231))</f>
        <v/>
      </c>
      <c r="S231">
        <f>IF(原始資料!S231="","",IF(反向題設定!$C$22="是",反向題設定!$B$2+1-原始資料!S231,原始資料!S231))</f>
        <v/>
      </c>
      <c r="T231">
        <f>IF(原始資料!T231="","",IF(反向題設定!$C$23="是",反向題設定!$B$2+1-原始資料!T231,原始資料!T231))</f>
        <v/>
      </c>
      <c r="U231">
        <f>IF(原始資料!U231="","",IF(反向題設定!$C$24="是",反向題設定!$B$2+1-原始資料!U231,原始資料!U231))</f>
        <v/>
      </c>
      <c r="V231">
        <f>IF(原始資料!V231="","",IF(反向題設定!$C$25="是",反向題設定!$B$2+1-原始資料!V231,原始資料!V231))</f>
        <v/>
      </c>
      <c r="W231">
        <f>IF(原始資料!W231="","",IF(反向題設定!$C$26="是",反向題設定!$B$2+1-原始資料!W231,原始資料!W231))</f>
        <v/>
      </c>
      <c r="X231">
        <f>IF(原始資料!X231="","",IF(反向題設定!$C$27="是",反向題設定!$B$2+1-原始資料!X231,原始資料!X231))</f>
        <v/>
      </c>
      <c r="Y231">
        <f>IF(原始資料!Y231="","",IF(反向題設定!$C$28="是",反向題設定!$B$2+1-原始資料!Y231,原始資料!Y231))</f>
        <v/>
      </c>
      <c r="Z231">
        <f>IF(原始資料!Z231="","",IF(反向題設定!$C$29="是",反向題設定!$B$2+1-原始資料!Z231,原始資料!Z231))</f>
        <v/>
      </c>
      <c r="AA231">
        <f>IF(原始資料!AA231="","",IF(反向題設定!$C$30="是",反向題設定!$B$2+1-原始資料!AA231,原始資料!AA231))</f>
        <v/>
      </c>
      <c r="AB231">
        <f>IF(原始資料!AB231="","",IF(反向題設定!$C$31="是",反向題設定!$B$2+1-原始資料!AB231,原始資料!AB231))</f>
        <v/>
      </c>
      <c r="AC231">
        <f>IF(原始資料!AC231="","",IF(反向題設定!$C$32="是",反向題設定!$B$2+1-原始資料!AC231,原始資料!AC231))</f>
        <v/>
      </c>
      <c r="AD231">
        <f>IF(原始資料!AD231="","",IF(反向題設定!$C$33="是",反向題設定!$B$2+1-原始資料!AD231,原始資料!AD231))</f>
        <v/>
      </c>
      <c r="AE231">
        <f>IF(原始資料!AE231="","",IF(反向題設定!$C$34="是",反向題設定!$B$2+1-原始資料!AE231,原始資料!AE231))</f>
        <v/>
      </c>
      <c r="AF231">
        <f>IF(原始資料!AF231="","",IF(反向題設定!$C$35="是",反向題設定!$B$2+1-原始資料!AF231,原始資料!AF231))</f>
        <v/>
      </c>
      <c r="AG231">
        <f>IF(原始資料!AG231="","",IF(反向題設定!$C$36="是",反向題設定!$B$2+1-原始資料!AG231,原始資料!AG231))</f>
        <v/>
      </c>
      <c r="AH231">
        <f>IF(原始資料!AH231="","",IF(反向題設定!$C$37="是",反向題設定!$B$2+1-原始資料!AH231,原始資料!AH231))</f>
        <v/>
      </c>
      <c r="AI231">
        <f>IF(原始資料!AI231="","",IF(反向題設定!$C$38="是",反向題設定!$B$2+1-原始資料!AI231,原始資料!AI231))</f>
        <v/>
      </c>
      <c r="AJ231">
        <f>IF(原始資料!AJ231="","",IF(反向題設定!$C$39="是",反向題設定!$B$2+1-原始資料!AJ231,原始資料!AJ231))</f>
        <v/>
      </c>
      <c r="AK231">
        <f>IF(原始資料!AK231="","",IF(反向題設定!$C$40="是",反向題設定!$B$2+1-原始資料!AK231,原始資料!AK231))</f>
        <v/>
      </c>
      <c r="AL231">
        <f>IF(原始資料!AL231="","",IF(反向題設定!$C$41="是",反向題設定!$B$2+1-原始資料!AL231,原始資料!AL231))</f>
        <v/>
      </c>
      <c r="AM231">
        <f>IF(原始資料!AM231="","",IF(反向題設定!$C$42="是",反向題設定!$B$2+1-原始資料!AM231,原始資料!AM231))</f>
        <v/>
      </c>
      <c r="AN231">
        <f>IF(原始資料!AN231="","",IF(反向題設定!$C$43="是",反向題設定!$B$2+1-原始資料!AN231,原始資料!AN231))</f>
        <v/>
      </c>
      <c r="AO231">
        <f>IF(原始資料!AO231="","",IF(反向題設定!$C$44="是",反向題設定!$B$2+1-原始資料!AO231,原始資料!AO231))</f>
        <v/>
      </c>
      <c r="AP231">
        <f>IF(COUNT(B231:AO231)=0,"",SUM(B231:AO231))</f>
        <v/>
      </c>
      <c r="AQ231">
        <f>IF(AP231="","",IF(AP231&gt;=項目分析!$C$5,"高",IF(AP231&lt;=項目分析!$C$6,"低","")))</f>
        <v/>
      </c>
    </row>
    <row r="232">
      <c r="A232">
        <f>IF(原始資料!A232="","",原始資料!A232)</f>
        <v/>
      </c>
      <c r="B232">
        <f>IF(原始資料!B232="","",IF(反向題設定!$C$5="是",反向題設定!$B$2+1-原始資料!B232,原始資料!B232))</f>
        <v/>
      </c>
      <c r="C232">
        <f>IF(原始資料!C232="","",IF(反向題設定!$C$6="是",反向題設定!$B$2+1-原始資料!C232,原始資料!C232))</f>
        <v/>
      </c>
      <c r="D232">
        <f>IF(原始資料!D232="","",IF(反向題設定!$C$7="是",反向題設定!$B$2+1-原始資料!D232,原始資料!D232))</f>
        <v/>
      </c>
      <c r="E232">
        <f>IF(原始資料!E232="","",IF(反向題設定!$C$8="是",反向題設定!$B$2+1-原始資料!E232,原始資料!E232))</f>
        <v/>
      </c>
      <c r="F232">
        <f>IF(原始資料!F232="","",IF(反向題設定!$C$9="是",反向題設定!$B$2+1-原始資料!F232,原始資料!F232))</f>
        <v/>
      </c>
      <c r="G232">
        <f>IF(原始資料!G232="","",IF(反向題設定!$C$10="是",反向題設定!$B$2+1-原始資料!G232,原始資料!G232))</f>
        <v/>
      </c>
      <c r="H232">
        <f>IF(原始資料!H232="","",IF(反向題設定!$C$11="是",反向題設定!$B$2+1-原始資料!H232,原始資料!H232))</f>
        <v/>
      </c>
      <c r="I232">
        <f>IF(原始資料!I232="","",IF(反向題設定!$C$12="是",反向題設定!$B$2+1-原始資料!I232,原始資料!I232))</f>
        <v/>
      </c>
      <c r="J232">
        <f>IF(原始資料!J232="","",IF(反向題設定!$C$13="是",反向題設定!$B$2+1-原始資料!J232,原始資料!J232))</f>
        <v/>
      </c>
      <c r="K232">
        <f>IF(原始資料!K232="","",IF(反向題設定!$C$14="是",反向題設定!$B$2+1-原始資料!K232,原始資料!K232))</f>
        <v/>
      </c>
      <c r="L232">
        <f>IF(原始資料!L232="","",IF(反向題設定!$C$15="是",反向題設定!$B$2+1-原始資料!L232,原始資料!L232))</f>
        <v/>
      </c>
      <c r="M232">
        <f>IF(原始資料!M232="","",IF(反向題設定!$C$16="是",反向題設定!$B$2+1-原始資料!M232,原始資料!M232))</f>
        <v/>
      </c>
      <c r="N232">
        <f>IF(原始資料!N232="","",IF(反向題設定!$C$17="是",反向題設定!$B$2+1-原始資料!N232,原始資料!N232))</f>
        <v/>
      </c>
      <c r="O232">
        <f>IF(原始資料!O232="","",IF(反向題設定!$C$18="是",反向題設定!$B$2+1-原始資料!O232,原始資料!O232))</f>
        <v/>
      </c>
      <c r="P232">
        <f>IF(原始資料!P232="","",IF(反向題設定!$C$19="是",反向題設定!$B$2+1-原始資料!P232,原始資料!P232))</f>
        <v/>
      </c>
      <c r="Q232">
        <f>IF(原始資料!Q232="","",IF(反向題設定!$C$20="是",反向題設定!$B$2+1-原始資料!Q232,原始資料!Q232))</f>
        <v/>
      </c>
      <c r="R232">
        <f>IF(原始資料!R232="","",IF(反向題設定!$C$21="是",反向題設定!$B$2+1-原始資料!R232,原始資料!R232))</f>
        <v/>
      </c>
      <c r="S232">
        <f>IF(原始資料!S232="","",IF(反向題設定!$C$22="是",反向題設定!$B$2+1-原始資料!S232,原始資料!S232))</f>
        <v/>
      </c>
      <c r="T232">
        <f>IF(原始資料!T232="","",IF(反向題設定!$C$23="是",反向題設定!$B$2+1-原始資料!T232,原始資料!T232))</f>
        <v/>
      </c>
      <c r="U232">
        <f>IF(原始資料!U232="","",IF(反向題設定!$C$24="是",反向題設定!$B$2+1-原始資料!U232,原始資料!U232))</f>
        <v/>
      </c>
      <c r="V232">
        <f>IF(原始資料!V232="","",IF(反向題設定!$C$25="是",反向題設定!$B$2+1-原始資料!V232,原始資料!V232))</f>
        <v/>
      </c>
      <c r="W232">
        <f>IF(原始資料!W232="","",IF(反向題設定!$C$26="是",反向題設定!$B$2+1-原始資料!W232,原始資料!W232))</f>
        <v/>
      </c>
      <c r="X232">
        <f>IF(原始資料!X232="","",IF(反向題設定!$C$27="是",反向題設定!$B$2+1-原始資料!X232,原始資料!X232))</f>
        <v/>
      </c>
      <c r="Y232">
        <f>IF(原始資料!Y232="","",IF(反向題設定!$C$28="是",反向題設定!$B$2+1-原始資料!Y232,原始資料!Y232))</f>
        <v/>
      </c>
      <c r="Z232">
        <f>IF(原始資料!Z232="","",IF(反向題設定!$C$29="是",反向題設定!$B$2+1-原始資料!Z232,原始資料!Z232))</f>
        <v/>
      </c>
      <c r="AA232">
        <f>IF(原始資料!AA232="","",IF(反向題設定!$C$30="是",反向題設定!$B$2+1-原始資料!AA232,原始資料!AA232))</f>
        <v/>
      </c>
      <c r="AB232">
        <f>IF(原始資料!AB232="","",IF(反向題設定!$C$31="是",反向題設定!$B$2+1-原始資料!AB232,原始資料!AB232))</f>
        <v/>
      </c>
      <c r="AC232">
        <f>IF(原始資料!AC232="","",IF(反向題設定!$C$32="是",反向題設定!$B$2+1-原始資料!AC232,原始資料!AC232))</f>
        <v/>
      </c>
      <c r="AD232">
        <f>IF(原始資料!AD232="","",IF(反向題設定!$C$33="是",反向題設定!$B$2+1-原始資料!AD232,原始資料!AD232))</f>
        <v/>
      </c>
      <c r="AE232">
        <f>IF(原始資料!AE232="","",IF(反向題設定!$C$34="是",反向題設定!$B$2+1-原始資料!AE232,原始資料!AE232))</f>
        <v/>
      </c>
      <c r="AF232">
        <f>IF(原始資料!AF232="","",IF(反向題設定!$C$35="是",反向題設定!$B$2+1-原始資料!AF232,原始資料!AF232))</f>
        <v/>
      </c>
      <c r="AG232">
        <f>IF(原始資料!AG232="","",IF(反向題設定!$C$36="是",反向題設定!$B$2+1-原始資料!AG232,原始資料!AG232))</f>
        <v/>
      </c>
      <c r="AH232">
        <f>IF(原始資料!AH232="","",IF(反向題設定!$C$37="是",反向題設定!$B$2+1-原始資料!AH232,原始資料!AH232))</f>
        <v/>
      </c>
      <c r="AI232">
        <f>IF(原始資料!AI232="","",IF(反向題設定!$C$38="是",反向題設定!$B$2+1-原始資料!AI232,原始資料!AI232))</f>
        <v/>
      </c>
      <c r="AJ232">
        <f>IF(原始資料!AJ232="","",IF(反向題設定!$C$39="是",反向題設定!$B$2+1-原始資料!AJ232,原始資料!AJ232))</f>
        <v/>
      </c>
      <c r="AK232">
        <f>IF(原始資料!AK232="","",IF(反向題設定!$C$40="是",反向題設定!$B$2+1-原始資料!AK232,原始資料!AK232))</f>
        <v/>
      </c>
      <c r="AL232">
        <f>IF(原始資料!AL232="","",IF(反向題設定!$C$41="是",反向題設定!$B$2+1-原始資料!AL232,原始資料!AL232))</f>
        <v/>
      </c>
      <c r="AM232">
        <f>IF(原始資料!AM232="","",IF(反向題設定!$C$42="是",反向題設定!$B$2+1-原始資料!AM232,原始資料!AM232))</f>
        <v/>
      </c>
      <c r="AN232">
        <f>IF(原始資料!AN232="","",IF(反向題設定!$C$43="是",反向題設定!$B$2+1-原始資料!AN232,原始資料!AN232))</f>
        <v/>
      </c>
      <c r="AO232">
        <f>IF(原始資料!AO232="","",IF(反向題設定!$C$44="是",反向題設定!$B$2+1-原始資料!AO232,原始資料!AO232))</f>
        <v/>
      </c>
      <c r="AP232">
        <f>IF(COUNT(B232:AO232)=0,"",SUM(B232:AO232))</f>
        <v/>
      </c>
      <c r="AQ232">
        <f>IF(AP232="","",IF(AP232&gt;=項目分析!$C$5,"高",IF(AP232&lt;=項目分析!$C$6,"低","")))</f>
        <v/>
      </c>
    </row>
    <row r="233">
      <c r="A233">
        <f>IF(原始資料!A233="","",原始資料!A233)</f>
        <v/>
      </c>
      <c r="B233">
        <f>IF(原始資料!B233="","",IF(反向題設定!$C$5="是",反向題設定!$B$2+1-原始資料!B233,原始資料!B233))</f>
        <v/>
      </c>
      <c r="C233">
        <f>IF(原始資料!C233="","",IF(反向題設定!$C$6="是",反向題設定!$B$2+1-原始資料!C233,原始資料!C233))</f>
        <v/>
      </c>
      <c r="D233">
        <f>IF(原始資料!D233="","",IF(反向題設定!$C$7="是",反向題設定!$B$2+1-原始資料!D233,原始資料!D233))</f>
        <v/>
      </c>
      <c r="E233">
        <f>IF(原始資料!E233="","",IF(反向題設定!$C$8="是",反向題設定!$B$2+1-原始資料!E233,原始資料!E233))</f>
        <v/>
      </c>
      <c r="F233">
        <f>IF(原始資料!F233="","",IF(反向題設定!$C$9="是",反向題設定!$B$2+1-原始資料!F233,原始資料!F233))</f>
        <v/>
      </c>
      <c r="G233">
        <f>IF(原始資料!G233="","",IF(反向題設定!$C$10="是",反向題設定!$B$2+1-原始資料!G233,原始資料!G233))</f>
        <v/>
      </c>
      <c r="H233">
        <f>IF(原始資料!H233="","",IF(反向題設定!$C$11="是",反向題設定!$B$2+1-原始資料!H233,原始資料!H233))</f>
        <v/>
      </c>
      <c r="I233">
        <f>IF(原始資料!I233="","",IF(反向題設定!$C$12="是",反向題設定!$B$2+1-原始資料!I233,原始資料!I233))</f>
        <v/>
      </c>
      <c r="J233">
        <f>IF(原始資料!J233="","",IF(反向題設定!$C$13="是",反向題設定!$B$2+1-原始資料!J233,原始資料!J233))</f>
        <v/>
      </c>
      <c r="K233">
        <f>IF(原始資料!K233="","",IF(反向題設定!$C$14="是",反向題設定!$B$2+1-原始資料!K233,原始資料!K233))</f>
        <v/>
      </c>
      <c r="L233">
        <f>IF(原始資料!L233="","",IF(反向題設定!$C$15="是",反向題設定!$B$2+1-原始資料!L233,原始資料!L233))</f>
        <v/>
      </c>
      <c r="M233">
        <f>IF(原始資料!M233="","",IF(反向題設定!$C$16="是",反向題設定!$B$2+1-原始資料!M233,原始資料!M233))</f>
        <v/>
      </c>
      <c r="N233">
        <f>IF(原始資料!N233="","",IF(反向題設定!$C$17="是",反向題設定!$B$2+1-原始資料!N233,原始資料!N233))</f>
        <v/>
      </c>
      <c r="O233">
        <f>IF(原始資料!O233="","",IF(反向題設定!$C$18="是",反向題設定!$B$2+1-原始資料!O233,原始資料!O233))</f>
        <v/>
      </c>
      <c r="P233">
        <f>IF(原始資料!P233="","",IF(反向題設定!$C$19="是",反向題設定!$B$2+1-原始資料!P233,原始資料!P233))</f>
        <v/>
      </c>
      <c r="Q233">
        <f>IF(原始資料!Q233="","",IF(反向題設定!$C$20="是",反向題設定!$B$2+1-原始資料!Q233,原始資料!Q233))</f>
        <v/>
      </c>
      <c r="R233">
        <f>IF(原始資料!R233="","",IF(反向題設定!$C$21="是",反向題設定!$B$2+1-原始資料!R233,原始資料!R233))</f>
        <v/>
      </c>
      <c r="S233">
        <f>IF(原始資料!S233="","",IF(反向題設定!$C$22="是",反向題設定!$B$2+1-原始資料!S233,原始資料!S233))</f>
        <v/>
      </c>
      <c r="T233">
        <f>IF(原始資料!T233="","",IF(反向題設定!$C$23="是",反向題設定!$B$2+1-原始資料!T233,原始資料!T233))</f>
        <v/>
      </c>
      <c r="U233">
        <f>IF(原始資料!U233="","",IF(反向題設定!$C$24="是",反向題設定!$B$2+1-原始資料!U233,原始資料!U233))</f>
        <v/>
      </c>
      <c r="V233">
        <f>IF(原始資料!V233="","",IF(反向題設定!$C$25="是",反向題設定!$B$2+1-原始資料!V233,原始資料!V233))</f>
        <v/>
      </c>
      <c r="W233">
        <f>IF(原始資料!W233="","",IF(反向題設定!$C$26="是",反向題設定!$B$2+1-原始資料!W233,原始資料!W233))</f>
        <v/>
      </c>
      <c r="X233">
        <f>IF(原始資料!X233="","",IF(反向題設定!$C$27="是",反向題設定!$B$2+1-原始資料!X233,原始資料!X233))</f>
        <v/>
      </c>
      <c r="Y233">
        <f>IF(原始資料!Y233="","",IF(反向題設定!$C$28="是",反向題設定!$B$2+1-原始資料!Y233,原始資料!Y233))</f>
        <v/>
      </c>
      <c r="Z233">
        <f>IF(原始資料!Z233="","",IF(反向題設定!$C$29="是",反向題設定!$B$2+1-原始資料!Z233,原始資料!Z233))</f>
        <v/>
      </c>
      <c r="AA233">
        <f>IF(原始資料!AA233="","",IF(反向題設定!$C$30="是",反向題設定!$B$2+1-原始資料!AA233,原始資料!AA233))</f>
        <v/>
      </c>
      <c r="AB233">
        <f>IF(原始資料!AB233="","",IF(反向題設定!$C$31="是",反向題設定!$B$2+1-原始資料!AB233,原始資料!AB233))</f>
        <v/>
      </c>
      <c r="AC233">
        <f>IF(原始資料!AC233="","",IF(反向題設定!$C$32="是",反向題設定!$B$2+1-原始資料!AC233,原始資料!AC233))</f>
        <v/>
      </c>
      <c r="AD233">
        <f>IF(原始資料!AD233="","",IF(反向題設定!$C$33="是",反向題設定!$B$2+1-原始資料!AD233,原始資料!AD233))</f>
        <v/>
      </c>
      <c r="AE233">
        <f>IF(原始資料!AE233="","",IF(反向題設定!$C$34="是",反向題設定!$B$2+1-原始資料!AE233,原始資料!AE233))</f>
        <v/>
      </c>
      <c r="AF233">
        <f>IF(原始資料!AF233="","",IF(反向題設定!$C$35="是",反向題設定!$B$2+1-原始資料!AF233,原始資料!AF233))</f>
        <v/>
      </c>
      <c r="AG233">
        <f>IF(原始資料!AG233="","",IF(反向題設定!$C$36="是",反向題設定!$B$2+1-原始資料!AG233,原始資料!AG233))</f>
        <v/>
      </c>
      <c r="AH233">
        <f>IF(原始資料!AH233="","",IF(反向題設定!$C$37="是",反向題設定!$B$2+1-原始資料!AH233,原始資料!AH233))</f>
        <v/>
      </c>
      <c r="AI233">
        <f>IF(原始資料!AI233="","",IF(反向題設定!$C$38="是",反向題設定!$B$2+1-原始資料!AI233,原始資料!AI233))</f>
        <v/>
      </c>
      <c r="AJ233">
        <f>IF(原始資料!AJ233="","",IF(反向題設定!$C$39="是",反向題設定!$B$2+1-原始資料!AJ233,原始資料!AJ233))</f>
        <v/>
      </c>
      <c r="AK233">
        <f>IF(原始資料!AK233="","",IF(反向題設定!$C$40="是",反向題設定!$B$2+1-原始資料!AK233,原始資料!AK233))</f>
        <v/>
      </c>
      <c r="AL233">
        <f>IF(原始資料!AL233="","",IF(反向題設定!$C$41="是",反向題設定!$B$2+1-原始資料!AL233,原始資料!AL233))</f>
        <v/>
      </c>
      <c r="AM233">
        <f>IF(原始資料!AM233="","",IF(反向題設定!$C$42="是",反向題設定!$B$2+1-原始資料!AM233,原始資料!AM233))</f>
        <v/>
      </c>
      <c r="AN233">
        <f>IF(原始資料!AN233="","",IF(反向題設定!$C$43="是",反向題設定!$B$2+1-原始資料!AN233,原始資料!AN233))</f>
        <v/>
      </c>
      <c r="AO233">
        <f>IF(原始資料!AO233="","",IF(反向題設定!$C$44="是",反向題設定!$B$2+1-原始資料!AO233,原始資料!AO233))</f>
        <v/>
      </c>
      <c r="AP233">
        <f>IF(COUNT(B233:AO233)=0,"",SUM(B233:AO233))</f>
        <v/>
      </c>
      <c r="AQ233">
        <f>IF(AP233="","",IF(AP233&gt;=項目分析!$C$5,"高",IF(AP233&lt;=項目分析!$C$6,"低","")))</f>
        <v/>
      </c>
    </row>
    <row r="234">
      <c r="A234">
        <f>IF(原始資料!A234="","",原始資料!A234)</f>
        <v/>
      </c>
      <c r="B234">
        <f>IF(原始資料!B234="","",IF(反向題設定!$C$5="是",反向題設定!$B$2+1-原始資料!B234,原始資料!B234))</f>
        <v/>
      </c>
      <c r="C234">
        <f>IF(原始資料!C234="","",IF(反向題設定!$C$6="是",反向題設定!$B$2+1-原始資料!C234,原始資料!C234))</f>
        <v/>
      </c>
      <c r="D234">
        <f>IF(原始資料!D234="","",IF(反向題設定!$C$7="是",反向題設定!$B$2+1-原始資料!D234,原始資料!D234))</f>
        <v/>
      </c>
      <c r="E234">
        <f>IF(原始資料!E234="","",IF(反向題設定!$C$8="是",反向題設定!$B$2+1-原始資料!E234,原始資料!E234))</f>
        <v/>
      </c>
      <c r="F234">
        <f>IF(原始資料!F234="","",IF(反向題設定!$C$9="是",反向題設定!$B$2+1-原始資料!F234,原始資料!F234))</f>
        <v/>
      </c>
      <c r="G234">
        <f>IF(原始資料!G234="","",IF(反向題設定!$C$10="是",反向題設定!$B$2+1-原始資料!G234,原始資料!G234))</f>
        <v/>
      </c>
      <c r="H234">
        <f>IF(原始資料!H234="","",IF(反向題設定!$C$11="是",反向題設定!$B$2+1-原始資料!H234,原始資料!H234))</f>
        <v/>
      </c>
      <c r="I234">
        <f>IF(原始資料!I234="","",IF(反向題設定!$C$12="是",反向題設定!$B$2+1-原始資料!I234,原始資料!I234))</f>
        <v/>
      </c>
      <c r="J234">
        <f>IF(原始資料!J234="","",IF(反向題設定!$C$13="是",反向題設定!$B$2+1-原始資料!J234,原始資料!J234))</f>
        <v/>
      </c>
      <c r="K234">
        <f>IF(原始資料!K234="","",IF(反向題設定!$C$14="是",反向題設定!$B$2+1-原始資料!K234,原始資料!K234))</f>
        <v/>
      </c>
      <c r="L234">
        <f>IF(原始資料!L234="","",IF(反向題設定!$C$15="是",反向題設定!$B$2+1-原始資料!L234,原始資料!L234))</f>
        <v/>
      </c>
      <c r="M234">
        <f>IF(原始資料!M234="","",IF(反向題設定!$C$16="是",反向題設定!$B$2+1-原始資料!M234,原始資料!M234))</f>
        <v/>
      </c>
      <c r="N234">
        <f>IF(原始資料!N234="","",IF(反向題設定!$C$17="是",反向題設定!$B$2+1-原始資料!N234,原始資料!N234))</f>
        <v/>
      </c>
      <c r="O234">
        <f>IF(原始資料!O234="","",IF(反向題設定!$C$18="是",反向題設定!$B$2+1-原始資料!O234,原始資料!O234))</f>
        <v/>
      </c>
      <c r="P234">
        <f>IF(原始資料!P234="","",IF(反向題設定!$C$19="是",反向題設定!$B$2+1-原始資料!P234,原始資料!P234))</f>
        <v/>
      </c>
      <c r="Q234">
        <f>IF(原始資料!Q234="","",IF(反向題設定!$C$20="是",反向題設定!$B$2+1-原始資料!Q234,原始資料!Q234))</f>
        <v/>
      </c>
      <c r="R234">
        <f>IF(原始資料!R234="","",IF(反向題設定!$C$21="是",反向題設定!$B$2+1-原始資料!R234,原始資料!R234))</f>
        <v/>
      </c>
      <c r="S234">
        <f>IF(原始資料!S234="","",IF(反向題設定!$C$22="是",反向題設定!$B$2+1-原始資料!S234,原始資料!S234))</f>
        <v/>
      </c>
      <c r="T234">
        <f>IF(原始資料!T234="","",IF(反向題設定!$C$23="是",反向題設定!$B$2+1-原始資料!T234,原始資料!T234))</f>
        <v/>
      </c>
      <c r="U234">
        <f>IF(原始資料!U234="","",IF(反向題設定!$C$24="是",反向題設定!$B$2+1-原始資料!U234,原始資料!U234))</f>
        <v/>
      </c>
      <c r="V234">
        <f>IF(原始資料!V234="","",IF(反向題設定!$C$25="是",反向題設定!$B$2+1-原始資料!V234,原始資料!V234))</f>
        <v/>
      </c>
      <c r="W234">
        <f>IF(原始資料!W234="","",IF(反向題設定!$C$26="是",反向題設定!$B$2+1-原始資料!W234,原始資料!W234))</f>
        <v/>
      </c>
      <c r="X234">
        <f>IF(原始資料!X234="","",IF(反向題設定!$C$27="是",反向題設定!$B$2+1-原始資料!X234,原始資料!X234))</f>
        <v/>
      </c>
      <c r="Y234">
        <f>IF(原始資料!Y234="","",IF(反向題設定!$C$28="是",反向題設定!$B$2+1-原始資料!Y234,原始資料!Y234))</f>
        <v/>
      </c>
      <c r="Z234">
        <f>IF(原始資料!Z234="","",IF(反向題設定!$C$29="是",反向題設定!$B$2+1-原始資料!Z234,原始資料!Z234))</f>
        <v/>
      </c>
      <c r="AA234">
        <f>IF(原始資料!AA234="","",IF(反向題設定!$C$30="是",反向題設定!$B$2+1-原始資料!AA234,原始資料!AA234))</f>
        <v/>
      </c>
      <c r="AB234">
        <f>IF(原始資料!AB234="","",IF(反向題設定!$C$31="是",反向題設定!$B$2+1-原始資料!AB234,原始資料!AB234))</f>
        <v/>
      </c>
      <c r="AC234">
        <f>IF(原始資料!AC234="","",IF(反向題設定!$C$32="是",反向題設定!$B$2+1-原始資料!AC234,原始資料!AC234))</f>
        <v/>
      </c>
      <c r="AD234">
        <f>IF(原始資料!AD234="","",IF(反向題設定!$C$33="是",反向題設定!$B$2+1-原始資料!AD234,原始資料!AD234))</f>
        <v/>
      </c>
      <c r="AE234">
        <f>IF(原始資料!AE234="","",IF(反向題設定!$C$34="是",反向題設定!$B$2+1-原始資料!AE234,原始資料!AE234))</f>
        <v/>
      </c>
      <c r="AF234">
        <f>IF(原始資料!AF234="","",IF(反向題設定!$C$35="是",反向題設定!$B$2+1-原始資料!AF234,原始資料!AF234))</f>
        <v/>
      </c>
      <c r="AG234">
        <f>IF(原始資料!AG234="","",IF(反向題設定!$C$36="是",反向題設定!$B$2+1-原始資料!AG234,原始資料!AG234))</f>
        <v/>
      </c>
      <c r="AH234">
        <f>IF(原始資料!AH234="","",IF(反向題設定!$C$37="是",反向題設定!$B$2+1-原始資料!AH234,原始資料!AH234))</f>
        <v/>
      </c>
      <c r="AI234">
        <f>IF(原始資料!AI234="","",IF(反向題設定!$C$38="是",反向題設定!$B$2+1-原始資料!AI234,原始資料!AI234))</f>
        <v/>
      </c>
      <c r="AJ234">
        <f>IF(原始資料!AJ234="","",IF(反向題設定!$C$39="是",反向題設定!$B$2+1-原始資料!AJ234,原始資料!AJ234))</f>
        <v/>
      </c>
      <c r="AK234">
        <f>IF(原始資料!AK234="","",IF(反向題設定!$C$40="是",反向題設定!$B$2+1-原始資料!AK234,原始資料!AK234))</f>
        <v/>
      </c>
      <c r="AL234">
        <f>IF(原始資料!AL234="","",IF(反向題設定!$C$41="是",反向題設定!$B$2+1-原始資料!AL234,原始資料!AL234))</f>
        <v/>
      </c>
      <c r="AM234">
        <f>IF(原始資料!AM234="","",IF(反向題設定!$C$42="是",反向題設定!$B$2+1-原始資料!AM234,原始資料!AM234))</f>
        <v/>
      </c>
      <c r="AN234">
        <f>IF(原始資料!AN234="","",IF(反向題設定!$C$43="是",反向題設定!$B$2+1-原始資料!AN234,原始資料!AN234))</f>
        <v/>
      </c>
      <c r="AO234">
        <f>IF(原始資料!AO234="","",IF(反向題設定!$C$44="是",反向題設定!$B$2+1-原始資料!AO234,原始資料!AO234))</f>
        <v/>
      </c>
      <c r="AP234">
        <f>IF(COUNT(B234:AO234)=0,"",SUM(B234:AO234))</f>
        <v/>
      </c>
      <c r="AQ234">
        <f>IF(AP234="","",IF(AP234&gt;=項目分析!$C$5,"高",IF(AP234&lt;=項目分析!$C$6,"低","")))</f>
        <v/>
      </c>
    </row>
    <row r="235">
      <c r="A235">
        <f>IF(原始資料!A235="","",原始資料!A235)</f>
        <v/>
      </c>
      <c r="B235">
        <f>IF(原始資料!B235="","",IF(反向題設定!$C$5="是",反向題設定!$B$2+1-原始資料!B235,原始資料!B235))</f>
        <v/>
      </c>
      <c r="C235">
        <f>IF(原始資料!C235="","",IF(反向題設定!$C$6="是",反向題設定!$B$2+1-原始資料!C235,原始資料!C235))</f>
        <v/>
      </c>
      <c r="D235">
        <f>IF(原始資料!D235="","",IF(反向題設定!$C$7="是",反向題設定!$B$2+1-原始資料!D235,原始資料!D235))</f>
        <v/>
      </c>
      <c r="E235">
        <f>IF(原始資料!E235="","",IF(反向題設定!$C$8="是",反向題設定!$B$2+1-原始資料!E235,原始資料!E235))</f>
        <v/>
      </c>
      <c r="F235">
        <f>IF(原始資料!F235="","",IF(反向題設定!$C$9="是",反向題設定!$B$2+1-原始資料!F235,原始資料!F235))</f>
        <v/>
      </c>
      <c r="G235">
        <f>IF(原始資料!G235="","",IF(反向題設定!$C$10="是",反向題設定!$B$2+1-原始資料!G235,原始資料!G235))</f>
        <v/>
      </c>
      <c r="H235">
        <f>IF(原始資料!H235="","",IF(反向題設定!$C$11="是",反向題設定!$B$2+1-原始資料!H235,原始資料!H235))</f>
        <v/>
      </c>
      <c r="I235">
        <f>IF(原始資料!I235="","",IF(反向題設定!$C$12="是",反向題設定!$B$2+1-原始資料!I235,原始資料!I235))</f>
        <v/>
      </c>
      <c r="J235">
        <f>IF(原始資料!J235="","",IF(反向題設定!$C$13="是",反向題設定!$B$2+1-原始資料!J235,原始資料!J235))</f>
        <v/>
      </c>
      <c r="K235">
        <f>IF(原始資料!K235="","",IF(反向題設定!$C$14="是",反向題設定!$B$2+1-原始資料!K235,原始資料!K235))</f>
        <v/>
      </c>
      <c r="L235">
        <f>IF(原始資料!L235="","",IF(反向題設定!$C$15="是",反向題設定!$B$2+1-原始資料!L235,原始資料!L235))</f>
        <v/>
      </c>
      <c r="M235">
        <f>IF(原始資料!M235="","",IF(反向題設定!$C$16="是",反向題設定!$B$2+1-原始資料!M235,原始資料!M235))</f>
        <v/>
      </c>
      <c r="N235">
        <f>IF(原始資料!N235="","",IF(反向題設定!$C$17="是",反向題設定!$B$2+1-原始資料!N235,原始資料!N235))</f>
        <v/>
      </c>
      <c r="O235">
        <f>IF(原始資料!O235="","",IF(反向題設定!$C$18="是",反向題設定!$B$2+1-原始資料!O235,原始資料!O235))</f>
        <v/>
      </c>
      <c r="P235">
        <f>IF(原始資料!P235="","",IF(反向題設定!$C$19="是",反向題設定!$B$2+1-原始資料!P235,原始資料!P235))</f>
        <v/>
      </c>
      <c r="Q235">
        <f>IF(原始資料!Q235="","",IF(反向題設定!$C$20="是",反向題設定!$B$2+1-原始資料!Q235,原始資料!Q235))</f>
        <v/>
      </c>
      <c r="R235">
        <f>IF(原始資料!R235="","",IF(反向題設定!$C$21="是",反向題設定!$B$2+1-原始資料!R235,原始資料!R235))</f>
        <v/>
      </c>
      <c r="S235">
        <f>IF(原始資料!S235="","",IF(反向題設定!$C$22="是",反向題設定!$B$2+1-原始資料!S235,原始資料!S235))</f>
        <v/>
      </c>
      <c r="T235">
        <f>IF(原始資料!T235="","",IF(反向題設定!$C$23="是",反向題設定!$B$2+1-原始資料!T235,原始資料!T235))</f>
        <v/>
      </c>
      <c r="U235">
        <f>IF(原始資料!U235="","",IF(反向題設定!$C$24="是",反向題設定!$B$2+1-原始資料!U235,原始資料!U235))</f>
        <v/>
      </c>
      <c r="V235">
        <f>IF(原始資料!V235="","",IF(反向題設定!$C$25="是",反向題設定!$B$2+1-原始資料!V235,原始資料!V235))</f>
        <v/>
      </c>
      <c r="W235">
        <f>IF(原始資料!W235="","",IF(反向題設定!$C$26="是",反向題設定!$B$2+1-原始資料!W235,原始資料!W235))</f>
        <v/>
      </c>
      <c r="X235">
        <f>IF(原始資料!X235="","",IF(反向題設定!$C$27="是",反向題設定!$B$2+1-原始資料!X235,原始資料!X235))</f>
        <v/>
      </c>
      <c r="Y235">
        <f>IF(原始資料!Y235="","",IF(反向題設定!$C$28="是",反向題設定!$B$2+1-原始資料!Y235,原始資料!Y235))</f>
        <v/>
      </c>
      <c r="Z235">
        <f>IF(原始資料!Z235="","",IF(反向題設定!$C$29="是",反向題設定!$B$2+1-原始資料!Z235,原始資料!Z235))</f>
        <v/>
      </c>
      <c r="AA235">
        <f>IF(原始資料!AA235="","",IF(反向題設定!$C$30="是",反向題設定!$B$2+1-原始資料!AA235,原始資料!AA235))</f>
        <v/>
      </c>
      <c r="AB235">
        <f>IF(原始資料!AB235="","",IF(反向題設定!$C$31="是",反向題設定!$B$2+1-原始資料!AB235,原始資料!AB235))</f>
        <v/>
      </c>
      <c r="AC235">
        <f>IF(原始資料!AC235="","",IF(反向題設定!$C$32="是",反向題設定!$B$2+1-原始資料!AC235,原始資料!AC235))</f>
        <v/>
      </c>
      <c r="AD235">
        <f>IF(原始資料!AD235="","",IF(反向題設定!$C$33="是",反向題設定!$B$2+1-原始資料!AD235,原始資料!AD235))</f>
        <v/>
      </c>
      <c r="AE235">
        <f>IF(原始資料!AE235="","",IF(反向題設定!$C$34="是",反向題設定!$B$2+1-原始資料!AE235,原始資料!AE235))</f>
        <v/>
      </c>
      <c r="AF235">
        <f>IF(原始資料!AF235="","",IF(反向題設定!$C$35="是",反向題設定!$B$2+1-原始資料!AF235,原始資料!AF235))</f>
        <v/>
      </c>
      <c r="AG235">
        <f>IF(原始資料!AG235="","",IF(反向題設定!$C$36="是",反向題設定!$B$2+1-原始資料!AG235,原始資料!AG235))</f>
        <v/>
      </c>
      <c r="AH235">
        <f>IF(原始資料!AH235="","",IF(反向題設定!$C$37="是",反向題設定!$B$2+1-原始資料!AH235,原始資料!AH235))</f>
        <v/>
      </c>
      <c r="AI235">
        <f>IF(原始資料!AI235="","",IF(反向題設定!$C$38="是",反向題設定!$B$2+1-原始資料!AI235,原始資料!AI235))</f>
        <v/>
      </c>
      <c r="AJ235">
        <f>IF(原始資料!AJ235="","",IF(反向題設定!$C$39="是",反向題設定!$B$2+1-原始資料!AJ235,原始資料!AJ235))</f>
        <v/>
      </c>
      <c r="AK235">
        <f>IF(原始資料!AK235="","",IF(反向題設定!$C$40="是",反向題設定!$B$2+1-原始資料!AK235,原始資料!AK235))</f>
        <v/>
      </c>
      <c r="AL235">
        <f>IF(原始資料!AL235="","",IF(反向題設定!$C$41="是",反向題設定!$B$2+1-原始資料!AL235,原始資料!AL235))</f>
        <v/>
      </c>
      <c r="AM235">
        <f>IF(原始資料!AM235="","",IF(反向題設定!$C$42="是",反向題設定!$B$2+1-原始資料!AM235,原始資料!AM235))</f>
        <v/>
      </c>
      <c r="AN235">
        <f>IF(原始資料!AN235="","",IF(反向題設定!$C$43="是",反向題設定!$B$2+1-原始資料!AN235,原始資料!AN235))</f>
        <v/>
      </c>
      <c r="AO235">
        <f>IF(原始資料!AO235="","",IF(反向題設定!$C$44="是",反向題設定!$B$2+1-原始資料!AO235,原始資料!AO235))</f>
        <v/>
      </c>
      <c r="AP235">
        <f>IF(COUNT(B235:AO235)=0,"",SUM(B235:AO235))</f>
        <v/>
      </c>
      <c r="AQ235">
        <f>IF(AP235="","",IF(AP235&gt;=項目分析!$C$5,"高",IF(AP235&lt;=項目分析!$C$6,"低","")))</f>
        <v/>
      </c>
    </row>
    <row r="236">
      <c r="A236">
        <f>IF(原始資料!A236="","",原始資料!A236)</f>
        <v/>
      </c>
      <c r="B236">
        <f>IF(原始資料!B236="","",IF(反向題設定!$C$5="是",反向題設定!$B$2+1-原始資料!B236,原始資料!B236))</f>
        <v/>
      </c>
      <c r="C236">
        <f>IF(原始資料!C236="","",IF(反向題設定!$C$6="是",反向題設定!$B$2+1-原始資料!C236,原始資料!C236))</f>
        <v/>
      </c>
      <c r="D236">
        <f>IF(原始資料!D236="","",IF(反向題設定!$C$7="是",反向題設定!$B$2+1-原始資料!D236,原始資料!D236))</f>
        <v/>
      </c>
      <c r="E236">
        <f>IF(原始資料!E236="","",IF(反向題設定!$C$8="是",反向題設定!$B$2+1-原始資料!E236,原始資料!E236))</f>
        <v/>
      </c>
      <c r="F236">
        <f>IF(原始資料!F236="","",IF(反向題設定!$C$9="是",反向題設定!$B$2+1-原始資料!F236,原始資料!F236))</f>
        <v/>
      </c>
      <c r="G236">
        <f>IF(原始資料!G236="","",IF(反向題設定!$C$10="是",反向題設定!$B$2+1-原始資料!G236,原始資料!G236))</f>
        <v/>
      </c>
      <c r="H236">
        <f>IF(原始資料!H236="","",IF(反向題設定!$C$11="是",反向題設定!$B$2+1-原始資料!H236,原始資料!H236))</f>
        <v/>
      </c>
      <c r="I236">
        <f>IF(原始資料!I236="","",IF(反向題設定!$C$12="是",反向題設定!$B$2+1-原始資料!I236,原始資料!I236))</f>
        <v/>
      </c>
      <c r="J236">
        <f>IF(原始資料!J236="","",IF(反向題設定!$C$13="是",反向題設定!$B$2+1-原始資料!J236,原始資料!J236))</f>
        <v/>
      </c>
      <c r="K236">
        <f>IF(原始資料!K236="","",IF(反向題設定!$C$14="是",反向題設定!$B$2+1-原始資料!K236,原始資料!K236))</f>
        <v/>
      </c>
      <c r="L236">
        <f>IF(原始資料!L236="","",IF(反向題設定!$C$15="是",反向題設定!$B$2+1-原始資料!L236,原始資料!L236))</f>
        <v/>
      </c>
      <c r="M236">
        <f>IF(原始資料!M236="","",IF(反向題設定!$C$16="是",反向題設定!$B$2+1-原始資料!M236,原始資料!M236))</f>
        <v/>
      </c>
      <c r="N236">
        <f>IF(原始資料!N236="","",IF(反向題設定!$C$17="是",反向題設定!$B$2+1-原始資料!N236,原始資料!N236))</f>
        <v/>
      </c>
      <c r="O236">
        <f>IF(原始資料!O236="","",IF(反向題設定!$C$18="是",反向題設定!$B$2+1-原始資料!O236,原始資料!O236))</f>
        <v/>
      </c>
      <c r="P236">
        <f>IF(原始資料!P236="","",IF(反向題設定!$C$19="是",反向題設定!$B$2+1-原始資料!P236,原始資料!P236))</f>
        <v/>
      </c>
      <c r="Q236">
        <f>IF(原始資料!Q236="","",IF(反向題設定!$C$20="是",反向題設定!$B$2+1-原始資料!Q236,原始資料!Q236))</f>
        <v/>
      </c>
      <c r="R236">
        <f>IF(原始資料!R236="","",IF(反向題設定!$C$21="是",反向題設定!$B$2+1-原始資料!R236,原始資料!R236))</f>
        <v/>
      </c>
      <c r="S236">
        <f>IF(原始資料!S236="","",IF(反向題設定!$C$22="是",反向題設定!$B$2+1-原始資料!S236,原始資料!S236))</f>
        <v/>
      </c>
      <c r="T236">
        <f>IF(原始資料!T236="","",IF(反向題設定!$C$23="是",反向題設定!$B$2+1-原始資料!T236,原始資料!T236))</f>
        <v/>
      </c>
      <c r="U236">
        <f>IF(原始資料!U236="","",IF(反向題設定!$C$24="是",反向題設定!$B$2+1-原始資料!U236,原始資料!U236))</f>
        <v/>
      </c>
      <c r="V236">
        <f>IF(原始資料!V236="","",IF(反向題設定!$C$25="是",反向題設定!$B$2+1-原始資料!V236,原始資料!V236))</f>
        <v/>
      </c>
      <c r="W236">
        <f>IF(原始資料!W236="","",IF(反向題設定!$C$26="是",反向題設定!$B$2+1-原始資料!W236,原始資料!W236))</f>
        <v/>
      </c>
      <c r="X236">
        <f>IF(原始資料!X236="","",IF(反向題設定!$C$27="是",反向題設定!$B$2+1-原始資料!X236,原始資料!X236))</f>
        <v/>
      </c>
      <c r="Y236">
        <f>IF(原始資料!Y236="","",IF(反向題設定!$C$28="是",反向題設定!$B$2+1-原始資料!Y236,原始資料!Y236))</f>
        <v/>
      </c>
      <c r="Z236">
        <f>IF(原始資料!Z236="","",IF(反向題設定!$C$29="是",反向題設定!$B$2+1-原始資料!Z236,原始資料!Z236))</f>
        <v/>
      </c>
      <c r="AA236">
        <f>IF(原始資料!AA236="","",IF(反向題設定!$C$30="是",反向題設定!$B$2+1-原始資料!AA236,原始資料!AA236))</f>
        <v/>
      </c>
      <c r="AB236">
        <f>IF(原始資料!AB236="","",IF(反向題設定!$C$31="是",反向題設定!$B$2+1-原始資料!AB236,原始資料!AB236))</f>
        <v/>
      </c>
      <c r="AC236">
        <f>IF(原始資料!AC236="","",IF(反向題設定!$C$32="是",反向題設定!$B$2+1-原始資料!AC236,原始資料!AC236))</f>
        <v/>
      </c>
      <c r="AD236">
        <f>IF(原始資料!AD236="","",IF(反向題設定!$C$33="是",反向題設定!$B$2+1-原始資料!AD236,原始資料!AD236))</f>
        <v/>
      </c>
      <c r="AE236">
        <f>IF(原始資料!AE236="","",IF(反向題設定!$C$34="是",反向題設定!$B$2+1-原始資料!AE236,原始資料!AE236))</f>
        <v/>
      </c>
      <c r="AF236">
        <f>IF(原始資料!AF236="","",IF(反向題設定!$C$35="是",反向題設定!$B$2+1-原始資料!AF236,原始資料!AF236))</f>
        <v/>
      </c>
      <c r="AG236">
        <f>IF(原始資料!AG236="","",IF(反向題設定!$C$36="是",反向題設定!$B$2+1-原始資料!AG236,原始資料!AG236))</f>
        <v/>
      </c>
      <c r="AH236">
        <f>IF(原始資料!AH236="","",IF(反向題設定!$C$37="是",反向題設定!$B$2+1-原始資料!AH236,原始資料!AH236))</f>
        <v/>
      </c>
      <c r="AI236">
        <f>IF(原始資料!AI236="","",IF(反向題設定!$C$38="是",反向題設定!$B$2+1-原始資料!AI236,原始資料!AI236))</f>
        <v/>
      </c>
      <c r="AJ236">
        <f>IF(原始資料!AJ236="","",IF(反向題設定!$C$39="是",反向題設定!$B$2+1-原始資料!AJ236,原始資料!AJ236))</f>
        <v/>
      </c>
      <c r="AK236">
        <f>IF(原始資料!AK236="","",IF(反向題設定!$C$40="是",反向題設定!$B$2+1-原始資料!AK236,原始資料!AK236))</f>
        <v/>
      </c>
      <c r="AL236">
        <f>IF(原始資料!AL236="","",IF(反向題設定!$C$41="是",反向題設定!$B$2+1-原始資料!AL236,原始資料!AL236))</f>
        <v/>
      </c>
      <c r="AM236">
        <f>IF(原始資料!AM236="","",IF(反向題設定!$C$42="是",反向題設定!$B$2+1-原始資料!AM236,原始資料!AM236))</f>
        <v/>
      </c>
      <c r="AN236">
        <f>IF(原始資料!AN236="","",IF(反向題設定!$C$43="是",反向題設定!$B$2+1-原始資料!AN236,原始資料!AN236))</f>
        <v/>
      </c>
      <c r="AO236">
        <f>IF(原始資料!AO236="","",IF(反向題設定!$C$44="是",反向題設定!$B$2+1-原始資料!AO236,原始資料!AO236))</f>
        <v/>
      </c>
      <c r="AP236">
        <f>IF(COUNT(B236:AO236)=0,"",SUM(B236:AO236))</f>
        <v/>
      </c>
      <c r="AQ236">
        <f>IF(AP236="","",IF(AP236&gt;=項目分析!$C$5,"高",IF(AP236&lt;=項目分析!$C$6,"低","")))</f>
        <v/>
      </c>
    </row>
    <row r="237">
      <c r="A237">
        <f>IF(原始資料!A237="","",原始資料!A237)</f>
        <v/>
      </c>
      <c r="B237">
        <f>IF(原始資料!B237="","",IF(反向題設定!$C$5="是",反向題設定!$B$2+1-原始資料!B237,原始資料!B237))</f>
        <v/>
      </c>
      <c r="C237">
        <f>IF(原始資料!C237="","",IF(反向題設定!$C$6="是",反向題設定!$B$2+1-原始資料!C237,原始資料!C237))</f>
        <v/>
      </c>
      <c r="D237">
        <f>IF(原始資料!D237="","",IF(反向題設定!$C$7="是",反向題設定!$B$2+1-原始資料!D237,原始資料!D237))</f>
        <v/>
      </c>
      <c r="E237">
        <f>IF(原始資料!E237="","",IF(反向題設定!$C$8="是",反向題設定!$B$2+1-原始資料!E237,原始資料!E237))</f>
        <v/>
      </c>
      <c r="F237">
        <f>IF(原始資料!F237="","",IF(反向題設定!$C$9="是",反向題設定!$B$2+1-原始資料!F237,原始資料!F237))</f>
        <v/>
      </c>
      <c r="G237">
        <f>IF(原始資料!G237="","",IF(反向題設定!$C$10="是",反向題設定!$B$2+1-原始資料!G237,原始資料!G237))</f>
        <v/>
      </c>
      <c r="H237">
        <f>IF(原始資料!H237="","",IF(反向題設定!$C$11="是",反向題設定!$B$2+1-原始資料!H237,原始資料!H237))</f>
        <v/>
      </c>
      <c r="I237">
        <f>IF(原始資料!I237="","",IF(反向題設定!$C$12="是",反向題設定!$B$2+1-原始資料!I237,原始資料!I237))</f>
        <v/>
      </c>
      <c r="J237">
        <f>IF(原始資料!J237="","",IF(反向題設定!$C$13="是",反向題設定!$B$2+1-原始資料!J237,原始資料!J237))</f>
        <v/>
      </c>
      <c r="K237">
        <f>IF(原始資料!K237="","",IF(反向題設定!$C$14="是",反向題設定!$B$2+1-原始資料!K237,原始資料!K237))</f>
        <v/>
      </c>
      <c r="L237">
        <f>IF(原始資料!L237="","",IF(反向題設定!$C$15="是",反向題設定!$B$2+1-原始資料!L237,原始資料!L237))</f>
        <v/>
      </c>
      <c r="M237">
        <f>IF(原始資料!M237="","",IF(反向題設定!$C$16="是",反向題設定!$B$2+1-原始資料!M237,原始資料!M237))</f>
        <v/>
      </c>
      <c r="N237">
        <f>IF(原始資料!N237="","",IF(反向題設定!$C$17="是",反向題設定!$B$2+1-原始資料!N237,原始資料!N237))</f>
        <v/>
      </c>
      <c r="O237">
        <f>IF(原始資料!O237="","",IF(反向題設定!$C$18="是",反向題設定!$B$2+1-原始資料!O237,原始資料!O237))</f>
        <v/>
      </c>
      <c r="P237">
        <f>IF(原始資料!P237="","",IF(反向題設定!$C$19="是",反向題設定!$B$2+1-原始資料!P237,原始資料!P237))</f>
        <v/>
      </c>
      <c r="Q237">
        <f>IF(原始資料!Q237="","",IF(反向題設定!$C$20="是",反向題設定!$B$2+1-原始資料!Q237,原始資料!Q237))</f>
        <v/>
      </c>
      <c r="R237">
        <f>IF(原始資料!R237="","",IF(反向題設定!$C$21="是",反向題設定!$B$2+1-原始資料!R237,原始資料!R237))</f>
        <v/>
      </c>
      <c r="S237">
        <f>IF(原始資料!S237="","",IF(反向題設定!$C$22="是",反向題設定!$B$2+1-原始資料!S237,原始資料!S237))</f>
        <v/>
      </c>
      <c r="T237">
        <f>IF(原始資料!T237="","",IF(反向題設定!$C$23="是",反向題設定!$B$2+1-原始資料!T237,原始資料!T237))</f>
        <v/>
      </c>
      <c r="U237">
        <f>IF(原始資料!U237="","",IF(反向題設定!$C$24="是",反向題設定!$B$2+1-原始資料!U237,原始資料!U237))</f>
        <v/>
      </c>
      <c r="V237">
        <f>IF(原始資料!V237="","",IF(反向題設定!$C$25="是",反向題設定!$B$2+1-原始資料!V237,原始資料!V237))</f>
        <v/>
      </c>
      <c r="W237">
        <f>IF(原始資料!W237="","",IF(反向題設定!$C$26="是",反向題設定!$B$2+1-原始資料!W237,原始資料!W237))</f>
        <v/>
      </c>
      <c r="X237">
        <f>IF(原始資料!X237="","",IF(反向題設定!$C$27="是",反向題設定!$B$2+1-原始資料!X237,原始資料!X237))</f>
        <v/>
      </c>
      <c r="Y237">
        <f>IF(原始資料!Y237="","",IF(反向題設定!$C$28="是",反向題設定!$B$2+1-原始資料!Y237,原始資料!Y237))</f>
        <v/>
      </c>
      <c r="Z237">
        <f>IF(原始資料!Z237="","",IF(反向題設定!$C$29="是",反向題設定!$B$2+1-原始資料!Z237,原始資料!Z237))</f>
        <v/>
      </c>
      <c r="AA237">
        <f>IF(原始資料!AA237="","",IF(反向題設定!$C$30="是",反向題設定!$B$2+1-原始資料!AA237,原始資料!AA237))</f>
        <v/>
      </c>
      <c r="AB237">
        <f>IF(原始資料!AB237="","",IF(反向題設定!$C$31="是",反向題設定!$B$2+1-原始資料!AB237,原始資料!AB237))</f>
        <v/>
      </c>
      <c r="AC237">
        <f>IF(原始資料!AC237="","",IF(反向題設定!$C$32="是",反向題設定!$B$2+1-原始資料!AC237,原始資料!AC237))</f>
        <v/>
      </c>
      <c r="AD237">
        <f>IF(原始資料!AD237="","",IF(反向題設定!$C$33="是",反向題設定!$B$2+1-原始資料!AD237,原始資料!AD237))</f>
        <v/>
      </c>
      <c r="AE237">
        <f>IF(原始資料!AE237="","",IF(反向題設定!$C$34="是",反向題設定!$B$2+1-原始資料!AE237,原始資料!AE237))</f>
        <v/>
      </c>
      <c r="AF237">
        <f>IF(原始資料!AF237="","",IF(反向題設定!$C$35="是",反向題設定!$B$2+1-原始資料!AF237,原始資料!AF237))</f>
        <v/>
      </c>
      <c r="AG237">
        <f>IF(原始資料!AG237="","",IF(反向題設定!$C$36="是",反向題設定!$B$2+1-原始資料!AG237,原始資料!AG237))</f>
        <v/>
      </c>
      <c r="AH237">
        <f>IF(原始資料!AH237="","",IF(反向題設定!$C$37="是",反向題設定!$B$2+1-原始資料!AH237,原始資料!AH237))</f>
        <v/>
      </c>
      <c r="AI237">
        <f>IF(原始資料!AI237="","",IF(反向題設定!$C$38="是",反向題設定!$B$2+1-原始資料!AI237,原始資料!AI237))</f>
        <v/>
      </c>
      <c r="AJ237">
        <f>IF(原始資料!AJ237="","",IF(反向題設定!$C$39="是",反向題設定!$B$2+1-原始資料!AJ237,原始資料!AJ237))</f>
        <v/>
      </c>
      <c r="AK237">
        <f>IF(原始資料!AK237="","",IF(反向題設定!$C$40="是",反向題設定!$B$2+1-原始資料!AK237,原始資料!AK237))</f>
        <v/>
      </c>
      <c r="AL237">
        <f>IF(原始資料!AL237="","",IF(反向題設定!$C$41="是",反向題設定!$B$2+1-原始資料!AL237,原始資料!AL237))</f>
        <v/>
      </c>
      <c r="AM237">
        <f>IF(原始資料!AM237="","",IF(反向題設定!$C$42="是",反向題設定!$B$2+1-原始資料!AM237,原始資料!AM237))</f>
        <v/>
      </c>
      <c r="AN237">
        <f>IF(原始資料!AN237="","",IF(反向題設定!$C$43="是",反向題設定!$B$2+1-原始資料!AN237,原始資料!AN237))</f>
        <v/>
      </c>
      <c r="AO237">
        <f>IF(原始資料!AO237="","",IF(反向題設定!$C$44="是",反向題設定!$B$2+1-原始資料!AO237,原始資料!AO237))</f>
        <v/>
      </c>
      <c r="AP237">
        <f>IF(COUNT(B237:AO237)=0,"",SUM(B237:AO237))</f>
        <v/>
      </c>
      <c r="AQ237">
        <f>IF(AP237="","",IF(AP237&gt;=項目分析!$C$5,"高",IF(AP237&lt;=項目分析!$C$6,"低","")))</f>
        <v/>
      </c>
    </row>
    <row r="238">
      <c r="A238">
        <f>IF(原始資料!A238="","",原始資料!A238)</f>
        <v/>
      </c>
      <c r="B238">
        <f>IF(原始資料!B238="","",IF(反向題設定!$C$5="是",反向題設定!$B$2+1-原始資料!B238,原始資料!B238))</f>
        <v/>
      </c>
      <c r="C238">
        <f>IF(原始資料!C238="","",IF(反向題設定!$C$6="是",反向題設定!$B$2+1-原始資料!C238,原始資料!C238))</f>
        <v/>
      </c>
      <c r="D238">
        <f>IF(原始資料!D238="","",IF(反向題設定!$C$7="是",反向題設定!$B$2+1-原始資料!D238,原始資料!D238))</f>
        <v/>
      </c>
      <c r="E238">
        <f>IF(原始資料!E238="","",IF(反向題設定!$C$8="是",反向題設定!$B$2+1-原始資料!E238,原始資料!E238))</f>
        <v/>
      </c>
      <c r="F238">
        <f>IF(原始資料!F238="","",IF(反向題設定!$C$9="是",反向題設定!$B$2+1-原始資料!F238,原始資料!F238))</f>
        <v/>
      </c>
      <c r="G238">
        <f>IF(原始資料!G238="","",IF(反向題設定!$C$10="是",反向題設定!$B$2+1-原始資料!G238,原始資料!G238))</f>
        <v/>
      </c>
      <c r="H238">
        <f>IF(原始資料!H238="","",IF(反向題設定!$C$11="是",反向題設定!$B$2+1-原始資料!H238,原始資料!H238))</f>
        <v/>
      </c>
      <c r="I238">
        <f>IF(原始資料!I238="","",IF(反向題設定!$C$12="是",反向題設定!$B$2+1-原始資料!I238,原始資料!I238))</f>
        <v/>
      </c>
      <c r="J238">
        <f>IF(原始資料!J238="","",IF(反向題設定!$C$13="是",反向題設定!$B$2+1-原始資料!J238,原始資料!J238))</f>
        <v/>
      </c>
      <c r="K238">
        <f>IF(原始資料!K238="","",IF(反向題設定!$C$14="是",反向題設定!$B$2+1-原始資料!K238,原始資料!K238))</f>
        <v/>
      </c>
      <c r="L238">
        <f>IF(原始資料!L238="","",IF(反向題設定!$C$15="是",反向題設定!$B$2+1-原始資料!L238,原始資料!L238))</f>
        <v/>
      </c>
      <c r="M238">
        <f>IF(原始資料!M238="","",IF(反向題設定!$C$16="是",反向題設定!$B$2+1-原始資料!M238,原始資料!M238))</f>
        <v/>
      </c>
      <c r="N238">
        <f>IF(原始資料!N238="","",IF(反向題設定!$C$17="是",反向題設定!$B$2+1-原始資料!N238,原始資料!N238))</f>
        <v/>
      </c>
      <c r="O238">
        <f>IF(原始資料!O238="","",IF(反向題設定!$C$18="是",反向題設定!$B$2+1-原始資料!O238,原始資料!O238))</f>
        <v/>
      </c>
      <c r="P238">
        <f>IF(原始資料!P238="","",IF(反向題設定!$C$19="是",反向題設定!$B$2+1-原始資料!P238,原始資料!P238))</f>
        <v/>
      </c>
      <c r="Q238">
        <f>IF(原始資料!Q238="","",IF(反向題設定!$C$20="是",反向題設定!$B$2+1-原始資料!Q238,原始資料!Q238))</f>
        <v/>
      </c>
      <c r="R238">
        <f>IF(原始資料!R238="","",IF(反向題設定!$C$21="是",反向題設定!$B$2+1-原始資料!R238,原始資料!R238))</f>
        <v/>
      </c>
      <c r="S238">
        <f>IF(原始資料!S238="","",IF(反向題設定!$C$22="是",反向題設定!$B$2+1-原始資料!S238,原始資料!S238))</f>
        <v/>
      </c>
      <c r="T238">
        <f>IF(原始資料!T238="","",IF(反向題設定!$C$23="是",反向題設定!$B$2+1-原始資料!T238,原始資料!T238))</f>
        <v/>
      </c>
      <c r="U238">
        <f>IF(原始資料!U238="","",IF(反向題設定!$C$24="是",反向題設定!$B$2+1-原始資料!U238,原始資料!U238))</f>
        <v/>
      </c>
      <c r="V238">
        <f>IF(原始資料!V238="","",IF(反向題設定!$C$25="是",反向題設定!$B$2+1-原始資料!V238,原始資料!V238))</f>
        <v/>
      </c>
      <c r="W238">
        <f>IF(原始資料!W238="","",IF(反向題設定!$C$26="是",反向題設定!$B$2+1-原始資料!W238,原始資料!W238))</f>
        <v/>
      </c>
      <c r="X238">
        <f>IF(原始資料!X238="","",IF(反向題設定!$C$27="是",反向題設定!$B$2+1-原始資料!X238,原始資料!X238))</f>
        <v/>
      </c>
      <c r="Y238">
        <f>IF(原始資料!Y238="","",IF(反向題設定!$C$28="是",反向題設定!$B$2+1-原始資料!Y238,原始資料!Y238))</f>
        <v/>
      </c>
      <c r="Z238">
        <f>IF(原始資料!Z238="","",IF(反向題設定!$C$29="是",反向題設定!$B$2+1-原始資料!Z238,原始資料!Z238))</f>
        <v/>
      </c>
      <c r="AA238">
        <f>IF(原始資料!AA238="","",IF(反向題設定!$C$30="是",反向題設定!$B$2+1-原始資料!AA238,原始資料!AA238))</f>
        <v/>
      </c>
      <c r="AB238">
        <f>IF(原始資料!AB238="","",IF(反向題設定!$C$31="是",反向題設定!$B$2+1-原始資料!AB238,原始資料!AB238))</f>
        <v/>
      </c>
      <c r="AC238">
        <f>IF(原始資料!AC238="","",IF(反向題設定!$C$32="是",反向題設定!$B$2+1-原始資料!AC238,原始資料!AC238))</f>
        <v/>
      </c>
      <c r="AD238">
        <f>IF(原始資料!AD238="","",IF(反向題設定!$C$33="是",反向題設定!$B$2+1-原始資料!AD238,原始資料!AD238))</f>
        <v/>
      </c>
      <c r="AE238">
        <f>IF(原始資料!AE238="","",IF(反向題設定!$C$34="是",反向題設定!$B$2+1-原始資料!AE238,原始資料!AE238))</f>
        <v/>
      </c>
      <c r="AF238">
        <f>IF(原始資料!AF238="","",IF(反向題設定!$C$35="是",反向題設定!$B$2+1-原始資料!AF238,原始資料!AF238))</f>
        <v/>
      </c>
      <c r="AG238">
        <f>IF(原始資料!AG238="","",IF(反向題設定!$C$36="是",反向題設定!$B$2+1-原始資料!AG238,原始資料!AG238))</f>
        <v/>
      </c>
      <c r="AH238">
        <f>IF(原始資料!AH238="","",IF(反向題設定!$C$37="是",反向題設定!$B$2+1-原始資料!AH238,原始資料!AH238))</f>
        <v/>
      </c>
      <c r="AI238">
        <f>IF(原始資料!AI238="","",IF(反向題設定!$C$38="是",反向題設定!$B$2+1-原始資料!AI238,原始資料!AI238))</f>
        <v/>
      </c>
      <c r="AJ238">
        <f>IF(原始資料!AJ238="","",IF(反向題設定!$C$39="是",反向題設定!$B$2+1-原始資料!AJ238,原始資料!AJ238))</f>
        <v/>
      </c>
      <c r="AK238">
        <f>IF(原始資料!AK238="","",IF(反向題設定!$C$40="是",反向題設定!$B$2+1-原始資料!AK238,原始資料!AK238))</f>
        <v/>
      </c>
      <c r="AL238">
        <f>IF(原始資料!AL238="","",IF(反向題設定!$C$41="是",反向題設定!$B$2+1-原始資料!AL238,原始資料!AL238))</f>
        <v/>
      </c>
      <c r="AM238">
        <f>IF(原始資料!AM238="","",IF(反向題設定!$C$42="是",反向題設定!$B$2+1-原始資料!AM238,原始資料!AM238))</f>
        <v/>
      </c>
      <c r="AN238">
        <f>IF(原始資料!AN238="","",IF(反向題設定!$C$43="是",反向題設定!$B$2+1-原始資料!AN238,原始資料!AN238))</f>
        <v/>
      </c>
      <c r="AO238">
        <f>IF(原始資料!AO238="","",IF(反向題設定!$C$44="是",反向題設定!$B$2+1-原始資料!AO238,原始資料!AO238))</f>
        <v/>
      </c>
      <c r="AP238">
        <f>IF(COUNT(B238:AO238)=0,"",SUM(B238:AO238))</f>
        <v/>
      </c>
      <c r="AQ238">
        <f>IF(AP238="","",IF(AP238&gt;=項目分析!$C$5,"高",IF(AP238&lt;=項目分析!$C$6,"低","")))</f>
        <v/>
      </c>
    </row>
    <row r="239">
      <c r="A239">
        <f>IF(原始資料!A239="","",原始資料!A239)</f>
        <v/>
      </c>
      <c r="B239">
        <f>IF(原始資料!B239="","",IF(反向題設定!$C$5="是",反向題設定!$B$2+1-原始資料!B239,原始資料!B239))</f>
        <v/>
      </c>
      <c r="C239">
        <f>IF(原始資料!C239="","",IF(反向題設定!$C$6="是",反向題設定!$B$2+1-原始資料!C239,原始資料!C239))</f>
        <v/>
      </c>
      <c r="D239">
        <f>IF(原始資料!D239="","",IF(反向題設定!$C$7="是",反向題設定!$B$2+1-原始資料!D239,原始資料!D239))</f>
        <v/>
      </c>
      <c r="E239">
        <f>IF(原始資料!E239="","",IF(反向題設定!$C$8="是",反向題設定!$B$2+1-原始資料!E239,原始資料!E239))</f>
        <v/>
      </c>
      <c r="F239">
        <f>IF(原始資料!F239="","",IF(反向題設定!$C$9="是",反向題設定!$B$2+1-原始資料!F239,原始資料!F239))</f>
        <v/>
      </c>
      <c r="G239">
        <f>IF(原始資料!G239="","",IF(反向題設定!$C$10="是",反向題設定!$B$2+1-原始資料!G239,原始資料!G239))</f>
        <v/>
      </c>
      <c r="H239">
        <f>IF(原始資料!H239="","",IF(反向題設定!$C$11="是",反向題設定!$B$2+1-原始資料!H239,原始資料!H239))</f>
        <v/>
      </c>
      <c r="I239">
        <f>IF(原始資料!I239="","",IF(反向題設定!$C$12="是",反向題設定!$B$2+1-原始資料!I239,原始資料!I239))</f>
        <v/>
      </c>
      <c r="J239">
        <f>IF(原始資料!J239="","",IF(反向題設定!$C$13="是",反向題設定!$B$2+1-原始資料!J239,原始資料!J239))</f>
        <v/>
      </c>
      <c r="K239">
        <f>IF(原始資料!K239="","",IF(反向題設定!$C$14="是",反向題設定!$B$2+1-原始資料!K239,原始資料!K239))</f>
        <v/>
      </c>
      <c r="L239">
        <f>IF(原始資料!L239="","",IF(反向題設定!$C$15="是",反向題設定!$B$2+1-原始資料!L239,原始資料!L239))</f>
        <v/>
      </c>
      <c r="M239">
        <f>IF(原始資料!M239="","",IF(反向題設定!$C$16="是",反向題設定!$B$2+1-原始資料!M239,原始資料!M239))</f>
        <v/>
      </c>
      <c r="N239">
        <f>IF(原始資料!N239="","",IF(反向題設定!$C$17="是",反向題設定!$B$2+1-原始資料!N239,原始資料!N239))</f>
        <v/>
      </c>
      <c r="O239">
        <f>IF(原始資料!O239="","",IF(反向題設定!$C$18="是",反向題設定!$B$2+1-原始資料!O239,原始資料!O239))</f>
        <v/>
      </c>
      <c r="P239">
        <f>IF(原始資料!P239="","",IF(反向題設定!$C$19="是",反向題設定!$B$2+1-原始資料!P239,原始資料!P239))</f>
        <v/>
      </c>
      <c r="Q239">
        <f>IF(原始資料!Q239="","",IF(反向題設定!$C$20="是",反向題設定!$B$2+1-原始資料!Q239,原始資料!Q239))</f>
        <v/>
      </c>
      <c r="R239">
        <f>IF(原始資料!R239="","",IF(反向題設定!$C$21="是",反向題設定!$B$2+1-原始資料!R239,原始資料!R239))</f>
        <v/>
      </c>
      <c r="S239">
        <f>IF(原始資料!S239="","",IF(反向題設定!$C$22="是",反向題設定!$B$2+1-原始資料!S239,原始資料!S239))</f>
        <v/>
      </c>
      <c r="T239">
        <f>IF(原始資料!T239="","",IF(反向題設定!$C$23="是",反向題設定!$B$2+1-原始資料!T239,原始資料!T239))</f>
        <v/>
      </c>
      <c r="U239">
        <f>IF(原始資料!U239="","",IF(反向題設定!$C$24="是",反向題設定!$B$2+1-原始資料!U239,原始資料!U239))</f>
        <v/>
      </c>
      <c r="V239">
        <f>IF(原始資料!V239="","",IF(反向題設定!$C$25="是",反向題設定!$B$2+1-原始資料!V239,原始資料!V239))</f>
        <v/>
      </c>
      <c r="W239">
        <f>IF(原始資料!W239="","",IF(反向題設定!$C$26="是",反向題設定!$B$2+1-原始資料!W239,原始資料!W239))</f>
        <v/>
      </c>
      <c r="X239">
        <f>IF(原始資料!X239="","",IF(反向題設定!$C$27="是",反向題設定!$B$2+1-原始資料!X239,原始資料!X239))</f>
        <v/>
      </c>
      <c r="Y239">
        <f>IF(原始資料!Y239="","",IF(反向題設定!$C$28="是",反向題設定!$B$2+1-原始資料!Y239,原始資料!Y239))</f>
        <v/>
      </c>
      <c r="Z239">
        <f>IF(原始資料!Z239="","",IF(反向題設定!$C$29="是",反向題設定!$B$2+1-原始資料!Z239,原始資料!Z239))</f>
        <v/>
      </c>
      <c r="AA239">
        <f>IF(原始資料!AA239="","",IF(反向題設定!$C$30="是",反向題設定!$B$2+1-原始資料!AA239,原始資料!AA239))</f>
        <v/>
      </c>
      <c r="AB239">
        <f>IF(原始資料!AB239="","",IF(反向題設定!$C$31="是",反向題設定!$B$2+1-原始資料!AB239,原始資料!AB239))</f>
        <v/>
      </c>
      <c r="AC239">
        <f>IF(原始資料!AC239="","",IF(反向題設定!$C$32="是",反向題設定!$B$2+1-原始資料!AC239,原始資料!AC239))</f>
        <v/>
      </c>
      <c r="AD239">
        <f>IF(原始資料!AD239="","",IF(反向題設定!$C$33="是",反向題設定!$B$2+1-原始資料!AD239,原始資料!AD239))</f>
        <v/>
      </c>
      <c r="AE239">
        <f>IF(原始資料!AE239="","",IF(反向題設定!$C$34="是",反向題設定!$B$2+1-原始資料!AE239,原始資料!AE239))</f>
        <v/>
      </c>
      <c r="AF239">
        <f>IF(原始資料!AF239="","",IF(反向題設定!$C$35="是",反向題設定!$B$2+1-原始資料!AF239,原始資料!AF239))</f>
        <v/>
      </c>
      <c r="AG239">
        <f>IF(原始資料!AG239="","",IF(反向題設定!$C$36="是",反向題設定!$B$2+1-原始資料!AG239,原始資料!AG239))</f>
        <v/>
      </c>
      <c r="AH239">
        <f>IF(原始資料!AH239="","",IF(反向題設定!$C$37="是",反向題設定!$B$2+1-原始資料!AH239,原始資料!AH239))</f>
        <v/>
      </c>
      <c r="AI239">
        <f>IF(原始資料!AI239="","",IF(反向題設定!$C$38="是",反向題設定!$B$2+1-原始資料!AI239,原始資料!AI239))</f>
        <v/>
      </c>
      <c r="AJ239">
        <f>IF(原始資料!AJ239="","",IF(反向題設定!$C$39="是",反向題設定!$B$2+1-原始資料!AJ239,原始資料!AJ239))</f>
        <v/>
      </c>
      <c r="AK239">
        <f>IF(原始資料!AK239="","",IF(反向題設定!$C$40="是",反向題設定!$B$2+1-原始資料!AK239,原始資料!AK239))</f>
        <v/>
      </c>
      <c r="AL239">
        <f>IF(原始資料!AL239="","",IF(反向題設定!$C$41="是",反向題設定!$B$2+1-原始資料!AL239,原始資料!AL239))</f>
        <v/>
      </c>
      <c r="AM239">
        <f>IF(原始資料!AM239="","",IF(反向題設定!$C$42="是",反向題設定!$B$2+1-原始資料!AM239,原始資料!AM239))</f>
        <v/>
      </c>
      <c r="AN239">
        <f>IF(原始資料!AN239="","",IF(反向題設定!$C$43="是",反向題設定!$B$2+1-原始資料!AN239,原始資料!AN239))</f>
        <v/>
      </c>
      <c r="AO239">
        <f>IF(原始資料!AO239="","",IF(反向題設定!$C$44="是",反向題設定!$B$2+1-原始資料!AO239,原始資料!AO239))</f>
        <v/>
      </c>
      <c r="AP239">
        <f>IF(COUNT(B239:AO239)=0,"",SUM(B239:AO239))</f>
        <v/>
      </c>
      <c r="AQ239">
        <f>IF(AP239="","",IF(AP239&gt;=項目分析!$C$5,"高",IF(AP239&lt;=項目分析!$C$6,"低","")))</f>
        <v/>
      </c>
    </row>
    <row r="240">
      <c r="A240">
        <f>IF(原始資料!A240="","",原始資料!A240)</f>
        <v/>
      </c>
      <c r="B240">
        <f>IF(原始資料!B240="","",IF(反向題設定!$C$5="是",反向題設定!$B$2+1-原始資料!B240,原始資料!B240))</f>
        <v/>
      </c>
      <c r="C240">
        <f>IF(原始資料!C240="","",IF(反向題設定!$C$6="是",反向題設定!$B$2+1-原始資料!C240,原始資料!C240))</f>
        <v/>
      </c>
      <c r="D240">
        <f>IF(原始資料!D240="","",IF(反向題設定!$C$7="是",反向題設定!$B$2+1-原始資料!D240,原始資料!D240))</f>
        <v/>
      </c>
      <c r="E240">
        <f>IF(原始資料!E240="","",IF(反向題設定!$C$8="是",反向題設定!$B$2+1-原始資料!E240,原始資料!E240))</f>
        <v/>
      </c>
      <c r="F240">
        <f>IF(原始資料!F240="","",IF(反向題設定!$C$9="是",反向題設定!$B$2+1-原始資料!F240,原始資料!F240))</f>
        <v/>
      </c>
      <c r="G240">
        <f>IF(原始資料!G240="","",IF(反向題設定!$C$10="是",反向題設定!$B$2+1-原始資料!G240,原始資料!G240))</f>
        <v/>
      </c>
      <c r="H240">
        <f>IF(原始資料!H240="","",IF(反向題設定!$C$11="是",反向題設定!$B$2+1-原始資料!H240,原始資料!H240))</f>
        <v/>
      </c>
      <c r="I240">
        <f>IF(原始資料!I240="","",IF(反向題設定!$C$12="是",反向題設定!$B$2+1-原始資料!I240,原始資料!I240))</f>
        <v/>
      </c>
      <c r="J240">
        <f>IF(原始資料!J240="","",IF(反向題設定!$C$13="是",反向題設定!$B$2+1-原始資料!J240,原始資料!J240))</f>
        <v/>
      </c>
      <c r="K240">
        <f>IF(原始資料!K240="","",IF(反向題設定!$C$14="是",反向題設定!$B$2+1-原始資料!K240,原始資料!K240))</f>
        <v/>
      </c>
      <c r="L240">
        <f>IF(原始資料!L240="","",IF(反向題設定!$C$15="是",反向題設定!$B$2+1-原始資料!L240,原始資料!L240))</f>
        <v/>
      </c>
      <c r="M240">
        <f>IF(原始資料!M240="","",IF(反向題設定!$C$16="是",反向題設定!$B$2+1-原始資料!M240,原始資料!M240))</f>
        <v/>
      </c>
      <c r="N240">
        <f>IF(原始資料!N240="","",IF(反向題設定!$C$17="是",反向題設定!$B$2+1-原始資料!N240,原始資料!N240))</f>
        <v/>
      </c>
      <c r="O240">
        <f>IF(原始資料!O240="","",IF(反向題設定!$C$18="是",反向題設定!$B$2+1-原始資料!O240,原始資料!O240))</f>
        <v/>
      </c>
      <c r="P240">
        <f>IF(原始資料!P240="","",IF(反向題設定!$C$19="是",反向題設定!$B$2+1-原始資料!P240,原始資料!P240))</f>
        <v/>
      </c>
      <c r="Q240">
        <f>IF(原始資料!Q240="","",IF(反向題設定!$C$20="是",反向題設定!$B$2+1-原始資料!Q240,原始資料!Q240))</f>
        <v/>
      </c>
      <c r="R240">
        <f>IF(原始資料!R240="","",IF(反向題設定!$C$21="是",反向題設定!$B$2+1-原始資料!R240,原始資料!R240))</f>
        <v/>
      </c>
      <c r="S240">
        <f>IF(原始資料!S240="","",IF(反向題設定!$C$22="是",反向題設定!$B$2+1-原始資料!S240,原始資料!S240))</f>
        <v/>
      </c>
      <c r="T240">
        <f>IF(原始資料!T240="","",IF(反向題設定!$C$23="是",反向題設定!$B$2+1-原始資料!T240,原始資料!T240))</f>
        <v/>
      </c>
      <c r="U240">
        <f>IF(原始資料!U240="","",IF(反向題設定!$C$24="是",反向題設定!$B$2+1-原始資料!U240,原始資料!U240))</f>
        <v/>
      </c>
      <c r="V240">
        <f>IF(原始資料!V240="","",IF(反向題設定!$C$25="是",反向題設定!$B$2+1-原始資料!V240,原始資料!V240))</f>
        <v/>
      </c>
      <c r="W240">
        <f>IF(原始資料!W240="","",IF(反向題設定!$C$26="是",反向題設定!$B$2+1-原始資料!W240,原始資料!W240))</f>
        <v/>
      </c>
      <c r="X240">
        <f>IF(原始資料!X240="","",IF(反向題設定!$C$27="是",反向題設定!$B$2+1-原始資料!X240,原始資料!X240))</f>
        <v/>
      </c>
      <c r="Y240">
        <f>IF(原始資料!Y240="","",IF(反向題設定!$C$28="是",反向題設定!$B$2+1-原始資料!Y240,原始資料!Y240))</f>
        <v/>
      </c>
      <c r="Z240">
        <f>IF(原始資料!Z240="","",IF(反向題設定!$C$29="是",反向題設定!$B$2+1-原始資料!Z240,原始資料!Z240))</f>
        <v/>
      </c>
      <c r="AA240">
        <f>IF(原始資料!AA240="","",IF(反向題設定!$C$30="是",反向題設定!$B$2+1-原始資料!AA240,原始資料!AA240))</f>
        <v/>
      </c>
      <c r="AB240">
        <f>IF(原始資料!AB240="","",IF(反向題設定!$C$31="是",反向題設定!$B$2+1-原始資料!AB240,原始資料!AB240))</f>
        <v/>
      </c>
      <c r="AC240">
        <f>IF(原始資料!AC240="","",IF(反向題設定!$C$32="是",反向題設定!$B$2+1-原始資料!AC240,原始資料!AC240))</f>
        <v/>
      </c>
      <c r="AD240">
        <f>IF(原始資料!AD240="","",IF(反向題設定!$C$33="是",反向題設定!$B$2+1-原始資料!AD240,原始資料!AD240))</f>
        <v/>
      </c>
      <c r="AE240">
        <f>IF(原始資料!AE240="","",IF(反向題設定!$C$34="是",反向題設定!$B$2+1-原始資料!AE240,原始資料!AE240))</f>
        <v/>
      </c>
      <c r="AF240">
        <f>IF(原始資料!AF240="","",IF(反向題設定!$C$35="是",反向題設定!$B$2+1-原始資料!AF240,原始資料!AF240))</f>
        <v/>
      </c>
      <c r="AG240">
        <f>IF(原始資料!AG240="","",IF(反向題設定!$C$36="是",反向題設定!$B$2+1-原始資料!AG240,原始資料!AG240))</f>
        <v/>
      </c>
      <c r="AH240">
        <f>IF(原始資料!AH240="","",IF(反向題設定!$C$37="是",反向題設定!$B$2+1-原始資料!AH240,原始資料!AH240))</f>
        <v/>
      </c>
      <c r="AI240">
        <f>IF(原始資料!AI240="","",IF(反向題設定!$C$38="是",反向題設定!$B$2+1-原始資料!AI240,原始資料!AI240))</f>
        <v/>
      </c>
      <c r="AJ240">
        <f>IF(原始資料!AJ240="","",IF(反向題設定!$C$39="是",反向題設定!$B$2+1-原始資料!AJ240,原始資料!AJ240))</f>
        <v/>
      </c>
      <c r="AK240">
        <f>IF(原始資料!AK240="","",IF(反向題設定!$C$40="是",反向題設定!$B$2+1-原始資料!AK240,原始資料!AK240))</f>
        <v/>
      </c>
      <c r="AL240">
        <f>IF(原始資料!AL240="","",IF(反向題設定!$C$41="是",反向題設定!$B$2+1-原始資料!AL240,原始資料!AL240))</f>
        <v/>
      </c>
      <c r="AM240">
        <f>IF(原始資料!AM240="","",IF(反向題設定!$C$42="是",反向題設定!$B$2+1-原始資料!AM240,原始資料!AM240))</f>
        <v/>
      </c>
      <c r="AN240">
        <f>IF(原始資料!AN240="","",IF(反向題設定!$C$43="是",反向題設定!$B$2+1-原始資料!AN240,原始資料!AN240))</f>
        <v/>
      </c>
      <c r="AO240">
        <f>IF(原始資料!AO240="","",IF(反向題設定!$C$44="是",反向題設定!$B$2+1-原始資料!AO240,原始資料!AO240))</f>
        <v/>
      </c>
      <c r="AP240">
        <f>IF(COUNT(B240:AO240)=0,"",SUM(B240:AO240))</f>
        <v/>
      </c>
      <c r="AQ240">
        <f>IF(AP240="","",IF(AP240&gt;=項目分析!$C$5,"高",IF(AP240&lt;=項目分析!$C$6,"低","")))</f>
        <v/>
      </c>
    </row>
    <row r="241">
      <c r="A241">
        <f>IF(原始資料!A241="","",原始資料!A241)</f>
        <v/>
      </c>
      <c r="B241">
        <f>IF(原始資料!B241="","",IF(反向題設定!$C$5="是",反向題設定!$B$2+1-原始資料!B241,原始資料!B241))</f>
        <v/>
      </c>
      <c r="C241">
        <f>IF(原始資料!C241="","",IF(反向題設定!$C$6="是",反向題設定!$B$2+1-原始資料!C241,原始資料!C241))</f>
        <v/>
      </c>
      <c r="D241">
        <f>IF(原始資料!D241="","",IF(反向題設定!$C$7="是",反向題設定!$B$2+1-原始資料!D241,原始資料!D241))</f>
        <v/>
      </c>
      <c r="E241">
        <f>IF(原始資料!E241="","",IF(反向題設定!$C$8="是",反向題設定!$B$2+1-原始資料!E241,原始資料!E241))</f>
        <v/>
      </c>
      <c r="F241">
        <f>IF(原始資料!F241="","",IF(反向題設定!$C$9="是",反向題設定!$B$2+1-原始資料!F241,原始資料!F241))</f>
        <v/>
      </c>
      <c r="G241">
        <f>IF(原始資料!G241="","",IF(反向題設定!$C$10="是",反向題設定!$B$2+1-原始資料!G241,原始資料!G241))</f>
        <v/>
      </c>
      <c r="H241">
        <f>IF(原始資料!H241="","",IF(反向題設定!$C$11="是",反向題設定!$B$2+1-原始資料!H241,原始資料!H241))</f>
        <v/>
      </c>
      <c r="I241">
        <f>IF(原始資料!I241="","",IF(反向題設定!$C$12="是",反向題設定!$B$2+1-原始資料!I241,原始資料!I241))</f>
        <v/>
      </c>
      <c r="J241">
        <f>IF(原始資料!J241="","",IF(反向題設定!$C$13="是",反向題設定!$B$2+1-原始資料!J241,原始資料!J241))</f>
        <v/>
      </c>
      <c r="K241">
        <f>IF(原始資料!K241="","",IF(反向題設定!$C$14="是",反向題設定!$B$2+1-原始資料!K241,原始資料!K241))</f>
        <v/>
      </c>
      <c r="L241">
        <f>IF(原始資料!L241="","",IF(反向題設定!$C$15="是",反向題設定!$B$2+1-原始資料!L241,原始資料!L241))</f>
        <v/>
      </c>
      <c r="M241">
        <f>IF(原始資料!M241="","",IF(反向題設定!$C$16="是",反向題設定!$B$2+1-原始資料!M241,原始資料!M241))</f>
        <v/>
      </c>
      <c r="N241">
        <f>IF(原始資料!N241="","",IF(反向題設定!$C$17="是",反向題設定!$B$2+1-原始資料!N241,原始資料!N241))</f>
        <v/>
      </c>
      <c r="O241">
        <f>IF(原始資料!O241="","",IF(反向題設定!$C$18="是",反向題設定!$B$2+1-原始資料!O241,原始資料!O241))</f>
        <v/>
      </c>
      <c r="P241">
        <f>IF(原始資料!P241="","",IF(反向題設定!$C$19="是",反向題設定!$B$2+1-原始資料!P241,原始資料!P241))</f>
        <v/>
      </c>
      <c r="Q241">
        <f>IF(原始資料!Q241="","",IF(反向題設定!$C$20="是",反向題設定!$B$2+1-原始資料!Q241,原始資料!Q241))</f>
        <v/>
      </c>
      <c r="R241">
        <f>IF(原始資料!R241="","",IF(反向題設定!$C$21="是",反向題設定!$B$2+1-原始資料!R241,原始資料!R241))</f>
        <v/>
      </c>
      <c r="S241">
        <f>IF(原始資料!S241="","",IF(反向題設定!$C$22="是",反向題設定!$B$2+1-原始資料!S241,原始資料!S241))</f>
        <v/>
      </c>
      <c r="T241">
        <f>IF(原始資料!T241="","",IF(反向題設定!$C$23="是",反向題設定!$B$2+1-原始資料!T241,原始資料!T241))</f>
        <v/>
      </c>
      <c r="U241">
        <f>IF(原始資料!U241="","",IF(反向題設定!$C$24="是",反向題設定!$B$2+1-原始資料!U241,原始資料!U241))</f>
        <v/>
      </c>
      <c r="V241">
        <f>IF(原始資料!V241="","",IF(反向題設定!$C$25="是",反向題設定!$B$2+1-原始資料!V241,原始資料!V241))</f>
        <v/>
      </c>
      <c r="W241">
        <f>IF(原始資料!W241="","",IF(反向題設定!$C$26="是",反向題設定!$B$2+1-原始資料!W241,原始資料!W241))</f>
        <v/>
      </c>
      <c r="X241">
        <f>IF(原始資料!X241="","",IF(反向題設定!$C$27="是",反向題設定!$B$2+1-原始資料!X241,原始資料!X241))</f>
        <v/>
      </c>
      <c r="Y241">
        <f>IF(原始資料!Y241="","",IF(反向題設定!$C$28="是",反向題設定!$B$2+1-原始資料!Y241,原始資料!Y241))</f>
        <v/>
      </c>
      <c r="Z241">
        <f>IF(原始資料!Z241="","",IF(反向題設定!$C$29="是",反向題設定!$B$2+1-原始資料!Z241,原始資料!Z241))</f>
        <v/>
      </c>
      <c r="AA241">
        <f>IF(原始資料!AA241="","",IF(反向題設定!$C$30="是",反向題設定!$B$2+1-原始資料!AA241,原始資料!AA241))</f>
        <v/>
      </c>
      <c r="AB241">
        <f>IF(原始資料!AB241="","",IF(反向題設定!$C$31="是",反向題設定!$B$2+1-原始資料!AB241,原始資料!AB241))</f>
        <v/>
      </c>
      <c r="AC241">
        <f>IF(原始資料!AC241="","",IF(反向題設定!$C$32="是",反向題設定!$B$2+1-原始資料!AC241,原始資料!AC241))</f>
        <v/>
      </c>
      <c r="AD241">
        <f>IF(原始資料!AD241="","",IF(反向題設定!$C$33="是",反向題設定!$B$2+1-原始資料!AD241,原始資料!AD241))</f>
        <v/>
      </c>
      <c r="AE241">
        <f>IF(原始資料!AE241="","",IF(反向題設定!$C$34="是",反向題設定!$B$2+1-原始資料!AE241,原始資料!AE241))</f>
        <v/>
      </c>
      <c r="AF241">
        <f>IF(原始資料!AF241="","",IF(反向題設定!$C$35="是",反向題設定!$B$2+1-原始資料!AF241,原始資料!AF241))</f>
        <v/>
      </c>
      <c r="AG241">
        <f>IF(原始資料!AG241="","",IF(反向題設定!$C$36="是",反向題設定!$B$2+1-原始資料!AG241,原始資料!AG241))</f>
        <v/>
      </c>
      <c r="AH241">
        <f>IF(原始資料!AH241="","",IF(反向題設定!$C$37="是",反向題設定!$B$2+1-原始資料!AH241,原始資料!AH241))</f>
        <v/>
      </c>
      <c r="AI241">
        <f>IF(原始資料!AI241="","",IF(反向題設定!$C$38="是",反向題設定!$B$2+1-原始資料!AI241,原始資料!AI241))</f>
        <v/>
      </c>
      <c r="AJ241">
        <f>IF(原始資料!AJ241="","",IF(反向題設定!$C$39="是",反向題設定!$B$2+1-原始資料!AJ241,原始資料!AJ241))</f>
        <v/>
      </c>
      <c r="AK241">
        <f>IF(原始資料!AK241="","",IF(反向題設定!$C$40="是",反向題設定!$B$2+1-原始資料!AK241,原始資料!AK241))</f>
        <v/>
      </c>
      <c r="AL241">
        <f>IF(原始資料!AL241="","",IF(反向題設定!$C$41="是",反向題設定!$B$2+1-原始資料!AL241,原始資料!AL241))</f>
        <v/>
      </c>
      <c r="AM241">
        <f>IF(原始資料!AM241="","",IF(反向題設定!$C$42="是",反向題設定!$B$2+1-原始資料!AM241,原始資料!AM241))</f>
        <v/>
      </c>
      <c r="AN241">
        <f>IF(原始資料!AN241="","",IF(反向題設定!$C$43="是",反向題設定!$B$2+1-原始資料!AN241,原始資料!AN241))</f>
        <v/>
      </c>
      <c r="AO241">
        <f>IF(原始資料!AO241="","",IF(反向題設定!$C$44="是",反向題設定!$B$2+1-原始資料!AO241,原始資料!AO241))</f>
        <v/>
      </c>
      <c r="AP241">
        <f>IF(COUNT(B241:AO241)=0,"",SUM(B241:AO241))</f>
        <v/>
      </c>
      <c r="AQ241">
        <f>IF(AP241="","",IF(AP241&gt;=項目分析!$C$5,"高",IF(AP241&lt;=項目分析!$C$6,"低","")))</f>
        <v/>
      </c>
    </row>
    <row r="242">
      <c r="A242">
        <f>IF(原始資料!A242="","",原始資料!A242)</f>
        <v/>
      </c>
      <c r="B242">
        <f>IF(原始資料!B242="","",IF(反向題設定!$C$5="是",反向題設定!$B$2+1-原始資料!B242,原始資料!B242))</f>
        <v/>
      </c>
      <c r="C242">
        <f>IF(原始資料!C242="","",IF(反向題設定!$C$6="是",反向題設定!$B$2+1-原始資料!C242,原始資料!C242))</f>
        <v/>
      </c>
      <c r="D242">
        <f>IF(原始資料!D242="","",IF(反向題設定!$C$7="是",反向題設定!$B$2+1-原始資料!D242,原始資料!D242))</f>
        <v/>
      </c>
      <c r="E242">
        <f>IF(原始資料!E242="","",IF(反向題設定!$C$8="是",反向題設定!$B$2+1-原始資料!E242,原始資料!E242))</f>
        <v/>
      </c>
      <c r="F242">
        <f>IF(原始資料!F242="","",IF(反向題設定!$C$9="是",反向題設定!$B$2+1-原始資料!F242,原始資料!F242))</f>
        <v/>
      </c>
      <c r="G242">
        <f>IF(原始資料!G242="","",IF(反向題設定!$C$10="是",反向題設定!$B$2+1-原始資料!G242,原始資料!G242))</f>
        <v/>
      </c>
      <c r="H242">
        <f>IF(原始資料!H242="","",IF(反向題設定!$C$11="是",反向題設定!$B$2+1-原始資料!H242,原始資料!H242))</f>
        <v/>
      </c>
      <c r="I242">
        <f>IF(原始資料!I242="","",IF(反向題設定!$C$12="是",反向題設定!$B$2+1-原始資料!I242,原始資料!I242))</f>
        <v/>
      </c>
      <c r="J242">
        <f>IF(原始資料!J242="","",IF(反向題設定!$C$13="是",反向題設定!$B$2+1-原始資料!J242,原始資料!J242))</f>
        <v/>
      </c>
      <c r="K242">
        <f>IF(原始資料!K242="","",IF(反向題設定!$C$14="是",反向題設定!$B$2+1-原始資料!K242,原始資料!K242))</f>
        <v/>
      </c>
      <c r="L242">
        <f>IF(原始資料!L242="","",IF(反向題設定!$C$15="是",反向題設定!$B$2+1-原始資料!L242,原始資料!L242))</f>
        <v/>
      </c>
      <c r="M242">
        <f>IF(原始資料!M242="","",IF(反向題設定!$C$16="是",反向題設定!$B$2+1-原始資料!M242,原始資料!M242))</f>
        <v/>
      </c>
      <c r="N242">
        <f>IF(原始資料!N242="","",IF(反向題設定!$C$17="是",反向題設定!$B$2+1-原始資料!N242,原始資料!N242))</f>
        <v/>
      </c>
      <c r="O242">
        <f>IF(原始資料!O242="","",IF(反向題設定!$C$18="是",反向題設定!$B$2+1-原始資料!O242,原始資料!O242))</f>
        <v/>
      </c>
      <c r="P242">
        <f>IF(原始資料!P242="","",IF(反向題設定!$C$19="是",反向題設定!$B$2+1-原始資料!P242,原始資料!P242))</f>
        <v/>
      </c>
      <c r="Q242">
        <f>IF(原始資料!Q242="","",IF(反向題設定!$C$20="是",反向題設定!$B$2+1-原始資料!Q242,原始資料!Q242))</f>
        <v/>
      </c>
      <c r="R242">
        <f>IF(原始資料!R242="","",IF(反向題設定!$C$21="是",反向題設定!$B$2+1-原始資料!R242,原始資料!R242))</f>
        <v/>
      </c>
      <c r="S242">
        <f>IF(原始資料!S242="","",IF(反向題設定!$C$22="是",反向題設定!$B$2+1-原始資料!S242,原始資料!S242))</f>
        <v/>
      </c>
      <c r="T242">
        <f>IF(原始資料!T242="","",IF(反向題設定!$C$23="是",反向題設定!$B$2+1-原始資料!T242,原始資料!T242))</f>
        <v/>
      </c>
      <c r="U242">
        <f>IF(原始資料!U242="","",IF(反向題設定!$C$24="是",反向題設定!$B$2+1-原始資料!U242,原始資料!U242))</f>
        <v/>
      </c>
      <c r="V242">
        <f>IF(原始資料!V242="","",IF(反向題設定!$C$25="是",反向題設定!$B$2+1-原始資料!V242,原始資料!V242))</f>
        <v/>
      </c>
      <c r="W242">
        <f>IF(原始資料!W242="","",IF(反向題設定!$C$26="是",反向題設定!$B$2+1-原始資料!W242,原始資料!W242))</f>
        <v/>
      </c>
      <c r="X242">
        <f>IF(原始資料!X242="","",IF(反向題設定!$C$27="是",反向題設定!$B$2+1-原始資料!X242,原始資料!X242))</f>
        <v/>
      </c>
      <c r="Y242">
        <f>IF(原始資料!Y242="","",IF(反向題設定!$C$28="是",反向題設定!$B$2+1-原始資料!Y242,原始資料!Y242))</f>
        <v/>
      </c>
      <c r="Z242">
        <f>IF(原始資料!Z242="","",IF(反向題設定!$C$29="是",反向題設定!$B$2+1-原始資料!Z242,原始資料!Z242))</f>
        <v/>
      </c>
      <c r="AA242">
        <f>IF(原始資料!AA242="","",IF(反向題設定!$C$30="是",反向題設定!$B$2+1-原始資料!AA242,原始資料!AA242))</f>
        <v/>
      </c>
      <c r="AB242">
        <f>IF(原始資料!AB242="","",IF(反向題設定!$C$31="是",反向題設定!$B$2+1-原始資料!AB242,原始資料!AB242))</f>
        <v/>
      </c>
      <c r="AC242">
        <f>IF(原始資料!AC242="","",IF(反向題設定!$C$32="是",反向題設定!$B$2+1-原始資料!AC242,原始資料!AC242))</f>
        <v/>
      </c>
      <c r="AD242">
        <f>IF(原始資料!AD242="","",IF(反向題設定!$C$33="是",反向題設定!$B$2+1-原始資料!AD242,原始資料!AD242))</f>
        <v/>
      </c>
      <c r="AE242">
        <f>IF(原始資料!AE242="","",IF(反向題設定!$C$34="是",反向題設定!$B$2+1-原始資料!AE242,原始資料!AE242))</f>
        <v/>
      </c>
      <c r="AF242">
        <f>IF(原始資料!AF242="","",IF(反向題設定!$C$35="是",反向題設定!$B$2+1-原始資料!AF242,原始資料!AF242))</f>
        <v/>
      </c>
      <c r="AG242">
        <f>IF(原始資料!AG242="","",IF(反向題設定!$C$36="是",反向題設定!$B$2+1-原始資料!AG242,原始資料!AG242))</f>
        <v/>
      </c>
      <c r="AH242">
        <f>IF(原始資料!AH242="","",IF(反向題設定!$C$37="是",反向題設定!$B$2+1-原始資料!AH242,原始資料!AH242))</f>
        <v/>
      </c>
      <c r="AI242">
        <f>IF(原始資料!AI242="","",IF(反向題設定!$C$38="是",反向題設定!$B$2+1-原始資料!AI242,原始資料!AI242))</f>
        <v/>
      </c>
      <c r="AJ242">
        <f>IF(原始資料!AJ242="","",IF(反向題設定!$C$39="是",反向題設定!$B$2+1-原始資料!AJ242,原始資料!AJ242))</f>
        <v/>
      </c>
      <c r="AK242">
        <f>IF(原始資料!AK242="","",IF(反向題設定!$C$40="是",反向題設定!$B$2+1-原始資料!AK242,原始資料!AK242))</f>
        <v/>
      </c>
      <c r="AL242">
        <f>IF(原始資料!AL242="","",IF(反向題設定!$C$41="是",反向題設定!$B$2+1-原始資料!AL242,原始資料!AL242))</f>
        <v/>
      </c>
      <c r="AM242">
        <f>IF(原始資料!AM242="","",IF(反向題設定!$C$42="是",反向題設定!$B$2+1-原始資料!AM242,原始資料!AM242))</f>
        <v/>
      </c>
      <c r="AN242">
        <f>IF(原始資料!AN242="","",IF(反向題設定!$C$43="是",反向題設定!$B$2+1-原始資料!AN242,原始資料!AN242))</f>
        <v/>
      </c>
      <c r="AO242">
        <f>IF(原始資料!AO242="","",IF(反向題設定!$C$44="是",反向題設定!$B$2+1-原始資料!AO242,原始資料!AO242))</f>
        <v/>
      </c>
      <c r="AP242">
        <f>IF(COUNT(B242:AO242)=0,"",SUM(B242:AO242))</f>
        <v/>
      </c>
      <c r="AQ242">
        <f>IF(AP242="","",IF(AP242&gt;=項目分析!$C$5,"高",IF(AP242&lt;=項目分析!$C$6,"低","")))</f>
        <v/>
      </c>
    </row>
    <row r="243">
      <c r="A243">
        <f>IF(原始資料!A243="","",原始資料!A243)</f>
        <v/>
      </c>
      <c r="B243">
        <f>IF(原始資料!B243="","",IF(反向題設定!$C$5="是",反向題設定!$B$2+1-原始資料!B243,原始資料!B243))</f>
        <v/>
      </c>
      <c r="C243">
        <f>IF(原始資料!C243="","",IF(反向題設定!$C$6="是",反向題設定!$B$2+1-原始資料!C243,原始資料!C243))</f>
        <v/>
      </c>
      <c r="D243">
        <f>IF(原始資料!D243="","",IF(反向題設定!$C$7="是",反向題設定!$B$2+1-原始資料!D243,原始資料!D243))</f>
        <v/>
      </c>
      <c r="E243">
        <f>IF(原始資料!E243="","",IF(反向題設定!$C$8="是",反向題設定!$B$2+1-原始資料!E243,原始資料!E243))</f>
        <v/>
      </c>
      <c r="F243">
        <f>IF(原始資料!F243="","",IF(反向題設定!$C$9="是",反向題設定!$B$2+1-原始資料!F243,原始資料!F243))</f>
        <v/>
      </c>
      <c r="G243">
        <f>IF(原始資料!G243="","",IF(反向題設定!$C$10="是",反向題設定!$B$2+1-原始資料!G243,原始資料!G243))</f>
        <v/>
      </c>
      <c r="H243">
        <f>IF(原始資料!H243="","",IF(反向題設定!$C$11="是",反向題設定!$B$2+1-原始資料!H243,原始資料!H243))</f>
        <v/>
      </c>
      <c r="I243">
        <f>IF(原始資料!I243="","",IF(反向題設定!$C$12="是",反向題設定!$B$2+1-原始資料!I243,原始資料!I243))</f>
        <v/>
      </c>
      <c r="J243">
        <f>IF(原始資料!J243="","",IF(反向題設定!$C$13="是",反向題設定!$B$2+1-原始資料!J243,原始資料!J243))</f>
        <v/>
      </c>
      <c r="K243">
        <f>IF(原始資料!K243="","",IF(反向題設定!$C$14="是",反向題設定!$B$2+1-原始資料!K243,原始資料!K243))</f>
        <v/>
      </c>
      <c r="L243">
        <f>IF(原始資料!L243="","",IF(反向題設定!$C$15="是",反向題設定!$B$2+1-原始資料!L243,原始資料!L243))</f>
        <v/>
      </c>
      <c r="M243">
        <f>IF(原始資料!M243="","",IF(反向題設定!$C$16="是",反向題設定!$B$2+1-原始資料!M243,原始資料!M243))</f>
        <v/>
      </c>
      <c r="N243">
        <f>IF(原始資料!N243="","",IF(反向題設定!$C$17="是",反向題設定!$B$2+1-原始資料!N243,原始資料!N243))</f>
        <v/>
      </c>
      <c r="O243">
        <f>IF(原始資料!O243="","",IF(反向題設定!$C$18="是",反向題設定!$B$2+1-原始資料!O243,原始資料!O243))</f>
        <v/>
      </c>
      <c r="P243">
        <f>IF(原始資料!P243="","",IF(反向題設定!$C$19="是",反向題設定!$B$2+1-原始資料!P243,原始資料!P243))</f>
        <v/>
      </c>
      <c r="Q243">
        <f>IF(原始資料!Q243="","",IF(反向題設定!$C$20="是",反向題設定!$B$2+1-原始資料!Q243,原始資料!Q243))</f>
        <v/>
      </c>
      <c r="R243">
        <f>IF(原始資料!R243="","",IF(反向題設定!$C$21="是",反向題設定!$B$2+1-原始資料!R243,原始資料!R243))</f>
        <v/>
      </c>
      <c r="S243">
        <f>IF(原始資料!S243="","",IF(反向題設定!$C$22="是",反向題設定!$B$2+1-原始資料!S243,原始資料!S243))</f>
        <v/>
      </c>
      <c r="T243">
        <f>IF(原始資料!T243="","",IF(反向題設定!$C$23="是",反向題設定!$B$2+1-原始資料!T243,原始資料!T243))</f>
        <v/>
      </c>
      <c r="U243">
        <f>IF(原始資料!U243="","",IF(反向題設定!$C$24="是",反向題設定!$B$2+1-原始資料!U243,原始資料!U243))</f>
        <v/>
      </c>
      <c r="V243">
        <f>IF(原始資料!V243="","",IF(反向題設定!$C$25="是",反向題設定!$B$2+1-原始資料!V243,原始資料!V243))</f>
        <v/>
      </c>
      <c r="W243">
        <f>IF(原始資料!W243="","",IF(反向題設定!$C$26="是",反向題設定!$B$2+1-原始資料!W243,原始資料!W243))</f>
        <v/>
      </c>
      <c r="X243">
        <f>IF(原始資料!X243="","",IF(反向題設定!$C$27="是",反向題設定!$B$2+1-原始資料!X243,原始資料!X243))</f>
        <v/>
      </c>
      <c r="Y243">
        <f>IF(原始資料!Y243="","",IF(反向題設定!$C$28="是",反向題設定!$B$2+1-原始資料!Y243,原始資料!Y243))</f>
        <v/>
      </c>
      <c r="Z243">
        <f>IF(原始資料!Z243="","",IF(反向題設定!$C$29="是",反向題設定!$B$2+1-原始資料!Z243,原始資料!Z243))</f>
        <v/>
      </c>
      <c r="AA243">
        <f>IF(原始資料!AA243="","",IF(反向題設定!$C$30="是",反向題設定!$B$2+1-原始資料!AA243,原始資料!AA243))</f>
        <v/>
      </c>
      <c r="AB243">
        <f>IF(原始資料!AB243="","",IF(反向題設定!$C$31="是",反向題設定!$B$2+1-原始資料!AB243,原始資料!AB243))</f>
        <v/>
      </c>
      <c r="AC243">
        <f>IF(原始資料!AC243="","",IF(反向題設定!$C$32="是",反向題設定!$B$2+1-原始資料!AC243,原始資料!AC243))</f>
        <v/>
      </c>
      <c r="AD243">
        <f>IF(原始資料!AD243="","",IF(反向題設定!$C$33="是",反向題設定!$B$2+1-原始資料!AD243,原始資料!AD243))</f>
        <v/>
      </c>
      <c r="AE243">
        <f>IF(原始資料!AE243="","",IF(反向題設定!$C$34="是",反向題設定!$B$2+1-原始資料!AE243,原始資料!AE243))</f>
        <v/>
      </c>
      <c r="AF243">
        <f>IF(原始資料!AF243="","",IF(反向題設定!$C$35="是",反向題設定!$B$2+1-原始資料!AF243,原始資料!AF243))</f>
        <v/>
      </c>
      <c r="AG243">
        <f>IF(原始資料!AG243="","",IF(反向題設定!$C$36="是",反向題設定!$B$2+1-原始資料!AG243,原始資料!AG243))</f>
        <v/>
      </c>
      <c r="AH243">
        <f>IF(原始資料!AH243="","",IF(反向題設定!$C$37="是",反向題設定!$B$2+1-原始資料!AH243,原始資料!AH243))</f>
        <v/>
      </c>
      <c r="AI243">
        <f>IF(原始資料!AI243="","",IF(反向題設定!$C$38="是",反向題設定!$B$2+1-原始資料!AI243,原始資料!AI243))</f>
        <v/>
      </c>
      <c r="AJ243">
        <f>IF(原始資料!AJ243="","",IF(反向題設定!$C$39="是",反向題設定!$B$2+1-原始資料!AJ243,原始資料!AJ243))</f>
        <v/>
      </c>
      <c r="AK243">
        <f>IF(原始資料!AK243="","",IF(反向題設定!$C$40="是",反向題設定!$B$2+1-原始資料!AK243,原始資料!AK243))</f>
        <v/>
      </c>
      <c r="AL243">
        <f>IF(原始資料!AL243="","",IF(反向題設定!$C$41="是",反向題設定!$B$2+1-原始資料!AL243,原始資料!AL243))</f>
        <v/>
      </c>
      <c r="AM243">
        <f>IF(原始資料!AM243="","",IF(反向題設定!$C$42="是",反向題設定!$B$2+1-原始資料!AM243,原始資料!AM243))</f>
        <v/>
      </c>
      <c r="AN243">
        <f>IF(原始資料!AN243="","",IF(反向題設定!$C$43="是",反向題設定!$B$2+1-原始資料!AN243,原始資料!AN243))</f>
        <v/>
      </c>
      <c r="AO243">
        <f>IF(原始資料!AO243="","",IF(反向題設定!$C$44="是",反向題設定!$B$2+1-原始資料!AO243,原始資料!AO243))</f>
        <v/>
      </c>
      <c r="AP243">
        <f>IF(COUNT(B243:AO243)=0,"",SUM(B243:AO243))</f>
        <v/>
      </c>
      <c r="AQ243">
        <f>IF(AP243="","",IF(AP243&gt;=項目分析!$C$5,"高",IF(AP243&lt;=項目分析!$C$6,"低","")))</f>
        <v/>
      </c>
    </row>
    <row r="244">
      <c r="A244">
        <f>IF(原始資料!A244="","",原始資料!A244)</f>
        <v/>
      </c>
      <c r="B244">
        <f>IF(原始資料!B244="","",IF(反向題設定!$C$5="是",反向題設定!$B$2+1-原始資料!B244,原始資料!B244))</f>
        <v/>
      </c>
      <c r="C244">
        <f>IF(原始資料!C244="","",IF(反向題設定!$C$6="是",反向題設定!$B$2+1-原始資料!C244,原始資料!C244))</f>
        <v/>
      </c>
      <c r="D244">
        <f>IF(原始資料!D244="","",IF(反向題設定!$C$7="是",反向題設定!$B$2+1-原始資料!D244,原始資料!D244))</f>
        <v/>
      </c>
      <c r="E244">
        <f>IF(原始資料!E244="","",IF(反向題設定!$C$8="是",反向題設定!$B$2+1-原始資料!E244,原始資料!E244))</f>
        <v/>
      </c>
      <c r="F244">
        <f>IF(原始資料!F244="","",IF(反向題設定!$C$9="是",反向題設定!$B$2+1-原始資料!F244,原始資料!F244))</f>
        <v/>
      </c>
      <c r="G244">
        <f>IF(原始資料!G244="","",IF(反向題設定!$C$10="是",反向題設定!$B$2+1-原始資料!G244,原始資料!G244))</f>
        <v/>
      </c>
      <c r="H244">
        <f>IF(原始資料!H244="","",IF(反向題設定!$C$11="是",反向題設定!$B$2+1-原始資料!H244,原始資料!H244))</f>
        <v/>
      </c>
      <c r="I244">
        <f>IF(原始資料!I244="","",IF(反向題設定!$C$12="是",反向題設定!$B$2+1-原始資料!I244,原始資料!I244))</f>
        <v/>
      </c>
      <c r="J244">
        <f>IF(原始資料!J244="","",IF(反向題設定!$C$13="是",反向題設定!$B$2+1-原始資料!J244,原始資料!J244))</f>
        <v/>
      </c>
      <c r="K244">
        <f>IF(原始資料!K244="","",IF(反向題設定!$C$14="是",反向題設定!$B$2+1-原始資料!K244,原始資料!K244))</f>
        <v/>
      </c>
      <c r="L244">
        <f>IF(原始資料!L244="","",IF(反向題設定!$C$15="是",反向題設定!$B$2+1-原始資料!L244,原始資料!L244))</f>
        <v/>
      </c>
      <c r="M244">
        <f>IF(原始資料!M244="","",IF(反向題設定!$C$16="是",反向題設定!$B$2+1-原始資料!M244,原始資料!M244))</f>
        <v/>
      </c>
      <c r="N244">
        <f>IF(原始資料!N244="","",IF(反向題設定!$C$17="是",反向題設定!$B$2+1-原始資料!N244,原始資料!N244))</f>
        <v/>
      </c>
      <c r="O244">
        <f>IF(原始資料!O244="","",IF(反向題設定!$C$18="是",反向題設定!$B$2+1-原始資料!O244,原始資料!O244))</f>
        <v/>
      </c>
      <c r="P244">
        <f>IF(原始資料!P244="","",IF(反向題設定!$C$19="是",反向題設定!$B$2+1-原始資料!P244,原始資料!P244))</f>
        <v/>
      </c>
      <c r="Q244">
        <f>IF(原始資料!Q244="","",IF(反向題設定!$C$20="是",反向題設定!$B$2+1-原始資料!Q244,原始資料!Q244))</f>
        <v/>
      </c>
      <c r="R244">
        <f>IF(原始資料!R244="","",IF(反向題設定!$C$21="是",反向題設定!$B$2+1-原始資料!R244,原始資料!R244))</f>
        <v/>
      </c>
      <c r="S244">
        <f>IF(原始資料!S244="","",IF(反向題設定!$C$22="是",反向題設定!$B$2+1-原始資料!S244,原始資料!S244))</f>
        <v/>
      </c>
      <c r="T244">
        <f>IF(原始資料!T244="","",IF(反向題設定!$C$23="是",反向題設定!$B$2+1-原始資料!T244,原始資料!T244))</f>
        <v/>
      </c>
      <c r="U244">
        <f>IF(原始資料!U244="","",IF(反向題設定!$C$24="是",反向題設定!$B$2+1-原始資料!U244,原始資料!U244))</f>
        <v/>
      </c>
      <c r="V244">
        <f>IF(原始資料!V244="","",IF(反向題設定!$C$25="是",反向題設定!$B$2+1-原始資料!V244,原始資料!V244))</f>
        <v/>
      </c>
      <c r="W244">
        <f>IF(原始資料!W244="","",IF(反向題設定!$C$26="是",反向題設定!$B$2+1-原始資料!W244,原始資料!W244))</f>
        <v/>
      </c>
      <c r="X244">
        <f>IF(原始資料!X244="","",IF(反向題設定!$C$27="是",反向題設定!$B$2+1-原始資料!X244,原始資料!X244))</f>
        <v/>
      </c>
      <c r="Y244">
        <f>IF(原始資料!Y244="","",IF(反向題設定!$C$28="是",反向題設定!$B$2+1-原始資料!Y244,原始資料!Y244))</f>
        <v/>
      </c>
      <c r="Z244">
        <f>IF(原始資料!Z244="","",IF(反向題設定!$C$29="是",反向題設定!$B$2+1-原始資料!Z244,原始資料!Z244))</f>
        <v/>
      </c>
      <c r="AA244">
        <f>IF(原始資料!AA244="","",IF(反向題設定!$C$30="是",反向題設定!$B$2+1-原始資料!AA244,原始資料!AA244))</f>
        <v/>
      </c>
      <c r="AB244">
        <f>IF(原始資料!AB244="","",IF(反向題設定!$C$31="是",反向題設定!$B$2+1-原始資料!AB244,原始資料!AB244))</f>
        <v/>
      </c>
      <c r="AC244">
        <f>IF(原始資料!AC244="","",IF(反向題設定!$C$32="是",反向題設定!$B$2+1-原始資料!AC244,原始資料!AC244))</f>
        <v/>
      </c>
      <c r="AD244">
        <f>IF(原始資料!AD244="","",IF(反向題設定!$C$33="是",反向題設定!$B$2+1-原始資料!AD244,原始資料!AD244))</f>
        <v/>
      </c>
      <c r="AE244">
        <f>IF(原始資料!AE244="","",IF(反向題設定!$C$34="是",反向題設定!$B$2+1-原始資料!AE244,原始資料!AE244))</f>
        <v/>
      </c>
      <c r="AF244">
        <f>IF(原始資料!AF244="","",IF(反向題設定!$C$35="是",反向題設定!$B$2+1-原始資料!AF244,原始資料!AF244))</f>
        <v/>
      </c>
      <c r="AG244">
        <f>IF(原始資料!AG244="","",IF(反向題設定!$C$36="是",反向題設定!$B$2+1-原始資料!AG244,原始資料!AG244))</f>
        <v/>
      </c>
      <c r="AH244">
        <f>IF(原始資料!AH244="","",IF(反向題設定!$C$37="是",反向題設定!$B$2+1-原始資料!AH244,原始資料!AH244))</f>
        <v/>
      </c>
      <c r="AI244">
        <f>IF(原始資料!AI244="","",IF(反向題設定!$C$38="是",反向題設定!$B$2+1-原始資料!AI244,原始資料!AI244))</f>
        <v/>
      </c>
      <c r="AJ244">
        <f>IF(原始資料!AJ244="","",IF(反向題設定!$C$39="是",反向題設定!$B$2+1-原始資料!AJ244,原始資料!AJ244))</f>
        <v/>
      </c>
      <c r="AK244">
        <f>IF(原始資料!AK244="","",IF(反向題設定!$C$40="是",反向題設定!$B$2+1-原始資料!AK244,原始資料!AK244))</f>
        <v/>
      </c>
      <c r="AL244">
        <f>IF(原始資料!AL244="","",IF(反向題設定!$C$41="是",反向題設定!$B$2+1-原始資料!AL244,原始資料!AL244))</f>
        <v/>
      </c>
      <c r="AM244">
        <f>IF(原始資料!AM244="","",IF(反向題設定!$C$42="是",反向題設定!$B$2+1-原始資料!AM244,原始資料!AM244))</f>
        <v/>
      </c>
      <c r="AN244">
        <f>IF(原始資料!AN244="","",IF(反向題設定!$C$43="是",反向題設定!$B$2+1-原始資料!AN244,原始資料!AN244))</f>
        <v/>
      </c>
      <c r="AO244">
        <f>IF(原始資料!AO244="","",IF(反向題設定!$C$44="是",反向題設定!$B$2+1-原始資料!AO244,原始資料!AO244))</f>
        <v/>
      </c>
      <c r="AP244">
        <f>IF(COUNT(B244:AO244)=0,"",SUM(B244:AO244))</f>
        <v/>
      </c>
      <c r="AQ244">
        <f>IF(AP244="","",IF(AP244&gt;=項目分析!$C$5,"高",IF(AP244&lt;=項目分析!$C$6,"低","")))</f>
        <v/>
      </c>
    </row>
    <row r="245">
      <c r="A245">
        <f>IF(原始資料!A245="","",原始資料!A245)</f>
        <v/>
      </c>
      <c r="B245">
        <f>IF(原始資料!B245="","",IF(反向題設定!$C$5="是",反向題設定!$B$2+1-原始資料!B245,原始資料!B245))</f>
        <v/>
      </c>
      <c r="C245">
        <f>IF(原始資料!C245="","",IF(反向題設定!$C$6="是",反向題設定!$B$2+1-原始資料!C245,原始資料!C245))</f>
        <v/>
      </c>
      <c r="D245">
        <f>IF(原始資料!D245="","",IF(反向題設定!$C$7="是",反向題設定!$B$2+1-原始資料!D245,原始資料!D245))</f>
        <v/>
      </c>
      <c r="E245">
        <f>IF(原始資料!E245="","",IF(反向題設定!$C$8="是",反向題設定!$B$2+1-原始資料!E245,原始資料!E245))</f>
        <v/>
      </c>
      <c r="F245">
        <f>IF(原始資料!F245="","",IF(反向題設定!$C$9="是",反向題設定!$B$2+1-原始資料!F245,原始資料!F245))</f>
        <v/>
      </c>
      <c r="G245">
        <f>IF(原始資料!G245="","",IF(反向題設定!$C$10="是",反向題設定!$B$2+1-原始資料!G245,原始資料!G245))</f>
        <v/>
      </c>
      <c r="H245">
        <f>IF(原始資料!H245="","",IF(反向題設定!$C$11="是",反向題設定!$B$2+1-原始資料!H245,原始資料!H245))</f>
        <v/>
      </c>
      <c r="I245">
        <f>IF(原始資料!I245="","",IF(反向題設定!$C$12="是",反向題設定!$B$2+1-原始資料!I245,原始資料!I245))</f>
        <v/>
      </c>
      <c r="J245">
        <f>IF(原始資料!J245="","",IF(反向題設定!$C$13="是",反向題設定!$B$2+1-原始資料!J245,原始資料!J245))</f>
        <v/>
      </c>
      <c r="K245">
        <f>IF(原始資料!K245="","",IF(反向題設定!$C$14="是",反向題設定!$B$2+1-原始資料!K245,原始資料!K245))</f>
        <v/>
      </c>
      <c r="L245">
        <f>IF(原始資料!L245="","",IF(反向題設定!$C$15="是",反向題設定!$B$2+1-原始資料!L245,原始資料!L245))</f>
        <v/>
      </c>
      <c r="M245">
        <f>IF(原始資料!M245="","",IF(反向題設定!$C$16="是",反向題設定!$B$2+1-原始資料!M245,原始資料!M245))</f>
        <v/>
      </c>
      <c r="N245">
        <f>IF(原始資料!N245="","",IF(反向題設定!$C$17="是",反向題設定!$B$2+1-原始資料!N245,原始資料!N245))</f>
        <v/>
      </c>
      <c r="O245">
        <f>IF(原始資料!O245="","",IF(反向題設定!$C$18="是",反向題設定!$B$2+1-原始資料!O245,原始資料!O245))</f>
        <v/>
      </c>
      <c r="P245">
        <f>IF(原始資料!P245="","",IF(反向題設定!$C$19="是",反向題設定!$B$2+1-原始資料!P245,原始資料!P245))</f>
        <v/>
      </c>
      <c r="Q245">
        <f>IF(原始資料!Q245="","",IF(反向題設定!$C$20="是",反向題設定!$B$2+1-原始資料!Q245,原始資料!Q245))</f>
        <v/>
      </c>
      <c r="R245">
        <f>IF(原始資料!R245="","",IF(反向題設定!$C$21="是",反向題設定!$B$2+1-原始資料!R245,原始資料!R245))</f>
        <v/>
      </c>
      <c r="S245">
        <f>IF(原始資料!S245="","",IF(反向題設定!$C$22="是",反向題設定!$B$2+1-原始資料!S245,原始資料!S245))</f>
        <v/>
      </c>
      <c r="T245">
        <f>IF(原始資料!T245="","",IF(反向題設定!$C$23="是",反向題設定!$B$2+1-原始資料!T245,原始資料!T245))</f>
        <v/>
      </c>
      <c r="U245">
        <f>IF(原始資料!U245="","",IF(反向題設定!$C$24="是",反向題設定!$B$2+1-原始資料!U245,原始資料!U245))</f>
        <v/>
      </c>
      <c r="V245">
        <f>IF(原始資料!V245="","",IF(反向題設定!$C$25="是",反向題設定!$B$2+1-原始資料!V245,原始資料!V245))</f>
        <v/>
      </c>
      <c r="W245">
        <f>IF(原始資料!W245="","",IF(反向題設定!$C$26="是",反向題設定!$B$2+1-原始資料!W245,原始資料!W245))</f>
        <v/>
      </c>
      <c r="X245">
        <f>IF(原始資料!X245="","",IF(反向題設定!$C$27="是",反向題設定!$B$2+1-原始資料!X245,原始資料!X245))</f>
        <v/>
      </c>
      <c r="Y245">
        <f>IF(原始資料!Y245="","",IF(反向題設定!$C$28="是",反向題設定!$B$2+1-原始資料!Y245,原始資料!Y245))</f>
        <v/>
      </c>
      <c r="Z245">
        <f>IF(原始資料!Z245="","",IF(反向題設定!$C$29="是",反向題設定!$B$2+1-原始資料!Z245,原始資料!Z245))</f>
        <v/>
      </c>
      <c r="AA245">
        <f>IF(原始資料!AA245="","",IF(反向題設定!$C$30="是",反向題設定!$B$2+1-原始資料!AA245,原始資料!AA245))</f>
        <v/>
      </c>
      <c r="AB245">
        <f>IF(原始資料!AB245="","",IF(反向題設定!$C$31="是",反向題設定!$B$2+1-原始資料!AB245,原始資料!AB245))</f>
        <v/>
      </c>
      <c r="AC245">
        <f>IF(原始資料!AC245="","",IF(反向題設定!$C$32="是",反向題設定!$B$2+1-原始資料!AC245,原始資料!AC245))</f>
        <v/>
      </c>
      <c r="AD245">
        <f>IF(原始資料!AD245="","",IF(反向題設定!$C$33="是",反向題設定!$B$2+1-原始資料!AD245,原始資料!AD245))</f>
        <v/>
      </c>
      <c r="AE245">
        <f>IF(原始資料!AE245="","",IF(反向題設定!$C$34="是",反向題設定!$B$2+1-原始資料!AE245,原始資料!AE245))</f>
        <v/>
      </c>
      <c r="AF245">
        <f>IF(原始資料!AF245="","",IF(反向題設定!$C$35="是",反向題設定!$B$2+1-原始資料!AF245,原始資料!AF245))</f>
        <v/>
      </c>
      <c r="AG245">
        <f>IF(原始資料!AG245="","",IF(反向題設定!$C$36="是",反向題設定!$B$2+1-原始資料!AG245,原始資料!AG245))</f>
        <v/>
      </c>
      <c r="AH245">
        <f>IF(原始資料!AH245="","",IF(反向題設定!$C$37="是",反向題設定!$B$2+1-原始資料!AH245,原始資料!AH245))</f>
        <v/>
      </c>
      <c r="AI245">
        <f>IF(原始資料!AI245="","",IF(反向題設定!$C$38="是",反向題設定!$B$2+1-原始資料!AI245,原始資料!AI245))</f>
        <v/>
      </c>
      <c r="AJ245">
        <f>IF(原始資料!AJ245="","",IF(反向題設定!$C$39="是",反向題設定!$B$2+1-原始資料!AJ245,原始資料!AJ245))</f>
        <v/>
      </c>
      <c r="AK245">
        <f>IF(原始資料!AK245="","",IF(反向題設定!$C$40="是",反向題設定!$B$2+1-原始資料!AK245,原始資料!AK245))</f>
        <v/>
      </c>
      <c r="AL245">
        <f>IF(原始資料!AL245="","",IF(反向題設定!$C$41="是",反向題設定!$B$2+1-原始資料!AL245,原始資料!AL245))</f>
        <v/>
      </c>
      <c r="AM245">
        <f>IF(原始資料!AM245="","",IF(反向題設定!$C$42="是",反向題設定!$B$2+1-原始資料!AM245,原始資料!AM245))</f>
        <v/>
      </c>
      <c r="AN245">
        <f>IF(原始資料!AN245="","",IF(反向題設定!$C$43="是",反向題設定!$B$2+1-原始資料!AN245,原始資料!AN245))</f>
        <v/>
      </c>
      <c r="AO245">
        <f>IF(原始資料!AO245="","",IF(反向題設定!$C$44="是",反向題設定!$B$2+1-原始資料!AO245,原始資料!AO245))</f>
        <v/>
      </c>
      <c r="AP245">
        <f>IF(COUNT(B245:AO245)=0,"",SUM(B245:AO245))</f>
        <v/>
      </c>
      <c r="AQ245">
        <f>IF(AP245="","",IF(AP245&gt;=項目分析!$C$5,"高",IF(AP245&lt;=項目分析!$C$6,"低","")))</f>
        <v/>
      </c>
    </row>
    <row r="246">
      <c r="A246">
        <f>IF(原始資料!A246="","",原始資料!A246)</f>
        <v/>
      </c>
      <c r="B246">
        <f>IF(原始資料!B246="","",IF(反向題設定!$C$5="是",反向題設定!$B$2+1-原始資料!B246,原始資料!B246))</f>
        <v/>
      </c>
      <c r="C246">
        <f>IF(原始資料!C246="","",IF(反向題設定!$C$6="是",反向題設定!$B$2+1-原始資料!C246,原始資料!C246))</f>
        <v/>
      </c>
      <c r="D246">
        <f>IF(原始資料!D246="","",IF(反向題設定!$C$7="是",反向題設定!$B$2+1-原始資料!D246,原始資料!D246))</f>
        <v/>
      </c>
      <c r="E246">
        <f>IF(原始資料!E246="","",IF(反向題設定!$C$8="是",反向題設定!$B$2+1-原始資料!E246,原始資料!E246))</f>
        <v/>
      </c>
      <c r="F246">
        <f>IF(原始資料!F246="","",IF(反向題設定!$C$9="是",反向題設定!$B$2+1-原始資料!F246,原始資料!F246))</f>
        <v/>
      </c>
      <c r="G246">
        <f>IF(原始資料!G246="","",IF(反向題設定!$C$10="是",反向題設定!$B$2+1-原始資料!G246,原始資料!G246))</f>
        <v/>
      </c>
      <c r="H246">
        <f>IF(原始資料!H246="","",IF(反向題設定!$C$11="是",反向題設定!$B$2+1-原始資料!H246,原始資料!H246))</f>
        <v/>
      </c>
      <c r="I246">
        <f>IF(原始資料!I246="","",IF(反向題設定!$C$12="是",反向題設定!$B$2+1-原始資料!I246,原始資料!I246))</f>
        <v/>
      </c>
      <c r="J246">
        <f>IF(原始資料!J246="","",IF(反向題設定!$C$13="是",反向題設定!$B$2+1-原始資料!J246,原始資料!J246))</f>
        <v/>
      </c>
      <c r="K246">
        <f>IF(原始資料!K246="","",IF(反向題設定!$C$14="是",反向題設定!$B$2+1-原始資料!K246,原始資料!K246))</f>
        <v/>
      </c>
      <c r="L246">
        <f>IF(原始資料!L246="","",IF(反向題設定!$C$15="是",反向題設定!$B$2+1-原始資料!L246,原始資料!L246))</f>
        <v/>
      </c>
      <c r="M246">
        <f>IF(原始資料!M246="","",IF(反向題設定!$C$16="是",反向題設定!$B$2+1-原始資料!M246,原始資料!M246))</f>
        <v/>
      </c>
      <c r="N246">
        <f>IF(原始資料!N246="","",IF(反向題設定!$C$17="是",反向題設定!$B$2+1-原始資料!N246,原始資料!N246))</f>
        <v/>
      </c>
      <c r="O246">
        <f>IF(原始資料!O246="","",IF(反向題設定!$C$18="是",反向題設定!$B$2+1-原始資料!O246,原始資料!O246))</f>
        <v/>
      </c>
      <c r="P246">
        <f>IF(原始資料!P246="","",IF(反向題設定!$C$19="是",反向題設定!$B$2+1-原始資料!P246,原始資料!P246))</f>
        <v/>
      </c>
      <c r="Q246">
        <f>IF(原始資料!Q246="","",IF(反向題設定!$C$20="是",反向題設定!$B$2+1-原始資料!Q246,原始資料!Q246))</f>
        <v/>
      </c>
      <c r="R246">
        <f>IF(原始資料!R246="","",IF(反向題設定!$C$21="是",反向題設定!$B$2+1-原始資料!R246,原始資料!R246))</f>
        <v/>
      </c>
      <c r="S246">
        <f>IF(原始資料!S246="","",IF(反向題設定!$C$22="是",反向題設定!$B$2+1-原始資料!S246,原始資料!S246))</f>
        <v/>
      </c>
      <c r="T246">
        <f>IF(原始資料!T246="","",IF(反向題設定!$C$23="是",反向題設定!$B$2+1-原始資料!T246,原始資料!T246))</f>
        <v/>
      </c>
      <c r="U246">
        <f>IF(原始資料!U246="","",IF(反向題設定!$C$24="是",反向題設定!$B$2+1-原始資料!U246,原始資料!U246))</f>
        <v/>
      </c>
      <c r="V246">
        <f>IF(原始資料!V246="","",IF(反向題設定!$C$25="是",反向題設定!$B$2+1-原始資料!V246,原始資料!V246))</f>
        <v/>
      </c>
      <c r="W246">
        <f>IF(原始資料!W246="","",IF(反向題設定!$C$26="是",反向題設定!$B$2+1-原始資料!W246,原始資料!W246))</f>
        <v/>
      </c>
      <c r="X246">
        <f>IF(原始資料!X246="","",IF(反向題設定!$C$27="是",反向題設定!$B$2+1-原始資料!X246,原始資料!X246))</f>
        <v/>
      </c>
      <c r="Y246">
        <f>IF(原始資料!Y246="","",IF(反向題設定!$C$28="是",反向題設定!$B$2+1-原始資料!Y246,原始資料!Y246))</f>
        <v/>
      </c>
      <c r="Z246">
        <f>IF(原始資料!Z246="","",IF(反向題設定!$C$29="是",反向題設定!$B$2+1-原始資料!Z246,原始資料!Z246))</f>
        <v/>
      </c>
      <c r="AA246">
        <f>IF(原始資料!AA246="","",IF(反向題設定!$C$30="是",反向題設定!$B$2+1-原始資料!AA246,原始資料!AA246))</f>
        <v/>
      </c>
      <c r="AB246">
        <f>IF(原始資料!AB246="","",IF(反向題設定!$C$31="是",反向題設定!$B$2+1-原始資料!AB246,原始資料!AB246))</f>
        <v/>
      </c>
      <c r="AC246">
        <f>IF(原始資料!AC246="","",IF(反向題設定!$C$32="是",反向題設定!$B$2+1-原始資料!AC246,原始資料!AC246))</f>
        <v/>
      </c>
      <c r="AD246">
        <f>IF(原始資料!AD246="","",IF(反向題設定!$C$33="是",反向題設定!$B$2+1-原始資料!AD246,原始資料!AD246))</f>
        <v/>
      </c>
      <c r="AE246">
        <f>IF(原始資料!AE246="","",IF(反向題設定!$C$34="是",反向題設定!$B$2+1-原始資料!AE246,原始資料!AE246))</f>
        <v/>
      </c>
      <c r="AF246">
        <f>IF(原始資料!AF246="","",IF(反向題設定!$C$35="是",反向題設定!$B$2+1-原始資料!AF246,原始資料!AF246))</f>
        <v/>
      </c>
      <c r="AG246">
        <f>IF(原始資料!AG246="","",IF(反向題設定!$C$36="是",反向題設定!$B$2+1-原始資料!AG246,原始資料!AG246))</f>
        <v/>
      </c>
      <c r="AH246">
        <f>IF(原始資料!AH246="","",IF(反向題設定!$C$37="是",反向題設定!$B$2+1-原始資料!AH246,原始資料!AH246))</f>
        <v/>
      </c>
      <c r="AI246">
        <f>IF(原始資料!AI246="","",IF(反向題設定!$C$38="是",反向題設定!$B$2+1-原始資料!AI246,原始資料!AI246))</f>
        <v/>
      </c>
      <c r="AJ246">
        <f>IF(原始資料!AJ246="","",IF(反向題設定!$C$39="是",反向題設定!$B$2+1-原始資料!AJ246,原始資料!AJ246))</f>
        <v/>
      </c>
      <c r="AK246">
        <f>IF(原始資料!AK246="","",IF(反向題設定!$C$40="是",反向題設定!$B$2+1-原始資料!AK246,原始資料!AK246))</f>
        <v/>
      </c>
      <c r="AL246">
        <f>IF(原始資料!AL246="","",IF(反向題設定!$C$41="是",反向題設定!$B$2+1-原始資料!AL246,原始資料!AL246))</f>
        <v/>
      </c>
      <c r="AM246">
        <f>IF(原始資料!AM246="","",IF(反向題設定!$C$42="是",反向題設定!$B$2+1-原始資料!AM246,原始資料!AM246))</f>
        <v/>
      </c>
      <c r="AN246">
        <f>IF(原始資料!AN246="","",IF(反向題設定!$C$43="是",反向題設定!$B$2+1-原始資料!AN246,原始資料!AN246))</f>
        <v/>
      </c>
      <c r="AO246">
        <f>IF(原始資料!AO246="","",IF(反向題設定!$C$44="是",反向題設定!$B$2+1-原始資料!AO246,原始資料!AO246))</f>
        <v/>
      </c>
      <c r="AP246">
        <f>IF(COUNT(B246:AO246)=0,"",SUM(B246:AO246))</f>
        <v/>
      </c>
      <c r="AQ246">
        <f>IF(AP246="","",IF(AP246&gt;=項目分析!$C$5,"高",IF(AP246&lt;=項目分析!$C$6,"低","")))</f>
        <v/>
      </c>
    </row>
    <row r="247">
      <c r="A247">
        <f>IF(原始資料!A247="","",原始資料!A247)</f>
        <v/>
      </c>
      <c r="B247">
        <f>IF(原始資料!B247="","",IF(反向題設定!$C$5="是",反向題設定!$B$2+1-原始資料!B247,原始資料!B247))</f>
        <v/>
      </c>
      <c r="C247">
        <f>IF(原始資料!C247="","",IF(反向題設定!$C$6="是",反向題設定!$B$2+1-原始資料!C247,原始資料!C247))</f>
        <v/>
      </c>
      <c r="D247">
        <f>IF(原始資料!D247="","",IF(反向題設定!$C$7="是",反向題設定!$B$2+1-原始資料!D247,原始資料!D247))</f>
        <v/>
      </c>
      <c r="E247">
        <f>IF(原始資料!E247="","",IF(反向題設定!$C$8="是",反向題設定!$B$2+1-原始資料!E247,原始資料!E247))</f>
        <v/>
      </c>
      <c r="F247">
        <f>IF(原始資料!F247="","",IF(反向題設定!$C$9="是",反向題設定!$B$2+1-原始資料!F247,原始資料!F247))</f>
        <v/>
      </c>
      <c r="G247">
        <f>IF(原始資料!G247="","",IF(反向題設定!$C$10="是",反向題設定!$B$2+1-原始資料!G247,原始資料!G247))</f>
        <v/>
      </c>
      <c r="H247">
        <f>IF(原始資料!H247="","",IF(反向題設定!$C$11="是",反向題設定!$B$2+1-原始資料!H247,原始資料!H247))</f>
        <v/>
      </c>
      <c r="I247">
        <f>IF(原始資料!I247="","",IF(反向題設定!$C$12="是",反向題設定!$B$2+1-原始資料!I247,原始資料!I247))</f>
        <v/>
      </c>
      <c r="J247">
        <f>IF(原始資料!J247="","",IF(反向題設定!$C$13="是",反向題設定!$B$2+1-原始資料!J247,原始資料!J247))</f>
        <v/>
      </c>
      <c r="K247">
        <f>IF(原始資料!K247="","",IF(反向題設定!$C$14="是",反向題設定!$B$2+1-原始資料!K247,原始資料!K247))</f>
        <v/>
      </c>
      <c r="L247">
        <f>IF(原始資料!L247="","",IF(反向題設定!$C$15="是",反向題設定!$B$2+1-原始資料!L247,原始資料!L247))</f>
        <v/>
      </c>
      <c r="M247">
        <f>IF(原始資料!M247="","",IF(反向題設定!$C$16="是",反向題設定!$B$2+1-原始資料!M247,原始資料!M247))</f>
        <v/>
      </c>
      <c r="N247">
        <f>IF(原始資料!N247="","",IF(反向題設定!$C$17="是",反向題設定!$B$2+1-原始資料!N247,原始資料!N247))</f>
        <v/>
      </c>
      <c r="O247">
        <f>IF(原始資料!O247="","",IF(反向題設定!$C$18="是",反向題設定!$B$2+1-原始資料!O247,原始資料!O247))</f>
        <v/>
      </c>
      <c r="P247">
        <f>IF(原始資料!P247="","",IF(反向題設定!$C$19="是",反向題設定!$B$2+1-原始資料!P247,原始資料!P247))</f>
        <v/>
      </c>
      <c r="Q247">
        <f>IF(原始資料!Q247="","",IF(反向題設定!$C$20="是",反向題設定!$B$2+1-原始資料!Q247,原始資料!Q247))</f>
        <v/>
      </c>
      <c r="R247">
        <f>IF(原始資料!R247="","",IF(反向題設定!$C$21="是",反向題設定!$B$2+1-原始資料!R247,原始資料!R247))</f>
        <v/>
      </c>
      <c r="S247">
        <f>IF(原始資料!S247="","",IF(反向題設定!$C$22="是",反向題設定!$B$2+1-原始資料!S247,原始資料!S247))</f>
        <v/>
      </c>
      <c r="T247">
        <f>IF(原始資料!T247="","",IF(反向題設定!$C$23="是",反向題設定!$B$2+1-原始資料!T247,原始資料!T247))</f>
        <v/>
      </c>
      <c r="U247">
        <f>IF(原始資料!U247="","",IF(反向題設定!$C$24="是",反向題設定!$B$2+1-原始資料!U247,原始資料!U247))</f>
        <v/>
      </c>
      <c r="V247">
        <f>IF(原始資料!V247="","",IF(反向題設定!$C$25="是",反向題設定!$B$2+1-原始資料!V247,原始資料!V247))</f>
        <v/>
      </c>
      <c r="W247">
        <f>IF(原始資料!W247="","",IF(反向題設定!$C$26="是",反向題設定!$B$2+1-原始資料!W247,原始資料!W247))</f>
        <v/>
      </c>
      <c r="X247">
        <f>IF(原始資料!X247="","",IF(反向題設定!$C$27="是",反向題設定!$B$2+1-原始資料!X247,原始資料!X247))</f>
        <v/>
      </c>
      <c r="Y247">
        <f>IF(原始資料!Y247="","",IF(反向題設定!$C$28="是",反向題設定!$B$2+1-原始資料!Y247,原始資料!Y247))</f>
        <v/>
      </c>
      <c r="Z247">
        <f>IF(原始資料!Z247="","",IF(反向題設定!$C$29="是",反向題設定!$B$2+1-原始資料!Z247,原始資料!Z247))</f>
        <v/>
      </c>
      <c r="AA247">
        <f>IF(原始資料!AA247="","",IF(反向題設定!$C$30="是",反向題設定!$B$2+1-原始資料!AA247,原始資料!AA247))</f>
        <v/>
      </c>
      <c r="AB247">
        <f>IF(原始資料!AB247="","",IF(反向題設定!$C$31="是",反向題設定!$B$2+1-原始資料!AB247,原始資料!AB247))</f>
        <v/>
      </c>
      <c r="AC247">
        <f>IF(原始資料!AC247="","",IF(反向題設定!$C$32="是",反向題設定!$B$2+1-原始資料!AC247,原始資料!AC247))</f>
        <v/>
      </c>
      <c r="AD247">
        <f>IF(原始資料!AD247="","",IF(反向題設定!$C$33="是",反向題設定!$B$2+1-原始資料!AD247,原始資料!AD247))</f>
        <v/>
      </c>
      <c r="AE247">
        <f>IF(原始資料!AE247="","",IF(反向題設定!$C$34="是",反向題設定!$B$2+1-原始資料!AE247,原始資料!AE247))</f>
        <v/>
      </c>
      <c r="AF247">
        <f>IF(原始資料!AF247="","",IF(反向題設定!$C$35="是",反向題設定!$B$2+1-原始資料!AF247,原始資料!AF247))</f>
        <v/>
      </c>
      <c r="AG247">
        <f>IF(原始資料!AG247="","",IF(反向題設定!$C$36="是",反向題設定!$B$2+1-原始資料!AG247,原始資料!AG247))</f>
        <v/>
      </c>
      <c r="AH247">
        <f>IF(原始資料!AH247="","",IF(反向題設定!$C$37="是",反向題設定!$B$2+1-原始資料!AH247,原始資料!AH247))</f>
        <v/>
      </c>
      <c r="AI247">
        <f>IF(原始資料!AI247="","",IF(反向題設定!$C$38="是",反向題設定!$B$2+1-原始資料!AI247,原始資料!AI247))</f>
        <v/>
      </c>
      <c r="AJ247">
        <f>IF(原始資料!AJ247="","",IF(反向題設定!$C$39="是",反向題設定!$B$2+1-原始資料!AJ247,原始資料!AJ247))</f>
        <v/>
      </c>
      <c r="AK247">
        <f>IF(原始資料!AK247="","",IF(反向題設定!$C$40="是",反向題設定!$B$2+1-原始資料!AK247,原始資料!AK247))</f>
        <v/>
      </c>
      <c r="AL247">
        <f>IF(原始資料!AL247="","",IF(反向題設定!$C$41="是",反向題設定!$B$2+1-原始資料!AL247,原始資料!AL247))</f>
        <v/>
      </c>
      <c r="AM247">
        <f>IF(原始資料!AM247="","",IF(反向題設定!$C$42="是",反向題設定!$B$2+1-原始資料!AM247,原始資料!AM247))</f>
        <v/>
      </c>
      <c r="AN247">
        <f>IF(原始資料!AN247="","",IF(反向題設定!$C$43="是",反向題設定!$B$2+1-原始資料!AN247,原始資料!AN247))</f>
        <v/>
      </c>
      <c r="AO247">
        <f>IF(原始資料!AO247="","",IF(反向題設定!$C$44="是",反向題設定!$B$2+1-原始資料!AO247,原始資料!AO247))</f>
        <v/>
      </c>
      <c r="AP247">
        <f>IF(COUNT(B247:AO247)=0,"",SUM(B247:AO247))</f>
        <v/>
      </c>
      <c r="AQ247">
        <f>IF(AP247="","",IF(AP247&gt;=項目分析!$C$5,"高",IF(AP247&lt;=項目分析!$C$6,"低","")))</f>
        <v/>
      </c>
    </row>
    <row r="248">
      <c r="A248">
        <f>IF(原始資料!A248="","",原始資料!A248)</f>
        <v/>
      </c>
      <c r="B248">
        <f>IF(原始資料!B248="","",IF(反向題設定!$C$5="是",反向題設定!$B$2+1-原始資料!B248,原始資料!B248))</f>
        <v/>
      </c>
      <c r="C248">
        <f>IF(原始資料!C248="","",IF(反向題設定!$C$6="是",反向題設定!$B$2+1-原始資料!C248,原始資料!C248))</f>
        <v/>
      </c>
      <c r="D248">
        <f>IF(原始資料!D248="","",IF(反向題設定!$C$7="是",反向題設定!$B$2+1-原始資料!D248,原始資料!D248))</f>
        <v/>
      </c>
      <c r="E248">
        <f>IF(原始資料!E248="","",IF(反向題設定!$C$8="是",反向題設定!$B$2+1-原始資料!E248,原始資料!E248))</f>
        <v/>
      </c>
      <c r="F248">
        <f>IF(原始資料!F248="","",IF(反向題設定!$C$9="是",反向題設定!$B$2+1-原始資料!F248,原始資料!F248))</f>
        <v/>
      </c>
      <c r="G248">
        <f>IF(原始資料!G248="","",IF(反向題設定!$C$10="是",反向題設定!$B$2+1-原始資料!G248,原始資料!G248))</f>
        <v/>
      </c>
      <c r="H248">
        <f>IF(原始資料!H248="","",IF(反向題設定!$C$11="是",反向題設定!$B$2+1-原始資料!H248,原始資料!H248))</f>
        <v/>
      </c>
      <c r="I248">
        <f>IF(原始資料!I248="","",IF(反向題設定!$C$12="是",反向題設定!$B$2+1-原始資料!I248,原始資料!I248))</f>
        <v/>
      </c>
      <c r="J248">
        <f>IF(原始資料!J248="","",IF(反向題設定!$C$13="是",反向題設定!$B$2+1-原始資料!J248,原始資料!J248))</f>
        <v/>
      </c>
      <c r="K248">
        <f>IF(原始資料!K248="","",IF(反向題設定!$C$14="是",反向題設定!$B$2+1-原始資料!K248,原始資料!K248))</f>
        <v/>
      </c>
      <c r="L248">
        <f>IF(原始資料!L248="","",IF(反向題設定!$C$15="是",反向題設定!$B$2+1-原始資料!L248,原始資料!L248))</f>
        <v/>
      </c>
      <c r="M248">
        <f>IF(原始資料!M248="","",IF(反向題設定!$C$16="是",反向題設定!$B$2+1-原始資料!M248,原始資料!M248))</f>
        <v/>
      </c>
      <c r="N248">
        <f>IF(原始資料!N248="","",IF(反向題設定!$C$17="是",反向題設定!$B$2+1-原始資料!N248,原始資料!N248))</f>
        <v/>
      </c>
      <c r="O248">
        <f>IF(原始資料!O248="","",IF(反向題設定!$C$18="是",反向題設定!$B$2+1-原始資料!O248,原始資料!O248))</f>
        <v/>
      </c>
      <c r="P248">
        <f>IF(原始資料!P248="","",IF(反向題設定!$C$19="是",反向題設定!$B$2+1-原始資料!P248,原始資料!P248))</f>
        <v/>
      </c>
      <c r="Q248">
        <f>IF(原始資料!Q248="","",IF(反向題設定!$C$20="是",反向題設定!$B$2+1-原始資料!Q248,原始資料!Q248))</f>
        <v/>
      </c>
      <c r="R248">
        <f>IF(原始資料!R248="","",IF(反向題設定!$C$21="是",反向題設定!$B$2+1-原始資料!R248,原始資料!R248))</f>
        <v/>
      </c>
      <c r="S248">
        <f>IF(原始資料!S248="","",IF(反向題設定!$C$22="是",反向題設定!$B$2+1-原始資料!S248,原始資料!S248))</f>
        <v/>
      </c>
      <c r="T248">
        <f>IF(原始資料!T248="","",IF(反向題設定!$C$23="是",反向題設定!$B$2+1-原始資料!T248,原始資料!T248))</f>
        <v/>
      </c>
      <c r="U248">
        <f>IF(原始資料!U248="","",IF(反向題設定!$C$24="是",反向題設定!$B$2+1-原始資料!U248,原始資料!U248))</f>
        <v/>
      </c>
      <c r="V248">
        <f>IF(原始資料!V248="","",IF(反向題設定!$C$25="是",反向題設定!$B$2+1-原始資料!V248,原始資料!V248))</f>
        <v/>
      </c>
      <c r="W248">
        <f>IF(原始資料!W248="","",IF(反向題設定!$C$26="是",反向題設定!$B$2+1-原始資料!W248,原始資料!W248))</f>
        <v/>
      </c>
      <c r="X248">
        <f>IF(原始資料!X248="","",IF(反向題設定!$C$27="是",反向題設定!$B$2+1-原始資料!X248,原始資料!X248))</f>
        <v/>
      </c>
      <c r="Y248">
        <f>IF(原始資料!Y248="","",IF(反向題設定!$C$28="是",反向題設定!$B$2+1-原始資料!Y248,原始資料!Y248))</f>
        <v/>
      </c>
      <c r="Z248">
        <f>IF(原始資料!Z248="","",IF(反向題設定!$C$29="是",反向題設定!$B$2+1-原始資料!Z248,原始資料!Z248))</f>
        <v/>
      </c>
      <c r="AA248">
        <f>IF(原始資料!AA248="","",IF(反向題設定!$C$30="是",反向題設定!$B$2+1-原始資料!AA248,原始資料!AA248))</f>
        <v/>
      </c>
      <c r="AB248">
        <f>IF(原始資料!AB248="","",IF(反向題設定!$C$31="是",反向題設定!$B$2+1-原始資料!AB248,原始資料!AB248))</f>
        <v/>
      </c>
      <c r="AC248">
        <f>IF(原始資料!AC248="","",IF(反向題設定!$C$32="是",反向題設定!$B$2+1-原始資料!AC248,原始資料!AC248))</f>
        <v/>
      </c>
      <c r="AD248">
        <f>IF(原始資料!AD248="","",IF(反向題設定!$C$33="是",反向題設定!$B$2+1-原始資料!AD248,原始資料!AD248))</f>
        <v/>
      </c>
      <c r="AE248">
        <f>IF(原始資料!AE248="","",IF(反向題設定!$C$34="是",反向題設定!$B$2+1-原始資料!AE248,原始資料!AE248))</f>
        <v/>
      </c>
      <c r="AF248">
        <f>IF(原始資料!AF248="","",IF(反向題設定!$C$35="是",反向題設定!$B$2+1-原始資料!AF248,原始資料!AF248))</f>
        <v/>
      </c>
      <c r="AG248">
        <f>IF(原始資料!AG248="","",IF(反向題設定!$C$36="是",反向題設定!$B$2+1-原始資料!AG248,原始資料!AG248))</f>
        <v/>
      </c>
      <c r="AH248">
        <f>IF(原始資料!AH248="","",IF(反向題設定!$C$37="是",反向題設定!$B$2+1-原始資料!AH248,原始資料!AH248))</f>
        <v/>
      </c>
      <c r="AI248">
        <f>IF(原始資料!AI248="","",IF(反向題設定!$C$38="是",反向題設定!$B$2+1-原始資料!AI248,原始資料!AI248))</f>
        <v/>
      </c>
      <c r="AJ248">
        <f>IF(原始資料!AJ248="","",IF(反向題設定!$C$39="是",反向題設定!$B$2+1-原始資料!AJ248,原始資料!AJ248))</f>
        <v/>
      </c>
      <c r="AK248">
        <f>IF(原始資料!AK248="","",IF(反向題設定!$C$40="是",反向題設定!$B$2+1-原始資料!AK248,原始資料!AK248))</f>
        <v/>
      </c>
      <c r="AL248">
        <f>IF(原始資料!AL248="","",IF(反向題設定!$C$41="是",反向題設定!$B$2+1-原始資料!AL248,原始資料!AL248))</f>
        <v/>
      </c>
      <c r="AM248">
        <f>IF(原始資料!AM248="","",IF(反向題設定!$C$42="是",反向題設定!$B$2+1-原始資料!AM248,原始資料!AM248))</f>
        <v/>
      </c>
      <c r="AN248">
        <f>IF(原始資料!AN248="","",IF(反向題設定!$C$43="是",反向題設定!$B$2+1-原始資料!AN248,原始資料!AN248))</f>
        <v/>
      </c>
      <c r="AO248">
        <f>IF(原始資料!AO248="","",IF(反向題設定!$C$44="是",反向題設定!$B$2+1-原始資料!AO248,原始資料!AO248))</f>
        <v/>
      </c>
      <c r="AP248">
        <f>IF(COUNT(B248:AO248)=0,"",SUM(B248:AO248))</f>
        <v/>
      </c>
      <c r="AQ248">
        <f>IF(AP248="","",IF(AP248&gt;=項目分析!$C$5,"高",IF(AP248&lt;=項目分析!$C$6,"低","")))</f>
        <v/>
      </c>
    </row>
    <row r="249">
      <c r="A249">
        <f>IF(原始資料!A249="","",原始資料!A249)</f>
        <v/>
      </c>
      <c r="B249">
        <f>IF(原始資料!B249="","",IF(反向題設定!$C$5="是",反向題設定!$B$2+1-原始資料!B249,原始資料!B249))</f>
        <v/>
      </c>
      <c r="C249">
        <f>IF(原始資料!C249="","",IF(反向題設定!$C$6="是",反向題設定!$B$2+1-原始資料!C249,原始資料!C249))</f>
        <v/>
      </c>
      <c r="D249">
        <f>IF(原始資料!D249="","",IF(反向題設定!$C$7="是",反向題設定!$B$2+1-原始資料!D249,原始資料!D249))</f>
        <v/>
      </c>
      <c r="E249">
        <f>IF(原始資料!E249="","",IF(反向題設定!$C$8="是",反向題設定!$B$2+1-原始資料!E249,原始資料!E249))</f>
        <v/>
      </c>
      <c r="F249">
        <f>IF(原始資料!F249="","",IF(反向題設定!$C$9="是",反向題設定!$B$2+1-原始資料!F249,原始資料!F249))</f>
        <v/>
      </c>
      <c r="G249">
        <f>IF(原始資料!G249="","",IF(反向題設定!$C$10="是",反向題設定!$B$2+1-原始資料!G249,原始資料!G249))</f>
        <v/>
      </c>
      <c r="H249">
        <f>IF(原始資料!H249="","",IF(反向題設定!$C$11="是",反向題設定!$B$2+1-原始資料!H249,原始資料!H249))</f>
        <v/>
      </c>
      <c r="I249">
        <f>IF(原始資料!I249="","",IF(反向題設定!$C$12="是",反向題設定!$B$2+1-原始資料!I249,原始資料!I249))</f>
        <v/>
      </c>
      <c r="J249">
        <f>IF(原始資料!J249="","",IF(反向題設定!$C$13="是",反向題設定!$B$2+1-原始資料!J249,原始資料!J249))</f>
        <v/>
      </c>
      <c r="K249">
        <f>IF(原始資料!K249="","",IF(反向題設定!$C$14="是",反向題設定!$B$2+1-原始資料!K249,原始資料!K249))</f>
        <v/>
      </c>
      <c r="L249">
        <f>IF(原始資料!L249="","",IF(反向題設定!$C$15="是",反向題設定!$B$2+1-原始資料!L249,原始資料!L249))</f>
        <v/>
      </c>
      <c r="M249">
        <f>IF(原始資料!M249="","",IF(反向題設定!$C$16="是",反向題設定!$B$2+1-原始資料!M249,原始資料!M249))</f>
        <v/>
      </c>
      <c r="N249">
        <f>IF(原始資料!N249="","",IF(反向題設定!$C$17="是",反向題設定!$B$2+1-原始資料!N249,原始資料!N249))</f>
        <v/>
      </c>
      <c r="O249">
        <f>IF(原始資料!O249="","",IF(反向題設定!$C$18="是",反向題設定!$B$2+1-原始資料!O249,原始資料!O249))</f>
        <v/>
      </c>
      <c r="P249">
        <f>IF(原始資料!P249="","",IF(反向題設定!$C$19="是",反向題設定!$B$2+1-原始資料!P249,原始資料!P249))</f>
        <v/>
      </c>
      <c r="Q249">
        <f>IF(原始資料!Q249="","",IF(反向題設定!$C$20="是",反向題設定!$B$2+1-原始資料!Q249,原始資料!Q249))</f>
        <v/>
      </c>
      <c r="R249">
        <f>IF(原始資料!R249="","",IF(反向題設定!$C$21="是",反向題設定!$B$2+1-原始資料!R249,原始資料!R249))</f>
        <v/>
      </c>
      <c r="S249">
        <f>IF(原始資料!S249="","",IF(反向題設定!$C$22="是",反向題設定!$B$2+1-原始資料!S249,原始資料!S249))</f>
        <v/>
      </c>
      <c r="T249">
        <f>IF(原始資料!T249="","",IF(反向題設定!$C$23="是",反向題設定!$B$2+1-原始資料!T249,原始資料!T249))</f>
        <v/>
      </c>
      <c r="U249">
        <f>IF(原始資料!U249="","",IF(反向題設定!$C$24="是",反向題設定!$B$2+1-原始資料!U249,原始資料!U249))</f>
        <v/>
      </c>
      <c r="V249">
        <f>IF(原始資料!V249="","",IF(反向題設定!$C$25="是",反向題設定!$B$2+1-原始資料!V249,原始資料!V249))</f>
        <v/>
      </c>
      <c r="W249">
        <f>IF(原始資料!W249="","",IF(反向題設定!$C$26="是",反向題設定!$B$2+1-原始資料!W249,原始資料!W249))</f>
        <v/>
      </c>
      <c r="X249">
        <f>IF(原始資料!X249="","",IF(反向題設定!$C$27="是",反向題設定!$B$2+1-原始資料!X249,原始資料!X249))</f>
        <v/>
      </c>
      <c r="Y249">
        <f>IF(原始資料!Y249="","",IF(反向題設定!$C$28="是",反向題設定!$B$2+1-原始資料!Y249,原始資料!Y249))</f>
        <v/>
      </c>
      <c r="Z249">
        <f>IF(原始資料!Z249="","",IF(反向題設定!$C$29="是",反向題設定!$B$2+1-原始資料!Z249,原始資料!Z249))</f>
        <v/>
      </c>
      <c r="AA249">
        <f>IF(原始資料!AA249="","",IF(反向題設定!$C$30="是",反向題設定!$B$2+1-原始資料!AA249,原始資料!AA249))</f>
        <v/>
      </c>
      <c r="AB249">
        <f>IF(原始資料!AB249="","",IF(反向題設定!$C$31="是",反向題設定!$B$2+1-原始資料!AB249,原始資料!AB249))</f>
        <v/>
      </c>
      <c r="AC249">
        <f>IF(原始資料!AC249="","",IF(反向題設定!$C$32="是",反向題設定!$B$2+1-原始資料!AC249,原始資料!AC249))</f>
        <v/>
      </c>
      <c r="AD249">
        <f>IF(原始資料!AD249="","",IF(反向題設定!$C$33="是",反向題設定!$B$2+1-原始資料!AD249,原始資料!AD249))</f>
        <v/>
      </c>
      <c r="AE249">
        <f>IF(原始資料!AE249="","",IF(反向題設定!$C$34="是",反向題設定!$B$2+1-原始資料!AE249,原始資料!AE249))</f>
        <v/>
      </c>
      <c r="AF249">
        <f>IF(原始資料!AF249="","",IF(反向題設定!$C$35="是",反向題設定!$B$2+1-原始資料!AF249,原始資料!AF249))</f>
        <v/>
      </c>
      <c r="AG249">
        <f>IF(原始資料!AG249="","",IF(反向題設定!$C$36="是",反向題設定!$B$2+1-原始資料!AG249,原始資料!AG249))</f>
        <v/>
      </c>
      <c r="AH249">
        <f>IF(原始資料!AH249="","",IF(反向題設定!$C$37="是",反向題設定!$B$2+1-原始資料!AH249,原始資料!AH249))</f>
        <v/>
      </c>
      <c r="AI249">
        <f>IF(原始資料!AI249="","",IF(反向題設定!$C$38="是",反向題設定!$B$2+1-原始資料!AI249,原始資料!AI249))</f>
        <v/>
      </c>
      <c r="AJ249">
        <f>IF(原始資料!AJ249="","",IF(反向題設定!$C$39="是",反向題設定!$B$2+1-原始資料!AJ249,原始資料!AJ249))</f>
        <v/>
      </c>
      <c r="AK249">
        <f>IF(原始資料!AK249="","",IF(反向題設定!$C$40="是",反向題設定!$B$2+1-原始資料!AK249,原始資料!AK249))</f>
        <v/>
      </c>
      <c r="AL249">
        <f>IF(原始資料!AL249="","",IF(反向題設定!$C$41="是",反向題設定!$B$2+1-原始資料!AL249,原始資料!AL249))</f>
        <v/>
      </c>
      <c r="AM249">
        <f>IF(原始資料!AM249="","",IF(反向題設定!$C$42="是",反向題設定!$B$2+1-原始資料!AM249,原始資料!AM249))</f>
        <v/>
      </c>
      <c r="AN249">
        <f>IF(原始資料!AN249="","",IF(反向題設定!$C$43="是",反向題設定!$B$2+1-原始資料!AN249,原始資料!AN249))</f>
        <v/>
      </c>
      <c r="AO249">
        <f>IF(原始資料!AO249="","",IF(反向題設定!$C$44="是",反向題設定!$B$2+1-原始資料!AO249,原始資料!AO249))</f>
        <v/>
      </c>
      <c r="AP249">
        <f>IF(COUNT(B249:AO249)=0,"",SUM(B249:AO249))</f>
        <v/>
      </c>
      <c r="AQ249">
        <f>IF(AP249="","",IF(AP249&gt;=項目分析!$C$5,"高",IF(AP249&lt;=項目分析!$C$6,"低","")))</f>
        <v/>
      </c>
    </row>
    <row r="250">
      <c r="A250">
        <f>IF(原始資料!A250="","",原始資料!A250)</f>
        <v/>
      </c>
      <c r="B250">
        <f>IF(原始資料!B250="","",IF(反向題設定!$C$5="是",反向題設定!$B$2+1-原始資料!B250,原始資料!B250))</f>
        <v/>
      </c>
      <c r="C250">
        <f>IF(原始資料!C250="","",IF(反向題設定!$C$6="是",反向題設定!$B$2+1-原始資料!C250,原始資料!C250))</f>
        <v/>
      </c>
      <c r="D250">
        <f>IF(原始資料!D250="","",IF(反向題設定!$C$7="是",反向題設定!$B$2+1-原始資料!D250,原始資料!D250))</f>
        <v/>
      </c>
      <c r="E250">
        <f>IF(原始資料!E250="","",IF(反向題設定!$C$8="是",反向題設定!$B$2+1-原始資料!E250,原始資料!E250))</f>
        <v/>
      </c>
      <c r="F250">
        <f>IF(原始資料!F250="","",IF(反向題設定!$C$9="是",反向題設定!$B$2+1-原始資料!F250,原始資料!F250))</f>
        <v/>
      </c>
      <c r="G250">
        <f>IF(原始資料!G250="","",IF(反向題設定!$C$10="是",反向題設定!$B$2+1-原始資料!G250,原始資料!G250))</f>
        <v/>
      </c>
      <c r="H250">
        <f>IF(原始資料!H250="","",IF(反向題設定!$C$11="是",反向題設定!$B$2+1-原始資料!H250,原始資料!H250))</f>
        <v/>
      </c>
      <c r="I250">
        <f>IF(原始資料!I250="","",IF(反向題設定!$C$12="是",反向題設定!$B$2+1-原始資料!I250,原始資料!I250))</f>
        <v/>
      </c>
      <c r="J250">
        <f>IF(原始資料!J250="","",IF(反向題設定!$C$13="是",反向題設定!$B$2+1-原始資料!J250,原始資料!J250))</f>
        <v/>
      </c>
      <c r="K250">
        <f>IF(原始資料!K250="","",IF(反向題設定!$C$14="是",反向題設定!$B$2+1-原始資料!K250,原始資料!K250))</f>
        <v/>
      </c>
      <c r="L250">
        <f>IF(原始資料!L250="","",IF(反向題設定!$C$15="是",反向題設定!$B$2+1-原始資料!L250,原始資料!L250))</f>
        <v/>
      </c>
      <c r="M250">
        <f>IF(原始資料!M250="","",IF(反向題設定!$C$16="是",反向題設定!$B$2+1-原始資料!M250,原始資料!M250))</f>
        <v/>
      </c>
      <c r="N250">
        <f>IF(原始資料!N250="","",IF(反向題設定!$C$17="是",反向題設定!$B$2+1-原始資料!N250,原始資料!N250))</f>
        <v/>
      </c>
      <c r="O250">
        <f>IF(原始資料!O250="","",IF(反向題設定!$C$18="是",反向題設定!$B$2+1-原始資料!O250,原始資料!O250))</f>
        <v/>
      </c>
      <c r="P250">
        <f>IF(原始資料!P250="","",IF(反向題設定!$C$19="是",反向題設定!$B$2+1-原始資料!P250,原始資料!P250))</f>
        <v/>
      </c>
      <c r="Q250">
        <f>IF(原始資料!Q250="","",IF(反向題設定!$C$20="是",反向題設定!$B$2+1-原始資料!Q250,原始資料!Q250))</f>
        <v/>
      </c>
      <c r="R250">
        <f>IF(原始資料!R250="","",IF(反向題設定!$C$21="是",反向題設定!$B$2+1-原始資料!R250,原始資料!R250))</f>
        <v/>
      </c>
      <c r="S250">
        <f>IF(原始資料!S250="","",IF(反向題設定!$C$22="是",反向題設定!$B$2+1-原始資料!S250,原始資料!S250))</f>
        <v/>
      </c>
      <c r="T250">
        <f>IF(原始資料!T250="","",IF(反向題設定!$C$23="是",反向題設定!$B$2+1-原始資料!T250,原始資料!T250))</f>
        <v/>
      </c>
      <c r="U250">
        <f>IF(原始資料!U250="","",IF(反向題設定!$C$24="是",反向題設定!$B$2+1-原始資料!U250,原始資料!U250))</f>
        <v/>
      </c>
      <c r="V250">
        <f>IF(原始資料!V250="","",IF(反向題設定!$C$25="是",反向題設定!$B$2+1-原始資料!V250,原始資料!V250))</f>
        <v/>
      </c>
      <c r="W250">
        <f>IF(原始資料!W250="","",IF(反向題設定!$C$26="是",反向題設定!$B$2+1-原始資料!W250,原始資料!W250))</f>
        <v/>
      </c>
      <c r="X250">
        <f>IF(原始資料!X250="","",IF(反向題設定!$C$27="是",反向題設定!$B$2+1-原始資料!X250,原始資料!X250))</f>
        <v/>
      </c>
      <c r="Y250">
        <f>IF(原始資料!Y250="","",IF(反向題設定!$C$28="是",反向題設定!$B$2+1-原始資料!Y250,原始資料!Y250))</f>
        <v/>
      </c>
      <c r="Z250">
        <f>IF(原始資料!Z250="","",IF(反向題設定!$C$29="是",反向題設定!$B$2+1-原始資料!Z250,原始資料!Z250))</f>
        <v/>
      </c>
      <c r="AA250">
        <f>IF(原始資料!AA250="","",IF(反向題設定!$C$30="是",反向題設定!$B$2+1-原始資料!AA250,原始資料!AA250))</f>
        <v/>
      </c>
      <c r="AB250">
        <f>IF(原始資料!AB250="","",IF(反向題設定!$C$31="是",反向題設定!$B$2+1-原始資料!AB250,原始資料!AB250))</f>
        <v/>
      </c>
      <c r="AC250">
        <f>IF(原始資料!AC250="","",IF(反向題設定!$C$32="是",反向題設定!$B$2+1-原始資料!AC250,原始資料!AC250))</f>
        <v/>
      </c>
      <c r="AD250">
        <f>IF(原始資料!AD250="","",IF(反向題設定!$C$33="是",反向題設定!$B$2+1-原始資料!AD250,原始資料!AD250))</f>
        <v/>
      </c>
      <c r="AE250">
        <f>IF(原始資料!AE250="","",IF(反向題設定!$C$34="是",反向題設定!$B$2+1-原始資料!AE250,原始資料!AE250))</f>
        <v/>
      </c>
      <c r="AF250">
        <f>IF(原始資料!AF250="","",IF(反向題設定!$C$35="是",反向題設定!$B$2+1-原始資料!AF250,原始資料!AF250))</f>
        <v/>
      </c>
      <c r="AG250">
        <f>IF(原始資料!AG250="","",IF(反向題設定!$C$36="是",反向題設定!$B$2+1-原始資料!AG250,原始資料!AG250))</f>
        <v/>
      </c>
      <c r="AH250">
        <f>IF(原始資料!AH250="","",IF(反向題設定!$C$37="是",反向題設定!$B$2+1-原始資料!AH250,原始資料!AH250))</f>
        <v/>
      </c>
      <c r="AI250">
        <f>IF(原始資料!AI250="","",IF(反向題設定!$C$38="是",反向題設定!$B$2+1-原始資料!AI250,原始資料!AI250))</f>
        <v/>
      </c>
      <c r="AJ250">
        <f>IF(原始資料!AJ250="","",IF(反向題設定!$C$39="是",反向題設定!$B$2+1-原始資料!AJ250,原始資料!AJ250))</f>
        <v/>
      </c>
      <c r="AK250">
        <f>IF(原始資料!AK250="","",IF(反向題設定!$C$40="是",反向題設定!$B$2+1-原始資料!AK250,原始資料!AK250))</f>
        <v/>
      </c>
      <c r="AL250">
        <f>IF(原始資料!AL250="","",IF(反向題設定!$C$41="是",反向題設定!$B$2+1-原始資料!AL250,原始資料!AL250))</f>
        <v/>
      </c>
      <c r="AM250">
        <f>IF(原始資料!AM250="","",IF(反向題設定!$C$42="是",反向題設定!$B$2+1-原始資料!AM250,原始資料!AM250))</f>
        <v/>
      </c>
      <c r="AN250">
        <f>IF(原始資料!AN250="","",IF(反向題設定!$C$43="是",反向題設定!$B$2+1-原始資料!AN250,原始資料!AN250))</f>
        <v/>
      </c>
      <c r="AO250">
        <f>IF(原始資料!AO250="","",IF(反向題設定!$C$44="是",反向題設定!$B$2+1-原始資料!AO250,原始資料!AO250))</f>
        <v/>
      </c>
      <c r="AP250">
        <f>IF(COUNT(B250:AO250)=0,"",SUM(B250:AO250))</f>
        <v/>
      </c>
      <c r="AQ250">
        <f>IF(AP250="","",IF(AP250&gt;=項目分析!$C$5,"高",IF(AP250&lt;=項目分析!$C$6,"低","")))</f>
        <v/>
      </c>
    </row>
    <row r="251">
      <c r="A251">
        <f>IF(原始資料!A251="","",原始資料!A251)</f>
        <v/>
      </c>
      <c r="B251">
        <f>IF(原始資料!B251="","",IF(反向題設定!$C$5="是",反向題設定!$B$2+1-原始資料!B251,原始資料!B251))</f>
        <v/>
      </c>
      <c r="C251">
        <f>IF(原始資料!C251="","",IF(反向題設定!$C$6="是",反向題設定!$B$2+1-原始資料!C251,原始資料!C251))</f>
        <v/>
      </c>
      <c r="D251">
        <f>IF(原始資料!D251="","",IF(反向題設定!$C$7="是",反向題設定!$B$2+1-原始資料!D251,原始資料!D251))</f>
        <v/>
      </c>
      <c r="E251">
        <f>IF(原始資料!E251="","",IF(反向題設定!$C$8="是",反向題設定!$B$2+1-原始資料!E251,原始資料!E251))</f>
        <v/>
      </c>
      <c r="F251">
        <f>IF(原始資料!F251="","",IF(反向題設定!$C$9="是",反向題設定!$B$2+1-原始資料!F251,原始資料!F251))</f>
        <v/>
      </c>
      <c r="G251">
        <f>IF(原始資料!G251="","",IF(反向題設定!$C$10="是",反向題設定!$B$2+1-原始資料!G251,原始資料!G251))</f>
        <v/>
      </c>
      <c r="H251">
        <f>IF(原始資料!H251="","",IF(反向題設定!$C$11="是",反向題設定!$B$2+1-原始資料!H251,原始資料!H251))</f>
        <v/>
      </c>
      <c r="I251">
        <f>IF(原始資料!I251="","",IF(反向題設定!$C$12="是",反向題設定!$B$2+1-原始資料!I251,原始資料!I251))</f>
        <v/>
      </c>
      <c r="J251">
        <f>IF(原始資料!J251="","",IF(反向題設定!$C$13="是",反向題設定!$B$2+1-原始資料!J251,原始資料!J251))</f>
        <v/>
      </c>
      <c r="K251">
        <f>IF(原始資料!K251="","",IF(反向題設定!$C$14="是",反向題設定!$B$2+1-原始資料!K251,原始資料!K251))</f>
        <v/>
      </c>
      <c r="L251">
        <f>IF(原始資料!L251="","",IF(反向題設定!$C$15="是",反向題設定!$B$2+1-原始資料!L251,原始資料!L251))</f>
        <v/>
      </c>
      <c r="M251">
        <f>IF(原始資料!M251="","",IF(反向題設定!$C$16="是",反向題設定!$B$2+1-原始資料!M251,原始資料!M251))</f>
        <v/>
      </c>
      <c r="N251">
        <f>IF(原始資料!N251="","",IF(反向題設定!$C$17="是",反向題設定!$B$2+1-原始資料!N251,原始資料!N251))</f>
        <v/>
      </c>
      <c r="O251">
        <f>IF(原始資料!O251="","",IF(反向題設定!$C$18="是",反向題設定!$B$2+1-原始資料!O251,原始資料!O251))</f>
        <v/>
      </c>
      <c r="P251">
        <f>IF(原始資料!P251="","",IF(反向題設定!$C$19="是",反向題設定!$B$2+1-原始資料!P251,原始資料!P251))</f>
        <v/>
      </c>
      <c r="Q251">
        <f>IF(原始資料!Q251="","",IF(反向題設定!$C$20="是",反向題設定!$B$2+1-原始資料!Q251,原始資料!Q251))</f>
        <v/>
      </c>
      <c r="R251">
        <f>IF(原始資料!R251="","",IF(反向題設定!$C$21="是",反向題設定!$B$2+1-原始資料!R251,原始資料!R251))</f>
        <v/>
      </c>
      <c r="S251">
        <f>IF(原始資料!S251="","",IF(反向題設定!$C$22="是",反向題設定!$B$2+1-原始資料!S251,原始資料!S251))</f>
        <v/>
      </c>
      <c r="T251">
        <f>IF(原始資料!T251="","",IF(反向題設定!$C$23="是",反向題設定!$B$2+1-原始資料!T251,原始資料!T251))</f>
        <v/>
      </c>
      <c r="U251">
        <f>IF(原始資料!U251="","",IF(反向題設定!$C$24="是",反向題設定!$B$2+1-原始資料!U251,原始資料!U251))</f>
        <v/>
      </c>
      <c r="V251">
        <f>IF(原始資料!V251="","",IF(反向題設定!$C$25="是",反向題設定!$B$2+1-原始資料!V251,原始資料!V251))</f>
        <v/>
      </c>
      <c r="W251">
        <f>IF(原始資料!W251="","",IF(反向題設定!$C$26="是",反向題設定!$B$2+1-原始資料!W251,原始資料!W251))</f>
        <v/>
      </c>
      <c r="X251">
        <f>IF(原始資料!X251="","",IF(反向題設定!$C$27="是",反向題設定!$B$2+1-原始資料!X251,原始資料!X251))</f>
        <v/>
      </c>
      <c r="Y251">
        <f>IF(原始資料!Y251="","",IF(反向題設定!$C$28="是",反向題設定!$B$2+1-原始資料!Y251,原始資料!Y251))</f>
        <v/>
      </c>
      <c r="Z251">
        <f>IF(原始資料!Z251="","",IF(反向題設定!$C$29="是",反向題設定!$B$2+1-原始資料!Z251,原始資料!Z251))</f>
        <v/>
      </c>
      <c r="AA251">
        <f>IF(原始資料!AA251="","",IF(反向題設定!$C$30="是",反向題設定!$B$2+1-原始資料!AA251,原始資料!AA251))</f>
        <v/>
      </c>
      <c r="AB251">
        <f>IF(原始資料!AB251="","",IF(反向題設定!$C$31="是",反向題設定!$B$2+1-原始資料!AB251,原始資料!AB251))</f>
        <v/>
      </c>
      <c r="AC251">
        <f>IF(原始資料!AC251="","",IF(反向題設定!$C$32="是",反向題設定!$B$2+1-原始資料!AC251,原始資料!AC251))</f>
        <v/>
      </c>
      <c r="AD251">
        <f>IF(原始資料!AD251="","",IF(反向題設定!$C$33="是",反向題設定!$B$2+1-原始資料!AD251,原始資料!AD251))</f>
        <v/>
      </c>
      <c r="AE251">
        <f>IF(原始資料!AE251="","",IF(反向題設定!$C$34="是",反向題設定!$B$2+1-原始資料!AE251,原始資料!AE251))</f>
        <v/>
      </c>
      <c r="AF251">
        <f>IF(原始資料!AF251="","",IF(反向題設定!$C$35="是",反向題設定!$B$2+1-原始資料!AF251,原始資料!AF251))</f>
        <v/>
      </c>
      <c r="AG251">
        <f>IF(原始資料!AG251="","",IF(反向題設定!$C$36="是",反向題設定!$B$2+1-原始資料!AG251,原始資料!AG251))</f>
        <v/>
      </c>
      <c r="AH251">
        <f>IF(原始資料!AH251="","",IF(反向題設定!$C$37="是",反向題設定!$B$2+1-原始資料!AH251,原始資料!AH251))</f>
        <v/>
      </c>
      <c r="AI251">
        <f>IF(原始資料!AI251="","",IF(反向題設定!$C$38="是",反向題設定!$B$2+1-原始資料!AI251,原始資料!AI251))</f>
        <v/>
      </c>
      <c r="AJ251">
        <f>IF(原始資料!AJ251="","",IF(反向題設定!$C$39="是",反向題設定!$B$2+1-原始資料!AJ251,原始資料!AJ251))</f>
        <v/>
      </c>
      <c r="AK251">
        <f>IF(原始資料!AK251="","",IF(反向題設定!$C$40="是",反向題設定!$B$2+1-原始資料!AK251,原始資料!AK251))</f>
        <v/>
      </c>
      <c r="AL251">
        <f>IF(原始資料!AL251="","",IF(反向題設定!$C$41="是",反向題設定!$B$2+1-原始資料!AL251,原始資料!AL251))</f>
        <v/>
      </c>
      <c r="AM251">
        <f>IF(原始資料!AM251="","",IF(反向題設定!$C$42="是",反向題設定!$B$2+1-原始資料!AM251,原始資料!AM251))</f>
        <v/>
      </c>
      <c r="AN251">
        <f>IF(原始資料!AN251="","",IF(反向題設定!$C$43="是",反向題設定!$B$2+1-原始資料!AN251,原始資料!AN251))</f>
        <v/>
      </c>
      <c r="AO251">
        <f>IF(原始資料!AO251="","",IF(反向題設定!$C$44="是",反向題設定!$B$2+1-原始資料!AO251,原始資料!AO251))</f>
        <v/>
      </c>
      <c r="AP251">
        <f>IF(COUNT(B251:AO251)=0,"",SUM(B251:AO251))</f>
        <v/>
      </c>
      <c r="AQ251">
        <f>IF(AP251="","",IF(AP251&gt;=項目分析!$C$5,"高",IF(AP251&lt;=項目分析!$C$6,"低","")))</f>
        <v/>
      </c>
    </row>
    <row r="252">
      <c r="A252">
        <f>IF(原始資料!A252="","",原始資料!A252)</f>
        <v/>
      </c>
      <c r="B252">
        <f>IF(原始資料!B252="","",IF(反向題設定!$C$5="是",反向題設定!$B$2+1-原始資料!B252,原始資料!B252))</f>
        <v/>
      </c>
      <c r="C252">
        <f>IF(原始資料!C252="","",IF(反向題設定!$C$6="是",反向題設定!$B$2+1-原始資料!C252,原始資料!C252))</f>
        <v/>
      </c>
      <c r="D252">
        <f>IF(原始資料!D252="","",IF(反向題設定!$C$7="是",反向題設定!$B$2+1-原始資料!D252,原始資料!D252))</f>
        <v/>
      </c>
      <c r="E252">
        <f>IF(原始資料!E252="","",IF(反向題設定!$C$8="是",反向題設定!$B$2+1-原始資料!E252,原始資料!E252))</f>
        <v/>
      </c>
      <c r="F252">
        <f>IF(原始資料!F252="","",IF(反向題設定!$C$9="是",反向題設定!$B$2+1-原始資料!F252,原始資料!F252))</f>
        <v/>
      </c>
      <c r="G252">
        <f>IF(原始資料!G252="","",IF(反向題設定!$C$10="是",反向題設定!$B$2+1-原始資料!G252,原始資料!G252))</f>
        <v/>
      </c>
      <c r="H252">
        <f>IF(原始資料!H252="","",IF(反向題設定!$C$11="是",反向題設定!$B$2+1-原始資料!H252,原始資料!H252))</f>
        <v/>
      </c>
      <c r="I252">
        <f>IF(原始資料!I252="","",IF(反向題設定!$C$12="是",反向題設定!$B$2+1-原始資料!I252,原始資料!I252))</f>
        <v/>
      </c>
      <c r="J252">
        <f>IF(原始資料!J252="","",IF(反向題設定!$C$13="是",反向題設定!$B$2+1-原始資料!J252,原始資料!J252))</f>
        <v/>
      </c>
      <c r="K252">
        <f>IF(原始資料!K252="","",IF(反向題設定!$C$14="是",反向題設定!$B$2+1-原始資料!K252,原始資料!K252))</f>
        <v/>
      </c>
      <c r="L252">
        <f>IF(原始資料!L252="","",IF(反向題設定!$C$15="是",反向題設定!$B$2+1-原始資料!L252,原始資料!L252))</f>
        <v/>
      </c>
      <c r="M252">
        <f>IF(原始資料!M252="","",IF(反向題設定!$C$16="是",反向題設定!$B$2+1-原始資料!M252,原始資料!M252))</f>
        <v/>
      </c>
      <c r="N252">
        <f>IF(原始資料!N252="","",IF(反向題設定!$C$17="是",反向題設定!$B$2+1-原始資料!N252,原始資料!N252))</f>
        <v/>
      </c>
      <c r="O252">
        <f>IF(原始資料!O252="","",IF(反向題設定!$C$18="是",反向題設定!$B$2+1-原始資料!O252,原始資料!O252))</f>
        <v/>
      </c>
      <c r="P252">
        <f>IF(原始資料!P252="","",IF(反向題設定!$C$19="是",反向題設定!$B$2+1-原始資料!P252,原始資料!P252))</f>
        <v/>
      </c>
      <c r="Q252">
        <f>IF(原始資料!Q252="","",IF(反向題設定!$C$20="是",反向題設定!$B$2+1-原始資料!Q252,原始資料!Q252))</f>
        <v/>
      </c>
      <c r="R252">
        <f>IF(原始資料!R252="","",IF(反向題設定!$C$21="是",反向題設定!$B$2+1-原始資料!R252,原始資料!R252))</f>
        <v/>
      </c>
      <c r="S252">
        <f>IF(原始資料!S252="","",IF(反向題設定!$C$22="是",反向題設定!$B$2+1-原始資料!S252,原始資料!S252))</f>
        <v/>
      </c>
      <c r="T252">
        <f>IF(原始資料!T252="","",IF(反向題設定!$C$23="是",反向題設定!$B$2+1-原始資料!T252,原始資料!T252))</f>
        <v/>
      </c>
      <c r="U252">
        <f>IF(原始資料!U252="","",IF(反向題設定!$C$24="是",反向題設定!$B$2+1-原始資料!U252,原始資料!U252))</f>
        <v/>
      </c>
      <c r="V252">
        <f>IF(原始資料!V252="","",IF(反向題設定!$C$25="是",反向題設定!$B$2+1-原始資料!V252,原始資料!V252))</f>
        <v/>
      </c>
      <c r="W252">
        <f>IF(原始資料!W252="","",IF(反向題設定!$C$26="是",反向題設定!$B$2+1-原始資料!W252,原始資料!W252))</f>
        <v/>
      </c>
      <c r="X252">
        <f>IF(原始資料!X252="","",IF(反向題設定!$C$27="是",反向題設定!$B$2+1-原始資料!X252,原始資料!X252))</f>
        <v/>
      </c>
      <c r="Y252">
        <f>IF(原始資料!Y252="","",IF(反向題設定!$C$28="是",反向題設定!$B$2+1-原始資料!Y252,原始資料!Y252))</f>
        <v/>
      </c>
      <c r="Z252">
        <f>IF(原始資料!Z252="","",IF(反向題設定!$C$29="是",反向題設定!$B$2+1-原始資料!Z252,原始資料!Z252))</f>
        <v/>
      </c>
      <c r="AA252">
        <f>IF(原始資料!AA252="","",IF(反向題設定!$C$30="是",反向題設定!$B$2+1-原始資料!AA252,原始資料!AA252))</f>
        <v/>
      </c>
      <c r="AB252">
        <f>IF(原始資料!AB252="","",IF(反向題設定!$C$31="是",反向題設定!$B$2+1-原始資料!AB252,原始資料!AB252))</f>
        <v/>
      </c>
      <c r="AC252">
        <f>IF(原始資料!AC252="","",IF(反向題設定!$C$32="是",反向題設定!$B$2+1-原始資料!AC252,原始資料!AC252))</f>
        <v/>
      </c>
      <c r="AD252">
        <f>IF(原始資料!AD252="","",IF(反向題設定!$C$33="是",反向題設定!$B$2+1-原始資料!AD252,原始資料!AD252))</f>
        <v/>
      </c>
      <c r="AE252">
        <f>IF(原始資料!AE252="","",IF(反向題設定!$C$34="是",反向題設定!$B$2+1-原始資料!AE252,原始資料!AE252))</f>
        <v/>
      </c>
      <c r="AF252">
        <f>IF(原始資料!AF252="","",IF(反向題設定!$C$35="是",反向題設定!$B$2+1-原始資料!AF252,原始資料!AF252))</f>
        <v/>
      </c>
      <c r="AG252">
        <f>IF(原始資料!AG252="","",IF(反向題設定!$C$36="是",反向題設定!$B$2+1-原始資料!AG252,原始資料!AG252))</f>
        <v/>
      </c>
      <c r="AH252">
        <f>IF(原始資料!AH252="","",IF(反向題設定!$C$37="是",反向題設定!$B$2+1-原始資料!AH252,原始資料!AH252))</f>
        <v/>
      </c>
      <c r="AI252">
        <f>IF(原始資料!AI252="","",IF(反向題設定!$C$38="是",反向題設定!$B$2+1-原始資料!AI252,原始資料!AI252))</f>
        <v/>
      </c>
      <c r="AJ252">
        <f>IF(原始資料!AJ252="","",IF(反向題設定!$C$39="是",反向題設定!$B$2+1-原始資料!AJ252,原始資料!AJ252))</f>
        <v/>
      </c>
      <c r="AK252">
        <f>IF(原始資料!AK252="","",IF(反向題設定!$C$40="是",反向題設定!$B$2+1-原始資料!AK252,原始資料!AK252))</f>
        <v/>
      </c>
      <c r="AL252">
        <f>IF(原始資料!AL252="","",IF(反向題設定!$C$41="是",反向題設定!$B$2+1-原始資料!AL252,原始資料!AL252))</f>
        <v/>
      </c>
      <c r="AM252">
        <f>IF(原始資料!AM252="","",IF(反向題設定!$C$42="是",反向題設定!$B$2+1-原始資料!AM252,原始資料!AM252))</f>
        <v/>
      </c>
      <c r="AN252">
        <f>IF(原始資料!AN252="","",IF(反向題設定!$C$43="是",反向題設定!$B$2+1-原始資料!AN252,原始資料!AN252))</f>
        <v/>
      </c>
      <c r="AO252">
        <f>IF(原始資料!AO252="","",IF(反向題設定!$C$44="是",反向題設定!$B$2+1-原始資料!AO252,原始資料!AO252))</f>
        <v/>
      </c>
      <c r="AP252">
        <f>IF(COUNT(B252:AO252)=0,"",SUM(B252:AO252))</f>
        <v/>
      </c>
      <c r="AQ252">
        <f>IF(AP252="","",IF(AP252&gt;=項目分析!$C$5,"高",IF(AP252&lt;=項目分析!$C$6,"低","")))</f>
        <v/>
      </c>
    </row>
    <row r="253">
      <c r="A253">
        <f>IF(原始資料!A253="","",原始資料!A253)</f>
        <v/>
      </c>
      <c r="B253">
        <f>IF(原始資料!B253="","",IF(反向題設定!$C$5="是",反向題設定!$B$2+1-原始資料!B253,原始資料!B253))</f>
        <v/>
      </c>
      <c r="C253">
        <f>IF(原始資料!C253="","",IF(反向題設定!$C$6="是",反向題設定!$B$2+1-原始資料!C253,原始資料!C253))</f>
        <v/>
      </c>
      <c r="D253">
        <f>IF(原始資料!D253="","",IF(反向題設定!$C$7="是",反向題設定!$B$2+1-原始資料!D253,原始資料!D253))</f>
        <v/>
      </c>
      <c r="E253">
        <f>IF(原始資料!E253="","",IF(反向題設定!$C$8="是",反向題設定!$B$2+1-原始資料!E253,原始資料!E253))</f>
        <v/>
      </c>
      <c r="F253">
        <f>IF(原始資料!F253="","",IF(反向題設定!$C$9="是",反向題設定!$B$2+1-原始資料!F253,原始資料!F253))</f>
        <v/>
      </c>
      <c r="G253">
        <f>IF(原始資料!G253="","",IF(反向題設定!$C$10="是",反向題設定!$B$2+1-原始資料!G253,原始資料!G253))</f>
        <v/>
      </c>
      <c r="H253">
        <f>IF(原始資料!H253="","",IF(反向題設定!$C$11="是",反向題設定!$B$2+1-原始資料!H253,原始資料!H253))</f>
        <v/>
      </c>
      <c r="I253">
        <f>IF(原始資料!I253="","",IF(反向題設定!$C$12="是",反向題設定!$B$2+1-原始資料!I253,原始資料!I253))</f>
        <v/>
      </c>
      <c r="J253">
        <f>IF(原始資料!J253="","",IF(反向題設定!$C$13="是",反向題設定!$B$2+1-原始資料!J253,原始資料!J253))</f>
        <v/>
      </c>
      <c r="K253">
        <f>IF(原始資料!K253="","",IF(反向題設定!$C$14="是",反向題設定!$B$2+1-原始資料!K253,原始資料!K253))</f>
        <v/>
      </c>
      <c r="L253">
        <f>IF(原始資料!L253="","",IF(反向題設定!$C$15="是",反向題設定!$B$2+1-原始資料!L253,原始資料!L253))</f>
        <v/>
      </c>
      <c r="M253">
        <f>IF(原始資料!M253="","",IF(反向題設定!$C$16="是",反向題設定!$B$2+1-原始資料!M253,原始資料!M253))</f>
        <v/>
      </c>
      <c r="N253">
        <f>IF(原始資料!N253="","",IF(反向題設定!$C$17="是",反向題設定!$B$2+1-原始資料!N253,原始資料!N253))</f>
        <v/>
      </c>
      <c r="O253">
        <f>IF(原始資料!O253="","",IF(反向題設定!$C$18="是",反向題設定!$B$2+1-原始資料!O253,原始資料!O253))</f>
        <v/>
      </c>
      <c r="P253">
        <f>IF(原始資料!P253="","",IF(反向題設定!$C$19="是",反向題設定!$B$2+1-原始資料!P253,原始資料!P253))</f>
        <v/>
      </c>
      <c r="Q253">
        <f>IF(原始資料!Q253="","",IF(反向題設定!$C$20="是",反向題設定!$B$2+1-原始資料!Q253,原始資料!Q253))</f>
        <v/>
      </c>
      <c r="R253">
        <f>IF(原始資料!R253="","",IF(反向題設定!$C$21="是",反向題設定!$B$2+1-原始資料!R253,原始資料!R253))</f>
        <v/>
      </c>
      <c r="S253">
        <f>IF(原始資料!S253="","",IF(反向題設定!$C$22="是",反向題設定!$B$2+1-原始資料!S253,原始資料!S253))</f>
        <v/>
      </c>
      <c r="T253">
        <f>IF(原始資料!T253="","",IF(反向題設定!$C$23="是",反向題設定!$B$2+1-原始資料!T253,原始資料!T253))</f>
        <v/>
      </c>
      <c r="U253">
        <f>IF(原始資料!U253="","",IF(反向題設定!$C$24="是",反向題設定!$B$2+1-原始資料!U253,原始資料!U253))</f>
        <v/>
      </c>
      <c r="V253">
        <f>IF(原始資料!V253="","",IF(反向題設定!$C$25="是",反向題設定!$B$2+1-原始資料!V253,原始資料!V253))</f>
        <v/>
      </c>
      <c r="W253">
        <f>IF(原始資料!W253="","",IF(反向題設定!$C$26="是",反向題設定!$B$2+1-原始資料!W253,原始資料!W253))</f>
        <v/>
      </c>
      <c r="X253">
        <f>IF(原始資料!X253="","",IF(反向題設定!$C$27="是",反向題設定!$B$2+1-原始資料!X253,原始資料!X253))</f>
        <v/>
      </c>
      <c r="Y253">
        <f>IF(原始資料!Y253="","",IF(反向題設定!$C$28="是",反向題設定!$B$2+1-原始資料!Y253,原始資料!Y253))</f>
        <v/>
      </c>
      <c r="Z253">
        <f>IF(原始資料!Z253="","",IF(反向題設定!$C$29="是",反向題設定!$B$2+1-原始資料!Z253,原始資料!Z253))</f>
        <v/>
      </c>
      <c r="AA253">
        <f>IF(原始資料!AA253="","",IF(反向題設定!$C$30="是",反向題設定!$B$2+1-原始資料!AA253,原始資料!AA253))</f>
        <v/>
      </c>
      <c r="AB253">
        <f>IF(原始資料!AB253="","",IF(反向題設定!$C$31="是",反向題設定!$B$2+1-原始資料!AB253,原始資料!AB253))</f>
        <v/>
      </c>
      <c r="AC253">
        <f>IF(原始資料!AC253="","",IF(反向題設定!$C$32="是",反向題設定!$B$2+1-原始資料!AC253,原始資料!AC253))</f>
        <v/>
      </c>
      <c r="AD253">
        <f>IF(原始資料!AD253="","",IF(反向題設定!$C$33="是",反向題設定!$B$2+1-原始資料!AD253,原始資料!AD253))</f>
        <v/>
      </c>
      <c r="AE253">
        <f>IF(原始資料!AE253="","",IF(反向題設定!$C$34="是",反向題設定!$B$2+1-原始資料!AE253,原始資料!AE253))</f>
        <v/>
      </c>
      <c r="AF253">
        <f>IF(原始資料!AF253="","",IF(反向題設定!$C$35="是",反向題設定!$B$2+1-原始資料!AF253,原始資料!AF253))</f>
        <v/>
      </c>
      <c r="AG253">
        <f>IF(原始資料!AG253="","",IF(反向題設定!$C$36="是",反向題設定!$B$2+1-原始資料!AG253,原始資料!AG253))</f>
        <v/>
      </c>
      <c r="AH253">
        <f>IF(原始資料!AH253="","",IF(反向題設定!$C$37="是",反向題設定!$B$2+1-原始資料!AH253,原始資料!AH253))</f>
        <v/>
      </c>
      <c r="AI253">
        <f>IF(原始資料!AI253="","",IF(反向題設定!$C$38="是",反向題設定!$B$2+1-原始資料!AI253,原始資料!AI253))</f>
        <v/>
      </c>
      <c r="AJ253">
        <f>IF(原始資料!AJ253="","",IF(反向題設定!$C$39="是",反向題設定!$B$2+1-原始資料!AJ253,原始資料!AJ253))</f>
        <v/>
      </c>
      <c r="AK253">
        <f>IF(原始資料!AK253="","",IF(反向題設定!$C$40="是",反向題設定!$B$2+1-原始資料!AK253,原始資料!AK253))</f>
        <v/>
      </c>
      <c r="AL253">
        <f>IF(原始資料!AL253="","",IF(反向題設定!$C$41="是",反向題設定!$B$2+1-原始資料!AL253,原始資料!AL253))</f>
        <v/>
      </c>
      <c r="AM253">
        <f>IF(原始資料!AM253="","",IF(反向題設定!$C$42="是",反向題設定!$B$2+1-原始資料!AM253,原始資料!AM253))</f>
        <v/>
      </c>
      <c r="AN253">
        <f>IF(原始資料!AN253="","",IF(反向題設定!$C$43="是",反向題設定!$B$2+1-原始資料!AN253,原始資料!AN253))</f>
        <v/>
      </c>
      <c r="AO253">
        <f>IF(原始資料!AO253="","",IF(反向題設定!$C$44="是",反向題設定!$B$2+1-原始資料!AO253,原始資料!AO253))</f>
        <v/>
      </c>
      <c r="AP253">
        <f>IF(COUNT(B253:AO253)=0,"",SUM(B253:AO253))</f>
        <v/>
      </c>
      <c r="AQ253">
        <f>IF(AP253="","",IF(AP253&gt;=項目分析!$C$5,"高",IF(AP253&lt;=項目分析!$C$6,"低","")))</f>
        <v/>
      </c>
    </row>
    <row r="254">
      <c r="A254">
        <f>IF(原始資料!A254="","",原始資料!A254)</f>
        <v/>
      </c>
      <c r="B254">
        <f>IF(原始資料!B254="","",IF(反向題設定!$C$5="是",反向題設定!$B$2+1-原始資料!B254,原始資料!B254))</f>
        <v/>
      </c>
      <c r="C254">
        <f>IF(原始資料!C254="","",IF(反向題設定!$C$6="是",反向題設定!$B$2+1-原始資料!C254,原始資料!C254))</f>
        <v/>
      </c>
      <c r="D254">
        <f>IF(原始資料!D254="","",IF(反向題設定!$C$7="是",反向題設定!$B$2+1-原始資料!D254,原始資料!D254))</f>
        <v/>
      </c>
      <c r="E254">
        <f>IF(原始資料!E254="","",IF(反向題設定!$C$8="是",反向題設定!$B$2+1-原始資料!E254,原始資料!E254))</f>
        <v/>
      </c>
      <c r="F254">
        <f>IF(原始資料!F254="","",IF(反向題設定!$C$9="是",反向題設定!$B$2+1-原始資料!F254,原始資料!F254))</f>
        <v/>
      </c>
      <c r="G254">
        <f>IF(原始資料!G254="","",IF(反向題設定!$C$10="是",反向題設定!$B$2+1-原始資料!G254,原始資料!G254))</f>
        <v/>
      </c>
      <c r="H254">
        <f>IF(原始資料!H254="","",IF(反向題設定!$C$11="是",反向題設定!$B$2+1-原始資料!H254,原始資料!H254))</f>
        <v/>
      </c>
      <c r="I254">
        <f>IF(原始資料!I254="","",IF(反向題設定!$C$12="是",反向題設定!$B$2+1-原始資料!I254,原始資料!I254))</f>
        <v/>
      </c>
      <c r="J254">
        <f>IF(原始資料!J254="","",IF(反向題設定!$C$13="是",反向題設定!$B$2+1-原始資料!J254,原始資料!J254))</f>
        <v/>
      </c>
      <c r="K254">
        <f>IF(原始資料!K254="","",IF(反向題設定!$C$14="是",反向題設定!$B$2+1-原始資料!K254,原始資料!K254))</f>
        <v/>
      </c>
      <c r="L254">
        <f>IF(原始資料!L254="","",IF(反向題設定!$C$15="是",反向題設定!$B$2+1-原始資料!L254,原始資料!L254))</f>
        <v/>
      </c>
      <c r="M254">
        <f>IF(原始資料!M254="","",IF(反向題設定!$C$16="是",反向題設定!$B$2+1-原始資料!M254,原始資料!M254))</f>
        <v/>
      </c>
      <c r="N254">
        <f>IF(原始資料!N254="","",IF(反向題設定!$C$17="是",反向題設定!$B$2+1-原始資料!N254,原始資料!N254))</f>
        <v/>
      </c>
      <c r="O254">
        <f>IF(原始資料!O254="","",IF(反向題設定!$C$18="是",反向題設定!$B$2+1-原始資料!O254,原始資料!O254))</f>
        <v/>
      </c>
      <c r="P254">
        <f>IF(原始資料!P254="","",IF(反向題設定!$C$19="是",反向題設定!$B$2+1-原始資料!P254,原始資料!P254))</f>
        <v/>
      </c>
      <c r="Q254">
        <f>IF(原始資料!Q254="","",IF(反向題設定!$C$20="是",反向題設定!$B$2+1-原始資料!Q254,原始資料!Q254))</f>
        <v/>
      </c>
      <c r="R254">
        <f>IF(原始資料!R254="","",IF(反向題設定!$C$21="是",反向題設定!$B$2+1-原始資料!R254,原始資料!R254))</f>
        <v/>
      </c>
      <c r="S254">
        <f>IF(原始資料!S254="","",IF(反向題設定!$C$22="是",反向題設定!$B$2+1-原始資料!S254,原始資料!S254))</f>
        <v/>
      </c>
      <c r="T254">
        <f>IF(原始資料!T254="","",IF(反向題設定!$C$23="是",反向題設定!$B$2+1-原始資料!T254,原始資料!T254))</f>
        <v/>
      </c>
      <c r="U254">
        <f>IF(原始資料!U254="","",IF(反向題設定!$C$24="是",反向題設定!$B$2+1-原始資料!U254,原始資料!U254))</f>
        <v/>
      </c>
      <c r="V254">
        <f>IF(原始資料!V254="","",IF(反向題設定!$C$25="是",反向題設定!$B$2+1-原始資料!V254,原始資料!V254))</f>
        <v/>
      </c>
      <c r="W254">
        <f>IF(原始資料!W254="","",IF(反向題設定!$C$26="是",反向題設定!$B$2+1-原始資料!W254,原始資料!W254))</f>
        <v/>
      </c>
      <c r="X254">
        <f>IF(原始資料!X254="","",IF(反向題設定!$C$27="是",反向題設定!$B$2+1-原始資料!X254,原始資料!X254))</f>
        <v/>
      </c>
      <c r="Y254">
        <f>IF(原始資料!Y254="","",IF(反向題設定!$C$28="是",反向題設定!$B$2+1-原始資料!Y254,原始資料!Y254))</f>
        <v/>
      </c>
      <c r="Z254">
        <f>IF(原始資料!Z254="","",IF(反向題設定!$C$29="是",反向題設定!$B$2+1-原始資料!Z254,原始資料!Z254))</f>
        <v/>
      </c>
      <c r="AA254">
        <f>IF(原始資料!AA254="","",IF(反向題設定!$C$30="是",反向題設定!$B$2+1-原始資料!AA254,原始資料!AA254))</f>
        <v/>
      </c>
      <c r="AB254">
        <f>IF(原始資料!AB254="","",IF(反向題設定!$C$31="是",反向題設定!$B$2+1-原始資料!AB254,原始資料!AB254))</f>
        <v/>
      </c>
      <c r="AC254">
        <f>IF(原始資料!AC254="","",IF(反向題設定!$C$32="是",反向題設定!$B$2+1-原始資料!AC254,原始資料!AC254))</f>
        <v/>
      </c>
      <c r="AD254">
        <f>IF(原始資料!AD254="","",IF(反向題設定!$C$33="是",反向題設定!$B$2+1-原始資料!AD254,原始資料!AD254))</f>
        <v/>
      </c>
      <c r="AE254">
        <f>IF(原始資料!AE254="","",IF(反向題設定!$C$34="是",反向題設定!$B$2+1-原始資料!AE254,原始資料!AE254))</f>
        <v/>
      </c>
      <c r="AF254">
        <f>IF(原始資料!AF254="","",IF(反向題設定!$C$35="是",反向題設定!$B$2+1-原始資料!AF254,原始資料!AF254))</f>
        <v/>
      </c>
      <c r="AG254">
        <f>IF(原始資料!AG254="","",IF(反向題設定!$C$36="是",反向題設定!$B$2+1-原始資料!AG254,原始資料!AG254))</f>
        <v/>
      </c>
      <c r="AH254">
        <f>IF(原始資料!AH254="","",IF(反向題設定!$C$37="是",反向題設定!$B$2+1-原始資料!AH254,原始資料!AH254))</f>
        <v/>
      </c>
      <c r="AI254">
        <f>IF(原始資料!AI254="","",IF(反向題設定!$C$38="是",反向題設定!$B$2+1-原始資料!AI254,原始資料!AI254))</f>
        <v/>
      </c>
      <c r="AJ254">
        <f>IF(原始資料!AJ254="","",IF(反向題設定!$C$39="是",反向題設定!$B$2+1-原始資料!AJ254,原始資料!AJ254))</f>
        <v/>
      </c>
      <c r="AK254">
        <f>IF(原始資料!AK254="","",IF(反向題設定!$C$40="是",反向題設定!$B$2+1-原始資料!AK254,原始資料!AK254))</f>
        <v/>
      </c>
      <c r="AL254">
        <f>IF(原始資料!AL254="","",IF(反向題設定!$C$41="是",反向題設定!$B$2+1-原始資料!AL254,原始資料!AL254))</f>
        <v/>
      </c>
      <c r="AM254">
        <f>IF(原始資料!AM254="","",IF(反向題設定!$C$42="是",反向題設定!$B$2+1-原始資料!AM254,原始資料!AM254))</f>
        <v/>
      </c>
      <c r="AN254">
        <f>IF(原始資料!AN254="","",IF(反向題設定!$C$43="是",反向題設定!$B$2+1-原始資料!AN254,原始資料!AN254))</f>
        <v/>
      </c>
      <c r="AO254">
        <f>IF(原始資料!AO254="","",IF(反向題設定!$C$44="是",反向題設定!$B$2+1-原始資料!AO254,原始資料!AO254))</f>
        <v/>
      </c>
      <c r="AP254">
        <f>IF(COUNT(B254:AO254)=0,"",SUM(B254:AO254))</f>
        <v/>
      </c>
      <c r="AQ254">
        <f>IF(AP254="","",IF(AP254&gt;=項目分析!$C$5,"高",IF(AP254&lt;=項目分析!$C$6,"低","")))</f>
        <v/>
      </c>
    </row>
    <row r="255">
      <c r="A255">
        <f>IF(原始資料!A255="","",原始資料!A255)</f>
        <v/>
      </c>
      <c r="B255">
        <f>IF(原始資料!B255="","",IF(反向題設定!$C$5="是",反向題設定!$B$2+1-原始資料!B255,原始資料!B255))</f>
        <v/>
      </c>
      <c r="C255">
        <f>IF(原始資料!C255="","",IF(反向題設定!$C$6="是",反向題設定!$B$2+1-原始資料!C255,原始資料!C255))</f>
        <v/>
      </c>
      <c r="D255">
        <f>IF(原始資料!D255="","",IF(反向題設定!$C$7="是",反向題設定!$B$2+1-原始資料!D255,原始資料!D255))</f>
        <v/>
      </c>
      <c r="E255">
        <f>IF(原始資料!E255="","",IF(反向題設定!$C$8="是",反向題設定!$B$2+1-原始資料!E255,原始資料!E255))</f>
        <v/>
      </c>
      <c r="F255">
        <f>IF(原始資料!F255="","",IF(反向題設定!$C$9="是",反向題設定!$B$2+1-原始資料!F255,原始資料!F255))</f>
        <v/>
      </c>
      <c r="G255">
        <f>IF(原始資料!G255="","",IF(反向題設定!$C$10="是",反向題設定!$B$2+1-原始資料!G255,原始資料!G255))</f>
        <v/>
      </c>
      <c r="H255">
        <f>IF(原始資料!H255="","",IF(反向題設定!$C$11="是",反向題設定!$B$2+1-原始資料!H255,原始資料!H255))</f>
        <v/>
      </c>
      <c r="I255">
        <f>IF(原始資料!I255="","",IF(反向題設定!$C$12="是",反向題設定!$B$2+1-原始資料!I255,原始資料!I255))</f>
        <v/>
      </c>
      <c r="J255">
        <f>IF(原始資料!J255="","",IF(反向題設定!$C$13="是",反向題設定!$B$2+1-原始資料!J255,原始資料!J255))</f>
        <v/>
      </c>
      <c r="K255">
        <f>IF(原始資料!K255="","",IF(反向題設定!$C$14="是",反向題設定!$B$2+1-原始資料!K255,原始資料!K255))</f>
        <v/>
      </c>
      <c r="L255">
        <f>IF(原始資料!L255="","",IF(反向題設定!$C$15="是",反向題設定!$B$2+1-原始資料!L255,原始資料!L255))</f>
        <v/>
      </c>
      <c r="M255">
        <f>IF(原始資料!M255="","",IF(反向題設定!$C$16="是",反向題設定!$B$2+1-原始資料!M255,原始資料!M255))</f>
        <v/>
      </c>
      <c r="N255">
        <f>IF(原始資料!N255="","",IF(反向題設定!$C$17="是",反向題設定!$B$2+1-原始資料!N255,原始資料!N255))</f>
        <v/>
      </c>
      <c r="O255">
        <f>IF(原始資料!O255="","",IF(反向題設定!$C$18="是",反向題設定!$B$2+1-原始資料!O255,原始資料!O255))</f>
        <v/>
      </c>
      <c r="P255">
        <f>IF(原始資料!P255="","",IF(反向題設定!$C$19="是",反向題設定!$B$2+1-原始資料!P255,原始資料!P255))</f>
        <v/>
      </c>
      <c r="Q255">
        <f>IF(原始資料!Q255="","",IF(反向題設定!$C$20="是",反向題設定!$B$2+1-原始資料!Q255,原始資料!Q255))</f>
        <v/>
      </c>
      <c r="R255">
        <f>IF(原始資料!R255="","",IF(反向題設定!$C$21="是",反向題設定!$B$2+1-原始資料!R255,原始資料!R255))</f>
        <v/>
      </c>
      <c r="S255">
        <f>IF(原始資料!S255="","",IF(反向題設定!$C$22="是",反向題設定!$B$2+1-原始資料!S255,原始資料!S255))</f>
        <v/>
      </c>
      <c r="T255">
        <f>IF(原始資料!T255="","",IF(反向題設定!$C$23="是",反向題設定!$B$2+1-原始資料!T255,原始資料!T255))</f>
        <v/>
      </c>
      <c r="U255">
        <f>IF(原始資料!U255="","",IF(反向題設定!$C$24="是",反向題設定!$B$2+1-原始資料!U255,原始資料!U255))</f>
        <v/>
      </c>
      <c r="V255">
        <f>IF(原始資料!V255="","",IF(反向題設定!$C$25="是",反向題設定!$B$2+1-原始資料!V255,原始資料!V255))</f>
        <v/>
      </c>
      <c r="W255">
        <f>IF(原始資料!W255="","",IF(反向題設定!$C$26="是",反向題設定!$B$2+1-原始資料!W255,原始資料!W255))</f>
        <v/>
      </c>
      <c r="X255">
        <f>IF(原始資料!X255="","",IF(反向題設定!$C$27="是",反向題設定!$B$2+1-原始資料!X255,原始資料!X255))</f>
        <v/>
      </c>
      <c r="Y255">
        <f>IF(原始資料!Y255="","",IF(反向題設定!$C$28="是",反向題設定!$B$2+1-原始資料!Y255,原始資料!Y255))</f>
        <v/>
      </c>
      <c r="Z255">
        <f>IF(原始資料!Z255="","",IF(反向題設定!$C$29="是",反向題設定!$B$2+1-原始資料!Z255,原始資料!Z255))</f>
        <v/>
      </c>
      <c r="AA255">
        <f>IF(原始資料!AA255="","",IF(反向題設定!$C$30="是",反向題設定!$B$2+1-原始資料!AA255,原始資料!AA255))</f>
        <v/>
      </c>
      <c r="AB255">
        <f>IF(原始資料!AB255="","",IF(反向題設定!$C$31="是",反向題設定!$B$2+1-原始資料!AB255,原始資料!AB255))</f>
        <v/>
      </c>
      <c r="AC255">
        <f>IF(原始資料!AC255="","",IF(反向題設定!$C$32="是",反向題設定!$B$2+1-原始資料!AC255,原始資料!AC255))</f>
        <v/>
      </c>
      <c r="AD255">
        <f>IF(原始資料!AD255="","",IF(反向題設定!$C$33="是",反向題設定!$B$2+1-原始資料!AD255,原始資料!AD255))</f>
        <v/>
      </c>
      <c r="AE255">
        <f>IF(原始資料!AE255="","",IF(反向題設定!$C$34="是",反向題設定!$B$2+1-原始資料!AE255,原始資料!AE255))</f>
        <v/>
      </c>
      <c r="AF255">
        <f>IF(原始資料!AF255="","",IF(反向題設定!$C$35="是",反向題設定!$B$2+1-原始資料!AF255,原始資料!AF255))</f>
        <v/>
      </c>
      <c r="AG255">
        <f>IF(原始資料!AG255="","",IF(反向題設定!$C$36="是",反向題設定!$B$2+1-原始資料!AG255,原始資料!AG255))</f>
        <v/>
      </c>
      <c r="AH255">
        <f>IF(原始資料!AH255="","",IF(反向題設定!$C$37="是",反向題設定!$B$2+1-原始資料!AH255,原始資料!AH255))</f>
        <v/>
      </c>
      <c r="AI255">
        <f>IF(原始資料!AI255="","",IF(反向題設定!$C$38="是",反向題設定!$B$2+1-原始資料!AI255,原始資料!AI255))</f>
        <v/>
      </c>
      <c r="AJ255">
        <f>IF(原始資料!AJ255="","",IF(反向題設定!$C$39="是",反向題設定!$B$2+1-原始資料!AJ255,原始資料!AJ255))</f>
        <v/>
      </c>
      <c r="AK255">
        <f>IF(原始資料!AK255="","",IF(反向題設定!$C$40="是",反向題設定!$B$2+1-原始資料!AK255,原始資料!AK255))</f>
        <v/>
      </c>
      <c r="AL255">
        <f>IF(原始資料!AL255="","",IF(反向題設定!$C$41="是",反向題設定!$B$2+1-原始資料!AL255,原始資料!AL255))</f>
        <v/>
      </c>
      <c r="AM255">
        <f>IF(原始資料!AM255="","",IF(反向題設定!$C$42="是",反向題設定!$B$2+1-原始資料!AM255,原始資料!AM255))</f>
        <v/>
      </c>
      <c r="AN255">
        <f>IF(原始資料!AN255="","",IF(反向題設定!$C$43="是",反向題設定!$B$2+1-原始資料!AN255,原始資料!AN255))</f>
        <v/>
      </c>
      <c r="AO255">
        <f>IF(原始資料!AO255="","",IF(反向題設定!$C$44="是",反向題設定!$B$2+1-原始資料!AO255,原始資料!AO255))</f>
        <v/>
      </c>
      <c r="AP255">
        <f>IF(COUNT(B255:AO255)=0,"",SUM(B255:AO255))</f>
        <v/>
      </c>
      <c r="AQ255">
        <f>IF(AP255="","",IF(AP255&gt;=項目分析!$C$5,"高",IF(AP255&lt;=項目分析!$C$6,"低","")))</f>
        <v/>
      </c>
    </row>
    <row r="256">
      <c r="A256">
        <f>IF(原始資料!A256="","",原始資料!A256)</f>
        <v/>
      </c>
      <c r="B256">
        <f>IF(原始資料!B256="","",IF(反向題設定!$C$5="是",反向題設定!$B$2+1-原始資料!B256,原始資料!B256))</f>
        <v/>
      </c>
      <c r="C256">
        <f>IF(原始資料!C256="","",IF(反向題設定!$C$6="是",反向題設定!$B$2+1-原始資料!C256,原始資料!C256))</f>
        <v/>
      </c>
      <c r="D256">
        <f>IF(原始資料!D256="","",IF(反向題設定!$C$7="是",反向題設定!$B$2+1-原始資料!D256,原始資料!D256))</f>
        <v/>
      </c>
      <c r="E256">
        <f>IF(原始資料!E256="","",IF(反向題設定!$C$8="是",反向題設定!$B$2+1-原始資料!E256,原始資料!E256))</f>
        <v/>
      </c>
      <c r="F256">
        <f>IF(原始資料!F256="","",IF(反向題設定!$C$9="是",反向題設定!$B$2+1-原始資料!F256,原始資料!F256))</f>
        <v/>
      </c>
      <c r="G256">
        <f>IF(原始資料!G256="","",IF(反向題設定!$C$10="是",反向題設定!$B$2+1-原始資料!G256,原始資料!G256))</f>
        <v/>
      </c>
      <c r="H256">
        <f>IF(原始資料!H256="","",IF(反向題設定!$C$11="是",反向題設定!$B$2+1-原始資料!H256,原始資料!H256))</f>
        <v/>
      </c>
      <c r="I256">
        <f>IF(原始資料!I256="","",IF(反向題設定!$C$12="是",反向題設定!$B$2+1-原始資料!I256,原始資料!I256))</f>
        <v/>
      </c>
      <c r="J256">
        <f>IF(原始資料!J256="","",IF(反向題設定!$C$13="是",反向題設定!$B$2+1-原始資料!J256,原始資料!J256))</f>
        <v/>
      </c>
      <c r="K256">
        <f>IF(原始資料!K256="","",IF(反向題設定!$C$14="是",反向題設定!$B$2+1-原始資料!K256,原始資料!K256))</f>
        <v/>
      </c>
      <c r="L256">
        <f>IF(原始資料!L256="","",IF(反向題設定!$C$15="是",反向題設定!$B$2+1-原始資料!L256,原始資料!L256))</f>
        <v/>
      </c>
      <c r="M256">
        <f>IF(原始資料!M256="","",IF(反向題設定!$C$16="是",反向題設定!$B$2+1-原始資料!M256,原始資料!M256))</f>
        <v/>
      </c>
      <c r="N256">
        <f>IF(原始資料!N256="","",IF(反向題設定!$C$17="是",反向題設定!$B$2+1-原始資料!N256,原始資料!N256))</f>
        <v/>
      </c>
      <c r="O256">
        <f>IF(原始資料!O256="","",IF(反向題設定!$C$18="是",反向題設定!$B$2+1-原始資料!O256,原始資料!O256))</f>
        <v/>
      </c>
      <c r="P256">
        <f>IF(原始資料!P256="","",IF(反向題設定!$C$19="是",反向題設定!$B$2+1-原始資料!P256,原始資料!P256))</f>
        <v/>
      </c>
      <c r="Q256">
        <f>IF(原始資料!Q256="","",IF(反向題設定!$C$20="是",反向題設定!$B$2+1-原始資料!Q256,原始資料!Q256))</f>
        <v/>
      </c>
      <c r="R256">
        <f>IF(原始資料!R256="","",IF(反向題設定!$C$21="是",反向題設定!$B$2+1-原始資料!R256,原始資料!R256))</f>
        <v/>
      </c>
      <c r="S256">
        <f>IF(原始資料!S256="","",IF(反向題設定!$C$22="是",反向題設定!$B$2+1-原始資料!S256,原始資料!S256))</f>
        <v/>
      </c>
      <c r="T256">
        <f>IF(原始資料!T256="","",IF(反向題設定!$C$23="是",反向題設定!$B$2+1-原始資料!T256,原始資料!T256))</f>
        <v/>
      </c>
      <c r="U256">
        <f>IF(原始資料!U256="","",IF(反向題設定!$C$24="是",反向題設定!$B$2+1-原始資料!U256,原始資料!U256))</f>
        <v/>
      </c>
      <c r="V256">
        <f>IF(原始資料!V256="","",IF(反向題設定!$C$25="是",反向題設定!$B$2+1-原始資料!V256,原始資料!V256))</f>
        <v/>
      </c>
      <c r="W256">
        <f>IF(原始資料!W256="","",IF(反向題設定!$C$26="是",反向題設定!$B$2+1-原始資料!W256,原始資料!W256))</f>
        <v/>
      </c>
      <c r="X256">
        <f>IF(原始資料!X256="","",IF(反向題設定!$C$27="是",反向題設定!$B$2+1-原始資料!X256,原始資料!X256))</f>
        <v/>
      </c>
      <c r="Y256">
        <f>IF(原始資料!Y256="","",IF(反向題設定!$C$28="是",反向題設定!$B$2+1-原始資料!Y256,原始資料!Y256))</f>
        <v/>
      </c>
      <c r="Z256">
        <f>IF(原始資料!Z256="","",IF(反向題設定!$C$29="是",反向題設定!$B$2+1-原始資料!Z256,原始資料!Z256))</f>
        <v/>
      </c>
      <c r="AA256">
        <f>IF(原始資料!AA256="","",IF(反向題設定!$C$30="是",反向題設定!$B$2+1-原始資料!AA256,原始資料!AA256))</f>
        <v/>
      </c>
      <c r="AB256">
        <f>IF(原始資料!AB256="","",IF(反向題設定!$C$31="是",反向題設定!$B$2+1-原始資料!AB256,原始資料!AB256))</f>
        <v/>
      </c>
      <c r="AC256">
        <f>IF(原始資料!AC256="","",IF(反向題設定!$C$32="是",反向題設定!$B$2+1-原始資料!AC256,原始資料!AC256))</f>
        <v/>
      </c>
      <c r="AD256">
        <f>IF(原始資料!AD256="","",IF(反向題設定!$C$33="是",反向題設定!$B$2+1-原始資料!AD256,原始資料!AD256))</f>
        <v/>
      </c>
      <c r="AE256">
        <f>IF(原始資料!AE256="","",IF(反向題設定!$C$34="是",反向題設定!$B$2+1-原始資料!AE256,原始資料!AE256))</f>
        <v/>
      </c>
      <c r="AF256">
        <f>IF(原始資料!AF256="","",IF(反向題設定!$C$35="是",反向題設定!$B$2+1-原始資料!AF256,原始資料!AF256))</f>
        <v/>
      </c>
      <c r="AG256">
        <f>IF(原始資料!AG256="","",IF(反向題設定!$C$36="是",反向題設定!$B$2+1-原始資料!AG256,原始資料!AG256))</f>
        <v/>
      </c>
      <c r="AH256">
        <f>IF(原始資料!AH256="","",IF(反向題設定!$C$37="是",反向題設定!$B$2+1-原始資料!AH256,原始資料!AH256))</f>
        <v/>
      </c>
      <c r="AI256">
        <f>IF(原始資料!AI256="","",IF(反向題設定!$C$38="是",反向題設定!$B$2+1-原始資料!AI256,原始資料!AI256))</f>
        <v/>
      </c>
      <c r="AJ256">
        <f>IF(原始資料!AJ256="","",IF(反向題設定!$C$39="是",反向題設定!$B$2+1-原始資料!AJ256,原始資料!AJ256))</f>
        <v/>
      </c>
      <c r="AK256">
        <f>IF(原始資料!AK256="","",IF(反向題設定!$C$40="是",反向題設定!$B$2+1-原始資料!AK256,原始資料!AK256))</f>
        <v/>
      </c>
      <c r="AL256">
        <f>IF(原始資料!AL256="","",IF(反向題設定!$C$41="是",反向題設定!$B$2+1-原始資料!AL256,原始資料!AL256))</f>
        <v/>
      </c>
      <c r="AM256">
        <f>IF(原始資料!AM256="","",IF(反向題設定!$C$42="是",反向題設定!$B$2+1-原始資料!AM256,原始資料!AM256))</f>
        <v/>
      </c>
      <c r="AN256">
        <f>IF(原始資料!AN256="","",IF(反向題設定!$C$43="是",反向題設定!$B$2+1-原始資料!AN256,原始資料!AN256))</f>
        <v/>
      </c>
      <c r="AO256">
        <f>IF(原始資料!AO256="","",IF(反向題設定!$C$44="是",反向題設定!$B$2+1-原始資料!AO256,原始資料!AO256))</f>
        <v/>
      </c>
      <c r="AP256">
        <f>IF(COUNT(B256:AO256)=0,"",SUM(B256:AO256))</f>
        <v/>
      </c>
      <c r="AQ256">
        <f>IF(AP256="","",IF(AP256&gt;=項目分析!$C$5,"高",IF(AP256&lt;=項目分析!$C$6,"低","")))</f>
        <v/>
      </c>
    </row>
    <row r="257">
      <c r="A257">
        <f>IF(原始資料!A257="","",原始資料!A257)</f>
        <v/>
      </c>
      <c r="B257">
        <f>IF(原始資料!B257="","",IF(反向題設定!$C$5="是",反向題設定!$B$2+1-原始資料!B257,原始資料!B257))</f>
        <v/>
      </c>
      <c r="C257">
        <f>IF(原始資料!C257="","",IF(反向題設定!$C$6="是",反向題設定!$B$2+1-原始資料!C257,原始資料!C257))</f>
        <v/>
      </c>
      <c r="D257">
        <f>IF(原始資料!D257="","",IF(反向題設定!$C$7="是",反向題設定!$B$2+1-原始資料!D257,原始資料!D257))</f>
        <v/>
      </c>
      <c r="E257">
        <f>IF(原始資料!E257="","",IF(反向題設定!$C$8="是",反向題設定!$B$2+1-原始資料!E257,原始資料!E257))</f>
        <v/>
      </c>
      <c r="F257">
        <f>IF(原始資料!F257="","",IF(反向題設定!$C$9="是",反向題設定!$B$2+1-原始資料!F257,原始資料!F257))</f>
        <v/>
      </c>
      <c r="G257">
        <f>IF(原始資料!G257="","",IF(反向題設定!$C$10="是",反向題設定!$B$2+1-原始資料!G257,原始資料!G257))</f>
        <v/>
      </c>
      <c r="H257">
        <f>IF(原始資料!H257="","",IF(反向題設定!$C$11="是",反向題設定!$B$2+1-原始資料!H257,原始資料!H257))</f>
        <v/>
      </c>
      <c r="I257">
        <f>IF(原始資料!I257="","",IF(反向題設定!$C$12="是",反向題設定!$B$2+1-原始資料!I257,原始資料!I257))</f>
        <v/>
      </c>
      <c r="J257">
        <f>IF(原始資料!J257="","",IF(反向題設定!$C$13="是",反向題設定!$B$2+1-原始資料!J257,原始資料!J257))</f>
        <v/>
      </c>
      <c r="K257">
        <f>IF(原始資料!K257="","",IF(反向題設定!$C$14="是",反向題設定!$B$2+1-原始資料!K257,原始資料!K257))</f>
        <v/>
      </c>
      <c r="L257">
        <f>IF(原始資料!L257="","",IF(反向題設定!$C$15="是",反向題設定!$B$2+1-原始資料!L257,原始資料!L257))</f>
        <v/>
      </c>
      <c r="M257">
        <f>IF(原始資料!M257="","",IF(反向題設定!$C$16="是",反向題設定!$B$2+1-原始資料!M257,原始資料!M257))</f>
        <v/>
      </c>
      <c r="N257">
        <f>IF(原始資料!N257="","",IF(反向題設定!$C$17="是",反向題設定!$B$2+1-原始資料!N257,原始資料!N257))</f>
        <v/>
      </c>
      <c r="O257">
        <f>IF(原始資料!O257="","",IF(反向題設定!$C$18="是",反向題設定!$B$2+1-原始資料!O257,原始資料!O257))</f>
        <v/>
      </c>
      <c r="P257">
        <f>IF(原始資料!P257="","",IF(反向題設定!$C$19="是",反向題設定!$B$2+1-原始資料!P257,原始資料!P257))</f>
        <v/>
      </c>
      <c r="Q257">
        <f>IF(原始資料!Q257="","",IF(反向題設定!$C$20="是",反向題設定!$B$2+1-原始資料!Q257,原始資料!Q257))</f>
        <v/>
      </c>
      <c r="R257">
        <f>IF(原始資料!R257="","",IF(反向題設定!$C$21="是",反向題設定!$B$2+1-原始資料!R257,原始資料!R257))</f>
        <v/>
      </c>
      <c r="S257">
        <f>IF(原始資料!S257="","",IF(反向題設定!$C$22="是",反向題設定!$B$2+1-原始資料!S257,原始資料!S257))</f>
        <v/>
      </c>
      <c r="T257">
        <f>IF(原始資料!T257="","",IF(反向題設定!$C$23="是",反向題設定!$B$2+1-原始資料!T257,原始資料!T257))</f>
        <v/>
      </c>
      <c r="U257">
        <f>IF(原始資料!U257="","",IF(反向題設定!$C$24="是",反向題設定!$B$2+1-原始資料!U257,原始資料!U257))</f>
        <v/>
      </c>
      <c r="V257">
        <f>IF(原始資料!V257="","",IF(反向題設定!$C$25="是",反向題設定!$B$2+1-原始資料!V257,原始資料!V257))</f>
        <v/>
      </c>
      <c r="W257">
        <f>IF(原始資料!W257="","",IF(反向題設定!$C$26="是",反向題設定!$B$2+1-原始資料!W257,原始資料!W257))</f>
        <v/>
      </c>
      <c r="X257">
        <f>IF(原始資料!X257="","",IF(反向題設定!$C$27="是",反向題設定!$B$2+1-原始資料!X257,原始資料!X257))</f>
        <v/>
      </c>
      <c r="Y257">
        <f>IF(原始資料!Y257="","",IF(反向題設定!$C$28="是",反向題設定!$B$2+1-原始資料!Y257,原始資料!Y257))</f>
        <v/>
      </c>
      <c r="Z257">
        <f>IF(原始資料!Z257="","",IF(反向題設定!$C$29="是",反向題設定!$B$2+1-原始資料!Z257,原始資料!Z257))</f>
        <v/>
      </c>
      <c r="AA257">
        <f>IF(原始資料!AA257="","",IF(反向題設定!$C$30="是",反向題設定!$B$2+1-原始資料!AA257,原始資料!AA257))</f>
        <v/>
      </c>
      <c r="AB257">
        <f>IF(原始資料!AB257="","",IF(反向題設定!$C$31="是",反向題設定!$B$2+1-原始資料!AB257,原始資料!AB257))</f>
        <v/>
      </c>
      <c r="AC257">
        <f>IF(原始資料!AC257="","",IF(反向題設定!$C$32="是",反向題設定!$B$2+1-原始資料!AC257,原始資料!AC257))</f>
        <v/>
      </c>
      <c r="AD257">
        <f>IF(原始資料!AD257="","",IF(反向題設定!$C$33="是",反向題設定!$B$2+1-原始資料!AD257,原始資料!AD257))</f>
        <v/>
      </c>
      <c r="AE257">
        <f>IF(原始資料!AE257="","",IF(反向題設定!$C$34="是",反向題設定!$B$2+1-原始資料!AE257,原始資料!AE257))</f>
        <v/>
      </c>
      <c r="AF257">
        <f>IF(原始資料!AF257="","",IF(反向題設定!$C$35="是",反向題設定!$B$2+1-原始資料!AF257,原始資料!AF257))</f>
        <v/>
      </c>
      <c r="AG257">
        <f>IF(原始資料!AG257="","",IF(反向題設定!$C$36="是",反向題設定!$B$2+1-原始資料!AG257,原始資料!AG257))</f>
        <v/>
      </c>
      <c r="AH257">
        <f>IF(原始資料!AH257="","",IF(反向題設定!$C$37="是",反向題設定!$B$2+1-原始資料!AH257,原始資料!AH257))</f>
        <v/>
      </c>
      <c r="AI257">
        <f>IF(原始資料!AI257="","",IF(反向題設定!$C$38="是",反向題設定!$B$2+1-原始資料!AI257,原始資料!AI257))</f>
        <v/>
      </c>
      <c r="AJ257">
        <f>IF(原始資料!AJ257="","",IF(反向題設定!$C$39="是",反向題設定!$B$2+1-原始資料!AJ257,原始資料!AJ257))</f>
        <v/>
      </c>
      <c r="AK257">
        <f>IF(原始資料!AK257="","",IF(反向題設定!$C$40="是",反向題設定!$B$2+1-原始資料!AK257,原始資料!AK257))</f>
        <v/>
      </c>
      <c r="AL257">
        <f>IF(原始資料!AL257="","",IF(反向題設定!$C$41="是",反向題設定!$B$2+1-原始資料!AL257,原始資料!AL257))</f>
        <v/>
      </c>
      <c r="AM257">
        <f>IF(原始資料!AM257="","",IF(反向題設定!$C$42="是",反向題設定!$B$2+1-原始資料!AM257,原始資料!AM257))</f>
        <v/>
      </c>
      <c r="AN257">
        <f>IF(原始資料!AN257="","",IF(反向題設定!$C$43="是",反向題設定!$B$2+1-原始資料!AN257,原始資料!AN257))</f>
        <v/>
      </c>
      <c r="AO257">
        <f>IF(原始資料!AO257="","",IF(反向題設定!$C$44="是",反向題設定!$B$2+1-原始資料!AO257,原始資料!AO257))</f>
        <v/>
      </c>
      <c r="AP257">
        <f>IF(COUNT(B257:AO257)=0,"",SUM(B257:AO257))</f>
        <v/>
      </c>
      <c r="AQ257">
        <f>IF(AP257="","",IF(AP257&gt;=項目分析!$C$5,"高",IF(AP257&lt;=項目分析!$C$6,"低","")))</f>
        <v/>
      </c>
    </row>
    <row r="258">
      <c r="A258">
        <f>IF(原始資料!A258="","",原始資料!A258)</f>
        <v/>
      </c>
      <c r="B258">
        <f>IF(原始資料!B258="","",IF(反向題設定!$C$5="是",反向題設定!$B$2+1-原始資料!B258,原始資料!B258))</f>
        <v/>
      </c>
      <c r="C258">
        <f>IF(原始資料!C258="","",IF(反向題設定!$C$6="是",反向題設定!$B$2+1-原始資料!C258,原始資料!C258))</f>
        <v/>
      </c>
      <c r="D258">
        <f>IF(原始資料!D258="","",IF(反向題設定!$C$7="是",反向題設定!$B$2+1-原始資料!D258,原始資料!D258))</f>
        <v/>
      </c>
      <c r="E258">
        <f>IF(原始資料!E258="","",IF(反向題設定!$C$8="是",反向題設定!$B$2+1-原始資料!E258,原始資料!E258))</f>
        <v/>
      </c>
      <c r="F258">
        <f>IF(原始資料!F258="","",IF(反向題設定!$C$9="是",反向題設定!$B$2+1-原始資料!F258,原始資料!F258))</f>
        <v/>
      </c>
      <c r="G258">
        <f>IF(原始資料!G258="","",IF(反向題設定!$C$10="是",反向題設定!$B$2+1-原始資料!G258,原始資料!G258))</f>
        <v/>
      </c>
      <c r="H258">
        <f>IF(原始資料!H258="","",IF(反向題設定!$C$11="是",反向題設定!$B$2+1-原始資料!H258,原始資料!H258))</f>
        <v/>
      </c>
      <c r="I258">
        <f>IF(原始資料!I258="","",IF(反向題設定!$C$12="是",反向題設定!$B$2+1-原始資料!I258,原始資料!I258))</f>
        <v/>
      </c>
      <c r="J258">
        <f>IF(原始資料!J258="","",IF(反向題設定!$C$13="是",反向題設定!$B$2+1-原始資料!J258,原始資料!J258))</f>
        <v/>
      </c>
      <c r="K258">
        <f>IF(原始資料!K258="","",IF(反向題設定!$C$14="是",反向題設定!$B$2+1-原始資料!K258,原始資料!K258))</f>
        <v/>
      </c>
      <c r="L258">
        <f>IF(原始資料!L258="","",IF(反向題設定!$C$15="是",反向題設定!$B$2+1-原始資料!L258,原始資料!L258))</f>
        <v/>
      </c>
      <c r="M258">
        <f>IF(原始資料!M258="","",IF(反向題設定!$C$16="是",反向題設定!$B$2+1-原始資料!M258,原始資料!M258))</f>
        <v/>
      </c>
      <c r="N258">
        <f>IF(原始資料!N258="","",IF(反向題設定!$C$17="是",反向題設定!$B$2+1-原始資料!N258,原始資料!N258))</f>
        <v/>
      </c>
      <c r="O258">
        <f>IF(原始資料!O258="","",IF(反向題設定!$C$18="是",反向題設定!$B$2+1-原始資料!O258,原始資料!O258))</f>
        <v/>
      </c>
      <c r="P258">
        <f>IF(原始資料!P258="","",IF(反向題設定!$C$19="是",反向題設定!$B$2+1-原始資料!P258,原始資料!P258))</f>
        <v/>
      </c>
      <c r="Q258">
        <f>IF(原始資料!Q258="","",IF(反向題設定!$C$20="是",反向題設定!$B$2+1-原始資料!Q258,原始資料!Q258))</f>
        <v/>
      </c>
      <c r="R258">
        <f>IF(原始資料!R258="","",IF(反向題設定!$C$21="是",反向題設定!$B$2+1-原始資料!R258,原始資料!R258))</f>
        <v/>
      </c>
      <c r="S258">
        <f>IF(原始資料!S258="","",IF(反向題設定!$C$22="是",反向題設定!$B$2+1-原始資料!S258,原始資料!S258))</f>
        <v/>
      </c>
      <c r="T258">
        <f>IF(原始資料!T258="","",IF(反向題設定!$C$23="是",反向題設定!$B$2+1-原始資料!T258,原始資料!T258))</f>
        <v/>
      </c>
      <c r="U258">
        <f>IF(原始資料!U258="","",IF(反向題設定!$C$24="是",反向題設定!$B$2+1-原始資料!U258,原始資料!U258))</f>
        <v/>
      </c>
      <c r="V258">
        <f>IF(原始資料!V258="","",IF(反向題設定!$C$25="是",反向題設定!$B$2+1-原始資料!V258,原始資料!V258))</f>
        <v/>
      </c>
      <c r="W258">
        <f>IF(原始資料!W258="","",IF(反向題設定!$C$26="是",反向題設定!$B$2+1-原始資料!W258,原始資料!W258))</f>
        <v/>
      </c>
      <c r="X258">
        <f>IF(原始資料!X258="","",IF(反向題設定!$C$27="是",反向題設定!$B$2+1-原始資料!X258,原始資料!X258))</f>
        <v/>
      </c>
      <c r="Y258">
        <f>IF(原始資料!Y258="","",IF(反向題設定!$C$28="是",反向題設定!$B$2+1-原始資料!Y258,原始資料!Y258))</f>
        <v/>
      </c>
      <c r="Z258">
        <f>IF(原始資料!Z258="","",IF(反向題設定!$C$29="是",反向題設定!$B$2+1-原始資料!Z258,原始資料!Z258))</f>
        <v/>
      </c>
      <c r="AA258">
        <f>IF(原始資料!AA258="","",IF(反向題設定!$C$30="是",反向題設定!$B$2+1-原始資料!AA258,原始資料!AA258))</f>
        <v/>
      </c>
      <c r="AB258">
        <f>IF(原始資料!AB258="","",IF(反向題設定!$C$31="是",反向題設定!$B$2+1-原始資料!AB258,原始資料!AB258))</f>
        <v/>
      </c>
      <c r="AC258">
        <f>IF(原始資料!AC258="","",IF(反向題設定!$C$32="是",反向題設定!$B$2+1-原始資料!AC258,原始資料!AC258))</f>
        <v/>
      </c>
      <c r="AD258">
        <f>IF(原始資料!AD258="","",IF(反向題設定!$C$33="是",反向題設定!$B$2+1-原始資料!AD258,原始資料!AD258))</f>
        <v/>
      </c>
      <c r="AE258">
        <f>IF(原始資料!AE258="","",IF(反向題設定!$C$34="是",反向題設定!$B$2+1-原始資料!AE258,原始資料!AE258))</f>
        <v/>
      </c>
      <c r="AF258">
        <f>IF(原始資料!AF258="","",IF(反向題設定!$C$35="是",反向題設定!$B$2+1-原始資料!AF258,原始資料!AF258))</f>
        <v/>
      </c>
      <c r="AG258">
        <f>IF(原始資料!AG258="","",IF(反向題設定!$C$36="是",反向題設定!$B$2+1-原始資料!AG258,原始資料!AG258))</f>
        <v/>
      </c>
      <c r="AH258">
        <f>IF(原始資料!AH258="","",IF(反向題設定!$C$37="是",反向題設定!$B$2+1-原始資料!AH258,原始資料!AH258))</f>
        <v/>
      </c>
      <c r="AI258">
        <f>IF(原始資料!AI258="","",IF(反向題設定!$C$38="是",反向題設定!$B$2+1-原始資料!AI258,原始資料!AI258))</f>
        <v/>
      </c>
      <c r="AJ258">
        <f>IF(原始資料!AJ258="","",IF(反向題設定!$C$39="是",反向題設定!$B$2+1-原始資料!AJ258,原始資料!AJ258))</f>
        <v/>
      </c>
      <c r="AK258">
        <f>IF(原始資料!AK258="","",IF(反向題設定!$C$40="是",反向題設定!$B$2+1-原始資料!AK258,原始資料!AK258))</f>
        <v/>
      </c>
      <c r="AL258">
        <f>IF(原始資料!AL258="","",IF(反向題設定!$C$41="是",反向題設定!$B$2+1-原始資料!AL258,原始資料!AL258))</f>
        <v/>
      </c>
      <c r="AM258">
        <f>IF(原始資料!AM258="","",IF(反向題設定!$C$42="是",反向題設定!$B$2+1-原始資料!AM258,原始資料!AM258))</f>
        <v/>
      </c>
      <c r="AN258">
        <f>IF(原始資料!AN258="","",IF(反向題設定!$C$43="是",反向題設定!$B$2+1-原始資料!AN258,原始資料!AN258))</f>
        <v/>
      </c>
      <c r="AO258">
        <f>IF(原始資料!AO258="","",IF(反向題設定!$C$44="是",反向題設定!$B$2+1-原始資料!AO258,原始資料!AO258))</f>
        <v/>
      </c>
      <c r="AP258">
        <f>IF(COUNT(B258:AO258)=0,"",SUM(B258:AO258))</f>
        <v/>
      </c>
      <c r="AQ258">
        <f>IF(AP258="","",IF(AP258&gt;=項目分析!$C$5,"高",IF(AP258&lt;=項目分析!$C$6,"低","")))</f>
        <v/>
      </c>
    </row>
    <row r="259">
      <c r="A259">
        <f>IF(原始資料!A259="","",原始資料!A259)</f>
        <v/>
      </c>
      <c r="B259">
        <f>IF(原始資料!B259="","",IF(反向題設定!$C$5="是",反向題設定!$B$2+1-原始資料!B259,原始資料!B259))</f>
        <v/>
      </c>
      <c r="C259">
        <f>IF(原始資料!C259="","",IF(反向題設定!$C$6="是",反向題設定!$B$2+1-原始資料!C259,原始資料!C259))</f>
        <v/>
      </c>
      <c r="D259">
        <f>IF(原始資料!D259="","",IF(反向題設定!$C$7="是",反向題設定!$B$2+1-原始資料!D259,原始資料!D259))</f>
        <v/>
      </c>
      <c r="E259">
        <f>IF(原始資料!E259="","",IF(反向題設定!$C$8="是",反向題設定!$B$2+1-原始資料!E259,原始資料!E259))</f>
        <v/>
      </c>
      <c r="F259">
        <f>IF(原始資料!F259="","",IF(反向題設定!$C$9="是",反向題設定!$B$2+1-原始資料!F259,原始資料!F259))</f>
        <v/>
      </c>
      <c r="G259">
        <f>IF(原始資料!G259="","",IF(反向題設定!$C$10="是",反向題設定!$B$2+1-原始資料!G259,原始資料!G259))</f>
        <v/>
      </c>
      <c r="H259">
        <f>IF(原始資料!H259="","",IF(反向題設定!$C$11="是",反向題設定!$B$2+1-原始資料!H259,原始資料!H259))</f>
        <v/>
      </c>
      <c r="I259">
        <f>IF(原始資料!I259="","",IF(反向題設定!$C$12="是",反向題設定!$B$2+1-原始資料!I259,原始資料!I259))</f>
        <v/>
      </c>
      <c r="J259">
        <f>IF(原始資料!J259="","",IF(反向題設定!$C$13="是",反向題設定!$B$2+1-原始資料!J259,原始資料!J259))</f>
        <v/>
      </c>
      <c r="K259">
        <f>IF(原始資料!K259="","",IF(反向題設定!$C$14="是",反向題設定!$B$2+1-原始資料!K259,原始資料!K259))</f>
        <v/>
      </c>
      <c r="L259">
        <f>IF(原始資料!L259="","",IF(反向題設定!$C$15="是",反向題設定!$B$2+1-原始資料!L259,原始資料!L259))</f>
        <v/>
      </c>
      <c r="M259">
        <f>IF(原始資料!M259="","",IF(反向題設定!$C$16="是",反向題設定!$B$2+1-原始資料!M259,原始資料!M259))</f>
        <v/>
      </c>
      <c r="N259">
        <f>IF(原始資料!N259="","",IF(反向題設定!$C$17="是",反向題設定!$B$2+1-原始資料!N259,原始資料!N259))</f>
        <v/>
      </c>
      <c r="O259">
        <f>IF(原始資料!O259="","",IF(反向題設定!$C$18="是",反向題設定!$B$2+1-原始資料!O259,原始資料!O259))</f>
        <v/>
      </c>
      <c r="P259">
        <f>IF(原始資料!P259="","",IF(反向題設定!$C$19="是",反向題設定!$B$2+1-原始資料!P259,原始資料!P259))</f>
        <v/>
      </c>
      <c r="Q259">
        <f>IF(原始資料!Q259="","",IF(反向題設定!$C$20="是",反向題設定!$B$2+1-原始資料!Q259,原始資料!Q259))</f>
        <v/>
      </c>
      <c r="R259">
        <f>IF(原始資料!R259="","",IF(反向題設定!$C$21="是",反向題設定!$B$2+1-原始資料!R259,原始資料!R259))</f>
        <v/>
      </c>
      <c r="S259">
        <f>IF(原始資料!S259="","",IF(反向題設定!$C$22="是",反向題設定!$B$2+1-原始資料!S259,原始資料!S259))</f>
        <v/>
      </c>
      <c r="T259">
        <f>IF(原始資料!T259="","",IF(反向題設定!$C$23="是",反向題設定!$B$2+1-原始資料!T259,原始資料!T259))</f>
        <v/>
      </c>
      <c r="U259">
        <f>IF(原始資料!U259="","",IF(反向題設定!$C$24="是",反向題設定!$B$2+1-原始資料!U259,原始資料!U259))</f>
        <v/>
      </c>
      <c r="V259">
        <f>IF(原始資料!V259="","",IF(反向題設定!$C$25="是",反向題設定!$B$2+1-原始資料!V259,原始資料!V259))</f>
        <v/>
      </c>
      <c r="W259">
        <f>IF(原始資料!W259="","",IF(反向題設定!$C$26="是",反向題設定!$B$2+1-原始資料!W259,原始資料!W259))</f>
        <v/>
      </c>
      <c r="X259">
        <f>IF(原始資料!X259="","",IF(反向題設定!$C$27="是",反向題設定!$B$2+1-原始資料!X259,原始資料!X259))</f>
        <v/>
      </c>
      <c r="Y259">
        <f>IF(原始資料!Y259="","",IF(反向題設定!$C$28="是",反向題設定!$B$2+1-原始資料!Y259,原始資料!Y259))</f>
        <v/>
      </c>
      <c r="Z259">
        <f>IF(原始資料!Z259="","",IF(反向題設定!$C$29="是",反向題設定!$B$2+1-原始資料!Z259,原始資料!Z259))</f>
        <v/>
      </c>
      <c r="AA259">
        <f>IF(原始資料!AA259="","",IF(反向題設定!$C$30="是",反向題設定!$B$2+1-原始資料!AA259,原始資料!AA259))</f>
        <v/>
      </c>
      <c r="AB259">
        <f>IF(原始資料!AB259="","",IF(反向題設定!$C$31="是",反向題設定!$B$2+1-原始資料!AB259,原始資料!AB259))</f>
        <v/>
      </c>
      <c r="AC259">
        <f>IF(原始資料!AC259="","",IF(反向題設定!$C$32="是",反向題設定!$B$2+1-原始資料!AC259,原始資料!AC259))</f>
        <v/>
      </c>
      <c r="AD259">
        <f>IF(原始資料!AD259="","",IF(反向題設定!$C$33="是",反向題設定!$B$2+1-原始資料!AD259,原始資料!AD259))</f>
        <v/>
      </c>
      <c r="AE259">
        <f>IF(原始資料!AE259="","",IF(反向題設定!$C$34="是",反向題設定!$B$2+1-原始資料!AE259,原始資料!AE259))</f>
        <v/>
      </c>
      <c r="AF259">
        <f>IF(原始資料!AF259="","",IF(反向題設定!$C$35="是",反向題設定!$B$2+1-原始資料!AF259,原始資料!AF259))</f>
        <v/>
      </c>
      <c r="AG259">
        <f>IF(原始資料!AG259="","",IF(反向題設定!$C$36="是",反向題設定!$B$2+1-原始資料!AG259,原始資料!AG259))</f>
        <v/>
      </c>
      <c r="AH259">
        <f>IF(原始資料!AH259="","",IF(反向題設定!$C$37="是",反向題設定!$B$2+1-原始資料!AH259,原始資料!AH259))</f>
        <v/>
      </c>
      <c r="AI259">
        <f>IF(原始資料!AI259="","",IF(反向題設定!$C$38="是",反向題設定!$B$2+1-原始資料!AI259,原始資料!AI259))</f>
        <v/>
      </c>
      <c r="AJ259">
        <f>IF(原始資料!AJ259="","",IF(反向題設定!$C$39="是",反向題設定!$B$2+1-原始資料!AJ259,原始資料!AJ259))</f>
        <v/>
      </c>
      <c r="AK259">
        <f>IF(原始資料!AK259="","",IF(反向題設定!$C$40="是",反向題設定!$B$2+1-原始資料!AK259,原始資料!AK259))</f>
        <v/>
      </c>
      <c r="AL259">
        <f>IF(原始資料!AL259="","",IF(反向題設定!$C$41="是",反向題設定!$B$2+1-原始資料!AL259,原始資料!AL259))</f>
        <v/>
      </c>
      <c r="AM259">
        <f>IF(原始資料!AM259="","",IF(反向題設定!$C$42="是",反向題設定!$B$2+1-原始資料!AM259,原始資料!AM259))</f>
        <v/>
      </c>
      <c r="AN259">
        <f>IF(原始資料!AN259="","",IF(反向題設定!$C$43="是",反向題設定!$B$2+1-原始資料!AN259,原始資料!AN259))</f>
        <v/>
      </c>
      <c r="AO259">
        <f>IF(原始資料!AO259="","",IF(反向題設定!$C$44="是",反向題設定!$B$2+1-原始資料!AO259,原始資料!AO259))</f>
        <v/>
      </c>
      <c r="AP259">
        <f>IF(COUNT(B259:AO259)=0,"",SUM(B259:AO259))</f>
        <v/>
      </c>
      <c r="AQ259">
        <f>IF(AP259="","",IF(AP259&gt;=項目分析!$C$5,"高",IF(AP259&lt;=項目分析!$C$6,"低","")))</f>
        <v/>
      </c>
    </row>
    <row r="260">
      <c r="A260">
        <f>IF(原始資料!A260="","",原始資料!A260)</f>
        <v/>
      </c>
      <c r="B260">
        <f>IF(原始資料!B260="","",IF(反向題設定!$C$5="是",反向題設定!$B$2+1-原始資料!B260,原始資料!B260))</f>
        <v/>
      </c>
      <c r="C260">
        <f>IF(原始資料!C260="","",IF(反向題設定!$C$6="是",反向題設定!$B$2+1-原始資料!C260,原始資料!C260))</f>
        <v/>
      </c>
      <c r="D260">
        <f>IF(原始資料!D260="","",IF(反向題設定!$C$7="是",反向題設定!$B$2+1-原始資料!D260,原始資料!D260))</f>
        <v/>
      </c>
      <c r="E260">
        <f>IF(原始資料!E260="","",IF(反向題設定!$C$8="是",反向題設定!$B$2+1-原始資料!E260,原始資料!E260))</f>
        <v/>
      </c>
      <c r="F260">
        <f>IF(原始資料!F260="","",IF(反向題設定!$C$9="是",反向題設定!$B$2+1-原始資料!F260,原始資料!F260))</f>
        <v/>
      </c>
      <c r="G260">
        <f>IF(原始資料!G260="","",IF(反向題設定!$C$10="是",反向題設定!$B$2+1-原始資料!G260,原始資料!G260))</f>
        <v/>
      </c>
      <c r="H260">
        <f>IF(原始資料!H260="","",IF(反向題設定!$C$11="是",反向題設定!$B$2+1-原始資料!H260,原始資料!H260))</f>
        <v/>
      </c>
      <c r="I260">
        <f>IF(原始資料!I260="","",IF(反向題設定!$C$12="是",反向題設定!$B$2+1-原始資料!I260,原始資料!I260))</f>
        <v/>
      </c>
      <c r="J260">
        <f>IF(原始資料!J260="","",IF(反向題設定!$C$13="是",反向題設定!$B$2+1-原始資料!J260,原始資料!J260))</f>
        <v/>
      </c>
      <c r="K260">
        <f>IF(原始資料!K260="","",IF(反向題設定!$C$14="是",反向題設定!$B$2+1-原始資料!K260,原始資料!K260))</f>
        <v/>
      </c>
      <c r="L260">
        <f>IF(原始資料!L260="","",IF(反向題設定!$C$15="是",反向題設定!$B$2+1-原始資料!L260,原始資料!L260))</f>
        <v/>
      </c>
      <c r="M260">
        <f>IF(原始資料!M260="","",IF(反向題設定!$C$16="是",反向題設定!$B$2+1-原始資料!M260,原始資料!M260))</f>
        <v/>
      </c>
      <c r="N260">
        <f>IF(原始資料!N260="","",IF(反向題設定!$C$17="是",反向題設定!$B$2+1-原始資料!N260,原始資料!N260))</f>
        <v/>
      </c>
      <c r="O260">
        <f>IF(原始資料!O260="","",IF(反向題設定!$C$18="是",反向題設定!$B$2+1-原始資料!O260,原始資料!O260))</f>
        <v/>
      </c>
      <c r="P260">
        <f>IF(原始資料!P260="","",IF(反向題設定!$C$19="是",反向題設定!$B$2+1-原始資料!P260,原始資料!P260))</f>
        <v/>
      </c>
      <c r="Q260">
        <f>IF(原始資料!Q260="","",IF(反向題設定!$C$20="是",反向題設定!$B$2+1-原始資料!Q260,原始資料!Q260))</f>
        <v/>
      </c>
      <c r="R260">
        <f>IF(原始資料!R260="","",IF(反向題設定!$C$21="是",反向題設定!$B$2+1-原始資料!R260,原始資料!R260))</f>
        <v/>
      </c>
      <c r="S260">
        <f>IF(原始資料!S260="","",IF(反向題設定!$C$22="是",反向題設定!$B$2+1-原始資料!S260,原始資料!S260))</f>
        <v/>
      </c>
      <c r="T260">
        <f>IF(原始資料!T260="","",IF(反向題設定!$C$23="是",反向題設定!$B$2+1-原始資料!T260,原始資料!T260))</f>
        <v/>
      </c>
      <c r="U260">
        <f>IF(原始資料!U260="","",IF(反向題設定!$C$24="是",反向題設定!$B$2+1-原始資料!U260,原始資料!U260))</f>
        <v/>
      </c>
      <c r="V260">
        <f>IF(原始資料!V260="","",IF(反向題設定!$C$25="是",反向題設定!$B$2+1-原始資料!V260,原始資料!V260))</f>
        <v/>
      </c>
      <c r="W260">
        <f>IF(原始資料!W260="","",IF(反向題設定!$C$26="是",反向題設定!$B$2+1-原始資料!W260,原始資料!W260))</f>
        <v/>
      </c>
      <c r="X260">
        <f>IF(原始資料!X260="","",IF(反向題設定!$C$27="是",反向題設定!$B$2+1-原始資料!X260,原始資料!X260))</f>
        <v/>
      </c>
      <c r="Y260">
        <f>IF(原始資料!Y260="","",IF(反向題設定!$C$28="是",反向題設定!$B$2+1-原始資料!Y260,原始資料!Y260))</f>
        <v/>
      </c>
      <c r="Z260">
        <f>IF(原始資料!Z260="","",IF(反向題設定!$C$29="是",反向題設定!$B$2+1-原始資料!Z260,原始資料!Z260))</f>
        <v/>
      </c>
      <c r="AA260">
        <f>IF(原始資料!AA260="","",IF(反向題設定!$C$30="是",反向題設定!$B$2+1-原始資料!AA260,原始資料!AA260))</f>
        <v/>
      </c>
      <c r="AB260">
        <f>IF(原始資料!AB260="","",IF(反向題設定!$C$31="是",反向題設定!$B$2+1-原始資料!AB260,原始資料!AB260))</f>
        <v/>
      </c>
      <c r="AC260">
        <f>IF(原始資料!AC260="","",IF(反向題設定!$C$32="是",反向題設定!$B$2+1-原始資料!AC260,原始資料!AC260))</f>
        <v/>
      </c>
      <c r="AD260">
        <f>IF(原始資料!AD260="","",IF(反向題設定!$C$33="是",反向題設定!$B$2+1-原始資料!AD260,原始資料!AD260))</f>
        <v/>
      </c>
      <c r="AE260">
        <f>IF(原始資料!AE260="","",IF(反向題設定!$C$34="是",反向題設定!$B$2+1-原始資料!AE260,原始資料!AE260))</f>
        <v/>
      </c>
      <c r="AF260">
        <f>IF(原始資料!AF260="","",IF(反向題設定!$C$35="是",反向題設定!$B$2+1-原始資料!AF260,原始資料!AF260))</f>
        <v/>
      </c>
      <c r="AG260">
        <f>IF(原始資料!AG260="","",IF(反向題設定!$C$36="是",反向題設定!$B$2+1-原始資料!AG260,原始資料!AG260))</f>
        <v/>
      </c>
      <c r="AH260">
        <f>IF(原始資料!AH260="","",IF(反向題設定!$C$37="是",反向題設定!$B$2+1-原始資料!AH260,原始資料!AH260))</f>
        <v/>
      </c>
      <c r="AI260">
        <f>IF(原始資料!AI260="","",IF(反向題設定!$C$38="是",反向題設定!$B$2+1-原始資料!AI260,原始資料!AI260))</f>
        <v/>
      </c>
      <c r="AJ260">
        <f>IF(原始資料!AJ260="","",IF(反向題設定!$C$39="是",反向題設定!$B$2+1-原始資料!AJ260,原始資料!AJ260))</f>
        <v/>
      </c>
      <c r="AK260">
        <f>IF(原始資料!AK260="","",IF(反向題設定!$C$40="是",反向題設定!$B$2+1-原始資料!AK260,原始資料!AK260))</f>
        <v/>
      </c>
      <c r="AL260">
        <f>IF(原始資料!AL260="","",IF(反向題設定!$C$41="是",反向題設定!$B$2+1-原始資料!AL260,原始資料!AL260))</f>
        <v/>
      </c>
      <c r="AM260">
        <f>IF(原始資料!AM260="","",IF(反向題設定!$C$42="是",反向題設定!$B$2+1-原始資料!AM260,原始資料!AM260))</f>
        <v/>
      </c>
      <c r="AN260">
        <f>IF(原始資料!AN260="","",IF(反向題設定!$C$43="是",反向題設定!$B$2+1-原始資料!AN260,原始資料!AN260))</f>
        <v/>
      </c>
      <c r="AO260">
        <f>IF(原始資料!AO260="","",IF(反向題設定!$C$44="是",反向題設定!$B$2+1-原始資料!AO260,原始資料!AO260))</f>
        <v/>
      </c>
      <c r="AP260">
        <f>IF(COUNT(B260:AO260)=0,"",SUM(B260:AO260))</f>
        <v/>
      </c>
      <c r="AQ260">
        <f>IF(AP260="","",IF(AP260&gt;=項目分析!$C$5,"高",IF(AP260&lt;=項目分析!$C$6,"低","")))</f>
        <v/>
      </c>
    </row>
    <row r="261">
      <c r="A261">
        <f>IF(原始資料!A261="","",原始資料!A261)</f>
        <v/>
      </c>
      <c r="B261">
        <f>IF(原始資料!B261="","",IF(反向題設定!$C$5="是",反向題設定!$B$2+1-原始資料!B261,原始資料!B261))</f>
        <v/>
      </c>
      <c r="C261">
        <f>IF(原始資料!C261="","",IF(反向題設定!$C$6="是",反向題設定!$B$2+1-原始資料!C261,原始資料!C261))</f>
        <v/>
      </c>
      <c r="D261">
        <f>IF(原始資料!D261="","",IF(反向題設定!$C$7="是",反向題設定!$B$2+1-原始資料!D261,原始資料!D261))</f>
        <v/>
      </c>
      <c r="E261">
        <f>IF(原始資料!E261="","",IF(反向題設定!$C$8="是",反向題設定!$B$2+1-原始資料!E261,原始資料!E261))</f>
        <v/>
      </c>
      <c r="F261">
        <f>IF(原始資料!F261="","",IF(反向題設定!$C$9="是",反向題設定!$B$2+1-原始資料!F261,原始資料!F261))</f>
        <v/>
      </c>
      <c r="G261">
        <f>IF(原始資料!G261="","",IF(反向題設定!$C$10="是",反向題設定!$B$2+1-原始資料!G261,原始資料!G261))</f>
        <v/>
      </c>
      <c r="H261">
        <f>IF(原始資料!H261="","",IF(反向題設定!$C$11="是",反向題設定!$B$2+1-原始資料!H261,原始資料!H261))</f>
        <v/>
      </c>
      <c r="I261">
        <f>IF(原始資料!I261="","",IF(反向題設定!$C$12="是",反向題設定!$B$2+1-原始資料!I261,原始資料!I261))</f>
        <v/>
      </c>
      <c r="J261">
        <f>IF(原始資料!J261="","",IF(反向題設定!$C$13="是",反向題設定!$B$2+1-原始資料!J261,原始資料!J261))</f>
        <v/>
      </c>
      <c r="K261">
        <f>IF(原始資料!K261="","",IF(反向題設定!$C$14="是",反向題設定!$B$2+1-原始資料!K261,原始資料!K261))</f>
        <v/>
      </c>
      <c r="L261">
        <f>IF(原始資料!L261="","",IF(反向題設定!$C$15="是",反向題設定!$B$2+1-原始資料!L261,原始資料!L261))</f>
        <v/>
      </c>
      <c r="M261">
        <f>IF(原始資料!M261="","",IF(反向題設定!$C$16="是",反向題設定!$B$2+1-原始資料!M261,原始資料!M261))</f>
        <v/>
      </c>
      <c r="N261">
        <f>IF(原始資料!N261="","",IF(反向題設定!$C$17="是",反向題設定!$B$2+1-原始資料!N261,原始資料!N261))</f>
        <v/>
      </c>
      <c r="O261">
        <f>IF(原始資料!O261="","",IF(反向題設定!$C$18="是",反向題設定!$B$2+1-原始資料!O261,原始資料!O261))</f>
        <v/>
      </c>
      <c r="P261">
        <f>IF(原始資料!P261="","",IF(反向題設定!$C$19="是",反向題設定!$B$2+1-原始資料!P261,原始資料!P261))</f>
        <v/>
      </c>
      <c r="Q261">
        <f>IF(原始資料!Q261="","",IF(反向題設定!$C$20="是",反向題設定!$B$2+1-原始資料!Q261,原始資料!Q261))</f>
        <v/>
      </c>
      <c r="R261">
        <f>IF(原始資料!R261="","",IF(反向題設定!$C$21="是",反向題設定!$B$2+1-原始資料!R261,原始資料!R261))</f>
        <v/>
      </c>
      <c r="S261">
        <f>IF(原始資料!S261="","",IF(反向題設定!$C$22="是",反向題設定!$B$2+1-原始資料!S261,原始資料!S261))</f>
        <v/>
      </c>
      <c r="T261">
        <f>IF(原始資料!T261="","",IF(反向題設定!$C$23="是",反向題設定!$B$2+1-原始資料!T261,原始資料!T261))</f>
        <v/>
      </c>
      <c r="U261">
        <f>IF(原始資料!U261="","",IF(反向題設定!$C$24="是",反向題設定!$B$2+1-原始資料!U261,原始資料!U261))</f>
        <v/>
      </c>
      <c r="V261">
        <f>IF(原始資料!V261="","",IF(反向題設定!$C$25="是",反向題設定!$B$2+1-原始資料!V261,原始資料!V261))</f>
        <v/>
      </c>
      <c r="W261">
        <f>IF(原始資料!W261="","",IF(反向題設定!$C$26="是",反向題設定!$B$2+1-原始資料!W261,原始資料!W261))</f>
        <v/>
      </c>
      <c r="X261">
        <f>IF(原始資料!X261="","",IF(反向題設定!$C$27="是",反向題設定!$B$2+1-原始資料!X261,原始資料!X261))</f>
        <v/>
      </c>
      <c r="Y261">
        <f>IF(原始資料!Y261="","",IF(反向題設定!$C$28="是",反向題設定!$B$2+1-原始資料!Y261,原始資料!Y261))</f>
        <v/>
      </c>
      <c r="Z261">
        <f>IF(原始資料!Z261="","",IF(反向題設定!$C$29="是",反向題設定!$B$2+1-原始資料!Z261,原始資料!Z261))</f>
        <v/>
      </c>
      <c r="AA261">
        <f>IF(原始資料!AA261="","",IF(反向題設定!$C$30="是",反向題設定!$B$2+1-原始資料!AA261,原始資料!AA261))</f>
        <v/>
      </c>
      <c r="AB261">
        <f>IF(原始資料!AB261="","",IF(反向題設定!$C$31="是",反向題設定!$B$2+1-原始資料!AB261,原始資料!AB261))</f>
        <v/>
      </c>
      <c r="AC261">
        <f>IF(原始資料!AC261="","",IF(反向題設定!$C$32="是",反向題設定!$B$2+1-原始資料!AC261,原始資料!AC261))</f>
        <v/>
      </c>
      <c r="AD261">
        <f>IF(原始資料!AD261="","",IF(反向題設定!$C$33="是",反向題設定!$B$2+1-原始資料!AD261,原始資料!AD261))</f>
        <v/>
      </c>
      <c r="AE261">
        <f>IF(原始資料!AE261="","",IF(反向題設定!$C$34="是",反向題設定!$B$2+1-原始資料!AE261,原始資料!AE261))</f>
        <v/>
      </c>
      <c r="AF261">
        <f>IF(原始資料!AF261="","",IF(反向題設定!$C$35="是",反向題設定!$B$2+1-原始資料!AF261,原始資料!AF261))</f>
        <v/>
      </c>
      <c r="AG261">
        <f>IF(原始資料!AG261="","",IF(反向題設定!$C$36="是",反向題設定!$B$2+1-原始資料!AG261,原始資料!AG261))</f>
        <v/>
      </c>
      <c r="AH261">
        <f>IF(原始資料!AH261="","",IF(反向題設定!$C$37="是",反向題設定!$B$2+1-原始資料!AH261,原始資料!AH261))</f>
        <v/>
      </c>
      <c r="AI261">
        <f>IF(原始資料!AI261="","",IF(反向題設定!$C$38="是",反向題設定!$B$2+1-原始資料!AI261,原始資料!AI261))</f>
        <v/>
      </c>
      <c r="AJ261">
        <f>IF(原始資料!AJ261="","",IF(反向題設定!$C$39="是",反向題設定!$B$2+1-原始資料!AJ261,原始資料!AJ261))</f>
        <v/>
      </c>
      <c r="AK261">
        <f>IF(原始資料!AK261="","",IF(反向題設定!$C$40="是",反向題設定!$B$2+1-原始資料!AK261,原始資料!AK261))</f>
        <v/>
      </c>
      <c r="AL261">
        <f>IF(原始資料!AL261="","",IF(反向題設定!$C$41="是",反向題設定!$B$2+1-原始資料!AL261,原始資料!AL261))</f>
        <v/>
      </c>
      <c r="AM261">
        <f>IF(原始資料!AM261="","",IF(反向題設定!$C$42="是",反向題設定!$B$2+1-原始資料!AM261,原始資料!AM261))</f>
        <v/>
      </c>
      <c r="AN261">
        <f>IF(原始資料!AN261="","",IF(反向題設定!$C$43="是",反向題設定!$B$2+1-原始資料!AN261,原始資料!AN261))</f>
        <v/>
      </c>
      <c r="AO261">
        <f>IF(原始資料!AO261="","",IF(反向題設定!$C$44="是",反向題設定!$B$2+1-原始資料!AO261,原始資料!AO261))</f>
        <v/>
      </c>
      <c r="AP261">
        <f>IF(COUNT(B261:AO261)=0,"",SUM(B261:AO261))</f>
        <v/>
      </c>
      <c r="AQ261">
        <f>IF(AP261="","",IF(AP261&gt;=項目分析!$C$5,"高",IF(AP261&lt;=項目分析!$C$6,"低","")))</f>
        <v/>
      </c>
    </row>
    <row r="262">
      <c r="A262">
        <f>IF(原始資料!A262="","",原始資料!A262)</f>
        <v/>
      </c>
      <c r="B262">
        <f>IF(原始資料!B262="","",IF(反向題設定!$C$5="是",反向題設定!$B$2+1-原始資料!B262,原始資料!B262))</f>
        <v/>
      </c>
      <c r="C262">
        <f>IF(原始資料!C262="","",IF(反向題設定!$C$6="是",反向題設定!$B$2+1-原始資料!C262,原始資料!C262))</f>
        <v/>
      </c>
      <c r="D262">
        <f>IF(原始資料!D262="","",IF(反向題設定!$C$7="是",反向題設定!$B$2+1-原始資料!D262,原始資料!D262))</f>
        <v/>
      </c>
      <c r="E262">
        <f>IF(原始資料!E262="","",IF(反向題設定!$C$8="是",反向題設定!$B$2+1-原始資料!E262,原始資料!E262))</f>
        <v/>
      </c>
      <c r="F262">
        <f>IF(原始資料!F262="","",IF(反向題設定!$C$9="是",反向題設定!$B$2+1-原始資料!F262,原始資料!F262))</f>
        <v/>
      </c>
      <c r="G262">
        <f>IF(原始資料!G262="","",IF(反向題設定!$C$10="是",反向題設定!$B$2+1-原始資料!G262,原始資料!G262))</f>
        <v/>
      </c>
      <c r="H262">
        <f>IF(原始資料!H262="","",IF(反向題設定!$C$11="是",反向題設定!$B$2+1-原始資料!H262,原始資料!H262))</f>
        <v/>
      </c>
      <c r="I262">
        <f>IF(原始資料!I262="","",IF(反向題設定!$C$12="是",反向題設定!$B$2+1-原始資料!I262,原始資料!I262))</f>
        <v/>
      </c>
      <c r="J262">
        <f>IF(原始資料!J262="","",IF(反向題設定!$C$13="是",反向題設定!$B$2+1-原始資料!J262,原始資料!J262))</f>
        <v/>
      </c>
      <c r="K262">
        <f>IF(原始資料!K262="","",IF(反向題設定!$C$14="是",反向題設定!$B$2+1-原始資料!K262,原始資料!K262))</f>
        <v/>
      </c>
      <c r="L262">
        <f>IF(原始資料!L262="","",IF(反向題設定!$C$15="是",反向題設定!$B$2+1-原始資料!L262,原始資料!L262))</f>
        <v/>
      </c>
      <c r="M262">
        <f>IF(原始資料!M262="","",IF(反向題設定!$C$16="是",反向題設定!$B$2+1-原始資料!M262,原始資料!M262))</f>
        <v/>
      </c>
      <c r="N262">
        <f>IF(原始資料!N262="","",IF(反向題設定!$C$17="是",反向題設定!$B$2+1-原始資料!N262,原始資料!N262))</f>
        <v/>
      </c>
      <c r="O262">
        <f>IF(原始資料!O262="","",IF(反向題設定!$C$18="是",反向題設定!$B$2+1-原始資料!O262,原始資料!O262))</f>
        <v/>
      </c>
      <c r="P262">
        <f>IF(原始資料!P262="","",IF(反向題設定!$C$19="是",反向題設定!$B$2+1-原始資料!P262,原始資料!P262))</f>
        <v/>
      </c>
      <c r="Q262">
        <f>IF(原始資料!Q262="","",IF(反向題設定!$C$20="是",反向題設定!$B$2+1-原始資料!Q262,原始資料!Q262))</f>
        <v/>
      </c>
      <c r="R262">
        <f>IF(原始資料!R262="","",IF(反向題設定!$C$21="是",反向題設定!$B$2+1-原始資料!R262,原始資料!R262))</f>
        <v/>
      </c>
      <c r="S262">
        <f>IF(原始資料!S262="","",IF(反向題設定!$C$22="是",反向題設定!$B$2+1-原始資料!S262,原始資料!S262))</f>
        <v/>
      </c>
      <c r="T262">
        <f>IF(原始資料!T262="","",IF(反向題設定!$C$23="是",反向題設定!$B$2+1-原始資料!T262,原始資料!T262))</f>
        <v/>
      </c>
      <c r="U262">
        <f>IF(原始資料!U262="","",IF(反向題設定!$C$24="是",反向題設定!$B$2+1-原始資料!U262,原始資料!U262))</f>
        <v/>
      </c>
      <c r="V262">
        <f>IF(原始資料!V262="","",IF(反向題設定!$C$25="是",反向題設定!$B$2+1-原始資料!V262,原始資料!V262))</f>
        <v/>
      </c>
      <c r="W262">
        <f>IF(原始資料!W262="","",IF(反向題設定!$C$26="是",反向題設定!$B$2+1-原始資料!W262,原始資料!W262))</f>
        <v/>
      </c>
      <c r="X262">
        <f>IF(原始資料!X262="","",IF(反向題設定!$C$27="是",反向題設定!$B$2+1-原始資料!X262,原始資料!X262))</f>
        <v/>
      </c>
      <c r="Y262">
        <f>IF(原始資料!Y262="","",IF(反向題設定!$C$28="是",反向題設定!$B$2+1-原始資料!Y262,原始資料!Y262))</f>
        <v/>
      </c>
      <c r="Z262">
        <f>IF(原始資料!Z262="","",IF(反向題設定!$C$29="是",反向題設定!$B$2+1-原始資料!Z262,原始資料!Z262))</f>
        <v/>
      </c>
      <c r="AA262">
        <f>IF(原始資料!AA262="","",IF(反向題設定!$C$30="是",反向題設定!$B$2+1-原始資料!AA262,原始資料!AA262))</f>
        <v/>
      </c>
      <c r="AB262">
        <f>IF(原始資料!AB262="","",IF(反向題設定!$C$31="是",反向題設定!$B$2+1-原始資料!AB262,原始資料!AB262))</f>
        <v/>
      </c>
      <c r="AC262">
        <f>IF(原始資料!AC262="","",IF(反向題設定!$C$32="是",反向題設定!$B$2+1-原始資料!AC262,原始資料!AC262))</f>
        <v/>
      </c>
      <c r="AD262">
        <f>IF(原始資料!AD262="","",IF(反向題設定!$C$33="是",反向題設定!$B$2+1-原始資料!AD262,原始資料!AD262))</f>
        <v/>
      </c>
      <c r="AE262">
        <f>IF(原始資料!AE262="","",IF(反向題設定!$C$34="是",反向題設定!$B$2+1-原始資料!AE262,原始資料!AE262))</f>
        <v/>
      </c>
      <c r="AF262">
        <f>IF(原始資料!AF262="","",IF(反向題設定!$C$35="是",反向題設定!$B$2+1-原始資料!AF262,原始資料!AF262))</f>
        <v/>
      </c>
      <c r="AG262">
        <f>IF(原始資料!AG262="","",IF(反向題設定!$C$36="是",反向題設定!$B$2+1-原始資料!AG262,原始資料!AG262))</f>
        <v/>
      </c>
      <c r="AH262">
        <f>IF(原始資料!AH262="","",IF(反向題設定!$C$37="是",反向題設定!$B$2+1-原始資料!AH262,原始資料!AH262))</f>
        <v/>
      </c>
      <c r="AI262">
        <f>IF(原始資料!AI262="","",IF(反向題設定!$C$38="是",反向題設定!$B$2+1-原始資料!AI262,原始資料!AI262))</f>
        <v/>
      </c>
      <c r="AJ262">
        <f>IF(原始資料!AJ262="","",IF(反向題設定!$C$39="是",反向題設定!$B$2+1-原始資料!AJ262,原始資料!AJ262))</f>
        <v/>
      </c>
      <c r="AK262">
        <f>IF(原始資料!AK262="","",IF(反向題設定!$C$40="是",反向題設定!$B$2+1-原始資料!AK262,原始資料!AK262))</f>
        <v/>
      </c>
      <c r="AL262">
        <f>IF(原始資料!AL262="","",IF(反向題設定!$C$41="是",反向題設定!$B$2+1-原始資料!AL262,原始資料!AL262))</f>
        <v/>
      </c>
      <c r="AM262">
        <f>IF(原始資料!AM262="","",IF(反向題設定!$C$42="是",反向題設定!$B$2+1-原始資料!AM262,原始資料!AM262))</f>
        <v/>
      </c>
      <c r="AN262">
        <f>IF(原始資料!AN262="","",IF(反向題設定!$C$43="是",反向題設定!$B$2+1-原始資料!AN262,原始資料!AN262))</f>
        <v/>
      </c>
      <c r="AO262">
        <f>IF(原始資料!AO262="","",IF(反向題設定!$C$44="是",反向題設定!$B$2+1-原始資料!AO262,原始資料!AO262))</f>
        <v/>
      </c>
      <c r="AP262">
        <f>IF(COUNT(B262:AO262)=0,"",SUM(B262:AO262))</f>
        <v/>
      </c>
      <c r="AQ262">
        <f>IF(AP262="","",IF(AP262&gt;=項目分析!$C$5,"高",IF(AP262&lt;=項目分析!$C$6,"低","")))</f>
        <v/>
      </c>
    </row>
    <row r="263">
      <c r="A263">
        <f>IF(原始資料!A263="","",原始資料!A263)</f>
        <v/>
      </c>
      <c r="B263">
        <f>IF(原始資料!B263="","",IF(反向題設定!$C$5="是",反向題設定!$B$2+1-原始資料!B263,原始資料!B263))</f>
        <v/>
      </c>
      <c r="C263">
        <f>IF(原始資料!C263="","",IF(反向題設定!$C$6="是",反向題設定!$B$2+1-原始資料!C263,原始資料!C263))</f>
        <v/>
      </c>
      <c r="D263">
        <f>IF(原始資料!D263="","",IF(反向題設定!$C$7="是",反向題設定!$B$2+1-原始資料!D263,原始資料!D263))</f>
        <v/>
      </c>
      <c r="E263">
        <f>IF(原始資料!E263="","",IF(反向題設定!$C$8="是",反向題設定!$B$2+1-原始資料!E263,原始資料!E263))</f>
        <v/>
      </c>
      <c r="F263">
        <f>IF(原始資料!F263="","",IF(反向題設定!$C$9="是",反向題設定!$B$2+1-原始資料!F263,原始資料!F263))</f>
        <v/>
      </c>
      <c r="G263">
        <f>IF(原始資料!G263="","",IF(反向題設定!$C$10="是",反向題設定!$B$2+1-原始資料!G263,原始資料!G263))</f>
        <v/>
      </c>
      <c r="H263">
        <f>IF(原始資料!H263="","",IF(反向題設定!$C$11="是",反向題設定!$B$2+1-原始資料!H263,原始資料!H263))</f>
        <v/>
      </c>
      <c r="I263">
        <f>IF(原始資料!I263="","",IF(反向題設定!$C$12="是",反向題設定!$B$2+1-原始資料!I263,原始資料!I263))</f>
        <v/>
      </c>
      <c r="J263">
        <f>IF(原始資料!J263="","",IF(反向題設定!$C$13="是",反向題設定!$B$2+1-原始資料!J263,原始資料!J263))</f>
        <v/>
      </c>
      <c r="K263">
        <f>IF(原始資料!K263="","",IF(反向題設定!$C$14="是",反向題設定!$B$2+1-原始資料!K263,原始資料!K263))</f>
        <v/>
      </c>
      <c r="L263">
        <f>IF(原始資料!L263="","",IF(反向題設定!$C$15="是",反向題設定!$B$2+1-原始資料!L263,原始資料!L263))</f>
        <v/>
      </c>
      <c r="M263">
        <f>IF(原始資料!M263="","",IF(反向題設定!$C$16="是",反向題設定!$B$2+1-原始資料!M263,原始資料!M263))</f>
        <v/>
      </c>
      <c r="N263">
        <f>IF(原始資料!N263="","",IF(反向題設定!$C$17="是",反向題設定!$B$2+1-原始資料!N263,原始資料!N263))</f>
        <v/>
      </c>
      <c r="O263">
        <f>IF(原始資料!O263="","",IF(反向題設定!$C$18="是",反向題設定!$B$2+1-原始資料!O263,原始資料!O263))</f>
        <v/>
      </c>
      <c r="P263">
        <f>IF(原始資料!P263="","",IF(反向題設定!$C$19="是",反向題設定!$B$2+1-原始資料!P263,原始資料!P263))</f>
        <v/>
      </c>
      <c r="Q263">
        <f>IF(原始資料!Q263="","",IF(反向題設定!$C$20="是",反向題設定!$B$2+1-原始資料!Q263,原始資料!Q263))</f>
        <v/>
      </c>
      <c r="R263">
        <f>IF(原始資料!R263="","",IF(反向題設定!$C$21="是",反向題設定!$B$2+1-原始資料!R263,原始資料!R263))</f>
        <v/>
      </c>
      <c r="S263">
        <f>IF(原始資料!S263="","",IF(反向題設定!$C$22="是",反向題設定!$B$2+1-原始資料!S263,原始資料!S263))</f>
        <v/>
      </c>
      <c r="T263">
        <f>IF(原始資料!T263="","",IF(反向題設定!$C$23="是",反向題設定!$B$2+1-原始資料!T263,原始資料!T263))</f>
        <v/>
      </c>
      <c r="U263">
        <f>IF(原始資料!U263="","",IF(反向題設定!$C$24="是",反向題設定!$B$2+1-原始資料!U263,原始資料!U263))</f>
        <v/>
      </c>
      <c r="V263">
        <f>IF(原始資料!V263="","",IF(反向題設定!$C$25="是",反向題設定!$B$2+1-原始資料!V263,原始資料!V263))</f>
        <v/>
      </c>
      <c r="W263">
        <f>IF(原始資料!W263="","",IF(反向題設定!$C$26="是",反向題設定!$B$2+1-原始資料!W263,原始資料!W263))</f>
        <v/>
      </c>
      <c r="X263">
        <f>IF(原始資料!X263="","",IF(反向題設定!$C$27="是",反向題設定!$B$2+1-原始資料!X263,原始資料!X263))</f>
        <v/>
      </c>
      <c r="Y263">
        <f>IF(原始資料!Y263="","",IF(反向題設定!$C$28="是",反向題設定!$B$2+1-原始資料!Y263,原始資料!Y263))</f>
        <v/>
      </c>
      <c r="Z263">
        <f>IF(原始資料!Z263="","",IF(反向題設定!$C$29="是",反向題設定!$B$2+1-原始資料!Z263,原始資料!Z263))</f>
        <v/>
      </c>
      <c r="AA263">
        <f>IF(原始資料!AA263="","",IF(反向題設定!$C$30="是",反向題設定!$B$2+1-原始資料!AA263,原始資料!AA263))</f>
        <v/>
      </c>
      <c r="AB263">
        <f>IF(原始資料!AB263="","",IF(反向題設定!$C$31="是",反向題設定!$B$2+1-原始資料!AB263,原始資料!AB263))</f>
        <v/>
      </c>
      <c r="AC263">
        <f>IF(原始資料!AC263="","",IF(反向題設定!$C$32="是",反向題設定!$B$2+1-原始資料!AC263,原始資料!AC263))</f>
        <v/>
      </c>
      <c r="AD263">
        <f>IF(原始資料!AD263="","",IF(反向題設定!$C$33="是",反向題設定!$B$2+1-原始資料!AD263,原始資料!AD263))</f>
        <v/>
      </c>
      <c r="AE263">
        <f>IF(原始資料!AE263="","",IF(反向題設定!$C$34="是",反向題設定!$B$2+1-原始資料!AE263,原始資料!AE263))</f>
        <v/>
      </c>
      <c r="AF263">
        <f>IF(原始資料!AF263="","",IF(反向題設定!$C$35="是",反向題設定!$B$2+1-原始資料!AF263,原始資料!AF263))</f>
        <v/>
      </c>
      <c r="AG263">
        <f>IF(原始資料!AG263="","",IF(反向題設定!$C$36="是",反向題設定!$B$2+1-原始資料!AG263,原始資料!AG263))</f>
        <v/>
      </c>
      <c r="AH263">
        <f>IF(原始資料!AH263="","",IF(反向題設定!$C$37="是",反向題設定!$B$2+1-原始資料!AH263,原始資料!AH263))</f>
        <v/>
      </c>
      <c r="AI263">
        <f>IF(原始資料!AI263="","",IF(反向題設定!$C$38="是",反向題設定!$B$2+1-原始資料!AI263,原始資料!AI263))</f>
        <v/>
      </c>
      <c r="AJ263">
        <f>IF(原始資料!AJ263="","",IF(反向題設定!$C$39="是",反向題設定!$B$2+1-原始資料!AJ263,原始資料!AJ263))</f>
        <v/>
      </c>
      <c r="AK263">
        <f>IF(原始資料!AK263="","",IF(反向題設定!$C$40="是",反向題設定!$B$2+1-原始資料!AK263,原始資料!AK263))</f>
        <v/>
      </c>
      <c r="AL263">
        <f>IF(原始資料!AL263="","",IF(反向題設定!$C$41="是",反向題設定!$B$2+1-原始資料!AL263,原始資料!AL263))</f>
        <v/>
      </c>
      <c r="AM263">
        <f>IF(原始資料!AM263="","",IF(反向題設定!$C$42="是",反向題設定!$B$2+1-原始資料!AM263,原始資料!AM263))</f>
        <v/>
      </c>
      <c r="AN263">
        <f>IF(原始資料!AN263="","",IF(反向題設定!$C$43="是",反向題設定!$B$2+1-原始資料!AN263,原始資料!AN263))</f>
        <v/>
      </c>
      <c r="AO263">
        <f>IF(原始資料!AO263="","",IF(反向題設定!$C$44="是",反向題設定!$B$2+1-原始資料!AO263,原始資料!AO263))</f>
        <v/>
      </c>
      <c r="AP263">
        <f>IF(COUNT(B263:AO263)=0,"",SUM(B263:AO263))</f>
        <v/>
      </c>
      <c r="AQ263">
        <f>IF(AP263="","",IF(AP263&gt;=項目分析!$C$5,"高",IF(AP263&lt;=項目分析!$C$6,"低","")))</f>
        <v/>
      </c>
    </row>
    <row r="264">
      <c r="A264">
        <f>IF(原始資料!A264="","",原始資料!A264)</f>
        <v/>
      </c>
      <c r="B264">
        <f>IF(原始資料!B264="","",IF(反向題設定!$C$5="是",反向題設定!$B$2+1-原始資料!B264,原始資料!B264))</f>
        <v/>
      </c>
      <c r="C264">
        <f>IF(原始資料!C264="","",IF(反向題設定!$C$6="是",反向題設定!$B$2+1-原始資料!C264,原始資料!C264))</f>
        <v/>
      </c>
      <c r="D264">
        <f>IF(原始資料!D264="","",IF(反向題設定!$C$7="是",反向題設定!$B$2+1-原始資料!D264,原始資料!D264))</f>
        <v/>
      </c>
      <c r="E264">
        <f>IF(原始資料!E264="","",IF(反向題設定!$C$8="是",反向題設定!$B$2+1-原始資料!E264,原始資料!E264))</f>
        <v/>
      </c>
      <c r="F264">
        <f>IF(原始資料!F264="","",IF(反向題設定!$C$9="是",反向題設定!$B$2+1-原始資料!F264,原始資料!F264))</f>
        <v/>
      </c>
      <c r="G264">
        <f>IF(原始資料!G264="","",IF(反向題設定!$C$10="是",反向題設定!$B$2+1-原始資料!G264,原始資料!G264))</f>
        <v/>
      </c>
      <c r="H264">
        <f>IF(原始資料!H264="","",IF(反向題設定!$C$11="是",反向題設定!$B$2+1-原始資料!H264,原始資料!H264))</f>
        <v/>
      </c>
      <c r="I264">
        <f>IF(原始資料!I264="","",IF(反向題設定!$C$12="是",反向題設定!$B$2+1-原始資料!I264,原始資料!I264))</f>
        <v/>
      </c>
      <c r="J264">
        <f>IF(原始資料!J264="","",IF(反向題設定!$C$13="是",反向題設定!$B$2+1-原始資料!J264,原始資料!J264))</f>
        <v/>
      </c>
      <c r="K264">
        <f>IF(原始資料!K264="","",IF(反向題設定!$C$14="是",反向題設定!$B$2+1-原始資料!K264,原始資料!K264))</f>
        <v/>
      </c>
      <c r="L264">
        <f>IF(原始資料!L264="","",IF(反向題設定!$C$15="是",反向題設定!$B$2+1-原始資料!L264,原始資料!L264))</f>
        <v/>
      </c>
      <c r="M264">
        <f>IF(原始資料!M264="","",IF(反向題設定!$C$16="是",反向題設定!$B$2+1-原始資料!M264,原始資料!M264))</f>
        <v/>
      </c>
      <c r="N264">
        <f>IF(原始資料!N264="","",IF(反向題設定!$C$17="是",反向題設定!$B$2+1-原始資料!N264,原始資料!N264))</f>
        <v/>
      </c>
      <c r="O264">
        <f>IF(原始資料!O264="","",IF(反向題設定!$C$18="是",反向題設定!$B$2+1-原始資料!O264,原始資料!O264))</f>
        <v/>
      </c>
      <c r="P264">
        <f>IF(原始資料!P264="","",IF(反向題設定!$C$19="是",反向題設定!$B$2+1-原始資料!P264,原始資料!P264))</f>
        <v/>
      </c>
      <c r="Q264">
        <f>IF(原始資料!Q264="","",IF(反向題設定!$C$20="是",反向題設定!$B$2+1-原始資料!Q264,原始資料!Q264))</f>
        <v/>
      </c>
      <c r="R264">
        <f>IF(原始資料!R264="","",IF(反向題設定!$C$21="是",反向題設定!$B$2+1-原始資料!R264,原始資料!R264))</f>
        <v/>
      </c>
      <c r="S264">
        <f>IF(原始資料!S264="","",IF(反向題設定!$C$22="是",反向題設定!$B$2+1-原始資料!S264,原始資料!S264))</f>
        <v/>
      </c>
      <c r="T264">
        <f>IF(原始資料!T264="","",IF(反向題設定!$C$23="是",反向題設定!$B$2+1-原始資料!T264,原始資料!T264))</f>
        <v/>
      </c>
      <c r="U264">
        <f>IF(原始資料!U264="","",IF(反向題設定!$C$24="是",反向題設定!$B$2+1-原始資料!U264,原始資料!U264))</f>
        <v/>
      </c>
      <c r="V264">
        <f>IF(原始資料!V264="","",IF(反向題設定!$C$25="是",反向題設定!$B$2+1-原始資料!V264,原始資料!V264))</f>
        <v/>
      </c>
      <c r="W264">
        <f>IF(原始資料!W264="","",IF(反向題設定!$C$26="是",反向題設定!$B$2+1-原始資料!W264,原始資料!W264))</f>
        <v/>
      </c>
      <c r="X264">
        <f>IF(原始資料!X264="","",IF(反向題設定!$C$27="是",反向題設定!$B$2+1-原始資料!X264,原始資料!X264))</f>
        <v/>
      </c>
      <c r="Y264">
        <f>IF(原始資料!Y264="","",IF(反向題設定!$C$28="是",反向題設定!$B$2+1-原始資料!Y264,原始資料!Y264))</f>
        <v/>
      </c>
      <c r="Z264">
        <f>IF(原始資料!Z264="","",IF(反向題設定!$C$29="是",反向題設定!$B$2+1-原始資料!Z264,原始資料!Z264))</f>
        <v/>
      </c>
      <c r="AA264">
        <f>IF(原始資料!AA264="","",IF(反向題設定!$C$30="是",反向題設定!$B$2+1-原始資料!AA264,原始資料!AA264))</f>
        <v/>
      </c>
      <c r="AB264">
        <f>IF(原始資料!AB264="","",IF(反向題設定!$C$31="是",反向題設定!$B$2+1-原始資料!AB264,原始資料!AB264))</f>
        <v/>
      </c>
      <c r="AC264">
        <f>IF(原始資料!AC264="","",IF(反向題設定!$C$32="是",反向題設定!$B$2+1-原始資料!AC264,原始資料!AC264))</f>
        <v/>
      </c>
      <c r="AD264">
        <f>IF(原始資料!AD264="","",IF(反向題設定!$C$33="是",反向題設定!$B$2+1-原始資料!AD264,原始資料!AD264))</f>
        <v/>
      </c>
      <c r="AE264">
        <f>IF(原始資料!AE264="","",IF(反向題設定!$C$34="是",反向題設定!$B$2+1-原始資料!AE264,原始資料!AE264))</f>
        <v/>
      </c>
      <c r="AF264">
        <f>IF(原始資料!AF264="","",IF(反向題設定!$C$35="是",反向題設定!$B$2+1-原始資料!AF264,原始資料!AF264))</f>
        <v/>
      </c>
      <c r="AG264">
        <f>IF(原始資料!AG264="","",IF(反向題設定!$C$36="是",反向題設定!$B$2+1-原始資料!AG264,原始資料!AG264))</f>
        <v/>
      </c>
      <c r="AH264">
        <f>IF(原始資料!AH264="","",IF(反向題設定!$C$37="是",反向題設定!$B$2+1-原始資料!AH264,原始資料!AH264))</f>
        <v/>
      </c>
      <c r="AI264">
        <f>IF(原始資料!AI264="","",IF(反向題設定!$C$38="是",反向題設定!$B$2+1-原始資料!AI264,原始資料!AI264))</f>
        <v/>
      </c>
      <c r="AJ264">
        <f>IF(原始資料!AJ264="","",IF(反向題設定!$C$39="是",反向題設定!$B$2+1-原始資料!AJ264,原始資料!AJ264))</f>
        <v/>
      </c>
      <c r="AK264">
        <f>IF(原始資料!AK264="","",IF(反向題設定!$C$40="是",反向題設定!$B$2+1-原始資料!AK264,原始資料!AK264))</f>
        <v/>
      </c>
      <c r="AL264">
        <f>IF(原始資料!AL264="","",IF(反向題設定!$C$41="是",反向題設定!$B$2+1-原始資料!AL264,原始資料!AL264))</f>
        <v/>
      </c>
      <c r="AM264">
        <f>IF(原始資料!AM264="","",IF(反向題設定!$C$42="是",反向題設定!$B$2+1-原始資料!AM264,原始資料!AM264))</f>
        <v/>
      </c>
      <c r="AN264">
        <f>IF(原始資料!AN264="","",IF(反向題設定!$C$43="是",反向題設定!$B$2+1-原始資料!AN264,原始資料!AN264))</f>
        <v/>
      </c>
      <c r="AO264">
        <f>IF(原始資料!AO264="","",IF(反向題設定!$C$44="是",反向題設定!$B$2+1-原始資料!AO264,原始資料!AO264))</f>
        <v/>
      </c>
      <c r="AP264">
        <f>IF(COUNT(B264:AO264)=0,"",SUM(B264:AO264))</f>
        <v/>
      </c>
      <c r="AQ264">
        <f>IF(AP264="","",IF(AP264&gt;=項目分析!$C$5,"高",IF(AP264&lt;=項目分析!$C$6,"低","")))</f>
        <v/>
      </c>
    </row>
    <row r="265">
      <c r="A265">
        <f>IF(原始資料!A265="","",原始資料!A265)</f>
        <v/>
      </c>
      <c r="B265">
        <f>IF(原始資料!B265="","",IF(反向題設定!$C$5="是",反向題設定!$B$2+1-原始資料!B265,原始資料!B265))</f>
        <v/>
      </c>
      <c r="C265">
        <f>IF(原始資料!C265="","",IF(反向題設定!$C$6="是",反向題設定!$B$2+1-原始資料!C265,原始資料!C265))</f>
        <v/>
      </c>
      <c r="D265">
        <f>IF(原始資料!D265="","",IF(反向題設定!$C$7="是",反向題設定!$B$2+1-原始資料!D265,原始資料!D265))</f>
        <v/>
      </c>
      <c r="E265">
        <f>IF(原始資料!E265="","",IF(反向題設定!$C$8="是",反向題設定!$B$2+1-原始資料!E265,原始資料!E265))</f>
        <v/>
      </c>
      <c r="F265">
        <f>IF(原始資料!F265="","",IF(反向題設定!$C$9="是",反向題設定!$B$2+1-原始資料!F265,原始資料!F265))</f>
        <v/>
      </c>
      <c r="G265">
        <f>IF(原始資料!G265="","",IF(反向題設定!$C$10="是",反向題設定!$B$2+1-原始資料!G265,原始資料!G265))</f>
        <v/>
      </c>
      <c r="H265">
        <f>IF(原始資料!H265="","",IF(反向題設定!$C$11="是",反向題設定!$B$2+1-原始資料!H265,原始資料!H265))</f>
        <v/>
      </c>
      <c r="I265">
        <f>IF(原始資料!I265="","",IF(反向題設定!$C$12="是",反向題設定!$B$2+1-原始資料!I265,原始資料!I265))</f>
        <v/>
      </c>
      <c r="J265">
        <f>IF(原始資料!J265="","",IF(反向題設定!$C$13="是",反向題設定!$B$2+1-原始資料!J265,原始資料!J265))</f>
        <v/>
      </c>
      <c r="K265">
        <f>IF(原始資料!K265="","",IF(反向題設定!$C$14="是",反向題設定!$B$2+1-原始資料!K265,原始資料!K265))</f>
        <v/>
      </c>
      <c r="L265">
        <f>IF(原始資料!L265="","",IF(反向題設定!$C$15="是",反向題設定!$B$2+1-原始資料!L265,原始資料!L265))</f>
        <v/>
      </c>
      <c r="M265">
        <f>IF(原始資料!M265="","",IF(反向題設定!$C$16="是",反向題設定!$B$2+1-原始資料!M265,原始資料!M265))</f>
        <v/>
      </c>
      <c r="N265">
        <f>IF(原始資料!N265="","",IF(反向題設定!$C$17="是",反向題設定!$B$2+1-原始資料!N265,原始資料!N265))</f>
        <v/>
      </c>
      <c r="O265">
        <f>IF(原始資料!O265="","",IF(反向題設定!$C$18="是",反向題設定!$B$2+1-原始資料!O265,原始資料!O265))</f>
        <v/>
      </c>
      <c r="P265">
        <f>IF(原始資料!P265="","",IF(反向題設定!$C$19="是",反向題設定!$B$2+1-原始資料!P265,原始資料!P265))</f>
        <v/>
      </c>
      <c r="Q265">
        <f>IF(原始資料!Q265="","",IF(反向題設定!$C$20="是",反向題設定!$B$2+1-原始資料!Q265,原始資料!Q265))</f>
        <v/>
      </c>
      <c r="R265">
        <f>IF(原始資料!R265="","",IF(反向題設定!$C$21="是",反向題設定!$B$2+1-原始資料!R265,原始資料!R265))</f>
        <v/>
      </c>
      <c r="S265">
        <f>IF(原始資料!S265="","",IF(反向題設定!$C$22="是",反向題設定!$B$2+1-原始資料!S265,原始資料!S265))</f>
        <v/>
      </c>
      <c r="T265">
        <f>IF(原始資料!T265="","",IF(反向題設定!$C$23="是",反向題設定!$B$2+1-原始資料!T265,原始資料!T265))</f>
        <v/>
      </c>
      <c r="U265">
        <f>IF(原始資料!U265="","",IF(反向題設定!$C$24="是",反向題設定!$B$2+1-原始資料!U265,原始資料!U265))</f>
        <v/>
      </c>
      <c r="V265">
        <f>IF(原始資料!V265="","",IF(反向題設定!$C$25="是",反向題設定!$B$2+1-原始資料!V265,原始資料!V265))</f>
        <v/>
      </c>
      <c r="W265">
        <f>IF(原始資料!W265="","",IF(反向題設定!$C$26="是",反向題設定!$B$2+1-原始資料!W265,原始資料!W265))</f>
        <v/>
      </c>
      <c r="X265">
        <f>IF(原始資料!X265="","",IF(反向題設定!$C$27="是",反向題設定!$B$2+1-原始資料!X265,原始資料!X265))</f>
        <v/>
      </c>
      <c r="Y265">
        <f>IF(原始資料!Y265="","",IF(反向題設定!$C$28="是",反向題設定!$B$2+1-原始資料!Y265,原始資料!Y265))</f>
        <v/>
      </c>
      <c r="Z265">
        <f>IF(原始資料!Z265="","",IF(反向題設定!$C$29="是",反向題設定!$B$2+1-原始資料!Z265,原始資料!Z265))</f>
        <v/>
      </c>
      <c r="AA265">
        <f>IF(原始資料!AA265="","",IF(反向題設定!$C$30="是",反向題設定!$B$2+1-原始資料!AA265,原始資料!AA265))</f>
        <v/>
      </c>
      <c r="AB265">
        <f>IF(原始資料!AB265="","",IF(反向題設定!$C$31="是",反向題設定!$B$2+1-原始資料!AB265,原始資料!AB265))</f>
        <v/>
      </c>
      <c r="AC265">
        <f>IF(原始資料!AC265="","",IF(反向題設定!$C$32="是",反向題設定!$B$2+1-原始資料!AC265,原始資料!AC265))</f>
        <v/>
      </c>
      <c r="AD265">
        <f>IF(原始資料!AD265="","",IF(反向題設定!$C$33="是",反向題設定!$B$2+1-原始資料!AD265,原始資料!AD265))</f>
        <v/>
      </c>
      <c r="AE265">
        <f>IF(原始資料!AE265="","",IF(反向題設定!$C$34="是",反向題設定!$B$2+1-原始資料!AE265,原始資料!AE265))</f>
        <v/>
      </c>
      <c r="AF265">
        <f>IF(原始資料!AF265="","",IF(反向題設定!$C$35="是",反向題設定!$B$2+1-原始資料!AF265,原始資料!AF265))</f>
        <v/>
      </c>
      <c r="AG265">
        <f>IF(原始資料!AG265="","",IF(反向題設定!$C$36="是",反向題設定!$B$2+1-原始資料!AG265,原始資料!AG265))</f>
        <v/>
      </c>
      <c r="AH265">
        <f>IF(原始資料!AH265="","",IF(反向題設定!$C$37="是",反向題設定!$B$2+1-原始資料!AH265,原始資料!AH265))</f>
        <v/>
      </c>
      <c r="AI265">
        <f>IF(原始資料!AI265="","",IF(反向題設定!$C$38="是",反向題設定!$B$2+1-原始資料!AI265,原始資料!AI265))</f>
        <v/>
      </c>
      <c r="AJ265">
        <f>IF(原始資料!AJ265="","",IF(反向題設定!$C$39="是",反向題設定!$B$2+1-原始資料!AJ265,原始資料!AJ265))</f>
        <v/>
      </c>
      <c r="AK265">
        <f>IF(原始資料!AK265="","",IF(反向題設定!$C$40="是",反向題設定!$B$2+1-原始資料!AK265,原始資料!AK265))</f>
        <v/>
      </c>
      <c r="AL265">
        <f>IF(原始資料!AL265="","",IF(反向題設定!$C$41="是",反向題設定!$B$2+1-原始資料!AL265,原始資料!AL265))</f>
        <v/>
      </c>
      <c r="AM265">
        <f>IF(原始資料!AM265="","",IF(反向題設定!$C$42="是",反向題設定!$B$2+1-原始資料!AM265,原始資料!AM265))</f>
        <v/>
      </c>
      <c r="AN265">
        <f>IF(原始資料!AN265="","",IF(反向題設定!$C$43="是",反向題設定!$B$2+1-原始資料!AN265,原始資料!AN265))</f>
        <v/>
      </c>
      <c r="AO265">
        <f>IF(原始資料!AO265="","",IF(反向題設定!$C$44="是",反向題設定!$B$2+1-原始資料!AO265,原始資料!AO265))</f>
        <v/>
      </c>
      <c r="AP265">
        <f>IF(COUNT(B265:AO265)=0,"",SUM(B265:AO265))</f>
        <v/>
      </c>
      <c r="AQ265">
        <f>IF(AP265="","",IF(AP265&gt;=項目分析!$C$5,"高",IF(AP265&lt;=項目分析!$C$6,"低","")))</f>
        <v/>
      </c>
    </row>
    <row r="266">
      <c r="A266">
        <f>IF(原始資料!A266="","",原始資料!A266)</f>
        <v/>
      </c>
      <c r="B266">
        <f>IF(原始資料!B266="","",IF(反向題設定!$C$5="是",反向題設定!$B$2+1-原始資料!B266,原始資料!B266))</f>
        <v/>
      </c>
      <c r="C266">
        <f>IF(原始資料!C266="","",IF(反向題設定!$C$6="是",反向題設定!$B$2+1-原始資料!C266,原始資料!C266))</f>
        <v/>
      </c>
      <c r="D266">
        <f>IF(原始資料!D266="","",IF(反向題設定!$C$7="是",反向題設定!$B$2+1-原始資料!D266,原始資料!D266))</f>
        <v/>
      </c>
      <c r="E266">
        <f>IF(原始資料!E266="","",IF(反向題設定!$C$8="是",反向題設定!$B$2+1-原始資料!E266,原始資料!E266))</f>
        <v/>
      </c>
      <c r="F266">
        <f>IF(原始資料!F266="","",IF(反向題設定!$C$9="是",反向題設定!$B$2+1-原始資料!F266,原始資料!F266))</f>
        <v/>
      </c>
      <c r="G266">
        <f>IF(原始資料!G266="","",IF(反向題設定!$C$10="是",反向題設定!$B$2+1-原始資料!G266,原始資料!G266))</f>
        <v/>
      </c>
      <c r="H266">
        <f>IF(原始資料!H266="","",IF(反向題設定!$C$11="是",反向題設定!$B$2+1-原始資料!H266,原始資料!H266))</f>
        <v/>
      </c>
      <c r="I266">
        <f>IF(原始資料!I266="","",IF(反向題設定!$C$12="是",反向題設定!$B$2+1-原始資料!I266,原始資料!I266))</f>
        <v/>
      </c>
      <c r="J266">
        <f>IF(原始資料!J266="","",IF(反向題設定!$C$13="是",反向題設定!$B$2+1-原始資料!J266,原始資料!J266))</f>
        <v/>
      </c>
      <c r="K266">
        <f>IF(原始資料!K266="","",IF(反向題設定!$C$14="是",反向題設定!$B$2+1-原始資料!K266,原始資料!K266))</f>
        <v/>
      </c>
      <c r="L266">
        <f>IF(原始資料!L266="","",IF(反向題設定!$C$15="是",反向題設定!$B$2+1-原始資料!L266,原始資料!L266))</f>
        <v/>
      </c>
      <c r="M266">
        <f>IF(原始資料!M266="","",IF(反向題設定!$C$16="是",反向題設定!$B$2+1-原始資料!M266,原始資料!M266))</f>
        <v/>
      </c>
      <c r="N266">
        <f>IF(原始資料!N266="","",IF(反向題設定!$C$17="是",反向題設定!$B$2+1-原始資料!N266,原始資料!N266))</f>
        <v/>
      </c>
      <c r="O266">
        <f>IF(原始資料!O266="","",IF(反向題設定!$C$18="是",反向題設定!$B$2+1-原始資料!O266,原始資料!O266))</f>
        <v/>
      </c>
      <c r="P266">
        <f>IF(原始資料!P266="","",IF(反向題設定!$C$19="是",反向題設定!$B$2+1-原始資料!P266,原始資料!P266))</f>
        <v/>
      </c>
      <c r="Q266">
        <f>IF(原始資料!Q266="","",IF(反向題設定!$C$20="是",反向題設定!$B$2+1-原始資料!Q266,原始資料!Q266))</f>
        <v/>
      </c>
      <c r="R266">
        <f>IF(原始資料!R266="","",IF(反向題設定!$C$21="是",反向題設定!$B$2+1-原始資料!R266,原始資料!R266))</f>
        <v/>
      </c>
      <c r="S266">
        <f>IF(原始資料!S266="","",IF(反向題設定!$C$22="是",反向題設定!$B$2+1-原始資料!S266,原始資料!S266))</f>
        <v/>
      </c>
      <c r="T266">
        <f>IF(原始資料!T266="","",IF(反向題設定!$C$23="是",反向題設定!$B$2+1-原始資料!T266,原始資料!T266))</f>
        <v/>
      </c>
      <c r="U266">
        <f>IF(原始資料!U266="","",IF(反向題設定!$C$24="是",反向題設定!$B$2+1-原始資料!U266,原始資料!U266))</f>
        <v/>
      </c>
      <c r="V266">
        <f>IF(原始資料!V266="","",IF(反向題設定!$C$25="是",反向題設定!$B$2+1-原始資料!V266,原始資料!V266))</f>
        <v/>
      </c>
      <c r="W266">
        <f>IF(原始資料!W266="","",IF(反向題設定!$C$26="是",反向題設定!$B$2+1-原始資料!W266,原始資料!W266))</f>
        <v/>
      </c>
      <c r="X266">
        <f>IF(原始資料!X266="","",IF(反向題設定!$C$27="是",反向題設定!$B$2+1-原始資料!X266,原始資料!X266))</f>
        <v/>
      </c>
      <c r="Y266">
        <f>IF(原始資料!Y266="","",IF(反向題設定!$C$28="是",反向題設定!$B$2+1-原始資料!Y266,原始資料!Y266))</f>
        <v/>
      </c>
      <c r="Z266">
        <f>IF(原始資料!Z266="","",IF(反向題設定!$C$29="是",反向題設定!$B$2+1-原始資料!Z266,原始資料!Z266))</f>
        <v/>
      </c>
      <c r="AA266">
        <f>IF(原始資料!AA266="","",IF(反向題設定!$C$30="是",反向題設定!$B$2+1-原始資料!AA266,原始資料!AA266))</f>
        <v/>
      </c>
      <c r="AB266">
        <f>IF(原始資料!AB266="","",IF(反向題設定!$C$31="是",反向題設定!$B$2+1-原始資料!AB266,原始資料!AB266))</f>
        <v/>
      </c>
      <c r="AC266">
        <f>IF(原始資料!AC266="","",IF(反向題設定!$C$32="是",反向題設定!$B$2+1-原始資料!AC266,原始資料!AC266))</f>
        <v/>
      </c>
      <c r="AD266">
        <f>IF(原始資料!AD266="","",IF(反向題設定!$C$33="是",反向題設定!$B$2+1-原始資料!AD266,原始資料!AD266))</f>
        <v/>
      </c>
      <c r="AE266">
        <f>IF(原始資料!AE266="","",IF(反向題設定!$C$34="是",反向題設定!$B$2+1-原始資料!AE266,原始資料!AE266))</f>
        <v/>
      </c>
      <c r="AF266">
        <f>IF(原始資料!AF266="","",IF(反向題設定!$C$35="是",反向題設定!$B$2+1-原始資料!AF266,原始資料!AF266))</f>
        <v/>
      </c>
      <c r="AG266">
        <f>IF(原始資料!AG266="","",IF(反向題設定!$C$36="是",反向題設定!$B$2+1-原始資料!AG266,原始資料!AG266))</f>
        <v/>
      </c>
      <c r="AH266">
        <f>IF(原始資料!AH266="","",IF(反向題設定!$C$37="是",反向題設定!$B$2+1-原始資料!AH266,原始資料!AH266))</f>
        <v/>
      </c>
      <c r="AI266">
        <f>IF(原始資料!AI266="","",IF(反向題設定!$C$38="是",反向題設定!$B$2+1-原始資料!AI266,原始資料!AI266))</f>
        <v/>
      </c>
      <c r="AJ266">
        <f>IF(原始資料!AJ266="","",IF(反向題設定!$C$39="是",反向題設定!$B$2+1-原始資料!AJ266,原始資料!AJ266))</f>
        <v/>
      </c>
      <c r="AK266">
        <f>IF(原始資料!AK266="","",IF(反向題設定!$C$40="是",反向題設定!$B$2+1-原始資料!AK266,原始資料!AK266))</f>
        <v/>
      </c>
      <c r="AL266">
        <f>IF(原始資料!AL266="","",IF(反向題設定!$C$41="是",反向題設定!$B$2+1-原始資料!AL266,原始資料!AL266))</f>
        <v/>
      </c>
      <c r="AM266">
        <f>IF(原始資料!AM266="","",IF(反向題設定!$C$42="是",反向題設定!$B$2+1-原始資料!AM266,原始資料!AM266))</f>
        <v/>
      </c>
      <c r="AN266">
        <f>IF(原始資料!AN266="","",IF(反向題設定!$C$43="是",反向題設定!$B$2+1-原始資料!AN266,原始資料!AN266))</f>
        <v/>
      </c>
      <c r="AO266">
        <f>IF(原始資料!AO266="","",IF(反向題設定!$C$44="是",反向題設定!$B$2+1-原始資料!AO266,原始資料!AO266))</f>
        <v/>
      </c>
      <c r="AP266">
        <f>IF(COUNT(B266:AO266)=0,"",SUM(B266:AO266))</f>
        <v/>
      </c>
      <c r="AQ266">
        <f>IF(AP266="","",IF(AP266&gt;=項目分析!$C$5,"高",IF(AP266&lt;=項目分析!$C$6,"低","")))</f>
        <v/>
      </c>
    </row>
    <row r="267">
      <c r="A267">
        <f>IF(原始資料!A267="","",原始資料!A267)</f>
        <v/>
      </c>
      <c r="B267">
        <f>IF(原始資料!B267="","",IF(反向題設定!$C$5="是",反向題設定!$B$2+1-原始資料!B267,原始資料!B267))</f>
        <v/>
      </c>
      <c r="C267">
        <f>IF(原始資料!C267="","",IF(反向題設定!$C$6="是",反向題設定!$B$2+1-原始資料!C267,原始資料!C267))</f>
        <v/>
      </c>
      <c r="D267">
        <f>IF(原始資料!D267="","",IF(反向題設定!$C$7="是",反向題設定!$B$2+1-原始資料!D267,原始資料!D267))</f>
        <v/>
      </c>
      <c r="E267">
        <f>IF(原始資料!E267="","",IF(反向題設定!$C$8="是",反向題設定!$B$2+1-原始資料!E267,原始資料!E267))</f>
        <v/>
      </c>
      <c r="F267">
        <f>IF(原始資料!F267="","",IF(反向題設定!$C$9="是",反向題設定!$B$2+1-原始資料!F267,原始資料!F267))</f>
        <v/>
      </c>
      <c r="G267">
        <f>IF(原始資料!G267="","",IF(反向題設定!$C$10="是",反向題設定!$B$2+1-原始資料!G267,原始資料!G267))</f>
        <v/>
      </c>
      <c r="H267">
        <f>IF(原始資料!H267="","",IF(反向題設定!$C$11="是",反向題設定!$B$2+1-原始資料!H267,原始資料!H267))</f>
        <v/>
      </c>
      <c r="I267">
        <f>IF(原始資料!I267="","",IF(反向題設定!$C$12="是",反向題設定!$B$2+1-原始資料!I267,原始資料!I267))</f>
        <v/>
      </c>
      <c r="J267">
        <f>IF(原始資料!J267="","",IF(反向題設定!$C$13="是",反向題設定!$B$2+1-原始資料!J267,原始資料!J267))</f>
        <v/>
      </c>
      <c r="K267">
        <f>IF(原始資料!K267="","",IF(反向題設定!$C$14="是",反向題設定!$B$2+1-原始資料!K267,原始資料!K267))</f>
        <v/>
      </c>
      <c r="L267">
        <f>IF(原始資料!L267="","",IF(反向題設定!$C$15="是",反向題設定!$B$2+1-原始資料!L267,原始資料!L267))</f>
        <v/>
      </c>
      <c r="M267">
        <f>IF(原始資料!M267="","",IF(反向題設定!$C$16="是",反向題設定!$B$2+1-原始資料!M267,原始資料!M267))</f>
        <v/>
      </c>
      <c r="N267">
        <f>IF(原始資料!N267="","",IF(反向題設定!$C$17="是",反向題設定!$B$2+1-原始資料!N267,原始資料!N267))</f>
        <v/>
      </c>
      <c r="O267">
        <f>IF(原始資料!O267="","",IF(反向題設定!$C$18="是",反向題設定!$B$2+1-原始資料!O267,原始資料!O267))</f>
        <v/>
      </c>
      <c r="P267">
        <f>IF(原始資料!P267="","",IF(反向題設定!$C$19="是",反向題設定!$B$2+1-原始資料!P267,原始資料!P267))</f>
        <v/>
      </c>
      <c r="Q267">
        <f>IF(原始資料!Q267="","",IF(反向題設定!$C$20="是",反向題設定!$B$2+1-原始資料!Q267,原始資料!Q267))</f>
        <v/>
      </c>
      <c r="R267">
        <f>IF(原始資料!R267="","",IF(反向題設定!$C$21="是",反向題設定!$B$2+1-原始資料!R267,原始資料!R267))</f>
        <v/>
      </c>
      <c r="S267">
        <f>IF(原始資料!S267="","",IF(反向題設定!$C$22="是",反向題設定!$B$2+1-原始資料!S267,原始資料!S267))</f>
        <v/>
      </c>
      <c r="T267">
        <f>IF(原始資料!T267="","",IF(反向題設定!$C$23="是",反向題設定!$B$2+1-原始資料!T267,原始資料!T267))</f>
        <v/>
      </c>
      <c r="U267">
        <f>IF(原始資料!U267="","",IF(反向題設定!$C$24="是",反向題設定!$B$2+1-原始資料!U267,原始資料!U267))</f>
        <v/>
      </c>
      <c r="V267">
        <f>IF(原始資料!V267="","",IF(反向題設定!$C$25="是",反向題設定!$B$2+1-原始資料!V267,原始資料!V267))</f>
        <v/>
      </c>
      <c r="W267">
        <f>IF(原始資料!W267="","",IF(反向題設定!$C$26="是",反向題設定!$B$2+1-原始資料!W267,原始資料!W267))</f>
        <v/>
      </c>
      <c r="X267">
        <f>IF(原始資料!X267="","",IF(反向題設定!$C$27="是",反向題設定!$B$2+1-原始資料!X267,原始資料!X267))</f>
        <v/>
      </c>
      <c r="Y267">
        <f>IF(原始資料!Y267="","",IF(反向題設定!$C$28="是",反向題設定!$B$2+1-原始資料!Y267,原始資料!Y267))</f>
        <v/>
      </c>
      <c r="Z267">
        <f>IF(原始資料!Z267="","",IF(反向題設定!$C$29="是",反向題設定!$B$2+1-原始資料!Z267,原始資料!Z267))</f>
        <v/>
      </c>
      <c r="AA267">
        <f>IF(原始資料!AA267="","",IF(反向題設定!$C$30="是",反向題設定!$B$2+1-原始資料!AA267,原始資料!AA267))</f>
        <v/>
      </c>
      <c r="AB267">
        <f>IF(原始資料!AB267="","",IF(反向題設定!$C$31="是",反向題設定!$B$2+1-原始資料!AB267,原始資料!AB267))</f>
        <v/>
      </c>
      <c r="AC267">
        <f>IF(原始資料!AC267="","",IF(反向題設定!$C$32="是",反向題設定!$B$2+1-原始資料!AC267,原始資料!AC267))</f>
        <v/>
      </c>
      <c r="AD267">
        <f>IF(原始資料!AD267="","",IF(反向題設定!$C$33="是",反向題設定!$B$2+1-原始資料!AD267,原始資料!AD267))</f>
        <v/>
      </c>
      <c r="AE267">
        <f>IF(原始資料!AE267="","",IF(反向題設定!$C$34="是",反向題設定!$B$2+1-原始資料!AE267,原始資料!AE267))</f>
        <v/>
      </c>
      <c r="AF267">
        <f>IF(原始資料!AF267="","",IF(反向題設定!$C$35="是",反向題設定!$B$2+1-原始資料!AF267,原始資料!AF267))</f>
        <v/>
      </c>
      <c r="AG267">
        <f>IF(原始資料!AG267="","",IF(反向題設定!$C$36="是",反向題設定!$B$2+1-原始資料!AG267,原始資料!AG267))</f>
        <v/>
      </c>
      <c r="AH267">
        <f>IF(原始資料!AH267="","",IF(反向題設定!$C$37="是",反向題設定!$B$2+1-原始資料!AH267,原始資料!AH267))</f>
        <v/>
      </c>
      <c r="AI267">
        <f>IF(原始資料!AI267="","",IF(反向題設定!$C$38="是",反向題設定!$B$2+1-原始資料!AI267,原始資料!AI267))</f>
        <v/>
      </c>
      <c r="AJ267">
        <f>IF(原始資料!AJ267="","",IF(反向題設定!$C$39="是",反向題設定!$B$2+1-原始資料!AJ267,原始資料!AJ267))</f>
        <v/>
      </c>
      <c r="AK267">
        <f>IF(原始資料!AK267="","",IF(反向題設定!$C$40="是",反向題設定!$B$2+1-原始資料!AK267,原始資料!AK267))</f>
        <v/>
      </c>
      <c r="AL267">
        <f>IF(原始資料!AL267="","",IF(反向題設定!$C$41="是",反向題設定!$B$2+1-原始資料!AL267,原始資料!AL267))</f>
        <v/>
      </c>
      <c r="AM267">
        <f>IF(原始資料!AM267="","",IF(反向題設定!$C$42="是",反向題設定!$B$2+1-原始資料!AM267,原始資料!AM267))</f>
        <v/>
      </c>
      <c r="AN267">
        <f>IF(原始資料!AN267="","",IF(反向題設定!$C$43="是",反向題設定!$B$2+1-原始資料!AN267,原始資料!AN267))</f>
        <v/>
      </c>
      <c r="AO267">
        <f>IF(原始資料!AO267="","",IF(反向題設定!$C$44="是",反向題設定!$B$2+1-原始資料!AO267,原始資料!AO267))</f>
        <v/>
      </c>
      <c r="AP267">
        <f>IF(COUNT(B267:AO267)=0,"",SUM(B267:AO267))</f>
        <v/>
      </c>
      <c r="AQ267">
        <f>IF(AP267="","",IF(AP267&gt;=項目分析!$C$5,"高",IF(AP267&lt;=項目分析!$C$6,"低","")))</f>
        <v/>
      </c>
    </row>
    <row r="268">
      <c r="A268">
        <f>IF(原始資料!A268="","",原始資料!A268)</f>
        <v/>
      </c>
      <c r="B268">
        <f>IF(原始資料!B268="","",IF(反向題設定!$C$5="是",反向題設定!$B$2+1-原始資料!B268,原始資料!B268))</f>
        <v/>
      </c>
      <c r="C268">
        <f>IF(原始資料!C268="","",IF(反向題設定!$C$6="是",反向題設定!$B$2+1-原始資料!C268,原始資料!C268))</f>
        <v/>
      </c>
      <c r="D268">
        <f>IF(原始資料!D268="","",IF(反向題設定!$C$7="是",反向題設定!$B$2+1-原始資料!D268,原始資料!D268))</f>
        <v/>
      </c>
      <c r="E268">
        <f>IF(原始資料!E268="","",IF(反向題設定!$C$8="是",反向題設定!$B$2+1-原始資料!E268,原始資料!E268))</f>
        <v/>
      </c>
      <c r="F268">
        <f>IF(原始資料!F268="","",IF(反向題設定!$C$9="是",反向題設定!$B$2+1-原始資料!F268,原始資料!F268))</f>
        <v/>
      </c>
      <c r="G268">
        <f>IF(原始資料!G268="","",IF(反向題設定!$C$10="是",反向題設定!$B$2+1-原始資料!G268,原始資料!G268))</f>
        <v/>
      </c>
      <c r="H268">
        <f>IF(原始資料!H268="","",IF(反向題設定!$C$11="是",反向題設定!$B$2+1-原始資料!H268,原始資料!H268))</f>
        <v/>
      </c>
      <c r="I268">
        <f>IF(原始資料!I268="","",IF(反向題設定!$C$12="是",反向題設定!$B$2+1-原始資料!I268,原始資料!I268))</f>
        <v/>
      </c>
      <c r="J268">
        <f>IF(原始資料!J268="","",IF(反向題設定!$C$13="是",反向題設定!$B$2+1-原始資料!J268,原始資料!J268))</f>
        <v/>
      </c>
      <c r="K268">
        <f>IF(原始資料!K268="","",IF(反向題設定!$C$14="是",反向題設定!$B$2+1-原始資料!K268,原始資料!K268))</f>
        <v/>
      </c>
      <c r="L268">
        <f>IF(原始資料!L268="","",IF(反向題設定!$C$15="是",反向題設定!$B$2+1-原始資料!L268,原始資料!L268))</f>
        <v/>
      </c>
      <c r="M268">
        <f>IF(原始資料!M268="","",IF(反向題設定!$C$16="是",反向題設定!$B$2+1-原始資料!M268,原始資料!M268))</f>
        <v/>
      </c>
      <c r="N268">
        <f>IF(原始資料!N268="","",IF(反向題設定!$C$17="是",反向題設定!$B$2+1-原始資料!N268,原始資料!N268))</f>
        <v/>
      </c>
      <c r="O268">
        <f>IF(原始資料!O268="","",IF(反向題設定!$C$18="是",反向題設定!$B$2+1-原始資料!O268,原始資料!O268))</f>
        <v/>
      </c>
      <c r="P268">
        <f>IF(原始資料!P268="","",IF(反向題設定!$C$19="是",反向題設定!$B$2+1-原始資料!P268,原始資料!P268))</f>
        <v/>
      </c>
      <c r="Q268">
        <f>IF(原始資料!Q268="","",IF(反向題設定!$C$20="是",反向題設定!$B$2+1-原始資料!Q268,原始資料!Q268))</f>
        <v/>
      </c>
      <c r="R268">
        <f>IF(原始資料!R268="","",IF(反向題設定!$C$21="是",反向題設定!$B$2+1-原始資料!R268,原始資料!R268))</f>
        <v/>
      </c>
      <c r="S268">
        <f>IF(原始資料!S268="","",IF(反向題設定!$C$22="是",反向題設定!$B$2+1-原始資料!S268,原始資料!S268))</f>
        <v/>
      </c>
      <c r="T268">
        <f>IF(原始資料!T268="","",IF(反向題設定!$C$23="是",反向題設定!$B$2+1-原始資料!T268,原始資料!T268))</f>
        <v/>
      </c>
      <c r="U268">
        <f>IF(原始資料!U268="","",IF(反向題設定!$C$24="是",反向題設定!$B$2+1-原始資料!U268,原始資料!U268))</f>
        <v/>
      </c>
      <c r="V268">
        <f>IF(原始資料!V268="","",IF(反向題設定!$C$25="是",反向題設定!$B$2+1-原始資料!V268,原始資料!V268))</f>
        <v/>
      </c>
      <c r="W268">
        <f>IF(原始資料!W268="","",IF(反向題設定!$C$26="是",反向題設定!$B$2+1-原始資料!W268,原始資料!W268))</f>
        <v/>
      </c>
      <c r="X268">
        <f>IF(原始資料!X268="","",IF(反向題設定!$C$27="是",反向題設定!$B$2+1-原始資料!X268,原始資料!X268))</f>
        <v/>
      </c>
      <c r="Y268">
        <f>IF(原始資料!Y268="","",IF(反向題設定!$C$28="是",反向題設定!$B$2+1-原始資料!Y268,原始資料!Y268))</f>
        <v/>
      </c>
      <c r="Z268">
        <f>IF(原始資料!Z268="","",IF(反向題設定!$C$29="是",反向題設定!$B$2+1-原始資料!Z268,原始資料!Z268))</f>
        <v/>
      </c>
      <c r="AA268">
        <f>IF(原始資料!AA268="","",IF(反向題設定!$C$30="是",反向題設定!$B$2+1-原始資料!AA268,原始資料!AA268))</f>
        <v/>
      </c>
      <c r="AB268">
        <f>IF(原始資料!AB268="","",IF(反向題設定!$C$31="是",反向題設定!$B$2+1-原始資料!AB268,原始資料!AB268))</f>
        <v/>
      </c>
      <c r="AC268">
        <f>IF(原始資料!AC268="","",IF(反向題設定!$C$32="是",反向題設定!$B$2+1-原始資料!AC268,原始資料!AC268))</f>
        <v/>
      </c>
      <c r="AD268">
        <f>IF(原始資料!AD268="","",IF(反向題設定!$C$33="是",反向題設定!$B$2+1-原始資料!AD268,原始資料!AD268))</f>
        <v/>
      </c>
      <c r="AE268">
        <f>IF(原始資料!AE268="","",IF(反向題設定!$C$34="是",反向題設定!$B$2+1-原始資料!AE268,原始資料!AE268))</f>
        <v/>
      </c>
      <c r="AF268">
        <f>IF(原始資料!AF268="","",IF(反向題設定!$C$35="是",反向題設定!$B$2+1-原始資料!AF268,原始資料!AF268))</f>
        <v/>
      </c>
      <c r="AG268">
        <f>IF(原始資料!AG268="","",IF(反向題設定!$C$36="是",反向題設定!$B$2+1-原始資料!AG268,原始資料!AG268))</f>
        <v/>
      </c>
      <c r="AH268">
        <f>IF(原始資料!AH268="","",IF(反向題設定!$C$37="是",反向題設定!$B$2+1-原始資料!AH268,原始資料!AH268))</f>
        <v/>
      </c>
      <c r="AI268">
        <f>IF(原始資料!AI268="","",IF(反向題設定!$C$38="是",反向題設定!$B$2+1-原始資料!AI268,原始資料!AI268))</f>
        <v/>
      </c>
      <c r="AJ268">
        <f>IF(原始資料!AJ268="","",IF(反向題設定!$C$39="是",反向題設定!$B$2+1-原始資料!AJ268,原始資料!AJ268))</f>
        <v/>
      </c>
      <c r="AK268">
        <f>IF(原始資料!AK268="","",IF(反向題設定!$C$40="是",反向題設定!$B$2+1-原始資料!AK268,原始資料!AK268))</f>
        <v/>
      </c>
      <c r="AL268">
        <f>IF(原始資料!AL268="","",IF(反向題設定!$C$41="是",反向題設定!$B$2+1-原始資料!AL268,原始資料!AL268))</f>
        <v/>
      </c>
      <c r="AM268">
        <f>IF(原始資料!AM268="","",IF(反向題設定!$C$42="是",反向題設定!$B$2+1-原始資料!AM268,原始資料!AM268))</f>
        <v/>
      </c>
      <c r="AN268">
        <f>IF(原始資料!AN268="","",IF(反向題設定!$C$43="是",反向題設定!$B$2+1-原始資料!AN268,原始資料!AN268))</f>
        <v/>
      </c>
      <c r="AO268">
        <f>IF(原始資料!AO268="","",IF(反向題設定!$C$44="是",反向題設定!$B$2+1-原始資料!AO268,原始資料!AO268))</f>
        <v/>
      </c>
      <c r="AP268">
        <f>IF(COUNT(B268:AO268)=0,"",SUM(B268:AO268))</f>
        <v/>
      </c>
      <c r="AQ268">
        <f>IF(AP268="","",IF(AP268&gt;=項目分析!$C$5,"高",IF(AP268&lt;=項目分析!$C$6,"低","")))</f>
        <v/>
      </c>
    </row>
    <row r="269">
      <c r="A269">
        <f>IF(原始資料!A269="","",原始資料!A269)</f>
        <v/>
      </c>
      <c r="B269">
        <f>IF(原始資料!B269="","",IF(反向題設定!$C$5="是",反向題設定!$B$2+1-原始資料!B269,原始資料!B269))</f>
        <v/>
      </c>
      <c r="C269">
        <f>IF(原始資料!C269="","",IF(反向題設定!$C$6="是",反向題設定!$B$2+1-原始資料!C269,原始資料!C269))</f>
        <v/>
      </c>
      <c r="D269">
        <f>IF(原始資料!D269="","",IF(反向題設定!$C$7="是",反向題設定!$B$2+1-原始資料!D269,原始資料!D269))</f>
        <v/>
      </c>
      <c r="E269">
        <f>IF(原始資料!E269="","",IF(反向題設定!$C$8="是",反向題設定!$B$2+1-原始資料!E269,原始資料!E269))</f>
        <v/>
      </c>
      <c r="F269">
        <f>IF(原始資料!F269="","",IF(反向題設定!$C$9="是",反向題設定!$B$2+1-原始資料!F269,原始資料!F269))</f>
        <v/>
      </c>
      <c r="G269">
        <f>IF(原始資料!G269="","",IF(反向題設定!$C$10="是",反向題設定!$B$2+1-原始資料!G269,原始資料!G269))</f>
        <v/>
      </c>
      <c r="H269">
        <f>IF(原始資料!H269="","",IF(反向題設定!$C$11="是",反向題設定!$B$2+1-原始資料!H269,原始資料!H269))</f>
        <v/>
      </c>
      <c r="I269">
        <f>IF(原始資料!I269="","",IF(反向題設定!$C$12="是",反向題設定!$B$2+1-原始資料!I269,原始資料!I269))</f>
        <v/>
      </c>
      <c r="J269">
        <f>IF(原始資料!J269="","",IF(反向題設定!$C$13="是",反向題設定!$B$2+1-原始資料!J269,原始資料!J269))</f>
        <v/>
      </c>
      <c r="K269">
        <f>IF(原始資料!K269="","",IF(反向題設定!$C$14="是",反向題設定!$B$2+1-原始資料!K269,原始資料!K269))</f>
        <v/>
      </c>
      <c r="L269">
        <f>IF(原始資料!L269="","",IF(反向題設定!$C$15="是",反向題設定!$B$2+1-原始資料!L269,原始資料!L269))</f>
        <v/>
      </c>
      <c r="M269">
        <f>IF(原始資料!M269="","",IF(反向題設定!$C$16="是",反向題設定!$B$2+1-原始資料!M269,原始資料!M269))</f>
        <v/>
      </c>
      <c r="N269">
        <f>IF(原始資料!N269="","",IF(反向題設定!$C$17="是",反向題設定!$B$2+1-原始資料!N269,原始資料!N269))</f>
        <v/>
      </c>
      <c r="O269">
        <f>IF(原始資料!O269="","",IF(反向題設定!$C$18="是",反向題設定!$B$2+1-原始資料!O269,原始資料!O269))</f>
        <v/>
      </c>
      <c r="P269">
        <f>IF(原始資料!P269="","",IF(反向題設定!$C$19="是",反向題設定!$B$2+1-原始資料!P269,原始資料!P269))</f>
        <v/>
      </c>
      <c r="Q269">
        <f>IF(原始資料!Q269="","",IF(反向題設定!$C$20="是",反向題設定!$B$2+1-原始資料!Q269,原始資料!Q269))</f>
        <v/>
      </c>
      <c r="R269">
        <f>IF(原始資料!R269="","",IF(反向題設定!$C$21="是",反向題設定!$B$2+1-原始資料!R269,原始資料!R269))</f>
        <v/>
      </c>
      <c r="S269">
        <f>IF(原始資料!S269="","",IF(反向題設定!$C$22="是",反向題設定!$B$2+1-原始資料!S269,原始資料!S269))</f>
        <v/>
      </c>
      <c r="T269">
        <f>IF(原始資料!T269="","",IF(反向題設定!$C$23="是",反向題設定!$B$2+1-原始資料!T269,原始資料!T269))</f>
        <v/>
      </c>
      <c r="U269">
        <f>IF(原始資料!U269="","",IF(反向題設定!$C$24="是",反向題設定!$B$2+1-原始資料!U269,原始資料!U269))</f>
        <v/>
      </c>
      <c r="V269">
        <f>IF(原始資料!V269="","",IF(反向題設定!$C$25="是",反向題設定!$B$2+1-原始資料!V269,原始資料!V269))</f>
        <v/>
      </c>
      <c r="W269">
        <f>IF(原始資料!W269="","",IF(反向題設定!$C$26="是",反向題設定!$B$2+1-原始資料!W269,原始資料!W269))</f>
        <v/>
      </c>
      <c r="X269">
        <f>IF(原始資料!X269="","",IF(反向題設定!$C$27="是",反向題設定!$B$2+1-原始資料!X269,原始資料!X269))</f>
        <v/>
      </c>
      <c r="Y269">
        <f>IF(原始資料!Y269="","",IF(反向題設定!$C$28="是",反向題設定!$B$2+1-原始資料!Y269,原始資料!Y269))</f>
        <v/>
      </c>
      <c r="Z269">
        <f>IF(原始資料!Z269="","",IF(反向題設定!$C$29="是",反向題設定!$B$2+1-原始資料!Z269,原始資料!Z269))</f>
        <v/>
      </c>
      <c r="AA269">
        <f>IF(原始資料!AA269="","",IF(反向題設定!$C$30="是",反向題設定!$B$2+1-原始資料!AA269,原始資料!AA269))</f>
        <v/>
      </c>
      <c r="AB269">
        <f>IF(原始資料!AB269="","",IF(反向題設定!$C$31="是",反向題設定!$B$2+1-原始資料!AB269,原始資料!AB269))</f>
        <v/>
      </c>
      <c r="AC269">
        <f>IF(原始資料!AC269="","",IF(反向題設定!$C$32="是",反向題設定!$B$2+1-原始資料!AC269,原始資料!AC269))</f>
        <v/>
      </c>
      <c r="AD269">
        <f>IF(原始資料!AD269="","",IF(反向題設定!$C$33="是",反向題設定!$B$2+1-原始資料!AD269,原始資料!AD269))</f>
        <v/>
      </c>
      <c r="AE269">
        <f>IF(原始資料!AE269="","",IF(反向題設定!$C$34="是",反向題設定!$B$2+1-原始資料!AE269,原始資料!AE269))</f>
        <v/>
      </c>
      <c r="AF269">
        <f>IF(原始資料!AF269="","",IF(反向題設定!$C$35="是",反向題設定!$B$2+1-原始資料!AF269,原始資料!AF269))</f>
        <v/>
      </c>
      <c r="AG269">
        <f>IF(原始資料!AG269="","",IF(反向題設定!$C$36="是",反向題設定!$B$2+1-原始資料!AG269,原始資料!AG269))</f>
        <v/>
      </c>
      <c r="AH269">
        <f>IF(原始資料!AH269="","",IF(反向題設定!$C$37="是",反向題設定!$B$2+1-原始資料!AH269,原始資料!AH269))</f>
        <v/>
      </c>
      <c r="AI269">
        <f>IF(原始資料!AI269="","",IF(反向題設定!$C$38="是",反向題設定!$B$2+1-原始資料!AI269,原始資料!AI269))</f>
        <v/>
      </c>
      <c r="AJ269">
        <f>IF(原始資料!AJ269="","",IF(反向題設定!$C$39="是",反向題設定!$B$2+1-原始資料!AJ269,原始資料!AJ269))</f>
        <v/>
      </c>
      <c r="AK269">
        <f>IF(原始資料!AK269="","",IF(反向題設定!$C$40="是",反向題設定!$B$2+1-原始資料!AK269,原始資料!AK269))</f>
        <v/>
      </c>
      <c r="AL269">
        <f>IF(原始資料!AL269="","",IF(反向題設定!$C$41="是",反向題設定!$B$2+1-原始資料!AL269,原始資料!AL269))</f>
        <v/>
      </c>
      <c r="AM269">
        <f>IF(原始資料!AM269="","",IF(反向題設定!$C$42="是",反向題設定!$B$2+1-原始資料!AM269,原始資料!AM269))</f>
        <v/>
      </c>
      <c r="AN269">
        <f>IF(原始資料!AN269="","",IF(反向題設定!$C$43="是",反向題設定!$B$2+1-原始資料!AN269,原始資料!AN269))</f>
        <v/>
      </c>
      <c r="AO269">
        <f>IF(原始資料!AO269="","",IF(反向題設定!$C$44="是",反向題設定!$B$2+1-原始資料!AO269,原始資料!AO269))</f>
        <v/>
      </c>
      <c r="AP269">
        <f>IF(COUNT(B269:AO269)=0,"",SUM(B269:AO269))</f>
        <v/>
      </c>
      <c r="AQ269">
        <f>IF(AP269="","",IF(AP269&gt;=項目分析!$C$5,"高",IF(AP269&lt;=項目分析!$C$6,"低","")))</f>
        <v/>
      </c>
    </row>
    <row r="270">
      <c r="A270">
        <f>IF(原始資料!A270="","",原始資料!A270)</f>
        <v/>
      </c>
      <c r="B270">
        <f>IF(原始資料!B270="","",IF(反向題設定!$C$5="是",反向題設定!$B$2+1-原始資料!B270,原始資料!B270))</f>
        <v/>
      </c>
      <c r="C270">
        <f>IF(原始資料!C270="","",IF(反向題設定!$C$6="是",反向題設定!$B$2+1-原始資料!C270,原始資料!C270))</f>
        <v/>
      </c>
      <c r="D270">
        <f>IF(原始資料!D270="","",IF(反向題設定!$C$7="是",反向題設定!$B$2+1-原始資料!D270,原始資料!D270))</f>
        <v/>
      </c>
      <c r="E270">
        <f>IF(原始資料!E270="","",IF(反向題設定!$C$8="是",反向題設定!$B$2+1-原始資料!E270,原始資料!E270))</f>
        <v/>
      </c>
      <c r="F270">
        <f>IF(原始資料!F270="","",IF(反向題設定!$C$9="是",反向題設定!$B$2+1-原始資料!F270,原始資料!F270))</f>
        <v/>
      </c>
      <c r="G270">
        <f>IF(原始資料!G270="","",IF(反向題設定!$C$10="是",反向題設定!$B$2+1-原始資料!G270,原始資料!G270))</f>
        <v/>
      </c>
      <c r="H270">
        <f>IF(原始資料!H270="","",IF(反向題設定!$C$11="是",反向題設定!$B$2+1-原始資料!H270,原始資料!H270))</f>
        <v/>
      </c>
      <c r="I270">
        <f>IF(原始資料!I270="","",IF(反向題設定!$C$12="是",反向題設定!$B$2+1-原始資料!I270,原始資料!I270))</f>
        <v/>
      </c>
      <c r="J270">
        <f>IF(原始資料!J270="","",IF(反向題設定!$C$13="是",反向題設定!$B$2+1-原始資料!J270,原始資料!J270))</f>
        <v/>
      </c>
      <c r="K270">
        <f>IF(原始資料!K270="","",IF(反向題設定!$C$14="是",反向題設定!$B$2+1-原始資料!K270,原始資料!K270))</f>
        <v/>
      </c>
      <c r="L270">
        <f>IF(原始資料!L270="","",IF(反向題設定!$C$15="是",反向題設定!$B$2+1-原始資料!L270,原始資料!L270))</f>
        <v/>
      </c>
      <c r="M270">
        <f>IF(原始資料!M270="","",IF(反向題設定!$C$16="是",反向題設定!$B$2+1-原始資料!M270,原始資料!M270))</f>
        <v/>
      </c>
      <c r="N270">
        <f>IF(原始資料!N270="","",IF(反向題設定!$C$17="是",反向題設定!$B$2+1-原始資料!N270,原始資料!N270))</f>
        <v/>
      </c>
      <c r="O270">
        <f>IF(原始資料!O270="","",IF(反向題設定!$C$18="是",反向題設定!$B$2+1-原始資料!O270,原始資料!O270))</f>
        <v/>
      </c>
      <c r="P270">
        <f>IF(原始資料!P270="","",IF(反向題設定!$C$19="是",反向題設定!$B$2+1-原始資料!P270,原始資料!P270))</f>
        <v/>
      </c>
      <c r="Q270">
        <f>IF(原始資料!Q270="","",IF(反向題設定!$C$20="是",反向題設定!$B$2+1-原始資料!Q270,原始資料!Q270))</f>
        <v/>
      </c>
      <c r="R270">
        <f>IF(原始資料!R270="","",IF(反向題設定!$C$21="是",反向題設定!$B$2+1-原始資料!R270,原始資料!R270))</f>
        <v/>
      </c>
      <c r="S270">
        <f>IF(原始資料!S270="","",IF(反向題設定!$C$22="是",反向題設定!$B$2+1-原始資料!S270,原始資料!S270))</f>
        <v/>
      </c>
      <c r="T270">
        <f>IF(原始資料!T270="","",IF(反向題設定!$C$23="是",反向題設定!$B$2+1-原始資料!T270,原始資料!T270))</f>
        <v/>
      </c>
      <c r="U270">
        <f>IF(原始資料!U270="","",IF(反向題設定!$C$24="是",反向題設定!$B$2+1-原始資料!U270,原始資料!U270))</f>
        <v/>
      </c>
      <c r="V270">
        <f>IF(原始資料!V270="","",IF(反向題設定!$C$25="是",反向題設定!$B$2+1-原始資料!V270,原始資料!V270))</f>
        <v/>
      </c>
      <c r="W270">
        <f>IF(原始資料!W270="","",IF(反向題設定!$C$26="是",反向題設定!$B$2+1-原始資料!W270,原始資料!W270))</f>
        <v/>
      </c>
      <c r="X270">
        <f>IF(原始資料!X270="","",IF(反向題設定!$C$27="是",反向題設定!$B$2+1-原始資料!X270,原始資料!X270))</f>
        <v/>
      </c>
      <c r="Y270">
        <f>IF(原始資料!Y270="","",IF(反向題設定!$C$28="是",反向題設定!$B$2+1-原始資料!Y270,原始資料!Y270))</f>
        <v/>
      </c>
      <c r="Z270">
        <f>IF(原始資料!Z270="","",IF(反向題設定!$C$29="是",反向題設定!$B$2+1-原始資料!Z270,原始資料!Z270))</f>
        <v/>
      </c>
      <c r="AA270">
        <f>IF(原始資料!AA270="","",IF(反向題設定!$C$30="是",反向題設定!$B$2+1-原始資料!AA270,原始資料!AA270))</f>
        <v/>
      </c>
      <c r="AB270">
        <f>IF(原始資料!AB270="","",IF(反向題設定!$C$31="是",反向題設定!$B$2+1-原始資料!AB270,原始資料!AB270))</f>
        <v/>
      </c>
      <c r="AC270">
        <f>IF(原始資料!AC270="","",IF(反向題設定!$C$32="是",反向題設定!$B$2+1-原始資料!AC270,原始資料!AC270))</f>
        <v/>
      </c>
      <c r="AD270">
        <f>IF(原始資料!AD270="","",IF(反向題設定!$C$33="是",反向題設定!$B$2+1-原始資料!AD270,原始資料!AD270))</f>
        <v/>
      </c>
      <c r="AE270">
        <f>IF(原始資料!AE270="","",IF(反向題設定!$C$34="是",反向題設定!$B$2+1-原始資料!AE270,原始資料!AE270))</f>
        <v/>
      </c>
      <c r="AF270">
        <f>IF(原始資料!AF270="","",IF(反向題設定!$C$35="是",反向題設定!$B$2+1-原始資料!AF270,原始資料!AF270))</f>
        <v/>
      </c>
      <c r="AG270">
        <f>IF(原始資料!AG270="","",IF(反向題設定!$C$36="是",反向題設定!$B$2+1-原始資料!AG270,原始資料!AG270))</f>
        <v/>
      </c>
      <c r="AH270">
        <f>IF(原始資料!AH270="","",IF(反向題設定!$C$37="是",反向題設定!$B$2+1-原始資料!AH270,原始資料!AH270))</f>
        <v/>
      </c>
      <c r="AI270">
        <f>IF(原始資料!AI270="","",IF(反向題設定!$C$38="是",反向題設定!$B$2+1-原始資料!AI270,原始資料!AI270))</f>
        <v/>
      </c>
      <c r="AJ270">
        <f>IF(原始資料!AJ270="","",IF(反向題設定!$C$39="是",反向題設定!$B$2+1-原始資料!AJ270,原始資料!AJ270))</f>
        <v/>
      </c>
      <c r="AK270">
        <f>IF(原始資料!AK270="","",IF(反向題設定!$C$40="是",反向題設定!$B$2+1-原始資料!AK270,原始資料!AK270))</f>
        <v/>
      </c>
      <c r="AL270">
        <f>IF(原始資料!AL270="","",IF(反向題設定!$C$41="是",反向題設定!$B$2+1-原始資料!AL270,原始資料!AL270))</f>
        <v/>
      </c>
      <c r="AM270">
        <f>IF(原始資料!AM270="","",IF(反向題設定!$C$42="是",反向題設定!$B$2+1-原始資料!AM270,原始資料!AM270))</f>
        <v/>
      </c>
      <c r="AN270">
        <f>IF(原始資料!AN270="","",IF(反向題設定!$C$43="是",反向題設定!$B$2+1-原始資料!AN270,原始資料!AN270))</f>
        <v/>
      </c>
      <c r="AO270">
        <f>IF(原始資料!AO270="","",IF(反向題設定!$C$44="是",反向題設定!$B$2+1-原始資料!AO270,原始資料!AO270))</f>
        <v/>
      </c>
      <c r="AP270">
        <f>IF(COUNT(B270:AO270)=0,"",SUM(B270:AO270))</f>
        <v/>
      </c>
      <c r="AQ270">
        <f>IF(AP270="","",IF(AP270&gt;=項目分析!$C$5,"高",IF(AP270&lt;=項目分析!$C$6,"低","")))</f>
        <v/>
      </c>
    </row>
    <row r="271">
      <c r="A271">
        <f>IF(原始資料!A271="","",原始資料!A271)</f>
        <v/>
      </c>
      <c r="B271">
        <f>IF(原始資料!B271="","",IF(反向題設定!$C$5="是",反向題設定!$B$2+1-原始資料!B271,原始資料!B271))</f>
        <v/>
      </c>
      <c r="C271">
        <f>IF(原始資料!C271="","",IF(反向題設定!$C$6="是",反向題設定!$B$2+1-原始資料!C271,原始資料!C271))</f>
        <v/>
      </c>
      <c r="D271">
        <f>IF(原始資料!D271="","",IF(反向題設定!$C$7="是",反向題設定!$B$2+1-原始資料!D271,原始資料!D271))</f>
        <v/>
      </c>
      <c r="E271">
        <f>IF(原始資料!E271="","",IF(反向題設定!$C$8="是",反向題設定!$B$2+1-原始資料!E271,原始資料!E271))</f>
        <v/>
      </c>
      <c r="F271">
        <f>IF(原始資料!F271="","",IF(反向題設定!$C$9="是",反向題設定!$B$2+1-原始資料!F271,原始資料!F271))</f>
        <v/>
      </c>
      <c r="G271">
        <f>IF(原始資料!G271="","",IF(反向題設定!$C$10="是",反向題設定!$B$2+1-原始資料!G271,原始資料!G271))</f>
        <v/>
      </c>
      <c r="H271">
        <f>IF(原始資料!H271="","",IF(反向題設定!$C$11="是",反向題設定!$B$2+1-原始資料!H271,原始資料!H271))</f>
        <v/>
      </c>
      <c r="I271">
        <f>IF(原始資料!I271="","",IF(反向題設定!$C$12="是",反向題設定!$B$2+1-原始資料!I271,原始資料!I271))</f>
        <v/>
      </c>
      <c r="J271">
        <f>IF(原始資料!J271="","",IF(反向題設定!$C$13="是",反向題設定!$B$2+1-原始資料!J271,原始資料!J271))</f>
        <v/>
      </c>
      <c r="K271">
        <f>IF(原始資料!K271="","",IF(反向題設定!$C$14="是",反向題設定!$B$2+1-原始資料!K271,原始資料!K271))</f>
        <v/>
      </c>
      <c r="L271">
        <f>IF(原始資料!L271="","",IF(反向題設定!$C$15="是",反向題設定!$B$2+1-原始資料!L271,原始資料!L271))</f>
        <v/>
      </c>
      <c r="M271">
        <f>IF(原始資料!M271="","",IF(反向題設定!$C$16="是",反向題設定!$B$2+1-原始資料!M271,原始資料!M271))</f>
        <v/>
      </c>
      <c r="N271">
        <f>IF(原始資料!N271="","",IF(反向題設定!$C$17="是",反向題設定!$B$2+1-原始資料!N271,原始資料!N271))</f>
        <v/>
      </c>
      <c r="O271">
        <f>IF(原始資料!O271="","",IF(反向題設定!$C$18="是",反向題設定!$B$2+1-原始資料!O271,原始資料!O271))</f>
        <v/>
      </c>
      <c r="P271">
        <f>IF(原始資料!P271="","",IF(反向題設定!$C$19="是",反向題設定!$B$2+1-原始資料!P271,原始資料!P271))</f>
        <v/>
      </c>
      <c r="Q271">
        <f>IF(原始資料!Q271="","",IF(反向題設定!$C$20="是",反向題設定!$B$2+1-原始資料!Q271,原始資料!Q271))</f>
        <v/>
      </c>
      <c r="R271">
        <f>IF(原始資料!R271="","",IF(反向題設定!$C$21="是",反向題設定!$B$2+1-原始資料!R271,原始資料!R271))</f>
        <v/>
      </c>
      <c r="S271">
        <f>IF(原始資料!S271="","",IF(反向題設定!$C$22="是",反向題設定!$B$2+1-原始資料!S271,原始資料!S271))</f>
        <v/>
      </c>
      <c r="T271">
        <f>IF(原始資料!T271="","",IF(反向題設定!$C$23="是",反向題設定!$B$2+1-原始資料!T271,原始資料!T271))</f>
        <v/>
      </c>
      <c r="U271">
        <f>IF(原始資料!U271="","",IF(反向題設定!$C$24="是",反向題設定!$B$2+1-原始資料!U271,原始資料!U271))</f>
        <v/>
      </c>
      <c r="V271">
        <f>IF(原始資料!V271="","",IF(反向題設定!$C$25="是",反向題設定!$B$2+1-原始資料!V271,原始資料!V271))</f>
        <v/>
      </c>
      <c r="W271">
        <f>IF(原始資料!W271="","",IF(反向題設定!$C$26="是",反向題設定!$B$2+1-原始資料!W271,原始資料!W271))</f>
        <v/>
      </c>
      <c r="X271">
        <f>IF(原始資料!X271="","",IF(反向題設定!$C$27="是",反向題設定!$B$2+1-原始資料!X271,原始資料!X271))</f>
        <v/>
      </c>
      <c r="Y271">
        <f>IF(原始資料!Y271="","",IF(反向題設定!$C$28="是",反向題設定!$B$2+1-原始資料!Y271,原始資料!Y271))</f>
        <v/>
      </c>
      <c r="Z271">
        <f>IF(原始資料!Z271="","",IF(反向題設定!$C$29="是",反向題設定!$B$2+1-原始資料!Z271,原始資料!Z271))</f>
        <v/>
      </c>
      <c r="AA271">
        <f>IF(原始資料!AA271="","",IF(反向題設定!$C$30="是",反向題設定!$B$2+1-原始資料!AA271,原始資料!AA271))</f>
        <v/>
      </c>
      <c r="AB271">
        <f>IF(原始資料!AB271="","",IF(反向題設定!$C$31="是",反向題設定!$B$2+1-原始資料!AB271,原始資料!AB271))</f>
        <v/>
      </c>
      <c r="AC271">
        <f>IF(原始資料!AC271="","",IF(反向題設定!$C$32="是",反向題設定!$B$2+1-原始資料!AC271,原始資料!AC271))</f>
        <v/>
      </c>
      <c r="AD271">
        <f>IF(原始資料!AD271="","",IF(反向題設定!$C$33="是",反向題設定!$B$2+1-原始資料!AD271,原始資料!AD271))</f>
        <v/>
      </c>
      <c r="AE271">
        <f>IF(原始資料!AE271="","",IF(反向題設定!$C$34="是",反向題設定!$B$2+1-原始資料!AE271,原始資料!AE271))</f>
        <v/>
      </c>
      <c r="AF271">
        <f>IF(原始資料!AF271="","",IF(反向題設定!$C$35="是",反向題設定!$B$2+1-原始資料!AF271,原始資料!AF271))</f>
        <v/>
      </c>
      <c r="AG271">
        <f>IF(原始資料!AG271="","",IF(反向題設定!$C$36="是",反向題設定!$B$2+1-原始資料!AG271,原始資料!AG271))</f>
        <v/>
      </c>
      <c r="AH271">
        <f>IF(原始資料!AH271="","",IF(反向題設定!$C$37="是",反向題設定!$B$2+1-原始資料!AH271,原始資料!AH271))</f>
        <v/>
      </c>
      <c r="AI271">
        <f>IF(原始資料!AI271="","",IF(反向題設定!$C$38="是",反向題設定!$B$2+1-原始資料!AI271,原始資料!AI271))</f>
        <v/>
      </c>
      <c r="AJ271">
        <f>IF(原始資料!AJ271="","",IF(反向題設定!$C$39="是",反向題設定!$B$2+1-原始資料!AJ271,原始資料!AJ271))</f>
        <v/>
      </c>
      <c r="AK271">
        <f>IF(原始資料!AK271="","",IF(反向題設定!$C$40="是",反向題設定!$B$2+1-原始資料!AK271,原始資料!AK271))</f>
        <v/>
      </c>
      <c r="AL271">
        <f>IF(原始資料!AL271="","",IF(反向題設定!$C$41="是",反向題設定!$B$2+1-原始資料!AL271,原始資料!AL271))</f>
        <v/>
      </c>
      <c r="AM271">
        <f>IF(原始資料!AM271="","",IF(反向題設定!$C$42="是",反向題設定!$B$2+1-原始資料!AM271,原始資料!AM271))</f>
        <v/>
      </c>
      <c r="AN271">
        <f>IF(原始資料!AN271="","",IF(反向題設定!$C$43="是",反向題設定!$B$2+1-原始資料!AN271,原始資料!AN271))</f>
        <v/>
      </c>
      <c r="AO271">
        <f>IF(原始資料!AO271="","",IF(反向題設定!$C$44="是",反向題設定!$B$2+1-原始資料!AO271,原始資料!AO271))</f>
        <v/>
      </c>
      <c r="AP271">
        <f>IF(COUNT(B271:AO271)=0,"",SUM(B271:AO271))</f>
        <v/>
      </c>
      <c r="AQ271">
        <f>IF(AP271="","",IF(AP271&gt;=項目分析!$C$5,"高",IF(AP271&lt;=項目分析!$C$6,"低","")))</f>
        <v/>
      </c>
    </row>
    <row r="272">
      <c r="A272">
        <f>IF(原始資料!A272="","",原始資料!A272)</f>
        <v/>
      </c>
      <c r="B272">
        <f>IF(原始資料!B272="","",IF(反向題設定!$C$5="是",反向題設定!$B$2+1-原始資料!B272,原始資料!B272))</f>
        <v/>
      </c>
      <c r="C272">
        <f>IF(原始資料!C272="","",IF(反向題設定!$C$6="是",反向題設定!$B$2+1-原始資料!C272,原始資料!C272))</f>
        <v/>
      </c>
      <c r="D272">
        <f>IF(原始資料!D272="","",IF(反向題設定!$C$7="是",反向題設定!$B$2+1-原始資料!D272,原始資料!D272))</f>
        <v/>
      </c>
      <c r="E272">
        <f>IF(原始資料!E272="","",IF(反向題設定!$C$8="是",反向題設定!$B$2+1-原始資料!E272,原始資料!E272))</f>
        <v/>
      </c>
      <c r="F272">
        <f>IF(原始資料!F272="","",IF(反向題設定!$C$9="是",反向題設定!$B$2+1-原始資料!F272,原始資料!F272))</f>
        <v/>
      </c>
      <c r="G272">
        <f>IF(原始資料!G272="","",IF(反向題設定!$C$10="是",反向題設定!$B$2+1-原始資料!G272,原始資料!G272))</f>
        <v/>
      </c>
      <c r="H272">
        <f>IF(原始資料!H272="","",IF(反向題設定!$C$11="是",反向題設定!$B$2+1-原始資料!H272,原始資料!H272))</f>
        <v/>
      </c>
      <c r="I272">
        <f>IF(原始資料!I272="","",IF(反向題設定!$C$12="是",反向題設定!$B$2+1-原始資料!I272,原始資料!I272))</f>
        <v/>
      </c>
      <c r="J272">
        <f>IF(原始資料!J272="","",IF(反向題設定!$C$13="是",反向題設定!$B$2+1-原始資料!J272,原始資料!J272))</f>
        <v/>
      </c>
      <c r="K272">
        <f>IF(原始資料!K272="","",IF(反向題設定!$C$14="是",反向題設定!$B$2+1-原始資料!K272,原始資料!K272))</f>
        <v/>
      </c>
      <c r="L272">
        <f>IF(原始資料!L272="","",IF(反向題設定!$C$15="是",反向題設定!$B$2+1-原始資料!L272,原始資料!L272))</f>
        <v/>
      </c>
      <c r="M272">
        <f>IF(原始資料!M272="","",IF(反向題設定!$C$16="是",反向題設定!$B$2+1-原始資料!M272,原始資料!M272))</f>
        <v/>
      </c>
      <c r="N272">
        <f>IF(原始資料!N272="","",IF(反向題設定!$C$17="是",反向題設定!$B$2+1-原始資料!N272,原始資料!N272))</f>
        <v/>
      </c>
      <c r="O272">
        <f>IF(原始資料!O272="","",IF(反向題設定!$C$18="是",反向題設定!$B$2+1-原始資料!O272,原始資料!O272))</f>
        <v/>
      </c>
      <c r="P272">
        <f>IF(原始資料!P272="","",IF(反向題設定!$C$19="是",反向題設定!$B$2+1-原始資料!P272,原始資料!P272))</f>
        <v/>
      </c>
      <c r="Q272">
        <f>IF(原始資料!Q272="","",IF(反向題設定!$C$20="是",反向題設定!$B$2+1-原始資料!Q272,原始資料!Q272))</f>
        <v/>
      </c>
      <c r="R272">
        <f>IF(原始資料!R272="","",IF(反向題設定!$C$21="是",反向題設定!$B$2+1-原始資料!R272,原始資料!R272))</f>
        <v/>
      </c>
      <c r="S272">
        <f>IF(原始資料!S272="","",IF(反向題設定!$C$22="是",反向題設定!$B$2+1-原始資料!S272,原始資料!S272))</f>
        <v/>
      </c>
      <c r="T272">
        <f>IF(原始資料!T272="","",IF(反向題設定!$C$23="是",反向題設定!$B$2+1-原始資料!T272,原始資料!T272))</f>
        <v/>
      </c>
      <c r="U272">
        <f>IF(原始資料!U272="","",IF(反向題設定!$C$24="是",反向題設定!$B$2+1-原始資料!U272,原始資料!U272))</f>
        <v/>
      </c>
      <c r="V272">
        <f>IF(原始資料!V272="","",IF(反向題設定!$C$25="是",反向題設定!$B$2+1-原始資料!V272,原始資料!V272))</f>
        <v/>
      </c>
      <c r="W272">
        <f>IF(原始資料!W272="","",IF(反向題設定!$C$26="是",反向題設定!$B$2+1-原始資料!W272,原始資料!W272))</f>
        <v/>
      </c>
      <c r="X272">
        <f>IF(原始資料!X272="","",IF(反向題設定!$C$27="是",反向題設定!$B$2+1-原始資料!X272,原始資料!X272))</f>
        <v/>
      </c>
      <c r="Y272">
        <f>IF(原始資料!Y272="","",IF(反向題設定!$C$28="是",反向題設定!$B$2+1-原始資料!Y272,原始資料!Y272))</f>
        <v/>
      </c>
      <c r="Z272">
        <f>IF(原始資料!Z272="","",IF(反向題設定!$C$29="是",反向題設定!$B$2+1-原始資料!Z272,原始資料!Z272))</f>
        <v/>
      </c>
      <c r="AA272">
        <f>IF(原始資料!AA272="","",IF(反向題設定!$C$30="是",反向題設定!$B$2+1-原始資料!AA272,原始資料!AA272))</f>
        <v/>
      </c>
      <c r="AB272">
        <f>IF(原始資料!AB272="","",IF(反向題設定!$C$31="是",反向題設定!$B$2+1-原始資料!AB272,原始資料!AB272))</f>
        <v/>
      </c>
      <c r="AC272">
        <f>IF(原始資料!AC272="","",IF(反向題設定!$C$32="是",反向題設定!$B$2+1-原始資料!AC272,原始資料!AC272))</f>
        <v/>
      </c>
      <c r="AD272">
        <f>IF(原始資料!AD272="","",IF(反向題設定!$C$33="是",反向題設定!$B$2+1-原始資料!AD272,原始資料!AD272))</f>
        <v/>
      </c>
      <c r="AE272">
        <f>IF(原始資料!AE272="","",IF(反向題設定!$C$34="是",反向題設定!$B$2+1-原始資料!AE272,原始資料!AE272))</f>
        <v/>
      </c>
      <c r="AF272">
        <f>IF(原始資料!AF272="","",IF(反向題設定!$C$35="是",反向題設定!$B$2+1-原始資料!AF272,原始資料!AF272))</f>
        <v/>
      </c>
      <c r="AG272">
        <f>IF(原始資料!AG272="","",IF(反向題設定!$C$36="是",反向題設定!$B$2+1-原始資料!AG272,原始資料!AG272))</f>
        <v/>
      </c>
      <c r="AH272">
        <f>IF(原始資料!AH272="","",IF(反向題設定!$C$37="是",反向題設定!$B$2+1-原始資料!AH272,原始資料!AH272))</f>
        <v/>
      </c>
      <c r="AI272">
        <f>IF(原始資料!AI272="","",IF(反向題設定!$C$38="是",反向題設定!$B$2+1-原始資料!AI272,原始資料!AI272))</f>
        <v/>
      </c>
      <c r="AJ272">
        <f>IF(原始資料!AJ272="","",IF(反向題設定!$C$39="是",反向題設定!$B$2+1-原始資料!AJ272,原始資料!AJ272))</f>
        <v/>
      </c>
      <c r="AK272">
        <f>IF(原始資料!AK272="","",IF(反向題設定!$C$40="是",反向題設定!$B$2+1-原始資料!AK272,原始資料!AK272))</f>
        <v/>
      </c>
      <c r="AL272">
        <f>IF(原始資料!AL272="","",IF(反向題設定!$C$41="是",反向題設定!$B$2+1-原始資料!AL272,原始資料!AL272))</f>
        <v/>
      </c>
      <c r="AM272">
        <f>IF(原始資料!AM272="","",IF(反向題設定!$C$42="是",反向題設定!$B$2+1-原始資料!AM272,原始資料!AM272))</f>
        <v/>
      </c>
      <c r="AN272">
        <f>IF(原始資料!AN272="","",IF(反向題設定!$C$43="是",反向題設定!$B$2+1-原始資料!AN272,原始資料!AN272))</f>
        <v/>
      </c>
      <c r="AO272">
        <f>IF(原始資料!AO272="","",IF(反向題設定!$C$44="是",反向題設定!$B$2+1-原始資料!AO272,原始資料!AO272))</f>
        <v/>
      </c>
      <c r="AP272">
        <f>IF(COUNT(B272:AO272)=0,"",SUM(B272:AO272))</f>
        <v/>
      </c>
      <c r="AQ272">
        <f>IF(AP272="","",IF(AP272&gt;=項目分析!$C$5,"高",IF(AP272&lt;=項目分析!$C$6,"低","")))</f>
        <v/>
      </c>
    </row>
    <row r="273">
      <c r="A273">
        <f>IF(原始資料!A273="","",原始資料!A273)</f>
        <v/>
      </c>
      <c r="B273">
        <f>IF(原始資料!B273="","",IF(反向題設定!$C$5="是",反向題設定!$B$2+1-原始資料!B273,原始資料!B273))</f>
        <v/>
      </c>
      <c r="C273">
        <f>IF(原始資料!C273="","",IF(反向題設定!$C$6="是",反向題設定!$B$2+1-原始資料!C273,原始資料!C273))</f>
        <v/>
      </c>
      <c r="D273">
        <f>IF(原始資料!D273="","",IF(反向題設定!$C$7="是",反向題設定!$B$2+1-原始資料!D273,原始資料!D273))</f>
        <v/>
      </c>
      <c r="E273">
        <f>IF(原始資料!E273="","",IF(反向題設定!$C$8="是",反向題設定!$B$2+1-原始資料!E273,原始資料!E273))</f>
        <v/>
      </c>
      <c r="F273">
        <f>IF(原始資料!F273="","",IF(反向題設定!$C$9="是",反向題設定!$B$2+1-原始資料!F273,原始資料!F273))</f>
        <v/>
      </c>
      <c r="G273">
        <f>IF(原始資料!G273="","",IF(反向題設定!$C$10="是",反向題設定!$B$2+1-原始資料!G273,原始資料!G273))</f>
        <v/>
      </c>
      <c r="H273">
        <f>IF(原始資料!H273="","",IF(反向題設定!$C$11="是",反向題設定!$B$2+1-原始資料!H273,原始資料!H273))</f>
        <v/>
      </c>
      <c r="I273">
        <f>IF(原始資料!I273="","",IF(反向題設定!$C$12="是",反向題設定!$B$2+1-原始資料!I273,原始資料!I273))</f>
        <v/>
      </c>
      <c r="J273">
        <f>IF(原始資料!J273="","",IF(反向題設定!$C$13="是",反向題設定!$B$2+1-原始資料!J273,原始資料!J273))</f>
        <v/>
      </c>
      <c r="K273">
        <f>IF(原始資料!K273="","",IF(反向題設定!$C$14="是",反向題設定!$B$2+1-原始資料!K273,原始資料!K273))</f>
        <v/>
      </c>
      <c r="L273">
        <f>IF(原始資料!L273="","",IF(反向題設定!$C$15="是",反向題設定!$B$2+1-原始資料!L273,原始資料!L273))</f>
        <v/>
      </c>
      <c r="M273">
        <f>IF(原始資料!M273="","",IF(反向題設定!$C$16="是",反向題設定!$B$2+1-原始資料!M273,原始資料!M273))</f>
        <v/>
      </c>
      <c r="N273">
        <f>IF(原始資料!N273="","",IF(反向題設定!$C$17="是",反向題設定!$B$2+1-原始資料!N273,原始資料!N273))</f>
        <v/>
      </c>
      <c r="O273">
        <f>IF(原始資料!O273="","",IF(反向題設定!$C$18="是",反向題設定!$B$2+1-原始資料!O273,原始資料!O273))</f>
        <v/>
      </c>
      <c r="P273">
        <f>IF(原始資料!P273="","",IF(反向題設定!$C$19="是",反向題設定!$B$2+1-原始資料!P273,原始資料!P273))</f>
        <v/>
      </c>
      <c r="Q273">
        <f>IF(原始資料!Q273="","",IF(反向題設定!$C$20="是",反向題設定!$B$2+1-原始資料!Q273,原始資料!Q273))</f>
        <v/>
      </c>
      <c r="R273">
        <f>IF(原始資料!R273="","",IF(反向題設定!$C$21="是",反向題設定!$B$2+1-原始資料!R273,原始資料!R273))</f>
        <v/>
      </c>
      <c r="S273">
        <f>IF(原始資料!S273="","",IF(反向題設定!$C$22="是",反向題設定!$B$2+1-原始資料!S273,原始資料!S273))</f>
        <v/>
      </c>
      <c r="T273">
        <f>IF(原始資料!T273="","",IF(反向題設定!$C$23="是",反向題設定!$B$2+1-原始資料!T273,原始資料!T273))</f>
        <v/>
      </c>
      <c r="U273">
        <f>IF(原始資料!U273="","",IF(反向題設定!$C$24="是",反向題設定!$B$2+1-原始資料!U273,原始資料!U273))</f>
        <v/>
      </c>
      <c r="V273">
        <f>IF(原始資料!V273="","",IF(反向題設定!$C$25="是",反向題設定!$B$2+1-原始資料!V273,原始資料!V273))</f>
        <v/>
      </c>
      <c r="W273">
        <f>IF(原始資料!W273="","",IF(反向題設定!$C$26="是",反向題設定!$B$2+1-原始資料!W273,原始資料!W273))</f>
        <v/>
      </c>
      <c r="X273">
        <f>IF(原始資料!X273="","",IF(反向題設定!$C$27="是",反向題設定!$B$2+1-原始資料!X273,原始資料!X273))</f>
        <v/>
      </c>
      <c r="Y273">
        <f>IF(原始資料!Y273="","",IF(反向題設定!$C$28="是",反向題設定!$B$2+1-原始資料!Y273,原始資料!Y273))</f>
        <v/>
      </c>
      <c r="Z273">
        <f>IF(原始資料!Z273="","",IF(反向題設定!$C$29="是",反向題設定!$B$2+1-原始資料!Z273,原始資料!Z273))</f>
        <v/>
      </c>
      <c r="AA273">
        <f>IF(原始資料!AA273="","",IF(反向題設定!$C$30="是",反向題設定!$B$2+1-原始資料!AA273,原始資料!AA273))</f>
        <v/>
      </c>
      <c r="AB273">
        <f>IF(原始資料!AB273="","",IF(反向題設定!$C$31="是",反向題設定!$B$2+1-原始資料!AB273,原始資料!AB273))</f>
        <v/>
      </c>
      <c r="AC273">
        <f>IF(原始資料!AC273="","",IF(反向題設定!$C$32="是",反向題設定!$B$2+1-原始資料!AC273,原始資料!AC273))</f>
        <v/>
      </c>
      <c r="AD273">
        <f>IF(原始資料!AD273="","",IF(反向題設定!$C$33="是",反向題設定!$B$2+1-原始資料!AD273,原始資料!AD273))</f>
        <v/>
      </c>
      <c r="AE273">
        <f>IF(原始資料!AE273="","",IF(反向題設定!$C$34="是",反向題設定!$B$2+1-原始資料!AE273,原始資料!AE273))</f>
        <v/>
      </c>
      <c r="AF273">
        <f>IF(原始資料!AF273="","",IF(反向題設定!$C$35="是",反向題設定!$B$2+1-原始資料!AF273,原始資料!AF273))</f>
        <v/>
      </c>
      <c r="AG273">
        <f>IF(原始資料!AG273="","",IF(反向題設定!$C$36="是",反向題設定!$B$2+1-原始資料!AG273,原始資料!AG273))</f>
        <v/>
      </c>
      <c r="AH273">
        <f>IF(原始資料!AH273="","",IF(反向題設定!$C$37="是",反向題設定!$B$2+1-原始資料!AH273,原始資料!AH273))</f>
        <v/>
      </c>
      <c r="AI273">
        <f>IF(原始資料!AI273="","",IF(反向題設定!$C$38="是",反向題設定!$B$2+1-原始資料!AI273,原始資料!AI273))</f>
        <v/>
      </c>
      <c r="AJ273">
        <f>IF(原始資料!AJ273="","",IF(反向題設定!$C$39="是",反向題設定!$B$2+1-原始資料!AJ273,原始資料!AJ273))</f>
        <v/>
      </c>
      <c r="AK273">
        <f>IF(原始資料!AK273="","",IF(反向題設定!$C$40="是",反向題設定!$B$2+1-原始資料!AK273,原始資料!AK273))</f>
        <v/>
      </c>
      <c r="AL273">
        <f>IF(原始資料!AL273="","",IF(反向題設定!$C$41="是",反向題設定!$B$2+1-原始資料!AL273,原始資料!AL273))</f>
        <v/>
      </c>
      <c r="AM273">
        <f>IF(原始資料!AM273="","",IF(反向題設定!$C$42="是",反向題設定!$B$2+1-原始資料!AM273,原始資料!AM273))</f>
        <v/>
      </c>
      <c r="AN273">
        <f>IF(原始資料!AN273="","",IF(反向題設定!$C$43="是",反向題設定!$B$2+1-原始資料!AN273,原始資料!AN273))</f>
        <v/>
      </c>
      <c r="AO273">
        <f>IF(原始資料!AO273="","",IF(反向題設定!$C$44="是",反向題設定!$B$2+1-原始資料!AO273,原始資料!AO273))</f>
        <v/>
      </c>
      <c r="AP273">
        <f>IF(COUNT(B273:AO273)=0,"",SUM(B273:AO273))</f>
        <v/>
      </c>
      <c r="AQ273">
        <f>IF(AP273="","",IF(AP273&gt;=項目分析!$C$5,"高",IF(AP273&lt;=項目分析!$C$6,"低","")))</f>
        <v/>
      </c>
    </row>
    <row r="274">
      <c r="A274">
        <f>IF(原始資料!A274="","",原始資料!A274)</f>
        <v/>
      </c>
      <c r="B274">
        <f>IF(原始資料!B274="","",IF(反向題設定!$C$5="是",反向題設定!$B$2+1-原始資料!B274,原始資料!B274))</f>
        <v/>
      </c>
      <c r="C274">
        <f>IF(原始資料!C274="","",IF(反向題設定!$C$6="是",反向題設定!$B$2+1-原始資料!C274,原始資料!C274))</f>
        <v/>
      </c>
      <c r="D274">
        <f>IF(原始資料!D274="","",IF(反向題設定!$C$7="是",反向題設定!$B$2+1-原始資料!D274,原始資料!D274))</f>
        <v/>
      </c>
      <c r="E274">
        <f>IF(原始資料!E274="","",IF(反向題設定!$C$8="是",反向題設定!$B$2+1-原始資料!E274,原始資料!E274))</f>
        <v/>
      </c>
      <c r="F274">
        <f>IF(原始資料!F274="","",IF(反向題設定!$C$9="是",反向題設定!$B$2+1-原始資料!F274,原始資料!F274))</f>
        <v/>
      </c>
      <c r="G274">
        <f>IF(原始資料!G274="","",IF(反向題設定!$C$10="是",反向題設定!$B$2+1-原始資料!G274,原始資料!G274))</f>
        <v/>
      </c>
      <c r="H274">
        <f>IF(原始資料!H274="","",IF(反向題設定!$C$11="是",反向題設定!$B$2+1-原始資料!H274,原始資料!H274))</f>
        <v/>
      </c>
      <c r="I274">
        <f>IF(原始資料!I274="","",IF(反向題設定!$C$12="是",反向題設定!$B$2+1-原始資料!I274,原始資料!I274))</f>
        <v/>
      </c>
      <c r="J274">
        <f>IF(原始資料!J274="","",IF(反向題設定!$C$13="是",反向題設定!$B$2+1-原始資料!J274,原始資料!J274))</f>
        <v/>
      </c>
      <c r="K274">
        <f>IF(原始資料!K274="","",IF(反向題設定!$C$14="是",反向題設定!$B$2+1-原始資料!K274,原始資料!K274))</f>
        <v/>
      </c>
      <c r="L274">
        <f>IF(原始資料!L274="","",IF(反向題設定!$C$15="是",反向題設定!$B$2+1-原始資料!L274,原始資料!L274))</f>
        <v/>
      </c>
      <c r="M274">
        <f>IF(原始資料!M274="","",IF(反向題設定!$C$16="是",反向題設定!$B$2+1-原始資料!M274,原始資料!M274))</f>
        <v/>
      </c>
      <c r="N274">
        <f>IF(原始資料!N274="","",IF(反向題設定!$C$17="是",反向題設定!$B$2+1-原始資料!N274,原始資料!N274))</f>
        <v/>
      </c>
      <c r="O274">
        <f>IF(原始資料!O274="","",IF(反向題設定!$C$18="是",反向題設定!$B$2+1-原始資料!O274,原始資料!O274))</f>
        <v/>
      </c>
      <c r="P274">
        <f>IF(原始資料!P274="","",IF(反向題設定!$C$19="是",反向題設定!$B$2+1-原始資料!P274,原始資料!P274))</f>
        <v/>
      </c>
      <c r="Q274">
        <f>IF(原始資料!Q274="","",IF(反向題設定!$C$20="是",反向題設定!$B$2+1-原始資料!Q274,原始資料!Q274))</f>
        <v/>
      </c>
      <c r="R274">
        <f>IF(原始資料!R274="","",IF(反向題設定!$C$21="是",反向題設定!$B$2+1-原始資料!R274,原始資料!R274))</f>
        <v/>
      </c>
      <c r="S274">
        <f>IF(原始資料!S274="","",IF(反向題設定!$C$22="是",反向題設定!$B$2+1-原始資料!S274,原始資料!S274))</f>
        <v/>
      </c>
      <c r="T274">
        <f>IF(原始資料!T274="","",IF(反向題設定!$C$23="是",反向題設定!$B$2+1-原始資料!T274,原始資料!T274))</f>
        <v/>
      </c>
      <c r="U274">
        <f>IF(原始資料!U274="","",IF(反向題設定!$C$24="是",反向題設定!$B$2+1-原始資料!U274,原始資料!U274))</f>
        <v/>
      </c>
      <c r="V274">
        <f>IF(原始資料!V274="","",IF(反向題設定!$C$25="是",反向題設定!$B$2+1-原始資料!V274,原始資料!V274))</f>
        <v/>
      </c>
      <c r="W274">
        <f>IF(原始資料!W274="","",IF(反向題設定!$C$26="是",反向題設定!$B$2+1-原始資料!W274,原始資料!W274))</f>
        <v/>
      </c>
      <c r="X274">
        <f>IF(原始資料!X274="","",IF(反向題設定!$C$27="是",反向題設定!$B$2+1-原始資料!X274,原始資料!X274))</f>
        <v/>
      </c>
      <c r="Y274">
        <f>IF(原始資料!Y274="","",IF(反向題設定!$C$28="是",反向題設定!$B$2+1-原始資料!Y274,原始資料!Y274))</f>
        <v/>
      </c>
      <c r="Z274">
        <f>IF(原始資料!Z274="","",IF(反向題設定!$C$29="是",反向題設定!$B$2+1-原始資料!Z274,原始資料!Z274))</f>
        <v/>
      </c>
      <c r="AA274">
        <f>IF(原始資料!AA274="","",IF(反向題設定!$C$30="是",反向題設定!$B$2+1-原始資料!AA274,原始資料!AA274))</f>
        <v/>
      </c>
      <c r="AB274">
        <f>IF(原始資料!AB274="","",IF(反向題設定!$C$31="是",反向題設定!$B$2+1-原始資料!AB274,原始資料!AB274))</f>
        <v/>
      </c>
      <c r="AC274">
        <f>IF(原始資料!AC274="","",IF(反向題設定!$C$32="是",反向題設定!$B$2+1-原始資料!AC274,原始資料!AC274))</f>
        <v/>
      </c>
      <c r="AD274">
        <f>IF(原始資料!AD274="","",IF(反向題設定!$C$33="是",反向題設定!$B$2+1-原始資料!AD274,原始資料!AD274))</f>
        <v/>
      </c>
      <c r="AE274">
        <f>IF(原始資料!AE274="","",IF(反向題設定!$C$34="是",反向題設定!$B$2+1-原始資料!AE274,原始資料!AE274))</f>
        <v/>
      </c>
      <c r="AF274">
        <f>IF(原始資料!AF274="","",IF(反向題設定!$C$35="是",反向題設定!$B$2+1-原始資料!AF274,原始資料!AF274))</f>
        <v/>
      </c>
      <c r="AG274">
        <f>IF(原始資料!AG274="","",IF(反向題設定!$C$36="是",反向題設定!$B$2+1-原始資料!AG274,原始資料!AG274))</f>
        <v/>
      </c>
      <c r="AH274">
        <f>IF(原始資料!AH274="","",IF(反向題設定!$C$37="是",反向題設定!$B$2+1-原始資料!AH274,原始資料!AH274))</f>
        <v/>
      </c>
      <c r="AI274">
        <f>IF(原始資料!AI274="","",IF(反向題設定!$C$38="是",反向題設定!$B$2+1-原始資料!AI274,原始資料!AI274))</f>
        <v/>
      </c>
      <c r="AJ274">
        <f>IF(原始資料!AJ274="","",IF(反向題設定!$C$39="是",反向題設定!$B$2+1-原始資料!AJ274,原始資料!AJ274))</f>
        <v/>
      </c>
      <c r="AK274">
        <f>IF(原始資料!AK274="","",IF(反向題設定!$C$40="是",反向題設定!$B$2+1-原始資料!AK274,原始資料!AK274))</f>
        <v/>
      </c>
      <c r="AL274">
        <f>IF(原始資料!AL274="","",IF(反向題設定!$C$41="是",反向題設定!$B$2+1-原始資料!AL274,原始資料!AL274))</f>
        <v/>
      </c>
      <c r="AM274">
        <f>IF(原始資料!AM274="","",IF(反向題設定!$C$42="是",反向題設定!$B$2+1-原始資料!AM274,原始資料!AM274))</f>
        <v/>
      </c>
      <c r="AN274">
        <f>IF(原始資料!AN274="","",IF(反向題設定!$C$43="是",反向題設定!$B$2+1-原始資料!AN274,原始資料!AN274))</f>
        <v/>
      </c>
      <c r="AO274">
        <f>IF(原始資料!AO274="","",IF(反向題設定!$C$44="是",反向題設定!$B$2+1-原始資料!AO274,原始資料!AO274))</f>
        <v/>
      </c>
      <c r="AP274">
        <f>IF(COUNT(B274:AO274)=0,"",SUM(B274:AO274))</f>
        <v/>
      </c>
      <c r="AQ274">
        <f>IF(AP274="","",IF(AP274&gt;=項目分析!$C$5,"高",IF(AP274&lt;=項目分析!$C$6,"低","")))</f>
        <v/>
      </c>
    </row>
    <row r="275">
      <c r="A275">
        <f>IF(原始資料!A275="","",原始資料!A275)</f>
        <v/>
      </c>
      <c r="B275">
        <f>IF(原始資料!B275="","",IF(反向題設定!$C$5="是",反向題設定!$B$2+1-原始資料!B275,原始資料!B275))</f>
        <v/>
      </c>
      <c r="C275">
        <f>IF(原始資料!C275="","",IF(反向題設定!$C$6="是",反向題設定!$B$2+1-原始資料!C275,原始資料!C275))</f>
        <v/>
      </c>
      <c r="D275">
        <f>IF(原始資料!D275="","",IF(反向題設定!$C$7="是",反向題設定!$B$2+1-原始資料!D275,原始資料!D275))</f>
        <v/>
      </c>
      <c r="E275">
        <f>IF(原始資料!E275="","",IF(反向題設定!$C$8="是",反向題設定!$B$2+1-原始資料!E275,原始資料!E275))</f>
        <v/>
      </c>
      <c r="F275">
        <f>IF(原始資料!F275="","",IF(反向題設定!$C$9="是",反向題設定!$B$2+1-原始資料!F275,原始資料!F275))</f>
        <v/>
      </c>
      <c r="G275">
        <f>IF(原始資料!G275="","",IF(反向題設定!$C$10="是",反向題設定!$B$2+1-原始資料!G275,原始資料!G275))</f>
        <v/>
      </c>
      <c r="H275">
        <f>IF(原始資料!H275="","",IF(反向題設定!$C$11="是",反向題設定!$B$2+1-原始資料!H275,原始資料!H275))</f>
        <v/>
      </c>
      <c r="I275">
        <f>IF(原始資料!I275="","",IF(反向題設定!$C$12="是",反向題設定!$B$2+1-原始資料!I275,原始資料!I275))</f>
        <v/>
      </c>
      <c r="J275">
        <f>IF(原始資料!J275="","",IF(反向題設定!$C$13="是",反向題設定!$B$2+1-原始資料!J275,原始資料!J275))</f>
        <v/>
      </c>
      <c r="K275">
        <f>IF(原始資料!K275="","",IF(反向題設定!$C$14="是",反向題設定!$B$2+1-原始資料!K275,原始資料!K275))</f>
        <v/>
      </c>
      <c r="L275">
        <f>IF(原始資料!L275="","",IF(反向題設定!$C$15="是",反向題設定!$B$2+1-原始資料!L275,原始資料!L275))</f>
        <v/>
      </c>
      <c r="M275">
        <f>IF(原始資料!M275="","",IF(反向題設定!$C$16="是",反向題設定!$B$2+1-原始資料!M275,原始資料!M275))</f>
        <v/>
      </c>
      <c r="N275">
        <f>IF(原始資料!N275="","",IF(反向題設定!$C$17="是",反向題設定!$B$2+1-原始資料!N275,原始資料!N275))</f>
        <v/>
      </c>
      <c r="O275">
        <f>IF(原始資料!O275="","",IF(反向題設定!$C$18="是",反向題設定!$B$2+1-原始資料!O275,原始資料!O275))</f>
        <v/>
      </c>
      <c r="P275">
        <f>IF(原始資料!P275="","",IF(反向題設定!$C$19="是",反向題設定!$B$2+1-原始資料!P275,原始資料!P275))</f>
        <v/>
      </c>
      <c r="Q275">
        <f>IF(原始資料!Q275="","",IF(反向題設定!$C$20="是",反向題設定!$B$2+1-原始資料!Q275,原始資料!Q275))</f>
        <v/>
      </c>
      <c r="R275">
        <f>IF(原始資料!R275="","",IF(反向題設定!$C$21="是",反向題設定!$B$2+1-原始資料!R275,原始資料!R275))</f>
        <v/>
      </c>
      <c r="S275">
        <f>IF(原始資料!S275="","",IF(反向題設定!$C$22="是",反向題設定!$B$2+1-原始資料!S275,原始資料!S275))</f>
        <v/>
      </c>
      <c r="T275">
        <f>IF(原始資料!T275="","",IF(反向題設定!$C$23="是",反向題設定!$B$2+1-原始資料!T275,原始資料!T275))</f>
        <v/>
      </c>
      <c r="U275">
        <f>IF(原始資料!U275="","",IF(反向題設定!$C$24="是",反向題設定!$B$2+1-原始資料!U275,原始資料!U275))</f>
        <v/>
      </c>
      <c r="V275">
        <f>IF(原始資料!V275="","",IF(反向題設定!$C$25="是",反向題設定!$B$2+1-原始資料!V275,原始資料!V275))</f>
        <v/>
      </c>
      <c r="W275">
        <f>IF(原始資料!W275="","",IF(反向題設定!$C$26="是",反向題設定!$B$2+1-原始資料!W275,原始資料!W275))</f>
        <v/>
      </c>
      <c r="X275">
        <f>IF(原始資料!X275="","",IF(反向題設定!$C$27="是",反向題設定!$B$2+1-原始資料!X275,原始資料!X275))</f>
        <v/>
      </c>
      <c r="Y275">
        <f>IF(原始資料!Y275="","",IF(反向題設定!$C$28="是",反向題設定!$B$2+1-原始資料!Y275,原始資料!Y275))</f>
        <v/>
      </c>
      <c r="Z275">
        <f>IF(原始資料!Z275="","",IF(反向題設定!$C$29="是",反向題設定!$B$2+1-原始資料!Z275,原始資料!Z275))</f>
        <v/>
      </c>
      <c r="AA275">
        <f>IF(原始資料!AA275="","",IF(反向題設定!$C$30="是",反向題設定!$B$2+1-原始資料!AA275,原始資料!AA275))</f>
        <v/>
      </c>
      <c r="AB275">
        <f>IF(原始資料!AB275="","",IF(反向題設定!$C$31="是",反向題設定!$B$2+1-原始資料!AB275,原始資料!AB275))</f>
        <v/>
      </c>
      <c r="AC275">
        <f>IF(原始資料!AC275="","",IF(反向題設定!$C$32="是",反向題設定!$B$2+1-原始資料!AC275,原始資料!AC275))</f>
        <v/>
      </c>
      <c r="AD275">
        <f>IF(原始資料!AD275="","",IF(反向題設定!$C$33="是",反向題設定!$B$2+1-原始資料!AD275,原始資料!AD275))</f>
        <v/>
      </c>
      <c r="AE275">
        <f>IF(原始資料!AE275="","",IF(反向題設定!$C$34="是",反向題設定!$B$2+1-原始資料!AE275,原始資料!AE275))</f>
        <v/>
      </c>
      <c r="AF275">
        <f>IF(原始資料!AF275="","",IF(反向題設定!$C$35="是",反向題設定!$B$2+1-原始資料!AF275,原始資料!AF275))</f>
        <v/>
      </c>
      <c r="AG275">
        <f>IF(原始資料!AG275="","",IF(反向題設定!$C$36="是",反向題設定!$B$2+1-原始資料!AG275,原始資料!AG275))</f>
        <v/>
      </c>
      <c r="AH275">
        <f>IF(原始資料!AH275="","",IF(反向題設定!$C$37="是",反向題設定!$B$2+1-原始資料!AH275,原始資料!AH275))</f>
        <v/>
      </c>
      <c r="AI275">
        <f>IF(原始資料!AI275="","",IF(反向題設定!$C$38="是",反向題設定!$B$2+1-原始資料!AI275,原始資料!AI275))</f>
        <v/>
      </c>
      <c r="AJ275">
        <f>IF(原始資料!AJ275="","",IF(反向題設定!$C$39="是",反向題設定!$B$2+1-原始資料!AJ275,原始資料!AJ275))</f>
        <v/>
      </c>
      <c r="AK275">
        <f>IF(原始資料!AK275="","",IF(反向題設定!$C$40="是",反向題設定!$B$2+1-原始資料!AK275,原始資料!AK275))</f>
        <v/>
      </c>
      <c r="AL275">
        <f>IF(原始資料!AL275="","",IF(反向題設定!$C$41="是",反向題設定!$B$2+1-原始資料!AL275,原始資料!AL275))</f>
        <v/>
      </c>
      <c r="AM275">
        <f>IF(原始資料!AM275="","",IF(反向題設定!$C$42="是",反向題設定!$B$2+1-原始資料!AM275,原始資料!AM275))</f>
        <v/>
      </c>
      <c r="AN275">
        <f>IF(原始資料!AN275="","",IF(反向題設定!$C$43="是",反向題設定!$B$2+1-原始資料!AN275,原始資料!AN275))</f>
        <v/>
      </c>
      <c r="AO275">
        <f>IF(原始資料!AO275="","",IF(反向題設定!$C$44="是",反向題設定!$B$2+1-原始資料!AO275,原始資料!AO275))</f>
        <v/>
      </c>
      <c r="AP275">
        <f>IF(COUNT(B275:AO275)=0,"",SUM(B275:AO275))</f>
        <v/>
      </c>
      <c r="AQ275">
        <f>IF(AP275="","",IF(AP275&gt;=項目分析!$C$5,"高",IF(AP275&lt;=項目分析!$C$6,"低","")))</f>
        <v/>
      </c>
    </row>
    <row r="276">
      <c r="A276">
        <f>IF(原始資料!A276="","",原始資料!A276)</f>
        <v/>
      </c>
      <c r="B276">
        <f>IF(原始資料!B276="","",IF(反向題設定!$C$5="是",反向題設定!$B$2+1-原始資料!B276,原始資料!B276))</f>
        <v/>
      </c>
      <c r="C276">
        <f>IF(原始資料!C276="","",IF(反向題設定!$C$6="是",反向題設定!$B$2+1-原始資料!C276,原始資料!C276))</f>
        <v/>
      </c>
      <c r="D276">
        <f>IF(原始資料!D276="","",IF(反向題設定!$C$7="是",反向題設定!$B$2+1-原始資料!D276,原始資料!D276))</f>
        <v/>
      </c>
      <c r="E276">
        <f>IF(原始資料!E276="","",IF(反向題設定!$C$8="是",反向題設定!$B$2+1-原始資料!E276,原始資料!E276))</f>
        <v/>
      </c>
      <c r="F276">
        <f>IF(原始資料!F276="","",IF(反向題設定!$C$9="是",反向題設定!$B$2+1-原始資料!F276,原始資料!F276))</f>
        <v/>
      </c>
      <c r="G276">
        <f>IF(原始資料!G276="","",IF(反向題設定!$C$10="是",反向題設定!$B$2+1-原始資料!G276,原始資料!G276))</f>
        <v/>
      </c>
      <c r="H276">
        <f>IF(原始資料!H276="","",IF(反向題設定!$C$11="是",反向題設定!$B$2+1-原始資料!H276,原始資料!H276))</f>
        <v/>
      </c>
      <c r="I276">
        <f>IF(原始資料!I276="","",IF(反向題設定!$C$12="是",反向題設定!$B$2+1-原始資料!I276,原始資料!I276))</f>
        <v/>
      </c>
      <c r="J276">
        <f>IF(原始資料!J276="","",IF(反向題設定!$C$13="是",反向題設定!$B$2+1-原始資料!J276,原始資料!J276))</f>
        <v/>
      </c>
      <c r="K276">
        <f>IF(原始資料!K276="","",IF(反向題設定!$C$14="是",反向題設定!$B$2+1-原始資料!K276,原始資料!K276))</f>
        <v/>
      </c>
      <c r="L276">
        <f>IF(原始資料!L276="","",IF(反向題設定!$C$15="是",反向題設定!$B$2+1-原始資料!L276,原始資料!L276))</f>
        <v/>
      </c>
      <c r="M276">
        <f>IF(原始資料!M276="","",IF(反向題設定!$C$16="是",反向題設定!$B$2+1-原始資料!M276,原始資料!M276))</f>
        <v/>
      </c>
      <c r="N276">
        <f>IF(原始資料!N276="","",IF(反向題設定!$C$17="是",反向題設定!$B$2+1-原始資料!N276,原始資料!N276))</f>
        <v/>
      </c>
      <c r="O276">
        <f>IF(原始資料!O276="","",IF(反向題設定!$C$18="是",反向題設定!$B$2+1-原始資料!O276,原始資料!O276))</f>
        <v/>
      </c>
      <c r="P276">
        <f>IF(原始資料!P276="","",IF(反向題設定!$C$19="是",反向題設定!$B$2+1-原始資料!P276,原始資料!P276))</f>
        <v/>
      </c>
      <c r="Q276">
        <f>IF(原始資料!Q276="","",IF(反向題設定!$C$20="是",反向題設定!$B$2+1-原始資料!Q276,原始資料!Q276))</f>
        <v/>
      </c>
      <c r="R276">
        <f>IF(原始資料!R276="","",IF(反向題設定!$C$21="是",反向題設定!$B$2+1-原始資料!R276,原始資料!R276))</f>
        <v/>
      </c>
      <c r="S276">
        <f>IF(原始資料!S276="","",IF(反向題設定!$C$22="是",反向題設定!$B$2+1-原始資料!S276,原始資料!S276))</f>
        <v/>
      </c>
      <c r="T276">
        <f>IF(原始資料!T276="","",IF(反向題設定!$C$23="是",反向題設定!$B$2+1-原始資料!T276,原始資料!T276))</f>
        <v/>
      </c>
      <c r="U276">
        <f>IF(原始資料!U276="","",IF(反向題設定!$C$24="是",反向題設定!$B$2+1-原始資料!U276,原始資料!U276))</f>
        <v/>
      </c>
      <c r="V276">
        <f>IF(原始資料!V276="","",IF(反向題設定!$C$25="是",反向題設定!$B$2+1-原始資料!V276,原始資料!V276))</f>
        <v/>
      </c>
      <c r="W276">
        <f>IF(原始資料!W276="","",IF(反向題設定!$C$26="是",反向題設定!$B$2+1-原始資料!W276,原始資料!W276))</f>
        <v/>
      </c>
      <c r="X276">
        <f>IF(原始資料!X276="","",IF(反向題設定!$C$27="是",反向題設定!$B$2+1-原始資料!X276,原始資料!X276))</f>
        <v/>
      </c>
      <c r="Y276">
        <f>IF(原始資料!Y276="","",IF(反向題設定!$C$28="是",反向題設定!$B$2+1-原始資料!Y276,原始資料!Y276))</f>
        <v/>
      </c>
      <c r="Z276">
        <f>IF(原始資料!Z276="","",IF(反向題設定!$C$29="是",反向題設定!$B$2+1-原始資料!Z276,原始資料!Z276))</f>
        <v/>
      </c>
      <c r="AA276">
        <f>IF(原始資料!AA276="","",IF(反向題設定!$C$30="是",反向題設定!$B$2+1-原始資料!AA276,原始資料!AA276))</f>
        <v/>
      </c>
      <c r="AB276">
        <f>IF(原始資料!AB276="","",IF(反向題設定!$C$31="是",反向題設定!$B$2+1-原始資料!AB276,原始資料!AB276))</f>
        <v/>
      </c>
      <c r="AC276">
        <f>IF(原始資料!AC276="","",IF(反向題設定!$C$32="是",反向題設定!$B$2+1-原始資料!AC276,原始資料!AC276))</f>
        <v/>
      </c>
      <c r="AD276">
        <f>IF(原始資料!AD276="","",IF(反向題設定!$C$33="是",反向題設定!$B$2+1-原始資料!AD276,原始資料!AD276))</f>
        <v/>
      </c>
      <c r="AE276">
        <f>IF(原始資料!AE276="","",IF(反向題設定!$C$34="是",反向題設定!$B$2+1-原始資料!AE276,原始資料!AE276))</f>
        <v/>
      </c>
      <c r="AF276">
        <f>IF(原始資料!AF276="","",IF(反向題設定!$C$35="是",反向題設定!$B$2+1-原始資料!AF276,原始資料!AF276))</f>
        <v/>
      </c>
      <c r="AG276">
        <f>IF(原始資料!AG276="","",IF(反向題設定!$C$36="是",反向題設定!$B$2+1-原始資料!AG276,原始資料!AG276))</f>
        <v/>
      </c>
      <c r="AH276">
        <f>IF(原始資料!AH276="","",IF(反向題設定!$C$37="是",反向題設定!$B$2+1-原始資料!AH276,原始資料!AH276))</f>
        <v/>
      </c>
      <c r="AI276">
        <f>IF(原始資料!AI276="","",IF(反向題設定!$C$38="是",反向題設定!$B$2+1-原始資料!AI276,原始資料!AI276))</f>
        <v/>
      </c>
      <c r="AJ276">
        <f>IF(原始資料!AJ276="","",IF(反向題設定!$C$39="是",反向題設定!$B$2+1-原始資料!AJ276,原始資料!AJ276))</f>
        <v/>
      </c>
      <c r="AK276">
        <f>IF(原始資料!AK276="","",IF(反向題設定!$C$40="是",反向題設定!$B$2+1-原始資料!AK276,原始資料!AK276))</f>
        <v/>
      </c>
      <c r="AL276">
        <f>IF(原始資料!AL276="","",IF(反向題設定!$C$41="是",反向題設定!$B$2+1-原始資料!AL276,原始資料!AL276))</f>
        <v/>
      </c>
      <c r="AM276">
        <f>IF(原始資料!AM276="","",IF(反向題設定!$C$42="是",反向題設定!$B$2+1-原始資料!AM276,原始資料!AM276))</f>
        <v/>
      </c>
      <c r="AN276">
        <f>IF(原始資料!AN276="","",IF(反向題設定!$C$43="是",反向題設定!$B$2+1-原始資料!AN276,原始資料!AN276))</f>
        <v/>
      </c>
      <c r="AO276">
        <f>IF(原始資料!AO276="","",IF(反向題設定!$C$44="是",反向題設定!$B$2+1-原始資料!AO276,原始資料!AO276))</f>
        <v/>
      </c>
      <c r="AP276">
        <f>IF(COUNT(B276:AO276)=0,"",SUM(B276:AO276))</f>
        <v/>
      </c>
      <c r="AQ276">
        <f>IF(AP276="","",IF(AP276&gt;=項目分析!$C$5,"高",IF(AP276&lt;=項目分析!$C$6,"低","")))</f>
        <v/>
      </c>
    </row>
    <row r="277">
      <c r="A277">
        <f>IF(原始資料!A277="","",原始資料!A277)</f>
        <v/>
      </c>
      <c r="B277">
        <f>IF(原始資料!B277="","",IF(反向題設定!$C$5="是",反向題設定!$B$2+1-原始資料!B277,原始資料!B277))</f>
        <v/>
      </c>
      <c r="C277">
        <f>IF(原始資料!C277="","",IF(反向題設定!$C$6="是",反向題設定!$B$2+1-原始資料!C277,原始資料!C277))</f>
        <v/>
      </c>
      <c r="D277">
        <f>IF(原始資料!D277="","",IF(反向題設定!$C$7="是",反向題設定!$B$2+1-原始資料!D277,原始資料!D277))</f>
        <v/>
      </c>
      <c r="E277">
        <f>IF(原始資料!E277="","",IF(反向題設定!$C$8="是",反向題設定!$B$2+1-原始資料!E277,原始資料!E277))</f>
        <v/>
      </c>
      <c r="F277">
        <f>IF(原始資料!F277="","",IF(反向題設定!$C$9="是",反向題設定!$B$2+1-原始資料!F277,原始資料!F277))</f>
        <v/>
      </c>
      <c r="G277">
        <f>IF(原始資料!G277="","",IF(反向題設定!$C$10="是",反向題設定!$B$2+1-原始資料!G277,原始資料!G277))</f>
        <v/>
      </c>
      <c r="H277">
        <f>IF(原始資料!H277="","",IF(反向題設定!$C$11="是",反向題設定!$B$2+1-原始資料!H277,原始資料!H277))</f>
        <v/>
      </c>
      <c r="I277">
        <f>IF(原始資料!I277="","",IF(反向題設定!$C$12="是",反向題設定!$B$2+1-原始資料!I277,原始資料!I277))</f>
        <v/>
      </c>
      <c r="J277">
        <f>IF(原始資料!J277="","",IF(反向題設定!$C$13="是",反向題設定!$B$2+1-原始資料!J277,原始資料!J277))</f>
        <v/>
      </c>
      <c r="K277">
        <f>IF(原始資料!K277="","",IF(反向題設定!$C$14="是",反向題設定!$B$2+1-原始資料!K277,原始資料!K277))</f>
        <v/>
      </c>
      <c r="L277">
        <f>IF(原始資料!L277="","",IF(反向題設定!$C$15="是",反向題設定!$B$2+1-原始資料!L277,原始資料!L277))</f>
        <v/>
      </c>
      <c r="M277">
        <f>IF(原始資料!M277="","",IF(反向題設定!$C$16="是",反向題設定!$B$2+1-原始資料!M277,原始資料!M277))</f>
        <v/>
      </c>
      <c r="N277">
        <f>IF(原始資料!N277="","",IF(反向題設定!$C$17="是",反向題設定!$B$2+1-原始資料!N277,原始資料!N277))</f>
        <v/>
      </c>
      <c r="O277">
        <f>IF(原始資料!O277="","",IF(反向題設定!$C$18="是",反向題設定!$B$2+1-原始資料!O277,原始資料!O277))</f>
        <v/>
      </c>
      <c r="P277">
        <f>IF(原始資料!P277="","",IF(反向題設定!$C$19="是",反向題設定!$B$2+1-原始資料!P277,原始資料!P277))</f>
        <v/>
      </c>
      <c r="Q277">
        <f>IF(原始資料!Q277="","",IF(反向題設定!$C$20="是",反向題設定!$B$2+1-原始資料!Q277,原始資料!Q277))</f>
        <v/>
      </c>
      <c r="R277">
        <f>IF(原始資料!R277="","",IF(反向題設定!$C$21="是",反向題設定!$B$2+1-原始資料!R277,原始資料!R277))</f>
        <v/>
      </c>
      <c r="S277">
        <f>IF(原始資料!S277="","",IF(反向題設定!$C$22="是",反向題設定!$B$2+1-原始資料!S277,原始資料!S277))</f>
        <v/>
      </c>
      <c r="T277">
        <f>IF(原始資料!T277="","",IF(反向題設定!$C$23="是",反向題設定!$B$2+1-原始資料!T277,原始資料!T277))</f>
        <v/>
      </c>
      <c r="U277">
        <f>IF(原始資料!U277="","",IF(反向題設定!$C$24="是",反向題設定!$B$2+1-原始資料!U277,原始資料!U277))</f>
        <v/>
      </c>
      <c r="V277">
        <f>IF(原始資料!V277="","",IF(反向題設定!$C$25="是",反向題設定!$B$2+1-原始資料!V277,原始資料!V277))</f>
        <v/>
      </c>
      <c r="W277">
        <f>IF(原始資料!W277="","",IF(反向題設定!$C$26="是",反向題設定!$B$2+1-原始資料!W277,原始資料!W277))</f>
        <v/>
      </c>
      <c r="X277">
        <f>IF(原始資料!X277="","",IF(反向題設定!$C$27="是",反向題設定!$B$2+1-原始資料!X277,原始資料!X277))</f>
        <v/>
      </c>
      <c r="Y277">
        <f>IF(原始資料!Y277="","",IF(反向題設定!$C$28="是",反向題設定!$B$2+1-原始資料!Y277,原始資料!Y277))</f>
        <v/>
      </c>
      <c r="Z277">
        <f>IF(原始資料!Z277="","",IF(反向題設定!$C$29="是",反向題設定!$B$2+1-原始資料!Z277,原始資料!Z277))</f>
        <v/>
      </c>
      <c r="AA277">
        <f>IF(原始資料!AA277="","",IF(反向題設定!$C$30="是",反向題設定!$B$2+1-原始資料!AA277,原始資料!AA277))</f>
        <v/>
      </c>
      <c r="AB277">
        <f>IF(原始資料!AB277="","",IF(反向題設定!$C$31="是",反向題設定!$B$2+1-原始資料!AB277,原始資料!AB277))</f>
        <v/>
      </c>
      <c r="AC277">
        <f>IF(原始資料!AC277="","",IF(反向題設定!$C$32="是",反向題設定!$B$2+1-原始資料!AC277,原始資料!AC277))</f>
        <v/>
      </c>
      <c r="AD277">
        <f>IF(原始資料!AD277="","",IF(反向題設定!$C$33="是",反向題設定!$B$2+1-原始資料!AD277,原始資料!AD277))</f>
        <v/>
      </c>
      <c r="AE277">
        <f>IF(原始資料!AE277="","",IF(反向題設定!$C$34="是",反向題設定!$B$2+1-原始資料!AE277,原始資料!AE277))</f>
        <v/>
      </c>
      <c r="AF277">
        <f>IF(原始資料!AF277="","",IF(反向題設定!$C$35="是",反向題設定!$B$2+1-原始資料!AF277,原始資料!AF277))</f>
        <v/>
      </c>
      <c r="AG277">
        <f>IF(原始資料!AG277="","",IF(反向題設定!$C$36="是",反向題設定!$B$2+1-原始資料!AG277,原始資料!AG277))</f>
        <v/>
      </c>
      <c r="AH277">
        <f>IF(原始資料!AH277="","",IF(反向題設定!$C$37="是",反向題設定!$B$2+1-原始資料!AH277,原始資料!AH277))</f>
        <v/>
      </c>
      <c r="AI277">
        <f>IF(原始資料!AI277="","",IF(反向題設定!$C$38="是",反向題設定!$B$2+1-原始資料!AI277,原始資料!AI277))</f>
        <v/>
      </c>
      <c r="AJ277">
        <f>IF(原始資料!AJ277="","",IF(反向題設定!$C$39="是",反向題設定!$B$2+1-原始資料!AJ277,原始資料!AJ277))</f>
        <v/>
      </c>
      <c r="AK277">
        <f>IF(原始資料!AK277="","",IF(反向題設定!$C$40="是",反向題設定!$B$2+1-原始資料!AK277,原始資料!AK277))</f>
        <v/>
      </c>
      <c r="AL277">
        <f>IF(原始資料!AL277="","",IF(反向題設定!$C$41="是",反向題設定!$B$2+1-原始資料!AL277,原始資料!AL277))</f>
        <v/>
      </c>
      <c r="AM277">
        <f>IF(原始資料!AM277="","",IF(反向題設定!$C$42="是",反向題設定!$B$2+1-原始資料!AM277,原始資料!AM277))</f>
        <v/>
      </c>
      <c r="AN277">
        <f>IF(原始資料!AN277="","",IF(反向題設定!$C$43="是",反向題設定!$B$2+1-原始資料!AN277,原始資料!AN277))</f>
        <v/>
      </c>
      <c r="AO277">
        <f>IF(原始資料!AO277="","",IF(反向題設定!$C$44="是",反向題設定!$B$2+1-原始資料!AO277,原始資料!AO277))</f>
        <v/>
      </c>
      <c r="AP277">
        <f>IF(COUNT(B277:AO277)=0,"",SUM(B277:AO277))</f>
        <v/>
      </c>
      <c r="AQ277">
        <f>IF(AP277="","",IF(AP277&gt;=項目分析!$C$5,"高",IF(AP277&lt;=項目分析!$C$6,"低","")))</f>
        <v/>
      </c>
    </row>
    <row r="278">
      <c r="A278">
        <f>IF(原始資料!A278="","",原始資料!A278)</f>
        <v/>
      </c>
      <c r="B278">
        <f>IF(原始資料!B278="","",IF(反向題設定!$C$5="是",反向題設定!$B$2+1-原始資料!B278,原始資料!B278))</f>
        <v/>
      </c>
      <c r="C278">
        <f>IF(原始資料!C278="","",IF(反向題設定!$C$6="是",反向題設定!$B$2+1-原始資料!C278,原始資料!C278))</f>
        <v/>
      </c>
      <c r="D278">
        <f>IF(原始資料!D278="","",IF(反向題設定!$C$7="是",反向題設定!$B$2+1-原始資料!D278,原始資料!D278))</f>
        <v/>
      </c>
      <c r="E278">
        <f>IF(原始資料!E278="","",IF(反向題設定!$C$8="是",反向題設定!$B$2+1-原始資料!E278,原始資料!E278))</f>
        <v/>
      </c>
      <c r="F278">
        <f>IF(原始資料!F278="","",IF(反向題設定!$C$9="是",反向題設定!$B$2+1-原始資料!F278,原始資料!F278))</f>
        <v/>
      </c>
      <c r="G278">
        <f>IF(原始資料!G278="","",IF(反向題設定!$C$10="是",反向題設定!$B$2+1-原始資料!G278,原始資料!G278))</f>
        <v/>
      </c>
      <c r="H278">
        <f>IF(原始資料!H278="","",IF(反向題設定!$C$11="是",反向題設定!$B$2+1-原始資料!H278,原始資料!H278))</f>
        <v/>
      </c>
      <c r="I278">
        <f>IF(原始資料!I278="","",IF(反向題設定!$C$12="是",反向題設定!$B$2+1-原始資料!I278,原始資料!I278))</f>
        <v/>
      </c>
      <c r="J278">
        <f>IF(原始資料!J278="","",IF(反向題設定!$C$13="是",反向題設定!$B$2+1-原始資料!J278,原始資料!J278))</f>
        <v/>
      </c>
      <c r="K278">
        <f>IF(原始資料!K278="","",IF(反向題設定!$C$14="是",反向題設定!$B$2+1-原始資料!K278,原始資料!K278))</f>
        <v/>
      </c>
      <c r="L278">
        <f>IF(原始資料!L278="","",IF(反向題設定!$C$15="是",反向題設定!$B$2+1-原始資料!L278,原始資料!L278))</f>
        <v/>
      </c>
      <c r="M278">
        <f>IF(原始資料!M278="","",IF(反向題設定!$C$16="是",反向題設定!$B$2+1-原始資料!M278,原始資料!M278))</f>
        <v/>
      </c>
      <c r="N278">
        <f>IF(原始資料!N278="","",IF(反向題設定!$C$17="是",反向題設定!$B$2+1-原始資料!N278,原始資料!N278))</f>
        <v/>
      </c>
      <c r="O278">
        <f>IF(原始資料!O278="","",IF(反向題設定!$C$18="是",反向題設定!$B$2+1-原始資料!O278,原始資料!O278))</f>
        <v/>
      </c>
      <c r="P278">
        <f>IF(原始資料!P278="","",IF(反向題設定!$C$19="是",反向題設定!$B$2+1-原始資料!P278,原始資料!P278))</f>
        <v/>
      </c>
      <c r="Q278">
        <f>IF(原始資料!Q278="","",IF(反向題設定!$C$20="是",反向題設定!$B$2+1-原始資料!Q278,原始資料!Q278))</f>
        <v/>
      </c>
      <c r="R278">
        <f>IF(原始資料!R278="","",IF(反向題設定!$C$21="是",反向題設定!$B$2+1-原始資料!R278,原始資料!R278))</f>
        <v/>
      </c>
      <c r="S278">
        <f>IF(原始資料!S278="","",IF(反向題設定!$C$22="是",反向題設定!$B$2+1-原始資料!S278,原始資料!S278))</f>
        <v/>
      </c>
      <c r="T278">
        <f>IF(原始資料!T278="","",IF(反向題設定!$C$23="是",反向題設定!$B$2+1-原始資料!T278,原始資料!T278))</f>
        <v/>
      </c>
      <c r="U278">
        <f>IF(原始資料!U278="","",IF(反向題設定!$C$24="是",反向題設定!$B$2+1-原始資料!U278,原始資料!U278))</f>
        <v/>
      </c>
      <c r="V278">
        <f>IF(原始資料!V278="","",IF(反向題設定!$C$25="是",反向題設定!$B$2+1-原始資料!V278,原始資料!V278))</f>
        <v/>
      </c>
      <c r="W278">
        <f>IF(原始資料!W278="","",IF(反向題設定!$C$26="是",反向題設定!$B$2+1-原始資料!W278,原始資料!W278))</f>
        <v/>
      </c>
      <c r="X278">
        <f>IF(原始資料!X278="","",IF(反向題設定!$C$27="是",反向題設定!$B$2+1-原始資料!X278,原始資料!X278))</f>
        <v/>
      </c>
      <c r="Y278">
        <f>IF(原始資料!Y278="","",IF(反向題設定!$C$28="是",反向題設定!$B$2+1-原始資料!Y278,原始資料!Y278))</f>
        <v/>
      </c>
      <c r="Z278">
        <f>IF(原始資料!Z278="","",IF(反向題設定!$C$29="是",反向題設定!$B$2+1-原始資料!Z278,原始資料!Z278))</f>
        <v/>
      </c>
      <c r="AA278">
        <f>IF(原始資料!AA278="","",IF(反向題設定!$C$30="是",反向題設定!$B$2+1-原始資料!AA278,原始資料!AA278))</f>
        <v/>
      </c>
      <c r="AB278">
        <f>IF(原始資料!AB278="","",IF(反向題設定!$C$31="是",反向題設定!$B$2+1-原始資料!AB278,原始資料!AB278))</f>
        <v/>
      </c>
      <c r="AC278">
        <f>IF(原始資料!AC278="","",IF(反向題設定!$C$32="是",反向題設定!$B$2+1-原始資料!AC278,原始資料!AC278))</f>
        <v/>
      </c>
      <c r="AD278">
        <f>IF(原始資料!AD278="","",IF(反向題設定!$C$33="是",反向題設定!$B$2+1-原始資料!AD278,原始資料!AD278))</f>
        <v/>
      </c>
      <c r="AE278">
        <f>IF(原始資料!AE278="","",IF(反向題設定!$C$34="是",反向題設定!$B$2+1-原始資料!AE278,原始資料!AE278))</f>
        <v/>
      </c>
      <c r="AF278">
        <f>IF(原始資料!AF278="","",IF(反向題設定!$C$35="是",反向題設定!$B$2+1-原始資料!AF278,原始資料!AF278))</f>
        <v/>
      </c>
      <c r="AG278">
        <f>IF(原始資料!AG278="","",IF(反向題設定!$C$36="是",反向題設定!$B$2+1-原始資料!AG278,原始資料!AG278))</f>
        <v/>
      </c>
      <c r="AH278">
        <f>IF(原始資料!AH278="","",IF(反向題設定!$C$37="是",反向題設定!$B$2+1-原始資料!AH278,原始資料!AH278))</f>
        <v/>
      </c>
      <c r="AI278">
        <f>IF(原始資料!AI278="","",IF(反向題設定!$C$38="是",反向題設定!$B$2+1-原始資料!AI278,原始資料!AI278))</f>
        <v/>
      </c>
      <c r="AJ278">
        <f>IF(原始資料!AJ278="","",IF(反向題設定!$C$39="是",反向題設定!$B$2+1-原始資料!AJ278,原始資料!AJ278))</f>
        <v/>
      </c>
      <c r="AK278">
        <f>IF(原始資料!AK278="","",IF(反向題設定!$C$40="是",反向題設定!$B$2+1-原始資料!AK278,原始資料!AK278))</f>
        <v/>
      </c>
      <c r="AL278">
        <f>IF(原始資料!AL278="","",IF(反向題設定!$C$41="是",反向題設定!$B$2+1-原始資料!AL278,原始資料!AL278))</f>
        <v/>
      </c>
      <c r="AM278">
        <f>IF(原始資料!AM278="","",IF(反向題設定!$C$42="是",反向題設定!$B$2+1-原始資料!AM278,原始資料!AM278))</f>
        <v/>
      </c>
      <c r="AN278">
        <f>IF(原始資料!AN278="","",IF(反向題設定!$C$43="是",反向題設定!$B$2+1-原始資料!AN278,原始資料!AN278))</f>
        <v/>
      </c>
      <c r="AO278">
        <f>IF(原始資料!AO278="","",IF(反向題設定!$C$44="是",反向題設定!$B$2+1-原始資料!AO278,原始資料!AO278))</f>
        <v/>
      </c>
      <c r="AP278">
        <f>IF(COUNT(B278:AO278)=0,"",SUM(B278:AO278))</f>
        <v/>
      </c>
      <c r="AQ278">
        <f>IF(AP278="","",IF(AP278&gt;=項目分析!$C$5,"高",IF(AP278&lt;=項目分析!$C$6,"低","")))</f>
        <v/>
      </c>
    </row>
    <row r="279">
      <c r="A279">
        <f>IF(原始資料!A279="","",原始資料!A279)</f>
        <v/>
      </c>
      <c r="B279">
        <f>IF(原始資料!B279="","",IF(反向題設定!$C$5="是",反向題設定!$B$2+1-原始資料!B279,原始資料!B279))</f>
        <v/>
      </c>
      <c r="C279">
        <f>IF(原始資料!C279="","",IF(反向題設定!$C$6="是",反向題設定!$B$2+1-原始資料!C279,原始資料!C279))</f>
        <v/>
      </c>
      <c r="D279">
        <f>IF(原始資料!D279="","",IF(反向題設定!$C$7="是",反向題設定!$B$2+1-原始資料!D279,原始資料!D279))</f>
        <v/>
      </c>
      <c r="E279">
        <f>IF(原始資料!E279="","",IF(反向題設定!$C$8="是",反向題設定!$B$2+1-原始資料!E279,原始資料!E279))</f>
        <v/>
      </c>
      <c r="F279">
        <f>IF(原始資料!F279="","",IF(反向題設定!$C$9="是",反向題設定!$B$2+1-原始資料!F279,原始資料!F279))</f>
        <v/>
      </c>
      <c r="G279">
        <f>IF(原始資料!G279="","",IF(反向題設定!$C$10="是",反向題設定!$B$2+1-原始資料!G279,原始資料!G279))</f>
        <v/>
      </c>
      <c r="H279">
        <f>IF(原始資料!H279="","",IF(反向題設定!$C$11="是",反向題設定!$B$2+1-原始資料!H279,原始資料!H279))</f>
        <v/>
      </c>
      <c r="I279">
        <f>IF(原始資料!I279="","",IF(反向題設定!$C$12="是",反向題設定!$B$2+1-原始資料!I279,原始資料!I279))</f>
        <v/>
      </c>
      <c r="J279">
        <f>IF(原始資料!J279="","",IF(反向題設定!$C$13="是",反向題設定!$B$2+1-原始資料!J279,原始資料!J279))</f>
        <v/>
      </c>
      <c r="K279">
        <f>IF(原始資料!K279="","",IF(反向題設定!$C$14="是",反向題設定!$B$2+1-原始資料!K279,原始資料!K279))</f>
        <v/>
      </c>
      <c r="L279">
        <f>IF(原始資料!L279="","",IF(反向題設定!$C$15="是",反向題設定!$B$2+1-原始資料!L279,原始資料!L279))</f>
        <v/>
      </c>
      <c r="M279">
        <f>IF(原始資料!M279="","",IF(反向題設定!$C$16="是",反向題設定!$B$2+1-原始資料!M279,原始資料!M279))</f>
        <v/>
      </c>
      <c r="N279">
        <f>IF(原始資料!N279="","",IF(反向題設定!$C$17="是",反向題設定!$B$2+1-原始資料!N279,原始資料!N279))</f>
        <v/>
      </c>
      <c r="O279">
        <f>IF(原始資料!O279="","",IF(反向題設定!$C$18="是",反向題設定!$B$2+1-原始資料!O279,原始資料!O279))</f>
        <v/>
      </c>
      <c r="P279">
        <f>IF(原始資料!P279="","",IF(反向題設定!$C$19="是",反向題設定!$B$2+1-原始資料!P279,原始資料!P279))</f>
        <v/>
      </c>
      <c r="Q279">
        <f>IF(原始資料!Q279="","",IF(反向題設定!$C$20="是",反向題設定!$B$2+1-原始資料!Q279,原始資料!Q279))</f>
        <v/>
      </c>
      <c r="R279">
        <f>IF(原始資料!R279="","",IF(反向題設定!$C$21="是",反向題設定!$B$2+1-原始資料!R279,原始資料!R279))</f>
        <v/>
      </c>
      <c r="S279">
        <f>IF(原始資料!S279="","",IF(反向題設定!$C$22="是",反向題設定!$B$2+1-原始資料!S279,原始資料!S279))</f>
        <v/>
      </c>
      <c r="T279">
        <f>IF(原始資料!T279="","",IF(反向題設定!$C$23="是",反向題設定!$B$2+1-原始資料!T279,原始資料!T279))</f>
        <v/>
      </c>
      <c r="U279">
        <f>IF(原始資料!U279="","",IF(反向題設定!$C$24="是",反向題設定!$B$2+1-原始資料!U279,原始資料!U279))</f>
        <v/>
      </c>
      <c r="V279">
        <f>IF(原始資料!V279="","",IF(反向題設定!$C$25="是",反向題設定!$B$2+1-原始資料!V279,原始資料!V279))</f>
        <v/>
      </c>
      <c r="W279">
        <f>IF(原始資料!W279="","",IF(反向題設定!$C$26="是",反向題設定!$B$2+1-原始資料!W279,原始資料!W279))</f>
        <v/>
      </c>
      <c r="X279">
        <f>IF(原始資料!X279="","",IF(反向題設定!$C$27="是",反向題設定!$B$2+1-原始資料!X279,原始資料!X279))</f>
        <v/>
      </c>
      <c r="Y279">
        <f>IF(原始資料!Y279="","",IF(反向題設定!$C$28="是",反向題設定!$B$2+1-原始資料!Y279,原始資料!Y279))</f>
        <v/>
      </c>
      <c r="Z279">
        <f>IF(原始資料!Z279="","",IF(反向題設定!$C$29="是",反向題設定!$B$2+1-原始資料!Z279,原始資料!Z279))</f>
        <v/>
      </c>
      <c r="AA279">
        <f>IF(原始資料!AA279="","",IF(反向題設定!$C$30="是",反向題設定!$B$2+1-原始資料!AA279,原始資料!AA279))</f>
        <v/>
      </c>
      <c r="AB279">
        <f>IF(原始資料!AB279="","",IF(反向題設定!$C$31="是",反向題設定!$B$2+1-原始資料!AB279,原始資料!AB279))</f>
        <v/>
      </c>
      <c r="AC279">
        <f>IF(原始資料!AC279="","",IF(反向題設定!$C$32="是",反向題設定!$B$2+1-原始資料!AC279,原始資料!AC279))</f>
        <v/>
      </c>
      <c r="AD279">
        <f>IF(原始資料!AD279="","",IF(反向題設定!$C$33="是",反向題設定!$B$2+1-原始資料!AD279,原始資料!AD279))</f>
        <v/>
      </c>
      <c r="AE279">
        <f>IF(原始資料!AE279="","",IF(反向題設定!$C$34="是",反向題設定!$B$2+1-原始資料!AE279,原始資料!AE279))</f>
        <v/>
      </c>
      <c r="AF279">
        <f>IF(原始資料!AF279="","",IF(反向題設定!$C$35="是",反向題設定!$B$2+1-原始資料!AF279,原始資料!AF279))</f>
        <v/>
      </c>
      <c r="AG279">
        <f>IF(原始資料!AG279="","",IF(反向題設定!$C$36="是",反向題設定!$B$2+1-原始資料!AG279,原始資料!AG279))</f>
        <v/>
      </c>
      <c r="AH279">
        <f>IF(原始資料!AH279="","",IF(反向題設定!$C$37="是",反向題設定!$B$2+1-原始資料!AH279,原始資料!AH279))</f>
        <v/>
      </c>
      <c r="AI279">
        <f>IF(原始資料!AI279="","",IF(反向題設定!$C$38="是",反向題設定!$B$2+1-原始資料!AI279,原始資料!AI279))</f>
        <v/>
      </c>
      <c r="AJ279">
        <f>IF(原始資料!AJ279="","",IF(反向題設定!$C$39="是",反向題設定!$B$2+1-原始資料!AJ279,原始資料!AJ279))</f>
        <v/>
      </c>
      <c r="AK279">
        <f>IF(原始資料!AK279="","",IF(反向題設定!$C$40="是",反向題設定!$B$2+1-原始資料!AK279,原始資料!AK279))</f>
        <v/>
      </c>
      <c r="AL279">
        <f>IF(原始資料!AL279="","",IF(反向題設定!$C$41="是",反向題設定!$B$2+1-原始資料!AL279,原始資料!AL279))</f>
        <v/>
      </c>
      <c r="AM279">
        <f>IF(原始資料!AM279="","",IF(反向題設定!$C$42="是",反向題設定!$B$2+1-原始資料!AM279,原始資料!AM279))</f>
        <v/>
      </c>
      <c r="AN279">
        <f>IF(原始資料!AN279="","",IF(反向題設定!$C$43="是",反向題設定!$B$2+1-原始資料!AN279,原始資料!AN279))</f>
        <v/>
      </c>
      <c r="AO279">
        <f>IF(原始資料!AO279="","",IF(反向題設定!$C$44="是",反向題設定!$B$2+1-原始資料!AO279,原始資料!AO279))</f>
        <v/>
      </c>
      <c r="AP279">
        <f>IF(COUNT(B279:AO279)=0,"",SUM(B279:AO279))</f>
        <v/>
      </c>
      <c r="AQ279">
        <f>IF(AP279="","",IF(AP279&gt;=項目分析!$C$5,"高",IF(AP279&lt;=項目分析!$C$6,"低","")))</f>
        <v/>
      </c>
    </row>
    <row r="280">
      <c r="A280">
        <f>IF(原始資料!A280="","",原始資料!A280)</f>
        <v/>
      </c>
      <c r="B280">
        <f>IF(原始資料!B280="","",IF(反向題設定!$C$5="是",反向題設定!$B$2+1-原始資料!B280,原始資料!B280))</f>
        <v/>
      </c>
      <c r="C280">
        <f>IF(原始資料!C280="","",IF(反向題設定!$C$6="是",反向題設定!$B$2+1-原始資料!C280,原始資料!C280))</f>
        <v/>
      </c>
      <c r="D280">
        <f>IF(原始資料!D280="","",IF(反向題設定!$C$7="是",反向題設定!$B$2+1-原始資料!D280,原始資料!D280))</f>
        <v/>
      </c>
      <c r="E280">
        <f>IF(原始資料!E280="","",IF(反向題設定!$C$8="是",反向題設定!$B$2+1-原始資料!E280,原始資料!E280))</f>
        <v/>
      </c>
      <c r="F280">
        <f>IF(原始資料!F280="","",IF(反向題設定!$C$9="是",反向題設定!$B$2+1-原始資料!F280,原始資料!F280))</f>
        <v/>
      </c>
      <c r="G280">
        <f>IF(原始資料!G280="","",IF(反向題設定!$C$10="是",反向題設定!$B$2+1-原始資料!G280,原始資料!G280))</f>
        <v/>
      </c>
      <c r="H280">
        <f>IF(原始資料!H280="","",IF(反向題設定!$C$11="是",反向題設定!$B$2+1-原始資料!H280,原始資料!H280))</f>
        <v/>
      </c>
      <c r="I280">
        <f>IF(原始資料!I280="","",IF(反向題設定!$C$12="是",反向題設定!$B$2+1-原始資料!I280,原始資料!I280))</f>
        <v/>
      </c>
      <c r="J280">
        <f>IF(原始資料!J280="","",IF(反向題設定!$C$13="是",反向題設定!$B$2+1-原始資料!J280,原始資料!J280))</f>
        <v/>
      </c>
      <c r="K280">
        <f>IF(原始資料!K280="","",IF(反向題設定!$C$14="是",反向題設定!$B$2+1-原始資料!K280,原始資料!K280))</f>
        <v/>
      </c>
      <c r="L280">
        <f>IF(原始資料!L280="","",IF(反向題設定!$C$15="是",反向題設定!$B$2+1-原始資料!L280,原始資料!L280))</f>
        <v/>
      </c>
      <c r="M280">
        <f>IF(原始資料!M280="","",IF(反向題設定!$C$16="是",反向題設定!$B$2+1-原始資料!M280,原始資料!M280))</f>
        <v/>
      </c>
      <c r="N280">
        <f>IF(原始資料!N280="","",IF(反向題設定!$C$17="是",反向題設定!$B$2+1-原始資料!N280,原始資料!N280))</f>
        <v/>
      </c>
      <c r="O280">
        <f>IF(原始資料!O280="","",IF(反向題設定!$C$18="是",反向題設定!$B$2+1-原始資料!O280,原始資料!O280))</f>
        <v/>
      </c>
      <c r="P280">
        <f>IF(原始資料!P280="","",IF(反向題設定!$C$19="是",反向題設定!$B$2+1-原始資料!P280,原始資料!P280))</f>
        <v/>
      </c>
      <c r="Q280">
        <f>IF(原始資料!Q280="","",IF(反向題設定!$C$20="是",反向題設定!$B$2+1-原始資料!Q280,原始資料!Q280))</f>
        <v/>
      </c>
      <c r="R280">
        <f>IF(原始資料!R280="","",IF(反向題設定!$C$21="是",反向題設定!$B$2+1-原始資料!R280,原始資料!R280))</f>
        <v/>
      </c>
      <c r="S280">
        <f>IF(原始資料!S280="","",IF(反向題設定!$C$22="是",反向題設定!$B$2+1-原始資料!S280,原始資料!S280))</f>
        <v/>
      </c>
      <c r="T280">
        <f>IF(原始資料!T280="","",IF(反向題設定!$C$23="是",反向題設定!$B$2+1-原始資料!T280,原始資料!T280))</f>
        <v/>
      </c>
      <c r="U280">
        <f>IF(原始資料!U280="","",IF(反向題設定!$C$24="是",反向題設定!$B$2+1-原始資料!U280,原始資料!U280))</f>
        <v/>
      </c>
      <c r="V280">
        <f>IF(原始資料!V280="","",IF(反向題設定!$C$25="是",反向題設定!$B$2+1-原始資料!V280,原始資料!V280))</f>
        <v/>
      </c>
      <c r="W280">
        <f>IF(原始資料!W280="","",IF(反向題設定!$C$26="是",反向題設定!$B$2+1-原始資料!W280,原始資料!W280))</f>
        <v/>
      </c>
      <c r="X280">
        <f>IF(原始資料!X280="","",IF(反向題設定!$C$27="是",反向題設定!$B$2+1-原始資料!X280,原始資料!X280))</f>
        <v/>
      </c>
      <c r="Y280">
        <f>IF(原始資料!Y280="","",IF(反向題設定!$C$28="是",反向題設定!$B$2+1-原始資料!Y280,原始資料!Y280))</f>
        <v/>
      </c>
      <c r="Z280">
        <f>IF(原始資料!Z280="","",IF(反向題設定!$C$29="是",反向題設定!$B$2+1-原始資料!Z280,原始資料!Z280))</f>
        <v/>
      </c>
      <c r="AA280">
        <f>IF(原始資料!AA280="","",IF(反向題設定!$C$30="是",反向題設定!$B$2+1-原始資料!AA280,原始資料!AA280))</f>
        <v/>
      </c>
      <c r="AB280">
        <f>IF(原始資料!AB280="","",IF(反向題設定!$C$31="是",反向題設定!$B$2+1-原始資料!AB280,原始資料!AB280))</f>
        <v/>
      </c>
      <c r="AC280">
        <f>IF(原始資料!AC280="","",IF(反向題設定!$C$32="是",反向題設定!$B$2+1-原始資料!AC280,原始資料!AC280))</f>
        <v/>
      </c>
      <c r="AD280">
        <f>IF(原始資料!AD280="","",IF(反向題設定!$C$33="是",反向題設定!$B$2+1-原始資料!AD280,原始資料!AD280))</f>
        <v/>
      </c>
      <c r="AE280">
        <f>IF(原始資料!AE280="","",IF(反向題設定!$C$34="是",反向題設定!$B$2+1-原始資料!AE280,原始資料!AE280))</f>
        <v/>
      </c>
      <c r="AF280">
        <f>IF(原始資料!AF280="","",IF(反向題設定!$C$35="是",反向題設定!$B$2+1-原始資料!AF280,原始資料!AF280))</f>
        <v/>
      </c>
      <c r="AG280">
        <f>IF(原始資料!AG280="","",IF(反向題設定!$C$36="是",反向題設定!$B$2+1-原始資料!AG280,原始資料!AG280))</f>
        <v/>
      </c>
      <c r="AH280">
        <f>IF(原始資料!AH280="","",IF(反向題設定!$C$37="是",反向題設定!$B$2+1-原始資料!AH280,原始資料!AH280))</f>
        <v/>
      </c>
      <c r="AI280">
        <f>IF(原始資料!AI280="","",IF(反向題設定!$C$38="是",反向題設定!$B$2+1-原始資料!AI280,原始資料!AI280))</f>
        <v/>
      </c>
      <c r="AJ280">
        <f>IF(原始資料!AJ280="","",IF(反向題設定!$C$39="是",反向題設定!$B$2+1-原始資料!AJ280,原始資料!AJ280))</f>
        <v/>
      </c>
      <c r="AK280">
        <f>IF(原始資料!AK280="","",IF(反向題設定!$C$40="是",反向題設定!$B$2+1-原始資料!AK280,原始資料!AK280))</f>
        <v/>
      </c>
      <c r="AL280">
        <f>IF(原始資料!AL280="","",IF(反向題設定!$C$41="是",反向題設定!$B$2+1-原始資料!AL280,原始資料!AL280))</f>
        <v/>
      </c>
      <c r="AM280">
        <f>IF(原始資料!AM280="","",IF(反向題設定!$C$42="是",反向題設定!$B$2+1-原始資料!AM280,原始資料!AM280))</f>
        <v/>
      </c>
      <c r="AN280">
        <f>IF(原始資料!AN280="","",IF(反向題設定!$C$43="是",反向題設定!$B$2+1-原始資料!AN280,原始資料!AN280))</f>
        <v/>
      </c>
      <c r="AO280">
        <f>IF(原始資料!AO280="","",IF(反向題設定!$C$44="是",反向題設定!$B$2+1-原始資料!AO280,原始資料!AO280))</f>
        <v/>
      </c>
      <c r="AP280">
        <f>IF(COUNT(B280:AO280)=0,"",SUM(B280:AO280))</f>
        <v/>
      </c>
      <c r="AQ280">
        <f>IF(AP280="","",IF(AP280&gt;=項目分析!$C$5,"高",IF(AP280&lt;=項目分析!$C$6,"低","")))</f>
        <v/>
      </c>
    </row>
    <row r="281">
      <c r="A281">
        <f>IF(原始資料!A281="","",原始資料!A281)</f>
        <v/>
      </c>
      <c r="B281">
        <f>IF(原始資料!B281="","",IF(反向題設定!$C$5="是",反向題設定!$B$2+1-原始資料!B281,原始資料!B281))</f>
        <v/>
      </c>
      <c r="C281">
        <f>IF(原始資料!C281="","",IF(反向題設定!$C$6="是",反向題設定!$B$2+1-原始資料!C281,原始資料!C281))</f>
        <v/>
      </c>
      <c r="D281">
        <f>IF(原始資料!D281="","",IF(反向題設定!$C$7="是",反向題設定!$B$2+1-原始資料!D281,原始資料!D281))</f>
        <v/>
      </c>
      <c r="E281">
        <f>IF(原始資料!E281="","",IF(反向題設定!$C$8="是",反向題設定!$B$2+1-原始資料!E281,原始資料!E281))</f>
        <v/>
      </c>
      <c r="F281">
        <f>IF(原始資料!F281="","",IF(反向題設定!$C$9="是",反向題設定!$B$2+1-原始資料!F281,原始資料!F281))</f>
        <v/>
      </c>
      <c r="G281">
        <f>IF(原始資料!G281="","",IF(反向題設定!$C$10="是",反向題設定!$B$2+1-原始資料!G281,原始資料!G281))</f>
        <v/>
      </c>
      <c r="H281">
        <f>IF(原始資料!H281="","",IF(反向題設定!$C$11="是",反向題設定!$B$2+1-原始資料!H281,原始資料!H281))</f>
        <v/>
      </c>
      <c r="I281">
        <f>IF(原始資料!I281="","",IF(反向題設定!$C$12="是",反向題設定!$B$2+1-原始資料!I281,原始資料!I281))</f>
        <v/>
      </c>
      <c r="J281">
        <f>IF(原始資料!J281="","",IF(反向題設定!$C$13="是",反向題設定!$B$2+1-原始資料!J281,原始資料!J281))</f>
        <v/>
      </c>
      <c r="K281">
        <f>IF(原始資料!K281="","",IF(反向題設定!$C$14="是",反向題設定!$B$2+1-原始資料!K281,原始資料!K281))</f>
        <v/>
      </c>
      <c r="L281">
        <f>IF(原始資料!L281="","",IF(反向題設定!$C$15="是",反向題設定!$B$2+1-原始資料!L281,原始資料!L281))</f>
        <v/>
      </c>
      <c r="M281">
        <f>IF(原始資料!M281="","",IF(反向題設定!$C$16="是",反向題設定!$B$2+1-原始資料!M281,原始資料!M281))</f>
        <v/>
      </c>
      <c r="N281">
        <f>IF(原始資料!N281="","",IF(反向題設定!$C$17="是",反向題設定!$B$2+1-原始資料!N281,原始資料!N281))</f>
        <v/>
      </c>
      <c r="O281">
        <f>IF(原始資料!O281="","",IF(反向題設定!$C$18="是",反向題設定!$B$2+1-原始資料!O281,原始資料!O281))</f>
        <v/>
      </c>
      <c r="P281">
        <f>IF(原始資料!P281="","",IF(反向題設定!$C$19="是",反向題設定!$B$2+1-原始資料!P281,原始資料!P281))</f>
        <v/>
      </c>
      <c r="Q281">
        <f>IF(原始資料!Q281="","",IF(反向題設定!$C$20="是",反向題設定!$B$2+1-原始資料!Q281,原始資料!Q281))</f>
        <v/>
      </c>
      <c r="R281">
        <f>IF(原始資料!R281="","",IF(反向題設定!$C$21="是",反向題設定!$B$2+1-原始資料!R281,原始資料!R281))</f>
        <v/>
      </c>
      <c r="S281">
        <f>IF(原始資料!S281="","",IF(反向題設定!$C$22="是",反向題設定!$B$2+1-原始資料!S281,原始資料!S281))</f>
        <v/>
      </c>
      <c r="T281">
        <f>IF(原始資料!T281="","",IF(反向題設定!$C$23="是",反向題設定!$B$2+1-原始資料!T281,原始資料!T281))</f>
        <v/>
      </c>
      <c r="U281">
        <f>IF(原始資料!U281="","",IF(反向題設定!$C$24="是",反向題設定!$B$2+1-原始資料!U281,原始資料!U281))</f>
        <v/>
      </c>
      <c r="V281">
        <f>IF(原始資料!V281="","",IF(反向題設定!$C$25="是",反向題設定!$B$2+1-原始資料!V281,原始資料!V281))</f>
        <v/>
      </c>
      <c r="W281">
        <f>IF(原始資料!W281="","",IF(反向題設定!$C$26="是",反向題設定!$B$2+1-原始資料!W281,原始資料!W281))</f>
        <v/>
      </c>
      <c r="X281">
        <f>IF(原始資料!X281="","",IF(反向題設定!$C$27="是",反向題設定!$B$2+1-原始資料!X281,原始資料!X281))</f>
        <v/>
      </c>
      <c r="Y281">
        <f>IF(原始資料!Y281="","",IF(反向題設定!$C$28="是",反向題設定!$B$2+1-原始資料!Y281,原始資料!Y281))</f>
        <v/>
      </c>
      <c r="Z281">
        <f>IF(原始資料!Z281="","",IF(反向題設定!$C$29="是",反向題設定!$B$2+1-原始資料!Z281,原始資料!Z281))</f>
        <v/>
      </c>
      <c r="AA281">
        <f>IF(原始資料!AA281="","",IF(反向題設定!$C$30="是",反向題設定!$B$2+1-原始資料!AA281,原始資料!AA281))</f>
        <v/>
      </c>
      <c r="AB281">
        <f>IF(原始資料!AB281="","",IF(反向題設定!$C$31="是",反向題設定!$B$2+1-原始資料!AB281,原始資料!AB281))</f>
        <v/>
      </c>
      <c r="AC281">
        <f>IF(原始資料!AC281="","",IF(反向題設定!$C$32="是",反向題設定!$B$2+1-原始資料!AC281,原始資料!AC281))</f>
        <v/>
      </c>
      <c r="AD281">
        <f>IF(原始資料!AD281="","",IF(反向題設定!$C$33="是",反向題設定!$B$2+1-原始資料!AD281,原始資料!AD281))</f>
        <v/>
      </c>
      <c r="AE281">
        <f>IF(原始資料!AE281="","",IF(反向題設定!$C$34="是",反向題設定!$B$2+1-原始資料!AE281,原始資料!AE281))</f>
        <v/>
      </c>
      <c r="AF281">
        <f>IF(原始資料!AF281="","",IF(反向題設定!$C$35="是",反向題設定!$B$2+1-原始資料!AF281,原始資料!AF281))</f>
        <v/>
      </c>
      <c r="AG281">
        <f>IF(原始資料!AG281="","",IF(反向題設定!$C$36="是",反向題設定!$B$2+1-原始資料!AG281,原始資料!AG281))</f>
        <v/>
      </c>
      <c r="AH281">
        <f>IF(原始資料!AH281="","",IF(反向題設定!$C$37="是",反向題設定!$B$2+1-原始資料!AH281,原始資料!AH281))</f>
        <v/>
      </c>
      <c r="AI281">
        <f>IF(原始資料!AI281="","",IF(反向題設定!$C$38="是",反向題設定!$B$2+1-原始資料!AI281,原始資料!AI281))</f>
        <v/>
      </c>
      <c r="AJ281">
        <f>IF(原始資料!AJ281="","",IF(反向題設定!$C$39="是",反向題設定!$B$2+1-原始資料!AJ281,原始資料!AJ281))</f>
        <v/>
      </c>
      <c r="AK281">
        <f>IF(原始資料!AK281="","",IF(反向題設定!$C$40="是",反向題設定!$B$2+1-原始資料!AK281,原始資料!AK281))</f>
        <v/>
      </c>
      <c r="AL281">
        <f>IF(原始資料!AL281="","",IF(反向題設定!$C$41="是",反向題設定!$B$2+1-原始資料!AL281,原始資料!AL281))</f>
        <v/>
      </c>
      <c r="AM281">
        <f>IF(原始資料!AM281="","",IF(反向題設定!$C$42="是",反向題設定!$B$2+1-原始資料!AM281,原始資料!AM281))</f>
        <v/>
      </c>
      <c r="AN281">
        <f>IF(原始資料!AN281="","",IF(反向題設定!$C$43="是",反向題設定!$B$2+1-原始資料!AN281,原始資料!AN281))</f>
        <v/>
      </c>
      <c r="AO281">
        <f>IF(原始資料!AO281="","",IF(反向題設定!$C$44="是",反向題設定!$B$2+1-原始資料!AO281,原始資料!AO281))</f>
        <v/>
      </c>
      <c r="AP281">
        <f>IF(COUNT(B281:AO281)=0,"",SUM(B281:AO281))</f>
        <v/>
      </c>
      <c r="AQ281">
        <f>IF(AP281="","",IF(AP281&gt;=項目分析!$C$5,"高",IF(AP281&lt;=項目分析!$C$6,"低","")))</f>
        <v/>
      </c>
    </row>
    <row r="282">
      <c r="A282">
        <f>IF(原始資料!A282="","",原始資料!A282)</f>
        <v/>
      </c>
      <c r="B282">
        <f>IF(原始資料!B282="","",IF(反向題設定!$C$5="是",反向題設定!$B$2+1-原始資料!B282,原始資料!B282))</f>
        <v/>
      </c>
      <c r="C282">
        <f>IF(原始資料!C282="","",IF(反向題設定!$C$6="是",反向題設定!$B$2+1-原始資料!C282,原始資料!C282))</f>
        <v/>
      </c>
      <c r="D282">
        <f>IF(原始資料!D282="","",IF(反向題設定!$C$7="是",反向題設定!$B$2+1-原始資料!D282,原始資料!D282))</f>
        <v/>
      </c>
      <c r="E282">
        <f>IF(原始資料!E282="","",IF(反向題設定!$C$8="是",反向題設定!$B$2+1-原始資料!E282,原始資料!E282))</f>
        <v/>
      </c>
      <c r="F282">
        <f>IF(原始資料!F282="","",IF(反向題設定!$C$9="是",反向題設定!$B$2+1-原始資料!F282,原始資料!F282))</f>
        <v/>
      </c>
      <c r="G282">
        <f>IF(原始資料!G282="","",IF(反向題設定!$C$10="是",反向題設定!$B$2+1-原始資料!G282,原始資料!G282))</f>
        <v/>
      </c>
      <c r="H282">
        <f>IF(原始資料!H282="","",IF(反向題設定!$C$11="是",反向題設定!$B$2+1-原始資料!H282,原始資料!H282))</f>
        <v/>
      </c>
      <c r="I282">
        <f>IF(原始資料!I282="","",IF(反向題設定!$C$12="是",反向題設定!$B$2+1-原始資料!I282,原始資料!I282))</f>
        <v/>
      </c>
      <c r="J282">
        <f>IF(原始資料!J282="","",IF(反向題設定!$C$13="是",反向題設定!$B$2+1-原始資料!J282,原始資料!J282))</f>
        <v/>
      </c>
      <c r="K282">
        <f>IF(原始資料!K282="","",IF(反向題設定!$C$14="是",反向題設定!$B$2+1-原始資料!K282,原始資料!K282))</f>
        <v/>
      </c>
      <c r="L282">
        <f>IF(原始資料!L282="","",IF(反向題設定!$C$15="是",反向題設定!$B$2+1-原始資料!L282,原始資料!L282))</f>
        <v/>
      </c>
      <c r="M282">
        <f>IF(原始資料!M282="","",IF(反向題設定!$C$16="是",反向題設定!$B$2+1-原始資料!M282,原始資料!M282))</f>
        <v/>
      </c>
      <c r="N282">
        <f>IF(原始資料!N282="","",IF(反向題設定!$C$17="是",反向題設定!$B$2+1-原始資料!N282,原始資料!N282))</f>
        <v/>
      </c>
      <c r="O282">
        <f>IF(原始資料!O282="","",IF(反向題設定!$C$18="是",反向題設定!$B$2+1-原始資料!O282,原始資料!O282))</f>
        <v/>
      </c>
      <c r="P282">
        <f>IF(原始資料!P282="","",IF(反向題設定!$C$19="是",反向題設定!$B$2+1-原始資料!P282,原始資料!P282))</f>
        <v/>
      </c>
      <c r="Q282">
        <f>IF(原始資料!Q282="","",IF(反向題設定!$C$20="是",反向題設定!$B$2+1-原始資料!Q282,原始資料!Q282))</f>
        <v/>
      </c>
      <c r="R282">
        <f>IF(原始資料!R282="","",IF(反向題設定!$C$21="是",反向題設定!$B$2+1-原始資料!R282,原始資料!R282))</f>
        <v/>
      </c>
      <c r="S282">
        <f>IF(原始資料!S282="","",IF(反向題設定!$C$22="是",反向題設定!$B$2+1-原始資料!S282,原始資料!S282))</f>
        <v/>
      </c>
      <c r="T282">
        <f>IF(原始資料!T282="","",IF(反向題設定!$C$23="是",反向題設定!$B$2+1-原始資料!T282,原始資料!T282))</f>
        <v/>
      </c>
      <c r="U282">
        <f>IF(原始資料!U282="","",IF(反向題設定!$C$24="是",反向題設定!$B$2+1-原始資料!U282,原始資料!U282))</f>
        <v/>
      </c>
      <c r="V282">
        <f>IF(原始資料!V282="","",IF(反向題設定!$C$25="是",反向題設定!$B$2+1-原始資料!V282,原始資料!V282))</f>
        <v/>
      </c>
      <c r="W282">
        <f>IF(原始資料!W282="","",IF(反向題設定!$C$26="是",反向題設定!$B$2+1-原始資料!W282,原始資料!W282))</f>
        <v/>
      </c>
      <c r="X282">
        <f>IF(原始資料!X282="","",IF(反向題設定!$C$27="是",反向題設定!$B$2+1-原始資料!X282,原始資料!X282))</f>
        <v/>
      </c>
      <c r="Y282">
        <f>IF(原始資料!Y282="","",IF(反向題設定!$C$28="是",反向題設定!$B$2+1-原始資料!Y282,原始資料!Y282))</f>
        <v/>
      </c>
      <c r="Z282">
        <f>IF(原始資料!Z282="","",IF(反向題設定!$C$29="是",反向題設定!$B$2+1-原始資料!Z282,原始資料!Z282))</f>
        <v/>
      </c>
      <c r="AA282">
        <f>IF(原始資料!AA282="","",IF(反向題設定!$C$30="是",反向題設定!$B$2+1-原始資料!AA282,原始資料!AA282))</f>
        <v/>
      </c>
      <c r="AB282">
        <f>IF(原始資料!AB282="","",IF(反向題設定!$C$31="是",反向題設定!$B$2+1-原始資料!AB282,原始資料!AB282))</f>
        <v/>
      </c>
      <c r="AC282">
        <f>IF(原始資料!AC282="","",IF(反向題設定!$C$32="是",反向題設定!$B$2+1-原始資料!AC282,原始資料!AC282))</f>
        <v/>
      </c>
      <c r="AD282">
        <f>IF(原始資料!AD282="","",IF(反向題設定!$C$33="是",反向題設定!$B$2+1-原始資料!AD282,原始資料!AD282))</f>
        <v/>
      </c>
      <c r="AE282">
        <f>IF(原始資料!AE282="","",IF(反向題設定!$C$34="是",反向題設定!$B$2+1-原始資料!AE282,原始資料!AE282))</f>
        <v/>
      </c>
      <c r="AF282">
        <f>IF(原始資料!AF282="","",IF(反向題設定!$C$35="是",反向題設定!$B$2+1-原始資料!AF282,原始資料!AF282))</f>
        <v/>
      </c>
      <c r="AG282">
        <f>IF(原始資料!AG282="","",IF(反向題設定!$C$36="是",反向題設定!$B$2+1-原始資料!AG282,原始資料!AG282))</f>
        <v/>
      </c>
      <c r="AH282">
        <f>IF(原始資料!AH282="","",IF(反向題設定!$C$37="是",反向題設定!$B$2+1-原始資料!AH282,原始資料!AH282))</f>
        <v/>
      </c>
      <c r="AI282">
        <f>IF(原始資料!AI282="","",IF(反向題設定!$C$38="是",反向題設定!$B$2+1-原始資料!AI282,原始資料!AI282))</f>
        <v/>
      </c>
      <c r="AJ282">
        <f>IF(原始資料!AJ282="","",IF(反向題設定!$C$39="是",反向題設定!$B$2+1-原始資料!AJ282,原始資料!AJ282))</f>
        <v/>
      </c>
      <c r="AK282">
        <f>IF(原始資料!AK282="","",IF(反向題設定!$C$40="是",反向題設定!$B$2+1-原始資料!AK282,原始資料!AK282))</f>
        <v/>
      </c>
      <c r="AL282">
        <f>IF(原始資料!AL282="","",IF(反向題設定!$C$41="是",反向題設定!$B$2+1-原始資料!AL282,原始資料!AL282))</f>
        <v/>
      </c>
      <c r="AM282">
        <f>IF(原始資料!AM282="","",IF(反向題設定!$C$42="是",反向題設定!$B$2+1-原始資料!AM282,原始資料!AM282))</f>
        <v/>
      </c>
      <c r="AN282">
        <f>IF(原始資料!AN282="","",IF(反向題設定!$C$43="是",反向題設定!$B$2+1-原始資料!AN282,原始資料!AN282))</f>
        <v/>
      </c>
      <c r="AO282">
        <f>IF(原始資料!AO282="","",IF(反向題設定!$C$44="是",反向題設定!$B$2+1-原始資料!AO282,原始資料!AO282))</f>
        <v/>
      </c>
      <c r="AP282">
        <f>IF(COUNT(B282:AO282)=0,"",SUM(B282:AO282))</f>
        <v/>
      </c>
      <c r="AQ282">
        <f>IF(AP282="","",IF(AP282&gt;=項目分析!$C$5,"高",IF(AP282&lt;=項目分析!$C$6,"低","")))</f>
        <v/>
      </c>
    </row>
    <row r="283">
      <c r="A283">
        <f>IF(原始資料!A283="","",原始資料!A283)</f>
        <v/>
      </c>
      <c r="B283">
        <f>IF(原始資料!B283="","",IF(反向題設定!$C$5="是",反向題設定!$B$2+1-原始資料!B283,原始資料!B283))</f>
        <v/>
      </c>
      <c r="C283">
        <f>IF(原始資料!C283="","",IF(反向題設定!$C$6="是",反向題設定!$B$2+1-原始資料!C283,原始資料!C283))</f>
        <v/>
      </c>
      <c r="D283">
        <f>IF(原始資料!D283="","",IF(反向題設定!$C$7="是",反向題設定!$B$2+1-原始資料!D283,原始資料!D283))</f>
        <v/>
      </c>
      <c r="E283">
        <f>IF(原始資料!E283="","",IF(反向題設定!$C$8="是",反向題設定!$B$2+1-原始資料!E283,原始資料!E283))</f>
        <v/>
      </c>
      <c r="F283">
        <f>IF(原始資料!F283="","",IF(反向題設定!$C$9="是",反向題設定!$B$2+1-原始資料!F283,原始資料!F283))</f>
        <v/>
      </c>
      <c r="G283">
        <f>IF(原始資料!G283="","",IF(反向題設定!$C$10="是",反向題設定!$B$2+1-原始資料!G283,原始資料!G283))</f>
        <v/>
      </c>
      <c r="H283">
        <f>IF(原始資料!H283="","",IF(反向題設定!$C$11="是",反向題設定!$B$2+1-原始資料!H283,原始資料!H283))</f>
        <v/>
      </c>
      <c r="I283">
        <f>IF(原始資料!I283="","",IF(反向題設定!$C$12="是",反向題設定!$B$2+1-原始資料!I283,原始資料!I283))</f>
        <v/>
      </c>
      <c r="J283">
        <f>IF(原始資料!J283="","",IF(反向題設定!$C$13="是",反向題設定!$B$2+1-原始資料!J283,原始資料!J283))</f>
        <v/>
      </c>
      <c r="K283">
        <f>IF(原始資料!K283="","",IF(反向題設定!$C$14="是",反向題設定!$B$2+1-原始資料!K283,原始資料!K283))</f>
        <v/>
      </c>
      <c r="L283">
        <f>IF(原始資料!L283="","",IF(反向題設定!$C$15="是",反向題設定!$B$2+1-原始資料!L283,原始資料!L283))</f>
        <v/>
      </c>
      <c r="M283">
        <f>IF(原始資料!M283="","",IF(反向題設定!$C$16="是",反向題設定!$B$2+1-原始資料!M283,原始資料!M283))</f>
        <v/>
      </c>
      <c r="N283">
        <f>IF(原始資料!N283="","",IF(反向題設定!$C$17="是",反向題設定!$B$2+1-原始資料!N283,原始資料!N283))</f>
        <v/>
      </c>
      <c r="O283">
        <f>IF(原始資料!O283="","",IF(反向題設定!$C$18="是",反向題設定!$B$2+1-原始資料!O283,原始資料!O283))</f>
        <v/>
      </c>
      <c r="P283">
        <f>IF(原始資料!P283="","",IF(反向題設定!$C$19="是",反向題設定!$B$2+1-原始資料!P283,原始資料!P283))</f>
        <v/>
      </c>
      <c r="Q283">
        <f>IF(原始資料!Q283="","",IF(反向題設定!$C$20="是",反向題設定!$B$2+1-原始資料!Q283,原始資料!Q283))</f>
        <v/>
      </c>
      <c r="R283">
        <f>IF(原始資料!R283="","",IF(反向題設定!$C$21="是",反向題設定!$B$2+1-原始資料!R283,原始資料!R283))</f>
        <v/>
      </c>
      <c r="S283">
        <f>IF(原始資料!S283="","",IF(反向題設定!$C$22="是",反向題設定!$B$2+1-原始資料!S283,原始資料!S283))</f>
        <v/>
      </c>
      <c r="T283">
        <f>IF(原始資料!T283="","",IF(反向題設定!$C$23="是",反向題設定!$B$2+1-原始資料!T283,原始資料!T283))</f>
        <v/>
      </c>
      <c r="U283">
        <f>IF(原始資料!U283="","",IF(反向題設定!$C$24="是",反向題設定!$B$2+1-原始資料!U283,原始資料!U283))</f>
        <v/>
      </c>
      <c r="V283">
        <f>IF(原始資料!V283="","",IF(反向題設定!$C$25="是",反向題設定!$B$2+1-原始資料!V283,原始資料!V283))</f>
        <v/>
      </c>
      <c r="W283">
        <f>IF(原始資料!W283="","",IF(反向題設定!$C$26="是",反向題設定!$B$2+1-原始資料!W283,原始資料!W283))</f>
        <v/>
      </c>
      <c r="X283">
        <f>IF(原始資料!X283="","",IF(反向題設定!$C$27="是",反向題設定!$B$2+1-原始資料!X283,原始資料!X283))</f>
        <v/>
      </c>
      <c r="Y283">
        <f>IF(原始資料!Y283="","",IF(反向題設定!$C$28="是",反向題設定!$B$2+1-原始資料!Y283,原始資料!Y283))</f>
        <v/>
      </c>
      <c r="Z283">
        <f>IF(原始資料!Z283="","",IF(反向題設定!$C$29="是",反向題設定!$B$2+1-原始資料!Z283,原始資料!Z283))</f>
        <v/>
      </c>
      <c r="AA283">
        <f>IF(原始資料!AA283="","",IF(反向題設定!$C$30="是",反向題設定!$B$2+1-原始資料!AA283,原始資料!AA283))</f>
        <v/>
      </c>
      <c r="AB283">
        <f>IF(原始資料!AB283="","",IF(反向題設定!$C$31="是",反向題設定!$B$2+1-原始資料!AB283,原始資料!AB283))</f>
        <v/>
      </c>
      <c r="AC283">
        <f>IF(原始資料!AC283="","",IF(反向題設定!$C$32="是",反向題設定!$B$2+1-原始資料!AC283,原始資料!AC283))</f>
        <v/>
      </c>
      <c r="AD283">
        <f>IF(原始資料!AD283="","",IF(反向題設定!$C$33="是",反向題設定!$B$2+1-原始資料!AD283,原始資料!AD283))</f>
        <v/>
      </c>
      <c r="AE283">
        <f>IF(原始資料!AE283="","",IF(反向題設定!$C$34="是",反向題設定!$B$2+1-原始資料!AE283,原始資料!AE283))</f>
        <v/>
      </c>
      <c r="AF283">
        <f>IF(原始資料!AF283="","",IF(反向題設定!$C$35="是",反向題設定!$B$2+1-原始資料!AF283,原始資料!AF283))</f>
        <v/>
      </c>
      <c r="AG283">
        <f>IF(原始資料!AG283="","",IF(反向題設定!$C$36="是",反向題設定!$B$2+1-原始資料!AG283,原始資料!AG283))</f>
        <v/>
      </c>
      <c r="AH283">
        <f>IF(原始資料!AH283="","",IF(反向題設定!$C$37="是",反向題設定!$B$2+1-原始資料!AH283,原始資料!AH283))</f>
        <v/>
      </c>
      <c r="AI283">
        <f>IF(原始資料!AI283="","",IF(反向題設定!$C$38="是",反向題設定!$B$2+1-原始資料!AI283,原始資料!AI283))</f>
        <v/>
      </c>
      <c r="AJ283">
        <f>IF(原始資料!AJ283="","",IF(反向題設定!$C$39="是",反向題設定!$B$2+1-原始資料!AJ283,原始資料!AJ283))</f>
        <v/>
      </c>
      <c r="AK283">
        <f>IF(原始資料!AK283="","",IF(反向題設定!$C$40="是",反向題設定!$B$2+1-原始資料!AK283,原始資料!AK283))</f>
        <v/>
      </c>
      <c r="AL283">
        <f>IF(原始資料!AL283="","",IF(反向題設定!$C$41="是",反向題設定!$B$2+1-原始資料!AL283,原始資料!AL283))</f>
        <v/>
      </c>
      <c r="AM283">
        <f>IF(原始資料!AM283="","",IF(反向題設定!$C$42="是",反向題設定!$B$2+1-原始資料!AM283,原始資料!AM283))</f>
        <v/>
      </c>
      <c r="AN283">
        <f>IF(原始資料!AN283="","",IF(反向題設定!$C$43="是",反向題設定!$B$2+1-原始資料!AN283,原始資料!AN283))</f>
        <v/>
      </c>
      <c r="AO283">
        <f>IF(原始資料!AO283="","",IF(反向題設定!$C$44="是",反向題設定!$B$2+1-原始資料!AO283,原始資料!AO283))</f>
        <v/>
      </c>
      <c r="AP283">
        <f>IF(COUNT(B283:AO283)=0,"",SUM(B283:AO283))</f>
        <v/>
      </c>
      <c r="AQ283">
        <f>IF(AP283="","",IF(AP283&gt;=項目分析!$C$5,"高",IF(AP283&lt;=項目分析!$C$6,"低","")))</f>
        <v/>
      </c>
    </row>
    <row r="284">
      <c r="A284">
        <f>IF(原始資料!A284="","",原始資料!A284)</f>
        <v/>
      </c>
      <c r="B284">
        <f>IF(原始資料!B284="","",IF(反向題設定!$C$5="是",反向題設定!$B$2+1-原始資料!B284,原始資料!B284))</f>
        <v/>
      </c>
      <c r="C284">
        <f>IF(原始資料!C284="","",IF(反向題設定!$C$6="是",反向題設定!$B$2+1-原始資料!C284,原始資料!C284))</f>
        <v/>
      </c>
      <c r="D284">
        <f>IF(原始資料!D284="","",IF(反向題設定!$C$7="是",反向題設定!$B$2+1-原始資料!D284,原始資料!D284))</f>
        <v/>
      </c>
      <c r="E284">
        <f>IF(原始資料!E284="","",IF(反向題設定!$C$8="是",反向題設定!$B$2+1-原始資料!E284,原始資料!E284))</f>
        <v/>
      </c>
      <c r="F284">
        <f>IF(原始資料!F284="","",IF(反向題設定!$C$9="是",反向題設定!$B$2+1-原始資料!F284,原始資料!F284))</f>
        <v/>
      </c>
      <c r="G284">
        <f>IF(原始資料!G284="","",IF(反向題設定!$C$10="是",反向題設定!$B$2+1-原始資料!G284,原始資料!G284))</f>
        <v/>
      </c>
      <c r="H284">
        <f>IF(原始資料!H284="","",IF(反向題設定!$C$11="是",反向題設定!$B$2+1-原始資料!H284,原始資料!H284))</f>
        <v/>
      </c>
      <c r="I284">
        <f>IF(原始資料!I284="","",IF(反向題設定!$C$12="是",反向題設定!$B$2+1-原始資料!I284,原始資料!I284))</f>
        <v/>
      </c>
      <c r="J284">
        <f>IF(原始資料!J284="","",IF(反向題設定!$C$13="是",反向題設定!$B$2+1-原始資料!J284,原始資料!J284))</f>
        <v/>
      </c>
      <c r="K284">
        <f>IF(原始資料!K284="","",IF(反向題設定!$C$14="是",反向題設定!$B$2+1-原始資料!K284,原始資料!K284))</f>
        <v/>
      </c>
      <c r="L284">
        <f>IF(原始資料!L284="","",IF(反向題設定!$C$15="是",反向題設定!$B$2+1-原始資料!L284,原始資料!L284))</f>
        <v/>
      </c>
      <c r="M284">
        <f>IF(原始資料!M284="","",IF(反向題設定!$C$16="是",反向題設定!$B$2+1-原始資料!M284,原始資料!M284))</f>
        <v/>
      </c>
      <c r="N284">
        <f>IF(原始資料!N284="","",IF(反向題設定!$C$17="是",反向題設定!$B$2+1-原始資料!N284,原始資料!N284))</f>
        <v/>
      </c>
      <c r="O284">
        <f>IF(原始資料!O284="","",IF(反向題設定!$C$18="是",反向題設定!$B$2+1-原始資料!O284,原始資料!O284))</f>
        <v/>
      </c>
      <c r="P284">
        <f>IF(原始資料!P284="","",IF(反向題設定!$C$19="是",反向題設定!$B$2+1-原始資料!P284,原始資料!P284))</f>
        <v/>
      </c>
      <c r="Q284">
        <f>IF(原始資料!Q284="","",IF(反向題設定!$C$20="是",反向題設定!$B$2+1-原始資料!Q284,原始資料!Q284))</f>
        <v/>
      </c>
      <c r="R284">
        <f>IF(原始資料!R284="","",IF(反向題設定!$C$21="是",反向題設定!$B$2+1-原始資料!R284,原始資料!R284))</f>
        <v/>
      </c>
      <c r="S284">
        <f>IF(原始資料!S284="","",IF(反向題設定!$C$22="是",反向題設定!$B$2+1-原始資料!S284,原始資料!S284))</f>
        <v/>
      </c>
      <c r="T284">
        <f>IF(原始資料!T284="","",IF(反向題設定!$C$23="是",反向題設定!$B$2+1-原始資料!T284,原始資料!T284))</f>
        <v/>
      </c>
      <c r="U284">
        <f>IF(原始資料!U284="","",IF(反向題設定!$C$24="是",反向題設定!$B$2+1-原始資料!U284,原始資料!U284))</f>
        <v/>
      </c>
      <c r="V284">
        <f>IF(原始資料!V284="","",IF(反向題設定!$C$25="是",反向題設定!$B$2+1-原始資料!V284,原始資料!V284))</f>
        <v/>
      </c>
      <c r="W284">
        <f>IF(原始資料!W284="","",IF(反向題設定!$C$26="是",反向題設定!$B$2+1-原始資料!W284,原始資料!W284))</f>
        <v/>
      </c>
      <c r="X284">
        <f>IF(原始資料!X284="","",IF(反向題設定!$C$27="是",反向題設定!$B$2+1-原始資料!X284,原始資料!X284))</f>
        <v/>
      </c>
      <c r="Y284">
        <f>IF(原始資料!Y284="","",IF(反向題設定!$C$28="是",反向題設定!$B$2+1-原始資料!Y284,原始資料!Y284))</f>
        <v/>
      </c>
      <c r="Z284">
        <f>IF(原始資料!Z284="","",IF(反向題設定!$C$29="是",反向題設定!$B$2+1-原始資料!Z284,原始資料!Z284))</f>
        <v/>
      </c>
      <c r="AA284">
        <f>IF(原始資料!AA284="","",IF(反向題設定!$C$30="是",反向題設定!$B$2+1-原始資料!AA284,原始資料!AA284))</f>
        <v/>
      </c>
      <c r="AB284">
        <f>IF(原始資料!AB284="","",IF(反向題設定!$C$31="是",反向題設定!$B$2+1-原始資料!AB284,原始資料!AB284))</f>
        <v/>
      </c>
      <c r="AC284">
        <f>IF(原始資料!AC284="","",IF(反向題設定!$C$32="是",反向題設定!$B$2+1-原始資料!AC284,原始資料!AC284))</f>
        <v/>
      </c>
      <c r="AD284">
        <f>IF(原始資料!AD284="","",IF(反向題設定!$C$33="是",反向題設定!$B$2+1-原始資料!AD284,原始資料!AD284))</f>
        <v/>
      </c>
      <c r="AE284">
        <f>IF(原始資料!AE284="","",IF(反向題設定!$C$34="是",反向題設定!$B$2+1-原始資料!AE284,原始資料!AE284))</f>
        <v/>
      </c>
      <c r="AF284">
        <f>IF(原始資料!AF284="","",IF(反向題設定!$C$35="是",反向題設定!$B$2+1-原始資料!AF284,原始資料!AF284))</f>
        <v/>
      </c>
      <c r="AG284">
        <f>IF(原始資料!AG284="","",IF(反向題設定!$C$36="是",反向題設定!$B$2+1-原始資料!AG284,原始資料!AG284))</f>
        <v/>
      </c>
      <c r="AH284">
        <f>IF(原始資料!AH284="","",IF(反向題設定!$C$37="是",反向題設定!$B$2+1-原始資料!AH284,原始資料!AH284))</f>
        <v/>
      </c>
      <c r="AI284">
        <f>IF(原始資料!AI284="","",IF(反向題設定!$C$38="是",反向題設定!$B$2+1-原始資料!AI284,原始資料!AI284))</f>
        <v/>
      </c>
      <c r="AJ284">
        <f>IF(原始資料!AJ284="","",IF(反向題設定!$C$39="是",反向題設定!$B$2+1-原始資料!AJ284,原始資料!AJ284))</f>
        <v/>
      </c>
      <c r="AK284">
        <f>IF(原始資料!AK284="","",IF(反向題設定!$C$40="是",反向題設定!$B$2+1-原始資料!AK284,原始資料!AK284))</f>
        <v/>
      </c>
      <c r="AL284">
        <f>IF(原始資料!AL284="","",IF(反向題設定!$C$41="是",反向題設定!$B$2+1-原始資料!AL284,原始資料!AL284))</f>
        <v/>
      </c>
      <c r="AM284">
        <f>IF(原始資料!AM284="","",IF(反向題設定!$C$42="是",反向題設定!$B$2+1-原始資料!AM284,原始資料!AM284))</f>
        <v/>
      </c>
      <c r="AN284">
        <f>IF(原始資料!AN284="","",IF(反向題設定!$C$43="是",反向題設定!$B$2+1-原始資料!AN284,原始資料!AN284))</f>
        <v/>
      </c>
      <c r="AO284">
        <f>IF(原始資料!AO284="","",IF(反向題設定!$C$44="是",反向題設定!$B$2+1-原始資料!AO284,原始資料!AO284))</f>
        <v/>
      </c>
      <c r="AP284">
        <f>IF(COUNT(B284:AO284)=0,"",SUM(B284:AO284))</f>
        <v/>
      </c>
      <c r="AQ284">
        <f>IF(AP284="","",IF(AP284&gt;=項目分析!$C$5,"高",IF(AP284&lt;=項目分析!$C$6,"低","")))</f>
        <v/>
      </c>
    </row>
    <row r="285">
      <c r="A285">
        <f>IF(原始資料!A285="","",原始資料!A285)</f>
        <v/>
      </c>
      <c r="B285">
        <f>IF(原始資料!B285="","",IF(反向題設定!$C$5="是",反向題設定!$B$2+1-原始資料!B285,原始資料!B285))</f>
        <v/>
      </c>
      <c r="C285">
        <f>IF(原始資料!C285="","",IF(反向題設定!$C$6="是",反向題設定!$B$2+1-原始資料!C285,原始資料!C285))</f>
        <v/>
      </c>
      <c r="D285">
        <f>IF(原始資料!D285="","",IF(反向題設定!$C$7="是",反向題設定!$B$2+1-原始資料!D285,原始資料!D285))</f>
        <v/>
      </c>
      <c r="E285">
        <f>IF(原始資料!E285="","",IF(反向題設定!$C$8="是",反向題設定!$B$2+1-原始資料!E285,原始資料!E285))</f>
        <v/>
      </c>
      <c r="F285">
        <f>IF(原始資料!F285="","",IF(反向題設定!$C$9="是",反向題設定!$B$2+1-原始資料!F285,原始資料!F285))</f>
        <v/>
      </c>
      <c r="G285">
        <f>IF(原始資料!G285="","",IF(反向題設定!$C$10="是",反向題設定!$B$2+1-原始資料!G285,原始資料!G285))</f>
        <v/>
      </c>
      <c r="H285">
        <f>IF(原始資料!H285="","",IF(反向題設定!$C$11="是",反向題設定!$B$2+1-原始資料!H285,原始資料!H285))</f>
        <v/>
      </c>
      <c r="I285">
        <f>IF(原始資料!I285="","",IF(反向題設定!$C$12="是",反向題設定!$B$2+1-原始資料!I285,原始資料!I285))</f>
        <v/>
      </c>
      <c r="J285">
        <f>IF(原始資料!J285="","",IF(反向題設定!$C$13="是",反向題設定!$B$2+1-原始資料!J285,原始資料!J285))</f>
        <v/>
      </c>
      <c r="K285">
        <f>IF(原始資料!K285="","",IF(反向題設定!$C$14="是",反向題設定!$B$2+1-原始資料!K285,原始資料!K285))</f>
        <v/>
      </c>
      <c r="L285">
        <f>IF(原始資料!L285="","",IF(反向題設定!$C$15="是",反向題設定!$B$2+1-原始資料!L285,原始資料!L285))</f>
        <v/>
      </c>
      <c r="M285">
        <f>IF(原始資料!M285="","",IF(反向題設定!$C$16="是",反向題設定!$B$2+1-原始資料!M285,原始資料!M285))</f>
        <v/>
      </c>
      <c r="N285">
        <f>IF(原始資料!N285="","",IF(反向題設定!$C$17="是",反向題設定!$B$2+1-原始資料!N285,原始資料!N285))</f>
        <v/>
      </c>
      <c r="O285">
        <f>IF(原始資料!O285="","",IF(反向題設定!$C$18="是",反向題設定!$B$2+1-原始資料!O285,原始資料!O285))</f>
        <v/>
      </c>
      <c r="P285">
        <f>IF(原始資料!P285="","",IF(反向題設定!$C$19="是",反向題設定!$B$2+1-原始資料!P285,原始資料!P285))</f>
        <v/>
      </c>
      <c r="Q285">
        <f>IF(原始資料!Q285="","",IF(反向題設定!$C$20="是",反向題設定!$B$2+1-原始資料!Q285,原始資料!Q285))</f>
        <v/>
      </c>
      <c r="R285">
        <f>IF(原始資料!R285="","",IF(反向題設定!$C$21="是",反向題設定!$B$2+1-原始資料!R285,原始資料!R285))</f>
        <v/>
      </c>
      <c r="S285">
        <f>IF(原始資料!S285="","",IF(反向題設定!$C$22="是",反向題設定!$B$2+1-原始資料!S285,原始資料!S285))</f>
        <v/>
      </c>
      <c r="T285">
        <f>IF(原始資料!T285="","",IF(反向題設定!$C$23="是",反向題設定!$B$2+1-原始資料!T285,原始資料!T285))</f>
        <v/>
      </c>
      <c r="U285">
        <f>IF(原始資料!U285="","",IF(反向題設定!$C$24="是",反向題設定!$B$2+1-原始資料!U285,原始資料!U285))</f>
        <v/>
      </c>
      <c r="V285">
        <f>IF(原始資料!V285="","",IF(反向題設定!$C$25="是",反向題設定!$B$2+1-原始資料!V285,原始資料!V285))</f>
        <v/>
      </c>
      <c r="W285">
        <f>IF(原始資料!W285="","",IF(反向題設定!$C$26="是",反向題設定!$B$2+1-原始資料!W285,原始資料!W285))</f>
        <v/>
      </c>
      <c r="X285">
        <f>IF(原始資料!X285="","",IF(反向題設定!$C$27="是",反向題設定!$B$2+1-原始資料!X285,原始資料!X285))</f>
        <v/>
      </c>
      <c r="Y285">
        <f>IF(原始資料!Y285="","",IF(反向題設定!$C$28="是",反向題設定!$B$2+1-原始資料!Y285,原始資料!Y285))</f>
        <v/>
      </c>
      <c r="Z285">
        <f>IF(原始資料!Z285="","",IF(反向題設定!$C$29="是",反向題設定!$B$2+1-原始資料!Z285,原始資料!Z285))</f>
        <v/>
      </c>
      <c r="AA285">
        <f>IF(原始資料!AA285="","",IF(反向題設定!$C$30="是",反向題設定!$B$2+1-原始資料!AA285,原始資料!AA285))</f>
        <v/>
      </c>
      <c r="AB285">
        <f>IF(原始資料!AB285="","",IF(反向題設定!$C$31="是",反向題設定!$B$2+1-原始資料!AB285,原始資料!AB285))</f>
        <v/>
      </c>
      <c r="AC285">
        <f>IF(原始資料!AC285="","",IF(反向題設定!$C$32="是",反向題設定!$B$2+1-原始資料!AC285,原始資料!AC285))</f>
        <v/>
      </c>
      <c r="AD285">
        <f>IF(原始資料!AD285="","",IF(反向題設定!$C$33="是",反向題設定!$B$2+1-原始資料!AD285,原始資料!AD285))</f>
        <v/>
      </c>
      <c r="AE285">
        <f>IF(原始資料!AE285="","",IF(反向題設定!$C$34="是",反向題設定!$B$2+1-原始資料!AE285,原始資料!AE285))</f>
        <v/>
      </c>
      <c r="AF285">
        <f>IF(原始資料!AF285="","",IF(反向題設定!$C$35="是",反向題設定!$B$2+1-原始資料!AF285,原始資料!AF285))</f>
        <v/>
      </c>
      <c r="AG285">
        <f>IF(原始資料!AG285="","",IF(反向題設定!$C$36="是",反向題設定!$B$2+1-原始資料!AG285,原始資料!AG285))</f>
        <v/>
      </c>
      <c r="AH285">
        <f>IF(原始資料!AH285="","",IF(反向題設定!$C$37="是",反向題設定!$B$2+1-原始資料!AH285,原始資料!AH285))</f>
        <v/>
      </c>
      <c r="AI285">
        <f>IF(原始資料!AI285="","",IF(反向題設定!$C$38="是",反向題設定!$B$2+1-原始資料!AI285,原始資料!AI285))</f>
        <v/>
      </c>
      <c r="AJ285">
        <f>IF(原始資料!AJ285="","",IF(反向題設定!$C$39="是",反向題設定!$B$2+1-原始資料!AJ285,原始資料!AJ285))</f>
        <v/>
      </c>
      <c r="AK285">
        <f>IF(原始資料!AK285="","",IF(反向題設定!$C$40="是",反向題設定!$B$2+1-原始資料!AK285,原始資料!AK285))</f>
        <v/>
      </c>
      <c r="AL285">
        <f>IF(原始資料!AL285="","",IF(反向題設定!$C$41="是",反向題設定!$B$2+1-原始資料!AL285,原始資料!AL285))</f>
        <v/>
      </c>
      <c r="AM285">
        <f>IF(原始資料!AM285="","",IF(反向題設定!$C$42="是",反向題設定!$B$2+1-原始資料!AM285,原始資料!AM285))</f>
        <v/>
      </c>
      <c r="AN285">
        <f>IF(原始資料!AN285="","",IF(反向題設定!$C$43="是",反向題設定!$B$2+1-原始資料!AN285,原始資料!AN285))</f>
        <v/>
      </c>
      <c r="AO285">
        <f>IF(原始資料!AO285="","",IF(反向題設定!$C$44="是",反向題設定!$B$2+1-原始資料!AO285,原始資料!AO285))</f>
        <v/>
      </c>
      <c r="AP285">
        <f>IF(COUNT(B285:AO285)=0,"",SUM(B285:AO285))</f>
        <v/>
      </c>
      <c r="AQ285">
        <f>IF(AP285="","",IF(AP285&gt;=項目分析!$C$5,"高",IF(AP285&lt;=項目分析!$C$6,"低","")))</f>
        <v/>
      </c>
    </row>
    <row r="286">
      <c r="A286">
        <f>IF(原始資料!A286="","",原始資料!A286)</f>
        <v/>
      </c>
      <c r="B286">
        <f>IF(原始資料!B286="","",IF(反向題設定!$C$5="是",反向題設定!$B$2+1-原始資料!B286,原始資料!B286))</f>
        <v/>
      </c>
      <c r="C286">
        <f>IF(原始資料!C286="","",IF(反向題設定!$C$6="是",反向題設定!$B$2+1-原始資料!C286,原始資料!C286))</f>
        <v/>
      </c>
      <c r="D286">
        <f>IF(原始資料!D286="","",IF(反向題設定!$C$7="是",反向題設定!$B$2+1-原始資料!D286,原始資料!D286))</f>
        <v/>
      </c>
      <c r="E286">
        <f>IF(原始資料!E286="","",IF(反向題設定!$C$8="是",反向題設定!$B$2+1-原始資料!E286,原始資料!E286))</f>
        <v/>
      </c>
      <c r="F286">
        <f>IF(原始資料!F286="","",IF(反向題設定!$C$9="是",反向題設定!$B$2+1-原始資料!F286,原始資料!F286))</f>
        <v/>
      </c>
      <c r="G286">
        <f>IF(原始資料!G286="","",IF(反向題設定!$C$10="是",反向題設定!$B$2+1-原始資料!G286,原始資料!G286))</f>
        <v/>
      </c>
      <c r="H286">
        <f>IF(原始資料!H286="","",IF(反向題設定!$C$11="是",反向題設定!$B$2+1-原始資料!H286,原始資料!H286))</f>
        <v/>
      </c>
      <c r="I286">
        <f>IF(原始資料!I286="","",IF(反向題設定!$C$12="是",反向題設定!$B$2+1-原始資料!I286,原始資料!I286))</f>
        <v/>
      </c>
      <c r="J286">
        <f>IF(原始資料!J286="","",IF(反向題設定!$C$13="是",反向題設定!$B$2+1-原始資料!J286,原始資料!J286))</f>
        <v/>
      </c>
      <c r="K286">
        <f>IF(原始資料!K286="","",IF(反向題設定!$C$14="是",反向題設定!$B$2+1-原始資料!K286,原始資料!K286))</f>
        <v/>
      </c>
      <c r="L286">
        <f>IF(原始資料!L286="","",IF(反向題設定!$C$15="是",反向題設定!$B$2+1-原始資料!L286,原始資料!L286))</f>
        <v/>
      </c>
      <c r="M286">
        <f>IF(原始資料!M286="","",IF(反向題設定!$C$16="是",反向題設定!$B$2+1-原始資料!M286,原始資料!M286))</f>
        <v/>
      </c>
      <c r="N286">
        <f>IF(原始資料!N286="","",IF(反向題設定!$C$17="是",反向題設定!$B$2+1-原始資料!N286,原始資料!N286))</f>
        <v/>
      </c>
      <c r="O286">
        <f>IF(原始資料!O286="","",IF(反向題設定!$C$18="是",反向題設定!$B$2+1-原始資料!O286,原始資料!O286))</f>
        <v/>
      </c>
      <c r="P286">
        <f>IF(原始資料!P286="","",IF(反向題設定!$C$19="是",反向題設定!$B$2+1-原始資料!P286,原始資料!P286))</f>
        <v/>
      </c>
      <c r="Q286">
        <f>IF(原始資料!Q286="","",IF(反向題設定!$C$20="是",反向題設定!$B$2+1-原始資料!Q286,原始資料!Q286))</f>
        <v/>
      </c>
      <c r="R286">
        <f>IF(原始資料!R286="","",IF(反向題設定!$C$21="是",反向題設定!$B$2+1-原始資料!R286,原始資料!R286))</f>
        <v/>
      </c>
      <c r="S286">
        <f>IF(原始資料!S286="","",IF(反向題設定!$C$22="是",反向題設定!$B$2+1-原始資料!S286,原始資料!S286))</f>
        <v/>
      </c>
      <c r="T286">
        <f>IF(原始資料!T286="","",IF(反向題設定!$C$23="是",反向題設定!$B$2+1-原始資料!T286,原始資料!T286))</f>
        <v/>
      </c>
      <c r="U286">
        <f>IF(原始資料!U286="","",IF(反向題設定!$C$24="是",反向題設定!$B$2+1-原始資料!U286,原始資料!U286))</f>
        <v/>
      </c>
      <c r="V286">
        <f>IF(原始資料!V286="","",IF(反向題設定!$C$25="是",反向題設定!$B$2+1-原始資料!V286,原始資料!V286))</f>
        <v/>
      </c>
      <c r="W286">
        <f>IF(原始資料!W286="","",IF(反向題設定!$C$26="是",反向題設定!$B$2+1-原始資料!W286,原始資料!W286))</f>
        <v/>
      </c>
      <c r="X286">
        <f>IF(原始資料!X286="","",IF(反向題設定!$C$27="是",反向題設定!$B$2+1-原始資料!X286,原始資料!X286))</f>
        <v/>
      </c>
      <c r="Y286">
        <f>IF(原始資料!Y286="","",IF(反向題設定!$C$28="是",反向題設定!$B$2+1-原始資料!Y286,原始資料!Y286))</f>
        <v/>
      </c>
      <c r="Z286">
        <f>IF(原始資料!Z286="","",IF(反向題設定!$C$29="是",反向題設定!$B$2+1-原始資料!Z286,原始資料!Z286))</f>
        <v/>
      </c>
      <c r="AA286">
        <f>IF(原始資料!AA286="","",IF(反向題設定!$C$30="是",反向題設定!$B$2+1-原始資料!AA286,原始資料!AA286))</f>
        <v/>
      </c>
      <c r="AB286">
        <f>IF(原始資料!AB286="","",IF(反向題設定!$C$31="是",反向題設定!$B$2+1-原始資料!AB286,原始資料!AB286))</f>
        <v/>
      </c>
      <c r="AC286">
        <f>IF(原始資料!AC286="","",IF(反向題設定!$C$32="是",反向題設定!$B$2+1-原始資料!AC286,原始資料!AC286))</f>
        <v/>
      </c>
      <c r="AD286">
        <f>IF(原始資料!AD286="","",IF(反向題設定!$C$33="是",反向題設定!$B$2+1-原始資料!AD286,原始資料!AD286))</f>
        <v/>
      </c>
      <c r="AE286">
        <f>IF(原始資料!AE286="","",IF(反向題設定!$C$34="是",反向題設定!$B$2+1-原始資料!AE286,原始資料!AE286))</f>
        <v/>
      </c>
      <c r="AF286">
        <f>IF(原始資料!AF286="","",IF(反向題設定!$C$35="是",反向題設定!$B$2+1-原始資料!AF286,原始資料!AF286))</f>
        <v/>
      </c>
      <c r="AG286">
        <f>IF(原始資料!AG286="","",IF(反向題設定!$C$36="是",反向題設定!$B$2+1-原始資料!AG286,原始資料!AG286))</f>
        <v/>
      </c>
      <c r="AH286">
        <f>IF(原始資料!AH286="","",IF(反向題設定!$C$37="是",反向題設定!$B$2+1-原始資料!AH286,原始資料!AH286))</f>
        <v/>
      </c>
      <c r="AI286">
        <f>IF(原始資料!AI286="","",IF(反向題設定!$C$38="是",反向題設定!$B$2+1-原始資料!AI286,原始資料!AI286))</f>
        <v/>
      </c>
      <c r="AJ286">
        <f>IF(原始資料!AJ286="","",IF(反向題設定!$C$39="是",反向題設定!$B$2+1-原始資料!AJ286,原始資料!AJ286))</f>
        <v/>
      </c>
      <c r="AK286">
        <f>IF(原始資料!AK286="","",IF(反向題設定!$C$40="是",反向題設定!$B$2+1-原始資料!AK286,原始資料!AK286))</f>
        <v/>
      </c>
      <c r="AL286">
        <f>IF(原始資料!AL286="","",IF(反向題設定!$C$41="是",反向題設定!$B$2+1-原始資料!AL286,原始資料!AL286))</f>
        <v/>
      </c>
      <c r="AM286">
        <f>IF(原始資料!AM286="","",IF(反向題設定!$C$42="是",反向題設定!$B$2+1-原始資料!AM286,原始資料!AM286))</f>
        <v/>
      </c>
      <c r="AN286">
        <f>IF(原始資料!AN286="","",IF(反向題設定!$C$43="是",反向題設定!$B$2+1-原始資料!AN286,原始資料!AN286))</f>
        <v/>
      </c>
      <c r="AO286">
        <f>IF(原始資料!AO286="","",IF(反向題設定!$C$44="是",反向題設定!$B$2+1-原始資料!AO286,原始資料!AO286))</f>
        <v/>
      </c>
      <c r="AP286">
        <f>IF(COUNT(B286:AO286)=0,"",SUM(B286:AO286))</f>
        <v/>
      </c>
      <c r="AQ286">
        <f>IF(AP286="","",IF(AP286&gt;=項目分析!$C$5,"高",IF(AP286&lt;=項目分析!$C$6,"低","")))</f>
        <v/>
      </c>
    </row>
    <row r="287">
      <c r="A287">
        <f>IF(原始資料!A287="","",原始資料!A287)</f>
        <v/>
      </c>
      <c r="B287">
        <f>IF(原始資料!B287="","",IF(反向題設定!$C$5="是",反向題設定!$B$2+1-原始資料!B287,原始資料!B287))</f>
        <v/>
      </c>
      <c r="C287">
        <f>IF(原始資料!C287="","",IF(反向題設定!$C$6="是",反向題設定!$B$2+1-原始資料!C287,原始資料!C287))</f>
        <v/>
      </c>
      <c r="D287">
        <f>IF(原始資料!D287="","",IF(反向題設定!$C$7="是",反向題設定!$B$2+1-原始資料!D287,原始資料!D287))</f>
        <v/>
      </c>
      <c r="E287">
        <f>IF(原始資料!E287="","",IF(反向題設定!$C$8="是",反向題設定!$B$2+1-原始資料!E287,原始資料!E287))</f>
        <v/>
      </c>
      <c r="F287">
        <f>IF(原始資料!F287="","",IF(反向題設定!$C$9="是",反向題設定!$B$2+1-原始資料!F287,原始資料!F287))</f>
        <v/>
      </c>
      <c r="G287">
        <f>IF(原始資料!G287="","",IF(反向題設定!$C$10="是",反向題設定!$B$2+1-原始資料!G287,原始資料!G287))</f>
        <v/>
      </c>
      <c r="H287">
        <f>IF(原始資料!H287="","",IF(反向題設定!$C$11="是",反向題設定!$B$2+1-原始資料!H287,原始資料!H287))</f>
        <v/>
      </c>
      <c r="I287">
        <f>IF(原始資料!I287="","",IF(反向題設定!$C$12="是",反向題設定!$B$2+1-原始資料!I287,原始資料!I287))</f>
        <v/>
      </c>
      <c r="J287">
        <f>IF(原始資料!J287="","",IF(反向題設定!$C$13="是",反向題設定!$B$2+1-原始資料!J287,原始資料!J287))</f>
        <v/>
      </c>
      <c r="K287">
        <f>IF(原始資料!K287="","",IF(反向題設定!$C$14="是",反向題設定!$B$2+1-原始資料!K287,原始資料!K287))</f>
        <v/>
      </c>
      <c r="L287">
        <f>IF(原始資料!L287="","",IF(反向題設定!$C$15="是",反向題設定!$B$2+1-原始資料!L287,原始資料!L287))</f>
        <v/>
      </c>
      <c r="M287">
        <f>IF(原始資料!M287="","",IF(反向題設定!$C$16="是",反向題設定!$B$2+1-原始資料!M287,原始資料!M287))</f>
        <v/>
      </c>
      <c r="N287">
        <f>IF(原始資料!N287="","",IF(反向題設定!$C$17="是",反向題設定!$B$2+1-原始資料!N287,原始資料!N287))</f>
        <v/>
      </c>
      <c r="O287">
        <f>IF(原始資料!O287="","",IF(反向題設定!$C$18="是",反向題設定!$B$2+1-原始資料!O287,原始資料!O287))</f>
        <v/>
      </c>
      <c r="P287">
        <f>IF(原始資料!P287="","",IF(反向題設定!$C$19="是",反向題設定!$B$2+1-原始資料!P287,原始資料!P287))</f>
        <v/>
      </c>
      <c r="Q287">
        <f>IF(原始資料!Q287="","",IF(反向題設定!$C$20="是",反向題設定!$B$2+1-原始資料!Q287,原始資料!Q287))</f>
        <v/>
      </c>
      <c r="R287">
        <f>IF(原始資料!R287="","",IF(反向題設定!$C$21="是",反向題設定!$B$2+1-原始資料!R287,原始資料!R287))</f>
        <v/>
      </c>
      <c r="S287">
        <f>IF(原始資料!S287="","",IF(反向題設定!$C$22="是",反向題設定!$B$2+1-原始資料!S287,原始資料!S287))</f>
        <v/>
      </c>
      <c r="T287">
        <f>IF(原始資料!T287="","",IF(反向題設定!$C$23="是",反向題設定!$B$2+1-原始資料!T287,原始資料!T287))</f>
        <v/>
      </c>
      <c r="U287">
        <f>IF(原始資料!U287="","",IF(反向題設定!$C$24="是",反向題設定!$B$2+1-原始資料!U287,原始資料!U287))</f>
        <v/>
      </c>
      <c r="V287">
        <f>IF(原始資料!V287="","",IF(反向題設定!$C$25="是",反向題設定!$B$2+1-原始資料!V287,原始資料!V287))</f>
        <v/>
      </c>
      <c r="W287">
        <f>IF(原始資料!W287="","",IF(反向題設定!$C$26="是",反向題設定!$B$2+1-原始資料!W287,原始資料!W287))</f>
        <v/>
      </c>
      <c r="X287">
        <f>IF(原始資料!X287="","",IF(反向題設定!$C$27="是",反向題設定!$B$2+1-原始資料!X287,原始資料!X287))</f>
        <v/>
      </c>
      <c r="Y287">
        <f>IF(原始資料!Y287="","",IF(反向題設定!$C$28="是",反向題設定!$B$2+1-原始資料!Y287,原始資料!Y287))</f>
        <v/>
      </c>
      <c r="Z287">
        <f>IF(原始資料!Z287="","",IF(反向題設定!$C$29="是",反向題設定!$B$2+1-原始資料!Z287,原始資料!Z287))</f>
        <v/>
      </c>
      <c r="AA287">
        <f>IF(原始資料!AA287="","",IF(反向題設定!$C$30="是",反向題設定!$B$2+1-原始資料!AA287,原始資料!AA287))</f>
        <v/>
      </c>
      <c r="AB287">
        <f>IF(原始資料!AB287="","",IF(反向題設定!$C$31="是",反向題設定!$B$2+1-原始資料!AB287,原始資料!AB287))</f>
        <v/>
      </c>
      <c r="AC287">
        <f>IF(原始資料!AC287="","",IF(反向題設定!$C$32="是",反向題設定!$B$2+1-原始資料!AC287,原始資料!AC287))</f>
        <v/>
      </c>
      <c r="AD287">
        <f>IF(原始資料!AD287="","",IF(反向題設定!$C$33="是",反向題設定!$B$2+1-原始資料!AD287,原始資料!AD287))</f>
        <v/>
      </c>
      <c r="AE287">
        <f>IF(原始資料!AE287="","",IF(反向題設定!$C$34="是",反向題設定!$B$2+1-原始資料!AE287,原始資料!AE287))</f>
        <v/>
      </c>
      <c r="AF287">
        <f>IF(原始資料!AF287="","",IF(反向題設定!$C$35="是",反向題設定!$B$2+1-原始資料!AF287,原始資料!AF287))</f>
        <v/>
      </c>
      <c r="AG287">
        <f>IF(原始資料!AG287="","",IF(反向題設定!$C$36="是",反向題設定!$B$2+1-原始資料!AG287,原始資料!AG287))</f>
        <v/>
      </c>
      <c r="AH287">
        <f>IF(原始資料!AH287="","",IF(反向題設定!$C$37="是",反向題設定!$B$2+1-原始資料!AH287,原始資料!AH287))</f>
        <v/>
      </c>
      <c r="AI287">
        <f>IF(原始資料!AI287="","",IF(反向題設定!$C$38="是",反向題設定!$B$2+1-原始資料!AI287,原始資料!AI287))</f>
        <v/>
      </c>
      <c r="AJ287">
        <f>IF(原始資料!AJ287="","",IF(反向題設定!$C$39="是",反向題設定!$B$2+1-原始資料!AJ287,原始資料!AJ287))</f>
        <v/>
      </c>
      <c r="AK287">
        <f>IF(原始資料!AK287="","",IF(反向題設定!$C$40="是",反向題設定!$B$2+1-原始資料!AK287,原始資料!AK287))</f>
        <v/>
      </c>
      <c r="AL287">
        <f>IF(原始資料!AL287="","",IF(反向題設定!$C$41="是",反向題設定!$B$2+1-原始資料!AL287,原始資料!AL287))</f>
        <v/>
      </c>
      <c r="AM287">
        <f>IF(原始資料!AM287="","",IF(反向題設定!$C$42="是",反向題設定!$B$2+1-原始資料!AM287,原始資料!AM287))</f>
        <v/>
      </c>
      <c r="AN287">
        <f>IF(原始資料!AN287="","",IF(反向題設定!$C$43="是",反向題設定!$B$2+1-原始資料!AN287,原始資料!AN287))</f>
        <v/>
      </c>
      <c r="AO287">
        <f>IF(原始資料!AO287="","",IF(反向題設定!$C$44="是",反向題設定!$B$2+1-原始資料!AO287,原始資料!AO287))</f>
        <v/>
      </c>
      <c r="AP287">
        <f>IF(COUNT(B287:AO287)=0,"",SUM(B287:AO287))</f>
        <v/>
      </c>
      <c r="AQ287">
        <f>IF(AP287="","",IF(AP287&gt;=項目分析!$C$5,"高",IF(AP287&lt;=項目分析!$C$6,"低","")))</f>
        <v/>
      </c>
    </row>
    <row r="288">
      <c r="A288">
        <f>IF(原始資料!A288="","",原始資料!A288)</f>
        <v/>
      </c>
      <c r="B288">
        <f>IF(原始資料!B288="","",IF(反向題設定!$C$5="是",反向題設定!$B$2+1-原始資料!B288,原始資料!B288))</f>
        <v/>
      </c>
      <c r="C288">
        <f>IF(原始資料!C288="","",IF(反向題設定!$C$6="是",反向題設定!$B$2+1-原始資料!C288,原始資料!C288))</f>
        <v/>
      </c>
      <c r="D288">
        <f>IF(原始資料!D288="","",IF(反向題設定!$C$7="是",反向題設定!$B$2+1-原始資料!D288,原始資料!D288))</f>
        <v/>
      </c>
      <c r="E288">
        <f>IF(原始資料!E288="","",IF(反向題設定!$C$8="是",反向題設定!$B$2+1-原始資料!E288,原始資料!E288))</f>
        <v/>
      </c>
      <c r="F288">
        <f>IF(原始資料!F288="","",IF(反向題設定!$C$9="是",反向題設定!$B$2+1-原始資料!F288,原始資料!F288))</f>
        <v/>
      </c>
      <c r="G288">
        <f>IF(原始資料!G288="","",IF(反向題設定!$C$10="是",反向題設定!$B$2+1-原始資料!G288,原始資料!G288))</f>
        <v/>
      </c>
      <c r="H288">
        <f>IF(原始資料!H288="","",IF(反向題設定!$C$11="是",反向題設定!$B$2+1-原始資料!H288,原始資料!H288))</f>
        <v/>
      </c>
      <c r="I288">
        <f>IF(原始資料!I288="","",IF(反向題設定!$C$12="是",反向題設定!$B$2+1-原始資料!I288,原始資料!I288))</f>
        <v/>
      </c>
      <c r="J288">
        <f>IF(原始資料!J288="","",IF(反向題設定!$C$13="是",反向題設定!$B$2+1-原始資料!J288,原始資料!J288))</f>
        <v/>
      </c>
      <c r="K288">
        <f>IF(原始資料!K288="","",IF(反向題設定!$C$14="是",反向題設定!$B$2+1-原始資料!K288,原始資料!K288))</f>
        <v/>
      </c>
      <c r="L288">
        <f>IF(原始資料!L288="","",IF(反向題設定!$C$15="是",反向題設定!$B$2+1-原始資料!L288,原始資料!L288))</f>
        <v/>
      </c>
      <c r="M288">
        <f>IF(原始資料!M288="","",IF(反向題設定!$C$16="是",反向題設定!$B$2+1-原始資料!M288,原始資料!M288))</f>
        <v/>
      </c>
      <c r="N288">
        <f>IF(原始資料!N288="","",IF(反向題設定!$C$17="是",反向題設定!$B$2+1-原始資料!N288,原始資料!N288))</f>
        <v/>
      </c>
      <c r="O288">
        <f>IF(原始資料!O288="","",IF(反向題設定!$C$18="是",反向題設定!$B$2+1-原始資料!O288,原始資料!O288))</f>
        <v/>
      </c>
      <c r="P288">
        <f>IF(原始資料!P288="","",IF(反向題設定!$C$19="是",反向題設定!$B$2+1-原始資料!P288,原始資料!P288))</f>
        <v/>
      </c>
      <c r="Q288">
        <f>IF(原始資料!Q288="","",IF(反向題設定!$C$20="是",反向題設定!$B$2+1-原始資料!Q288,原始資料!Q288))</f>
        <v/>
      </c>
      <c r="R288">
        <f>IF(原始資料!R288="","",IF(反向題設定!$C$21="是",反向題設定!$B$2+1-原始資料!R288,原始資料!R288))</f>
        <v/>
      </c>
      <c r="S288">
        <f>IF(原始資料!S288="","",IF(反向題設定!$C$22="是",反向題設定!$B$2+1-原始資料!S288,原始資料!S288))</f>
        <v/>
      </c>
      <c r="T288">
        <f>IF(原始資料!T288="","",IF(反向題設定!$C$23="是",反向題設定!$B$2+1-原始資料!T288,原始資料!T288))</f>
        <v/>
      </c>
      <c r="U288">
        <f>IF(原始資料!U288="","",IF(反向題設定!$C$24="是",反向題設定!$B$2+1-原始資料!U288,原始資料!U288))</f>
        <v/>
      </c>
      <c r="V288">
        <f>IF(原始資料!V288="","",IF(反向題設定!$C$25="是",反向題設定!$B$2+1-原始資料!V288,原始資料!V288))</f>
        <v/>
      </c>
      <c r="W288">
        <f>IF(原始資料!W288="","",IF(反向題設定!$C$26="是",反向題設定!$B$2+1-原始資料!W288,原始資料!W288))</f>
        <v/>
      </c>
      <c r="X288">
        <f>IF(原始資料!X288="","",IF(反向題設定!$C$27="是",反向題設定!$B$2+1-原始資料!X288,原始資料!X288))</f>
        <v/>
      </c>
      <c r="Y288">
        <f>IF(原始資料!Y288="","",IF(反向題設定!$C$28="是",反向題設定!$B$2+1-原始資料!Y288,原始資料!Y288))</f>
        <v/>
      </c>
      <c r="Z288">
        <f>IF(原始資料!Z288="","",IF(反向題設定!$C$29="是",反向題設定!$B$2+1-原始資料!Z288,原始資料!Z288))</f>
        <v/>
      </c>
      <c r="AA288">
        <f>IF(原始資料!AA288="","",IF(反向題設定!$C$30="是",反向題設定!$B$2+1-原始資料!AA288,原始資料!AA288))</f>
        <v/>
      </c>
      <c r="AB288">
        <f>IF(原始資料!AB288="","",IF(反向題設定!$C$31="是",反向題設定!$B$2+1-原始資料!AB288,原始資料!AB288))</f>
        <v/>
      </c>
      <c r="AC288">
        <f>IF(原始資料!AC288="","",IF(反向題設定!$C$32="是",反向題設定!$B$2+1-原始資料!AC288,原始資料!AC288))</f>
        <v/>
      </c>
      <c r="AD288">
        <f>IF(原始資料!AD288="","",IF(反向題設定!$C$33="是",反向題設定!$B$2+1-原始資料!AD288,原始資料!AD288))</f>
        <v/>
      </c>
      <c r="AE288">
        <f>IF(原始資料!AE288="","",IF(反向題設定!$C$34="是",反向題設定!$B$2+1-原始資料!AE288,原始資料!AE288))</f>
        <v/>
      </c>
      <c r="AF288">
        <f>IF(原始資料!AF288="","",IF(反向題設定!$C$35="是",反向題設定!$B$2+1-原始資料!AF288,原始資料!AF288))</f>
        <v/>
      </c>
      <c r="AG288">
        <f>IF(原始資料!AG288="","",IF(反向題設定!$C$36="是",反向題設定!$B$2+1-原始資料!AG288,原始資料!AG288))</f>
        <v/>
      </c>
      <c r="AH288">
        <f>IF(原始資料!AH288="","",IF(反向題設定!$C$37="是",反向題設定!$B$2+1-原始資料!AH288,原始資料!AH288))</f>
        <v/>
      </c>
      <c r="AI288">
        <f>IF(原始資料!AI288="","",IF(反向題設定!$C$38="是",反向題設定!$B$2+1-原始資料!AI288,原始資料!AI288))</f>
        <v/>
      </c>
      <c r="AJ288">
        <f>IF(原始資料!AJ288="","",IF(反向題設定!$C$39="是",反向題設定!$B$2+1-原始資料!AJ288,原始資料!AJ288))</f>
        <v/>
      </c>
      <c r="AK288">
        <f>IF(原始資料!AK288="","",IF(反向題設定!$C$40="是",反向題設定!$B$2+1-原始資料!AK288,原始資料!AK288))</f>
        <v/>
      </c>
      <c r="AL288">
        <f>IF(原始資料!AL288="","",IF(反向題設定!$C$41="是",反向題設定!$B$2+1-原始資料!AL288,原始資料!AL288))</f>
        <v/>
      </c>
      <c r="AM288">
        <f>IF(原始資料!AM288="","",IF(反向題設定!$C$42="是",反向題設定!$B$2+1-原始資料!AM288,原始資料!AM288))</f>
        <v/>
      </c>
      <c r="AN288">
        <f>IF(原始資料!AN288="","",IF(反向題設定!$C$43="是",反向題設定!$B$2+1-原始資料!AN288,原始資料!AN288))</f>
        <v/>
      </c>
      <c r="AO288">
        <f>IF(原始資料!AO288="","",IF(反向題設定!$C$44="是",反向題設定!$B$2+1-原始資料!AO288,原始資料!AO288))</f>
        <v/>
      </c>
      <c r="AP288">
        <f>IF(COUNT(B288:AO288)=0,"",SUM(B288:AO288))</f>
        <v/>
      </c>
      <c r="AQ288">
        <f>IF(AP288="","",IF(AP288&gt;=項目分析!$C$5,"高",IF(AP288&lt;=項目分析!$C$6,"低","")))</f>
        <v/>
      </c>
    </row>
    <row r="289">
      <c r="A289">
        <f>IF(原始資料!A289="","",原始資料!A289)</f>
        <v/>
      </c>
      <c r="B289">
        <f>IF(原始資料!B289="","",IF(反向題設定!$C$5="是",反向題設定!$B$2+1-原始資料!B289,原始資料!B289))</f>
        <v/>
      </c>
      <c r="C289">
        <f>IF(原始資料!C289="","",IF(反向題設定!$C$6="是",反向題設定!$B$2+1-原始資料!C289,原始資料!C289))</f>
        <v/>
      </c>
      <c r="D289">
        <f>IF(原始資料!D289="","",IF(反向題設定!$C$7="是",反向題設定!$B$2+1-原始資料!D289,原始資料!D289))</f>
        <v/>
      </c>
      <c r="E289">
        <f>IF(原始資料!E289="","",IF(反向題設定!$C$8="是",反向題設定!$B$2+1-原始資料!E289,原始資料!E289))</f>
        <v/>
      </c>
      <c r="F289">
        <f>IF(原始資料!F289="","",IF(反向題設定!$C$9="是",反向題設定!$B$2+1-原始資料!F289,原始資料!F289))</f>
        <v/>
      </c>
      <c r="G289">
        <f>IF(原始資料!G289="","",IF(反向題設定!$C$10="是",反向題設定!$B$2+1-原始資料!G289,原始資料!G289))</f>
        <v/>
      </c>
      <c r="H289">
        <f>IF(原始資料!H289="","",IF(反向題設定!$C$11="是",反向題設定!$B$2+1-原始資料!H289,原始資料!H289))</f>
        <v/>
      </c>
      <c r="I289">
        <f>IF(原始資料!I289="","",IF(反向題設定!$C$12="是",反向題設定!$B$2+1-原始資料!I289,原始資料!I289))</f>
        <v/>
      </c>
      <c r="J289">
        <f>IF(原始資料!J289="","",IF(反向題設定!$C$13="是",反向題設定!$B$2+1-原始資料!J289,原始資料!J289))</f>
        <v/>
      </c>
      <c r="K289">
        <f>IF(原始資料!K289="","",IF(反向題設定!$C$14="是",反向題設定!$B$2+1-原始資料!K289,原始資料!K289))</f>
        <v/>
      </c>
      <c r="L289">
        <f>IF(原始資料!L289="","",IF(反向題設定!$C$15="是",反向題設定!$B$2+1-原始資料!L289,原始資料!L289))</f>
        <v/>
      </c>
      <c r="M289">
        <f>IF(原始資料!M289="","",IF(反向題設定!$C$16="是",反向題設定!$B$2+1-原始資料!M289,原始資料!M289))</f>
        <v/>
      </c>
      <c r="N289">
        <f>IF(原始資料!N289="","",IF(反向題設定!$C$17="是",反向題設定!$B$2+1-原始資料!N289,原始資料!N289))</f>
        <v/>
      </c>
      <c r="O289">
        <f>IF(原始資料!O289="","",IF(反向題設定!$C$18="是",反向題設定!$B$2+1-原始資料!O289,原始資料!O289))</f>
        <v/>
      </c>
      <c r="P289">
        <f>IF(原始資料!P289="","",IF(反向題設定!$C$19="是",反向題設定!$B$2+1-原始資料!P289,原始資料!P289))</f>
        <v/>
      </c>
      <c r="Q289">
        <f>IF(原始資料!Q289="","",IF(反向題設定!$C$20="是",反向題設定!$B$2+1-原始資料!Q289,原始資料!Q289))</f>
        <v/>
      </c>
      <c r="R289">
        <f>IF(原始資料!R289="","",IF(反向題設定!$C$21="是",反向題設定!$B$2+1-原始資料!R289,原始資料!R289))</f>
        <v/>
      </c>
      <c r="S289">
        <f>IF(原始資料!S289="","",IF(反向題設定!$C$22="是",反向題設定!$B$2+1-原始資料!S289,原始資料!S289))</f>
        <v/>
      </c>
      <c r="T289">
        <f>IF(原始資料!T289="","",IF(反向題設定!$C$23="是",反向題設定!$B$2+1-原始資料!T289,原始資料!T289))</f>
        <v/>
      </c>
      <c r="U289">
        <f>IF(原始資料!U289="","",IF(反向題設定!$C$24="是",反向題設定!$B$2+1-原始資料!U289,原始資料!U289))</f>
        <v/>
      </c>
      <c r="V289">
        <f>IF(原始資料!V289="","",IF(反向題設定!$C$25="是",反向題設定!$B$2+1-原始資料!V289,原始資料!V289))</f>
        <v/>
      </c>
      <c r="W289">
        <f>IF(原始資料!W289="","",IF(反向題設定!$C$26="是",反向題設定!$B$2+1-原始資料!W289,原始資料!W289))</f>
        <v/>
      </c>
      <c r="X289">
        <f>IF(原始資料!X289="","",IF(反向題設定!$C$27="是",反向題設定!$B$2+1-原始資料!X289,原始資料!X289))</f>
        <v/>
      </c>
      <c r="Y289">
        <f>IF(原始資料!Y289="","",IF(反向題設定!$C$28="是",反向題設定!$B$2+1-原始資料!Y289,原始資料!Y289))</f>
        <v/>
      </c>
      <c r="Z289">
        <f>IF(原始資料!Z289="","",IF(反向題設定!$C$29="是",反向題設定!$B$2+1-原始資料!Z289,原始資料!Z289))</f>
        <v/>
      </c>
      <c r="AA289">
        <f>IF(原始資料!AA289="","",IF(反向題設定!$C$30="是",反向題設定!$B$2+1-原始資料!AA289,原始資料!AA289))</f>
        <v/>
      </c>
      <c r="AB289">
        <f>IF(原始資料!AB289="","",IF(反向題設定!$C$31="是",反向題設定!$B$2+1-原始資料!AB289,原始資料!AB289))</f>
        <v/>
      </c>
      <c r="AC289">
        <f>IF(原始資料!AC289="","",IF(反向題設定!$C$32="是",反向題設定!$B$2+1-原始資料!AC289,原始資料!AC289))</f>
        <v/>
      </c>
      <c r="AD289">
        <f>IF(原始資料!AD289="","",IF(反向題設定!$C$33="是",反向題設定!$B$2+1-原始資料!AD289,原始資料!AD289))</f>
        <v/>
      </c>
      <c r="AE289">
        <f>IF(原始資料!AE289="","",IF(反向題設定!$C$34="是",反向題設定!$B$2+1-原始資料!AE289,原始資料!AE289))</f>
        <v/>
      </c>
      <c r="AF289">
        <f>IF(原始資料!AF289="","",IF(反向題設定!$C$35="是",反向題設定!$B$2+1-原始資料!AF289,原始資料!AF289))</f>
        <v/>
      </c>
      <c r="AG289">
        <f>IF(原始資料!AG289="","",IF(反向題設定!$C$36="是",反向題設定!$B$2+1-原始資料!AG289,原始資料!AG289))</f>
        <v/>
      </c>
      <c r="AH289">
        <f>IF(原始資料!AH289="","",IF(反向題設定!$C$37="是",反向題設定!$B$2+1-原始資料!AH289,原始資料!AH289))</f>
        <v/>
      </c>
      <c r="AI289">
        <f>IF(原始資料!AI289="","",IF(反向題設定!$C$38="是",反向題設定!$B$2+1-原始資料!AI289,原始資料!AI289))</f>
        <v/>
      </c>
      <c r="AJ289">
        <f>IF(原始資料!AJ289="","",IF(反向題設定!$C$39="是",反向題設定!$B$2+1-原始資料!AJ289,原始資料!AJ289))</f>
        <v/>
      </c>
      <c r="AK289">
        <f>IF(原始資料!AK289="","",IF(反向題設定!$C$40="是",反向題設定!$B$2+1-原始資料!AK289,原始資料!AK289))</f>
        <v/>
      </c>
      <c r="AL289">
        <f>IF(原始資料!AL289="","",IF(反向題設定!$C$41="是",反向題設定!$B$2+1-原始資料!AL289,原始資料!AL289))</f>
        <v/>
      </c>
      <c r="AM289">
        <f>IF(原始資料!AM289="","",IF(反向題設定!$C$42="是",反向題設定!$B$2+1-原始資料!AM289,原始資料!AM289))</f>
        <v/>
      </c>
      <c r="AN289">
        <f>IF(原始資料!AN289="","",IF(反向題設定!$C$43="是",反向題設定!$B$2+1-原始資料!AN289,原始資料!AN289))</f>
        <v/>
      </c>
      <c r="AO289">
        <f>IF(原始資料!AO289="","",IF(反向題設定!$C$44="是",反向題設定!$B$2+1-原始資料!AO289,原始資料!AO289))</f>
        <v/>
      </c>
      <c r="AP289">
        <f>IF(COUNT(B289:AO289)=0,"",SUM(B289:AO289))</f>
        <v/>
      </c>
      <c r="AQ289">
        <f>IF(AP289="","",IF(AP289&gt;=項目分析!$C$5,"高",IF(AP289&lt;=項目分析!$C$6,"低","")))</f>
        <v/>
      </c>
    </row>
    <row r="290">
      <c r="A290">
        <f>IF(原始資料!A290="","",原始資料!A290)</f>
        <v/>
      </c>
      <c r="B290">
        <f>IF(原始資料!B290="","",IF(反向題設定!$C$5="是",反向題設定!$B$2+1-原始資料!B290,原始資料!B290))</f>
        <v/>
      </c>
      <c r="C290">
        <f>IF(原始資料!C290="","",IF(反向題設定!$C$6="是",反向題設定!$B$2+1-原始資料!C290,原始資料!C290))</f>
        <v/>
      </c>
      <c r="D290">
        <f>IF(原始資料!D290="","",IF(反向題設定!$C$7="是",反向題設定!$B$2+1-原始資料!D290,原始資料!D290))</f>
        <v/>
      </c>
      <c r="E290">
        <f>IF(原始資料!E290="","",IF(反向題設定!$C$8="是",反向題設定!$B$2+1-原始資料!E290,原始資料!E290))</f>
        <v/>
      </c>
      <c r="F290">
        <f>IF(原始資料!F290="","",IF(反向題設定!$C$9="是",反向題設定!$B$2+1-原始資料!F290,原始資料!F290))</f>
        <v/>
      </c>
      <c r="G290">
        <f>IF(原始資料!G290="","",IF(反向題設定!$C$10="是",反向題設定!$B$2+1-原始資料!G290,原始資料!G290))</f>
        <v/>
      </c>
      <c r="H290">
        <f>IF(原始資料!H290="","",IF(反向題設定!$C$11="是",反向題設定!$B$2+1-原始資料!H290,原始資料!H290))</f>
        <v/>
      </c>
      <c r="I290">
        <f>IF(原始資料!I290="","",IF(反向題設定!$C$12="是",反向題設定!$B$2+1-原始資料!I290,原始資料!I290))</f>
        <v/>
      </c>
      <c r="J290">
        <f>IF(原始資料!J290="","",IF(反向題設定!$C$13="是",反向題設定!$B$2+1-原始資料!J290,原始資料!J290))</f>
        <v/>
      </c>
      <c r="K290">
        <f>IF(原始資料!K290="","",IF(反向題設定!$C$14="是",反向題設定!$B$2+1-原始資料!K290,原始資料!K290))</f>
        <v/>
      </c>
      <c r="L290">
        <f>IF(原始資料!L290="","",IF(反向題設定!$C$15="是",反向題設定!$B$2+1-原始資料!L290,原始資料!L290))</f>
        <v/>
      </c>
      <c r="M290">
        <f>IF(原始資料!M290="","",IF(反向題設定!$C$16="是",反向題設定!$B$2+1-原始資料!M290,原始資料!M290))</f>
        <v/>
      </c>
      <c r="N290">
        <f>IF(原始資料!N290="","",IF(反向題設定!$C$17="是",反向題設定!$B$2+1-原始資料!N290,原始資料!N290))</f>
        <v/>
      </c>
      <c r="O290">
        <f>IF(原始資料!O290="","",IF(反向題設定!$C$18="是",反向題設定!$B$2+1-原始資料!O290,原始資料!O290))</f>
        <v/>
      </c>
      <c r="P290">
        <f>IF(原始資料!P290="","",IF(反向題設定!$C$19="是",反向題設定!$B$2+1-原始資料!P290,原始資料!P290))</f>
        <v/>
      </c>
      <c r="Q290">
        <f>IF(原始資料!Q290="","",IF(反向題設定!$C$20="是",反向題設定!$B$2+1-原始資料!Q290,原始資料!Q290))</f>
        <v/>
      </c>
      <c r="R290">
        <f>IF(原始資料!R290="","",IF(反向題設定!$C$21="是",反向題設定!$B$2+1-原始資料!R290,原始資料!R290))</f>
        <v/>
      </c>
      <c r="S290">
        <f>IF(原始資料!S290="","",IF(反向題設定!$C$22="是",反向題設定!$B$2+1-原始資料!S290,原始資料!S290))</f>
        <v/>
      </c>
      <c r="T290">
        <f>IF(原始資料!T290="","",IF(反向題設定!$C$23="是",反向題設定!$B$2+1-原始資料!T290,原始資料!T290))</f>
        <v/>
      </c>
      <c r="U290">
        <f>IF(原始資料!U290="","",IF(反向題設定!$C$24="是",反向題設定!$B$2+1-原始資料!U290,原始資料!U290))</f>
        <v/>
      </c>
      <c r="V290">
        <f>IF(原始資料!V290="","",IF(反向題設定!$C$25="是",反向題設定!$B$2+1-原始資料!V290,原始資料!V290))</f>
        <v/>
      </c>
      <c r="W290">
        <f>IF(原始資料!W290="","",IF(反向題設定!$C$26="是",反向題設定!$B$2+1-原始資料!W290,原始資料!W290))</f>
        <v/>
      </c>
      <c r="X290">
        <f>IF(原始資料!X290="","",IF(反向題設定!$C$27="是",反向題設定!$B$2+1-原始資料!X290,原始資料!X290))</f>
        <v/>
      </c>
      <c r="Y290">
        <f>IF(原始資料!Y290="","",IF(反向題設定!$C$28="是",反向題設定!$B$2+1-原始資料!Y290,原始資料!Y290))</f>
        <v/>
      </c>
      <c r="Z290">
        <f>IF(原始資料!Z290="","",IF(反向題設定!$C$29="是",反向題設定!$B$2+1-原始資料!Z290,原始資料!Z290))</f>
        <v/>
      </c>
      <c r="AA290">
        <f>IF(原始資料!AA290="","",IF(反向題設定!$C$30="是",反向題設定!$B$2+1-原始資料!AA290,原始資料!AA290))</f>
        <v/>
      </c>
      <c r="AB290">
        <f>IF(原始資料!AB290="","",IF(反向題設定!$C$31="是",反向題設定!$B$2+1-原始資料!AB290,原始資料!AB290))</f>
        <v/>
      </c>
      <c r="AC290">
        <f>IF(原始資料!AC290="","",IF(反向題設定!$C$32="是",反向題設定!$B$2+1-原始資料!AC290,原始資料!AC290))</f>
        <v/>
      </c>
      <c r="AD290">
        <f>IF(原始資料!AD290="","",IF(反向題設定!$C$33="是",反向題設定!$B$2+1-原始資料!AD290,原始資料!AD290))</f>
        <v/>
      </c>
      <c r="AE290">
        <f>IF(原始資料!AE290="","",IF(反向題設定!$C$34="是",反向題設定!$B$2+1-原始資料!AE290,原始資料!AE290))</f>
        <v/>
      </c>
      <c r="AF290">
        <f>IF(原始資料!AF290="","",IF(反向題設定!$C$35="是",反向題設定!$B$2+1-原始資料!AF290,原始資料!AF290))</f>
        <v/>
      </c>
      <c r="AG290">
        <f>IF(原始資料!AG290="","",IF(反向題設定!$C$36="是",反向題設定!$B$2+1-原始資料!AG290,原始資料!AG290))</f>
        <v/>
      </c>
      <c r="AH290">
        <f>IF(原始資料!AH290="","",IF(反向題設定!$C$37="是",反向題設定!$B$2+1-原始資料!AH290,原始資料!AH290))</f>
        <v/>
      </c>
      <c r="AI290">
        <f>IF(原始資料!AI290="","",IF(反向題設定!$C$38="是",反向題設定!$B$2+1-原始資料!AI290,原始資料!AI290))</f>
        <v/>
      </c>
      <c r="AJ290">
        <f>IF(原始資料!AJ290="","",IF(反向題設定!$C$39="是",反向題設定!$B$2+1-原始資料!AJ290,原始資料!AJ290))</f>
        <v/>
      </c>
      <c r="AK290">
        <f>IF(原始資料!AK290="","",IF(反向題設定!$C$40="是",反向題設定!$B$2+1-原始資料!AK290,原始資料!AK290))</f>
        <v/>
      </c>
      <c r="AL290">
        <f>IF(原始資料!AL290="","",IF(反向題設定!$C$41="是",反向題設定!$B$2+1-原始資料!AL290,原始資料!AL290))</f>
        <v/>
      </c>
      <c r="AM290">
        <f>IF(原始資料!AM290="","",IF(反向題設定!$C$42="是",反向題設定!$B$2+1-原始資料!AM290,原始資料!AM290))</f>
        <v/>
      </c>
      <c r="AN290">
        <f>IF(原始資料!AN290="","",IF(反向題設定!$C$43="是",反向題設定!$B$2+1-原始資料!AN290,原始資料!AN290))</f>
        <v/>
      </c>
      <c r="AO290">
        <f>IF(原始資料!AO290="","",IF(反向題設定!$C$44="是",反向題設定!$B$2+1-原始資料!AO290,原始資料!AO290))</f>
        <v/>
      </c>
      <c r="AP290">
        <f>IF(COUNT(B290:AO290)=0,"",SUM(B290:AO290))</f>
        <v/>
      </c>
      <c r="AQ290">
        <f>IF(AP290="","",IF(AP290&gt;=項目分析!$C$5,"高",IF(AP290&lt;=項目分析!$C$6,"低","")))</f>
        <v/>
      </c>
    </row>
    <row r="291">
      <c r="A291">
        <f>IF(原始資料!A291="","",原始資料!A291)</f>
        <v/>
      </c>
      <c r="B291">
        <f>IF(原始資料!B291="","",IF(反向題設定!$C$5="是",反向題設定!$B$2+1-原始資料!B291,原始資料!B291))</f>
        <v/>
      </c>
      <c r="C291">
        <f>IF(原始資料!C291="","",IF(反向題設定!$C$6="是",反向題設定!$B$2+1-原始資料!C291,原始資料!C291))</f>
        <v/>
      </c>
      <c r="D291">
        <f>IF(原始資料!D291="","",IF(反向題設定!$C$7="是",反向題設定!$B$2+1-原始資料!D291,原始資料!D291))</f>
        <v/>
      </c>
      <c r="E291">
        <f>IF(原始資料!E291="","",IF(反向題設定!$C$8="是",反向題設定!$B$2+1-原始資料!E291,原始資料!E291))</f>
        <v/>
      </c>
      <c r="F291">
        <f>IF(原始資料!F291="","",IF(反向題設定!$C$9="是",反向題設定!$B$2+1-原始資料!F291,原始資料!F291))</f>
        <v/>
      </c>
      <c r="G291">
        <f>IF(原始資料!G291="","",IF(反向題設定!$C$10="是",反向題設定!$B$2+1-原始資料!G291,原始資料!G291))</f>
        <v/>
      </c>
      <c r="H291">
        <f>IF(原始資料!H291="","",IF(反向題設定!$C$11="是",反向題設定!$B$2+1-原始資料!H291,原始資料!H291))</f>
        <v/>
      </c>
      <c r="I291">
        <f>IF(原始資料!I291="","",IF(反向題設定!$C$12="是",反向題設定!$B$2+1-原始資料!I291,原始資料!I291))</f>
        <v/>
      </c>
      <c r="J291">
        <f>IF(原始資料!J291="","",IF(反向題設定!$C$13="是",反向題設定!$B$2+1-原始資料!J291,原始資料!J291))</f>
        <v/>
      </c>
      <c r="K291">
        <f>IF(原始資料!K291="","",IF(反向題設定!$C$14="是",反向題設定!$B$2+1-原始資料!K291,原始資料!K291))</f>
        <v/>
      </c>
      <c r="L291">
        <f>IF(原始資料!L291="","",IF(反向題設定!$C$15="是",反向題設定!$B$2+1-原始資料!L291,原始資料!L291))</f>
        <v/>
      </c>
      <c r="M291">
        <f>IF(原始資料!M291="","",IF(反向題設定!$C$16="是",反向題設定!$B$2+1-原始資料!M291,原始資料!M291))</f>
        <v/>
      </c>
      <c r="N291">
        <f>IF(原始資料!N291="","",IF(反向題設定!$C$17="是",反向題設定!$B$2+1-原始資料!N291,原始資料!N291))</f>
        <v/>
      </c>
      <c r="O291">
        <f>IF(原始資料!O291="","",IF(反向題設定!$C$18="是",反向題設定!$B$2+1-原始資料!O291,原始資料!O291))</f>
        <v/>
      </c>
      <c r="P291">
        <f>IF(原始資料!P291="","",IF(反向題設定!$C$19="是",反向題設定!$B$2+1-原始資料!P291,原始資料!P291))</f>
        <v/>
      </c>
      <c r="Q291">
        <f>IF(原始資料!Q291="","",IF(反向題設定!$C$20="是",反向題設定!$B$2+1-原始資料!Q291,原始資料!Q291))</f>
        <v/>
      </c>
      <c r="R291">
        <f>IF(原始資料!R291="","",IF(反向題設定!$C$21="是",反向題設定!$B$2+1-原始資料!R291,原始資料!R291))</f>
        <v/>
      </c>
      <c r="S291">
        <f>IF(原始資料!S291="","",IF(反向題設定!$C$22="是",反向題設定!$B$2+1-原始資料!S291,原始資料!S291))</f>
        <v/>
      </c>
      <c r="T291">
        <f>IF(原始資料!T291="","",IF(反向題設定!$C$23="是",反向題設定!$B$2+1-原始資料!T291,原始資料!T291))</f>
        <v/>
      </c>
      <c r="U291">
        <f>IF(原始資料!U291="","",IF(反向題設定!$C$24="是",反向題設定!$B$2+1-原始資料!U291,原始資料!U291))</f>
        <v/>
      </c>
      <c r="V291">
        <f>IF(原始資料!V291="","",IF(反向題設定!$C$25="是",反向題設定!$B$2+1-原始資料!V291,原始資料!V291))</f>
        <v/>
      </c>
      <c r="W291">
        <f>IF(原始資料!W291="","",IF(反向題設定!$C$26="是",反向題設定!$B$2+1-原始資料!W291,原始資料!W291))</f>
        <v/>
      </c>
      <c r="X291">
        <f>IF(原始資料!X291="","",IF(反向題設定!$C$27="是",反向題設定!$B$2+1-原始資料!X291,原始資料!X291))</f>
        <v/>
      </c>
      <c r="Y291">
        <f>IF(原始資料!Y291="","",IF(反向題設定!$C$28="是",反向題設定!$B$2+1-原始資料!Y291,原始資料!Y291))</f>
        <v/>
      </c>
      <c r="Z291">
        <f>IF(原始資料!Z291="","",IF(反向題設定!$C$29="是",反向題設定!$B$2+1-原始資料!Z291,原始資料!Z291))</f>
        <v/>
      </c>
      <c r="AA291">
        <f>IF(原始資料!AA291="","",IF(反向題設定!$C$30="是",反向題設定!$B$2+1-原始資料!AA291,原始資料!AA291))</f>
        <v/>
      </c>
      <c r="AB291">
        <f>IF(原始資料!AB291="","",IF(反向題設定!$C$31="是",反向題設定!$B$2+1-原始資料!AB291,原始資料!AB291))</f>
        <v/>
      </c>
      <c r="AC291">
        <f>IF(原始資料!AC291="","",IF(反向題設定!$C$32="是",反向題設定!$B$2+1-原始資料!AC291,原始資料!AC291))</f>
        <v/>
      </c>
      <c r="AD291">
        <f>IF(原始資料!AD291="","",IF(反向題設定!$C$33="是",反向題設定!$B$2+1-原始資料!AD291,原始資料!AD291))</f>
        <v/>
      </c>
      <c r="AE291">
        <f>IF(原始資料!AE291="","",IF(反向題設定!$C$34="是",反向題設定!$B$2+1-原始資料!AE291,原始資料!AE291))</f>
        <v/>
      </c>
      <c r="AF291">
        <f>IF(原始資料!AF291="","",IF(反向題設定!$C$35="是",反向題設定!$B$2+1-原始資料!AF291,原始資料!AF291))</f>
        <v/>
      </c>
      <c r="AG291">
        <f>IF(原始資料!AG291="","",IF(反向題設定!$C$36="是",反向題設定!$B$2+1-原始資料!AG291,原始資料!AG291))</f>
        <v/>
      </c>
      <c r="AH291">
        <f>IF(原始資料!AH291="","",IF(反向題設定!$C$37="是",反向題設定!$B$2+1-原始資料!AH291,原始資料!AH291))</f>
        <v/>
      </c>
      <c r="AI291">
        <f>IF(原始資料!AI291="","",IF(反向題設定!$C$38="是",反向題設定!$B$2+1-原始資料!AI291,原始資料!AI291))</f>
        <v/>
      </c>
      <c r="AJ291">
        <f>IF(原始資料!AJ291="","",IF(反向題設定!$C$39="是",反向題設定!$B$2+1-原始資料!AJ291,原始資料!AJ291))</f>
        <v/>
      </c>
      <c r="AK291">
        <f>IF(原始資料!AK291="","",IF(反向題設定!$C$40="是",反向題設定!$B$2+1-原始資料!AK291,原始資料!AK291))</f>
        <v/>
      </c>
      <c r="AL291">
        <f>IF(原始資料!AL291="","",IF(反向題設定!$C$41="是",反向題設定!$B$2+1-原始資料!AL291,原始資料!AL291))</f>
        <v/>
      </c>
      <c r="AM291">
        <f>IF(原始資料!AM291="","",IF(反向題設定!$C$42="是",反向題設定!$B$2+1-原始資料!AM291,原始資料!AM291))</f>
        <v/>
      </c>
      <c r="AN291">
        <f>IF(原始資料!AN291="","",IF(反向題設定!$C$43="是",反向題設定!$B$2+1-原始資料!AN291,原始資料!AN291))</f>
        <v/>
      </c>
      <c r="AO291">
        <f>IF(原始資料!AO291="","",IF(反向題設定!$C$44="是",反向題設定!$B$2+1-原始資料!AO291,原始資料!AO291))</f>
        <v/>
      </c>
      <c r="AP291">
        <f>IF(COUNT(B291:AO291)=0,"",SUM(B291:AO291))</f>
        <v/>
      </c>
      <c r="AQ291">
        <f>IF(AP291="","",IF(AP291&gt;=項目分析!$C$5,"高",IF(AP291&lt;=項目分析!$C$6,"低","")))</f>
        <v/>
      </c>
    </row>
    <row r="292">
      <c r="A292">
        <f>IF(原始資料!A292="","",原始資料!A292)</f>
        <v/>
      </c>
      <c r="B292">
        <f>IF(原始資料!B292="","",IF(反向題設定!$C$5="是",反向題設定!$B$2+1-原始資料!B292,原始資料!B292))</f>
        <v/>
      </c>
      <c r="C292">
        <f>IF(原始資料!C292="","",IF(反向題設定!$C$6="是",反向題設定!$B$2+1-原始資料!C292,原始資料!C292))</f>
        <v/>
      </c>
      <c r="D292">
        <f>IF(原始資料!D292="","",IF(反向題設定!$C$7="是",反向題設定!$B$2+1-原始資料!D292,原始資料!D292))</f>
        <v/>
      </c>
      <c r="E292">
        <f>IF(原始資料!E292="","",IF(反向題設定!$C$8="是",反向題設定!$B$2+1-原始資料!E292,原始資料!E292))</f>
        <v/>
      </c>
      <c r="F292">
        <f>IF(原始資料!F292="","",IF(反向題設定!$C$9="是",反向題設定!$B$2+1-原始資料!F292,原始資料!F292))</f>
        <v/>
      </c>
      <c r="G292">
        <f>IF(原始資料!G292="","",IF(反向題設定!$C$10="是",反向題設定!$B$2+1-原始資料!G292,原始資料!G292))</f>
        <v/>
      </c>
      <c r="H292">
        <f>IF(原始資料!H292="","",IF(反向題設定!$C$11="是",反向題設定!$B$2+1-原始資料!H292,原始資料!H292))</f>
        <v/>
      </c>
      <c r="I292">
        <f>IF(原始資料!I292="","",IF(反向題設定!$C$12="是",反向題設定!$B$2+1-原始資料!I292,原始資料!I292))</f>
        <v/>
      </c>
      <c r="J292">
        <f>IF(原始資料!J292="","",IF(反向題設定!$C$13="是",反向題設定!$B$2+1-原始資料!J292,原始資料!J292))</f>
        <v/>
      </c>
      <c r="K292">
        <f>IF(原始資料!K292="","",IF(反向題設定!$C$14="是",反向題設定!$B$2+1-原始資料!K292,原始資料!K292))</f>
        <v/>
      </c>
      <c r="L292">
        <f>IF(原始資料!L292="","",IF(反向題設定!$C$15="是",反向題設定!$B$2+1-原始資料!L292,原始資料!L292))</f>
        <v/>
      </c>
      <c r="M292">
        <f>IF(原始資料!M292="","",IF(反向題設定!$C$16="是",反向題設定!$B$2+1-原始資料!M292,原始資料!M292))</f>
        <v/>
      </c>
      <c r="N292">
        <f>IF(原始資料!N292="","",IF(反向題設定!$C$17="是",反向題設定!$B$2+1-原始資料!N292,原始資料!N292))</f>
        <v/>
      </c>
      <c r="O292">
        <f>IF(原始資料!O292="","",IF(反向題設定!$C$18="是",反向題設定!$B$2+1-原始資料!O292,原始資料!O292))</f>
        <v/>
      </c>
      <c r="P292">
        <f>IF(原始資料!P292="","",IF(反向題設定!$C$19="是",反向題設定!$B$2+1-原始資料!P292,原始資料!P292))</f>
        <v/>
      </c>
      <c r="Q292">
        <f>IF(原始資料!Q292="","",IF(反向題設定!$C$20="是",反向題設定!$B$2+1-原始資料!Q292,原始資料!Q292))</f>
        <v/>
      </c>
      <c r="R292">
        <f>IF(原始資料!R292="","",IF(反向題設定!$C$21="是",反向題設定!$B$2+1-原始資料!R292,原始資料!R292))</f>
        <v/>
      </c>
      <c r="S292">
        <f>IF(原始資料!S292="","",IF(反向題設定!$C$22="是",反向題設定!$B$2+1-原始資料!S292,原始資料!S292))</f>
        <v/>
      </c>
      <c r="T292">
        <f>IF(原始資料!T292="","",IF(反向題設定!$C$23="是",反向題設定!$B$2+1-原始資料!T292,原始資料!T292))</f>
        <v/>
      </c>
      <c r="U292">
        <f>IF(原始資料!U292="","",IF(反向題設定!$C$24="是",反向題設定!$B$2+1-原始資料!U292,原始資料!U292))</f>
        <v/>
      </c>
      <c r="V292">
        <f>IF(原始資料!V292="","",IF(反向題設定!$C$25="是",反向題設定!$B$2+1-原始資料!V292,原始資料!V292))</f>
        <v/>
      </c>
      <c r="W292">
        <f>IF(原始資料!W292="","",IF(反向題設定!$C$26="是",反向題設定!$B$2+1-原始資料!W292,原始資料!W292))</f>
        <v/>
      </c>
      <c r="X292">
        <f>IF(原始資料!X292="","",IF(反向題設定!$C$27="是",反向題設定!$B$2+1-原始資料!X292,原始資料!X292))</f>
        <v/>
      </c>
      <c r="Y292">
        <f>IF(原始資料!Y292="","",IF(反向題設定!$C$28="是",反向題設定!$B$2+1-原始資料!Y292,原始資料!Y292))</f>
        <v/>
      </c>
      <c r="Z292">
        <f>IF(原始資料!Z292="","",IF(反向題設定!$C$29="是",反向題設定!$B$2+1-原始資料!Z292,原始資料!Z292))</f>
        <v/>
      </c>
      <c r="AA292">
        <f>IF(原始資料!AA292="","",IF(反向題設定!$C$30="是",反向題設定!$B$2+1-原始資料!AA292,原始資料!AA292))</f>
        <v/>
      </c>
      <c r="AB292">
        <f>IF(原始資料!AB292="","",IF(反向題設定!$C$31="是",反向題設定!$B$2+1-原始資料!AB292,原始資料!AB292))</f>
        <v/>
      </c>
      <c r="AC292">
        <f>IF(原始資料!AC292="","",IF(反向題設定!$C$32="是",反向題設定!$B$2+1-原始資料!AC292,原始資料!AC292))</f>
        <v/>
      </c>
      <c r="AD292">
        <f>IF(原始資料!AD292="","",IF(反向題設定!$C$33="是",反向題設定!$B$2+1-原始資料!AD292,原始資料!AD292))</f>
        <v/>
      </c>
      <c r="AE292">
        <f>IF(原始資料!AE292="","",IF(反向題設定!$C$34="是",反向題設定!$B$2+1-原始資料!AE292,原始資料!AE292))</f>
        <v/>
      </c>
      <c r="AF292">
        <f>IF(原始資料!AF292="","",IF(反向題設定!$C$35="是",反向題設定!$B$2+1-原始資料!AF292,原始資料!AF292))</f>
        <v/>
      </c>
      <c r="AG292">
        <f>IF(原始資料!AG292="","",IF(反向題設定!$C$36="是",反向題設定!$B$2+1-原始資料!AG292,原始資料!AG292))</f>
        <v/>
      </c>
      <c r="AH292">
        <f>IF(原始資料!AH292="","",IF(反向題設定!$C$37="是",反向題設定!$B$2+1-原始資料!AH292,原始資料!AH292))</f>
        <v/>
      </c>
      <c r="AI292">
        <f>IF(原始資料!AI292="","",IF(反向題設定!$C$38="是",反向題設定!$B$2+1-原始資料!AI292,原始資料!AI292))</f>
        <v/>
      </c>
      <c r="AJ292">
        <f>IF(原始資料!AJ292="","",IF(反向題設定!$C$39="是",反向題設定!$B$2+1-原始資料!AJ292,原始資料!AJ292))</f>
        <v/>
      </c>
      <c r="AK292">
        <f>IF(原始資料!AK292="","",IF(反向題設定!$C$40="是",反向題設定!$B$2+1-原始資料!AK292,原始資料!AK292))</f>
        <v/>
      </c>
      <c r="AL292">
        <f>IF(原始資料!AL292="","",IF(反向題設定!$C$41="是",反向題設定!$B$2+1-原始資料!AL292,原始資料!AL292))</f>
        <v/>
      </c>
      <c r="AM292">
        <f>IF(原始資料!AM292="","",IF(反向題設定!$C$42="是",反向題設定!$B$2+1-原始資料!AM292,原始資料!AM292))</f>
        <v/>
      </c>
      <c r="AN292">
        <f>IF(原始資料!AN292="","",IF(反向題設定!$C$43="是",反向題設定!$B$2+1-原始資料!AN292,原始資料!AN292))</f>
        <v/>
      </c>
      <c r="AO292">
        <f>IF(原始資料!AO292="","",IF(反向題設定!$C$44="是",反向題設定!$B$2+1-原始資料!AO292,原始資料!AO292))</f>
        <v/>
      </c>
      <c r="AP292">
        <f>IF(COUNT(B292:AO292)=0,"",SUM(B292:AO292))</f>
        <v/>
      </c>
      <c r="AQ292">
        <f>IF(AP292="","",IF(AP292&gt;=項目分析!$C$5,"高",IF(AP292&lt;=項目分析!$C$6,"低","")))</f>
        <v/>
      </c>
    </row>
    <row r="293">
      <c r="A293">
        <f>IF(原始資料!A293="","",原始資料!A293)</f>
        <v/>
      </c>
      <c r="B293">
        <f>IF(原始資料!B293="","",IF(反向題設定!$C$5="是",反向題設定!$B$2+1-原始資料!B293,原始資料!B293))</f>
        <v/>
      </c>
      <c r="C293">
        <f>IF(原始資料!C293="","",IF(反向題設定!$C$6="是",反向題設定!$B$2+1-原始資料!C293,原始資料!C293))</f>
        <v/>
      </c>
      <c r="D293">
        <f>IF(原始資料!D293="","",IF(反向題設定!$C$7="是",反向題設定!$B$2+1-原始資料!D293,原始資料!D293))</f>
        <v/>
      </c>
      <c r="E293">
        <f>IF(原始資料!E293="","",IF(反向題設定!$C$8="是",反向題設定!$B$2+1-原始資料!E293,原始資料!E293))</f>
        <v/>
      </c>
      <c r="F293">
        <f>IF(原始資料!F293="","",IF(反向題設定!$C$9="是",反向題設定!$B$2+1-原始資料!F293,原始資料!F293))</f>
        <v/>
      </c>
      <c r="G293">
        <f>IF(原始資料!G293="","",IF(反向題設定!$C$10="是",反向題設定!$B$2+1-原始資料!G293,原始資料!G293))</f>
        <v/>
      </c>
      <c r="H293">
        <f>IF(原始資料!H293="","",IF(反向題設定!$C$11="是",反向題設定!$B$2+1-原始資料!H293,原始資料!H293))</f>
        <v/>
      </c>
      <c r="I293">
        <f>IF(原始資料!I293="","",IF(反向題設定!$C$12="是",反向題設定!$B$2+1-原始資料!I293,原始資料!I293))</f>
        <v/>
      </c>
      <c r="J293">
        <f>IF(原始資料!J293="","",IF(反向題設定!$C$13="是",反向題設定!$B$2+1-原始資料!J293,原始資料!J293))</f>
        <v/>
      </c>
      <c r="K293">
        <f>IF(原始資料!K293="","",IF(反向題設定!$C$14="是",反向題設定!$B$2+1-原始資料!K293,原始資料!K293))</f>
        <v/>
      </c>
      <c r="L293">
        <f>IF(原始資料!L293="","",IF(反向題設定!$C$15="是",反向題設定!$B$2+1-原始資料!L293,原始資料!L293))</f>
        <v/>
      </c>
      <c r="M293">
        <f>IF(原始資料!M293="","",IF(反向題設定!$C$16="是",反向題設定!$B$2+1-原始資料!M293,原始資料!M293))</f>
        <v/>
      </c>
      <c r="N293">
        <f>IF(原始資料!N293="","",IF(反向題設定!$C$17="是",反向題設定!$B$2+1-原始資料!N293,原始資料!N293))</f>
        <v/>
      </c>
      <c r="O293">
        <f>IF(原始資料!O293="","",IF(反向題設定!$C$18="是",反向題設定!$B$2+1-原始資料!O293,原始資料!O293))</f>
        <v/>
      </c>
      <c r="P293">
        <f>IF(原始資料!P293="","",IF(反向題設定!$C$19="是",反向題設定!$B$2+1-原始資料!P293,原始資料!P293))</f>
        <v/>
      </c>
      <c r="Q293">
        <f>IF(原始資料!Q293="","",IF(反向題設定!$C$20="是",反向題設定!$B$2+1-原始資料!Q293,原始資料!Q293))</f>
        <v/>
      </c>
      <c r="R293">
        <f>IF(原始資料!R293="","",IF(反向題設定!$C$21="是",反向題設定!$B$2+1-原始資料!R293,原始資料!R293))</f>
        <v/>
      </c>
      <c r="S293">
        <f>IF(原始資料!S293="","",IF(反向題設定!$C$22="是",反向題設定!$B$2+1-原始資料!S293,原始資料!S293))</f>
        <v/>
      </c>
      <c r="T293">
        <f>IF(原始資料!T293="","",IF(反向題設定!$C$23="是",反向題設定!$B$2+1-原始資料!T293,原始資料!T293))</f>
        <v/>
      </c>
      <c r="U293">
        <f>IF(原始資料!U293="","",IF(反向題設定!$C$24="是",反向題設定!$B$2+1-原始資料!U293,原始資料!U293))</f>
        <v/>
      </c>
      <c r="V293">
        <f>IF(原始資料!V293="","",IF(反向題設定!$C$25="是",反向題設定!$B$2+1-原始資料!V293,原始資料!V293))</f>
        <v/>
      </c>
      <c r="W293">
        <f>IF(原始資料!W293="","",IF(反向題設定!$C$26="是",反向題設定!$B$2+1-原始資料!W293,原始資料!W293))</f>
        <v/>
      </c>
      <c r="X293">
        <f>IF(原始資料!X293="","",IF(反向題設定!$C$27="是",反向題設定!$B$2+1-原始資料!X293,原始資料!X293))</f>
        <v/>
      </c>
      <c r="Y293">
        <f>IF(原始資料!Y293="","",IF(反向題設定!$C$28="是",反向題設定!$B$2+1-原始資料!Y293,原始資料!Y293))</f>
        <v/>
      </c>
      <c r="Z293">
        <f>IF(原始資料!Z293="","",IF(反向題設定!$C$29="是",反向題設定!$B$2+1-原始資料!Z293,原始資料!Z293))</f>
        <v/>
      </c>
      <c r="AA293">
        <f>IF(原始資料!AA293="","",IF(反向題設定!$C$30="是",反向題設定!$B$2+1-原始資料!AA293,原始資料!AA293))</f>
        <v/>
      </c>
      <c r="AB293">
        <f>IF(原始資料!AB293="","",IF(反向題設定!$C$31="是",反向題設定!$B$2+1-原始資料!AB293,原始資料!AB293))</f>
        <v/>
      </c>
      <c r="AC293">
        <f>IF(原始資料!AC293="","",IF(反向題設定!$C$32="是",反向題設定!$B$2+1-原始資料!AC293,原始資料!AC293))</f>
        <v/>
      </c>
      <c r="AD293">
        <f>IF(原始資料!AD293="","",IF(反向題設定!$C$33="是",反向題設定!$B$2+1-原始資料!AD293,原始資料!AD293))</f>
        <v/>
      </c>
      <c r="AE293">
        <f>IF(原始資料!AE293="","",IF(反向題設定!$C$34="是",反向題設定!$B$2+1-原始資料!AE293,原始資料!AE293))</f>
        <v/>
      </c>
      <c r="AF293">
        <f>IF(原始資料!AF293="","",IF(反向題設定!$C$35="是",反向題設定!$B$2+1-原始資料!AF293,原始資料!AF293))</f>
        <v/>
      </c>
      <c r="AG293">
        <f>IF(原始資料!AG293="","",IF(反向題設定!$C$36="是",反向題設定!$B$2+1-原始資料!AG293,原始資料!AG293))</f>
        <v/>
      </c>
      <c r="AH293">
        <f>IF(原始資料!AH293="","",IF(反向題設定!$C$37="是",反向題設定!$B$2+1-原始資料!AH293,原始資料!AH293))</f>
        <v/>
      </c>
      <c r="AI293">
        <f>IF(原始資料!AI293="","",IF(反向題設定!$C$38="是",反向題設定!$B$2+1-原始資料!AI293,原始資料!AI293))</f>
        <v/>
      </c>
      <c r="AJ293">
        <f>IF(原始資料!AJ293="","",IF(反向題設定!$C$39="是",反向題設定!$B$2+1-原始資料!AJ293,原始資料!AJ293))</f>
        <v/>
      </c>
      <c r="AK293">
        <f>IF(原始資料!AK293="","",IF(反向題設定!$C$40="是",反向題設定!$B$2+1-原始資料!AK293,原始資料!AK293))</f>
        <v/>
      </c>
      <c r="AL293">
        <f>IF(原始資料!AL293="","",IF(反向題設定!$C$41="是",反向題設定!$B$2+1-原始資料!AL293,原始資料!AL293))</f>
        <v/>
      </c>
      <c r="AM293">
        <f>IF(原始資料!AM293="","",IF(反向題設定!$C$42="是",反向題設定!$B$2+1-原始資料!AM293,原始資料!AM293))</f>
        <v/>
      </c>
      <c r="AN293">
        <f>IF(原始資料!AN293="","",IF(反向題設定!$C$43="是",反向題設定!$B$2+1-原始資料!AN293,原始資料!AN293))</f>
        <v/>
      </c>
      <c r="AO293">
        <f>IF(原始資料!AO293="","",IF(反向題設定!$C$44="是",反向題設定!$B$2+1-原始資料!AO293,原始資料!AO293))</f>
        <v/>
      </c>
      <c r="AP293">
        <f>IF(COUNT(B293:AO293)=0,"",SUM(B293:AO293))</f>
        <v/>
      </c>
      <c r="AQ293">
        <f>IF(AP293="","",IF(AP293&gt;=項目分析!$C$5,"高",IF(AP293&lt;=項目分析!$C$6,"低","")))</f>
        <v/>
      </c>
    </row>
    <row r="294">
      <c r="A294">
        <f>IF(原始資料!A294="","",原始資料!A294)</f>
        <v/>
      </c>
      <c r="B294">
        <f>IF(原始資料!B294="","",IF(反向題設定!$C$5="是",反向題設定!$B$2+1-原始資料!B294,原始資料!B294))</f>
        <v/>
      </c>
      <c r="C294">
        <f>IF(原始資料!C294="","",IF(反向題設定!$C$6="是",反向題設定!$B$2+1-原始資料!C294,原始資料!C294))</f>
        <v/>
      </c>
      <c r="D294">
        <f>IF(原始資料!D294="","",IF(反向題設定!$C$7="是",反向題設定!$B$2+1-原始資料!D294,原始資料!D294))</f>
        <v/>
      </c>
      <c r="E294">
        <f>IF(原始資料!E294="","",IF(反向題設定!$C$8="是",反向題設定!$B$2+1-原始資料!E294,原始資料!E294))</f>
        <v/>
      </c>
      <c r="F294">
        <f>IF(原始資料!F294="","",IF(反向題設定!$C$9="是",反向題設定!$B$2+1-原始資料!F294,原始資料!F294))</f>
        <v/>
      </c>
      <c r="G294">
        <f>IF(原始資料!G294="","",IF(反向題設定!$C$10="是",反向題設定!$B$2+1-原始資料!G294,原始資料!G294))</f>
        <v/>
      </c>
      <c r="H294">
        <f>IF(原始資料!H294="","",IF(反向題設定!$C$11="是",反向題設定!$B$2+1-原始資料!H294,原始資料!H294))</f>
        <v/>
      </c>
      <c r="I294">
        <f>IF(原始資料!I294="","",IF(反向題設定!$C$12="是",反向題設定!$B$2+1-原始資料!I294,原始資料!I294))</f>
        <v/>
      </c>
      <c r="J294">
        <f>IF(原始資料!J294="","",IF(反向題設定!$C$13="是",反向題設定!$B$2+1-原始資料!J294,原始資料!J294))</f>
        <v/>
      </c>
      <c r="K294">
        <f>IF(原始資料!K294="","",IF(反向題設定!$C$14="是",反向題設定!$B$2+1-原始資料!K294,原始資料!K294))</f>
        <v/>
      </c>
      <c r="L294">
        <f>IF(原始資料!L294="","",IF(反向題設定!$C$15="是",反向題設定!$B$2+1-原始資料!L294,原始資料!L294))</f>
        <v/>
      </c>
      <c r="M294">
        <f>IF(原始資料!M294="","",IF(反向題設定!$C$16="是",反向題設定!$B$2+1-原始資料!M294,原始資料!M294))</f>
        <v/>
      </c>
      <c r="N294">
        <f>IF(原始資料!N294="","",IF(反向題設定!$C$17="是",反向題設定!$B$2+1-原始資料!N294,原始資料!N294))</f>
        <v/>
      </c>
      <c r="O294">
        <f>IF(原始資料!O294="","",IF(反向題設定!$C$18="是",反向題設定!$B$2+1-原始資料!O294,原始資料!O294))</f>
        <v/>
      </c>
      <c r="P294">
        <f>IF(原始資料!P294="","",IF(反向題設定!$C$19="是",反向題設定!$B$2+1-原始資料!P294,原始資料!P294))</f>
        <v/>
      </c>
      <c r="Q294">
        <f>IF(原始資料!Q294="","",IF(反向題設定!$C$20="是",反向題設定!$B$2+1-原始資料!Q294,原始資料!Q294))</f>
        <v/>
      </c>
      <c r="R294">
        <f>IF(原始資料!R294="","",IF(反向題設定!$C$21="是",反向題設定!$B$2+1-原始資料!R294,原始資料!R294))</f>
        <v/>
      </c>
      <c r="S294">
        <f>IF(原始資料!S294="","",IF(反向題設定!$C$22="是",反向題設定!$B$2+1-原始資料!S294,原始資料!S294))</f>
        <v/>
      </c>
      <c r="T294">
        <f>IF(原始資料!T294="","",IF(反向題設定!$C$23="是",反向題設定!$B$2+1-原始資料!T294,原始資料!T294))</f>
        <v/>
      </c>
      <c r="U294">
        <f>IF(原始資料!U294="","",IF(反向題設定!$C$24="是",反向題設定!$B$2+1-原始資料!U294,原始資料!U294))</f>
        <v/>
      </c>
      <c r="V294">
        <f>IF(原始資料!V294="","",IF(反向題設定!$C$25="是",反向題設定!$B$2+1-原始資料!V294,原始資料!V294))</f>
        <v/>
      </c>
      <c r="W294">
        <f>IF(原始資料!W294="","",IF(反向題設定!$C$26="是",反向題設定!$B$2+1-原始資料!W294,原始資料!W294))</f>
        <v/>
      </c>
      <c r="X294">
        <f>IF(原始資料!X294="","",IF(反向題設定!$C$27="是",反向題設定!$B$2+1-原始資料!X294,原始資料!X294))</f>
        <v/>
      </c>
      <c r="Y294">
        <f>IF(原始資料!Y294="","",IF(反向題設定!$C$28="是",反向題設定!$B$2+1-原始資料!Y294,原始資料!Y294))</f>
        <v/>
      </c>
      <c r="Z294">
        <f>IF(原始資料!Z294="","",IF(反向題設定!$C$29="是",反向題設定!$B$2+1-原始資料!Z294,原始資料!Z294))</f>
        <v/>
      </c>
      <c r="AA294">
        <f>IF(原始資料!AA294="","",IF(反向題設定!$C$30="是",反向題設定!$B$2+1-原始資料!AA294,原始資料!AA294))</f>
        <v/>
      </c>
      <c r="AB294">
        <f>IF(原始資料!AB294="","",IF(反向題設定!$C$31="是",反向題設定!$B$2+1-原始資料!AB294,原始資料!AB294))</f>
        <v/>
      </c>
      <c r="AC294">
        <f>IF(原始資料!AC294="","",IF(反向題設定!$C$32="是",反向題設定!$B$2+1-原始資料!AC294,原始資料!AC294))</f>
        <v/>
      </c>
      <c r="AD294">
        <f>IF(原始資料!AD294="","",IF(反向題設定!$C$33="是",反向題設定!$B$2+1-原始資料!AD294,原始資料!AD294))</f>
        <v/>
      </c>
      <c r="AE294">
        <f>IF(原始資料!AE294="","",IF(反向題設定!$C$34="是",反向題設定!$B$2+1-原始資料!AE294,原始資料!AE294))</f>
        <v/>
      </c>
      <c r="AF294">
        <f>IF(原始資料!AF294="","",IF(反向題設定!$C$35="是",反向題設定!$B$2+1-原始資料!AF294,原始資料!AF294))</f>
        <v/>
      </c>
      <c r="AG294">
        <f>IF(原始資料!AG294="","",IF(反向題設定!$C$36="是",反向題設定!$B$2+1-原始資料!AG294,原始資料!AG294))</f>
        <v/>
      </c>
      <c r="AH294">
        <f>IF(原始資料!AH294="","",IF(反向題設定!$C$37="是",反向題設定!$B$2+1-原始資料!AH294,原始資料!AH294))</f>
        <v/>
      </c>
      <c r="AI294">
        <f>IF(原始資料!AI294="","",IF(反向題設定!$C$38="是",反向題設定!$B$2+1-原始資料!AI294,原始資料!AI294))</f>
        <v/>
      </c>
      <c r="AJ294">
        <f>IF(原始資料!AJ294="","",IF(反向題設定!$C$39="是",反向題設定!$B$2+1-原始資料!AJ294,原始資料!AJ294))</f>
        <v/>
      </c>
      <c r="AK294">
        <f>IF(原始資料!AK294="","",IF(反向題設定!$C$40="是",反向題設定!$B$2+1-原始資料!AK294,原始資料!AK294))</f>
        <v/>
      </c>
      <c r="AL294">
        <f>IF(原始資料!AL294="","",IF(反向題設定!$C$41="是",反向題設定!$B$2+1-原始資料!AL294,原始資料!AL294))</f>
        <v/>
      </c>
      <c r="AM294">
        <f>IF(原始資料!AM294="","",IF(反向題設定!$C$42="是",反向題設定!$B$2+1-原始資料!AM294,原始資料!AM294))</f>
        <v/>
      </c>
      <c r="AN294">
        <f>IF(原始資料!AN294="","",IF(反向題設定!$C$43="是",反向題設定!$B$2+1-原始資料!AN294,原始資料!AN294))</f>
        <v/>
      </c>
      <c r="AO294">
        <f>IF(原始資料!AO294="","",IF(反向題設定!$C$44="是",反向題設定!$B$2+1-原始資料!AO294,原始資料!AO294))</f>
        <v/>
      </c>
      <c r="AP294">
        <f>IF(COUNT(B294:AO294)=0,"",SUM(B294:AO294))</f>
        <v/>
      </c>
      <c r="AQ294">
        <f>IF(AP294="","",IF(AP294&gt;=項目分析!$C$5,"高",IF(AP294&lt;=項目分析!$C$6,"低","")))</f>
        <v/>
      </c>
    </row>
    <row r="295">
      <c r="A295">
        <f>IF(原始資料!A295="","",原始資料!A295)</f>
        <v/>
      </c>
      <c r="B295">
        <f>IF(原始資料!B295="","",IF(反向題設定!$C$5="是",反向題設定!$B$2+1-原始資料!B295,原始資料!B295))</f>
        <v/>
      </c>
      <c r="C295">
        <f>IF(原始資料!C295="","",IF(反向題設定!$C$6="是",反向題設定!$B$2+1-原始資料!C295,原始資料!C295))</f>
        <v/>
      </c>
      <c r="D295">
        <f>IF(原始資料!D295="","",IF(反向題設定!$C$7="是",反向題設定!$B$2+1-原始資料!D295,原始資料!D295))</f>
        <v/>
      </c>
      <c r="E295">
        <f>IF(原始資料!E295="","",IF(反向題設定!$C$8="是",反向題設定!$B$2+1-原始資料!E295,原始資料!E295))</f>
        <v/>
      </c>
      <c r="F295">
        <f>IF(原始資料!F295="","",IF(反向題設定!$C$9="是",反向題設定!$B$2+1-原始資料!F295,原始資料!F295))</f>
        <v/>
      </c>
      <c r="G295">
        <f>IF(原始資料!G295="","",IF(反向題設定!$C$10="是",反向題設定!$B$2+1-原始資料!G295,原始資料!G295))</f>
        <v/>
      </c>
      <c r="H295">
        <f>IF(原始資料!H295="","",IF(反向題設定!$C$11="是",反向題設定!$B$2+1-原始資料!H295,原始資料!H295))</f>
        <v/>
      </c>
      <c r="I295">
        <f>IF(原始資料!I295="","",IF(反向題設定!$C$12="是",反向題設定!$B$2+1-原始資料!I295,原始資料!I295))</f>
        <v/>
      </c>
      <c r="J295">
        <f>IF(原始資料!J295="","",IF(反向題設定!$C$13="是",反向題設定!$B$2+1-原始資料!J295,原始資料!J295))</f>
        <v/>
      </c>
      <c r="K295">
        <f>IF(原始資料!K295="","",IF(反向題設定!$C$14="是",反向題設定!$B$2+1-原始資料!K295,原始資料!K295))</f>
        <v/>
      </c>
      <c r="L295">
        <f>IF(原始資料!L295="","",IF(反向題設定!$C$15="是",反向題設定!$B$2+1-原始資料!L295,原始資料!L295))</f>
        <v/>
      </c>
      <c r="M295">
        <f>IF(原始資料!M295="","",IF(反向題設定!$C$16="是",反向題設定!$B$2+1-原始資料!M295,原始資料!M295))</f>
        <v/>
      </c>
      <c r="N295">
        <f>IF(原始資料!N295="","",IF(反向題設定!$C$17="是",反向題設定!$B$2+1-原始資料!N295,原始資料!N295))</f>
        <v/>
      </c>
      <c r="O295">
        <f>IF(原始資料!O295="","",IF(反向題設定!$C$18="是",反向題設定!$B$2+1-原始資料!O295,原始資料!O295))</f>
        <v/>
      </c>
      <c r="P295">
        <f>IF(原始資料!P295="","",IF(反向題設定!$C$19="是",反向題設定!$B$2+1-原始資料!P295,原始資料!P295))</f>
        <v/>
      </c>
      <c r="Q295">
        <f>IF(原始資料!Q295="","",IF(反向題設定!$C$20="是",反向題設定!$B$2+1-原始資料!Q295,原始資料!Q295))</f>
        <v/>
      </c>
      <c r="R295">
        <f>IF(原始資料!R295="","",IF(反向題設定!$C$21="是",反向題設定!$B$2+1-原始資料!R295,原始資料!R295))</f>
        <v/>
      </c>
      <c r="S295">
        <f>IF(原始資料!S295="","",IF(反向題設定!$C$22="是",反向題設定!$B$2+1-原始資料!S295,原始資料!S295))</f>
        <v/>
      </c>
      <c r="T295">
        <f>IF(原始資料!T295="","",IF(反向題設定!$C$23="是",反向題設定!$B$2+1-原始資料!T295,原始資料!T295))</f>
        <v/>
      </c>
      <c r="U295">
        <f>IF(原始資料!U295="","",IF(反向題設定!$C$24="是",反向題設定!$B$2+1-原始資料!U295,原始資料!U295))</f>
        <v/>
      </c>
      <c r="V295">
        <f>IF(原始資料!V295="","",IF(反向題設定!$C$25="是",反向題設定!$B$2+1-原始資料!V295,原始資料!V295))</f>
        <v/>
      </c>
      <c r="W295">
        <f>IF(原始資料!W295="","",IF(反向題設定!$C$26="是",反向題設定!$B$2+1-原始資料!W295,原始資料!W295))</f>
        <v/>
      </c>
      <c r="X295">
        <f>IF(原始資料!X295="","",IF(反向題設定!$C$27="是",反向題設定!$B$2+1-原始資料!X295,原始資料!X295))</f>
        <v/>
      </c>
      <c r="Y295">
        <f>IF(原始資料!Y295="","",IF(反向題設定!$C$28="是",反向題設定!$B$2+1-原始資料!Y295,原始資料!Y295))</f>
        <v/>
      </c>
      <c r="Z295">
        <f>IF(原始資料!Z295="","",IF(反向題設定!$C$29="是",反向題設定!$B$2+1-原始資料!Z295,原始資料!Z295))</f>
        <v/>
      </c>
      <c r="AA295">
        <f>IF(原始資料!AA295="","",IF(反向題設定!$C$30="是",反向題設定!$B$2+1-原始資料!AA295,原始資料!AA295))</f>
        <v/>
      </c>
      <c r="AB295">
        <f>IF(原始資料!AB295="","",IF(反向題設定!$C$31="是",反向題設定!$B$2+1-原始資料!AB295,原始資料!AB295))</f>
        <v/>
      </c>
      <c r="AC295">
        <f>IF(原始資料!AC295="","",IF(反向題設定!$C$32="是",反向題設定!$B$2+1-原始資料!AC295,原始資料!AC295))</f>
        <v/>
      </c>
      <c r="AD295">
        <f>IF(原始資料!AD295="","",IF(反向題設定!$C$33="是",反向題設定!$B$2+1-原始資料!AD295,原始資料!AD295))</f>
        <v/>
      </c>
      <c r="AE295">
        <f>IF(原始資料!AE295="","",IF(反向題設定!$C$34="是",反向題設定!$B$2+1-原始資料!AE295,原始資料!AE295))</f>
        <v/>
      </c>
      <c r="AF295">
        <f>IF(原始資料!AF295="","",IF(反向題設定!$C$35="是",反向題設定!$B$2+1-原始資料!AF295,原始資料!AF295))</f>
        <v/>
      </c>
      <c r="AG295">
        <f>IF(原始資料!AG295="","",IF(反向題設定!$C$36="是",反向題設定!$B$2+1-原始資料!AG295,原始資料!AG295))</f>
        <v/>
      </c>
      <c r="AH295">
        <f>IF(原始資料!AH295="","",IF(反向題設定!$C$37="是",反向題設定!$B$2+1-原始資料!AH295,原始資料!AH295))</f>
        <v/>
      </c>
      <c r="AI295">
        <f>IF(原始資料!AI295="","",IF(反向題設定!$C$38="是",反向題設定!$B$2+1-原始資料!AI295,原始資料!AI295))</f>
        <v/>
      </c>
      <c r="AJ295">
        <f>IF(原始資料!AJ295="","",IF(反向題設定!$C$39="是",反向題設定!$B$2+1-原始資料!AJ295,原始資料!AJ295))</f>
        <v/>
      </c>
      <c r="AK295">
        <f>IF(原始資料!AK295="","",IF(反向題設定!$C$40="是",反向題設定!$B$2+1-原始資料!AK295,原始資料!AK295))</f>
        <v/>
      </c>
      <c r="AL295">
        <f>IF(原始資料!AL295="","",IF(反向題設定!$C$41="是",反向題設定!$B$2+1-原始資料!AL295,原始資料!AL295))</f>
        <v/>
      </c>
      <c r="AM295">
        <f>IF(原始資料!AM295="","",IF(反向題設定!$C$42="是",反向題設定!$B$2+1-原始資料!AM295,原始資料!AM295))</f>
        <v/>
      </c>
      <c r="AN295">
        <f>IF(原始資料!AN295="","",IF(反向題設定!$C$43="是",反向題設定!$B$2+1-原始資料!AN295,原始資料!AN295))</f>
        <v/>
      </c>
      <c r="AO295">
        <f>IF(原始資料!AO295="","",IF(反向題設定!$C$44="是",反向題設定!$B$2+1-原始資料!AO295,原始資料!AO295))</f>
        <v/>
      </c>
      <c r="AP295">
        <f>IF(COUNT(B295:AO295)=0,"",SUM(B295:AO295))</f>
        <v/>
      </c>
      <c r="AQ295">
        <f>IF(AP295="","",IF(AP295&gt;=項目分析!$C$5,"高",IF(AP295&lt;=項目分析!$C$6,"低","")))</f>
        <v/>
      </c>
    </row>
    <row r="296">
      <c r="A296">
        <f>IF(原始資料!A296="","",原始資料!A296)</f>
        <v/>
      </c>
      <c r="B296">
        <f>IF(原始資料!B296="","",IF(反向題設定!$C$5="是",反向題設定!$B$2+1-原始資料!B296,原始資料!B296))</f>
        <v/>
      </c>
      <c r="C296">
        <f>IF(原始資料!C296="","",IF(反向題設定!$C$6="是",反向題設定!$B$2+1-原始資料!C296,原始資料!C296))</f>
        <v/>
      </c>
      <c r="D296">
        <f>IF(原始資料!D296="","",IF(反向題設定!$C$7="是",反向題設定!$B$2+1-原始資料!D296,原始資料!D296))</f>
        <v/>
      </c>
      <c r="E296">
        <f>IF(原始資料!E296="","",IF(反向題設定!$C$8="是",反向題設定!$B$2+1-原始資料!E296,原始資料!E296))</f>
        <v/>
      </c>
      <c r="F296">
        <f>IF(原始資料!F296="","",IF(反向題設定!$C$9="是",反向題設定!$B$2+1-原始資料!F296,原始資料!F296))</f>
        <v/>
      </c>
      <c r="G296">
        <f>IF(原始資料!G296="","",IF(反向題設定!$C$10="是",反向題設定!$B$2+1-原始資料!G296,原始資料!G296))</f>
        <v/>
      </c>
      <c r="H296">
        <f>IF(原始資料!H296="","",IF(反向題設定!$C$11="是",反向題設定!$B$2+1-原始資料!H296,原始資料!H296))</f>
        <v/>
      </c>
      <c r="I296">
        <f>IF(原始資料!I296="","",IF(反向題設定!$C$12="是",反向題設定!$B$2+1-原始資料!I296,原始資料!I296))</f>
        <v/>
      </c>
      <c r="J296">
        <f>IF(原始資料!J296="","",IF(反向題設定!$C$13="是",反向題設定!$B$2+1-原始資料!J296,原始資料!J296))</f>
        <v/>
      </c>
      <c r="K296">
        <f>IF(原始資料!K296="","",IF(反向題設定!$C$14="是",反向題設定!$B$2+1-原始資料!K296,原始資料!K296))</f>
        <v/>
      </c>
      <c r="L296">
        <f>IF(原始資料!L296="","",IF(反向題設定!$C$15="是",反向題設定!$B$2+1-原始資料!L296,原始資料!L296))</f>
        <v/>
      </c>
      <c r="M296">
        <f>IF(原始資料!M296="","",IF(反向題設定!$C$16="是",反向題設定!$B$2+1-原始資料!M296,原始資料!M296))</f>
        <v/>
      </c>
      <c r="N296">
        <f>IF(原始資料!N296="","",IF(反向題設定!$C$17="是",反向題設定!$B$2+1-原始資料!N296,原始資料!N296))</f>
        <v/>
      </c>
      <c r="O296">
        <f>IF(原始資料!O296="","",IF(反向題設定!$C$18="是",反向題設定!$B$2+1-原始資料!O296,原始資料!O296))</f>
        <v/>
      </c>
      <c r="P296">
        <f>IF(原始資料!P296="","",IF(反向題設定!$C$19="是",反向題設定!$B$2+1-原始資料!P296,原始資料!P296))</f>
        <v/>
      </c>
      <c r="Q296">
        <f>IF(原始資料!Q296="","",IF(反向題設定!$C$20="是",反向題設定!$B$2+1-原始資料!Q296,原始資料!Q296))</f>
        <v/>
      </c>
      <c r="R296">
        <f>IF(原始資料!R296="","",IF(反向題設定!$C$21="是",反向題設定!$B$2+1-原始資料!R296,原始資料!R296))</f>
        <v/>
      </c>
      <c r="S296">
        <f>IF(原始資料!S296="","",IF(反向題設定!$C$22="是",反向題設定!$B$2+1-原始資料!S296,原始資料!S296))</f>
        <v/>
      </c>
      <c r="T296">
        <f>IF(原始資料!T296="","",IF(反向題設定!$C$23="是",反向題設定!$B$2+1-原始資料!T296,原始資料!T296))</f>
        <v/>
      </c>
      <c r="U296">
        <f>IF(原始資料!U296="","",IF(反向題設定!$C$24="是",反向題設定!$B$2+1-原始資料!U296,原始資料!U296))</f>
        <v/>
      </c>
      <c r="V296">
        <f>IF(原始資料!V296="","",IF(反向題設定!$C$25="是",反向題設定!$B$2+1-原始資料!V296,原始資料!V296))</f>
        <v/>
      </c>
      <c r="W296">
        <f>IF(原始資料!W296="","",IF(反向題設定!$C$26="是",反向題設定!$B$2+1-原始資料!W296,原始資料!W296))</f>
        <v/>
      </c>
      <c r="X296">
        <f>IF(原始資料!X296="","",IF(反向題設定!$C$27="是",反向題設定!$B$2+1-原始資料!X296,原始資料!X296))</f>
        <v/>
      </c>
      <c r="Y296">
        <f>IF(原始資料!Y296="","",IF(反向題設定!$C$28="是",反向題設定!$B$2+1-原始資料!Y296,原始資料!Y296))</f>
        <v/>
      </c>
      <c r="Z296">
        <f>IF(原始資料!Z296="","",IF(反向題設定!$C$29="是",反向題設定!$B$2+1-原始資料!Z296,原始資料!Z296))</f>
        <v/>
      </c>
      <c r="AA296">
        <f>IF(原始資料!AA296="","",IF(反向題設定!$C$30="是",反向題設定!$B$2+1-原始資料!AA296,原始資料!AA296))</f>
        <v/>
      </c>
      <c r="AB296">
        <f>IF(原始資料!AB296="","",IF(反向題設定!$C$31="是",反向題設定!$B$2+1-原始資料!AB296,原始資料!AB296))</f>
        <v/>
      </c>
      <c r="AC296">
        <f>IF(原始資料!AC296="","",IF(反向題設定!$C$32="是",反向題設定!$B$2+1-原始資料!AC296,原始資料!AC296))</f>
        <v/>
      </c>
      <c r="AD296">
        <f>IF(原始資料!AD296="","",IF(反向題設定!$C$33="是",反向題設定!$B$2+1-原始資料!AD296,原始資料!AD296))</f>
        <v/>
      </c>
      <c r="AE296">
        <f>IF(原始資料!AE296="","",IF(反向題設定!$C$34="是",反向題設定!$B$2+1-原始資料!AE296,原始資料!AE296))</f>
        <v/>
      </c>
      <c r="AF296">
        <f>IF(原始資料!AF296="","",IF(反向題設定!$C$35="是",反向題設定!$B$2+1-原始資料!AF296,原始資料!AF296))</f>
        <v/>
      </c>
      <c r="AG296">
        <f>IF(原始資料!AG296="","",IF(反向題設定!$C$36="是",反向題設定!$B$2+1-原始資料!AG296,原始資料!AG296))</f>
        <v/>
      </c>
      <c r="AH296">
        <f>IF(原始資料!AH296="","",IF(反向題設定!$C$37="是",反向題設定!$B$2+1-原始資料!AH296,原始資料!AH296))</f>
        <v/>
      </c>
      <c r="AI296">
        <f>IF(原始資料!AI296="","",IF(反向題設定!$C$38="是",反向題設定!$B$2+1-原始資料!AI296,原始資料!AI296))</f>
        <v/>
      </c>
      <c r="AJ296">
        <f>IF(原始資料!AJ296="","",IF(反向題設定!$C$39="是",反向題設定!$B$2+1-原始資料!AJ296,原始資料!AJ296))</f>
        <v/>
      </c>
      <c r="AK296">
        <f>IF(原始資料!AK296="","",IF(反向題設定!$C$40="是",反向題設定!$B$2+1-原始資料!AK296,原始資料!AK296))</f>
        <v/>
      </c>
      <c r="AL296">
        <f>IF(原始資料!AL296="","",IF(反向題設定!$C$41="是",反向題設定!$B$2+1-原始資料!AL296,原始資料!AL296))</f>
        <v/>
      </c>
      <c r="AM296">
        <f>IF(原始資料!AM296="","",IF(反向題設定!$C$42="是",反向題設定!$B$2+1-原始資料!AM296,原始資料!AM296))</f>
        <v/>
      </c>
      <c r="AN296">
        <f>IF(原始資料!AN296="","",IF(反向題設定!$C$43="是",反向題設定!$B$2+1-原始資料!AN296,原始資料!AN296))</f>
        <v/>
      </c>
      <c r="AO296">
        <f>IF(原始資料!AO296="","",IF(反向題設定!$C$44="是",反向題設定!$B$2+1-原始資料!AO296,原始資料!AO296))</f>
        <v/>
      </c>
      <c r="AP296">
        <f>IF(COUNT(B296:AO296)=0,"",SUM(B296:AO296))</f>
        <v/>
      </c>
      <c r="AQ296">
        <f>IF(AP296="","",IF(AP296&gt;=項目分析!$C$5,"高",IF(AP296&lt;=項目分析!$C$6,"低","")))</f>
        <v/>
      </c>
    </row>
    <row r="297">
      <c r="A297">
        <f>IF(原始資料!A297="","",原始資料!A297)</f>
        <v/>
      </c>
      <c r="B297">
        <f>IF(原始資料!B297="","",IF(反向題設定!$C$5="是",反向題設定!$B$2+1-原始資料!B297,原始資料!B297))</f>
        <v/>
      </c>
      <c r="C297">
        <f>IF(原始資料!C297="","",IF(反向題設定!$C$6="是",反向題設定!$B$2+1-原始資料!C297,原始資料!C297))</f>
        <v/>
      </c>
      <c r="D297">
        <f>IF(原始資料!D297="","",IF(反向題設定!$C$7="是",反向題設定!$B$2+1-原始資料!D297,原始資料!D297))</f>
        <v/>
      </c>
      <c r="E297">
        <f>IF(原始資料!E297="","",IF(反向題設定!$C$8="是",反向題設定!$B$2+1-原始資料!E297,原始資料!E297))</f>
        <v/>
      </c>
      <c r="F297">
        <f>IF(原始資料!F297="","",IF(反向題設定!$C$9="是",反向題設定!$B$2+1-原始資料!F297,原始資料!F297))</f>
        <v/>
      </c>
      <c r="G297">
        <f>IF(原始資料!G297="","",IF(反向題設定!$C$10="是",反向題設定!$B$2+1-原始資料!G297,原始資料!G297))</f>
        <v/>
      </c>
      <c r="H297">
        <f>IF(原始資料!H297="","",IF(反向題設定!$C$11="是",反向題設定!$B$2+1-原始資料!H297,原始資料!H297))</f>
        <v/>
      </c>
      <c r="I297">
        <f>IF(原始資料!I297="","",IF(反向題設定!$C$12="是",反向題設定!$B$2+1-原始資料!I297,原始資料!I297))</f>
        <v/>
      </c>
      <c r="J297">
        <f>IF(原始資料!J297="","",IF(反向題設定!$C$13="是",反向題設定!$B$2+1-原始資料!J297,原始資料!J297))</f>
        <v/>
      </c>
      <c r="K297">
        <f>IF(原始資料!K297="","",IF(反向題設定!$C$14="是",反向題設定!$B$2+1-原始資料!K297,原始資料!K297))</f>
        <v/>
      </c>
      <c r="L297">
        <f>IF(原始資料!L297="","",IF(反向題設定!$C$15="是",反向題設定!$B$2+1-原始資料!L297,原始資料!L297))</f>
        <v/>
      </c>
      <c r="M297">
        <f>IF(原始資料!M297="","",IF(反向題設定!$C$16="是",反向題設定!$B$2+1-原始資料!M297,原始資料!M297))</f>
        <v/>
      </c>
      <c r="N297">
        <f>IF(原始資料!N297="","",IF(反向題設定!$C$17="是",反向題設定!$B$2+1-原始資料!N297,原始資料!N297))</f>
        <v/>
      </c>
      <c r="O297">
        <f>IF(原始資料!O297="","",IF(反向題設定!$C$18="是",反向題設定!$B$2+1-原始資料!O297,原始資料!O297))</f>
        <v/>
      </c>
      <c r="P297">
        <f>IF(原始資料!P297="","",IF(反向題設定!$C$19="是",反向題設定!$B$2+1-原始資料!P297,原始資料!P297))</f>
        <v/>
      </c>
      <c r="Q297">
        <f>IF(原始資料!Q297="","",IF(反向題設定!$C$20="是",反向題設定!$B$2+1-原始資料!Q297,原始資料!Q297))</f>
        <v/>
      </c>
      <c r="R297">
        <f>IF(原始資料!R297="","",IF(反向題設定!$C$21="是",反向題設定!$B$2+1-原始資料!R297,原始資料!R297))</f>
        <v/>
      </c>
      <c r="S297">
        <f>IF(原始資料!S297="","",IF(反向題設定!$C$22="是",反向題設定!$B$2+1-原始資料!S297,原始資料!S297))</f>
        <v/>
      </c>
      <c r="T297">
        <f>IF(原始資料!T297="","",IF(反向題設定!$C$23="是",反向題設定!$B$2+1-原始資料!T297,原始資料!T297))</f>
        <v/>
      </c>
      <c r="U297">
        <f>IF(原始資料!U297="","",IF(反向題設定!$C$24="是",反向題設定!$B$2+1-原始資料!U297,原始資料!U297))</f>
        <v/>
      </c>
      <c r="V297">
        <f>IF(原始資料!V297="","",IF(反向題設定!$C$25="是",反向題設定!$B$2+1-原始資料!V297,原始資料!V297))</f>
        <v/>
      </c>
      <c r="W297">
        <f>IF(原始資料!W297="","",IF(反向題設定!$C$26="是",反向題設定!$B$2+1-原始資料!W297,原始資料!W297))</f>
        <v/>
      </c>
      <c r="X297">
        <f>IF(原始資料!X297="","",IF(反向題設定!$C$27="是",反向題設定!$B$2+1-原始資料!X297,原始資料!X297))</f>
        <v/>
      </c>
      <c r="Y297">
        <f>IF(原始資料!Y297="","",IF(反向題設定!$C$28="是",反向題設定!$B$2+1-原始資料!Y297,原始資料!Y297))</f>
        <v/>
      </c>
      <c r="Z297">
        <f>IF(原始資料!Z297="","",IF(反向題設定!$C$29="是",反向題設定!$B$2+1-原始資料!Z297,原始資料!Z297))</f>
        <v/>
      </c>
      <c r="AA297">
        <f>IF(原始資料!AA297="","",IF(反向題設定!$C$30="是",反向題設定!$B$2+1-原始資料!AA297,原始資料!AA297))</f>
        <v/>
      </c>
      <c r="AB297">
        <f>IF(原始資料!AB297="","",IF(反向題設定!$C$31="是",反向題設定!$B$2+1-原始資料!AB297,原始資料!AB297))</f>
        <v/>
      </c>
      <c r="AC297">
        <f>IF(原始資料!AC297="","",IF(反向題設定!$C$32="是",反向題設定!$B$2+1-原始資料!AC297,原始資料!AC297))</f>
        <v/>
      </c>
      <c r="AD297">
        <f>IF(原始資料!AD297="","",IF(反向題設定!$C$33="是",反向題設定!$B$2+1-原始資料!AD297,原始資料!AD297))</f>
        <v/>
      </c>
      <c r="AE297">
        <f>IF(原始資料!AE297="","",IF(反向題設定!$C$34="是",反向題設定!$B$2+1-原始資料!AE297,原始資料!AE297))</f>
        <v/>
      </c>
      <c r="AF297">
        <f>IF(原始資料!AF297="","",IF(反向題設定!$C$35="是",反向題設定!$B$2+1-原始資料!AF297,原始資料!AF297))</f>
        <v/>
      </c>
      <c r="AG297">
        <f>IF(原始資料!AG297="","",IF(反向題設定!$C$36="是",反向題設定!$B$2+1-原始資料!AG297,原始資料!AG297))</f>
        <v/>
      </c>
      <c r="AH297">
        <f>IF(原始資料!AH297="","",IF(反向題設定!$C$37="是",反向題設定!$B$2+1-原始資料!AH297,原始資料!AH297))</f>
        <v/>
      </c>
      <c r="AI297">
        <f>IF(原始資料!AI297="","",IF(反向題設定!$C$38="是",反向題設定!$B$2+1-原始資料!AI297,原始資料!AI297))</f>
        <v/>
      </c>
      <c r="AJ297">
        <f>IF(原始資料!AJ297="","",IF(反向題設定!$C$39="是",反向題設定!$B$2+1-原始資料!AJ297,原始資料!AJ297))</f>
        <v/>
      </c>
      <c r="AK297">
        <f>IF(原始資料!AK297="","",IF(反向題設定!$C$40="是",反向題設定!$B$2+1-原始資料!AK297,原始資料!AK297))</f>
        <v/>
      </c>
      <c r="AL297">
        <f>IF(原始資料!AL297="","",IF(反向題設定!$C$41="是",反向題設定!$B$2+1-原始資料!AL297,原始資料!AL297))</f>
        <v/>
      </c>
      <c r="AM297">
        <f>IF(原始資料!AM297="","",IF(反向題設定!$C$42="是",反向題設定!$B$2+1-原始資料!AM297,原始資料!AM297))</f>
        <v/>
      </c>
      <c r="AN297">
        <f>IF(原始資料!AN297="","",IF(反向題設定!$C$43="是",反向題設定!$B$2+1-原始資料!AN297,原始資料!AN297))</f>
        <v/>
      </c>
      <c r="AO297">
        <f>IF(原始資料!AO297="","",IF(反向題設定!$C$44="是",反向題設定!$B$2+1-原始資料!AO297,原始資料!AO297))</f>
        <v/>
      </c>
      <c r="AP297">
        <f>IF(COUNT(B297:AO297)=0,"",SUM(B297:AO297))</f>
        <v/>
      </c>
      <c r="AQ297">
        <f>IF(AP297="","",IF(AP297&gt;=項目分析!$C$5,"高",IF(AP297&lt;=項目分析!$C$6,"低","")))</f>
        <v/>
      </c>
    </row>
    <row r="298">
      <c r="A298">
        <f>IF(原始資料!A298="","",原始資料!A298)</f>
        <v/>
      </c>
      <c r="B298">
        <f>IF(原始資料!B298="","",IF(反向題設定!$C$5="是",反向題設定!$B$2+1-原始資料!B298,原始資料!B298))</f>
        <v/>
      </c>
      <c r="C298">
        <f>IF(原始資料!C298="","",IF(反向題設定!$C$6="是",反向題設定!$B$2+1-原始資料!C298,原始資料!C298))</f>
        <v/>
      </c>
      <c r="D298">
        <f>IF(原始資料!D298="","",IF(反向題設定!$C$7="是",反向題設定!$B$2+1-原始資料!D298,原始資料!D298))</f>
        <v/>
      </c>
      <c r="E298">
        <f>IF(原始資料!E298="","",IF(反向題設定!$C$8="是",反向題設定!$B$2+1-原始資料!E298,原始資料!E298))</f>
        <v/>
      </c>
      <c r="F298">
        <f>IF(原始資料!F298="","",IF(反向題設定!$C$9="是",反向題設定!$B$2+1-原始資料!F298,原始資料!F298))</f>
        <v/>
      </c>
      <c r="G298">
        <f>IF(原始資料!G298="","",IF(反向題設定!$C$10="是",反向題設定!$B$2+1-原始資料!G298,原始資料!G298))</f>
        <v/>
      </c>
      <c r="H298">
        <f>IF(原始資料!H298="","",IF(反向題設定!$C$11="是",反向題設定!$B$2+1-原始資料!H298,原始資料!H298))</f>
        <v/>
      </c>
      <c r="I298">
        <f>IF(原始資料!I298="","",IF(反向題設定!$C$12="是",反向題設定!$B$2+1-原始資料!I298,原始資料!I298))</f>
        <v/>
      </c>
      <c r="J298">
        <f>IF(原始資料!J298="","",IF(反向題設定!$C$13="是",反向題設定!$B$2+1-原始資料!J298,原始資料!J298))</f>
        <v/>
      </c>
      <c r="K298">
        <f>IF(原始資料!K298="","",IF(反向題設定!$C$14="是",反向題設定!$B$2+1-原始資料!K298,原始資料!K298))</f>
        <v/>
      </c>
      <c r="L298">
        <f>IF(原始資料!L298="","",IF(反向題設定!$C$15="是",反向題設定!$B$2+1-原始資料!L298,原始資料!L298))</f>
        <v/>
      </c>
      <c r="M298">
        <f>IF(原始資料!M298="","",IF(反向題設定!$C$16="是",反向題設定!$B$2+1-原始資料!M298,原始資料!M298))</f>
        <v/>
      </c>
      <c r="N298">
        <f>IF(原始資料!N298="","",IF(反向題設定!$C$17="是",反向題設定!$B$2+1-原始資料!N298,原始資料!N298))</f>
        <v/>
      </c>
      <c r="O298">
        <f>IF(原始資料!O298="","",IF(反向題設定!$C$18="是",反向題設定!$B$2+1-原始資料!O298,原始資料!O298))</f>
        <v/>
      </c>
      <c r="P298">
        <f>IF(原始資料!P298="","",IF(反向題設定!$C$19="是",反向題設定!$B$2+1-原始資料!P298,原始資料!P298))</f>
        <v/>
      </c>
      <c r="Q298">
        <f>IF(原始資料!Q298="","",IF(反向題設定!$C$20="是",反向題設定!$B$2+1-原始資料!Q298,原始資料!Q298))</f>
        <v/>
      </c>
      <c r="R298">
        <f>IF(原始資料!R298="","",IF(反向題設定!$C$21="是",反向題設定!$B$2+1-原始資料!R298,原始資料!R298))</f>
        <v/>
      </c>
      <c r="S298">
        <f>IF(原始資料!S298="","",IF(反向題設定!$C$22="是",反向題設定!$B$2+1-原始資料!S298,原始資料!S298))</f>
        <v/>
      </c>
      <c r="T298">
        <f>IF(原始資料!T298="","",IF(反向題設定!$C$23="是",反向題設定!$B$2+1-原始資料!T298,原始資料!T298))</f>
        <v/>
      </c>
      <c r="U298">
        <f>IF(原始資料!U298="","",IF(反向題設定!$C$24="是",反向題設定!$B$2+1-原始資料!U298,原始資料!U298))</f>
        <v/>
      </c>
      <c r="V298">
        <f>IF(原始資料!V298="","",IF(反向題設定!$C$25="是",反向題設定!$B$2+1-原始資料!V298,原始資料!V298))</f>
        <v/>
      </c>
      <c r="W298">
        <f>IF(原始資料!W298="","",IF(反向題設定!$C$26="是",反向題設定!$B$2+1-原始資料!W298,原始資料!W298))</f>
        <v/>
      </c>
      <c r="X298">
        <f>IF(原始資料!X298="","",IF(反向題設定!$C$27="是",反向題設定!$B$2+1-原始資料!X298,原始資料!X298))</f>
        <v/>
      </c>
      <c r="Y298">
        <f>IF(原始資料!Y298="","",IF(反向題設定!$C$28="是",反向題設定!$B$2+1-原始資料!Y298,原始資料!Y298))</f>
        <v/>
      </c>
      <c r="Z298">
        <f>IF(原始資料!Z298="","",IF(反向題設定!$C$29="是",反向題設定!$B$2+1-原始資料!Z298,原始資料!Z298))</f>
        <v/>
      </c>
      <c r="AA298">
        <f>IF(原始資料!AA298="","",IF(反向題設定!$C$30="是",反向題設定!$B$2+1-原始資料!AA298,原始資料!AA298))</f>
        <v/>
      </c>
      <c r="AB298">
        <f>IF(原始資料!AB298="","",IF(反向題設定!$C$31="是",反向題設定!$B$2+1-原始資料!AB298,原始資料!AB298))</f>
        <v/>
      </c>
      <c r="AC298">
        <f>IF(原始資料!AC298="","",IF(反向題設定!$C$32="是",反向題設定!$B$2+1-原始資料!AC298,原始資料!AC298))</f>
        <v/>
      </c>
      <c r="AD298">
        <f>IF(原始資料!AD298="","",IF(反向題設定!$C$33="是",反向題設定!$B$2+1-原始資料!AD298,原始資料!AD298))</f>
        <v/>
      </c>
      <c r="AE298">
        <f>IF(原始資料!AE298="","",IF(反向題設定!$C$34="是",反向題設定!$B$2+1-原始資料!AE298,原始資料!AE298))</f>
        <v/>
      </c>
      <c r="AF298">
        <f>IF(原始資料!AF298="","",IF(反向題設定!$C$35="是",反向題設定!$B$2+1-原始資料!AF298,原始資料!AF298))</f>
        <v/>
      </c>
      <c r="AG298">
        <f>IF(原始資料!AG298="","",IF(反向題設定!$C$36="是",反向題設定!$B$2+1-原始資料!AG298,原始資料!AG298))</f>
        <v/>
      </c>
      <c r="AH298">
        <f>IF(原始資料!AH298="","",IF(反向題設定!$C$37="是",反向題設定!$B$2+1-原始資料!AH298,原始資料!AH298))</f>
        <v/>
      </c>
      <c r="AI298">
        <f>IF(原始資料!AI298="","",IF(反向題設定!$C$38="是",反向題設定!$B$2+1-原始資料!AI298,原始資料!AI298))</f>
        <v/>
      </c>
      <c r="AJ298">
        <f>IF(原始資料!AJ298="","",IF(反向題設定!$C$39="是",反向題設定!$B$2+1-原始資料!AJ298,原始資料!AJ298))</f>
        <v/>
      </c>
      <c r="AK298">
        <f>IF(原始資料!AK298="","",IF(反向題設定!$C$40="是",反向題設定!$B$2+1-原始資料!AK298,原始資料!AK298))</f>
        <v/>
      </c>
      <c r="AL298">
        <f>IF(原始資料!AL298="","",IF(反向題設定!$C$41="是",反向題設定!$B$2+1-原始資料!AL298,原始資料!AL298))</f>
        <v/>
      </c>
      <c r="AM298">
        <f>IF(原始資料!AM298="","",IF(反向題設定!$C$42="是",反向題設定!$B$2+1-原始資料!AM298,原始資料!AM298))</f>
        <v/>
      </c>
      <c r="AN298">
        <f>IF(原始資料!AN298="","",IF(反向題設定!$C$43="是",反向題設定!$B$2+1-原始資料!AN298,原始資料!AN298))</f>
        <v/>
      </c>
      <c r="AO298">
        <f>IF(原始資料!AO298="","",IF(反向題設定!$C$44="是",反向題設定!$B$2+1-原始資料!AO298,原始資料!AO298))</f>
        <v/>
      </c>
      <c r="AP298">
        <f>IF(COUNT(B298:AO298)=0,"",SUM(B298:AO298))</f>
        <v/>
      </c>
      <c r="AQ298">
        <f>IF(AP298="","",IF(AP298&gt;=項目分析!$C$5,"高",IF(AP298&lt;=項目分析!$C$6,"低","")))</f>
        <v/>
      </c>
    </row>
    <row r="299">
      <c r="A299">
        <f>IF(原始資料!A299="","",原始資料!A299)</f>
        <v/>
      </c>
      <c r="B299">
        <f>IF(原始資料!B299="","",IF(反向題設定!$C$5="是",反向題設定!$B$2+1-原始資料!B299,原始資料!B299))</f>
        <v/>
      </c>
      <c r="C299">
        <f>IF(原始資料!C299="","",IF(反向題設定!$C$6="是",反向題設定!$B$2+1-原始資料!C299,原始資料!C299))</f>
        <v/>
      </c>
      <c r="D299">
        <f>IF(原始資料!D299="","",IF(反向題設定!$C$7="是",反向題設定!$B$2+1-原始資料!D299,原始資料!D299))</f>
        <v/>
      </c>
      <c r="E299">
        <f>IF(原始資料!E299="","",IF(反向題設定!$C$8="是",反向題設定!$B$2+1-原始資料!E299,原始資料!E299))</f>
        <v/>
      </c>
      <c r="F299">
        <f>IF(原始資料!F299="","",IF(反向題設定!$C$9="是",反向題設定!$B$2+1-原始資料!F299,原始資料!F299))</f>
        <v/>
      </c>
      <c r="G299">
        <f>IF(原始資料!G299="","",IF(反向題設定!$C$10="是",反向題設定!$B$2+1-原始資料!G299,原始資料!G299))</f>
        <v/>
      </c>
      <c r="H299">
        <f>IF(原始資料!H299="","",IF(反向題設定!$C$11="是",反向題設定!$B$2+1-原始資料!H299,原始資料!H299))</f>
        <v/>
      </c>
      <c r="I299">
        <f>IF(原始資料!I299="","",IF(反向題設定!$C$12="是",反向題設定!$B$2+1-原始資料!I299,原始資料!I299))</f>
        <v/>
      </c>
      <c r="J299">
        <f>IF(原始資料!J299="","",IF(反向題設定!$C$13="是",反向題設定!$B$2+1-原始資料!J299,原始資料!J299))</f>
        <v/>
      </c>
      <c r="K299">
        <f>IF(原始資料!K299="","",IF(反向題設定!$C$14="是",反向題設定!$B$2+1-原始資料!K299,原始資料!K299))</f>
        <v/>
      </c>
      <c r="L299">
        <f>IF(原始資料!L299="","",IF(反向題設定!$C$15="是",反向題設定!$B$2+1-原始資料!L299,原始資料!L299))</f>
        <v/>
      </c>
      <c r="M299">
        <f>IF(原始資料!M299="","",IF(反向題設定!$C$16="是",反向題設定!$B$2+1-原始資料!M299,原始資料!M299))</f>
        <v/>
      </c>
      <c r="N299">
        <f>IF(原始資料!N299="","",IF(反向題設定!$C$17="是",反向題設定!$B$2+1-原始資料!N299,原始資料!N299))</f>
        <v/>
      </c>
      <c r="O299">
        <f>IF(原始資料!O299="","",IF(反向題設定!$C$18="是",反向題設定!$B$2+1-原始資料!O299,原始資料!O299))</f>
        <v/>
      </c>
      <c r="P299">
        <f>IF(原始資料!P299="","",IF(反向題設定!$C$19="是",反向題設定!$B$2+1-原始資料!P299,原始資料!P299))</f>
        <v/>
      </c>
      <c r="Q299">
        <f>IF(原始資料!Q299="","",IF(反向題設定!$C$20="是",反向題設定!$B$2+1-原始資料!Q299,原始資料!Q299))</f>
        <v/>
      </c>
      <c r="R299">
        <f>IF(原始資料!R299="","",IF(反向題設定!$C$21="是",反向題設定!$B$2+1-原始資料!R299,原始資料!R299))</f>
        <v/>
      </c>
      <c r="S299">
        <f>IF(原始資料!S299="","",IF(反向題設定!$C$22="是",反向題設定!$B$2+1-原始資料!S299,原始資料!S299))</f>
        <v/>
      </c>
      <c r="T299">
        <f>IF(原始資料!T299="","",IF(反向題設定!$C$23="是",反向題設定!$B$2+1-原始資料!T299,原始資料!T299))</f>
        <v/>
      </c>
      <c r="U299">
        <f>IF(原始資料!U299="","",IF(反向題設定!$C$24="是",反向題設定!$B$2+1-原始資料!U299,原始資料!U299))</f>
        <v/>
      </c>
      <c r="V299">
        <f>IF(原始資料!V299="","",IF(反向題設定!$C$25="是",反向題設定!$B$2+1-原始資料!V299,原始資料!V299))</f>
        <v/>
      </c>
      <c r="W299">
        <f>IF(原始資料!W299="","",IF(反向題設定!$C$26="是",反向題設定!$B$2+1-原始資料!W299,原始資料!W299))</f>
        <v/>
      </c>
      <c r="X299">
        <f>IF(原始資料!X299="","",IF(反向題設定!$C$27="是",反向題設定!$B$2+1-原始資料!X299,原始資料!X299))</f>
        <v/>
      </c>
      <c r="Y299">
        <f>IF(原始資料!Y299="","",IF(反向題設定!$C$28="是",反向題設定!$B$2+1-原始資料!Y299,原始資料!Y299))</f>
        <v/>
      </c>
      <c r="Z299">
        <f>IF(原始資料!Z299="","",IF(反向題設定!$C$29="是",反向題設定!$B$2+1-原始資料!Z299,原始資料!Z299))</f>
        <v/>
      </c>
      <c r="AA299">
        <f>IF(原始資料!AA299="","",IF(反向題設定!$C$30="是",反向題設定!$B$2+1-原始資料!AA299,原始資料!AA299))</f>
        <v/>
      </c>
      <c r="AB299">
        <f>IF(原始資料!AB299="","",IF(反向題設定!$C$31="是",反向題設定!$B$2+1-原始資料!AB299,原始資料!AB299))</f>
        <v/>
      </c>
      <c r="AC299">
        <f>IF(原始資料!AC299="","",IF(反向題設定!$C$32="是",反向題設定!$B$2+1-原始資料!AC299,原始資料!AC299))</f>
        <v/>
      </c>
      <c r="AD299">
        <f>IF(原始資料!AD299="","",IF(反向題設定!$C$33="是",反向題設定!$B$2+1-原始資料!AD299,原始資料!AD299))</f>
        <v/>
      </c>
      <c r="AE299">
        <f>IF(原始資料!AE299="","",IF(反向題設定!$C$34="是",反向題設定!$B$2+1-原始資料!AE299,原始資料!AE299))</f>
        <v/>
      </c>
      <c r="AF299">
        <f>IF(原始資料!AF299="","",IF(反向題設定!$C$35="是",反向題設定!$B$2+1-原始資料!AF299,原始資料!AF299))</f>
        <v/>
      </c>
      <c r="AG299">
        <f>IF(原始資料!AG299="","",IF(反向題設定!$C$36="是",反向題設定!$B$2+1-原始資料!AG299,原始資料!AG299))</f>
        <v/>
      </c>
      <c r="AH299">
        <f>IF(原始資料!AH299="","",IF(反向題設定!$C$37="是",反向題設定!$B$2+1-原始資料!AH299,原始資料!AH299))</f>
        <v/>
      </c>
      <c r="AI299">
        <f>IF(原始資料!AI299="","",IF(反向題設定!$C$38="是",反向題設定!$B$2+1-原始資料!AI299,原始資料!AI299))</f>
        <v/>
      </c>
      <c r="AJ299">
        <f>IF(原始資料!AJ299="","",IF(反向題設定!$C$39="是",反向題設定!$B$2+1-原始資料!AJ299,原始資料!AJ299))</f>
        <v/>
      </c>
      <c r="AK299">
        <f>IF(原始資料!AK299="","",IF(反向題設定!$C$40="是",反向題設定!$B$2+1-原始資料!AK299,原始資料!AK299))</f>
        <v/>
      </c>
      <c r="AL299">
        <f>IF(原始資料!AL299="","",IF(反向題設定!$C$41="是",反向題設定!$B$2+1-原始資料!AL299,原始資料!AL299))</f>
        <v/>
      </c>
      <c r="AM299">
        <f>IF(原始資料!AM299="","",IF(反向題設定!$C$42="是",反向題設定!$B$2+1-原始資料!AM299,原始資料!AM299))</f>
        <v/>
      </c>
      <c r="AN299">
        <f>IF(原始資料!AN299="","",IF(反向題設定!$C$43="是",反向題設定!$B$2+1-原始資料!AN299,原始資料!AN299))</f>
        <v/>
      </c>
      <c r="AO299">
        <f>IF(原始資料!AO299="","",IF(反向題設定!$C$44="是",反向題設定!$B$2+1-原始資料!AO299,原始資料!AO299))</f>
        <v/>
      </c>
      <c r="AP299">
        <f>IF(COUNT(B299:AO299)=0,"",SUM(B299:AO299))</f>
        <v/>
      </c>
      <c r="AQ299">
        <f>IF(AP299="","",IF(AP299&gt;=項目分析!$C$5,"高",IF(AP299&lt;=項目分析!$C$6,"低","")))</f>
        <v/>
      </c>
    </row>
    <row r="300">
      <c r="A300">
        <f>IF(原始資料!A300="","",原始資料!A300)</f>
        <v/>
      </c>
      <c r="B300">
        <f>IF(原始資料!B300="","",IF(反向題設定!$C$5="是",反向題設定!$B$2+1-原始資料!B300,原始資料!B300))</f>
        <v/>
      </c>
      <c r="C300">
        <f>IF(原始資料!C300="","",IF(反向題設定!$C$6="是",反向題設定!$B$2+1-原始資料!C300,原始資料!C300))</f>
        <v/>
      </c>
      <c r="D300">
        <f>IF(原始資料!D300="","",IF(反向題設定!$C$7="是",反向題設定!$B$2+1-原始資料!D300,原始資料!D300))</f>
        <v/>
      </c>
      <c r="E300">
        <f>IF(原始資料!E300="","",IF(反向題設定!$C$8="是",反向題設定!$B$2+1-原始資料!E300,原始資料!E300))</f>
        <v/>
      </c>
      <c r="F300">
        <f>IF(原始資料!F300="","",IF(反向題設定!$C$9="是",反向題設定!$B$2+1-原始資料!F300,原始資料!F300))</f>
        <v/>
      </c>
      <c r="G300">
        <f>IF(原始資料!G300="","",IF(反向題設定!$C$10="是",反向題設定!$B$2+1-原始資料!G300,原始資料!G300))</f>
        <v/>
      </c>
      <c r="H300">
        <f>IF(原始資料!H300="","",IF(反向題設定!$C$11="是",反向題設定!$B$2+1-原始資料!H300,原始資料!H300))</f>
        <v/>
      </c>
      <c r="I300">
        <f>IF(原始資料!I300="","",IF(反向題設定!$C$12="是",反向題設定!$B$2+1-原始資料!I300,原始資料!I300))</f>
        <v/>
      </c>
      <c r="J300">
        <f>IF(原始資料!J300="","",IF(反向題設定!$C$13="是",反向題設定!$B$2+1-原始資料!J300,原始資料!J300))</f>
        <v/>
      </c>
      <c r="K300">
        <f>IF(原始資料!K300="","",IF(反向題設定!$C$14="是",反向題設定!$B$2+1-原始資料!K300,原始資料!K300))</f>
        <v/>
      </c>
      <c r="L300">
        <f>IF(原始資料!L300="","",IF(反向題設定!$C$15="是",反向題設定!$B$2+1-原始資料!L300,原始資料!L300))</f>
        <v/>
      </c>
      <c r="M300">
        <f>IF(原始資料!M300="","",IF(反向題設定!$C$16="是",反向題設定!$B$2+1-原始資料!M300,原始資料!M300))</f>
        <v/>
      </c>
      <c r="N300">
        <f>IF(原始資料!N300="","",IF(反向題設定!$C$17="是",反向題設定!$B$2+1-原始資料!N300,原始資料!N300))</f>
        <v/>
      </c>
      <c r="O300">
        <f>IF(原始資料!O300="","",IF(反向題設定!$C$18="是",反向題設定!$B$2+1-原始資料!O300,原始資料!O300))</f>
        <v/>
      </c>
      <c r="P300">
        <f>IF(原始資料!P300="","",IF(反向題設定!$C$19="是",反向題設定!$B$2+1-原始資料!P300,原始資料!P300))</f>
        <v/>
      </c>
      <c r="Q300">
        <f>IF(原始資料!Q300="","",IF(反向題設定!$C$20="是",反向題設定!$B$2+1-原始資料!Q300,原始資料!Q300))</f>
        <v/>
      </c>
      <c r="R300">
        <f>IF(原始資料!R300="","",IF(反向題設定!$C$21="是",反向題設定!$B$2+1-原始資料!R300,原始資料!R300))</f>
        <v/>
      </c>
      <c r="S300">
        <f>IF(原始資料!S300="","",IF(反向題設定!$C$22="是",反向題設定!$B$2+1-原始資料!S300,原始資料!S300))</f>
        <v/>
      </c>
      <c r="T300">
        <f>IF(原始資料!T300="","",IF(反向題設定!$C$23="是",反向題設定!$B$2+1-原始資料!T300,原始資料!T300))</f>
        <v/>
      </c>
      <c r="U300">
        <f>IF(原始資料!U300="","",IF(反向題設定!$C$24="是",反向題設定!$B$2+1-原始資料!U300,原始資料!U300))</f>
        <v/>
      </c>
      <c r="V300">
        <f>IF(原始資料!V300="","",IF(反向題設定!$C$25="是",反向題設定!$B$2+1-原始資料!V300,原始資料!V300))</f>
        <v/>
      </c>
      <c r="W300">
        <f>IF(原始資料!W300="","",IF(反向題設定!$C$26="是",反向題設定!$B$2+1-原始資料!W300,原始資料!W300))</f>
        <v/>
      </c>
      <c r="X300">
        <f>IF(原始資料!X300="","",IF(反向題設定!$C$27="是",反向題設定!$B$2+1-原始資料!X300,原始資料!X300))</f>
        <v/>
      </c>
      <c r="Y300">
        <f>IF(原始資料!Y300="","",IF(反向題設定!$C$28="是",反向題設定!$B$2+1-原始資料!Y300,原始資料!Y300))</f>
        <v/>
      </c>
      <c r="Z300">
        <f>IF(原始資料!Z300="","",IF(反向題設定!$C$29="是",反向題設定!$B$2+1-原始資料!Z300,原始資料!Z300))</f>
        <v/>
      </c>
      <c r="AA300">
        <f>IF(原始資料!AA300="","",IF(反向題設定!$C$30="是",反向題設定!$B$2+1-原始資料!AA300,原始資料!AA300))</f>
        <v/>
      </c>
      <c r="AB300">
        <f>IF(原始資料!AB300="","",IF(反向題設定!$C$31="是",反向題設定!$B$2+1-原始資料!AB300,原始資料!AB300))</f>
        <v/>
      </c>
      <c r="AC300">
        <f>IF(原始資料!AC300="","",IF(反向題設定!$C$32="是",反向題設定!$B$2+1-原始資料!AC300,原始資料!AC300))</f>
        <v/>
      </c>
      <c r="AD300">
        <f>IF(原始資料!AD300="","",IF(反向題設定!$C$33="是",反向題設定!$B$2+1-原始資料!AD300,原始資料!AD300))</f>
        <v/>
      </c>
      <c r="AE300">
        <f>IF(原始資料!AE300="","",IF(反向題設定!$C$34="是",反向題設定!$B$2+1-原始資料!AE300,原始資料!AE300))</f>
        <v/>
      </c>
      <c r="AF300">
        <f>IF(原始資料!AF300="","",IF(反向題設定!$C$35="是",反向題設定!$B$2+1-原始資料!AF300,原始資料!AF300))</f>
        <v/>
      </c>
      <c r="AG300">
        <f>IF(原始資料!AG300="","",IF(反向題設定!$C$36="是",反向題設定!$B$2+1-原始資料!AG300,原始資料!AG300))</f>
        <v/>
      </c>
      <c r="AH300">
        <f>IF(原始資料!AH300="","",IF(反向題設定!$C$37="是",反向題設定!$B$2+1-原始資料!AH300,原始資料!AH300))</f>
        <v/>
      </c>
      <c r="AI300">
        <f>IF(原始資料!AI300="","",IF(反向題設定!$C$38="是",反向題設定!$B$2+1-原始資料!AI300,原始資料!AI300))</f>
        <v/>
      </c>
      <c r="AJ300">
        <f>IF(原始資料!AJ300="","",IF(反向題設定!$C$39="是",反向題設定!$B$2+1-原始資料!AJ300,原始資料!AJ300))</f>
        <v/>
      </c>
      <c r="AK300">
        <f>IF(原始資料!AK300="","",IF(反向題設定!$C$40="是",反向題設定!$B$2+1-原始資料!AK300,原始資料!AK300))</f>
        <v/>
      </c>
      <c r="AL300">
        <f>IF(原始資料!AL300="","",IF(反向題設定!$C$41="是",反向題設定!$B$2+1-原始資料!AL300,原始資料!AL300))</f>
        <v/>
      </c>
      <c r="AM300">
        <f>IF(原始資料!AM300="","",IF(反向題設定!$C$42="是",反向題設定!$B$2+1-原始資料!AM300,原始資料!AM300))</f>
        <v/>
      </c>
      <c r="AN300">
        <f>IF(原始資料!AN300="","",IF(反向題設定!$C$43="是",反向題設定!$B$2+1-原始資料!AN300,原始資料!AN300))</f>
        <v/>
      </c>
      <c r="AO300">
        <f>IF(原始資料!AO300="","",IF(反向題設定!$C$44="是",反向題設定!$B$2+1-原始資料!AO300,原始資料!AO300))</f>
        <v/>
      </c>
      <c r="AP300">
        <f>IF(COUNT(B300:AO300)=0,"",SUM(B300:AO300))</f>
        <v/>
      </c>
      <c r="AQ300">
        <f>IF(AP300="","",IF(AP300&gt;=項目分析!$C$5,"高",IF(AP300&lt;=項目分析!$C$6,"低","")))</f>
        <v/>
      </c>
    </row>
    <row r="301">
      <c r="A301">
        <f>IF(原始資料!A301="","",原始資料!A301)</f>
        <v/>
      </c>
      <c r="B301">
        <f>IF(原始資料!B301="","",IF(反向題設定!$C$5="是",反向題設定!$B$2+1-原始資料!B301,原始資料!B301))</f>
        <v/>
      </c>
      <c r="C301">
        <f>IF(原始資料!C301="","",IF(反向題設定!$C$6="是",反向題設定!$B$2+1-原始資料!C301,原始資料!C301))</f>
        <v/>
      </c>
      <c r="D301">
        <f>IF(原始資料!D301="","",IF(反向題設定!$C$7="是",反向題設定!$B$2+1-原始資料!D301,原始資料!D301))</f>
        <v/>
      </c>
      <c r="E301">
        <f>IF(原始資料!E301="","",IF(反向題設定!$C$8="是",反向題設定!$B$2+1-原始資料!E301,原始資料!E301))</f>
        <v/>
      </c>
      <c r="F301">
        <f>IF(原始資料!F301="","",IF(反向題設定!$C$9="是",反向題設定!$B$2+1-原始資料!F301,原始資料!F301))</f>
        <v/>
      </c>
      <c r="G301">
        <f>IF(原始資料!G301="","",IF(反向題設定!$C$10="是",反向題設定!$B$2+1-原始資料!G301,原始資料!G301))</f>
        <v/>
      </c>
      <c r="H301">
        <f>IF(原始資料!H301="","",IF(反向題設定!$C$11="是",反向題設定!$B$2+1-原始資料!H301,原始資料!H301))</f>
        <v/>
      </c>
      <c r="I301">
        <f>IF(原始資料!I301="","",IF(反向題設定!$C$12="是",反向題設定!$B$2+1-原始資料!I301,原始資料!I301))</f>
        <v/>
      </c>
      <c r="J301">
        <f>IF(原始資料!J301="","",IF(反向題設定!$C$13="是",反向題設定!$B$2+1-原始資料!J301,原始資料!J301))</f>
        <v/>
      </c>
      <c r="K301">
        <f>IF(原始資料!K301="","",IF(反向題設定!$C$14="是",反向題設定!$B$2+1-原始資料!K301,原始資料!K301))</f>
        <v/>
      </c>
      <c r="L301">
        <f>IF(原始資料!L301="","",IF(反向題設定!$C$15="是",反向題設定!$B$2+1-原始資料!L301,原始資料!L301))</f>
        <v/>
      </c>
      <c r="M301">
        <f>IF(原始資料!M301="","",IF(反向題設定!$C$16="是",反向題設定!$B$2+1-原始資料!M301,原始資料!M301))</f>
        <v/>
      </c>
      <c r="N301">
        <f>IF(原始資料!N301="","",IF(反向題設定!$C$17="是",反向題設定!$B$2+1-原始資料!N301,原始資料!N301))</f>
        <v/>
      </c>
      <c r="O301">
        <f>IF(原始資料!O301="","",IF(反向題設定!$C$18="是",反向題設定!$B$2+1-原始資料!O301,原始資料!O301))</f>
        <v/>
      </c>
      <c r="P301">
        <f>IF(原始資料!P301="","",IF(反向題設定!$C$19="是",反向題設定!$B$2+1-原始資料!P301,原始資料!P301))</f>
        <v/>
      </c>
      <c r="Q301">
        <f>IF(原始資料!Q301="","",IF(反向題設定!$C$20="是",反向題設定!$B$2+1-原始資料!Q301,原始資料!Q301))</f>
        <v/>
      </c>
      <c r="R301">
        <f>IF(原始資料!R301="","",IF(反向題設定!$C$21="是",反向題設定!$B$2+1-原始資料!R301,原始資料!R301))</f>
        <v/>
      </c>
      <c r="S301">
        <f>IF(原始資料!S301="","",IF(反向題設定!$C$22="是",反向題設定!$B$2+1-原始資料!S301,原始資料!S301))</f>
        <v/>
      </c>
      <c r="T301">
        <f>IF(原始資料!T301="","",IF(反向題設定!$C$23="是",反向題設定!$B$2+1-原始資料!T301,原始資料!T301))</f>
        <v/>
      </c>
      <c r="U301">
        <f>IF(原始資料!U301="","",IF(反向題設定!$C$24="是",反向題設定!$B$2+1-原始資料!U301,原始資料!U301))</f>
        <v/>
      </c>
      <c r="V301">
        <f>IF(原始資料!V301="","",IF(反向題設定!$C$25="是",反向題設定!$B$2+1-原始資料!V301,原始資料!V301))</f>
        <v/>
      </c>
      <c r="W301">
        <f>IF(原始資料!W301="","",IF(反向題設定!$C$26="是",反向題設定!$B$2+1-原始資料!W301,原始資料!W301))</f>
        <v/>
      </c>
      <c r="X301">
        <f>IF(原始資料!X301="","",IF(反向題設定!$C$27="是",反向題設定!$B$2+1-原始資料!X301,原始資料!X301))</f>
        <v/>
      </c>
      <c r="Y301">
        <f>IF(原始資料!Y301="","",IF(反向題設定!$C$28="是",反向題設定!$B$2+1-原始資料!Y301,原始資料!Y301))</f>
        <v/>
      </c>
      <c r="Z301">
        <f>IF(原始資料!Z301="","",IF(反向題設定!$C$29="是",反向題設定!$B$2+1-原始資料!Z301,原始資料!Z301))</f>
        <v/>
      </c>
      <c r="AA301">
        <f>IF(原始資料!AA301="","",IF(反向題設定!$C$30="是",反向題設定!$B$2+1-原始資料!AA301,原始資料!AA301))</f>
        <v/>
      </c>
      <c r="AB301">
        <f>IF(原始資料!AB301="","",IF(反向題設定!$C$31="是",反向題設定!$B$2+1-原始資料!AB301,原始資料!AB301))</f>
        <v/>
      </c>
      <c r="AC301">
        <f>IF(原始資料!AC301="","",IF(反向題設定!$C$32="是",反向題設定!$B$2+1-原始資料!AC301,原始資料!AC301))</f>
        <v/>
      </c>
      <c r="AD301">
        <f>IF(原始資料!AD301="","",IF(反向題設定!$C$33="是",反向題設定!$B$2+1-原始資料!AD301,原始資料!AD301))</f>
        <v/>
      </c>
      <c r="AE301">
        <f>IF(原始資料!AE301="","",IF(反向題設定!$C$34="是",反向題設定!$B$2+1-原始資料!AE301,原始資料!AE301))</f>
        <v/>
      </c>
      <c r="AF301">
        <f>IF(原始資料!AF301="","",IF(反向題設定!$C$35="是",反向題設定!$B$2+1-原始資料!AF301,原始資料!AF301))</f>
        <v/>
      </c>
      <c r="AG301">
        <f>IF(原始資料!AG301="","",IF(反向題設定!$C$36="是",反向題設定!$B$2+1-原始資料!AG301,原始資料!AG301))</f>
        <v/>
      </c>
      <c r="AH301">
        <f>IF(原始資料!AH301="","",IF(反向題設定!$C$37="是",反向題設定!$B$2+1-原始資料!AH301,原始資料!AH301))</f>
        <v/>
      </c>
      <c r="AI301">
        <f>IF(原始資料!AI301="","",IF(反向題設定!$C$38="是",反向題設定!$B$2+1-原始資料!AI301,原始資料!AI301))</f>
        <v/>
      </c>
      <c r="AJ301">
        <f>IF(原始資料!AJ301="","",IF(反向題設定!$C$39="是",反向題設定!$B$2+1-原始資料!AJ301,原始資料!AJ301))</f>
        <v/>
      </c>
      <c r="AK301">
        <f>IF(原始資料!AK301="","",IF(反向題設定!$C$40="是",反向題設定!$B$2+1-原始資料!AK301,原始資料!AK301))</f>
        <v/>
      </c>
      <c r="AL301">
        <f>IF(原始資料!AL301="","",IF(反向題設定!$C$41="是",反向題設定!$B$2+1-原始資料!AL301,原始資料!AL301))</f>
        <v/>
      </c>
      <c r="AM301">
        <f>IF(原始資料!AM301="","",IF(反向題設定!$C$42="是",反向題設定!$B$2+1-原始資料!AM301,原始資料!AM301))</f>
        <v/>
      </c>
      <c r="AN301">
        <f>IF(原始資料!AN301="","",IF(反向題設定!$C$43="是",反向題設定!$B$2+1-原始資料!AN301,原始資料!AN301))</f>
        <v/>
      </c>
      <c r="AO301">
        <f>IF(原始資料!AO301="","",IF(反向題設定!$C$44="是",反向題設定!$B$2+1-原始資料!AO301,原始資料!AO301))</f>
        <v/>
      </c>
      <c r="AP301">
        <f>IF(COUNT(B301:AO301)=0,"",SUM(B301:AO301))</f>
        <v/>
      </c>
      <c r="AQ301">
        <f>IF(AP301="","",IF(AP301&gt;=項目分析!$C$5,"高",IF(AP301&lt;=項目分析!$C$6,"低","")))</f>
        <v/>
      </c>
    </row>
    <row r="302">
      <c r="A302">
        <f>IF(原始資料!A302="","",原始資料!A302)</f>
        <v/>
      </c>
      <c r="B302">
        <f>IF(原始資料!B302="","",IF(反向題設定!$C$5="是",反向題設定!$B$2+1-原始資料!B302,原始資料!B302))</f>
        <v/>
      </c>
      <c r="C302">
        <f>IF(原始資料!C302="","",IF(反向題設定!$C$6="是",反向題設定!$B$2+1-原始資料!C302,原始資料!C302))</f>
        <v/>
      </c>
      <c r="D302">
        <f>IF(原始資料!D302="","",IF(反向題設定!$C$7="是",反向題設定!$B$2+1-原始資料!D302,原始資料!D302))</f>
        <v/>
      </c>
      <c r="E302">
        <f>IF(原始資料!E302="","",IF(反向題設定!$C$8="是",反向題設定!$B$2+1-原始資料!E302,原始資料!E302))</f>
        <v/>
      </c>
      <c r="F302">
        <f>IF(原始資料!F302="","",IF(反向題設定!$C$9="是",反向題設定!$B$2+1-原始資料!F302,原始資料!F302))</f>
        <v/>
      </c>
      <c r="G302">
        <f>IF(原始資料!G302="","",IF(反向題設定!$C$10="是",反向題設定!$B$2+1-原始資料!G302,原始資料!G302))</f>
        <v/>
      </c>
      <c r="H302">
        <f>IF(原始資料!H302="","",IF(反向題設定!$C$11="是",反向題設定!$B$2+1-原始資料!H302,原始資料!H302))</f>
        <v/>
      </c>
      <c r="I302">
        <f>IF(原始資料!I302="","",IF(反向題設定!$C$12="是",反向題設定!$B$2+1-原始資料!I302,原始資料!I302))</f>
        <v/>
      </c>
      <c r="J302">
        <f>IF(原始資料!J302="","",IF(反向題設定!$C$13="是",反向題設定!$B$2+1-原始資料!J302,原始資料!J302))</f>
        <v/>
      </c>
      <c r="K302">
        <f>IF(原始資料!K302="","",IF(反向題設定!$C$14="是",反向題設定!$B$2+1-原始資料!K302,原始資料!K302))</f>
        <v/>
      </c>
      <c r="L302">
        <f>IF(原始資料!L302="","",IF(反向題設定!$C$15="是",反向題設定!$B$2+1-原始資料!L302,原始資料!L302))</f>
        <v/>
      </c>
      <c r="M302">
        <f>IF(原始資料!M302="","",IF(反向題設定!$C$16="是",反向題設定!$B$2+1-原始資料!M302,原始資料!M302))</f>
        <v/>
      </c>
      <c r="N302">
        <f>IF(原始資料!N302="","",IF(反向題設定!$C$17="是",反向題設定!$B$2+1-原始資料!N302,原始資料!N302))</f>
        <v/>
      </c>
      <c r="O302">
        <f>IF(原始資料!O302="","",IF(反向題設定!$C$18="是",反向題設定!$B$2+1-原始資料!O302,原始資料!O302))</f>
        <v/>
      </c>
      <c r="P302">
        <f>IF(原始資料!P302="","",IF(反向題設定!$C$19="是",反向題設定!$B$2+1-原始資料!P302,原始資料!P302))</f>
        <v/>
      </c>
      <c r="Q302">
        <f>IF(原始資料!Q302="","",IF(反向題設定!$C$20="是",反向題設定!$B$2+1-原始資料!Q302,原始資料!Q302))</f>
        <v/>
      </c>
      <c r="R302">
        <f>IF(原始資料!R302="","",IF(反向題設定!$C$21="是",反向題設定!$B$2+1-原始資料!R302,原始資料!R302))</f>
        <v/>
      </c>
      <c r="S302">
        <f>IF(原始資料!S302="","",IF(反向題設定!$C$22="是",反向題設定!$B$2+1-原始資料!S302,原始資料!S302))</f>
        <v/>
      </c>
      <c r="T302">
        <f>IF(原始資料!T302="","",IF(反向題設定!$C$23="是",反向題設定!$B$2+1-原始資料!T302,原始資料!T302))</f>
        <v/>
      </c>
      <c r="U302">
        <f>IF(原始資料!U302="","",IF(反向題設定!$C$24="是",反向題設定!$B$2+1-原始資料!U302,原始資料!U302))</f>
        <v/>
      </c>
      <c r="V302">
        <f>IF(原始資料!V302="","",IF(反向題設定!$C$25="是",反向題設定!$B$2+1-原始資料!V302,原始資料!V302))</f>
        <v/>
      </c>
      <c r="W302">
        <f>IF(原始資料!W302="","",IF(反向題設定!$C$26="是",反向題設定!$B$2+1-原始資料!W302,原始資料!W302))</f>
        <v/>
      </c>
      <c r="X302">
        <f>IF(原始資料!X302="","",IF(反向題設定!$C$27="是",反向題設定!$B$2+1-原始資料!X302,原始資料!X302))</f>
        <v/>
      </c>
      <c r="Y302">
        <f>IF(原始資料!Y302="","",IF(反向題設定!$C$28="是",反向題設定!$B$2+1-原始資料!Y302,原始資料!Y302))</f>
        <v/>
      </c>
      <c r="Z302">
        <f>IF(原始資料!Z302="","",IF(反向題設定!$C$29="是",反向題設定!$B$2+1-原始資料!Z302,原始資料!Z302))</f>
        <v/>
      </c>
      <c r="AA302">
        <f>IF(原始資料!AA302="","",IF(反向題設定!$C$30="是",反向題設定!$B$2+1-原始資料!AA302,原始資料!AA302))</f>
        <v/>
      </c>
      <c r="AB302">
        <f>IF(原始資料!AB302="","",IF(反向題設定!$C$31="是",反向題設定!$B$2+1-原始資料!AB302,原始資料!AB302))</f>
        <v/>
      </c>
      <c r="AC302">
        <f>IF(原始資料!AC302="","",IF(反向題設定!$C$32="是",反向題設定!$B$2+1-原始資料!AC302,原始資料!AC302))</f>
        <v/>
      </c>
      <c r="AD302">
        <f>IF(原始資料!AD302="","",IF(反向題設定!$C$33="是",反向題設定!$B$2+1-原始資料!AD302,原始資料!AD302))</f>
        <v/>
      </c>
      <c r="AE302">
        <f>IF(原始資料!AE302="","",IF(反向題設定!$C$34="是",反向題設定!$B$2+1-原始資料!AE302,原始資料!AE302))</f>
        <v/>
      </c>
      <c r="AF302">
        <f>IF(原始資料!AF302="","",IF(反向題設定!$C$35="是",反向題設定!$B$2+1-原始資料!AF302,原始資料!AF302))</f>
        <v/>
      </c>
      <c r="AG302">
        <f>IF(原始資料!AG302="","",IF(反向題設定!$C$36="是",反向題設定!$B$2+1-原始資料!AG302,原始資料!AG302))</f>
        <v/>
      </c>
      <c r="AH302">
        <f>IF(原始資料!AH302="","",IF(反向題設定!$C$37="是",反向題設定!$B$2+1-原始資料!AH302,原始資料!AH302))</f>
        <v/>
      </c>
      <c r="AI302">
        <f>IF(原始資料!AI302="","",IF(反向題設定!$C$38="是",反向題設定!$B$2+1-原始資料!AI302,原始資料!AI302))</f>
        <v/>
      </c>
      <c r="AJ302">
        <f>IF(原始資料!AJ302="","",IF(反向題設定!$C$39="是",反向題設定!$B$2+1-原始資料!AJ302,原始資料!AJ302))</f>
        <v/>
      </c>
      <c r="AK302">
        <f>IF(原始資料!AK302="","",IF(反向題設定!$C$40="是",反向題設定!$B$2+1-原始資料!AK302,原始資料!AK302))</f>
        <v/>
      </c>
      <c r="AL302">
        <f>IF(原始資料!AL302="","",IF(反向題設定!$C$41="是",反向題設定!$B$2+1-原始資料!AL302,原始資料!AL302))</f>
        <v/>
      </c>
      <c r="AM302">
        <f>IF(原始資料!AM302="","",IF(反向題設定!$C$42="是",反向題設定!$B$2+1-原始資料!AM302,原始資料!AM302))</f>
        <v/>
      </c>
      <c r="AN302">
        <f>IF(原始資料!AN302="","",IF(反向題設定!$C$43="是",反向題設定!$B$2+1-原始資料!AN302,原始資料!AN302))</f>
        <v/>
      </c>
      <c r="AO302">
        <f>IF(原始資料!AO302="","",IF(反向題設定!$C$44="是",反向題設定!$B$2+1-原始資料!AO302,原始資料!AO302))</f>
        <v/>
      </c>
      <c r="AP302">
        <f>IF(COUNT(B302:AO302)=0,"",SUM(B302:AO302))</f>
        <v/>
      </c>
      <c r="AQ302">
        <f>IF(AP302="","",IF(AP302&gt;=項目分析!$C$5,"高",IF(AP302&lt;=項目分析!$C$6,"低","")))</f>
        <v/>
      </c>
    </row>
    <row r="303">
      <c r="A303">
        <f>IF(原始資料!A303="","",原始資料!A303)</f>
        <v/>
      </c>
      <c r="B303">
        <f>IF(原始資料!B303="","",IF(反向題設定!$C$5="是",反向題設定!$B$2+1-原始資料!B303,原始資料!B303))</f>
        <v/>
      </c>
      <c r="C303">
        <f>IF(原始資料!C303="","",IF(反向題設定!$C$6="是",反向題設定!$B$2+1-原始資料!C303,原始資料!C303))</f>
        <v/>
      </c>
      <c r="D303">
        <f>IF(原始資料!D303="","",IF(反向題設定!$C$7="是",反向題設定!$B$2+1-原始資料!D303,原始資料!D303))</f>
        <v/>
      </c>
      <c r="E303">
        <f>IF(原始資料!E303="","",IF(反向題設定!$C$8="是",反向題設定!$B$2+1-原始資料!E303,原始資料!E303))</f>
        <v/>
      </c>
      <c r="F303">
        <f>IF(原始資料!F303="","",IF(反向題設定!$C$9="是",反向題設定!$B$2+1-原始資料!F303,原始資料!F303))</f>
        <v/>
      </c>
      <c r="G303">
        <f>IF(原始資料!G303="","",IF(反向題設定!$C$10="是",反向題設定!$B$2+1-原始資料!G303,原始資料!G303))</f>
        <v/>
      </c>
      <c r="H303">
        <f>IF(原始資料!H303="","",IF(反向題設定!$C$11="是",反向題設定!$B$2+1-原始資料!H303,原始資料!H303))</f>
        <v/>
      </c>
      <c r="I303">
        <f>IF(原始資料!I303="","",IF(反向題設定!$C$12="是",反向題設定!$B$2+1-原始資料!I303,原始資料!I303))</f>
        <v/>
      </c>
      <c r="J303">
        <f>IF(原始資料!J303="","",IF(反向題設定!$C$13="是",反向題設定!$B$2+1-原始資料!J303,原始資料!J303))</f>
        <v/>
      </c>
      <c r="K303">
        <f>IF(原始資料!K303="","",IF(反向題設定!$C$14="是",反向題設定!$B$2+1-原始資料!K303,原始資料!K303))</f>
        <v/>
      </c>
      <c r="L303">
        <f>IF(原始資料!L303="","",IF(反向題設定!$C$15="是",反向題設定!$B$2+1-原始資料!L303,原始資料!L303))</f>
        <v/>
      </c>
      <c r="M303">
        <f>IF(原始資料!M303="","",IF(反向題設定!$C$16="是",反向題設定!$B$2+1-原始資料!M303,原始資料!M303))</f>
        <v/>
      </c>
      <c r="N303">
        <f>IF(原始資料!N303="","",IF(反向題設定!$C$17="是",反向題設定!$B$2+1-原始資料!N303,原始資料!N303))</f>
        <v/>
      </c>
      <c r="O303">
        <f>IF(原始資料!O303="","",IF(反向題設定!$C$18="是",反向題設定!$B$2+1-原始資料!O303,原始資料!O303))</f>
        <v/>
      </c>
      <c r="P303">
        <f>IF(原始資料!P303="","",IF(反向題設定!$C$19="是",反向題設定!$B$2+1-原始資料!P303,原始資料!P303))</f>
        <v/>
      </c>
      <c r="Q303">
        <f>IF(原始資料!Q303="","",IF(反向題設定!$C$20="是",反向題設定!$B$2+1-原始資料!Q303,原始資料!Q303))</f>
        <v/>
      </c>
      <c r="R303">
        <f>IF(原始資料!R303="","",IF(反向題設定!$C$21="是",反向題設定!$B$2+1-原始資料!R303,原始資料!R303))</f>
        <v/>
      </c>
      <c r="S303">
        <f>IF(原始資料!S303="","",IF(反向題設定!$C$22="是",反向題設定!$B$2+1-原始資料!S303,原始資料!S303))</f>
        <v/>
      </c>
      <c r="T303">
        <f>IF(原始資料!T303="","",IF(反向題設定!$C$23="是",反向題設定!$B$2+1-原始資料!T303,原始資料!T303))</f>
        <v/>
      </c>
      <c r="U303">
        <f>IF(原始資料!U303="","",IF(反向題設定!$C$24="是",反向題設定!$B$2+1-原始資料!U303,原始資料!U303))</f>
        <v/>
      </c>
      <c r="V303">
        <f>IF(原始資料!V303="","",IF(反向題設定!$C$25="是",反向題設定!$B$2+1-原始資料!V303,原始資料!V303))</f>
        <v/>
      </c>
      <c r="W303">
        <f>IF(原始資料!W303="","",IF(反向題設定!$C$26="是",反向題設定!$B$2+1-原始資料!W303,原始資料!W303))</f>
        <v/>
      </c>
      <c r="X303">
        <f>IF(原始資料!X303="","",IF(反向題設定!$C$27="是",反向題設定!$B$2+1-原始資料!X303,原始資料!X303))</f>
        <v/>
      </c>
      <c r="Y303">
        <f>IF(原始資料!Y303="","",IF(反向題設定!$C$28="是",反向題設定!$B$2+1-原始資料!Y303,原始資料!Y303))</f>
        <v/>
      </c>
      <c r="Z303">
        <f>IF(原始資料!Z303="","",IF(反向題設定!$C$29="是",反向題設定!$B$2+1-原始資料!Z303,原始資料!Z303))</f>
        <v/>
      </c>
      <c r="AA303">
        <f>IF(原始資料!AA303="","",IF(反向題設定!$C$30="是",反向題設定!$B$2+1-原始資料!AA303,原始資料!AA303))</f>
        <v/>
      </c>
      <c r="AB303">
        <f>IF(原始資料!AB303="","",IF(反向題設定!$C$31="是",反向題設定!$B$2+1-原始資料!AB303,原始資料!AB303))</f>
        <v/>
      </c>
      <c r="AC303">
        <f>IF(原始資料!AC303="","",IF(反向題設定!$C$32="是",反向題設定!$B$2+1-原始資料!AC303,原始資料!AC303))</f>
        <v/>
      </c>
      <c r="AD303">
        <f>IF(原始資料!AD303="","",IF(反向題設定!$C$33="是",反向題設定!$B$2+1-原始資料!AD303,原始資料!AD303))</f>
        <v/>
      </c>
      <c r="AE303">
        <f>IF(原始資料!AE303="","",IF(反向題設定!$C$34="是",反向題設定!$B$2+1-原始資料!AE303,原始資料!AE303))</f>
        <v/>
      </c>
      <c r="AF303">
        <f>IF(原始資料!AF303="","",IF(反向題設定!$C$35="是",反向題設定!$B$2+1-原始資料!AF303,原始資料!AF303))</f>
        <v/>
      </c>
      <c r="AG303">
        <f>IF(原始資料!AG303="","",IF(反向題設定!$C$36="是",反向題設定!$B$2+1-原始資料!AG303,原始資料!AG303))</f>
        <v/>
      </c>
      <c r="AH303">
        <f>IF(原始資料!AH303="","",IF(反向題設定!$C$37="是",反向題設定!$B$2+1-原始資料!AH303,原始資料!AH303))</f>
        <v/>
      </c>
      <c r="AI303">
        <f>IF(原始資料!AI303="","",IF(反向題設定!$C$38="是",反向題設定!$B$2+1-原始資料!AI303,原始資料!AI303))</f>
        <v/>
      </c>
      <c r="AJ303">
        <f>IF(原始資料!AJ303="","",IF(反向題設定!$C$39="是",反向題設定!$B$2+1-原始資料!AJ303,原始資料!AJ303))</f>
        <v/>
      </c>
      <c r="AK303">
        <f>IF(原始資料!AK303="","",IF(反向題設定!$C$40="是",反向題設定!$B$2+1-原始資料!AK303,原始資料!AK303))</f>
        <v/>
      </c>
      <c r="AL303">
        <f>IF(原始資料!AL303="","",IF(反向題設定!$C$41="是",反向題設定!$B$2+1-原始資料!AL303,原始資料!AL303))</f>
        <v/>
      </c>
      <c r="AM303">
        <f>IF(原始資料!AM303="","",IF(反向題設定!$C$42="是",反向題設定!$B$2+1-原始資料!AM303,原始資料!AM303))</f>
        <v/>
      </c>
      <c r="AN303">
        <f>IF(原始資料!AN303="","",IF(反向題設定!$C$43="是",反向題設定!$B$2+1-原始資料!AN303,原始資料!AN303))</f>
        <v/>
      </c>
      <c r="AO303">
        <f>IF(原始資料!AO303="","",IF(反向題設定!$C$44="是",反向題設定!$B$2+1-原始資料!AO303,原始資料!AO303))</f>
        <v/>
      </c>
      <c r="AP303">
        <f>IF(COUNT(B303:AO303)=0,"",SUM(B303:AO303))</f>
        <v/>
      </c>
      <c r="AQ303">
        <f>IF(AP303="","",IF(AP303&gt;=項目分析!$C$5,"高",IF(AP303&lt;=項目分析!$C$6,"低","")))</f>
        <v/>
      </c>
    </row>
    <row r="304">
      <c r="A304">
        <f>IF(原始資料!A304="","",原始資料!A304)</f>
        <v/>
      </c>
      <c r="B304">
        <f>IF(原始資料!B304="","",IF(反向題設定!$C$5="是",反向題設定!$B$2+1-原始資料!B304,原始資料!B304))</f>
        <v/>
      </c>
      <c r="C304">
        <f>IF(原始資料!C304="","",IF(反向題設定!$C$6="是",反向題設定!$B$2+1-原始資料!C304,原始資料!C304))</f>
        <v/>
      </c>
      <c r="D304">
        <f>IF(原始資料!D304="","",IF(反向題設定!$C$7="是",反向題設定!$B$2+1-原始資料!D304,原始資料!D304))</f>
        <v/>
      </c>
      <c r="E304">
        <f>IF(原始資料!E304="","",IF(反向題設定!$C$8="是",反向題設定!$B$2+1-原始資料!E304,原始資料!E304))</f>
        <v/>
      </c>
      <c r="F304">
        <f>IF(原始資料!F304="","",IF(反向題設定!$C$9="是",反向題設定!$B$2+1-原始資料!F304,原始資料!F304))</f>
        <v/>
      </c>
      <c r="G304">
        <f>IF(原始資料!G304="","",IF(反向題設定!$C$10="是",反向題設定!$B$2+1-原始資料!G304,原始資料!G304))</f>
        <v/>
      </c>
      <c r="H304">
        <f>IF(原始資料!H304="","",IF(反向題設定!$C$11="是",反向題設定!$B$2+1-原始資料!H304,原始資料!H304))</f>
        <v/>
      </c>
      <c r="I304">
        <f>IF(原始資料!I304="","",IF(反向題設定!$C$12="是",反向題設定!$B$2+1-原始資料!I304,原始資料!I304))</f>
        <v/>
      </c>
      <c r="J304">
        <f>IF(原始資料!J304="","",IF(反向題設定!$C$13="是",反向題設定!$B$2+1-原始資料!J304,原始資料!J304))</f>
        <v/>
      </c>
      <c r="K304">
        <f>IF(原始資料!K304="","",IF(反向題設定!$C$14="是",反向題設定!$B$2+1-原始資料!K304,原始資料!K304))</f>
        <v/>
      </c>
      <c r="L304">
        <f>IF(原始資料!L304="","",IF(反向題設定!$C$15="是",反向題設定!$B$2+1-原始資料!L304,原始資料!L304))</f>
        <v/>
      </c>
      <c r="M304">
        <f>IF(原始資料!M304="","",IF(反向題設定!$C$16="是",反向題設定!$B$2+1-原始資料!M304,原始資料!M304))</f>
        <v/>
      </c>
      <c r="N304">
        <f>IF(原始資料!N304="","",IF(反向題設定!$C$17="是",反向題設定!$B$2+1-原始資料!N304,原始資料!N304))</f>
        <v/>
      </c>
      <c r="O304">
        <f>IF(原始資料!O304="","",IF(反向題設定!$C$18="是",反向題設定!$B$2+1-原始資料!O304,原始資料!O304))</f>
        <v/>
      </c>
      <c r="P304">
        <f>IF(原始資料!P304="","",IF(反向題設定!$C$19="是",反向題設定!$B$2+1-原始資料!P304,原始資料!P304))</f>
        <v/>
      </c>
      <c r="Q304">
        <f>IF(原始資料!Q304="","",IF(反向題設定!$C$20="是",反向題設定!$B$2+1-原始資料!Q304,原始資料!Q304))</f>
        <v/>
      </c>
      <c r="R304">
        <f>IF(原始資料!R304="","",IF(反向題設定!$C$21="是",反向題設定!$B$2+1-原始資料!R304,原始資料!R304))</f>
        <v/>
      </c>
      <c r="S304">
        <f>IF(原始資料!S304="","",IF(反向題設定!$C$22="是",反向題設定!$B$2+1-原始資料!S304,原始資料!S304))</f>
        <v/>
      </c>
      <c r="T304">
        <f>IF(原始資料!T304="","",IF(反向題設定!$C$23="是",反向題設定!$B$2+1-原始資料!T304,原始資料!T304))</f>
        <v/>
      </c>
      <c r="U304">
        <f>IF(原始資料!U304="","",IF(反向題設定!$C$24="是",反向題設定!$B$2+1-原始資料!U304,原始資料!U304))</f>
        <v/>
      </c>
      <c r="V304">
        <f>IF(原始資料!V304="","",IF(反向題設定!$C$25="是",反向題設定!$B$2+1-原始資料!V304,原始資料!V304))</f>
        <v/>
      </c>
      <c r="W304">
        <f>IF(原始資料!W304="","",IF(反向題設定!$C$26="是",反向題設定!$B$2+1-原始資料!W304,原始資料!W304))</f>
        <v/>
      </c>
      <c r="X304">
        <f>IF(原始資料!X304="","",IF(反向題設定!$C$27="是",反向題設定!$B$2+1-原始資料!X304,原始資料!X304))</f>
        <v/>
      </c>
      <c r="Y304">
        <f>IF(原始資料!Y304="","",IF(反向題設定!$C$28="是",反向題設定!$B$2+1-原始資料!Y304,原始資料!Y304))</f>
        <v/>
      </c>
      <c r="Z304">
        <f>IF(原始資料!Z304="","",IF(反向題設定!$C$29="是",反向題設定!$B$2+1-原始資料!Z304,原始資料!Z304))</f>
        <v/>
      </c>
      <c r="AA304">
        <f>IF(原始資料!AA304="","",IF(反向題設定!$C$30="是",反向題設定!$B$2+1-原始資料!AA304,原始資料!AA304))</f>
        <v/>
      </c>
      <c r="AB304">
        <f>IF(原始資料!AB304="","",IF(反向題設定!$C$31="是",反向題設定!$B$2+1-原始資料!AB304,原始資料!AB304))</f>
        <v/>
      </c>
      <c r="AC304">
        <f>IF(原始資料!AC304="","",IF(反向題設定!$C$32="是",反向題設定!$B$2+1-原始資料!AC304,原始資料!AC304))</f>
        <v/>
      </c>
      <c r="AD304">
        <f>IF(原始資料!AD304="","",IF(反向題設定!$C$33="是",反向題設定!$B$2+1-原始資料!AD304,原始資料!AD304))</f>
        <v/>
      </c>
      <c r="AE304">
        <f>IF(原始資料!AE304="","",IF(反向題設定!$C$34="是",反向題設定!$B$2+1-原始資料!AE304,原始資料!AE304))</f>
        <v/>
      </c>
      <c r="AF304">
        <f>IF(原始資料!AF304="","",IF(反向題設定!$C$35="是",反向題設定!$B$2+1-原始資料!AF304,原始資料!AF304))</f>
        <v/>
      </c>
      <c r="AG304">
        <f>IF(原始資料!AG304="","",IF(反向題設定!$C$36="是",反向題設定!$B$2+1-原始資料!AG304,原始資料!AG304))</f>
        <v/>
      </c>
      <c r="AH304">
        <f>IF(原始資料!AH304="","",IF(反向題設定!$C$37="是",反向題設定!$B$2+1-原始資料!AH304,原始資料!AH304))</f>
        <v/>
      </c>
      <c r="AI304">
        <f>IF(原始資料!AI304="","",IF(反向題設定!$C$38="是",反向題設定!$B$2+1-原始資料!AI304,原始資料!AI304))</f>
        <v/>
      </c>
      <c r="AJ304">
        <f>IF(原始資料!AJ304="","",IF(反向題設定!$C$39="是",反向題設定!$B$2+1-原始資料!AJ304,原始資料!AJ304))</f>
        <v/>
      </c>
      <c r="AK304">
        <f>IF(原始資料!AK304="","",IF(反向題設定!$C$40="是",反向題設定!$B$2+1-原始資料!AK304,原始資料!AK304))</f>
        <v/>
      </c>
      <c r="AL304">
        <f>IF(原始資料!AL304="","",IF(反向題設定!$C$41="是",反向題設定!$B$2+1-原始資料!AL304,原始資料!AL304))</f>
        <v/>
      </c>
      <c r="AM304">
        <f>IF(原始資料!AM304="","",IF(反向題設定!$C$42="是",反向題設定!$B$2+1-原始資料!AM304,原始資料!AM304))</f>
        <v/>
      </c>
      <c r="AN304">
        <f>IF(原始資料!AN304="","",IF(反向題設定!$C$43="是",反向題設定!$B$2+1-原始資料!AN304,原始資料!AN304))</f>
        <v/>
      </c>
      <c r="AO304">
        <f>IF(原始資料!AO304="","",IF(反向題設定!$C$44="是",反向題設定!$B$2+1-原始資料!AO304,原始資料!AO304))</f>
        <v/>
      </c>
      <c r="AP304">
        <f>IF(COUNT(B304:AO304)=0,"",SUM(B304:AO304))</f>
        <v/>
      </c>
      <c r="AQ304">
        <f>IF(AP304="","",IF(AP304&gt;=項目分析!$C$5,"高",IF(AP304&lt;=項目分析!$C$6,"低","")))</f>
        <v/>
      </c>
    </row>
    <row r="305">
      <c r="A305">
        <f>IF(原始資料!A305="","",原始資料!A305)</f>
        <v/>
      </c>
      <c r="B305">
        <f>IF(原始資料!B305="","",IF(反向題設定!$C$5="是",反向題設定!$B$2+1-原始資料!B305,原始資料!B305))</f>
        <v/>
      </c>
      <c r="C305">
        <f>IF(原始資料!C305="","",IF(反向題設定!$C$6="是",反向題設定!$B$2+1-原始資料!C305,原始資料!C305))</f>
        <v/>
      </c>
      <c r="D305">
        <f>IF(原始資料!D305="","",IF(反向題設定!$C$7="是",反向題設定!$B$2+1-原始資料!D305,原始資料!D305))</f>
        <v/>
      </c>
      <c r="E305">
        <f>IF(原始資料!E305="","",IF(反向題設定!$C$8="是",反向題設定!$B$2+1-原始資料!E305,原始資料!E305))</f>
        <v/>
      </c>
      <c r="F305">
        <f>IF(原始資料!F305="","",IF(反向題設定!$C$9="是",反向題設定!$B$2+1-原始資料!F305,原始資料!F305))</f>
        <v/>
      </c>
      <c r="G305">
        <f>IF(原始資料!G305="","",IF(反向題設定!$C$10="是",反向題設定!$B$2+1-原始資料!G305,原始資料!G305))</f>
        <v/>
      </c>
      <c r="H305">
        <f>IF(原始資料!H305="","",IF(反向題設定!$C$11="是",反向題設定!$B$2+1-原始資料!H305,原始資料!H305))</f>
        <v/>
      </c>
      <c r="I305">
        <f>IF(原始資料!I305="","",IF(反向題設定!$C$12="是",反向題設定!$B$2+1-原始資料!I305,原始資料!I305))</f>
        <v/>
      </c>
      <c r="J305">
        <f>IF(原始資料!J305="","",IF(反向題設定!$C$13="是",反向題設定!$B$2+1-原始資料!J305,原始資料!J305))</f>
        <v/>
      </c>
      <c r="K305">
        <f>IF(原始資料!K305="","",IF(反向題設定!$C$14="是",反向題設定!$B$2+1-原始資料!K305,原始資料!K305))</f>
        <v/>
      </c>
      <c r="L305">
        <f>IF(原始資料!L305="","",IF(反向題設定!$C$15="是",反向題設定!$B$2+1-原始資料!L305,原始資料!L305))</f>
        <v/>
      </c>
      <c r="M305">
        <f>IF(原始資料!M305="","",IF(反向題設定!$C$16="是",反向題設定!$B$2+1-原始資料!M305,原始資料!M305))</f>
        <v/>
      </c>
      <c r="N305">
        <f>IF(原始資料!N305="","",IF(反向題設定!$C$17="是",反向題設定!$B$2+1-原始資料!N305,原始資料!N305))</f>
        <v/>
      </c>
      <c r="O305">
        <f>IF(原始資料!O305="","",IF(反向題設定!$C$18="是",反向題設定!$B$2+1-原始資料!O305,原始資料!O305))</f>
        <v/>
      </c>
      <c r="P305">
        <f>IF(原始資料!P305="","",IF(反向題設定!$C$19="是",反向題設定!$B$2+1-原始資料!P305,原始資料!P305))</f>
        <v/>
      </c>
      <c r="Q305">
        <f>IF(原始資料!Q305="","",IF(反向題設定!$C$20="是",反向題設定!$B$2+1-原始資料!Q305,原始資料!Q305))</f>
        <v/>
      </c>
      <c r="R305">
        <f>IF(原始資料!R305="","",IF(反向題設定!$C$21="是",反向題設定!$B$2+1-原始資料!R305,原始資料!R305))</f>
        <v/>
      </c>
      <c r="S305">
        <f>IF(原始資料!S305="","",IF(反向題設定!$C$22="是",反向題設定!$B$2+1-原始資料!S305,原始資料!S305))</f>
        <v/>
      </c>
      <c r="T305">
        <f>IF(原始資料!T305="","",IF(反向題設定!$C$23="是",反向題設定!$B$2+1-原始資料!T305,原始資料!T305))</f>
        <v/>
      </c>
      <c r="U305">
        <f>IF(原始資料!U305="","",IF(反向題設定!$C$24="是",反向題設定!$B$2+1-原始資料!U305,原始資料!U305))</f>
        <v/>
      </c>
      <c r="V305">
        <f>IF(原始資料!V305="","",IF(反向題設定!$C$25="是",反向題設定!$B$2+1-原始資料!V305,原始資料!V305))</f>
        <v/>
      </c>
      <c r="W305">
        <f>IF(原始資料!W305="","",IF(反向題設定!$C$26="是",反向題設定!$B$2+1-原始資料!W305,原始資料!W305))</f>
        <v/>
      </c>
      <c r="X305">
        <f>IF(原始資料!X305="","",IF(反向題設定!$C$27="是",反向題設定!$B$2+1-原始資料!X305,原始資料!X305))</f>
        <v/>
      </c>
      <c r="Y305">
        <f>IF(原始資料!Y305="","",IF(反向題設定!$C$28="是",反向題設定!$B$2+1-原始資料!Y305,原始資料!Y305))</f>
        <v/>
      </c>
      <c r="Z305">
        <f>IF(原始資料!Z305="","",IF(反向題設定!$C$29="是",反向題設定!$B$2+1-原始資料!Z305,原始資料!Z305))</f>
        <v/>
      </c>
      <c r="AA305">
        <f>IF(原始資料!AA305="","",IF(反向題設定!$C$30="是",反向題設定!$B$2+1-原始資料!AA305,原始資料!AA305))</f>
        <v/>
      </c>
      <c r="AB305">
        <f>IF(原始資料!AB305="","",IF(反向題設定!$C$31="是",反向題設定!$B$2+1-原始資料!AB305,原始資料!AB305))</f>
        <v/>
      </c>
      <c r="AC305">
        <f>IF(原始資料!AC305="","",IF(反向題設定!$C$32="是",反向題設定!$B$2+1-原始資料!AC305,原始資料!AC305))</f>
        <v/>
      </c>
      <c r="AD305">
        <f>IF(原始資料!AD305="","",IF(反向題設定!$C$33="是",反向題設定!$B$2+1-原始資料!AD305,原始資料!AD305))</f>
        <v/>
      </c>
      <c r="AE305">
        <f>IF(原始資料!AE305="","",IF(反向題設定!$C$34="是",反向題設定!$B$2+1-原始資料!AE305,原始資料!AE305))</f>
        <v/>
      </c>
      <c r="AF305">
        <f>IF(原始資料!AF305="","",IF(反向題設定!$C$35="是",反向題設定!$B$2+1-原始資料!AF305,原始資料!AF305))</f>
        <v/>
      </c>
      <c r="AG305">
        <f>IF(原始資料!AG305="","",IF(反向題設定!$C$36="是",反向題設定!$B$2+1-原始資料!AG305,原始資料!AG305))</f>
        <v/>
      </c>
      <c r="AH305">
        <f>IF(原始資料!AH305="","",IF(反向題設定!$C$37="是",反向題設定!$B$2+1-原始資料!AH305,原始資料!AH305))</f>
        <v/>
      </c>
      <c r="AI305">
        <f>IF(原始資料!AI305="","",IF(反向題設定!$C$38="是",反向題設定!$B$2+1-原始資料!AI305,原始資料!AI305))</f>
        <v/>
      </c>
      <c r="AJ305">
        <f>IF(原始資料!AJ305="","",IF(反向題設定!$C$39="是",反向題設定!$B$2+1-原始資料!AJ305,原始資料!AJ305))</f>
        <v/>
      </c>
      <c r="AK305">
        <f>IF(原始資料!AK305="","",IF(反向題設定!$C$40="是",反向題設定!$B$2+1-原始資料!AK305,原始資料!AK305))</f>
        <v/>
      </c>
      <c r="AL305">
        <f>IF(原始資料!AL305="","",IF(反向題設定!$C$41="是",反向題設定!$B$2+1-原始資料!AL305,原始資料!AL305))</f>
        <v/>
      </c>
      <c r="AM305">
        <f>IF(原始資料!AM305="","",IF(反向題設定!$C$42="是",反向題設定!$B$2+1-原始資料!AM305,原始資料!AM305))</f>
        <v/>
      </c>
      <c r="AN305">
        <f>IF(原始資料!AN305="","",IF(反向題設定!$C$43="是",反向題設定!$B$2+1-原始資料!AN305,原始資料!AN305))</f>
        <v/>
      </c>
      <c r="AO305">
        <f>IF(原始資料!AO305="","",IF(反向題設定!$C$44="是",反向題設定!$B$2+1-原始資料!AO305,原始資料!AO305))</f>
        <v/>
      </c>
      <c r="AP305">
        <f>IF(COUNT(B305:AO305)=0,"",SUM(B305:AO305))</f>
        <v/>
      </c>
      <c r="AQ305">
        <f>IF(AP305="","",IF(AP305&gt;=項目分析!$C$5,"高",IF(AP305&lt;=項目分析!$C$6,"低","")))</f>
        <v/>
      </c>
    </row>
    <row r="306">
      <c r="A306">
        <f>IF(原始資料!A306="","",原始資料!A306)</f>
        <v/>
      </c>
      <c r="B306">
        <f>IF(原始資料!B306="","",IF(反向題設定!$C$5="是",反向題設定!$B$2+1-原始資料!B306,原始資料!B306))</f>
        <v/>
      </c>
      <c r="C306">
        <f>IF(原始資料!C306="","",IF(反向題設定!$C$6="是",反向題設定!$B$2+1-原始資料!C306,原始資料!C306))</f>
        <v/>
      </c>
      <c r="D306">
        <f>IF(原始資料!D306="","",IF(反向題設定!$C$7="是",反向題設定!$B$2+1-原始資料!D306,原始資料!D306))</f>
        <v/>
      </c>
      <c r="E306">
        <f>IF(原始資料!E306="","",IF(反向題設定!$C$8="是",反向題設定!$B$2+1-原始資料!E306,原始資料!E306))</f>
        <v/>
      </c>
      <c r="F306">
        <f>IF(原始資料!F306="","",IF(反向題設定!$C$9="是",反向題設定!$B$2+1-原始資料!F306,原始資料!F306))</f>
        <v/>
      </c>
      <c r="G306">
        <f>IF(原始資料!G306="","",IF(反向題設定!$C$10="是",反向題設定!$B$2+1-原始資料!G306,原始資料!G306))</f>
        <v/>
      </c>
      <c r="H306">
        <f>IF(原始資料!H306="","",IF(反向題設定!$C$11="是",反向題設定!$B$2+1-原始資料!H306,原始資料!H306))</f>
        <v/>
      </c>
      <c r="I306">
        <f>IF(原始資料!I306="","",IF(反向題設定!$C$12="是",反向題設定!$B$2+1-原始資料!I306,原始資料!I306))</f>
        <v/>
      </c>
      <c r="J306">
        <f>IF(原始資料!J306="","",IF(反向題設定!$C$13="是",反向題設定!$B$2+1-原始資料!J306,原始資料!J306))</f>
        <v/>
      </c>
      <c r="K306">
        <f>IF(原始資料!K306="","",IF(反向題設定!$C$14="是",反向題設定!$B$2+1-原始資料!K306,原始資料!K306))</f>
        <v/>
      </c>
      <c r="L306">
        <f>IF(原始資料!L306="","",IF(反向題設定!$C$15="是",反向題設定!$B$2+1-原始資料!L306,原始資料!L306))</f>
        <v/>
      </c>
      <c r="M306">
        <f>IF(原始資料!M306="","",IF(反向題設定!$C$16="是",反向題設定!$B$2+1-原始資料!M306,原始資料!M306))</f>
        <v/>
      </c>
      <c r="N306">
        <f>IF(原始資料!N306="","",IF(反向題設定!$C$17="是",反向題設定!$B$2+1-原始資料!N306,原始資料!N306))</f>
        <v/>
      </c>
      <c r="O306">
        <f>IF(原始資料!O306="","",IF(反向題設定!$C$18="是",反向題設定!$B$2+1-原始資料!O306,原始資料!O306))</f>
        <v/>
      </c>
      <c r="P306">
        <f>IF(原始資料!P306="","",IF(反向題設定!$C$19="是",反向題設定!$B$2+1-原始資料!P306,原始資料!P306))</f>
        <v/>
      </c>
      <c r="Q306">
        <f>IF(原始資料!Q306="","",IF(反向題設定!$C$20="是",反向題設定!$B$2+1-原始資料!Q306,原始資料!Q306))</f>
        <v/>
      </c>
      <c r="R306">
        <f>IF(原始資料!R306="","",IF(反向題設定!$C$21="是",反向題設定!$B$2+1-原始資料!R306,原始資料!R306))</f>
        <v/>
      </c>
      <c r="S306">
        <f>IF(原始資料!S306="","",IF(反向題設定!$C$22="是",反向題設定!$B$2+1-原始資料!S306,原始資料!S306))</f>
        <v/>
      </c>
      <c r="T306">
        <f>IF(原始資料!T306="","",IF(反向題設定!$C$23="是",反向題設定!$B$2+1-原始資料!T306,原始資料!T306))</f>
        <v/>
      </c>
      <c r="U306">
        <f>IF(原始資料!U306="","",IF(反向題設定!$C$24="是",反向題設定!$B$2+1-原始資料!U306,原始資料!U306))</f>
        <v/>
      </c>
      <c r="V306">
        <f>IF(原始資料!V306="","",IF(反向題設定!$C$25="是",反向題設定!$B$2+1-原始資料!V306,原始資料!V306))</f>
        <v/>
      </c>
      <c r="W306">
        <f>IF(原始資料!W306="","",IF(反向題設定!$C$26="是",反向題設定!$B$2+1-原始資料!W306,原始資料!W306))</f>
        <v/>
      </c>
      <c r="X306">
        <f>IF(原始資料!X306="","",IF(反向題設定!$C$27="是",反向題設定!$B$2+1-原始資料!X306,原始資料!X306))</f>
        <v/>
      </c>
      <c r="Y306">
        <f>IF(原始資料!Y306="","",IF(反向題設定!$C$28="是",反向題設定!$B$2+1-原始資料!Y306,原始資料!Y306))</f>
        <v/>
      </c>
      <c r="Z306">
        <f>IF(原始資料!Z306="","",IF(反向題設定!$C$29="是",反向題設定!$B$2+1-原始資料!Z306,原始資料!Z306))</f>
        <v/>
      </c>
      <c r="AA306">
        <f>IF(原始資料!AA306="","",IF(反向題設定!$C$30="是",反向題設定!$B$2+1-原始資料!AA306,原始資料!AA306))</f>
        <v/>
      </c>
      <c r="AB306">
        <f>IF(原始資料!AB306="","",IF(反向題設定!$C$31="是",反向題設定!$B$2+1-原始資料!AB306,原始資料!AB306))</f>
        <v/>
      </c>
      <c r="AC306">
        <f>IF(原始資料!AC306="","",IF(反向題設定!$C$32="是",反向題設定!$B$2+1-原始資料!AC306,原始資料!AC306))</f>
        <v/>
      </c>
      <c r="AD306">
        <f>IF(原始資料!AD306="","",IF(反向題設定!$C$33="是",反向題設定!$B$2+1-原始資料!AD306,原始資料!AD306))</f>
        <v/>
      </c>
      <c r="AE306">
        <f>IF(原始資料!AE306="","",IF(反向題設定!$C$34="是",反向題設定!$B$2+1-原始資料!AE306,原始資料!AE306))</f>
        <v/>
      </c>
      <c r="AF306">
        <f>IF(原始資料!AF306="","",IF(反向題設定!$C$35="是",反向題設定!$B$2+1-原始資料!AF306,原始資料!AF306))</f>
        <v/>
      </c>
      <c r="AG306">
        <f>IF(原始資料!AG306="","",IF(反向題設定!$C$36="是",反向題設定!$B$2+1-原始資料!AG306,原始資料!AG306))</f>
        <v/>
      </c>
      <c r="AH306">
        <f>IF(原始資料!AH306="","",IF(反向題設定!$C$37="是",反向題設定!$B$2+1-原始資料!AH306,原始資料!AH306))</f>
        <v/>
      </c>
      <c r="AI306">
        <f>IF(原始資料!AI306="","",IF(反向題設定!$C$38="是",反向題設定!$B$2+1-原始資料!AI306,原始資料!AI306))</f>
        <v/>
      </c>
      <c r="AJ306">
        <f>IF(原始資料!AJ306="","",IF(反向題設定!$C$39="是",反向題設定!$B$2+1-原始資料!AJ306,原始資料!AJ306))</f>
        <v/>
      </c>
      <c r="AK306">
        <f>IF(原始資料!AK306="","",IF(反向題設定!$C$40="是",反向題設定!$B$2+1-原始資料!AK306,原始資料!AK306))</f>
        <v/>
      </c>
      <c r="AL306">
        <f>IF(原始資料!AL306="","",IF(反向題設定!$C$41="是",反向題設定!$B$2+1-原始資料!AL306,原始資料!AL306))</f>
        <v/>
      </c>
      <c r="AM306">
        <f>IF(原始資料!AM306="","",IF(反向題設定!$C$42="是",反向題設定!$B$2+1-原始資料!AM306,原始資料!AM306))</f>
        <v/>
      </c>
      <c r="AN306">
        <f>IF(原始資料!AN306="","",IF(反向題設定!$C$43="是",反向題設定!$B$2+1-原始資料!AN306,原始資料!AN306))</f>
        <v/>
      </c>
      <c r="AO306">
        <f>IF(原始資料!AO306="","",IF(反向題設定!$C$44="是",反向題設定!$B$2+1-原始資料!AO306,原始資料!AO306))</f>
        <v/>
      </c>
      <c r="AP306">
        <f>IF(COUNT(B306:AO306)=0,"",SUM(B306:AO306))</f>
        <v/>
      </c>
      <c r="AQ306">
        <f>IF(AP306="","",IF(AP306&gt;=項目分析!$C$5,"高",IF(AP306&lt;=項目分析!$C$6,"低","")))</f>
        <v/>
      </c>
    </row>
    <row r="307">
      <c r="A307">
        <f>IF(原始資料!A307="","",原始資料!A307)</f>
        <v/>
      </c>
      <c r="B307">
        <f>IF(原始資料!B307="","",IF(反向題設定!$C$5="是",反向題設定!$B$2+1-原始資料!B307,原始資料!B307))</f>
        <v/>
      </c>
      <c r="C307">
        <f>IF(原始資料!C307="","",IF(反向題設定!$C$6="是",反向題設定!$B$2+1-原始資料!C307,原始資料!C307))</f>
        <v/>
      </c>
      <c r="D307">
        <f>IF(原始資料!D307="","",IF(反向題設定!$C$7="是",反向題設定!$B$2+1-原始資料!D307,原始資料!D307))</f>
        <v/>
      </c>
      <c r="E307">
        <f>IF(原始資料!E307="","",IF(反向題設定!$C$8="是",反向題設定!$B$2+1-原始資料!E307,原始資料!E307))</f>
        <v/>
      </c>
      <c r="F307">
        <f>IF(原始資料!F307="","",IF(反向題設定!$C$9="是",反向題設定!$B$2+1-原始資料!F307,原始資料!F307))</f>
        <v/>
      </c>
      <c r="G307">
        <f>IF(原始資料!G307="","",IF(反向題設定!$C$10="是",反向題設定!$B$2+1-原始資料!G307,原始資料!G307))</f>
        <v/>
      </c>
      <c r="H307">
        <f>IF(原始資料!H307="","",IF(反向題設定!$C$11="是",反向題設定!$B$2+1-原始資料!H307,原始資料!H307))</f>
        <v/>
      </c>
      <c r="I307">
        <f>IF(原始資料!I307="","",IF(反向題設定!$C$12="是",反向題設定!$B$2+1-原始資料!I307,原始資料!I307))</f>
        <v/>
      </c>
      <c r="J307">
        <f>IF(原始資料!J307="","",IF(反向題設定!$C$13="是",反向題設定!$B$2+1-原始資料!J307,原始資料!J307))</f>
        <v/>
      </c>
      <c r="K307">
        <f>IF(原始資料!K307="","",IF(反向題設定!$C$14="是",反向題設定!$B$2+1-原始資料!K307,原始資料!K307))</f>
        <v/>
      </c>
      <c r="L307">
        <f>IF(原始資料!L307="","",IF(反向題設定!$C$15="是",反向題設定!$B$2+1-原始資料!L307,原始資料!L307))</f>
        <v/>
      </c>
      <c r="M307">
        <f>IF(原始資料!M307="","",IF(反向題設定!$C$16="是",反向題設定!$B$2+1-原始資料!M307,原始資料!M307))</f>
        <v/>
      </c>
      <c r="N307">
        <f>IF(原始資料!N307="","",IF(反向題設定!$C$17="是",反向題設定!$B$2+1-原始資料!N307,原始資料!N307))</f>
        <v/>
      </c>
      <c r="O307">
        <f>IF(原始資料!O307="","",IF(反向題設定!$C$18="是",反向題設定!$B$2+1-原始資料!O307,原始資料!O307))</f>
        <v/>
      </c>
      <c r="P307">
        <f>IF(原始資料!P307="","",IF(反向題設定!$C$19="是",反向題設定!$B$2+1-原始資料!P307,原始資料!P307))</f>
        <v/>
      </c>
      <c r="Q307">
        <f>IF(原始資料!Q307="","",IF(反向題設定!$C$20="是",反向題設定!$B$2+1-原始資料!Q307,原始資料!Q307))</f>
        <v/>
      </c>
      <c r="R307">
        <f>IF(原始資料!R307="","",IF(反向題設定!$C$21="是",反向題設定!$B$2+1-原始資料!R307,原始資料!R307))</f>
        <v/>
      </c>
      <c r="S307">
        <f>IF(原始資料!S307="","",IF(反向題設定!$C$22="是",反向題設定!$B$2+1-原始資料!S307,原始資料!S307))</f>
        <v/>
      </c>
      <c r="T307">
        <f>IF(原始資料!T307="","",IF(反向題設定!$C$23="是",反向題設定!$B$2+1-原始資料!T307,原始資料!T307))</f>
        <v/>
      </c>
      <c r="U307">
        <f>IF(原始資料!U307="","",IF(反向題設定!$C$24="是",反向題設定!$B$2+1-原始資料!U307,原始資料!U307))</f>
        <v/>
      </c>
      <c r="V307">
        <f>IF(原始資料!V307="","",IF(反向題設定!$C$25="是",反向題設定!$B$2+1-原始資料!V307,原始資料!V307))</f>
        <v/>
      </c>
      <c r="W307">
        <f>IF(原始資料!W307="","",IF(反向題設定!$C$26="是",反向題設定!$B$2+1-原始資料!W307,原始資料!W307))</f>
        <v/>
      </c>
      <c r="X307">
        <f>IF(原始資料!X307="","",IF(反向題設定!$C$27="是",反向題設定!$B$2+1-原始資料!X307,原始資料!X307))</f>
        <v/>
      </c>
      <c r="Y307">
        <f>IF(原始資料!Y307="","",IF(反向題設定!$C$28="是",反向題設定!$B$2+1-原始資料!Y307,原始資料!Y307))</f>
        <v/>
      </c>
      <c r="Z307">
        <f>IF(原始資料!Z307="","",IF(反向題設定!$C$29="是",反向題設定!$B$2+1-原始資料!Z307,原始資料!Z307))</f>
        <v/>
      </c>
      <c r="AA307">
        <f>IF(原始資料!AA307="","",IF(反向題設定!$C$30="是",反向題設定!$B$2+1-原始資料!AA307,原始資料!AA307))</f>
        <v/>
      </c>
      <c r="AB307">
        <f>IF(原始資料!AB307="","",IF(反向題設定!$C$31="是",反向題設定!$B$2+1-原始資料!AB307,原始資料!AB307))</f>
        <v/>
      </c>
      <c r="AC307">
        <f>IF(原始資料!AC307="","",IF(反向題設定!$C$32="是",反向題設定!$B$2+1-原始資料!AC307,原始資料!AC307))</f>
        <v/>
      </c>
      <c r="AD307">
        <f>IF(原始資料!AD307="","",IF(反向題設定!$C$33="是",反向題設定!$B$2+1-原始資料!AD307,原始資料!AD307))</f>
        <v/>
      </c>
      <c r="AE307">
        <f>IF(原始資料!AE307="","",IF(反向題設定!$C$34="是",反向題設定!$B$2+1-原始資料!AE307,原始資料!AE307))</f>
        <v/>
      </c>
      <c r="AF307">
        <f>IF(原始資料!AF307="","",IF(反向題設定!$C$35="是",反向題設定!$B$2+1-原始資料!AF307,原始資料!AF307))</f>
        <v/>
      </c>
      <c r="AG307">
        <f>IF(原始資料!AG307="","",IF(反向題設定!$C$36="是",反向題設定!$B$2+1-原始資料!AG307,原始資料!AG307))</f>
        <v/>
      </c>
      <c r="AH307">
        <f>IF(原始資料!AH307="","",IF(反向題設定!$C$37="是",反向題設定!$B$2+1-原始資料!AH307,原始資料!AH307))</f>
        <v/>
      </c>
      <c r="AI307">
        <f>IF(原始資料!AI307="","",IF(反向題設定!$C$38="是",反向題設定!$B$2+1-原始資料!AI307,原始資料!AI307))</f>
        <v/>
      </c>
      <c r="AJ307">
        <f>IF(原始資料!AJ307="","",IF(反向題設定!$C$39="是",反向題設定!$B$2+1-原始資料!AJ307,原始資料!AJ307))</f>
        <v/>
      </c>
      <c r="AK307">
        <f>IF(原始資料!AK307="","",IF(反向題設定!$C$40="是",反向題設定!$B$2+1-原始資料!AK307,原始資料!AK307))</f>
        <v/>
      </c>
      <c r="AL307">
        <f>IF(原始資料!AL307="","",IF(反向題設定!$C$41="是",反向題設定!$B$2+1-原始資料!AL307,原始資料!AL307))</f>
        <v/>
      </c>
      <c r="AM307">
        <f>IF(原始資料!AM307="","",IF(反向題設定!$C$42="是",反向題設定!$B$2+1-原始資料!AM307,原始資料!AM307))</f>
        <v/>
      </c>
      <c r="AN307">
        <f>IF(原始資料!AN307="","",IF(反向題設定!$C$43="是",反向題設定!$B$2+1-原始資料!AN307,原始資料!AN307))</f>
        <v/>
      </c>
      <c r="AO307">
        <f>IF(原始資料!AO307="","",IF(反向題設定!$C$44="是",反向題設定!$B$2+1-原始資料!AO307,原始資料!AO307))</f>
        <v/>
      </c>
      <c r="AP307">
        <f>IF(COUNT(B307:AO307)=0,"",SUM(B307:AO307))</f>
        <v/>
      </c>
      <c r="AQ307">
        <f>IF(AP307="","",IF(AP307&gt;=項目分析!$C$5,"高",IF(AP307&lt;=項目分析!$C$6,"低","")))</f>
        <v/>
      </c>
    </row>
    <row r="308">
      <c r="A308">
        <f>IF(原始資料!A308="","",原始資料!A308)</f>
        <v/>
      </c>
      <c r="B308">
        <f>IF(原始資料!B308="","",IF(反向題設定!$C$5="是",反向題設定!$B$2+1-原始資料!B308,原始資料!B308))</f>
        <v/>
      </c>
      <c r="C308">
        <f>IF(原始資料!C308="","",IF(反向題設定!$C$6="是",反向題設定!$B$2+1-原始資料!C308,原始資料!C308))</f>
        <v/>
      </c>
      <c r="D308">
        <f>IF(原始資料!D308="","",IF(反向題設定!$C$7="是",反向題設定!$B$2+1-原始資料!D308,原始資料!D308))</f>
        <v/>
      </c>
      <c r="E308">
        <f>IF(原始資料!E308="","",IF(反向題設定!$C$8="是",反向題設定!$B$2+1-原始資料!E308,原始資料!E308))</f>
        <v/>
      </c>
      <c r="F308">
        <f>IF(原始資料!F308="","",IF(反向題設定!$C$9="是",反向題設定!$B$2+1-原始資料!F308,原始資料!F308))</f>
        <v/>
      </c>
      <c r="G308">
        <f>IF(原始資料!G308="","",IF(反向題設定!$C$10="是",反向題設定!$B$2+1-原始資料!G308,原始資料!G308))</f>
        <v/>
      </c>
      <c r="H308">
        <f>IF(原始資料!H308="","",IF(反向題設定!$C$11="是",反向題設定!$B$2+1-原始資料!H308,原始資料!H308))</f>
        <v/>
      </c>
      <c r="I308">
        <f>IF(原始資料!I308="","",IF(反向題設定!$C$12="是",反向題設定!$B$2+1-原始資料!I308,原始資料!I308))</f>
        <v/>
      </c>
      <c r="J308">
        <f>IF(原始資料!J308="","",IF(反向題設定!$C$13="是",反向題設定!$B$2+1-原始資料!J308,原始資料!J308))</f>
        <v/>
      </c>
      <c r="K308">
        <f>IF(原始資料!K308="","",IF(反向題設定!$C$14="是",反向題設定!$B$2+1-原始資料!K308,原始資料!K308))</f>
        <v/>
      </c>
      <c r="L308">
        <f>IF(原始資料!L308="","",IF(反向題設定!$C$15="是",反向題設定!$B$2+1-原始資料!L308,原始資料!L308))</f>
        <v/>
      </c>
      <c r="M308">
        <f>IF(原始資料!M308="","",IF(反向題設定!$C$16="是",反向題設定!$B$2+1-原始資料!M308,原始資料!M308))</f>
        <v/>
      </c>
      <c r="N308">
        <f>IF(原始資料!N308="","",IF(反向題設定!$C$17="是",反向題設定!$B$2+1-原始資料!N308,原始資料!N308))</f>
        <v/>
      </c>
      <c r="O308">
        <f>IF(原始資料!O308="","",IF(反向題設定!$C$18="是",反向題設定!$B$2+1-原始資料!O308,原始資料!O308))</f>
        <v/>
      </c>
      <c r="P308">
        <f>IF(原始資料!P308="","",IF(反向題設定!$C$19="是",反向題設定!$B$2+1-原始資料!P308,原始資料!P308))</f>
        <v/>
      </c>
      <c r="Q308">
        <f>IF(原始資料!Q308="","",IF(反向題設定!$C$20="是",反向題設定!$B$2+1-原始資料!Q308,原始資料!Q308))</f>
        <v/>
      </c>
      <c r="R308">
        <f>IF(原始資料!R308="","",IF(反向題設定!$C$21="是",反向題設定!$B$2+1-原始資料!R308,原始資料!R308))</f>
        <v/>
      </c>
      <c r="S308">
        <f>IF(原始資料!S308="","",IF(反向題設定!$C$22="是",反向題設定!$B$2+1-原始資料!S308,原始資料!S308))</f>
        <v/>
      </c>
      <c r="T308">
        <f>IF(原始資料!T308="","",IF(反向題設定!$C$23="是",反向題設定!$B$2+1-原始資料!T308,原始資料!T308))</f>
        <v/>
      </c>
      <c r="U308">
        <f>IF(原始資料!U308="","",IF(反向題設定!$C$24="是",反向題設定!$B$2+1-原始資料!U308,原始資料!U308))</f>
        <v/>
      </c>
      <c r="V308">
        <f>IF(原始資料!V308="","",IF(反向題設定!$C$25="是",反向題設定!$B$2+1-原始資料!V308,原始資料!V308))</f>
        <v/>
      </c>
      <c r="W308">
        <f>IF(原始資料!W308="","",IF(反向題設定!$C$26="是",反向題設定!$B$2+1-原始資料!W308,原始資料!W308))</f>
        <v/>
      </c>
      <c r="X308">
        <f>IF(原始資料!X308="","",IF(反向題設定!$C$27="是",反向題設定!$B$2+1-原始資料!X308,原始資料!X308))</f>
        <v/>
      </c>
      <c r="Y308">
        <f>IF(原始資料!Y308="","",IF(反向題設定!$C$28="是",反向題設定!$B$2+1-原始資料!Y308,原始資料!Y308))</f>
        <v/>
      </c>
      <c r="Z308">
        <f>IF(原始資料!Z308="","",IF(反向題設定!$C$29="是",反向題設定!$B$2+1-原始資料!Z308,原始資料!Z308))</f>
        <v/>
      </c>
      <c r="AA308">
        <f>IF(原始資料!AA308="","",IF(反向題設定!$C$30="是",反向題設定!$B$2+1-原始資料!AA308,原始資料!AA308))</f>
        <v/>
      </c>
      <c r="AB308">
        <f>IF(原始資料!AB308="","",IF(反向題設定!$C$31="是",反向題設定!$B$2+1-原始資料!AB308,原始資料!AB308))</f>
        <v/>
      </c>
      <c r="AC308">
        <f>IF(原始資料!AC308="","",IF(反向題設定!$C$32="是",反向題設定!$B$2+1-原始資料!AC308,原始資料!AC308))</f>
        <v/>
      </c>
      <c r="AD308">
        <f>IF(原始資料!AD308="","",IF(反向題設定!$C$33="是",反向題設定!$B$2+1-原始資料!AD308,原始資料!AD308))</f>
        <v/>
      </c>
      <c r="AE308">
        <f>IF(原始資料!AE308="","",IF(反向題設定!$C$34="是",反向題設定!$B$2+1-原始資料!AE308,原始資料!AE308))</f>
        <v/>
      </c>
      <c r="AF308">
        <f>IF(原始資料!AF308="","",IF(反向題設定!$C$35="是",反向題設定!$B$2+1-原始資料!AF308,原始資料!AF308))</f>
        <v/>
      </c>
      <c r="AG308">
        <f>IF(原始資料!AG308="","",IF(反向題設定!$C$36="是",反向題設定!$B$2+1-原始資料!AG308,原始資料!AG308))</f>
        <v/>
      </c>
      <c r="AH308">
        <f>IF(原始資料!AH308="","",IF(反向題設定!$C$37="是",反向題設定!$B$2+1-原始資料!AH308,原始資料!AH308))</f>
        <v/>
      </c>
      <c r="AI308">
        <f>IF(原始資料!AI308="","",IF(反向題設定!$C$38="是",反向題設定!$B$2+1-原始資料!AI308,原始資料!AI308))</f>
        <v/>
      </c>
      <c r="AJ308">
        <f>IF(原始資料!AJ308="","",IF(反向題設定!$C$39="是",反向題設定!$B$2+1-原始資料!AJ308,原始資料!AJ308))</f>
        <v/>
      </c>
      <c r="AK308">
        <f>IF(原始資料!AK308="","",IF(反向題設定!$C$40="是",反向題設定!$B$2+1-原始資料!AK308,原始資料!AK308))</f>
        <v/>
      </c>
      <c r="AL308">
        <f>IF(原始資料!AL308="","",IF(反向題設定!$C$41="是",反向題設定!$B$2+1-原始資料!AL308,原始資料!AL308))</f>
        <v/>
      </c>
      <c r="AM308">
        <f>IF(原始資料!AM308="","",IF(反向題設定!$C$42="是",反向題設定!$B$2+1-原始資料!AM308,原始資料!AM308))</f>
        <v/>
      </c>
      <c r="AN308">
        <f>IF(原始資料!AN308="","",IF(反向題設定!$C$43="是",反向題設定!$B$2+1-原始資料!AN308,原始資料!AN308))</f>
        <v/>
      </c>
      <c r="AO308">
        <f>IF(原始資料!AO308="","",IF(反向題設定!$C$44="是",反向題設定!$B$2+1-原始資料!AO308,原始資料!AO308))</f>
        <v/>
      </c>
      <c r="AP308">
        <f>IF(COUNT(B308:AO308)=0,"",SUM(B308:AO308))</f>
        <v/>
      </c>
      <c r="AQ308">
        <f>IF(AP308="","",IF(AP308&gt;=項目分析!$C$5,"高",IF(AP308&lt;=項目分析!$C$6,"低","")))</f>
        <v/>
      </c>
    </row>
    <row r="309">
      <c r="A309">
        <f>IF(原始資料!A309="","",原始資料!A309)</f>
        <v/>
      </c>
      <c r="B309">
        <f>IF(原始資料!B309="","",IF(反向題設定!$C$5="是",反向題設定!$B$2+1-原始資料!B309,原始資料!B309))</f>
        <v/>
      </c>
      <c r="C309">
        <f>IF(原始資料!C309="","",IF(反向題設定!$C$6="是",反向題設定!$B$2+1-原始資料!C309,原始資料!C309))</f>
        <v/>
      </c>
      <c r="D309">
        <f>IF(原始資料!D309="","",IF(反向題設定!$C$7="是",反向題設定!$B$2+1-原始資料!D309,原始資料!D309))</f>
        <v/>
      </c>
      <c r="E309">
        <f>IF(原始資料!E309="","",IF(反向題設定!$C$8="是",反向題設定!$B$2+1-原始資料!E309,原始資料!E309))</f>
        <v/>
      </c>
      <c r="F309">
        <f>IF(原始資料!F309="","",IF(反向題設定!$C$9="是",反向題設定!$B$2+1-原始資料!F309,原始資料!F309))</f>
        <v/>
      </c>
      <c r="G309">
        <f>IF(原始資料!G309="","",IF(反向題設定!$C$10="是",反向題設定!$B$2+1-原始資料!G309,原始資料!G309))</f>
        <v/>
      </c>
      <c r="H309">
        <f>IF(原始資料!H309="","",IF(反向題設定!$C$11="是",反向題設定!$B$2+1-原始資料!H309,原始資料!H309))</f>
        <v/>
      </c>
      <c r="I309">
        <f>IF(原始資料!I309="","",IF(反向題設定!$C$12="是",反向題設定!$B$2+1-原始資料!I309,原始資料!I309))</f>
        <v/>
      </c>
      <c r="J309">
        <f>IF(原始資料!J309="","",IF(反向題設定!$C$13="是",反向題設定!$B$2+1-原始資料!J309,原始資料!J309))</f>
        <v/>
      </c>
      <c r="K309">
        <f>IF(原始資料!K309="","",IF(反向題設定!$C$14="是",反向題設定!$B$2+1-原始資料!K309,原始資料!K309))</f>
        <v/>
      </c>
      <c r="L309">
        <f>IF(原始資料!L309="","",IF(反向題設定!$C$15="是",反向題設定!$B$2+1-原始資料!L309,原始資料!L309))</f>
        <v/>
      </c>
      <c r="M309">
        <f>IF(原始資料!M309="","",IF(反向題設定!$C$16="是",反向題設定!$B$2+1-原始資料!M309,原始資料!M309))</f>
        <v/>
      </c>
      <c r="N309">
        <f>IF(原始資料!N309="","",IF(反向題設定!$C$17="是",反向題設定!$B$2+1-原始資料!N309,原始資料!N309))</f>
        <v/>
      </c>
      <c r="O309">
        <f>IF(原始資料!O309="","",IF(反向題設定!$C$18="是",反向題設定!$B$2+1-原始資料!O309,原始資料!O309))</f>
        <v/>
      </c>
      <c r="P309">
        <f>IF(原始資料!P309="","",IF(反向題設定!$C$19="是",反向題設定!$B$2+1-原始資料!P309,原始資料!P309))</f>
        <v/>
      </c>
      <c r="Q309">
        <f>IF(原始資料!Q309="","",IF(反向題設定!$C$20="是",反向題設定!$B$2+1-原始資料!Q309,原始資料!Q309))</f>
        <v/>
      </c>
      <c r="R309">
        <f>IF(原始資料!R309="","",IF(反向題設定!$C$21="是",反向題設定!$B$2+1-原始資料!R309,原始資料!R309))</f>
        <v/>
      </c>
      <c r="S309">
        <f>IF(原始資料!S309="","",IF(反向題設定!$C$22="是",反向題設定!$B$2+1-原始資料!S309,原始資料!S309))</f>
        <v/>
      </c>
      <c r="T309">
        <f>IF(原始資料!T309="","",IF(反向題設定!$C$23="是",反向題設定!$B$2+1-原始資料!T309,原始資料!T309))</f>
        <v/>
      </c>
      <c r="U309">
        <f>IF(原始資料!U309="","",IF(反向題設定!$C$24="是",反向題設定!$B$2+1-原始資料!U309,原始資料!U309))</f>
        <v/>
      </c>
      <c r="V309">
        <f>IF(原始資料!V309="","",IF(反向題設定!$C$25="是",反向題設定!$B$2+1-原始資料!V309,原始資料!V309))</f>
        <v/>
      </c>
      <c r="W309">
        <f>IF(原始資料!W309="","",IF(反向題設定!$C$26="是",反向題設定!$B$2+1-原始資料!W309,原始資料!W309))</f>
        <v/>
      </c>
      <c r="X309">
        <f>IF(原始資料!X309="","",IF(反向題設定!$C$27="是",反向題設定!$B$2+1-原始資料!X309,原始資料!X309))</f>
        <v/>
      </c>
      <c r="Y309">
        <f>IF(原始資料!Y309="","",IF(反向題設定!$C$28="是",反向題設定!$B$2+1-原始資料!Y309,原始資料!Y309))</f>
        <v/>
      </c>
      <c r="Z309">
        <f>IF(原始資料!Z309="","",IF(反向題設定!$C$29="是",反向題設定!$B$2+1-原始資料!Z309,原始資料!Z309))</f>
        <v/>
      </c>
      <c r="AA309">
        <f>IF(原始資料!AA309="","",IF(反向題設定!$C$30="是",反向題設定!$B$2+1-原始資料!AA309,原始資料!AA309))</f>
        <v/>
      </c>
      <c r="AB309">
        <f>IF(原始資料!AB309="","",IF(反向題設定!$C$31="是",反向題設定!$B$2+1-原始資料!AB309,原始資料!AB309))</f>
        <v/>
      </c>
      <c r="AC309">
        <f>IF(原始資料!AC309="","",IF(反向題設定!$C$32="是",反向題設定!$B$2+1-原始資料!AC309,原始資料!AC309))</f>
        <v/>
      </c>
      <c r="AD309">
        <f>IF(原始資料!AD309="","",IF(反向題設定!$C$33="是",反向題設定!$B$2+1-原始資料!AD309,原始資料!AD309))</f>
        <v/>
      </c>
      <c r="AE309">
        <f>IF(原始資料!AE309="","",IF(反向題設定!$C$34="是",反向題設定!$B$2+1-原始資料!AE309,原始資料!AE309))</f>
        <v/>
      </c>
      <c r="AF309">
        <f>IF(原始資料!AF309="","",IF(反向題設定!$C$35="是",反向題設定!$B$2+1-原始資料!AF309,原始資料!AF309))</f>
        <v/>
      </c>
      <c r="AG309">
        <f>IF(原始資料!AG309="","",IF(反向題設定!$C$36="是",反向題設定!$B$2+1-原始資料!AG309,原始資料!AG309))</f>
        <v/>
      </c>
      <c r="AH309">
        <f>IF(原始資料!AH309="","",IF(反向題設定!$C$37="是",反向題設定!$B$2+1-原始資料!AH309,原始資料!AH309))</f>
        <v/>
      </c>
      <c r="AI309">
        <f>IF(原始資料!AI309="","",IF(反向題設定!$C$38="是",反向題設定!$B$2+1-原始資料!AI309,原始資料!AI309))</f>
        <v/>
      </c>
      <c r="AJ309">
        <f>IF(原始資料!AJ309="","",IF(反向題設定!$C$39="是",反向題設定!$B$2+1-原始資料!AJ309,原始資料!AJ309))</f>
        <v/>
      </c>
      <c r="AK309">
        <f>IF(原始資料!AK309="","",IF(反向題設定!$C$40="是",反向題設定!$B$2+1-原始資料!AK309,原始資料!AK309))</f>
        <v/>
      </c>
      <c r="AL309">
        <f>IF(原始資料!AL309="","",IF(反向題設定!$C$41="是",反向題設定!$B$2+1-原始資料!AL309,原始資料!AL309))</f>
        <v/>
      </c>
      <c r="AM309">
        <f>IF(原始資料!AM309="","",IF(反向題設定!$C$42="是",反向題設定!$B$2+1-原始資料!AM309,原始資料!AM309))</f>
        <v/>
      </c>
      <c r="AN309">
        <f>IF(原始資料!AN309="","",IF(反向題設定!$C$43="是",反向題設定!$B$2+1-原始資料!AN309,原始資料!AN309))</f>
        <v/>
      </c>
      <c r="AO309">
        <f>IF(原始資料!AO309="","",IF(反向題設定!$C$44="是",反向題設定!$B$2+1-原始資料!AO309,原始資料!AO309))</f>
        <v/>
      </c>
      <c r="AP309">
        <f>IF(COUNT(B309:AO309)=0,"",SUM(B309:AO309))</f>
        <v/>
      </c>
      <c r="AQ309">
        <f>IF(AP309="","",IF(AP309&gt;=項目分析!$C$5,"高",IF(AP309&lt;=項目分析!$C$6,"低","")))</f>
        <v/>
      </c>
    </row>
    <row r="310">
      <c r="A310">
        <f>IF(原始資料!A310="","",原始資料!A310)</f>
        <v/>
      </c>
      <c r="B310">
        <f>IF(原始資料!B310="","",IF(反向題設定!$C$5="是",反向題設定!$B$2+1-原始資料!B310,原始資料!B310))</f>
        <v/>
      </c>
      <c r="C310">
        <f>IF(原始資料!C310="","",IF(反向題設定!$C$6="是",反向題設定!$B$2+1-原始資料!C310,原始資料!C310))</f>
        <v/>
      </c>
      <c r="D310">
        <f>IF(原始資料!D310="","",IF(反向題設定!$C$7="是",反向題設定!$B$2+1-原始資料!D310,原始資料!D310))</f>
        <v/>
      </c>
      <c r="E310">
        <f>IF(原始資料!E310="","",IF(反向題設定!$C$8="是",反向題設定!$B$2+1-原始資料!E310,原始資料!E310))</f>
        <v/>
      </c>
      <c r="F310">
        <f>IF(原始資料!F310="","",IF(反向題設定!$C$9="是",反向題設定!$B$2+1-原始資料!F310,原始資料!F310))</f>
        <v/>
      </c>
      <c r="G310">
        <f>IF(原始資料!G310="","",IF(反向題設定!$C$10="是",反向題設定!$B$2+1-原始資料!G310,原始資料!G310))</f>
        <v/>
      </c>
      <c r="H310">
        <f>IF(原始資料!H310="","",IF(反向題設定!$C$11="是",反向題設定!$B$2+1-原始資料!H310,原始資料!H310))</f>
        <v/>
      </c>
      <c r="I310">
        <f>IF(原始資料!I310="","",IF(反向題設定!$C$12="是",反向題設定!$B$2+1-原始資料!I310,原始資料!I310))</f>
        <v/>
      </c>
      <c r="J310">
        <f>IF(原始資料!J310="","",IF(反向題設定!$C$13="是",反向題設定!$B$2+1-原始資料!J310,原始資料!J310))</f>
        <v/>
      </c>
      <c r="K310">
        <f>IF(原始資料!K310="","",IF(反向題設定!$C$14="是",反向題設定!$B$2+1-原始資料!K310,原始資料!K310))</f>
        <v/>
      </c>
      <c r="L310">
        <f>IF(原始資料!L310="","",IF(反向題設定!$C$15="是",反向題設定!$B$2+1-原始資料!L310,原始資料!L310))</f>
        <v/>
      </c>
      <c r="M310">
        <f>IF(原始資料!M310="","",IF(反向題設定!$C$16="是",反向題設定!$B$2+1-原始資料!M310,原始資料!M310))</f>
        <v/>
      </c>
      <c r="N310">
        <f>IF(原始資料!N310="","",IF(反向題設定!$C$17="是",反向題設定!$B$2+1-原始資料!N310,原始資料!N310))</f>
        <v/>
      </c>
      <c r="O310">
        <f>IF(原始資料!O310="","",IF(反向題設定!$C$18="是",反向題設定!$B$2+1-原始資料!O310,原始資料!O310))</f>
        <v/>
      </c>
      <c r="P310">
        <f>IF(原始資料!P310="","",IF(反向題設定!$C$19="是",反向題設定!$B$2+1-原始資料!P310,原始資料!P310))</f>
        <v/>
      </c>
      <c r="Q310">
        <f>IF(原始資料!Q310="","",IF(反向題設定!$C$20="是",反向題設定!$B$2+1-原始資料!Q310,原始資料!Q310))</f>
        <v/>
      </c>
      <c r="R310">
        <f>IF(原始資料!R310="","",IF(反向題設定!$C$21="是",反向題設定!$B$2+1-原始資料!R310,原始資料!R310))</f>
        <v/>
      </c>
      <c r="S310">
        <f>IF(原始資料!S310="","",IF(反向題設定!$C$22="是",反向題設定!$B$2+1-原始資料!S310,原始資料!S310))</f>
        <v/>
      </c>
      <c r="T310">
        <f>IF(原始資料!T310="","",IF(反向題設定!$C$23="是",反向題設定!$B$2+1-原始資料!T310,原始資料!T310))</f>
        <v/>
      </c>
      <c r="U310">
        <f>IF(原始資料!U310="","",IF(反向題設定!$C$24="是",反向題設定!$B$2+1-原始資料!U310,原始資料!U310))</f>
        <v/>
      </c>
      <c r="V310">
        <f>IF(原始資料!V310="","",IF(反向題設定!$C$25="是",反向題設定!$B$2+1-原始資料!V310,原始資料!V310))</f>
        <v/>
      </c>
      <c r="W310">
        <f>IF(原始資料!W310="","",IF(反向題設定!$C$26="是",反向題設定!$B$2+1-原始資料!W310,原始資料!W310))</f>
        <v/>
      </c>
      <c r="X310">
        <f>IF(原始資料!X310="","",IF(反向題設定!$C$27="是",反向題設定!$B$2+1-原始資料!X310,原始資料!X310))</f>
        <v/>
      </c>
      <c r="Y310">
        <f>IF(原始資料!Y310="","",IF(反向題設定!$C$28="是",反向題設定!$B$2+1-原始資料!Y310,原始資料!Y310))</f>
        <v/>
      </c>
      <c r="Z310">
        <f>IF(原始資料!Z310="","",IF(反向題設定!$C$29="是",反向題設定!$B$2+1-原始資料!Z310,原始資料!Z310))</f>
        <v/>
      </c>
      <c r="AA310">
        <f>IF(原始資料!AA310="","",IF(反向題設定!$C$30="是",反向題設定!$B$2+1-原始資料!AA310,原始資料!AA310))</f>
        <v/>
      </c>
      <c r="AB310">
        <f>IF(原始資料!AB310="","",IF(反向題設定!$C$31="是",反向題設定!$B$2+1-原始資料!AB310,原始資料!AB310))</f>
        <v/>
      </c>
      <c r="AC310">
        <f>IF(原始資料!AC310="","",IF(反向題設定!$C$32="是",反向題設定!$B$2+1-原始資料!AC310,原始資料!AC310))</f>
        <v/>
      </c>
      <c r="AD310">
        <f>IF(原始資料!AD310="","",IF(反向題設定!$C$33="是",反向題設定!$B$2+1-原始資料!AD310,原始資料!AD310))</f>
        <v/>
      </c>
      <c r="AE310">
        <f>IF(原始資料!AE310="","",IF(反向題設定!$C$34="是",反向題設定!$B$2+1-原始資料!AE310,原始資料!AE310))</f>
        <v/>
      </c>
      <c r="AF310">
        <f>IF(原始資料!AF310="","",IF(反向題設定!$C$35="是",反向題設定!$B$2+1-原始資料!AF310,原始資料!AF310))</f>
        <v/>
      </c>
      <c r="AG310">
        <f>IF(原始資料!AG310="","",IF(反向題設定!$C$36="是",反向題設定!$B$2+1-原始資料!AG310,原始資料!AG310))</f>
        <v/>
      </c>
      <c r="AH310">
        <f>IF(原始資料!AH310="","",IF(反向題設定!$C$37="是",反向題設定!$B$2+1-原始資料!AH310,原始資料!AH310))</f>
        <v/>
      </c>
      <c r="AI310">
        <f>IF(原始資料!AI310="","",IF(反向題設定!$C$38="是",反向題設定!$B$2+1-原始資料!AI310,原始資料!AI310))</f>
        <v/>
      </c>
      <c r="AJ310">
        <f>IF(原始資料!AJ310="","",IF(反向題設定!$C$39="是",反向題設定!$B$2+1-原始資料!AJ310,原始資料!AJ310))</f>
        <v/>
      </c>
      <c r="AK310">
        <f>IF(原始資料!AK310="","",IF(反向題設定!$C$40="是",反向題設定!$B$2+1-原始資料!AK310,原始資料!AK310))</f>
        <v/>
      </c>
      <c r="AL310">
        <f>IF(原始資料!AL310="","",IF(反向題設定!$C$41="是",反向題設定!$B$2+1-原始資料!AL310,原始資料!AL310))</f>
        <v/>
      </c>
      <c r="AM310">
        <f>IF(原始資料!AM310="","",IF(反向題設定!$C$42="是",反向題設定!$B$2+1-原始資料!AM310,原始資料!AM310))</f>
        <v/>
      </c>
      <c r="AN310">
        <f>IF(原始資料!AN310="","",IF(反向題設定!$C$43="是",反向題設定!$B$2+1-原始資料!AN310,原始資料!AN310))</f>
        <v/>
      </c>
      <c r="AO310">
        <f>IF(原始資料!AO310="","",IF(反向題設定!$C$44="是",反向題設定!$B$2+1-原始資料!AO310,原始資料!AO310))</f>
        <v/>
      </c>
      <c r="AP310">
        <f>IF(COUNT(B310:AO310)=0,"",SUM(B310:AO310))</f>
        <v/>
      </c>
      <c r="AQ310">
        <f>IF(AP310="","",IF(AP310&gt;=項目分析!$C$5,"高",IF(AP310&lt;=項目分析!$C$6,"低","")))</f>
        <v/>
      </c>
    </row>
    <row r="311">
      <c r="A311">
        <f>IF(原始資料!A311="","",原始資料!A311)</f>
        <v/>
      </c>
      <c r="B311">
        <f>IF(原始資料!B311="","",IF(反向題設定!$C$5="是",反向題設定!$B$2+1-原始資料!B311,原始資料!B311))</f>
        <v/>
      </c>
      <c r="C311">
        <f>IF(原始資料!C311="","",IF(反向題設定!$C$6="是",反向題設定!$B$2+1-原始資料!C311,原始資料!C311))</f>
        <v/>
      </c>
      <c r="D311">
        <f>IF(原始資料!D311="","",IF(反向題設定!$C$7="是",反向題設定!$B$2+1-原始資料!D311,原始資料!D311))</f>
        <v/>
      </c>
      <c r="E311">
        <f>IF(原始資料!E311="","",IF(反向題設定!$C$8="是",反向題設定!$B$2+1-原始資料!E311,原始資料!E311))</f>
        <v/>
      </c>
      <c r="F311">
        <f>IF(原始資料!F311="","",IF(反向題設定!$C$9="是",反向題設定!$B$2+1-原始資料!F311,原始資料!F311))</f>
        <v/>
      </c>
      <c r="G311">
        <f>IF(原始資料!G311="","",IF(反向題設定!$C$10="是",反向題設定!$B$2+1-原始資料!G311,原始資料!G311))</f>
        <v/>
      </c>
      <c r="H311">
        <f>IF(原始資料!H311="","",IF(反向題設定!$C$11="是",反向題設定!$B$2+1-原始資料!H311,原始資料!H311))</f>
        <v/>
      </c>
      <c r="I311">
        <f>IF(原始資料!I311="","",IF(反向題設定!$C$12="是",反向題設定!$B$2+1-原始資料!I311,原始資料!I311))</f>
        <v/>
      </c>
      <c r="J311">
        <f>IF(原始資料!J311="","",IF(反向題設定!$C$13="是",反向題設定!$B$2+1-原始資料!J311,原始資料!J311))</f>
        <v/>
      </c>
      <c r="K311">
        <f>IF(原始資料!K311="","",IF(反向題設定!$C$14="是",反向題設定!$B$2+1-原始資料!K311,原始資料!K311))</f>
        <v/>
      </c>
      <c r="L311">
        <f>IF(原始資料!L311="","",IF(反向題設定!$C$15="是",反向題設定!$B$2+1-原始資料!L311,原始資料!L311))</f>
        <v/>
      </c>
      <c r="M311">
        <f>IF(原始資料!M311="","",IF(反向題設定!$C$16="是",反向題設定!$B$2+1-原始資料!M311,原始資料!M311))</f>
        <v/>
      </c>
      <c r="N311">
        <f>IF(原始資料!N311="","",IF(反向題設定!$C$17="是",反向題設定!$B$2+1-原始資料!N311,原始資料!N311))</f>
        <v/>
      </c>
      <c r="O311">
        <f>IF(原始資料!O311="","",IF(反向題設定!$C$18="是",反向題設定!$B$2+1-原始資料!O311,原始資料!O311))</f>
        <v/>
      </c>
      <c r="P311">
        <f>IF(原始資料!P311="","",IF(反向題設定!$C$19="是",反向題設定!$B$2+1-原始資料!P311,原始資料!P311))</f>
        <v/>
      </c>
      <c r="Q311">
        <f>IF(原始資料!Q311="","",IF(反向題設定!$C$20="是",反向題設定!$B$2+1-原始資料!Q311,原始資料!Q311))</f>
        <v/>
      </c>
      <c r="R311">
        <f>IF(原始資料!R311="","",IF(反向題設定!$C$21="是",反向題設定!$B$2+1-原始資料!R311,原始資料!R311))</f>
        <v/>
      </c>
      <c r="S311">
        <f>IF(原始資料!S311="","",IF(反向題設定!$C$22="是",反向題設定!$B$2+1-原始資料!S311,原始資料!S311))</f>
        <v/>
      </c>
      <c r="T311">
        <f>IF(原始資料!T311="","",IF(反向題設定!$C$23="是",反向題設定!$B$2+1-原始資料!T311,原始資料!T311))</f>
        <v/>
      </c>
      <c r="U311">
        <f>IF(原始資料!U311="","",IF(反向題設定!$C$24="是",反向題設定!$B$2+1-原始資料!U311,原始資料!U311))</f>
        <v/>
      </c>
      <c r="V311">
        <f>IF(原始資料!V311="","",IF(反向題設定!$C$25="是",反向題設定!$B$2+1-原始資料!V311,原始資料!V311))</f>
        <v/>
      </c>
      <c r="W311">
        <f>IF(原始資料!W311="","",IF(反向題設定!$C$26="是",反向題設定!$B$2+1-原始資料!W311,原始資料!W311))</f>
        <v/>
      </c>
      <c r="X311">
        <f>IF(原始資料!X311="","",IF(反向題設定!$C$27="是",反向題設定!$B$2+1-原始資料!X311,原始資料!X311))</f>
        <v/>
      </c>
      <c r="Y311">
        <f>IF(原始資料!Y311="","",IF(反向題設定!$C$28="是",反向題設定!$B$2+1-原始資料!Y311,原始資料!Y311))</f>
        <v/>
      </c>
      <c r="Z311">
        <f>IF(原始資料!Z311="","",IF(反向題設定!$C$29="是",反向題設定!$B$2+1-原始資料!Z311,原始資料!Z311))</f>
        <v/>
      </c>
      <c r="AA311">
        <f>IF(原始資料!AA311="","",IF(反向題設定!$C$30="是",反向題設定!$B$2+1-原始資料!AA311,原始資料!AA311))</f>
        <v/>
      </c>
      <c r="AB311">
        <f>IF(原始資料!AB311="","",IF(反向題設定!$C$31="是",反向題設定!$B$2+1-原始資料!AB311,原始資料!AB311))</f>
        <v/>
      </c>
      <c r="AC311">
        <f>IF(原始資料!AC311="","",IF(反向題設定!$C$32="是",反向題設定!$B$2+1-原始資料!AC311,原始資料!AC311))</f>
        <v/>
      </c>
      <c r="AD311">
        <f>IF(原始資料!AD311="","",IF(反向題設定!$C$33="是",反向題設定!$B$2+1-原始資料!AD311,原始資料!AD311))</f>
        <v/>
      </c>
      <c r="AE311">
        <f>IF(原始資料!AE311="","",IF(反向題設定!$C$34="是",反向題設定!$B$2+1-原始資料!AE311,原始資料!AE311))</f>
        <v/>
      </c>
      <c r="AF311">
        <f>IF(原始資料!AF311="","",IF(反向題設定!$C$35="是",反向題設定!$B$2+1-原始資料!AF311,原始資料!AF311))</f>
        <v/>
      </c>
      <c r="AG311">
        <f>IF(原始資料!AG311="","",IF(反向題設定!$C$36="是",反向題設定!$B$2+1-原始資料!AG311,原始資料!AG311))</f>
        <v/>
      </c>
      <c r="AH311">
        <f>IF(原始資料!AH311="","",IF(反向題設定!$C$37="是",反向題設定!$B$2+1-原始資料!AH311,原始資料!AH311))</f>
        <v/>
      </c>
      <c r="AI311">
        <f>IF(原始資料!AI311="","",IF(反向題設定!$C$38="是",反向題設定!$B$2+1-原始資料!AI311,原始資料!AI311))</f>
        <v/>
      </c>
      <c r="AJ311">
        <f>IF(原始資料!AJ311="","",IF(反向題設定!$C$39="是",反向題設定!$B$2+1-原始資料!AJ311,原始資料!AJ311))</f>
        <v/>
      </c>
      <c r="AK311">
        <f>IF(原始資料!AK311="","",IF(反向題設定!$C$40="是",反向題設定!$B$2+1-原始資料!AK311,原始資料!AK311))</f>
        <v/>
      </c>
      <c r="AL311">
        <f>IF(原始資料!AL311="","",IF(反向題設定!$C$41="是",反向題設定!$B$2+1-原始資料!AL311,原始資料!AL311))</f>
        <v/>
      </c>
      <c r="AM311">
        <f>IF(原始資料!AM311="","",IF(反向題設定!$C$42="是",反向題設定!$B$2+1-原始資料!AM311,原始資料!AM311))</f>
        <v/>
      </c>
      <c r="AN311">
        <f>IF(原始資料!AN311="","",IF(反向題設定!$C$43="是",反向題設定!$B$2+1-原始資料!AN311,原始資料!AN311))</f>
        <v/>
      </c>
      <c r="AO311">
        <f>IF(原始資料!AO311="","",IF(反向題設定!$C$44="是",反向題設定!$B$2+1-原始資料!AO311,原始資料!AO311))</f>
        <v/>
      </c>
      <c r="AP311">
        <f>IF(COUNT(B311:AO311)=0,"",SUM(B311:AO311))</f>
        <v/>
      </c>
      <c r="AQ311">
        <f>IF(AP311="","",IF(AP311&gt;=項目分析!$C$5,"高",IF(AP311&lt;=項目分析!$C$6,"低","")))</f>
        <v/>
      </c>
    </row>
    <row r="312">
      <c r="A312">
        <f>IF(原始資料!A312="","",原始資料!A312)</f>
        <v/>
      </c>
      <c r="B312">
        <f>IF(原始資料!B312="","",IF(反向題設定!$C$5="是",反向題設定!$B$2+1-原始資料!B312,原始資料!B312))</f>
        <v/>
      </c>
      <c r="C312">
        <f>IF(原始資料!C312="","",IF(反向題設定!$C$6="是",反向題設定!$B$2+1-原始資料!C312,原始資料!C312))</f>
        <v/>
      </c>
      <c r="D312">
        <f>IF(原始資料!D312="","",IF(反向題設定!$C$7="是",反向題設定!$B$2+1-原始資料!D312,原始資料!D312))</f>
        <v/>
      </c>
      <c r="E312">
        <f>IF(原始資料!E312="","",IF(反向題設定!$C$8="是",反向題設定!$B$2+1-原始資料!E312,原始資料!E312))</f>
        <v/>
      </c>
      <c r="F312">
        <f>IF(原始資料!F312="","",IF(反向題設定!$C$9="是",反向題設定!$B$2+1-原始資料!F312,原始資料!F312))</f>
        <v/>
      </c>
      <c r="G312">
        <f>IF(原始資料!G312="","",IF(反向題設定!$C$10="是",反向題設定!$B$2+1-原始資料!G312,原始資料!G312))</f>
        <v/>
      </c>
      <c r="H312">
        <f>IF(原始資料!H312="","",IF(反向題設定!$C$11="是",反向題設定!$B$2+1-原始資料!H312,原始資料!H312))</f>
        <v/>
      </c>
      <c r="I312">
        <f>IF(原始資料!I312="","",IF(反向題設定!$C$12="是",反向題設定!$B$2+1-原始資料!I312,原始資料!I312))</f>
        <v/>
      </c>
      <c r="J312">
        <f>IF(原始資料!J312="","",IF(反向題設定!$C$13="是",反向題設定!$B$2+1-原始資料!J312,原始資料!J312))</f>
        <v/>
      </c>
      <c r="K312">
        <f>IF(原始資料!K312="","",IF(反向題設定!$C$14="是",反向題設定!$B$2+1-原始資料!K312,原始資料!K312))</f>
        <v/>
      </c>
      <c r="L312">
        <f>IF(原始資料!L312="","",IF(反向題設定!$C$15="是",反向題設定!$B$2+1-原始資料!L312,原始資料!L312))</f>
        <v/>
      </c>
      <c r="M312">
        <f>IF(原始資料!M312="","",IF(反向題設定!$C$16="是",反向題設定!$B$2+1-原始資料!M312,原始資料!M312))</f>
        <v/>
      </c>
      <c r="N312">
        <f>IF(原始資料!N312="","",IF(反向題設定!$C$17="是",反向題設定!$B$2+1-原始資料!N312,原始資料!N312))</f>
        <v/>
      </c>
      <c r="O312">
        <f>IF(原始資料!O312="","",IF(反向題設定!$C$18="是",反向題設定!$B$2+1-原始資料!O312,原始資料!O312))</f>
        <v/>
      </c>
      <c r="P312">
        <f>IF(原始資料!P312="","",IF(反向題設定!$C$19="是",反向題設定!$B$2+1-原始資料!P312,原始資料!P312))</f>
        <v/>
      </c>
      <c r="Q312">
        <f>IF(原始資料!Q312="","",IF(反向題設定!$C$20="是",反向題設定!$B$2+1-原始資料!Q312,原始資料!Q312))</f>
        <v/>
      </c>
      <c r="R312">
        <f>IF(原始資料!R312="","",IF(反向題設定!$C$21="是",反向題設定!$B$2+1-原始資料!R312,原始資料!R312))</f>
        <v/>
      </c>
      <c r="S312">
        <f>IF(原始資料!S312="","",IF(反向題設定!$C$22="是",反向題設定!$B$2+1-原始資料!S312,原始資料!S312))</f>
        <v/>
      </c>
      <c r="T312">
        <f>IF(原始資料!T312="","",IF(反向題設定!$C$23="是",反向題設定!$B$2+1-原始資料!T312,原始資料!T312))</f>
        <v/>
      </c>
      <c r="U312">
        <f>IF(原始資料!U312="","",IF(反向題設定!$C$24="是",反向題設定!$B$2+1-原始資料!U312,原始資料!U312))</f>
        <v/>
      </c>
      <c r="V312">
        <f>IF(原始資料!V312="","",IF(反向題設定!$C$25="是",反向題設定!$B$2+1-原始資料!V312,原始資料!V312))</f>
        <v/>
      </c>
      <c r="W312">
        <f>IF(原始資料!W312="","",IF(反向題設定!$C$26="是",反向題設定!$B$2+1-原始資料!W312,原始資料!W312))</f>
        <v/>
      </c>
      <c r="X312">
        <f>IF(原始資料!X312="","",IF(反向題設定!$C$27="是",反向題設定!$B$2+1-原始資料!X312,原始資料!X312))</f>
        <v/>
      </c>
      <c r="Y312">
        <f>IF(原始資料!Y312="","",IF(反向題設定!$C$28="是",反向題設定!$B$2+1-原始資料!Y312,原始資料!Y312))</f>
        <v/>
      </c>
      <c r="Z312">
        <f>IF(原始資料!Z312="","",IF(反向題設定!$C$29="是",反向題設定!$B$2+1-原始資料!Z312,原始資料!Z312))</f>
        <v/>
      </c>
      <c r="AA312">
        <f>IF(原始資料!AA312="","",IF(反向題設定!$C$30="是",反向題設定!$B$2+1-原始資料!AA312,原始資料!AA312))</f>
        <v/>
      </c>
      <c r="AB312">
        <f>IF(原始資料!AB312="","",IF(反向題設定!$C$31="是",反向題設定!$B$2+1-原始資料!AB312,原始資料!AB312))</f>
        <v/>
      </c>
      <c r="AC312">
        <f>IF(原始資料!AC312="","",IF(反向題設定!$C$32="是",反向題設定!$B$2+1-原始資料!AC312,原始資料!AC312))</f>
        <v/>
      </c>
      <c r="AD312">
        <f>IF(原始資料!AD312="","",IF(反向題設定!$C$33="是",反向題設定!$B$2+1-原始資料!AD312,原始資料!AD312))</f>
        <v/>
      </c>
      <c r="AE312">
        <f>IF(原始資料!AE312="","",IF(反向題設定!$C$34="是",反向題設定!$B$2+1-原始資料!AE312,原始資料!AE312))</f>
        <v/>
      </c>
      <c r="AF312">
        <f>IF(原始資料!AF312="","",IF(反向題設定!$C$35="是",反向題設定!$B$2+1-原始資料!AF312,原始資料!AF312))</f>
        <v/>
      </c>
      <c r="AG312">
        <f>IF(原始資料!AG312="","",IF(反向題設定!$C$36="是",反向題設定!$B$2+1-原始資料!AG312,原始資料!AG312))</f>
        <v/>
      </c>
      <c r="AH312">
        <f>IF(原始資料!AH312="","",IF(反向題設定!$C$37="是",反向題設定!$B$2+1-原始資料!AH312,原始資料!AH312))</f>
        <v/>
      </c>
      <c r="AI312">
        <f>IF(原始資料!AI312="","",IF(反向題設定!$C$38="是",反向題設定!$B$2+1-原始資料!AI312,原始資料!AI312))</f>
        <v/>
      </c>
      <c r="AJ312">
        <f>IF(原始資料!AJ312="","",IF(反向題設定!$C$39="是",反向題設定!$B$2+1-原始資料!AJ312,原始資料!AJ312))</f>
        <v/>
      </c>
      <c r="AK312">
        <f>IF(原始資料!AK312="","",IF(反向題設定!$C$40="是",反向題設定!$B$2+1-原始資料!AK312,原始資料!AK312))</f>
        <v/>
      </c>
      <c r="AL312">
        <f>IF(原始資料!AL312="","",IF(反向題設定!$C$41="是",反向題設定!$B$2+1-原始資料!AL312,原始資料!AL312))</f>
        <v/>
      </c>
      <c r="AM312">
        <f>IF(原始資料!AM312="","",IF(反向題設定!$C$42="是",反向題設定!$B$2+1-原始資料!AM312,原始資料!AM312))</f>
        <v/>
      </c>
      <c r="AN312">
        <f>IF(原始資料!AN312="","",IF(反向題設定!$C$43="是",反向題設定!$B$2+1-原始資料!AN312,原始資料!AN312))</f>
        <v/>
      </c>
      <c r="AO312">
        <f>IF(原始資料!AO312="","",IF(反向題設定!$C$44="是",反向題設定!$B$2+1-原始資料!AO312,原始資料!AO312))</f>
        <v/>
      </c>
      <c r="AP312">
        <f>IF(COUNT(B312:AO312)=0,"",SUM(B312:AO312))</f>
        <v/>
      </c>
      <c r="AQ312">
        <f>IF(AP312="","",IF(AP312&gt;=項目分析!$C$5,"高",IF(AP312&lt;=項目分析!$C$6,"低","")))</f>
        <v/>
      </c>
    </row>
    <row r="313">
      <c r="A313">
        <f>IF(原始資料!A313="","",原始資料!A313)</f>
        <v/>
      </c>
      <c r="B313">
        <f>IF(原始資料!B313="","",IF(反向題設定!$C$5="是",反向題設定!$B$2+1-原始資料!B313,原始資料!B313))</f>
        <v/>
      </c>
      <c r="C313">
        <f>IF(原始資料!C313="","",IF(反向題設定!$C$6="是",反向題設定!$B$2+1-原始資料!C313,原始資料!C313))</f>
        <v/>
      </c>
      <c r="D313">
        <f>IF(原始資料!D313="","",IF(反向題設定!$C$7="是",反向題設定!$B$2+1-原始資料!D313,原始資料!D313))</f>
        <v/>
      </c>
      <c r="E313">
        <f>IF(原始資料!E313="","",IF(反向題設定!$C$8="是",反向題設定!$B$2+1-原始資料!E313,原始資料!E313))</f>
        <v/>
      </c>
      <c r="F313">
        <f>IF(原始資料!F313="","",IF(反向題設定!$C$9="是",反向題設定!$B$2+1-原始資料!F313,原始資料!F313))</f>
        <v/>
      </c>
      <c r="G313">
        <f>IF(原始資料!G313="","",IF(反向題設定!$C$10="是",反向題設定!$B$2+1-原始資料!G313,原始資料!G313))</f>
        <v/>
      </c>
      <c r="H313">
        <f>IF(原始資料!H313="","",IF(反向題設定!$C$11="是",反向題設定!$B$2+1-原始資料!H313,原始資料!H313))</f>
        <v/>
      </c>
      <c r="I313">
        <f>IF(原始資料!I313="","",IF(反向題設定!$C$12="是",反向題設定!$B$2+1-原始資料!I313,原始資料!I313))</f>
        <v/>
      </c>
      <c r="J313">
        <f>IF(原始資料!J313="","",IF(反向題設定!$C$13="是",反向題設定!$B$2+1-原始資料!J313,原始資料!J313))</f>
        <v/>
      </c>
      <c r="K313">
        <f>IF(原始資料!K313="","",IF(反向題設定!$C$14="是",反向題設定!$B$2+1-原始資料!K313,原始資料!K313))</f>
        <v/>
      </c>
      <c r="L313">
        <f>IF(原始資料!L313="","",IF(反向題設定!$C$15="是",反向題設定!$B$2+1-原始資料!L313,原始資料!L313))</f>
        <v/>
      </c>
      <c r="M313">
        <f>IF(原始資料!M313="","",IF(反向題設定!$C$16="是",反向題設定!$B$2+1-原始資料!M313,原始資料!M313))</f>
        <v/>
      </c>
      <c r="N313">
        <f>IF(原始資料!N313="","",IF(反向題設定!$C$17="是",反向題設定!$B$2+1-原始資料!N313,原始資料!N313))</f>
        <v/>
      </c>
      <c r="O313">
        <f>IF(原始資料!O313="","",IF(反向題設定!$C$18="是",反向題設定!$B$2+1-原始資料!O313,原始資料!O313))</f>
        <v/>
      </c>
      <c r="P313">
        <f>IF(原始資料!P313="","",IF(反向題設定!$C$19="是",反向題設定!$B$2+1-原始資料!P313,原始資料!P313))</f>
        <v/>
      </c>
      <c r="Q313">
        <f>IF(原始資料!Q313="","",IF(反向題設定!$C$20="是",反向題設定!$B$2+1-原始資料!Q313,原始資料!Q313))</f>
        <v/>
      </c>
      <c r="R313">
        <f>IF(原始資料!R313="","",IF(反向題設定!$C$21="是",反向題設定!$B$2+1-原始資料!R313,原始資料!R313))</f>
        <v/>
      </c>
      <c r="S313">
        <f>IF(原始資料!S313="","",IF(反向題設定!$C$22="是",反向題設定!$B$2+1-原始資料!S313,原始資料!S313))</f>
        <v/>
      </c>
      <c r="T313">
        <f>IF(原始資料!T313="","",IF(反向題設定!$C$23="是",反向題設定!$B$2+1-原始資料!T313,原始資料!T313))</f>
        <v/>
      </c>
      <c r="U313">
        <f>IF(原始資料!U313="","",IF(反向題設定!$C$24="是",反向題設定!$B$2+1-原始資料!U313,原始資料!U313))</f>
        <v/>
      </c>
      <c r="V313">
        <f>IF(原始資料!V313="","",IF(反向題設定!$C$25="是",反向題設定!$B$2+1-原始資料!V313,原始資料!V313))</f>
        <v/>
      </c>
      <c r="W313">
        <f>IF(原始資料!W313="","",IF(反向題設定!$C$26="是",反向題設定!$B$2+1-原始資料!W313,原始資料!W313))</f>
        <v/>
      </c>
      <c r="X313">
        <f>IF(原始資料!X313="","",IF(反向題設定!$C$27="是",反向題設定!$B$2+1-原始資料!X313,原始資料!X313))</f>
        <v/>
      </c>
      <c r="Y313">
        <f>IF(原始資料!Y313="","",IF(反向題設定!$C$28="是",反向題設定!$B$2+1-原始資料!Y313,原始資料!Y313))</f>
        <v/>
      </c>
      <c r="Z313">
        <f>IF(原始資料!Z313="","",IF(反向題設定!$C$29="是",反向題設定!$B$2+1-原始資料!Z313,原始資料!Z313))</f>
        <v/>
      </c>
      <c r="AA313">
        <f>IF(原始資料!AA313="","",IF(反向題設定!$C$30="是",反向題設定!$B$2+1-原始資料!AA313,原始資料!AA313))</f>
        <v/>
      </c>
      <c r="AB313">
        <f>IF(原始資料!AB313="","",IF(反向題設定!$C$31="是",反向題設定!$B$2+1-原始資料!AB313,原始資料!AB313))</f>
        <v/>
      </c>
      <c r="AC313">
        <f>IF(原始資料!AC313="","",IF(反向題設定!$C$32="是",反向題設定!$B$2+1-原始資料!AC313,原始資料!AC313))</f>
        <v/>
      </c>
      <c r="AD313">
        <f>IF(原始資料!AD313="","",IF(反向題設定!$C$33="是",反向題設定!$B$2+1-原始資料!AD313,原始資料!AD313))</f>
        <v/>
      </c>
      <c r="AE313">
        <f>IF(原始資料!AE313="","",IF(反向題設定!$C$34="是",反向題設定!$B$2+1-原始資料!AE313,原始資料!AE313))</f>
        <v/>
      </c>
      <c r="AF313">
        <f>IF(原始資料!AF313="","",IF(反向題設定!$C$35="是",反向題設定!$B$2+1-原始資料!AF313,原始資料!AF313))</f>
        <v/>
      </c>
      <c r="AG313">
        <f>IF(原始資料!AG313="","",IF(反向題設定!$C$36="是",反向題設定!$B$2+1-原始資料!AG313,原始資料!AG313))</f>
        <v/>
      </c>
      <c r="AH313">
        <f>IF(原始資料!AH313="","",IF(反向題設定!$C$37="是",反向題設定!$B$2+1-原始資料!AH313,原始資料!AH313))</f>
        <v/>
      </c>
      <c r="AI313">
        <f>IF(原始資料!AI313="","",IF(反向題設定!$C$38="是",反向題設定!$B$2+1-原始資料!AI313,原始資料!AI313))</f>
        <v/>
      </c>
      <c r="AJ313">
        <f>IF(原始資料!AJ313="","",IF(反向題設定!$C$39="是",反向題設定!$B$2+1-原始資料!AJ313,原始資料!AJ313))</f>
        <v/>
      </c>
      <c r="AK313">
        <f>IF(原始資料!AK313="","",IF(反向題設定!$C$40="是",反向題設定!$B$2+1-原始資料!AK313,原始資料!AK313))</f>
        <v/>
      </c>
      <c r="AL313">
        <f>IF(原始資料!AL313="","",IF(反向題設定!$C$41="是",反向題設定!$B$2+1-原始資料!AL313,原始資料!AL313))</f>
        <v/>
      </c>
      <c r="AM313">
        <f>IF(原始資料!AM313="","",IF(反向題設定!$C$42="是",反向題設定!$B$2+1-原始資料!AM313,原始資料!AM313))</f>
        <v/>
      </c>
      <c r="AN313">
        <f>IF(原始資料!AN313="","",IF(反向題設定!$C$43="是",反向題設定!$B$2+1-原始資料!AN313,原始資料!AN313))</f>
        <v/>
      </c>
      <c r="AO313">
        <f>IF(原始資料!AO313="","",IF(反向題設定!$C$44="是",反向題設定!$B$2+1-原始資料!AO313,原始資料!AO313))</f>
        <v/>
      </c>
      <c r="AP313">
        <f>IF(COUNT(B313:AO313)=0,"",SUM(B313:AO313))</f>
        <v/>
      </c>
      <c r="AQ313">
        <f>IF(AP313="","",IF(AP313&gt;=項目分析!$C$5,"高",IF(AP313&lt;=項目分析!$C$6,"低","")))</f>
        <v/>
      </c>
    </row>
    <row r="314">
      <c r="A314">
        <f>IF(原始資料!A314="","",原始資料!A314)</f>
        <v/>
      </c>
      <c r="B314">
        <f>IF(原始資料!B314="","",IF(反向題設定!$C$5="是",反向題設定!$B$2+1-原始資料!B314,原始資料!B314))</f>
        <v/>
      </c>
      <c r="C314">
        <f>IF(原始資料!C314="","",IF(反向題設定!$C$6="是",反向題設定!$B$2+1-原始資料!C314,原始資料!C314))</f>
        <v/>
      </c>
      <c r="D314">
        <f>IF(原始資料!D314="","",IF(反向題設定!$C$7="是",反向題設定!$B$2+1-原始資料!D314,原始資料!D314))</f>
        <v/>
      </c>
      <c r="E314">
        <f>IF(原始資料!E314="","",IF(反向題設定!$C$8="是",反向題設定!$B$2+1-原始資料!E314,原始資料!E314))</f>
        <v/>
      </c>
      <c r="F314">
        <f>IF(原始資料!F314="","",IF(反向題設定!$C$9="是",反向題設定!$B$2+1-原始資料!F314,原始資料!F314))</f>
        <v/>
      </c>
      <c r="G314">
        <f>IF(原始資料!G314="","",IF(反向題設定!$C$10="是",反向題設定!$B$2+1-原始資料!G314,原始資料!G314))</f>
        <v/>
      </c>
      <c r="H314">
        <f>IF(原始資料!H314="","",IF(反向題設定!$C$11="是",反向題設定!$B$2+1-原始資料!H314,原始資料!H314))</f>
        <v/>
      </c>
      <c r="I314">
        <f>IF(原始資料!I314="","",IF(反向題設定!$C$12="是",反向題設定!$B$2+1-原始資料!I314,原始資料!I314))</f>
        <v/>
      </c>
      <c r="J314">
        <f>IF(原始資料!J314="","",IF(反向題設定!$C$13="是",反向題設定!$B$2+1-原始資料!J314,原始資料!J314))</f>
        <v/>
      </c>
      <c r="K314">
        <f>IF(原始資料!K314="","",IF(反向題設定!$C$14="是",反向題設定!$B$2+1-原始資料!K314,原始資料!K314))</f>
        <v/>
      </c>
      <c r="L314">
        <f>IF(原始資料!L314="","",IF(反向題設定!$C$15="是",反向題設定!$B$2+1-原始資料!L314,原始資料!L314))</f>
        <v/>
      </c>
      <c r="M314">
        <f>IF(原始資料!M314="","",IF(反向題設定!$C$16="是",反向題設定!$B$2+1-原始資料!M314,原始資料!M314))</f>
        <v/>
      </c>
      <c r="N314">
        <f>IF(原始資料!N314="","",IF(反向題設定!$C$17="是",反向題設定!$B$2+1-原始資料!N314,原始資料!N314))</f>
        <v/>
      </c>
      <c r="O314">
        <f>IF(原始資料!O314="","",IF(反向題設定!$C$18="是",反向題設定!$B$2+1-原始資料!O314,原始資料!O314))</f>
        <v/>
      </c>
      <c r="P314">
        <f>IF(原始資料!P314="","",IF(反向題設定!$C$19="是",反向題設定!$B$2+1-原始資料!P314,原始資料!P314))</f>
        <v/>
      </c>
      <c r="Q314">
        <f>IF(原始資料!Q314="","",IF(反向題設定!$C$20="是",反向題設定!$B$2+1-原始資料!Q314,原始資料!Q314))</f>
        <v/>
      </c>
      <c r="R314">
        <f>IF(原始資料!R314="","",IF(反向題設定!$C$21="是",反向題設定!$B$2+1-原始資料!R314,原始資料!R314))</f>
        <v/>
      </c>
      <c r="S314">
        <f>IF(原始資料!S314="","",IF(反向題設定!$C$22="是",反向題設定!$B$2+1-原始資料!S314,原始資料!S314))</f>
        <v/>
      </c>
      <c r="T314">
        <f>IF(原始資料!T314="","",IF(反向題設定!$C$23="是",反向題設定!$B$2+1-原始資料!T314,原始資料!T314))</f>
        <v/>
      </c>
      <c r="U314">
        <f>IF(原始資料!U314="","",IF(反向題設定!$C$24="是",反向題設定!$B$2+1-原始資料!U314,原始資料!U314))</f>
        <v/>
      </c>
      <c r="V314">
        <f>IF(原始資料!V314="","",IF(反向題設定!$C$25="是",反向題設定!$B$2+1-原始資料!V314,原始資料!V314))</f>
        <v/>
      </c>
      <c r="W314">
        <f>IF(原始資料!W314="","",IF(反向題設定!$C$26="是",反向題設定!$B$2+1-原始資料!W314,原始資料!W314))</f>
        <v/>
      </c>
      <c r="X314">
        <f>IF(原始資料!X314="","",IF(反向題設定!$C$27="是",反向題設定!$B$2+1-原始資料!X314,原始資料!X314))</f>
        <v/>
      </c>
      <c r="Y314">
        <f>IF(原始資料!Y314="","",IF(反向題設定!$C$28="是",反向題設定!$B$2+1-原始資料!Y314,原始資料!Y314))</f>
        <v/>
      </c>
      <c r="Z314">
        <f>IF(原始資料!Z314="","",IF(反向題設定!$C$29="是",反向題設定!$B$2+1-原始資料!Z314,原始資料!Z314))</f>
        <v/>
      </c>
      <c r="AA314">
        <f>IF(原始資料!AA314="","",IF(反向題設定!$C$30="是",反向題設定!$B$2+1-原始資料!AA314,原始資料!AA314))</f>
        <v/>
      </c>
      <c r="AB314">
        <f>IF(原始資料!AB314="","",IF(反向題設定!$C$31="是",反向題設定!$B$2+1-原始資料!AB314,原始資料!AB314))</f>
        <v/>
      </c>
      <c r="AC314">
        <f>IF(原始資料!AC314="","",IF(反向題設定!$C$32="是",反向題設定!$B$2+1-原始資料!AC314,原始資料!AC314))</f>
        <v/>
      </c>
      <c r="AD314">
        <f>IF(原始資料!AD314="","",IF(反向題設定!$C$33="是",反向題設定!$B$2+1-原始資料!AD314,原始資料!AD314))</f>
        <v/>
      </c>
      <c r="AE314">
        <f>IF(原始資料!AE314="","",IF(反向題設定!$C$34="是",反向題設定!$B$2+1-原始資料!AE314,原始資料!AE314))</f>
        <v/>
      </c>
      <c r="AF314">
        <f>IF(原始資料!AF314="","",IF(反向題設定!$C$35="是",反向題設定!$B$2+1-原始資料!AF314,原始資料!AF314))</f>
        <v/>
      </c>
      <c r="AG314">
        <f>IF(原始資料!AG314="","",IF(反向題設定!$C$36="是",反向題設定!$B$2+1-原始資料!AG314,原始資料!AG314))</f>
        <v/>
      </c>
      <c r="AH314">
        <f>IF(原始資料!AH314="","",IF(反向題設定!$C$37="是",反向題設定!$B$2+1-原始資料!AH314,原始資料!AH314))</f>
        <v/>
      </c>
      <c r="AI314">
        <f>IF(原始資料!AI314="","",IF(反向題設定!$C$38="是",反向題設定!$B$2+1-原始資料!AI314,原始資料!AI314))</f>
        <v/>
      </c>
      <c r="AJ314">
        <f>IF(原始資料!AJ314="","",IF(反向題設定!$C$39="是",反向題設定!$B$2+1-原始資料!AJ314,原始資料!AJ314))</f>
        <v/>
      </c>
      <c r="AK314">
        <f>IF(原始資料!AK314="","",IF(反向題設定!$C$40="是",反向題設定!$B$2+1-原始資料!AK314,原始資料!AK314))</f>
        <v/>
      </c>
      <c r="AL314">
        <f>IF(原始資料!AL314="","",IF(反向題設定!$C$41="是",反向題設定!$B$2+1-原始資料!AL314,原始資料!AL314))</f>
        <v/>
      </c>
      <c r="AM314">
        <f>IF(原始資料!AM314="","",IF(反向題設定!$C$42="是",反向題設定!$B$2+1-原始資料!AM314,原始資料!AM314))</f>
        <v/>
      </c>
      <c r="AN314">
        <f>IF(原始資料!AN314="","",IF(反向題設定!$C$43="是",反向題設定!$B$2+1-原始資料!AN314,原始資料!AN314))</f>
        <v/>
      </c>
      <c r="AO314">
        <f>IF(原始資料!AO314="","",IF(反向題設定!$C$44="是",反向題設定!$B$2+1-原始資料!AO314,原始資料!AO314))</f>
        <v/>
      </c>
      <c r="AP314">
        <f>IF(COUNT(B314:AO314)=0,"",SUM(B314:AO314))</f>
        <v/>
      </c>
      <c r="AQ314">
        <f>IF(AP314="","",IF(AP314&gt;=項目分析!$C$5,"高",IF(AP314&lt;=項目分析!$C$6,"低","")))</f>
        <v/>
      </c>
    </row>
    <row r="315">
      <c r="A315">
        <f>IF(原始資料!A315="","",原始資料!A315)</f>
        <v/>
      </c>
      <c r="B315">
        <f>IF(原始資料!B315="","",IF(反向題設定!$C$5="是",反向題設定!$B$2+1-原始資料!B315,原始資料!B315))</f>
        <v/>
      </c>
      <c r="C315">
        <f>IF(原始資料!C315="","",IF(反向題設定!$C$6="是",反向題設定!$B$2+1-原始資料!C315,原始資料!C315))</f>
        <v/>
      </c>
      <c r="D315">
        <f>IF(原始資料!D315="","",IF(反向題設定!$C$7="是",反向題設定!$B$2+1-原始資料!D315,原始資料!D315))</f>
        <v/>
      </c>
      <c r="E315">
        <f>IF(原始資料!E315="","",IF(反向題設定!$C$8="是",反向題設定!$B$2+1-原始資料!E315,原始資料!E315))</f>
        <v/>
      </c>
      <c r="F315">
        <f>IF(原始資料!F315="","",IF(反向題設定!$C$9="是",反向題設定!$B$2+1-原始資料!F315,原始資料!F315))</f>
        <v/>
      </c>
      <c r="G315">
        <f>IF(原始資料!G315="","",IF(反向題設定!$C$10="是",反向題設定!$B$2+1-原始資料!G315,原始資料!G315))</f>
        <v/>
      </c>
      <c r="H315">
        <f>IF(原始資料!H315="","",IF(反向題設定!$C$11="是",反向題設定!$B$2+1-原始資料!H315,原始資料!H315))</f>
        <v/>
      </c>
      <c r="I315">
        <f>IF(原始資料!I315="","",IF(反向題設定!$C$12="是",反向題設定!$B$2+1-原始資料!I315,原始資料!I315))</f>
        <v/>
      </c>
      <c r="J315">
        <f>IF(原始資料!J315="","",IF(反向題設定!$C$13="是",反向題設定!$B$2+1-原始資料!J315,原始資料!J315))</f>
        <v/>
      </c>
      <c r="K315">
        <f>IF(原始資料!K315="","",IF(反向題設定!$C$14="是",反向題設定!$B$2+1-原始資料!K315,原始資料!K315))</f>
        <v/>
      </c>
      <c r="L315">
        <f>IF(原始資料!L315="","",IF(反向題設定!$C$15="是",反向題設定!$B$2+1-原始資料!L315,原始資料!L315))</f>
        <v/>
      </c>
      <c r="M315">
        <f>IF(原始資料!M315="","",IF(反向題設定!$C$16="是",反向題設定!$B$2+1-原始資料!M315,原始資料!M315))</f>
        <v/>
      </c>
      <c r="N315">
        <f>IF(原始資料!N315="","",IF(反向題設定!$C$17="是",反向題設定!$B$2+1-原始資料!N315,原始資料!N315))</f>
        <v/>
      </c>
      <c r="O315">
        <f>IF(原始資料!O315="","",IF(反向題設定!$C$18="是",反向題設定!$B$2+1-原始資料!O315,原始資料!O315))</f>
        <v/>
      </c>
      <c r="P315">
        <f>IF(原始資料!P315="","",IF(反向題設定!$C$19="是",反向題設定!$B$2+1-原始資料!P315,原始資料!P315))</f>
        <v/>
      </c>
      <c r="Q315">
        <f>IF(原始資料!Q315="","",IF(反向題設定!$C$20="是",反向題設定!$B$2+1-原始資料!Q315,原始資料!Q315))</f>
        <v/>
      </c>
      <c r="R315">
        <f>IF(原始資料!R315="","",IF(反向題設定!$C$21="是",反向題設定!$B$2+1-原始資料!R315,原始資料!R315))</f>
        <v/>
      </c>
      <c r="S315">
        <f>IF(原始資料!S315="","",IF(反向題設定!$C$22="是",反向題設定!$B$2+1-原始資料!S315,原始資料!S315))</f>
        <v/>
      </c>
      <c r="T315">
        <f>IF(原始資料!T315="","",IF(反向題設定!$C$23="是",反向題設定!$B$2+1-原始資料!T315,原始資料!T315))</f>
        <v/>
      </c>
      <c r="U315">
        <f>IF(原始資料!U315="","",IF(反向題設定!$C$24="是",反向題設定!$B$2+1-原始資料!U315,原始資料!U315))</f>
        <v/>
      </c>
      <c r="V315">
        <f>IF(原始資料!V315="","",IF(反向題設定!$C$25="是",反向題設定!$B$2+1-原始資料!V315,原始資料!V315))</f>
        <v/>
      </c>
      <c r="W315">
        <f>IF(原始資料!W315="","",IF(反向題設定!$C$26="是",反向題設定!$B$2+1-原始資料!W315,原始資料!W315))</f>
        <v/>
      </c>
      <c r="X315">
        <f>IF(原始資料!X315="","",IF(反向題設定!$C$27="是",反向題設定!$B$2+1-原始資料!X315,原始資料!X315))</f>
        <v/>
      </c>
      <c r="Y315">
        <f>IF(原始資料!Y315="","",IF(反向題設定!$C$28="是",反向題設定!$B$2+1-原始資料!Y315,原始資料!Y315))</f>
        <v/>
      </c>
      <c r="Z315">
        <f>IF(原始資料!Z315="","",IF(反向題設定!$C$29="是",反向題設定!$B$2+1-原始資料!Z315,原始資料!Z315))</f>
        <v/>
      </c>
      <c r="AA315">
        <f>IF(原始資料!AA315="","",IF(反向題設定!$C$30="是",反向題設定!$B$2+1-原始資料!AA315,原始資料!AA315))</f>
        <v/>
      </c>
      <c r="AB315">
        <f>IF(原始資料!AB315="","",IF(反向題設定!$C$31="是",反向題設定!$B$2+1-原始資料!AB315,原始資料!AB315))</f>
        <v/>
      </c>
      <c r="AC315">
        <f>IF(原始資料!AC315="","",IF(反向題設定!$C$32="是",反向題設定!$B$2+1-原始資料!AC315,原始資料!AC315))</f>
        <v/>
      </c>
      <c r="AD315">
        <f>IF(原始資料!AD315="","",IF(反向題設定!$C$33="是",反向題設定!$B$2+1-原始資料!AD315,原始資料!AD315))</f>
        <v/>
      </c>
      <c r="AE315">
        <f>IF(原始資料!AE315="","",IF(反向題設定!$C$34="是",反向題設定!$B$2+1-原始資料!AE315,原始資料!AE315))</f>
        <v/>
      </c>
      <c r="AF315">
        <f>IF(原始資料!AF315="","",IF(反向題設定!$C$35="是",反向題設定!$B$2+1-原始資料!AF315,原始資料!AF315))</f>
        <v/>
      </c>
      <c r="AG315">
        <f>IF(原始資料!AG315="","",IF(反向題設定!$C$36="是",反向題設定!$B$2+1-原始資料!AG315,原始資料!AG315))</f>
        <v/>
      </c>
      <c r="AH315">
        <f>IF(原始資料!AH315="","",IF(反向題設定!$C$37="是",反向題設定!$B$2+1-原始資料!AH315,原始資料!AH315))</f>
        <v/>
      </c>
      <c r="AI315">
        <f>IF(原始資料!AI315="","",IF(反向題設定!$C$38="是",反向題設定!$B$2+1-原始資料!AI315,原始資料!AI315))</f>
        <v/>
      </c>
      <c r="AJ315">
        <f>IF(原始資料!AJ315="","",IF(反向題設定!$C$39="是",反向題設定!$B$2+1-原始資料!AJ315,原始資料!AJ315))</f>
        <v/>
      </c>
      <c r="AK315">
        <f>IF(原始資料!AK315="","",IF(反向題設定!$C$40="是",反向題設定!$B$2+1-原始資料!AK315,原始資料!AK315))</f>
        <v/>
      </c>
      <c r="AL315">
        <f>IF(原始資料!AL315="","",IF(反向題設定!$C$41="是",反向題設定!$B$2+1-原始資料!AL315,原始資料!AL315))</f>
        <v/>
      </c>
      <c r="AM315">
        <f>IF(原始資料!AM315="","",IF(反向題設定!$C$42="是",反向題設定!$B$2+1-原始資料!AM315,原始資料!AM315))</f>
        <v/>
      </c>
      <c r="AN315">
        <f>IF(原始資料!AN315="","",IF(反向題設定!$C$43="是",反向題設定!$B$2+1-原始資料!AN315,原始資料!AN315))</f>
        <v/>
      </c>
      <c r="AO315">
        <f>IF(原始資料!AO315="","",IF(反向題設定!$C$44="是",反向題設定!$B$2+1-原始資料!AO315,原始資料!AO315))</f>
        <v/>
      </c>
      <c r="AP315">
        <f>IF(COUNT(B315:AO315)=0,"",SUM(B315:AO315))</f>
        <v/>
      </c>
      <c r="AQ315">
        <f>IF(AP315="","",IF(AP315&gt;=項目分析!$C$5,"高",IF(AP315&lt;=項目分析!$C$6,"低","")))</f>
        <v/>
      </c>
    </row>
    <row r="316">
      <c r="A316">
        <f>IF(原始資料!A316="","",原始資料!A316)</f>
        <v/>
      </c>
      <c r="B316">
        <f>IF(原始資料!B316="","",IF(反向題設定!$C$5="是",反向題設定!$B$2+1-原始資料!B316,原始資料!B316))</f>
        <v/>
      </c>
      <c r="C316">
        <f>IF(原始資料!C316="","",IF(反向題設定!$C$6="是",反向題設定!$B$2+1-原始資料!C316,原始資料!C316))</f>
        <v/>
      </c>
      <c r="D316">
        <f>IF(原始資料!D316="","",IF(反向題設定!$C$7="是",反向題設定!$B$2+1-原始資料!D316,原始資料!D316))</f>
        <v/>
      </c>
      <c r="E316">
        <f>IF(原始資料!E316="","",IF(反向題設定!$C$8="是",反向題設定!$B$2+1-原始資料!E316,原始資料!E316))</f>
        <v/>
      </c>
      <c r="F316">
        <f>IF(原始資料!F316="","",IF(反向題設定!$C$9="是",反向題設定!$B$2+1-原始資料!F316,原始資料!F316))</f>
        <v/>
      </c>
      <c r="G316">
        <f>IF(原始資料!G316="","",IF(反向題設定!$C$10="是",反向題設定!$B$2+1-原始資料!G316,原始資料!G316))</f>
        <v/>
      </c>
      <c r="H316">
        <f>IF(原始資料!H316="","",IF(反向題設定!$C$11="是",反向題設定!$B$2+1-原始資料!H316,原始資料!H316))</f>
        <v/>
      </c>
      <c r="I316">
        <f>IF(原始資料!I316="","",IF(反向題設定!$C$12="是",反向題設定!$B$2+1-原始資料!I316,原始資料!I316))</f>
        <v/>
      </c>
      <c r="J316">
        <f>IF(原始資料!J316="","",IF(反向題設定!$C$13="是",反向題設定!$B$2+1-原始資料!J316,原始資料!J316))</f>
        <v/>
      </c>
      <c r="K316">
        <f>IF(原始資料!K316="","",IF(反向題設定!$C$14="是",反向題設定!$B$2+1-原始資料!K316,原始資料!K316))</f>
        <v/>
      </c>
      <c r="L316">
        <f>IF(原始資料!L316="","",IF(反向題設定!$C$15="是",反向題設定!$B$2+1-原始資料!L316,原始資料!L316))</f>
        <v/>
      </c>
      <c r="M316">
        <f>IF(原始資料!M316="","",IF(反向題設定!$C$16="是",反向題設定!$B$2+1-原始資料!M316,原始資料!M316))</f>
        <v/>
      </c>
      <c r="N316">
        <f>IF(原始資料!N316="","",IF(反向題設定!$C$17="是",反向題設定!$B$2+1-原始資料!N316,原始資料!N316))</f>
        <v/>
      </c>
      <c r="O316">
        <f>IF(原始資料!O316="","",IF(反向題設定!$C$18="是",反向題設定!$B$2+1-原始資料!O316,原始資料!O316))</f>
        <v/>
      </c>
      <c r="P316">
        <f>IF(原始資料!P316="","",IF(反向題設定!$C$19="是",反向題設定!$B$2+1-原始資料!P316,原始資料!P316))</f>
        <v/>
      </c>
      <c r="Q316">
        <f>IF(原始資料!Q316="","",IF(反向題設定!$C$20="是",反向題設定!$B$2+1-原始資料!Q316,原始資料!Q316))</f>
        <v/>
      </c>
      <c r="R316">
        <f>IF(原始資料!R316="","",IF(反向題設定!$C$21="是",反向題設定!$B$2+1-原始資料!R316,原始資料!R316))</f>
        <v/>
      </c>
      <c r="S316">
        <f>IF(原始資料!S316="","",IF(反向題設定!$C$22="是",反向題設定!$B$2+1-原始資料!S316,原始資料!S316))</f>
        <v/>
      </c>
      <c r="T316">
        <f>IF(原始資料!T316="","",IF(反向題設定!$C$23="是",反向題設定!$B$2+1-原始資料!T316,原始資料!T316))</f>
        <v/>
      </c>
      <c r="U316">
        <f>IF(原始資料!U316="","",IF(反向題設定!$C$24="是",反向題設定!$B$2+1-原始資料!U316,原始資料!U316))</f>
        <v/>
      </c>
      <c r="V316">
        <f>IF(原始資料!V316="","",IF(反向題設定!$C$25="是",反向題設定!$B$2+1-原始資料!V316,原始資料!V316))</f>
        <v/>
      </c>
      <c r="W316">
        <f>IF(原始資料!W316="","",IF(反向題設定!$C$26="是",反向題設定!$B$2+1-原始資料!W316,原始資料!W316))</f>
        <v/>
      </c>
      <c r="X316">
        <f>IF(原始資料!X316="","",IF(反向題設定!$C$27="是",反向題設定!$B$2+1-原始資料!X316,原始資料!X316))</f>
        <v/>
      </c>
      <c r="Y316">
        <f>IF(原始資料!Y316="","",IF(反向題設定!$C$28="是",反向題設定!$B$2+1-原始資料!Y316,原始資料!Y316))</f>
        <v/>
      </c>
      <c r="Z316">
        <f>IF(原始資料!Z316="","",IF(反向題設定!$C$29="是",反向題設定!$B$2+1-原始資料!Z316,原始資料!Z316))</f>
        <v/>
      </c>
      <c r="AA316">
        <f>IF(原始資料!AA316="","",IF(反向題設定!$C$30="是",反向題設定!$B$2+1-原始資料!AA316,原始資料!AA316))</f>
        <v/>
      </c>
      <c r="AB316">
        <f>IF(原始資料!AB316="","",IF(反向題設定!$C$31="是",反向題設定!$B$2+1-原始資料!AB316,原始資料!AB316))</f>
        <v/>
      </c>
      <c r="AC316">
        <f>IF(原始資料!AC316="","",IF(反向題設定!$C$32="是",反向題設定!$B$2+1-原始資料!AC316,原始資料!AC316))</f>
        <v/>
      </c>
      <c r="AD316">
        <f>IF(原始資料!AD316="","",IF(反向題設定!$C$33="是",反向題設定!$B$2+1-原始資料!AD316,原始資料!AD316))</f>
        <v/>
      </c>
      <c r="AE316">
        <f>IF(原始資料!AE316="","",IF(反向題設定!$C$34="是",反向題設定!$B$2+1-原始資料!AE316,原始資料!AE316))</f>
        <v/>
      </c>
      <c r="AF316">
        <f>IF(原始資料!AF316="","",IF(反向題設定!$C$35="是",反向題設定!$B$2+1-原始資料!AF316,原始資料!AF316))</f>
        <v/>
      </c>
      <c r="AG316">
        <f>IF(原始資料!AG316="","",IF(反向題設定!$C$36="是",反向題設定!$B$2+1-原始資料!AG316,原始資料!AG316))</f>
        <v/>
      </c>
      <c r="AH316">
        <f>IF(原始資料!AH316="","",IF(反向題設定!$C$37="是",反向題設定!$B$2+1-原始資料!AH316,原始資料!AH316))</f>
        <v/>
      </c>
      <c r="AI316">
        <f>IF(原始資料!AI316="","",IF(反向題設定!$C$38="是",反向題設定!$B$2+1-原始資料!AI316,原始資料!AI316))</f>
        <v/>
      </c>
      <c r="AJ316">
        <f>IF(原始資料!AJ316="","",IF(反向題設定!$C$39="是",反向題設定!$B$2+1-原始資料!AJ316,原始資料!AJ316))</f>
        <v/>
      </c>
      <c r="AK316">
        <f>IF(原始資料!AK316="","",IF(反向題設定!$C$40="是",反向題設定!$B$2+1-原始資料!AK316,原始資料!AK316))</f>
        <v/>
      </c>
      <c r="AL316">
        <f>IF(原始資料!AL316="","",IF(反向題設定!$C$41="是",反向題設定!$B$2+1-原始資料!AL316,原始資料!AL316))</f>
        <v/>
      </c>
      <c r="AM316">
        <f>IF(原始資料!AM316="","",IF(反向題設定!$C$42="是",反向題設定!$B$2+1-原始資料!AM316,原始資料!AM316))</f>
        <v/>
      </c>
      <c r="AN316">
        <f>IF(原始資料!AN316="","",IF(反向題設定!$C$43="是",反向題設定!$B$2+1-原始資料!AN316,原始資料!AN316))</f>
        <v/>
      </c>
      <c r="AO316">
        <f>IF(原始資料!AO316="","",IF(反向題設定!$C$44="是",反向題設定!$B$2+1-原始資料!AO316,原始資料!AO316))</f>
        <v/>
      </c>
      <c r="AP316">
        <f>IF(COUNT(B316:AO316)=0,"",SUM(B316:AO316))</f>
        <v/>
      </c>
      <c r="AQ316">
        <f>IF(AP316="","",IF(AP316&gt;=項目分析!$C$5,"高",IF(AP316&lt;=項目分析!$C$6,"低","")))</f>
        <v/>
      </c>
    </row>
    <row r="317">
      <c r="A317">
        <f>IF(原始資料!A317="","",原始資料!A317)</f>
        <v/>
      </c>
      <c r="B317">
        <f>IF(原始資料!B317="","",IF(反向題設定!$C$5="是",反向題設定!$B$2+1-原始資料!B317,原始資料!B317))</f>
        <v/>
      </c>
      <c r="C317">
        <f>IF(原始資料!C317="","",IF(反向題設定!$C$6="是",反向題設定!$B$2+1-原始資料!C317,原始資料!C317))</f>
        <v/>
      </c>
      <c r="D317">
        <f>IF(原始資料!D317="","",IF(反向題設定!$C$7="是",反向題設定!$B$2+1-原始資料!D317,原始資料!D317))</f>
        <v/>
      </c>
      <c r="E317">
        <f>IF(原始資料!E317="","",IF(反向題設定!$C$8="是",反向題設定!$B$2+1-原始資料!E317,原始資料!E317))</f>
        <v/>
      </c>
      <c r="F317">
        <f>IF(原始資料!F317="","",IF(反向題設定!$C$9="是",反向題設定!$B$2+1-原始資料!F317,原始資料!F317))</f>
        <v/>
      </c>
      <c r="G317">
        <f>IF(原始資料!G317="","",IF(反向題設定!$C$10="是",反向題設定!$B$2+1-原始資料!G317,原始資料!G317))</f>
        <v/>
      </c>
      <c r="H317">
        <f>IF(原始資料!H317="","",IF(反向題設定!$C$11="是",反向題設定!$B$2+1-原始資料!H317,原始資料!H317))</f>
        <v/>
      </c>
      <c r="I317">
        <f>IF(原始資料!I317="","",IF(反向題設定!$C$12="是",反向題設定!$B$2+1-原始資料!I317,原始資料!I317))</f>
        <v/>
      </c>
      <c r="J317">
        <f>IF(原始資料!J317="","",IF(反向題設定!$C$13="是",反向題設定!$B$2+1-原始資料!J317,原始資料!J317))</f>
        <v/>
      </c>
      <c r="K317">
        <f>IF(原始資料!K317="","",IF(反向題設定!$C$14="是",反向題設定!$B$2+1-原始資料!K317,原始資料!K317))</f>
        <v/>
      </c>
      <c r="L317">
        <f>IF(原始資料!L317="","",IF(反向題設定!$C$15="是",反向題設定!$B$2+1-原始資料!L317,原始資料!L317))</f>
        <v/>
      </c>
      <c r="M317">
        <f>IF(原始資料!M317="","",IF(反向題設定!$C$16="是",反向題設定!$B$2+1-原始資料!M317,原始資料!M317))</f>
        <v/>
      </c>
      <c r="N317">
        <f>IF(原始資料!N317="","",IF(反向題設定!$C$17="是",反向題設定!$B$2+1-原始資料!N317,原始資料!N317))</f>
        <v/>
      </c>
      <c r="O317">
        <f>IF(原始資料!O317="","",IF(反向題設定!$C$18="是",反向題設定!$B$2+1-原始資料!O317,原始資料!O317))</f>
        <v/>
      </c>
      <c r="P317">
        <f>IF(原始資料!P317="","",IF(反向題設定!$C$19="是",反向題設定!$B$2+1-原始資料!P317,原始資料!P317))</f>
        <v/>
      </c>
      <c r="Q317">
        <f>IF(原始資料!Q317="","",IF(反向題設定!$C$20="是",反向題設定!$B$2+1-原始資料!Q317,原始資料!Q317))</f>
        <v/>
      </c>
      <c r="R317">
        <f>IF(原始資料!R317="","",IF(反向題設定!$C$21="是",反向題設定!$B$2+1-原始資料!R317,原始資料!R317))</f>
        <v/>
      </c>
      <c r="S317">
        <f>IF(原始資料!S317="","",IF(反向題設定!$C$22="是",反向題設定!$B$2+1-原始資料!S317,原始資料!S317))</f>
        <v/>
      </c>
      <c r="T317">
        <f>IF(原始資料!T317="","",IF(反向題設定!$C$23="是",反向題設定!$B$2+1-原始資料!T317,原始資料!T317))</f>
        <v/>
      </c>
      <c r="U317">
        <f>IF(原始資料!U317="","",IF(反向題設定!$C$24="是",反向題設定!$B$2+1-原始資料!U317,原始資料!U317))</f>
        <v/>
      </c>
      <c r="V317">
        <f>IF(原始資料!V317="","",IF(反向題設定!$C$25="是",反向題設定!$B$2+1-原始資料!V317,原始資料!V317))</f>
        <v/>
      </c>
      <c r="W317">
        <f>IF(原始資料!W317="","",IF(反向題設定!$C$26="是",反向題設定!$B$2+1-原始資料!W317,原始資料!W317))</f>
        <v/>
      </c>
      <c r="X317">
        <f>IF(原始資料!X317="","",IF(反向題設定!$C$27="是",反向題設定!$B$2+1-原始資料!X317,原始資料!X317))</f>
        <v/>
      </c>
      <c r="Y317">
        <f>IF(原始資料!Y317="","",IF(反向題設定!$C$28="是",反向題設定!$B$2+1-原始資料!Y317,原始資料!Y317))</f>
        <v/>
      </c>
      <c r="Z317">
        <f>IF(原始資料!Z317="","",IF(反向題設定!$C$29="是",反向題設定!$B$2+1-原始資料!Z317,原始資料!Z317))</f>
        <v/>
      </c>
      <c r="AA317">
        <f>IF(原始資料!AA317="","",IF(反向題設定!$C$30="是",反向題設定!$B$2+1-原始資料!AA317,原始資料!AA317))</f>
        <v/>
      </c>
      <c r="AB317">
        <f>IF(原始資料!AB317="","",IF(反向題設定!$C$31="是",反向題設定!$B$2+1-原始資料!AB317,原始資料!AB317))</f>
        <v/>
      </c>
      <c r="AC317">
        <f>IF(原始資料!AC317="","",IF(反向題設定!$C$32="是",反向題設定!$B$2+1-原始資料!AC317,原始資料!AC317))</f>
        <v/>
      </c>
      <c r="AD317">
        <f>IF(原始資料!AD317="","",IF(反向題設定!$C$33="是",反向題設定!$B$2+1-原始資料!AD317,原始資料!AD317))</f>
        <v/>
      </c>
      <c r="AE317">
        <f>IF(原始資料!AE317="","",IF(反向題設定!$C$34="是",反向題設定!$B$2+1-原始資料!AE317,原始資料!AE317))</f>
        <v/>
      </c>
      <c r="AF317">
        <f>IF(原始資料!AF317="","",IF(反向題設定!$C$35="是",反向題設定!$B$2+1-原始資料!AF317,原始資料!AF317))</f>
        <v/>
      </c>
      <c r="AG317">
        <f>IF(原始資料!AG317="","",IF(反向題設定!$C$36="是",反向題設定!$B$2+1-原始資料!AG317,原始資料!AG317))</f>
        <v/>
      </c>
      <c r="AH317">
        <f>IF(原始資料!AH317="","",IF(反向題設定!$C$37="是",反向題設定!$B$2+1-原始資料!AH317,原始資料!AH317))</f>
        <v/>
      </c>
      <c r="AI317">
        <f>IF(原始資料!AI317="","",IF(反向題設定!$C$38="是",反向題設定!$B$2+1-原始資料!AI317,原始資料!AI317))</f>
        <v/>
      </c>
      <c r="AJ317">
        <f>IF(原始資料!AJ317="","",IF(反向題設定!$C$39="是",反向題設定!$B$2+1-原始資料!AJ317,原始資料!AJ317))</f>
        <v/>
      </c>
      <c r="AK317">
        <f>IF(原始資料!AK317="","",IF(反向題設定!$C$40="是",反向題設定!$B$2+1-原始資料!AK317,原始資料!AK317))</f>
        <v/>
      </c>
      <c r="AL317">
        <f>IF(原始資料!AL317="","",IF(反向題設定!$C$41="是",反向題設定!$B$2+1-原始資料!AL317,原始資料!AL317))</f>
        <v/>
      </c>
      <c r="AM317">
        <f>IF(原始資料!AM317="","",IF(反向題設定!$C$42="是",反向題設定!$B$2+1-原始資料!AM317,原始資料!AM317))</f>
        <v/>
      </c>
      <c r="AN317">
        <f>IF(原始資料!AN317="","",IF(反向題設定!$C$43="是",反向題設定!$B$2+1-原始資料!AN317,原始資料!AN317))</f>
        <v/>
      </c>
      <c r="AO317">
        <f>IF(原始資料!AO317="","",IF(反向題設定!$C$44="是",反向題設定!$B$2+1-原始資料!AO317,原始資料!AO317))</f>
        <v/>
      </c>
      <c r="AP317">
        <f>IF(COUNT(B317:AO317)=0,"",SUM(B317:AO317))</f>
        <v/>
      </c>
      <c r="AQ317">
        <f>IF(AP317="","",IF(AP317&gt;=項目分析!$C$5,"高",IF(AP317&lt;=項目分析!$C$6,"低","")))</f>
        <v/>
      </c>
    </row>
    <row r="318">
      <c r="A318">
        <f>IF(原始資料!A318="","",原始資料!A318)</f>
        <v/>
      </c>
      <c r="B318">
        <f>IF(原始資料!B318="","",IF(反向題設定!$C$5="是",反向題設定!$B$2+1-原始資料!B318,原始資料!B318))</f>
        <v/>
      </c>
      <c r="C318">
        <f>IF(原始資料!C318="","",IF(反向題設定!$C$6="是",反向題設定!$B$2+1-原始資料!C318,原始資料!C318))</f>
        <v/>
      </c>
      <c r="D318">
        <f>IF(原始資料!D318="","",IF(反向題設定!$C$7="是",反向題設定!$B$2+1-原始資料!D318,原始資料!D318))</f>
        <v/>
      </c>
      <c r="E318">
        <f>IF(原始資料!E318="","",IF(反向題設定!$C$8="是",反向題設定!$B$2+1-原始資料!E318,原始資料!E318))</f>
        <v/>
      </c>
      <c r="F318">
        <f>IF(原始資料!F318="","",IF(反向題設定!$C$9="是",反向題設定!$B$2+1-原始資料!F318,原始資料!F318))</f>
        <v/>
      </c>
      <c r="G318">
        <f>IF(原始資料!G318="","",IF(反向題設定!$C$10="是",反向題設定!$B$2+1-原始資料!G318,原始資料!G318))</f>
        <v/>
      </c>
      <c r="H318">
        <f>IF(原始資料!H318="","",IF(反向題設定!$C$11="是",反向題設定!$B$2+1-原始資料!H318,原始資料!H318))</f>
        <v/>
      </c>
      <c r="I318">
        <f>IF(原始資料!I318="","",IF(反向題設定!$C$12="是",反向題設定!$B$2+1-原始資料!I318,原始資料!I318))</f>
        <v/>
      </c>
      <c r="J318">
        <f>IF(原始資料!J318="","",IF(反向題設定!$C$13="是",反向題設定!$B$2+1-原始資料!J318,原始資料!J318))</f>
        <v/>
      </c>
      <c r="K318">
        <f>IF(原始資料!K318="","",IF(反向題設定!$C$14="是",反向題設定!$B$2+1-原始資料!K318,原始資料!K318))</f>
        <v/>
      </c>
      <c r="L318">
        <f>IF(原始資料!L318="","",IF(反向題設定!$C$15="是",反向題設定!$B$2+1-原始資料!L318,原始資料!L318))</f>
        <v/>
      </c>
      <c r="M318">
        <f>IF(原始資料!M318="","",IF(反向題設定!$C$16="是",反向題設定!$B$2+1-原始資料!M318,原始資料!M318))</f>
        <v/>
      </c>
      <c r="N318">
        <f>IF(原始資料!N318="","",IF(反向題設定!$C$17="是",反向題設定!$B$2+1-原始資料!N318,原始資料!N318))</f>
        <v/>
      </c>
      <c r="O318">
        <f>IF(原始資料!O318="","",IF(反向題設定!$C$18="是",反向題設定!$B$2+1-原始資料!O318,原始資料!O318))</f>
        <v/>
      </c>
      <c r="P318">
        <f>IF(原始資料!P318="","",IF(反向題設定!$C$19="是",反向題設定!$B$2+1-原始資料!P318,原始資料!P318))</f>
        <v/>
      </c>
      <c r="Q318">
        <f>IF(原始資料!Q318="","",IF(反向題設定!$C$20="是",反向題設定!$B$2+1-原始資料!Q318,原始資料!Q318))</f>
        <v/>
      </c>
      <c r="R318">
        <f>IF(原始資料!R318="","",IF(反向題設定!$C$21="是",反向題設定!$B$2+1-原始資料!R318,原始資料!R318))</f>
        <v/>
      </c>
      <c r="S318">
        <f>IF(原始資料!S318="","",IF(反向題設定!$C$22="是",反向題設定!$B$2+1-原始資料!S318,原始資料!S318))</f>
        <v/>
      </c>
      <c r="T318">
        <f>IF(原始資料!T318="","",IF(反向題設定!$C$23="是",反向題設定!$B$2+1-原始資料!T318,原始資料!T318))</f>
        <v/>
      </c>
      <c r="U318">
        <f>IF(原始資料!U318="","",IF(反向題設定!$C$24="是",反向題設定!$B$2+1-原始資料!U318,原始資料!U318))</f>
        <v/>
      </c>
      <c r="V318">
        <f>IF(原始資料!V318="","",IF(反向題設定!$C$25="是",反向題設定!$B$2+1-原始資料!V318,原始資料!V318))</f>
        <v/>
      </c>
      <c r="W318">
        <f>IF(原始資料!W318="","",IF(反向題設定!$C$26="是",反向題設定!$B$2+1-原始資料!W318,原始資料!W318))</f>
        <v/>
      </c>
      <c r="X318">
        <f>IF(原始資料!X318="","",IF(反向題設定!$C$27="是",反向題設定!$B$2+1-原始資料!X318,原始資料!X318))</f>
        <v/>
      </c>
      <c r="Y318">
        <f>IF(原始資料!Y318="","",IF(反向題設定!$C$28="是",反向題設定!$B$2+1-原始資料!Y318,原始資料!Y318))</f>
        <v/>
      </c>
      <c r="Z318">
        <f>IF(原始資料!Z318="","",IF(反向題設定!$C$29="是",反向題設定!$B$2+1-原始資料!Z318,原始資料!Z318))</f>
        <v/>
      </c>
      <c r="AA318">
        <f>IF(原始資料!AA318="","",IF(反向題設定!$C$30="是",反向題設定!$B$2+1-原始資料!AA318,原始資料!AA318))</f>
        <v/>
      </c>
      <c r="AB318">
        <f>IF(原始資料!AB318="","",IF(反向題設定!$C$31="是",反向題設定!$B$2+1-原始資料!AB318,原始資料!AB318))</f>
        <v/>
      </c>
      <c r="AC318">
        <f>IF(原始資料!AC318="","",IF(反向題設定!$C$32="是",反向題設定!$B$2+1-原始資料!AC318,原始資料!AC318))</f>
        <v/>
      </c>
      <c r="AD318">
        <f>IF(原始資料!AD318="","",IF(反向題設定!$C$33="是",反向題設定!$B$2+1-原始資料!AD318,原始資料!AD318))</f>
        <v/>
      </c>
      <c r="AE318">
        <f>IF(原始資料!AE318="","",IF(反向題設定!$C$34="是",反向題設定!$B$2+1-原始資料!AE318,原始資料!AE318))</f>
        <v/>
      </c>
      <c r="AF318">
        <f>IF(原始資料!AF318="","",IF(反向題設定!$C$35="是",反向題設定!$B$2+1-原始資料!AF318,原始資料!AF318))</f>
        <v/>
      </c>
      <c r="AG318">
        <f>IF(原始資料!AG318="","",IF(反向題設定!$C$36="是",反向題設定!$B$2+1-原始資料!AG318,原始資料!AG318))</f>
        <v/>
      </c>
      <c r="AH318">
        <f>IF(原始資料!AH318="","",IF(反向題設定!$C$37="是",反向題設定!$B$2+1-原始資料!AH318,原始資料!AH318))</f>
        <v/>
      </c>
      <c r="AI318">
        <f>IF(原始資料!AI318="","",IF(反向題設定!$C$38="是",反向題設定!$B$2+1-原始資料!AI318,原始資料!AI318))</f>
        <v/>
      </c>
      <c r="AJ318">
        <f>IF(原始資料!AJ318="","",IF(反向題設定!$C$39="是",反向題設定!$B$2+1-原始資料!AJ318,原始資料!AJ318))</f>
        <v/>
      </c>
      <c r="AK318">
        <f>IF(原始資料!AK318="","",IF(反向題設定!$C$40="是",反向題設定!$B$2+1-原始資料!AK318,原始資料!AK318))</f>
        <v/>
      </c>
      <c r="AL318">
        <f>IF(原始資料!AL318="","",IF(反向題設定!$C$41="是",反向題設定!$B$2+1-原始資料!AL318,原始資料!AL318))</f>
        <v/>
      </c>
      <c r="AM318">
        <f>IF(原始資料!AM318="","",IF(反向題設定!$C$42="是",反向題設定!$B$2+1-原始資料!AM318,原始資料!AM318))</f>
        <v/>
      </c>
      <c r="AN318">
        <f>IF(原始資料!AN318="","",IF(反向題設定!$C$43="是",反向題設定!$B$2+1-原始資料!AN318,原始資料!AN318))</f>
        <v/>
      </c>
      <c r="AO318">
        <f>IF(原始資料!AO318="","",IF(反向題設定!$C$44="是",反向題設定!$B$2+1-原始資料!AO318,原始資料!AO318))</f>
        <v/>
      </c>
      <c r="AP318">
        <f>IF(COUNT(B318:AO318)=0,"",SUM(B318:AO318))</f>
        <v/>
      </c>
      <c r="AQ318">
        <f>IF(AP318="","",IF(AP318&gt;=項目分析!$C$5,"高",IF(AP318&lt;=項目分析!$C$6,"低","")))</f>
        <v/>
      </c>
    </row>
    <row r="319">
      <c r="A319">
        <f>IF(原始資料!A319="","",原始資料!A319)</f>
        <v/>
      </c>
      <c r="B319">
        <f>IF(原始資料!B319="","",IF(反向題設定!$C$5="是",反向題設定!$B$2+1-原始資料!B319,原始資料!B319))</f>
        <v/>
      </c>
      <c r="C319">
        <f>IF(原始資料!C319="","",IF(反向題設定!$C$6="是",反向題設定!$B$2+1-原始資料!C319,原始資料!C319))</f>
        <v/>
      </c>
      <c r="D319">
        <f>IF(原始資料!D319="","",IF(反向題設定!$C$7="是",反向題設定!$B$2+1-原始資料!D319,原始資料!D319))</f>
        <v/>
      </c>
      <c r="E319">
        <f>IF(原始資料!E319="","",IF(反向題設定!$C$8="是",反向題設定!$B$2+1-原始資料!E319,原始資料!E319))</f>
        <v/>
      </c>
      <c r="F319">
        <f>IF(原始資料!F319="","",IF(反向題設定!$C$9="是",反向題設定!$B$2+1-原始資料!F319,原始資料!F319))</f>
        <v/>
      </c>
      <c r="G319">
        <f>IF(原始資料!G319="","",IF(反向題設定!$C$10="是",反向題設定!$B$2+1-原始資料!G319,原始資料!G319))</f>
        <v/>
      </c>
      <c r="H319">
        <f>IF(原始資料!H319="","",IF(反向題設定!$C$11="是",反向題設定!$B$2+1-原始資料!H319,原始資料!H319))</f>
        <v/>
      </c>
      <c r="I319">
        <f>IF(原始資料!I319="","",IF(反向題設定!$C$12="是",反向題設定!$B$2+1-原始資料!I319,原始資料!I319))</f>
        <v/>
      </c>
      <c r="J319">
        <f>IF(原始資料!J319="","",IF(反向題設定!$C$13="是",反向題設定!$B$2+1-原始資料!J319,原始資料!J319))</f>
        <v/>
      </c>
      <c r="K319">
        <f>IF(原始資料!K319="","",IF(反向題設定!$C$14="是",反向題設定!$B$2+1-原始資料!K319,原始資料!K319))</f>
        <v/>
      </c>
      <c r="L319">
        <f>IF(原始資料!L319="","",IF(反向題設定!$C$15="是",反向題設定!$B$2+1-原始資料!L319,原始資料!L319))</f>
        <v/>
      </c>
      <c r="M319">
        <f>IF(原始資料!M319="","",IF(反向題設定!$C$16="是",反向題設定!$B$2+1-原始資料!M319,原始資料!M319))</f>
        <v/>
      </c>
      <c r="N319">
        <f>IF(原始資料!N319="","",IF(反向題設定!$C$17="是",反向題設定!$B$2+1-原始資料!N319,原始資料!N319))</f>
        <v/>
      </c>
      <c r="O319">
        <f>IF(原始資料!O319="","",IF(反向題設定!$C$18="是",反向題設定!$B$2+1-原始資料!O319,原始資料!O319))</f>
        <v/>
      </c>
      <c r="P319">
        <f>IF(原始資料!P319="","",IF(反向題設定!$C$19="是",反向題設定!$B$2+1-原始資料!P319,原始資料!P319))</f>
        <v/>
      </c>
      <c r="Q319">
        <f>IF(原始資料!Q319="","",IF(反向題設定!$C$20="是",反向題設定!$B$2+1-原始資料!Q319,原始資料!Q319))</f>
        <v/>
      </c>
      <c r="R319">
        <f>IF(原始資料!R319="","",IF(反向題設定!$C$21="是",反向題設定!$B$2+1-原始資料!R319,原始資料!R319))</f>
        <v/>
      </c>
      <c r="S319">
        <f>IF(原始資料!S319="","",IF(反向題設定!$C$22="是",反向題設定!$B$2+1-原始資料!S319,原始資料!S319))</f>
        <v/>
      </c>
      <c r="T319">
        <f>IF(原始資料!T319="","",IF(反向題設定!$C$23="是",反向題設定!$B$2+1-原始資料!T319,原始資料!T319))</f>
        <v/>
      </c>
      <c r="U319">
        <f>IF(原始資料!U319="","",IF(反向題設定!$C$24="是",反向題設定!$B$2+1-原始資料!U319,原始資料!U319))</f>
        <v/>
      </c>
      <c r="V319">
        <f>IF(原始資料!V319="","",IF(反向題設定!$C$25="是",反向題設定!$B$2+1-原始資料!V319,原始資料!V319))</f>
        <v/>
      </c>
      <c r="W319">
        <f>IF(原始資料!W319="","",IF(反向題設定!$C$26="是",反向題設定!$B$2+1-原始資料!W319,原始資料!W319))</f>
        <v/>
      </c>
      <c r="X319">
        <f>IF(原始資料!X319="","",IF(反向題設定!$C$27="是",反向題設定!$B$2+1-原始資料!X319,原始資料!X319))</f>
        <v/>
      </c>
      <c r="Y319">
        <f>IF(原始資料!Y319="","",IF(反向題設定!$C$28="是",反向題設定!$B$2+1-原始資料!Y319,原始資料!Y319))</f>
        <v/>
      </c>
      <c r="Z319">
        <f>IF(原始資料!Z319="","",IF(反向題設定!$C$29="是",反向題設定!$B$2+1-原始資料!Z319,原始資料!Z319))</f>
        <v/>
      </c>
      <c r="AA319">
        <f>IF(原始資料!AA319="","",IF(反向題設定!$C$30="是",反向題設定!$B$2+1-原始資料!AA319,原始資料!AA319))</f>
        <v/>
      </c>
      <c r="AB319">
        <f>IF(原始資料!AB319="","",IF(反向題設定!$C$31="是",反向題設定!$B$2+1-原始資料!AB319,原始資料!AB319))</f>
        <v/>
      </c>
      <c r="AC319">
        <f>IF(原始資料!AC319="","",IF(反向題設定!$C$32="是",反向題設定!$B$2+1-原始資料!AC319,原始資料!AC319))</f>
        <v/>
      </c>
      <c r="AD319">
        <f>IF(原始資料!AD319="","",IF(反向題設定!$C$33="是",反向題設定!$B$2+1-原始資料!AD319,原始資料!AD319))</f>
        <v/>
      </c>
      <c r="AE319">
        <f>IF(原始資料!AE319="","",IF(反向題設定!$C$34="是",反向題設定!$B$2+1-原始資料!AE319,原始資料!AE319))</f>
        <v/>
      </c>
      <c r="AF319">
        <f>IF(原始資料!AF319="","",IF(反向題設定!$C$35="是",反向題設定!$B$2+1-原始資料!AF319,原始資料!AF319))</f>
        <v/>
      </c>
      <c r="AG319">
        <f>IF(原始資料!AG319="","",IF(反向題設定!$C$36="是",反向題設定!$B$2+1-原始資料!AG319,原始資料!AG319))</f>
        <v/>
      </c>
      <c r="AH319">
        <f>IF(原始資料!AH319="","",IF(反向題設定!$C$37="是",反向題設定!$B$2+1-原始資料!AH319,原始資料!AH319))</f>
        <v/>
      </c>
      <c r="AI319">
        <f>IF(原始資料!AI319="","",IF(反向題設定!$C$38="是",反向題設定!$B$2+1-原始資料!AI319,原始資料!AI319))</f>
        <v/>
      </c>
      <c r="AJ319">
        <f>IF(原始資料!AJ319="","",IF(反向題設定!$C$39="是",反向題設定!$B$2+1-原始資料!AJ319,原始資料!AJ319))</f>
        <v/>
      </c>
      <c r="AK319">
        <f>IF(原始資料!AK319="","",IF(反向題設定!$C$40="是",反向題設定!$B$2+1-原始資料!AK319,原始資料!AK319))</f>
        <v/>
      </c>
      <c r="AL319">
        <f>IF(原始資料!AL319="","",IF(反向題設定!$C$41="是",反向題設定!$B$2+1-原始資料!AL319,原始資料!AL319))</f>
        <v/>
      </c>
      <c r="AM319">
        <f>IF(原始資料!AM319="","",IF(反向題設定!$C$42="是",反向題設定!$B$2+1-原始資料!AM319,原始資料!AM319))</f>
        <v/>
      </c>
      <c r="AN319">
        <f>IF(原始資料!AN319="","",IF(反向題設定!$C$43="是",反向題設定!$B$2+1-原始資料!AN319,原始資料!AN319))</f>
        <v/>
      </c>
      <c r="AO319">
        <f>IF(原始資料!AO319="","",IF(反向題設定!$C$44="是",反向題設定!$B$2+1-原始資料!AO319,原始資料!AO319))</f>
        <v/>
      </c>
      <c r="AP319">
        <f>IF(COUNT(B319:AO319)=0,"",SUM(B319:AO319))</f>
        <v/>
      </c>
      <c r="AQ319">
        <f>IF(AP319="","",IF(AP319&gt;=項目分析!$C$5,"高",IF(AP319&lt;=項目分析!$C$6,"低","")))</f>
        <v/>
      </c>
    </row>
    <row r="320">
      <c r="A320">
        <f>IF(原始資料!A320="","",原始資料!A320)</f>
        <v/>
      </c>
      <c r="B320">
        <f>IF(原始資料!B320="","",IF(反向題設定!$C$5="是",反向題設定!$B$2+1-原始資料!B320,原始資料!B320))</f>
        <v/>
      </c>
      <c r="C320">
        <f>IF(原始資料!C320="","",IF(反向題設定!$C$6="是",反向題設定!$B$2+1-原始資料!C320,原始資料!C320))</f>
        <v/>
      </c>
      <c r="D320">
        <f>IF(原始資料!D320="","",IF(反向題設定!$C$7="是",反向題設定!$B$2+1-原始資料!D320,原始資料!D320))</f>
        <v/>
      </c>
      <c r="E320">
        <f>IF(原始資料!E320="","",IF(反向題設定!$C$8="是",反向題設定!$B$2+1-原始資料!E320,原始資料!E320))</f>
        <v/>
      </c>
      <c r="F320">
        <f>IF(原始資料!F320="","",IF(反向題設定!$C$9="是",反向題設定!$B$2+1-原始資料!F320,原始資料!F320))</f>
        <v/>
      </c>
      <c r="G320">
        <f>IF(原始資料!G320="","",IF(反向題設定!$C$10="是",反向題設定!$B$2+1-原始資料!G320,原始資料!G320))</f>
        <v/>
      </c>
      <c r="H320">
        <f>IF(原始資料!H320="","",IF(反向題設定!$C$11="是",反向題設定!$B$2+1-原始資料!H320,原始資料!H320))</f>
        <v/>
      </c>
      <c r="I320">
        <f>IF(原始資料!I320="","",IF(反向題設定!$C$12="是",反向題設定!$B$2+1-原始資料!I320,原始資料!I320))</f>
        <v/>
      </c>
      <c r="J320">
        <f>IF(原始資料!J320="","",IF(反向題設定!$C$13="是",反向題設定!$B$2+1-原始資料!J320,原始資料!J320))</f>
        <v/>
      </c>
      <c r="K320">
        <f>IF(原始資料!K320="","",IF(反向題設定!$C$14="是",反向題設定!$B$2+1-原始資料!K320,原始資料!K320))</f>
        <v/>
      </c>
      <c r="L320">
        <f>IF(原始資料!L320="","",IF(反向題設定!$C$15="是",反向題設定!$B$2+1-原始資料!L320,原始資料!L320))</f>
        <v/>
      </c>
      <c r="M320">
        <f>IF(原始資料!M320="","",IF(反向題設定!$C$16="是",反向題設定!$B$2+1-原始資料!M320,原始資料!M320))</f>
        <v/>
      </c>
      <c r="N320">
        <f>IF(原始資料!N320="","",IF(反向題設定!$C$17="是",反向題設定!$B$2+1-原始資料!N320,原始資料!N320))</f>
        <v/>
      </c>
      <c r="O320">
        <f>IF(原始資料!O320="","",IF(反向題設定!$C$18="是",反向題設定!$B$2+1-原始資料!O320,原始資料!O320))</f>
        <v/>
      </c>
      <c r="P320">
        <f>IF(原始資料!P320="","",IF(反向題設定!$C$19="是",反向題設定!$B$2+1-原始資料!P320,原始資料!P320))</f>
        <v/>
      </c>
      <c r="Q320">
        <f>IF(原始資料!Q320="","",IF(反向題設定!$C$20="是",反向題設定!$B$2+1-原始資料!Q320,原始資料!Q320))</f>
        <v/>
      </c>
      <c r="R320">
        <f>IF(原始資料!R320="","",IF(反向題設定!$C$21="是",反向題設定!$B$2+1-原始資料!R320,原始資料!R320))</f>
        <v/>
      </c>
      <c r="S320">
        <f>IF(原始資料!S320="","",IF(反向題設定!$C$22="是",反向題設定!$B$2+1-原始資料!S320,原始資料!S320))</f>
        <v/>
      </c>
      <c r="T320">
        <f>IF(原始資料!T320="","",IF(反向題設定!$C$23="是",反向題設定!$B$2+1-原始資料!T320,原始資料!T320))</f>
        <v/>
      </c>
      <c r="U320">
        <f>IF(原始資料!U320="","",IF(反向題設定!$C$24="是",反向題設定!$B$2+1-原始資料!U320,原始資料!U320))</f>
        <v/>
      </c>
      <c r="V320">
        <f>IF(原始資料!V320="","",IF(反向題設定!$C$25="是",反向題設定!$B$2+1-原始資料!V320,原始資料!V320))</f>
        <v/>
      </c>
      <c r="W320">
        <f>IF(原始資料!W320="","",IF(反向題設定!$C$26="是",反向題設定!$B$2+1-原始資料!W320,原始資料!W320))</f>
        <v/>
      </c>
      <c r="X320">
        <f>IF(原始資料!X320="","",IF(反向題設定!$C$27="是",反向題設定!$B$2+1-原始資料!X320,原始資料!X320))</f>
        <v/>
      </c>
      <c r="Y320">
        <f>IF(原始資料!Y320="","",IF(反向題設定!$C$28="是",反向題設定!$B$2+1-原始資料!Y320,原始資料!Y320))</f>
        <v/>
      </c>
      <c r="Z320">
        <f>IF(原始資料!Z320="","",IF(反向題設定!$C$29="是",反向題設定!$B$2+1-原始資料!Z320,原始資料!Z320))</f>
        <v/>
      </c>
      <c r="AA320">
        <f>IF(原始資料!AA320="","",IF(反向題設定!$C$30="是",反向題設定!$B$2+1-原始資料!AA320,原始資料!AA320))</f>
        <v/>
      </c>
      <c r="AB320">
        <f>IF(原始資料!AB320="","",IF(反向題設定!$C$31="是",反向題設定!$B$2+1-原始資料!AB320,原始資料!AB320))</f>
        <v/>
      </c>
      <c r="AC320">
        <f>IF(原始資料!AC320="","",IF(反向題設定!$C$32="是",反向題設定!$B$2+1-原始資料!AC320,原始資料!AC320))</f>
        <v/>
      </c>
      <c r="AD320">
        <f>IF(原始資料!AD320="","",IF(反向題設定!$C$33="是",反向題設定!$B$2+1-原始資料!AD320,原始資料!AD320))</f>
        <v/>
      </c>
      <c r="AE320">
        <f>IF(原始資料!AE320="","",IF(反向題設定!$C$34="是",反向題設定!$B$2+1-原始資料!AE320,原始資料!AE320))</f>
        <v/>
      </c>
      <c r="AF320">
        <f>IF(原始資料!AF320="","",IF(反向題設定!$C$35="是",反向題設定!$B$2+1-原始資料!AF320,原始資料!AF320))</f>
        <v/>
      </c>
      <c r="AG320">
        <f>IF(原始資料!AG320="","",IF(反向題設定!$C$36="是",反向題設定!$B$2+1-原始資料!AG320,原始資料!AG320))</f>
        <v/>
      </c>
      <c r="AH320">
        <f>IF(原始資料!AH320="","",IF(反向題設定!$C$37="是",反向題設定!$B$2+1-原始資料!AH320,原始資料!AH320))</f>
        <v/>
      </c>
      <c r="AI320">
        <f>IF(原始資料!AI320="","",IF(反向題設定!$C$38="是",反向題設定!$B$2+1-原始資料!AI320,原始資料!AI320))</f>
        <v/>
      </c>
      <c r="AJ320">
        <f>IF(原始資料!AJ320="","",IF(反向題設定!$C$39="是",反向題設定!$B$2+1-原始資料!AJ320,原始資料!AJ320))</f>
        <v/>
      </c>
      <c r="AK320">
        <f>IF(原始資料!AK320="","",IF(反向題設定!$C$40="是",反向題設定!$B$2+1-原始資料!AK320,原始資料!AK320))</f>
        <v/>
      </c>
      <c r="AL320">
        <f>IF(原始資料!AL320="","",IF(反向題設定!$C$41="是",反向題設定!$B$2+1-原始資料!AL320,原始資料!AL320))</f>
        <v/>
      </c>
      <c r="AM320">
        <f>IF(原始資料!AM320="","",IF(反向題設定!$C$42="是",反向題設定!$B$2+1-原始資料!AM320,原始資料!AM320))</f>
        <v/>
      </c>
      <c r="AN320">
        <f>IF(原始資料!AN320="","",IF(反向題設定!$C$43="是",反向題設定!$B$2+1-原始資料!AN320,原始資料!AN320))</f>
        <v/>
      </c>
      <c r="AO320">
        <f>IF(原始資料!AO320="","",IF(反向題設定!$C$44="是",反向題設定!$B$2+1-原始資料!AO320,原始資料!AO320))</f>
        <v/>
      </c>
      <c r="AP320">
        <f>IF(COUNT(B320:AO320)=0,"",SUM(B320:AO320))</f>
        <v/>
      </c>
      <c r="AQ320">
        <f>IF(AP320="","",IF(AP320&gt;=項目分析!$C$5,"高",IF(AP320&lt;=項目分析!$C$6,"低","")))</f>
        <v/>
      </c>
    </row>
    <row r="321">
      <c r="A321">
        <f>IF(原始資料!A321="","",原始資料!A321)</f>
        <v/>
      </c>
      <c r="B321">
        <f>IF(原始資料!B321="","",IF(反向題設定!$C$5="是",反向題設定!$B$2+1-原始資料!B321,原始資料!B321))</f>
        <v/>
      </c>
      <c r="C321">
        <f>IF(原始資料!C321="","",IF(反向題設定!$C$6="是",反向題設定!$B$2+1-原始資料!C321,原始資料!C321))</f>
        <v/>
      </c>
      <c r="D321">
        <f>IF(原始資料!D321="","",IF(反向題設定!$C$7="是",反向題設定!$B$2+1-原始資料!D321,原始資料!D321))</f>
        <v/>
      </c>
      <c r="E321">
        <f>IF(原始資料!E321="","",IF(反向題設定!$C$8="是",反向題設定!$B$2+1-原始資料!E321,原始資料!E321))</f>
        <v/>
      </c>
      <c r="F321">
        <f>IF(原始資料!F321="","",IF(反向題設定!$C$9="是",反向題設定!$B$2+1-原始資料!F321,原始資料!F321))</f>
        <v/>
      </c>
      <c r="G321">
        <f>IF(原始資料!G321="","",IF(反向題設定!$C$10="是",反向題設定!$B$2+1-原始資料!G321,原始資料!G321))</f>
        <v/>
      </c>
      <c r="H321">
        <f>IF(原始資料!H321="","",IF(反向題設定!$C$11="是",反向題設定!$B$2+1-原始資料!H321,原始資料!H321))</f>
        <v/>
      </c>
      <c r="I321">
        <f>IF(原始資料!I321="","",IF(反向題設定!$C$12="是",反向題設定!$B$2+1-原始資料!I321,原始資料!I321))</f>
        <v/>
      </c>
      <c r="J321">
        <f>IF(原始資料!J321="","",IF(反向題設定!$C$13="是",反向題設定!$B$2+1-原始資料!J321,原始資料!J321))</f>
        <v/>
      </c>
      <c r="K321">
        <f>IF(原始資料!K321="","",IF(反向題設定!$C$14="是",反向題設定!$B$2+1-原始資料!K321,原始資料!K321))</f>
        <v/>
      </c>
      <c r="L321">
        <f>IF(原始資料!L321="","",IF(反向題設定!$C$15="是",反向題設定!$B$2+1-原始資料!L321,原始資料!L321))</f>
        <v/>
      </c>
      <c r="M321">
        <f>IF(原始資料!M321="","",IF(反向題設定!$C$16="是",反向題設定!$B$2+1-原始資料!M321,原始資料!M321))</f>
        <v/>
      </c>
      <c r="N321">
        <f>IF(原始資料!N321="","",IF(反向題設定!$C$17="是",反向題設定!$B$2+1-原始資料!N321,原始資料!N321))</f>
        <v/>
      </c>
      <c r="O321">
        <f>IF(原始資料!O321="","",IF(反向題設定!$C$18="是",反向題設定!$B$2+1-原始資料!O321,原始資料!O321))</f>
        <v/>
      </c>
      <c r="P321">
        <f>IF(原始資料!P321="","",IF(反向題設定!$C$19="是",反向題設定!$B$2+1-原始資料!P321,原始資料!P321))</f>
        <v/>
      </c>
      <c r="Q321">
        <f>IF(原始資料!Q321="","",IF(反向題設定!$C$20="是",反向題設定!$B$2+1-原始資料!Q321,原始資料!Q321))</f>
        <v/>
      </c>
      <c r="R321">
        <f>IF(原始資料!R321="","",IF(反向題設定!$C$21="是",反向題設定!$B$2+1-原始資料!R321,原始資料!R321))</f>
        <v/>
      </c>
      <c r="S321">
        <f>IF(原始資料!S321="","",IF(反向題設定!$C$22="是",反向題設定!$B$2+1-原始資料!S321,原始資料!S321))</f>
        <v/>
      </c>
      <c r="T321">
        <f>IF(原始資料!T321="","",IF(反向題設定!$C$23="是",反向題設定!$B$2+1-原始資料!T321,原始資料!T321))</f>
        <v/>
      </c>
      <c r="U321">
        <f>IF(原始資料!U321="","",IF(反向題設定!$C$24="是",反向題設定!$B$2+1-原始資料!U321,原始資料!U321))</f>
        <v/>
      </c>
      <c r="V321">
        <f>IF(原始資料!V321="","",IF(反向題設定!$C$25="是",反向題設定!$B$2+1-原始資料!V321,原始資料!V321))</f>
        <v/>
      </c>
      <c r="W321">
        <f>IF(原始資料!W321="","",IF(反向題設定!$C$26="是",反向題設定!$B$2+1-原始資料!W321,原始資料!W321))</f>
        <v/>
      </c>
      <c r="X321">
        <f>IF(原始資料!X321="","",IF(反向題設定!$C$27="是",反向題設定!$B$2+1-原始資料!X321,原始資料!X321))</f>
        <v/>
      </c>
      <c r="Y321">
        <f>IF(原始資料!Y321="","",IF(反向題設定!$C$28="是",反向題設定!$B$2+1-原始資料!Y321,原始資料!Y321))</f>
        <v/>
      </c>
      <c r="Z321">
        <f>IF(原始資料!Z321="","",IF(反向題設定!$C$29="是",反向題設定!$B$2+1-原始資料!Z321,原始資料!Z321))</f>
        <v/>
      </c>
      <c r="AA321">
        <f>IF(原始資料!AA321="","",IF(反向題設定!$C$30="是",反向題設定!$B$2+1-原始資料!AA321,原始資料!AA321))</f>
        <v/>
      </c>
      <c r="AB321">
        <f>IF(原始資料!AB321="","",IF(反向題設定!$C$31="是",反向題設定!$B$2+1-原始資料!AB321,原始資料!AB321))</f>
        <v/>
      </c>
      <c r="AC321">
        <f>IF(原始資料!AC321="","",IF(反向題設定!$C$32="是",反向題設定!$B$2+1-原始資料!AC321,原始資料!AC321))</f>
        <v/>
      </c>
      <c r="AD321">
        <f>IF(原始資料!AD321="","",IF(反向題設定!$C$33="是",反向題設定!$B$2+1-原始資料!AD321,原始資料!AD321))</f>
        <v/>
      </c>
      <c r="AE321">
        <f>IF(原始資料!AE321="","",IF(反向題設定!$C$34="是",反向題設定!$B$2+1-原始資料!AE321,原始資料!AE321))</f>
        <v/>
      </c>
      <c r="AF321">
        <f>IF(原始資料!AF321="","",IF(反向題設定!$C$35="是",反向題設定!$B$2+1-原始資料!AF321,原始資料!AF321))</f>
        <v/>
      </c>
      <c r="AG321">
        <f>IF(原始資料!AG321="","",IF(反向題設定!$C$36="是",反向題設定!$B$2+1-原始資料!AG321,原始資料!AG321))</f>
        <v/>
      </c>
      <c r="AH321">
        <f>IF(原始資料!AH321="","",IF(反向題設定!$C$37="是",反向題設定!$B$2+1-原始資料!AH321,原始資料!AH321))</f>
        <v/>
      </c>
      <c r="AI321">
        <f>IF(原始資料!AI321="","",IF(反向題設定!$C$38="是",反向題設定!$B$2+1-原始資料!AI321,原始資料!AI321))</f>
        <v/>
      </c>
      <c r="AJ321">
        <f>IF(原始資料!AJ321="","",IF(反向題設定!$C$39="是",反向題設定!$B$2+1-原始資料!AJ321,原始資料!AJ321))</f>
        <v/>
      </c>
      <c r="AK321">
        <f>IF(原始資料!AK321="","",IF(反向題設定!$C$40="是",反向題設定!$B$2+1-原始資料!AK321,原始資料!AK321))</f>
        <v/>
      </c>
      <c r="AL321">
        <f>IF(原始資料!AL321="","",IF(反向題設定!$C$41="是",反向題設定!$B$2+1-原始資料!AL321,原始資料!AL321))</f>
        <v/>
      </c>
      <c r="AM321">
        <f>IF(原始資料!AM321="","",IF(反向題設定!$C$42="是",反向題設定!$B$2+1-原始資料!AM321,原始資料!AM321))</f>
        <v/>
      </c>
      <c r="AN321">
        <f>IF(原始資料!AN321="","",IF(反向題設定!$C$43="是",反向題設定!$B$2+1-原始資料!AN321,原始資料!AN321))</f>
        <v/>
      </c>
      <c r="AO321">
        <f>IF(原始資料!AO321="","",IF(反向題設定!$C$44="是",反向題設定!$B$2+1-原始資料!AO321,原始資料!AO321))</f>
        <v/>
      </c>
      <c r="AP321">
        <f>IF(COUNT(B321:AO321)=0,"",SUM(B321:AO321))</f>
        <v/>
      </c>
      <c r="AQ321">
        <f>IF(AP321="","",IF(AP321&gt;=項目分析!$C$5,"高",IF(AP321&lt;=項目分析!$C$6,"低","")))</f>
        <v/>
      </c>
    </row>
    <row r="322">
      <c r="A322">
        <f>IF(原始資料!A322="","",原始資料!A322)</f>
        <v/>
      </c>
      <c r="B322">
        <f>IF(原始資料!B322="","",IF(反向題設定!$C$5="是",反向題設定!$B$2+1-原始資料!B322,原始資料!B322))</f>
        <v/>
      </c>
      <c r="C322">
        <f>IF(原始資料!C322="","",IF(反向題設定!$C$6="是",反向題設定!$B$2+1-原始資料!C322,原始資料!C322))</f>
        <v/>
      </c>
      <c r="D322">
        <f>IF(原始資料!D322="","",IF(反向題設定!$C$7="是",反向題設定!$B$2+1-原始資料!D322,原始資料!D322))</f>
        <v/>
      </c>
      <c r="E322">
        <f>IF(原始資料!E322="","",IF(反向題設定!$C$8="是",反向題設定!$B$2+1-原始資料!E322,原始資料!E322))</f>
        <v/>
      </c>
      <c r="F322">
        <f>IF(原始資料!F322="","",IF(反向題設定!$C$9="是",反向題設定!$B$2+1-原始資料!F322,原始資料!F322))</f>
        <v/>
      </c>
      <c r="G322">
        <f>IF(原始資料!G322="","",IF(反向題設定!$C$10="是",反向題設定!$B$2+1-原始資料!G322,原始資料!G322))</f>
        <v/>
      </c>
      <c r="H322">
        <f>IF(原始資料!H322="","",IF(反向題設定!$C$11="是",反向題設定!$B$2+1-原始資料!H322,原始資料!H322))</f>
        <v/>
      </c>
      <c r="I322">
        <f>IF(原始資料!I322="","",IF(反向題設定!$C$12="是",反向題設定!$B$2+1-原始資料!I322,原始資料!I322))</f>
        <v/>
      </c>
      <c r="J322">
        <f>IF(原始資料!J322="","",IF(反向題設定!$C$13="是",反向題設定!$B$2+1-原始資料!J322,原始資料!J322))</f>
        <v/>
      </c>
      <c r="K322">
        <f>IF(原始資料!K322="","",IF(反向題設定!$C$14="是",反向題設定!$B$2+1-原始資料!K322,原始資料!K322))</f>
        <v/>
      </c>
      <c r="L322">
        <f>IF(原始資料!L322="","",IF(反向題設定!$C$15="是",反向題設定!$B$2+1-原始資料!L322,原始資料!L322))</f>
        <v/>
      </c>
      <c r="M322">
        <f>IF(原始資料!M322="","",IF(反向題設定!$C$16="是",反向題設定!$B$2+1-原始資料!M322,原始資料!M322))</f>
        <v/>
      </c>
      <c r="N322">
        <f>IF(原始資料!N322="","",IF(反向題設定!$C$17="是",反向題設定!$B$2+1-原始資料!N322,原始資料!N322))</f>
        <v/>
      </c>
      <c r="O322">
        <f>IF(原始資料!O322="","",IF(反向題設定!$C$18="是",反向題設定!$B$2+1-原始資料!O322,原始資料!O322))</f>
        <v/>
      </c>
      <c r="P322">
        <f>IF(原始資料!P322="","",IF(反向題設定!$C$19="是",反向題設定!$B$2+1-原始資料!P322,原始資料!P322))</f>
        <v/>
      </c>
      <c r="Q322">
        <f>IF(原始資料!Q322="","",IF(反向題設定!$C$20="是",反向題設定!$B$2+1-原始資料!Q322,原始資料!Q322))</f>
        <v/>
      </c>
      <c r="R322">
        <f>IF(原始資料!R322="","",IF(反向題設定!$C$21="是",反向題設定!$B$2+1-原始資料!R322,原始資料!R322))</f>
        <v/>
      </c>
      <c r="S322">
        <f>IF(原始資料!S322="","",IF(反向題設定!$C$22="是",反向題設定!$B$2+1-原始資料!S322,原始資料!S322))</f>
        <v/>
      </c>
      <c r="T322">
        <f>IF(原始資料!T322="","",IF(反向題設定!$C$23="是",反向題設定!$B$2+1-原始資料!T322,原始資料!T322))</f>
        <v/>
      </c>
      <c r="U322">
        <f>IF(原始資料!U322="","",IF(反向題設定!$C$24="是",反向題設定!$B$2+1-原始資料!U322,原始資料!U322))</f>
        <v/>
      </c>
      <c r="V322">
        <f>IF(原始資料!V322="","",IF(反向題設定!$C$25="是",反向題設定!$B$2+1-原始資料!V322,原始資料!V322))</f>
        <v/>
      </c>
      <c r="W322">
        <f>IF(原始資料!W322="","",IF(反向題設定!$C$26="是",反向題設定!$B$2+1-原始資料!W322,原始資料!W322))</f>
        <v/>
      </c>
      <c r="X322">
        <f>IF(原始資料!X322="","",IF(反向題設定!$C$27="是",反向題設定!$B$2+1-原始資料!X322,原始資料!X322))</f>
        <v/>
      </c>
      <c r="Y322">
        <f>IF(原始資料!Y322="","",IF(反向題設定!$C$28="是",反向題設定!$B$2+1-原始資料!Y322,原始資料!Y322))</f>
        <v/>
      </c>
      <c r="Z322">
        <f>IF(原始資料!Z322="","",IF(反向題設定!$C$29="是",反向題設定!$B$2+1-原始資料!Z322,原始資料!Z322))</f>
        <v/>
      </c>
      <c r="AA322">
        <f>IF(原始資料!AA322="","",IF(反向題設定!$C$30="是",反向題設定!$B$2+1-原始資料!AA322,原始資料!AA322))</f>
        <v/>
      </c>
      <c r="AB322">
        <f>IF(原始資料!AB322="","",IF(反向題設定!$C$31="是",反向題設定!$B$2+1-原始資料!AB322,原始資料!AB322))</f>
        <v/>
      </c>
      <c r="AC322">
        <f>IF(原始資料!AC322="","",IF(反向題設定!$C$32="是",反向題設定!$B$2+1-原始資料!AC322,原始資料!AC322))</f>
        <v/>
      </c>
      <c r="AD322">
        <f>IF(原始資料!AD322="","",IF(反向題設定!$C$33="是",反向題設定!$B$2+1-原始資料!AD322,原始資料!AD322))</f>
        <v/>
      </c>
      <c r="AE322">
        <f>IF(原始資料!AE322="","",IF(反向題設定!$C$34="是",反向題設定!$B$2+1-原始資料!AE322,原始資料!AE322))</f>
        <v/>
      </c>
      <c r="AF322">
        <f>IF(原始資料!AF322="","",IF(反向題設定!$C$35="是",反向題設定!$B$2+1-原始資料!AF322,原始資料!AF322))</f>
        <v/>
      </c>
      <c r="AG322">
        <f>IF(原始資料!AG322="","",IF(反向題設定!$C$36="是",反向題設定!$B$2+1-原始資料!AG322,原始資料!AG322))</f>
        <v/>
      </c>
      <c r="AH322">
        <f>IF(原始資料!AH322="","",IF(反向題設定!$C$37="是",反向題設定!$B$2+1-原始資料!AH322,原始資料!AH322))</f>
        <v/>
      </c>
      <c r="AI322">
        <f>IF(原始資料!AI322="","",IF(反向題設定!$C$38="是",反向題設定!$B$2+1-原始資料!AI322,原始資料!AI322))</f>
        <v/>
      </c>
      <c r="AJ322">
        <f>IF(原始資料!AJ322="","",IF(反向題設定!$C$39="是",反向題設定!$B$2+1-原始資料!AJ322,原始資料!AJ322))</f>
        <v/>
      </c>
      <c r="AK322">
        <f>IF(原始資料!AK322="","",IF(反向題設定!$C$40="是",反向題設定!$B$2+1-原始資料!AK322,原始資料!AK322))</f>
        <v/>
      </c>
      <c r="AL322">
        <f>IF(原始資料!AL322="","",IF(反向題設定!$C$41="是",反向題設定!$B$2+1-原始資料!AL322,原始資料!AL322))</f>
        <v/>
      </c>
      <c r="AM322">
        <f>IF(原始資料!AM322="","",IF(反向題設定!$C$42="是",反向題設定!$B$2+1-原始資料!AM322,原始資料!AM322))</f>
        <v/>
      </c>
      <c r="AN322">
        <f>IF(原始資料!AN322="","",IF(反向題設定!$C$43="是",反向題設定!$B$2+1-原始資料!AN322,原始資料!AN322))</f>
        <v/>
      </c>
      <c r="AO322">
        <f>IF(原始資料!AO322="","",IF(反向題設定!$C$44="是",反向題設定!$B$2+1-原始資料!AO322,原始資料!AO322))</f>
        <v/>
      </c>
      <c r="AP322">
        <f>IF(COUNT(B322:AO322)=0,"",SUM(B322:AO322))</f>
        <v/>
      </c>
      <c r="AQ322">
        <f>IF(AP322="","",IF(AP322&gt;=項目分析!$C$5,"高",IF(AP322&lt;=項目分析!$C$6,"低","")))</f>
        <v/>
      </c>
    </row>
    <row r="323">
      <c r="A323">
        <f>IF(原始資料!A323="","",原始資料!A323)</f>
        <v/>
      </c>
      <c r="B323">
        <f>IF(原始資料!B323="","",IF(反向題設定!$C$5="是",反向題設定!$B$2+1-原始資料!B323,原始資料!B323))</f>
        <v/>
      </c>
      <c r="C323">
        <f>IF(原始資料!C323="","",IF(反向題設定!$C$6="是",反向題設定!$B$2+1-原始資料!C323,原始資料!C323))</f>
        <v/>
      </c>
      <c r="D323">
        <f>IF(原始資料!D323="","",IF(反向題設定!$C$7="是",反向題設定!$B$2+1-原始資料!D323,原始資料!D323))</f>
        <v/>
      </c>
      <c r="E323">
        <f>IF(原始資料!E323="","",IF(反向題設定!$C$8="是",反向題設定!$B$2+1-原始資料!E323,原始資料!E323))</f>
        <v/>
      </c>
      <c r="F323">
        <f>IF(原始資料!F323="","",IF(反向題設定!$C$9="是",反向題設定!$B$2+1-原始資料!F323,原始資料!F323))</f>
        <v/>
      </c>
      <c r="G323">
        <f>IF(原始資料!G323="","",IF(反向題設定!$C$10="是",反向題設定!$B$2+1-原始資料!G323,原始資料!G323))</f>
        <v/>
      </c>
      <c r="H323">
        <f>IF(原始資料!H323="","",IF(反向題設定!$C$11="是",反向題設定!$B$2+1-原始資料!H323,原始資料!H323))</f>
        <v/>
      </c>
      <c r="I323">
        <f>IF(原始資料!I323="","",IF(反向題設定!$C$12="是",反向題設定!$B$2+1-原始資料!I323,原始資料!I323))</f>
        <v/>
      </c>
      <c r="J323">
        <f>IF(原始資料!J323="","",IF(反向題設定!$C$13="是",反向題設定!$B$2+1-原始資料!J323,原始資料!J323))</f>
        <v/>
      </c>
      <c r="K323">
        <f>IF(原始資料!K323="","",IF(反向題設定!$C$14="是",反向題設定!$B$2+1-原始資料!K323,原始資料!K323))</f>
        <v/>
      </c>
      <c r="L323">
        <f>IF(原始資料!L323="","",IF(反向題設定!$C$15="是",反向題設定!$B$2+1-原始資料!L323,原始資料!L323))</f>
        <v/>
      </c>
      <c r="M323">
        <f>IF(原始資料!M323="","",IF(反向題設定!$C$16="是",反向題設定!$B$2+1-原始資料!M323,原始資料!M323))</f>
        <v/>
      </c>
      <c r="N323">
        <f>IF(原始資料!N323="","",IF(反向題設定!$C$17="是",反向題設定!$B$2+1-原始資料!N323,原始資料!N323))</f>
        <v/>
      </c>
      <c r="O323">
        <f>IF(原始資料!O323="","",IF(反向題設定!$C$18="是",反向題設定!$B$2+1-原始資料!O323,原始資料!O323))</f>
        <v/>
      </c>
      <c r="P323">
        <f>IF(原始資料!P323="","",IF(反向題設定!$C$19="是",反向題設定!$B$2+1-原始資料!P323,原始資料!P323))</f>
        <v/>
      </c>
      <c r="Q323">
        <f>IF(原始資料!Q323="","",IF(反向題設定!$C$20="是",反向題設定!$B$2+1-原始資料!Q323,原始資料!Q323))</f>
        <v/>
      </c>
      <c r="R323">
        <f>IF(原始資料!R323="","",IF(反向題設定!$C$21="是",反向題設定!$B$2+1-原始資料!R323,原始資料!R323))</f>
        <v/>
      </c>
      <c r="S323">
        <f>IF(原始資料!S323="","",IF(反向題設定!$C$22="是",反向題設定!$B$2+1-原始資料!S323,原始資料!S323))</f>
        <v/>
      </c>
      <c r="T323">
        <f>IF(原始資料!T323="","",IF(反向題設定!$C$23="是",反向題設定!$B$2+1-原始資料!T323,原始資料!T323))</f>
        <v/>
      </c>
      <c r="U323">
        <f>IF(原始資料!U323="","",IF(反向題設定!$C$24="是",反向題設定!$B$2+1-原始資料!U323,原始資料!U323))</f>
        <v/>
      </c>
      <c r="V323">
        <f>IF(原始資料!V323="","",IF(反向題設定!$C$25="是",反向題設定!$B$2+1-原始資料!V323,原始資料!V323))</f>
        <v/>
      </c>
      <c r="W323">
        <f>IF(原始資料!W323="","",IF(反向題設定!$C$26="是",反向題設定!$B$2+1-原始資料!W323,原始資料!W323))</f>
        <v/>
      </c>
      <c r="X323">
        <f>IF(原始資料!X323="","",IF(反向題設定!$C$27="是",反向題設定!$B$2+1-原始資料!X323,原始資料!X323))</f>
        <v/>
      </c>
      <c r="Y323">
        <f>IF(原始資料!Y323="","",IF(反向題設定!$C$28="是",反向題設定!$B$2+1-原始資料!Y323,原始資料!Y323))</f>
        <v/>
      </c>
      <c r="Z323">
        <f>IF(原始資料!Z323="","",IF(反向題設定!$C$29="是",反向題設定!$B$2+1-原始資料!Z323,原始資料!Z323))</f>
        <v/>
      </c>
      <c r="AA323">
        <f>IF(原始資料!AA323="","",IF(反向題設定!$C$30="是",反向題設定!$B$2+1-原始資料!AA323,原始資料!AA323))</f>
        <v/>
      </c>
      <c r="AB323">
        <f>IF(原始資料!AB323="","",IF(反向題設定!$C$31="是",反向題設定!$B$2+1-原始資料!AB323,原始資料!AB323))</f>
        <v/>
      </c>
      <c r="AC323">
        <f>IF(原始資料!AC323="","",IF(反向題設定!$C$32="是",反向題設定!$B$2+1-原始資料!AC323,原始資料!AC323))</f>
        <v/>
      </c>
      <c r="AD323">
        <f>IF(原始資料!AD323="","",IF(反向題設定!$C$33="是",反向題設定!$B$2+1-原始資料!AD323,原始資料!AD323))</f>
        <v/>
      </c>
      <c r="AE323">
        <f>IF(原始資料!AE323="","",IF(反向題設定!$C$34="是",反向題設定!$B$2+1-原始資料!AE323,原始資料!AE323))</f>
        <v/>
      </c>
      <c r="AF323">
        <f>IF(原始資料!AF323="","",IF(反向題設定!$C$35="是",反向題設定!$B$2+1-原始資料!AF323,原始資料!AF323))</f>
        <v/>
      </c>
      <c r="AG323">
        <f>IF(原始資料!AG323="","",IF(反向題設定!$C$36="是",反向題設定!$B$2+1-原始資料!AG323,原始資料!AG323))</f>
        <v/>
      </c>
      <c r="AH323">
        <f>IF(原始資料!AH323="","",IF(反向題設定!$C$37="是",反向題設定!$B$2+1-原始資料!AH323,原始資料!AH323))</f>
        <v/>
      </c>
      <c r="AI323">
        <f>IF(原始資料!AI323="","",IF(反向題設定!$C$38="是",反向題設定!$B$2+1-原始資料!AI323,原始資料!AI323))</f>
        <v/>
      </c>
      <c r="AJ323">
        <f>IF(原始資料!AJ323="","",IF(反向題設定!$C$39="是",反向題設定!$B$2+1-原始資料!AJ323,原始資料!AJ323))</f>
        <v/>
      </c>
      <c r="AK323">
        <f>IF(原始資料!AK323="","",IF(反向題設定!$C$40="是",反向題設定!$B$2+1-原始資料!AK323,原始資料!AK323))</f>
        <v/>
      </c>
      <c r="AL323">
        <f>IF(原始資料!AL323="","",IF(反向題設定!$C$41="是",反向題設定!$B$2+1-原始資料!AL323,原始資料!AL323))</f>
        <v/>
      </c>
      <c r="AM323">
        <f>IF(原始資料!AM323="","",IF(反向題設定!$C$42="是",反向題設定!$B$2+1-原始資料!AM323,原始資料!AM323))</f>
        <v/>
      </c>
      <c r="AN323">
        <f>IF(原始資料!AN323="","",IF(反向題設定!$C$43="是",反向題設定!$B$2+1-原始資料!AN323,原始資料!AN323))</f>
        <v/>
      </c>
      <c r="AO323">
        <f>IF(原始資料!AO323="","",IF(反向題設定!$C$44="是",反向題設定!$B$2+1-原始資料!AO323,原始資料!AO323))</f>
        <v/>
      </c>
      <c r="AP323">
        <f>IF(COUNT(B323:AO323)=0,"",SUM(B323:AO323))</f>
        <v/>
      </c>
      <c r="AQ323">
        <f>IF(AP323="","",IF(AP323&gt;=項目分析!$C$5,"高",IF(AP323&lt;=項目分析!$C$6,"低","")))</f>
        <v/>
      </c>
    </row>
    <row r="324">
      <c r="A324">
        <f>IF(原始資料!A324="","",原始資料!A324)</f>
        <v/>
      </c>
      <c r="B324">
        <f>IF(原始資料!B324="","",IF(反向題設定!$C$5="是",反向題設定!$B$2+1-原始資料!B324,原始資料!B324))</f>
        <v/>
      </c>
      <c r="C324">
        <f>IF(原始資料!C324="","",IF(反向題設定!$C$6="是",反向題設定!$B$2+1-原始資料!C324,原始資料!C324))</f>
        <v/>
      </c>
      <c r="D324">
        <f>IF(原始資料!D324="","",IF(反向題設定!$C$7="是",反向題設定!$B$2+1-原始資料!D324,原始資料!D324))</f>
        <v/>
      </c>
      <c r="E324">
        <f>IF(原始資料!E324="","",IF(反向題設定!$C$8="是",反向題設定!$B$2+1-原始資料!E324,原始資料!E324))</f>
        <v/>
      </c>
      <c r="F324">
        <f>IF(原始資料!F324="","",IF(反向題設定!$C$9="是",反向題設定!$B$2+1-原始資料!F324,原始資料!F324))</f>
        <v/>
      </c>
      <c r="G324">
        <f>IF(原始資料!G324="","",IF(反向題設定!$C$10="是",反向題設定!$B$2+1-原始資料!G324,原始資料!G324))</f>
        <v/>
      </c>
      <c r="H324">
        <f>IF(原始資料!H324="","",IF(反向題設定!$C$11="是",反向題設定!$B$2+1-原始資料!H324,原始資料!H324))</f>
        <v/>
      </c>
      <c r="I324">
        <f>IF(原始資料!I324="","",IF(反向題設定!$C$12="是",反向題設定!$B$2+1-原始資料!I324,原始資料!I324))</f>
        <v/>
      </c>
      <c r="J324">
        <f>IF(原始資料!J324="","",IF(反向題設定!$C$13="是",反向題設定!$B$2+1-原始資料!J324,原始資料!J324))</f>
        <v/>
      </c>
      <c r="K324">
        <f>IF(原始資料!K324="","",IF(反向題設定!$C$14="是",反向題設定!$B$2+1-原始資料!K324,原始資料!K324))</f>
        <v/>
      </c>
      <c r="L324">
        <f>IF(原始資料!L324="","",IF(反向題設定!$C$15="是",反向題設定!$B$2+1-原始資料!L324,原始資料!L324))</f>
        <v/>
      </c>
      <c r="M324">
        <f>IF(原始資料!M324="","",IF(反向題設定!$C$16="是",反向題設定!$B$2+1-原始資料!M324,原始資料!M324))</f>
        <v/>
      </c>
      <c r="N324">
        <f>IF(原始資料!N324="","",IF(反向題設定!$C$17="是",反向題設定!$B$2+1-原始資料!N324,原始資料!N324))</f>
        <v/>
      </c>
      <c r="O324">
        <f>IF(原始資料!O324="","",IF(反向題設定!$C$18="是",反向題設定!$B$2+1-原始資料!O324,原始資料!O324))</f>
        <v/>
      </c>
      <c r="P324">
        <f>IF(原始資料!P324="","",IF(反向題設定!$C$19="是",反向題設定!$B$2+1-原始資料!P324,原始資料!P324))</f>
        <v/>
      </c>
      <c r="Q324">
        <f>IF(原始資料!Q324="","",IF(反向題設定!$C$20="是",反向題設定!$B$2+1-原始資料!Q324,原始資料!Q324))</f>
        <v/>
      </c>
      <c r="R324">
        <f>IF(原始資料!R324="","",IF(反向題設定!$C$21="是",反向題設定!$B$2+1-原始資料!R324,原始資料!R324))</f>
        <v/>
      </c>
      <c r="S324">
        <f>IF(原始資料!S324="","",IF(反向題設定!$C$22="是",反向題設定!$B$2+1-原始資料!S324,原始資料!S324))</f>
        <v/>
      </c>
      <c r="T324">
        <f>IF(原始資料!T324="","",IF(反向題設定!$C$23="是",反向題設定!$B$2+1-原始資料!T324,原始資料!T324))</f>
        <v/>
      </c>
      <c r="U324">
        <f>IF(原始資料!U324="","",IF(反向題設定!$C$24="是",反向題設定!$B$2+1-原始資料!U324,原始資料!U324))</f>
        <v/>
      </c>
      <c r="V324">
        <f>IF(原始資料!V324="","",IF(反向題設定!$C$25="是",反向題設定!$B$2+1-原始資料!V324,原始資料!V324))</f>
        <v/>
      </c>
      <c r="W324">
        <f>IF(原始資料!W324="","",IF(反向題設定!$C$26="是",反向題設定!$B$2+1-原始資料!W324,原始資料!W324))</f>
        <v/>
      </c>
      <c r="X324">
        <f>IF(原始資料!X324="","",IF(反向題設定!$C$27="是",反向題設定!$B$2+1-原始資料!X324,原始資料!X324))</f>
        <v/>
      </c>
      <c r="Y324">
        <f>IF(原始資料!Y324="","",IF(反向題設定!$C$28="是",反向題設定!$B$2+1-原始資料!Y324,原始資料!Y324))</f>
        <v/>
      </c>
      <c r="Z324">
        <f>IF(原始資料!Z324="","",IF(反向題設定!$C$29="是",反向題設定!$B$2+1-原始資料!Z324,原始資料!Z324))</f>
        <v/>
      </c>
      <c r="AA324">
        <f>IF(原始資料!AA324="","",IF(反向題設定!$C$30="是",反向題設定!$B$2+1-原始資料!AA324,原始資料!AA324))</f>
        <v/>
      </c>
      <c r="AB324">
        <f>IF(原始資料!AB324="","",IF(反向題設定!$C$31="是",反向題設定!$B$2+1-原始資料!AB324,原始資料!AB324))</f>
        <v/>
      </c>
      <c r="AC324">
        <f>IF(原始資料!AC324="","",IF(反向題設定!$C$32="是",反向題設定!$B$2+1-原始資料!AC324,原始資料!AC324))</f>
        <v/>
      </c>
      <c r="AD324">
        <f>IF(原始資料!AD324="","",IF(反向題設定!$C$33="是",反向題設定!$B$2+1-原始資料!AD324,原始資料!AD324))</f>
        <v/>
      </c>
      <c r="AE324">
        <f>IF(原始資料!AE324="","",IF(反向題設定!$C$34="是",反向題設定!$B$2+1-原始資料!AE324,原始資料!AE324))</f>
        <v/>
      </c>
      <c r="AF324">
        <f>IF(原始資料!AF324="","",IF(反向題設定!$C$35="是",反向題設定!$B$2+1-原始資料!AF324,原始資料!AF324))</f>
        <v/>
      </c>
      <c r="AG324">
        <f>IF(原始資料!AG324="","",IF(反向題設定!$C$36="是",反向題設定!$B$2+1-原始資料!AG324,原始資料!AG324))</f>
        <v/>
      </c>
      <c r="AH324">
        <f>IF(原始資料!AH324="","",IF(反向題設定!$C$37="是",反向題設定!$B$2+1-原始資料!AH324,原始資料!AH324))</f>
        <v/>
      </c>
      <c r="AI324">
        <f>IF(原始資料!AI324="","",IF(反向題設定!$C$38="是",反向題設定!$B$2+1-原始資料!AI324,原始資料!AI324))</f>
        <v/>
      </c>
      <c r="AJ324">
        <f>IF(原始資料!AJ324="","",IF(反向題設定!$C$39="是",反向題設定!$B$2+1-原始資料!AJ324,原始資料!AJ324))</f>
        <v/>
      </c>
      <c r="AK324">
        <f>IF(原始資料!AK324="","",IF(反向題設定!$C$40="是",反向題設定!$B$2+1-原始資料!AK324,原始資料!AK324))</f>
        <v/>
      </c>
      <c r="AL324">
        <f>IF(原始資料!AL324="","",IF(反向題設定!$C$41="是",反向題設定!$B$2+1-原始資料!AL324,原始資料!AL324))</f>
        <v/>
      </c>
      <c r="AM324">
        <f>IF(原始資料!AM324="","",IF(反向題設定!$C$42="是",反向題設定!$B$2+1-原始資料!AM324,原始資料!AM324))</f>
        <v/>
      </c>
      <c r="AN324">
        <f>IF(原始資料!AN324="","",IF(反向題設定!$C$43="是",反向題設定!$B$2+1-原始資料!AN324,原始資料!AN324))</f>
        <v/>
      </c>
      <c r="AO324">
        <f>IF(原始資料!AO324="","",IF(反向題設定!$C$44="是",反向題設定!$B$2+1-原始資料!AO324,原始資料!AO324))</f>
        <v/>
      </c>
      <c r="AP324">
        <f>IF(COUNT(B324:AO324)=0,"",SUM(B324:AO324))</f>
        <v/>
      </c>
      <c r="AQ324">
        <f>IF(AP324="","",IF(AP324&gt;=項目分析!$C$5,"高",IF(AP324&lt;=項目分析!$C$6,"低","")))</f>
        <v/>
      </c>
    </row>
    <row r="325">
      <c r="A325">
        <f>IF(原始資料!A325="","",原始資料!A325)</f>
        <v/>
      </c>
      <c r="B325">
        <f>IF(原始資料!B325="","",IF(反向題設定!$C$5="是",反向題設定!$B$2+1-原始資料!B325,原始資料!B325))</f>
        <v/>
      </c>
      <c r="C325">
        <f>IF(原始資料!C325="","",IF(反向題設定!$C$6="是",反向題設定!$B$2+1-原始資料!C325,原始資料!C325))</f>
        <v/>
      </c>
      <c r="D325">
        <f>IF(原始資料!D325="","",IF(反向題設定!$C$7="是",反向題設定!$B$2+1-原始資料!D325,原始資料!D325))</f>
        <v/>
      </c>
      <c r="E325">
        <f>IF(原始資料!E325="","",IF(反向題設定!$C$8="是",反向題設定!$B$2+1-原始資料!E325,原始資料!E325))</f>
        <v/>
      </c>
      <c r="F325">
        <f>IF(原始資料!F325="","",IF(反向題設定!$C$9="是",反向題設定!$B$2+1-原始資料!F325,原始資料!F325))</f>
        <v/>
      </c>
      <c r="G325">
        <f>IF(原始資料!G325="","",IF(反向題設定!$C$10="是",反向題設定!$B$2+1-原始資料!G325,原始資料!G325))</f>
        <v/>
      </c>
      <c r="H325">
        <f>IF(原始資料!H325="","",IF(反向題設定!$C$11="是",反向題設定!$B$2+1-原始資料!H325,原始資料!H325))</f>
        <v/>
      </c>
      <c r="I325">
        <f>IF(原始資料!I325="","",IF(反向題設定!$C$12="是",反向題設定!$B$2+1-原始資料!I325,原始資料!I325))</f>
        <v/>
      </c>
      <c r="J325">
        <f>IF(原始資料!J325="","",IF(反向題設定!$C$13="是",反向題設定!$B$2+1-原始資料!J325,原始資料!J325))</f>
        <v/>
      </c>
      <c r="K325">
        <f>IF(原始資料!K325="","",IF(反向題設定!$C$14="是",反向題設定!$B$2+1-原始資料!K325,原始資料!K325))</f>
        <v/>
      </c>
      <c r="L325">
        <f>IF(原始資料!L325="","",IF(反向題設定!$C$15="是",反向題設定!$B$2+1-原始資料!L325,原始資料!L325))</f>
        <v/>
      </c>
      <c r="M325">
        <f>IF(原始資料!M325="","",IF(反向題設定!$C$16="是",反向題設定!$B$2+1-原始資料!M325,原始資料!M325))</f>
        <v/>
      </c>
      <c r="N325">
        <f>IF(原始資料!N325="","",IF(反向題設定!$C$17="是",反向題設定!$B$2+1-原始資料!N325,原始資料!N325))</f>
        <v/>
      </c>
      <c r="O325">
        <f>IF(原始資料!O325="","",IF(反向題設定!$C$18="是",反向題設定!$B$2+1-原始資料!O325,原始資料!O325))</f>
        <v/>
      </c>
      <c r="P325">
        <f>IF(原始資料!P325="","",IF(反向題設定!$C$19="是",反向題設定!$B$2+1-原始資料!P325,原始資料!P325))</f>
        <v/>
      </c>
      <c r="Q325">
        <f>IF(原始資料!Q325="","",IF(反向題設定!$C$20="是",反向題設定!$B$2+1-原始資料!Q325,原始資料!Q325))</f>
        <v/>
      </c>
      <c r="R325">
        <f>IF(原始資料!R325="","",IF(反向題設定!$C$21="是",反向題設定!$B$2+1-原始資料!R325,原始資料!R325))</f>
        <v/>
      </c>
      <c r="S325">
        <f>IF(原始資料!S325="","",IF(反向題設定!$C$22="是",反向題設定!$B$2+1-原始資料!S325,原始資料!S325))</f>
        <v/>
      </c>
      <c r="T325">
        <f>IF(原始資料!T325="","",IF(反向題設定!$C$23="是",反向題設定!$B$2+1-原始資料!T325,原始資料!T325))</f>
        <v/>
      </c>
      <c r="U325">
        <f>IF(原始資料!U325="","",IF(反向題設定!$C$24="是",反向題設定!$B$2+1-原始資料!U325,原始資料!U325))</f>
        <v/>
      </c>
      <c r="V325">
        <f>IF(原始資料!V325="","",IF(反向題設定!$C$25="是",反向題設定!$B$2+1-原始資料!V325,原始資料!V325))</f>
        <v/>
      </c>
      <c r="W325">
        <f>IF(原始資料!W325="","",IF(反向題設定!$C$26="是",反向題設定!$B$2+1-原始資料!W325,原始資料!W325))</f>
        <v/>
      </c>
      <c r="X325">
        <f>IF(原始資料!X325="","",IF(反向題設定!$C$27="是",反向題設定!$B$2+1-原始資料!X325,原始資料!X325))</f>
        <v/>
      </c>
      <c r="Y325">
        <f>IF(原始資料!Y325="","",IF(反向題設定!$C$28="是",反向題設定!$B$2+1-原始資料!Y325,原始資料!Y325))</f>
        <v/>
      </c>
      <c r="Z325">
        <f>IF(原始資料!Z325="","",IF(反向題設定!$C$29="是",反向題設定!$B$2+1-原始資料!Z325,原始資料!Z325))</f>
        <v/>
      </c>
      <c r="AA325">
        <f>IF(原始資料!AA325="","",IF(反向題設定!$C$30="是",反向題設定!$B$2+1-原始資料!AA325,原始資料!AA325))</f>
        <v/>
      </c>
      <c r="AB325">
        <f>IF(原始資料!AB325="","",IF(反向題設定!$C$31="是",反向題設定!$B$2+1-原始資料!AB325,原始資料!AB325))</f>
        <v/>
      </c>
      <c r="AC325">
        <f>IF(原始資料!AC325="","",IF(反向題設定!$C$32="是",反向題設定!$B$2+1-原始資料!AC325,原始資料!AC325))</f>
        <v/>
      </c>
      <c r="AD325">
        <f>IF(原始資料!AD325="","",IF(反向題設定!$C$33="是",反向題設定!$B$2+1-原始資料!AD325,原始資料!AD325))</f>
        <v/>
      </c>
      <c r="AE325">
        <f>IF(原始資料!AE325="","",IF(反向題設定!$C$34="是",反向題設定!$B$2+1-原始資料!AE325,原始資料!AE325))</f>
        <v/>
      </c>
      <c r="AF325">
        <f>IF(原始資料!AF325="","",IF(反向題設定!$C$35="是",反向題設定!$B$2+1-原始資料!AF325,原始資料!AF325))</f>
        <v/>
      </c>
      <c r="AG325">
        <f>IF(原始資料!AG325="","",IF(反向題設定!$C$36="是",反向題設定!$B$2+1-原始資料!AG325,原始資料!AG325))</f>
        <v/>
      </c>
      <c r="AH325">
        <f>IF(原始資料!AH325="","",IF(反向題設定!$C$37="是",反向題設定!$B$2+1-原始資料!AH325,原始資料!AH325))</f>
        <v/>
      </c>
      <c r="AI325">
        <f>IF(原始資料!AI325="","",IF(反向題設定!$C$38="是",反向題設定!$B$2+1-原始資料!AI325,原始資料!AI325))</f>
        <v/>
      </c>
      <c r="AJ325">
        <f>IF(原始資料!AJ325="","",IF(反向題設定!$C$39="是",反向題設定!$B$2+1-原始資料!AJ325,原始資料!AJ325))</f>
        <v/>
      </c>
      <c r="AK325">
        <f>IF(原始資料!AK325="","",IF(反向題設定!$C$40="是",反向題設定!$B$2+1-原始資料!AK325,原始資料!AK325))</f>
        <v/>
      </c>
      <c r="AL325">
        <f>IF(原始資料!AL325="","",IF(反向題設定!$C$41="是",反向題設定!$B$2+1-原始資料!AL325,原始資料!AL325))</f>
        <v/>
      </c>
      <c r="AM325">
        <f>IF(原始資料!AM325="","",IF(反向題設定!$C$42="是",反向題設定!$B$2+1-原始資料!AM325,原始資料!AM325))</f>
        <v/>
      </c>
      <c r="AN325">
        <f>IF(原始資料!AN325="","",IF(反向題設定!$C$43="是",反向題設定!$B$2+1-原始資料!AN325,原始資料!AN325))</f>
        <v/>
      </c>
      <c r="AO325">
        <f>IF(原始資料!AO325="","",IF(反向題設定!$C$44="是",反向題設定!$B$2+1-原始資料!AO325,原始資料!AO325))</f>
        <v/>
      </c>
      <c r="AP325">
        <f>IF(COUNT(B325:AO325)=0,"",SUM(B325:AO325))</f>
        <v/>
      </c>
      <c r="AQ325">
        <f>IF(AP325="","",IF(AP325&gt;=項目分析!$C$5,"高",IF(AP325&lt;=項目分析!$C$6,"低","")))</f>
        <v/>
      </c>
    </row>
    <row r="326">
      <c r="A326">
        <f>IF(原始資料!A326="","",原始資料!A326)</f>
        <v/>
      </c>
      <c r="B326">
        <f>IF(原始資料!B326="","",IF(反向題設定!$C$5="是",反向題設定!$B$2+1-原始資料!B326,原始資料!B326))</f>
        <v/>
      </c>
      <c r="C326">
        <f>IF(原始資料!C326="","",IF(反向題設定!$C$6="是",反向題設定!$B$2+1-原始資料!C326,原始資料!C326))</f>
        <v/>
      </c>
      <c r="D326">
        <f>IF(原始資料!D326="","",IF(反向題設定!$C$7="是",反向題設定!$B$2+1-原始資料!D326,原始資料!D326))</f>
        <v/>
      </c>
      <c r="E326">
        <f>IF(原始資料!E326="","",IF(反向題設定!$C$8="是",反向題設定!$B$2+1-原始資料!E326,原始資料!E326))</f>
        <v/>
      </c>
      <c r="F326">
        <f>IF(原始資料!F326="","",IF(反向題設定!$C$9="是",反向題設定!$B$2+1-原始資料!F326,原始資料!F326))</f>
        <v/>
      </c>
      <c r="G326">
        <f>IF(原始資料!G326="","",IF(反向題設定!$C$10="是",反向題設定!$B$2+1-原始資料!G326,原始資料!G326))</f>
        <v/>
      </c>
      <c r="H326">
        <f>IF(原始資料!H326="","",IF(反向題設定!$C$11="是",反向題設定!$B$2+1-原始資料!H326,原始資料!H326))</f>
        <v/>
      </c>
      <c r="I326">
        <f>IF(原始資料!I326="","",IF(反向題設定!$C$12="是",反向題設定!$B$2+1-原始資料!I326,原始資料!I326))</f>
        <v/>
      </c>
      <c r="J326">
        <f>IF(原始資料!J326="","",IF(反向題設定!$C$13="是",反向題設定!$B$2+1-原始資料!J326,原始資料!J326))</f>
        <v/>
      </c>
      <c r="K326">
        <f>IF(原始資料!K326="","",IF(反向題設定!$C$14="是",反向題設定!$B$2+1-原始資料!K326,原始資料!K326))</f>
        <v/>
      </c>
      <c r="L326">
        <f>IF(原始資料!L326="","",IF(反向題設定!$C$15="是",反向題設定!$B$2+1-原始資料!L326,原始資料!L326))</f>
        <v/>
      </c>
      <c r="M326">
        <f>IF(原始資料!M326="","",IF(反向題設定!$C$16="是",反向題設定!$B$2+1-原始資料!M326,原始資料!M326))</f>
        <v/>
      </c>
      <c r="N326">
        <f>IF(原始資料!N326="","",IF(反向題設定!$C$17="是",反向題設定!$B$2+1-原始資料!N326,原始資料!N326))</f>
        <v/>
      </c>
      <c r="O326">
        <f>IF(原始資料!O326="","",IF(反向題設定!$C$18="是",反向題設定!$B$2+1-原始資料!O326,原始資料!O326))</f>
        <v/>
      </c>
      <c r="P326">
        <f>IF(原始資料!P326="","",IF(反向題設定!$C$19="是",反向題設定!$B$2+1-原始資料!P326,原始資料!P326))</f>
        <v/>
      </c>
      <c r="Q326">
        <f>IF(原始資料!Q326="","",IF(反向題設定!$C$20="是",反向題設定!$B$2+1-原始資料!Q326,原始資料!Q326))</f>
        <v/>
      </c>
      <c r="R326">
        <f>IF(原始資料!R326="","",IF(反向題設定!$C$21="是",反向題設定!$B$2+1-原始資料!R326,原始資料!R326))</f>
        <v/>
      </c>
      <c r="S326">
        <f>IF(原始資料!S326="","",IF(反向題設定!$C$22="是",反向題設定!$B$2+1-原始資料!S326,原始資料!S326))</f>
        <v/>
      </c>
      <c r="T326">
        <f>IF(原始資料!T326="","",IF(反向題設定!$C$23="是",反向題設定!$B$2+1-原始資料!T326,原始資料!T326))</f>
        <v/>
      </c>
      <c r="U326">
        <f>IF(原始資料!U326="","",IF(反向題設定!$C$24="是",反向題設定!$B$2+1-原始資料!U326,原始資料!U326))</f>
        <v/>
      </c>
      <c r="V326">
        <f>IF(原始資料!V326="","",IF(反向題設定!$C$25="是",反向題設定!$B$2+1-原始資料!V326,原始資料!V326))</f>
        <v/>
      </c>
      <c r="W326">
        <f>IF(原始資料!W326="","",IF(反向題設定!$C$26="是",反向題設定!$B$2+1-原始資料!W326,原始資料!W326))</f>
        <v/>
      </c>
      <c r="X326">
        <f>IF(原始資料!X326="","",IF(反向題設定!$C$27="是",反向題設定!$B$2+1-原始資料!X326,原始資料!X326))</f>
        <v/>
      </c>
      <c r="Y326">
        <f>IF(原始資料!Y326="","",IF(反向題設定!$C$28="是",反向題設定!$B$2+1-原始資料!Y326,原始資料!Y326))</f>
        <v/>
      </c>
      <c r="Z326">
        <f>IF(原始資料!Z326="","",IF(反向題設定!$C$29="是",反向題設定!$B$2+1-原始資料!Z326,原始資料!Z326))</f>
        <v/>
      </c>
      <c r="AA326">
        <f>IF(原始資料!AA326="","",IF(反向題設定!$C$30="是",反向題設定!$B$2+1-原始資料!AA326,原始資料!AA326))</f>
        <v/>
      </c>
      <c r="AB326">
        <f>IF(原始資料!AB326="","",IF(反向題設定!$C$31="是",反向題設定!$B$2+1-原始資料!AB326,原始資料!AB326))</f>
        <v/>
      </c>
      <c r="AC326">
        <f>IF(原始資料!AC326="","",IF(反向題設定!$C$32="是",反向題設定!$B$2+1-原始資料!AC326,原始資料!AC326))</f>
        <v/>
      </c>
      <c r="AD326">
        <f>IF(原始資料!AD326="","",IF(反向題設定!$C$33="是",反向題設定!$B$2+1-原始資料!AD326,原始資料!AD326))</f>
        <v/>
      </c>
      <c r="AE326">
        <f>IF(原始資料!AE326="","",IF(反向題設定!$C$34="是",反向題設定!$B$2+1-原始資料!AE326,原始資料!AE326))</f>
        <v/>
      </c>
      <c r="AF326">
        <f>IF(原始資料!AF326="","",IF(反向題設定!$C$35="是",反向題設定!$B$2+1-原始資料!AF326,原始資料!AF326))</f>
        <v/>
      </c>
      <c r="AG326">
        <f>IF(原始資料!AG326="","",IF(反向題設定!$C$36="是",反向題設定!$B$2+1-原始資料!AG326,原始資料!AG326))</f>
        <v/>
      </c>
      <c r="AH326">
        <f>IF(原始資料!AH326="","",IF(反向題設定!$C$37="是",反向題設定!$B$2+1-原始資料!AH326,原始資料!AH326))</f>
        <v/>
      </c>
      <c r="AI326">
        <f>IF(原始資料!AI326="","",IF(反向題設定!$C$38="是",反向題設定!$B$2+1-原始資料!AI326,原始資料!AI326))</f>
        <v/>
      </c>
      <c r="AJ326">
        <f>IF(原始資料!AJ326="","",IF(反向題設定!$C$39="是",反向題設定!$B$2+1-原始資料!AJ326,原始資料!AJ326))</f>
        <v/>
      </c>
      <c r="AK326">
        <f>IF(原始資料!AK326="","",IF(反向題設定!$C$40="是",反向題設定!$B$2+1-原始資料!AK326,原始資料!AK326))</f>
        <v/>
      </c>
      <c r="AL326">
        <f>IF(原始資料!AL326="","",IF(反向題設定!$C$41="是",反向題設定!$B$2+1-原始資料!AL326,原始資料!AL326))</f>
        <v/>
      </c>
      <c r="AM326">
        <f>IF(原始資料!AM326="","",IF(反向題設定!$C$42="是",反向題設定!$B$2+1-原始資料!AM326,原始資料!AM326))</f>
        <v/>
      </c>
      <c r="AN326">
        <f>IF(原始資料!AN326="","",IF(反向題設定!$C$43="是",反向題設定!$B$2+1-原始資料!AN326,原始資料!AN326))</f>
        <v/>
      </c>
      <c r="AO326">
        <f>IF(原始資料!AO326="","",IF(反向題設定!$C$44="是",反向題設定!$B$2+1-原始資料!AO326,原始資料!AO326))</f>
        <v/>
      </c>
      <c r="AP326">
        <f>IF(COUNT(B326:AO326)=0,"",SUM(B326:AO326))</f>
        <v/>
      </c>
      <c r="AQ326">
        <f>IF(AP326="","",IF(AP326&gt;=項目分析!$C$5,"高",IF(AP326&lt;=項目分析!$C$6,"低","")))</f>
        <v/>
      </c>
    </row>
    <row r="327">
      <c r="A327">
        <f>IF(原始資料!A327="","",原始資料!A327)</f>
        <v/>
      </c>
      <c r="B327">
        <f>IF(原始資料!B327="","",IF(反向題設定!$C$5="是",反向題設定!$B$2+1-原始資料!B327,原始資料!B327))</f>
        <v/>
      </c>
      <c r="C327">
        <f>IF(原始資料!C327="","",IF(反向題設定!$C$6="是",反向題設定!$B$2+1-原始資料!C327,原始資料!C327))</f>
        <v/>
      </c>
      <c r="D327">
        <f>IF(原始資料!D327="","",IF(反向題設定!$C$7="是",反向題設定!$B$2+1-原始資料!D327,原始資料!D327))</f>
        <v/>
      </c>
      <c r="E327">
        <f>IF(原始資料!E327="","",IF(反向題設定!$C$8="是",反向題設定!$B$2+1-原始資料!E327,原始資料!E327))</f>
        <v/>
      </c>
      <c r="F327">
        <f>IF(原始資料!F327="","",IF(反向題設定!$C$9="是",反向題設定!$B$2+1-原始資料!F327,原始資料!F327))</f>
        <v/>
      </c>
      <c r="G327">
        <f>IF(原始資料!G327="","",IF(反向題設定!$C$10="是",反向題設定!$B$2+1-原始資料!G327,原始資料!G327))</f>
        <v/>
      </c>
      <c r="H327">
        <f>IF(原始資料!H327="","",IF(反向題設定!$C$11="是",反向題設定!$B$2+1-原始資料!H327,原始資料!H327))</f>
        <v/>
      </c>
      <c r="I327">
        <f>IF(原始資料!I327="","",IF(反向題設定!$C$12="是",反向題設定!$B$2+1-原始資料!I327,原始資料!I327))</f>
        <v/>
      </c>
      <c r="J327">
        <f>IF(原始資料!J327="","",IF(反向題設定!$C$13="是",反向題設定!$B$2+1-原始資料!J327,原始資料!J327))</f>
        <v/>
      </c>
      <c r="K327">
        <f>IF(原始資料!K327="","",IF(反向題設定!$C$14="是",反向題設定!$B$2+1-原始資料!K327,原始資料!K327))</f>
        <v/>
      </c>
      <c r="L327">
        <f>IF(原始資料!L327="","",IF(反向題設定!$C$15="是",反向題設定!$B$2+1-原始資料!L327,原始資料!L327))</f>
        <v/>
      </c>
      <c r="M327">
        <f>IF(原始資料!M327="","",IF(反向題設定!$C$16="是",反向題設定!$B$2+1-原始資料!M327,原始資料!M327))</f>
        <v/>
      </c>
      <c r="N327">
        <f>IF(原始資料!N327="","",IF(反向題設定!$C$17="是",反向題設定!$B$2+1-原始資料!N327,原始資料!N327))</f>
        <v/>
      </c>
      <c r="O327">
        <f>IF(原始資料!O327="","",IF(反向題設定!$C$18="是",反向題設定!$B$2+1-原始資料!O327,原始資料!O327))</f>
        <v/>
      </c>
      <c r="P327">
        <f>IF(原始資料!P327="","",IF(反向題設定!$C$19="是",反向題設定!$B$2+1-原始資料!P327,原始資料!P327))</f>
        <v/>
      </c>
      <c r="Q327">
        <f>IF(原始資料!Q327="","",IF(反向題設定!$C$20="是",反向題設定!$B$2+1-原始資料!Q327,原始資料!Q327))</f>
        <v/>
      </c>
      <c r="R327">
        <f>IF(原始資料!R327="","",IF(反向題設定!$C$21="是",反向題設定!$B$2+1-原始資料!R327,原始資料!R327))</f>
        <v/>
      </c>
      <c r="S327">
        <f>IF(原始資料!S327="","",IF(反向題設定!$C$22="是",反向題設定!$B$2+1-原始資料!S327,原始資料!S327))</f>
        <v/>
      </c>
      <c r="T327">
        <f>IF(原始資料!T327="","",IF(反向題設定!$C$23="是",反向題設定!$B$2+1-原始資料!T327,原始資料!T327))</f>
        <v/>
      </c>
      <c r="U327">
        <f>IF(原始資料!U327="","",IF(反向題設定!$C$24="是",反向題設定!$B$2+1-原始資料!U327,原始資料!U327))</f>
        <v/>
      </c>
      <c r="V327">
        <f>IF(原始資料!V327="","",IF(反向題設定!$C$25="是",反向題設定!$B$2+1-原始資料!V327,原始資料!V327))</f>
        <v/>
      </c>
      <c r="W327">
        <f>IF(原始資料!W327="","",IF(反向題設定!$C$26="是",反向題設定!$B$2+1-原始資料!W327,原始資料!W327))</f>
        <v/>
      </c>
      <c r="X327">
        <f>IF(原始資料!X327="","",IF(反向題設定!$C$27="是",反向題設定!$B$2+1-原始資料!X327,原始資料!X327))</f>
        <v/>
      </c>
      <c r="Y327">
        <f>IF(原始資料!Y327="","",IF(反向題設定!$C$28="是",反向題設定!$B$2+1-原始資料!Y327,原始資料!Y327))</f>
        <v/>
      </c>
      <c r="Z327">
        <f>IF(原始資料!Z327="","",IF(反向題設定!$C$29="是",反向題設定!$B$2+1-原始資料!Z327,原始資料!Z327))</f>
        <v/>
      </c>
      <c r="AA327">
        <f>IF(原始資料!AA327="","",IF(反向題設定!$C$30="是",反向題設定!$B$2+1-原始資料!AA327,原始資料!AA327))</f>
        <v/>
      </c>
      <c r="AB327">
        <f>IF(原始資料!AB327="","",IF(反向題設定!$C$31="是",反向題設定!$B$2+1-原始資料!AB327,原始資料!AB327))</f>
        <v/>
      </c>
      <c r="AC327">
        <f>IF(原始資料!AC327="","",IF(反向題設定!$C$32="是",反向題設定!$B$2+1-原始資料!AC327,原始資料!AC327))</f>
        <v/>
      </c>
      <c r="AD327">
        <f>IF(原始資料!AD327="","",IF(反向題設定!$C$33="是",反向題設定!$B$2+1-原始資料!AD327,原始資料!AD327))</f>
        <v/>
      </c>
      <c r="AE327">
        <f>IF(原始資料!AE327="","",IF(反向題設定!$C$34="是",反向題設定!$B$2+1-原始資料!AE327,原始資料!AE327))</f>
        <v/>
      </c>
      <c r="AF327">
        <f>IF(原始資料!AF327="","",IF(反向題設定!$C$35="是",反向題設定!$B$2+1-原始資料!AF327,原始資料!AF327))</f>
        <v/>
      </c>
      <c r="AG327">
        <f>IF(原始資料!AG327="","",IF(反向題設定!$C$36="是",反向題設定!$B$2+1-原始資料!AG327,原始資料!AG327))</f>
        <v/>
      </c>
      <c r="AH327">
        <f>IF(原始資料!AH327="","",IF(反向題設定!$C$37="是",反向題設定!$B$2+1-原始資料!AH327,原始資料!AH327))</f>
        <v/>
      </c>
      <c r="AI327">
        <f>IF(原始資料!AI327="","",IF(反向題設定!$C$38="是",反向題設定!$B$2+1-原始資料!AI327,原始資料!AI327))</f>
        <v/>
      </c>
      <c r="AJ327">
        <f>IF(原始資料!AJ327="","",IF(反向題設定!$C$39="是",反向題設定!$B$2+1-原始資料!AJ327,原始資料!AJ327))</f>
        <v/>
      </c>
      <c r="AK327">
        <f>IF(原始資料!AK327="","",IF(反向題設定!$C$40="是",反向題設定!$B$2+1-原始資料!AK327,原始資料!AK327))</f>
        <v/>
      </c>
      <c r="AL327">
        <f>IF(原始資料!AL327="","",IF(反向題設定!$C$41="是",反向題設定!$B$2+1-原始資料!AL327,原始資料!AL327))</f>
        <v/>
      </c>
      <c r="AM327">
        <f>IF(原始資料!AM327="","",IF(反向題設定!$C$42="是",反向題設定!$B$2+1-原始資料!AM327,原始資料!AM327))</f>
        <v/>
      </c>
      <c r="AN327">
        <f>IF(原始資料!AN327="","",IF(反向題設定!$C$43="是",反向題設定!$B$2+1-原始資料!AN327,原始資料!AN327))</f>
        <v/>
      </c>
      <c r="AO327">
        <f>IF(原始資料!AO327="","",IF(反向題設定!$C$44="是",反向題設定!$B$2+1-原始資料!AO327,原始資料!AO327))</f>
        <v/>
      </c>
      <c r="AP327">
        <f>IF(COUNT(B327:AO327)=0,"",SUM(B327:AO327))</f>
        <v/>
      </c>
      <c r="AQ327">
        <f>IF(AP327="","",IF(AP327&gt;=項目分析!$C$5,"高",IF(AP327&lt;=項目分析!$C$6,"低","")))</f>
        <v/>
      </c>
    </row>
    <row r="328">
      <c r="A328">
        <f>IF(原始資料!A328="","",原始資料!A328)</f>
        <v/>
      </c>
      <c r="B328">
        <f>IF(原始資料!B328="","",IF(反向題設定!$C$5="是",反向題設定!$B$2+1-原始資料!B328,原始資料!B328))</f>
        <v/>
      </c>
      <c r="C328">
        <f>IF(原始資料!C328="","",IF(反向題設定!$C$6="是",反向題設定!$B$2+1-原始資料!C328,原始資料!C328))</f>
        <v/>
      </c>
      <c r="D328">
        <f>IF(原始資料!D328="","",IF(反向題設定!$C$7="是",反向題設定!$B$2+1-原始資料!D328,原始資料!D328))</f>
        <v/>
      </c>
      <c r="E328">
        <f>IF(原始資料!E328="","",IF(反向題設定!$C$8="是",反向題設定!$B$2+1-原始資料!E328,原始資料!E328))</f>
        <v/>
      </c>
      <c r="F328">
        <f>IF(原始資料!F328="","",IF(反向題設定!$C$9="是",反向題設定!$B$2+1-原始資料!F328,原始資料!F328))</f>
        <v/>
      </c>
      <c r="G328">
        <f>IF(原始資料!G328="","",IF(反向題設定!$C$10="是",反向題設定!$B$2+1-原始資料!G328,原始資料!G328))</f>
        <v/>
      </c>
      <c r="H328">
        <f>IF(原始資料!H328="","",IF(反向題設定!$C$11="是",反向題設定!$B$2+1-原始資料!H328,原始資料!H328))</f>
        <v/>
      </c>
      <c r="I328">
        <f>IF(原始資料!I328="","",IF(反向題設定!$C$12="是",反向題設定!$B$2+1-原始資料!I328,原始資料!I328))</f>
        <v/>
      </c>
      <c r="J328">
        <f>IF(原始資料!J328="","",IF(反向題設定!$C$13="是",反向題設定!$B$2+1-原始資料!J328,原始資料!J328))</f>
        <v/>
      </c>
      <c r="K328">
        <f>IF(原始資料!K328="","",IF(反向題設定!$C$14="是",反向題設定!$B$2+1-原始資料!K328,原始資料!K328))</f>
        <v/>
      </c>
      <c r="L328">
        <f>IF(原始資料!L328="","",IF(反向題設定!$C$15="是",反向題設定!$B$2+1-原始資料!L328,原始資料!L328))</f>
        <v/>
      </c>
      <c r="M328">
        <f>IF(原始資料!M328="","",IF(反向題設定!$C$16="是",反向題設定!$B$2+1-原始資料!M328,原始資料!M328))</f>
        <v/>
      </c>
      <c r="N328">
        <f>IF(原始資料!N328="","",IF(反向題設定!$C$17="是",反向題設定!$B$2+1-原始資料!N328,原始資料!N328))</f>
        <v/>
      </c>
      <c r="O328">
        <f>IF(原始資料!O328="","",IF(反向題設定!$C$18="是",反向題設定!$B$2+1-原始資料!O328,原始資料!O328))</f>
        <v/>
      </c>
      <c r="P328">
        <f>IF(原始資料!P328="","",IF(反向題設定!$C$19="是",反向題設定!$B$2+1-原始資料!P328,原始資料!P328))</f>
        <v/>
      </c>
      <c r="Q328">
        <f>IF(原始資料!Q328="","",IF(反向題設定!$C$20="是",反向題設定!$B$2+1-原始資料!Q328,原始資料!Q328))</f>
        <v/>
      </c>
      <c r="R328">
        <f>IF(原始資料!R328="","",IF(反向題設定!$C$21="是",反向題設定!$B$2+1-原始資料!R328,原始資料!R328))</f>
        <v/>
      </c>
      <c r="S328">
        <f>IF(原始資料!S328="","",IF(反向題設定!$C$22="是",反向題設定!$B$2+1-原始資料!S328,原始資料!S328))</f>
        <v/>
      </c>
      <c r="T328">
        <f>IF(原始資料!T328="","",IF(反向題設定!$C$23="是",反向題設定!$B$2+1-原始資料!T328,原始資料!T328))</f>
        <v/>
      </c>
      <c r="U328">
        <f>IF(原始資料!U328="","",IF(反向題設定!$C$24="是",反向題設定!$B$2+1-原始資料!U328,原始資料!U328))</f>
        <v/>
      </c>
      <c r="V328">
        <f>IF(原始資料!V328="","",IF(反向題設定!$C$25="是",反向題設定!$B$2+1-原始資料!V328,原始資料!V328))</f>
        <v/>
      </c>
      <c r="W328">
        <f>IF(原始資料!W328="","",IF(反向題設定!$C$26="是",反向題設定!$B$2+1-原始資料!W328,原始資料!W328))</f>
        <v/>
      </c>
      <c r="X328">
        <f>IF(原始資料!X328="","",IF(反向題設定!$C$27="是",反向題設定!$B$2+1-原始資料!X328,原始資料!X328))</f>
        <v/>
      </c>
      <c r="Y328">
        <f>IF(原始資料!Y328="","",IF(反向題設定!$C$28="是",反向題設定!$B$2+1-原始資料!Y328,原始資料!Y328))</f>
        <v/>
      </c>
      <c r="Z328">
        <f>IF(原始資料!Z328="","",IF(反向題設定!$C$29="是",反向題設定!$B$2+1-原始資料!Z328,原始資料!Z328))</f>
        <v/>
      </c>
      <c r="AA328">
        <f>IF(原始資料!AA328="","",IF(反向題設定!$C$30="是",反向題設定!$B$2+1-原始資料!AA328,原始資料!AA328))</f>
        <v/>
      </c>
      <c r="AB328">
        <f>IF(原始資料!AB328="","",IF(反向題設定!$C$31="是",反向題設定!$B$2+1-原始資料!AB328,原始資料!AB328))</f>
        <v/>
      </c>
      <c r="AC328">
        <f>IF(原始資料!AC328="","",IF(反向題設定!$C$32="是",反向題設定!$B$2+1-原始資料!AC328,原始資料!AC328))</f>
        <v/>
      </c>
      <c r="AD328">
        <f>IF(原始資料!AD328="","",IF(反向題設定!$C$33="是",反向題設定!$B$2+1-原始資料!AD328,原始資料!AD328))</f>
        <v/>
      </c>
      <c r="AE328">
        <f>IF(原始資料!AE328="","",IF(反向題設定!$C$34="是",反向題設定!$B$2+1-原始資料!AE328,原始資料!AE328))</f>
        <v/>
      </c>
      <c r="AF328">
        <f>IF(原始資料!AF328="","",IF(反向題設定!$C$35="是",反向題設定!$B$2+1-原始資料!AF328,原始資料!AF328))</f>
        <v/>
      </c>
      <c r="AG328">
        <f>IF(原始資料!AG328="","",IF(反向題設定!$C$36="是",反向題設定!$B$2+1-原始資料!AG328,原始資料!AG328))</f>
        <v/>
      </c>
      <c r="AH328">
        <f>IF(原始資料!AH328="","",IF(反向題設定!$C$37="是",反向題設定!$B$2+1-原始資料!AH328,原始資料!AH328))</f>
        <v/>
      </c>
      <c r="AI328">
        <f>IF(原始資料!AI328="","",IF(反向題設定!$C$38="是",反向題設定!$B$2+1-原始資料!AI328,原始資料!AI328))</f>
        <v/>
      </c>
      <c r="AJ328">
        <f>IF(原始資料!AJ328="","",IF(反向題設定!$C$39="是",反向題設定!$B$2+1-原始資料!AJ328,原始資料!AJ328))</f>
        <v/>
      </c>
      <c r="AK328">
        <f>IF(原始資料!AK328="","",IF(反向題設定!$C$40="是",反向題設定!$B$2+1-原始資料!AK328,原始資料!AK328))</f>
        <v/>
      </c>
      <c r="AL328">
        <f>IF(原始資料!AL328="","",IF(反向題設定!$C$41="是",反向題設定!$B$2+1-原始資料!AL328,原始資料!AL328))</f>
        <v/>
      </c>
      <c r="AM328">
        <f>IF(原始資料!AM328="","",IF(反向題設定!$C$42="是",反向題設定!$B$2+1-原始資料!AM328,原始資料!AM328))</f>
        <v/>
      </c>
      <c r="AN328">
        <f>IF(原始資料!AN328="","",IF(反向題設定!$C$43="是",反向題設定!$B$2+1-原始資料!AN328,原始資料!AN328))</f>
        <v/>
      </c>
      <c r="AO328">
        <f>IF(原始資料!AO328="","",IF(反向題設定!$C$44="是",反向題設定!$B$2+1-原始資料!AO328,原始資料!AO328))</f>
        <v/>
      </c>
      <c r="AP328">
        <f>IF(COUNT(B328:AO328)=0,"",SUM(B328:AO328))</f>
        <v/>
      </c>
      <c r="AQ328">
        <f>IF(AP328="","",IF(AP328&gt;=項目分析!$C$5,"高",IF(AP328&lt;=項目分析!$C$6,"低","")))</f>
        <v/>
      </c>
    </row>
    <row r="329">
      <c r="A329">
        <f>IF(原始資料!A329="","",原始資料!A329)</f>
        <v/>
      </c>
      <c r="B329">
        <f>IF(原始資料!B329="","",IF(反向題設定!$C$5="是",反向題設定!$B$2+1-原始資料!B329,原始資料!B329))</f>
        <v/>
      </c>
      <c r="C329">
        <f>IF(原始資料!C329="","",IF(反向題設定!$C$6="是",反向題設定!$B$2+1-原始資料!C329,原始資料!C329))</f>
        <v/>
      </c>
      <c r="D329">
        <f>IF(原始資料!D329="","",IF(反向題設定!$C$7="是",反向題設定!$B$2+1-原始資料!D329,原始資料!D329))</f>
        <v/>
      </c>
      <c r="E329">
        <f>IF(原始資料!E329="","",IF(反向題設定!$C$8="是",反向題設定!$B$2+1-原始資料!E329,原始資料!E329))</f>
        <v/>
      </c>
      <c r="F329">
        <f>IF(原始資料!F329="","",IF(反向題設定!$C$9="是",反向題設定!$B$2+1-原始資料!F329,原始資料!F329))</f>
        <v/>
      </c>
      <c r="G329">
        <f>IF(原始資料!G329="","",IF(反向題設定!$C$10="是",反向題設定!$B$2+1-原始資料!G329,原始資料!G329))</f>
        <v/>
      </c>
      <c r="H329">
        <f>IF(原始資料!H329="","",IF(反向題設定!$C$11="是",反向題設定!$B$2+1-原始資料!H329,原始資料!H329))</f>
        <v/>
      </c>
      <c r="I329">
        <f>IF(原始資料!I329="","",IF(反向題設定!$C$12="是",反向題設定!$B$2+1-原始資料!I329,原始資料!I329))</f>
        <v/>
      </c>
      <c r="J329">
        <f>IF(原始資料!J329="","",IF(反向題設定!$C$13="是",反向題設定!$B$2+1-原始資料!J329,原始資料!J329))</f>
        <v/>
      </c>
      <c r="K329">
        <f>IF(原始資料!K329="","",IF(反向題設定!$C$14="是",反向題設定!$B$2+1-原始資料!K329,原始資料!K329))</f>
        <v/>
      </c>
      <c r="L329">
        <f>IF(原始資料!L329="","",IF(反向題設定!$C$15="是",反向題設定!$B$2+1-原始資料!L329,原始資料!L329))</f>
        <v/>
      </c>
      <c r="M329">
        <f>IF(原始資料!M329="","",IF(反向題設定!$C$16="是",反向題設定!$B$2+1-原始資料!M329,原始資料!M329))</f>
        <v/>
      </c>
      <c r="N329">
        <f>IF(原始資料!N329="","",IF(反向題設定!$C$17="是",反向題設定!$B$2+1-原始資料!N329,原始資料!N329))</f>
        <v/>
      </c>
      <c r="O329">
        <f>IF(原始資料!O329="","",IF(反向題設定!$C$18="是",反向題設定!$B$2+1-原始資料!O329,原始資料!O329))</f>
        <v/>
      </c>
      <c r="P329">
        <f>IF(原始資料!P329="","",IF(反向題設定!$C$19="是",反向題設定!$B$2+1-原始資料!P329,原始資料!P329))</f>
        <v/>
      </c>
      <c r="Q329">
        <f>IF(原始資料!Q329="","",IF(反向題設定!$C$20="是",反向題設定!$B$2+1-原始資料!Q329,原始資料!Q329))</f>
        <v/>
      </c>
      <c r="R329">
        <f>IF(原始資料!R329="","",IF(反向題設定!$C$21="是",反向題設定!$B$2+1-原始資料!R329,原始資料!R329))</f>
        <v/>
      </c>
      <c r="S329">
        <f>IF(原始資料!S329="","",IF(反向題設定!$C$22="是",反向題設定!$B$2+1-原始資料!S329,原始資料!S329))</f>
        <v/>
      </c>
      <c r="T329">
        <f>IF(原始資料!T329="","",IF(反向題設定!$C$23="是",反向題設定!$B$2+1-原始資料!T329,原始資料!T329))</f>
        <v/>
      </c>
      <c r="U329">
        <f>IF(原始資料!U329="","",IF(反向題設定!$C$24="是",反向題設定!$B$2+1-原始資料!U329,原始資料!U329))</f>
        <v/>
      </c>
      <c r="V329">
        <f>IF(原始資料!V329="","",IF(反向題設定!$C$25="是",反向題設定!$B$2+1-原始資料!V329,原始資料!V329))</f>
        <v/>
      </c>
      <c r="W329">
        <f>IF(原始資料!W329="","",IF(反向題設定!$C$26="是",反向題設定!$B$2+1-原始資料!W329,原始資料!W329))</f>
        <v/>
      </c>
      <c r="X329">
        <f>IF(原始資料!X329="","",IF(反向題設定!$C$27="是",反向題設定!$B$2+1-原始資料!X329,原始資料!X329))</f>
        <v/>
      </c>
      <c r="Y329">
        <f>IF(原始資料!Y329="","",IF(反向題設定!$C$28="是",反向題設定!$B$2+1-原始資料!Y329,原始資料!Y329))</f>
        <v/>
      </c>
      <c r="Z329">
        <f>IF(原始資料!Z329="","",IF(反向題設定!$C$29="是",反向題設定!$B$2+1-原始資料!Z329,原始資料!Z329))</f>
        <v/>
      </c>
      <c r="AA329">
        <f>IF(原始資料!AA329="","",IF(反向題設定!$C$30="是",反向題設定!$B$2+1-原始資料!AA329,原始資料!AA329))</f>
        <v/>
      </c>
      <c r="AB329">
        <f>IF(原始資料!AB329="","",IF(反向題設定!$C$31="是",反向題設定!$B$2+1-原始資料!AB329,原始資料!AB329))</f>
        <v/>
      </c>
      <c r="AC329">
        <f>IF(原始資料!AC329="","",IF(反向題設定!$C$32="是",反向題設定!$B$2+1-原始資料!AC329,原始資料!AC329))</f>
        <v/>
      </c>
      <c r="AD329">
        <f>IF(原始資料!AD329="","",IF(反向題設定!$C$33="是",反向題設定!$B$2+1-原始資料!AD329,原始資料!AD329))</f>
        <v/>
      </c>
      <c r="AE329">
        <f>IF(原始資料!AE329="","",IF(反向題設定!$C$34="是",反向題設定!$B$2+1-原始資料!AE329,原始資料!AE329))</f>
        <v/>
      </c>
      <c r="AF329">
        <f>IF(原始資料!AF329="","",IF(反向題設定!$C$35="是",反向題設定!$B$2+1-原始資料!AF329,原始資料!AF329))</f>
        <v/>
      </c>
      <c r="AG329">
        <f>IF(原始資料!AG329="","",IF(反向題設定!$C$36="是",反向題設定!$B$2+1-原始資料!AG329,原始資料!AG329))</f>
        <v/>
      </c>
      <c r="AH329">
        <f>IF(原始資料!AH329="","",IF(反向題設定!$C$37="是",反向題設定!$B$2+1-原始資料!AH329,原始資料!AH329))</f>
        <v/>
      </c>
      <c r="AI329">
        <f>IF(原始資料!AI329="","",IF(反向題設定!$C$38="是",反向題設定!$B$2+1-原始資料!AI329,原始資料!AI329))</f>
        <v/>
      </c>
      <c r="AJ329">
        <f>IF(原始資料!AJ329="","",IF(反向題設定!$C$39="是",反向題設定!$B$2+1-原始資料!AJ329,原始資料!AJ329))</f>
        <v/>
      </c>
      <c r="AK329">
        <f>IF(原始資料!AK329="","",IF(反向題設定!$C$40="是",反向題設定!$B$2+1-原始資料!AK329,原始資料!AK329))</f>
        <v/>
      </c>
      <c r="AL329">
        <f>IF(原始資料!AL329="","",IF(反向題設定!$C$41="是",反向題設定!$B$2+1-原始資料!AL329,原始資料!AL329))</f>
        <v/>
      </c>
      <c r="AM329">
        <f>IF(原始資料!AM329="","",IF(反向題設定!$C$42="是",反向題設定!$B$2+1-原始資料!AM329,原始資料!AM329))</f>
        <v/>
      </c>
      <c r="AN329">
        <f>IF(原始資料!AN329="","",IF(反向題設定!$C$43="是",反向題設定!$B$2+1-原始資料!AN329,原始資料!AN329))</f>
        <v/>
      </c>
      <c r="AO329">
        <f>IF(原始資料!AO329="","",IF(反向題設定!$C$44="是",反向題設定!$B$2+1-原始資料!AO329,原始資料!AO329))</f>
        <v/>
      </c>
      <c r="AP329">
        <f>IF(COUNT(B329:AO329)=0,"",SUM(B329:AO329))</f>
        <v/>
      </c>
      <c r="AQ329">
        <f>IF(AP329="","",IF(AP329&gt;=項目分析!$C$5,"高",IF(AP329&lt;=項目分析!$C$6,"低","")))</f>
        <v/>
      </c>
    </row>
    <row r="330">
      <c r="A330">
        <f>IF(原始資料!A330="","",原始資料!A330)</f>
        <v/>
      </c>
      <c r="B330">
        <f>IF(原始資料!B330="","",IF(反向題設定!$C$5="是",反向題設定!$B$2+1-原始資料!B330,原始資料!B330))</f>
        <v/>
      </c>
      <c r="C330">
        <f>IF(原始資料!C330="","",IF(反向題設定!$C$6="是",反向題設定!$B$2+1-原始資料!C330,原始資料!C330))</f>
        <v/>
      </c>
      <c r="D330">
        <f>IF(原始資料!D330="","",IF(反向題設定!$C$7="是",反向題設定!$B$2+1-原始資料!D330,原始資料!D330))</f>
        <v/>
      </c>
      <c r="E330">
        <f>IF(原始資料!E330="","",IF(反向題設定!$C$8="是",反向題設定!$B$2+1-原始資料!E330,原始資料!E330))</f>
        <v/>
      </c>
      <c r="F330">
        <f>IF(原始資料!F330="","",IF(反向題設定!$C$9="是",反向題設定!$B$2+1-原始資料!F330,原始資料!F330))</f>
        <v/>
      </c>
      <c r="G330">
        <f>IF(原始資料!G330="","",IF(反向題設定!$C$10="是",反向題設定!$B$2+1-原始資料!G330,原始資料!G330))</f>
        <v/>
      </c>
      <c r="H330">
        <f>IF(原始資料!H330="","",IF(反向題設定!$C$11="是",反向題設定!$B$2+1-原始資料!H330,原始資料!H330))</f>
        <v/>
      </c>
      <c r="I330">
        <f>IF(原始資料!I330="","",IF(反向題設定!$C$12="是",反向題設定!$B$2+1-原始資料!I330,原始資料!I330))</f>
        <v/>
      </c>
      <c r="J330">
        <f>IF(原始資料!J330="","",IF(反向題設定!$C$13="是",反向題設定!$B$2+1-原始資料!J330,原始資料!J330))</f>
        <v/>
      </c>
      <c r="K330">
        <f>IF(原始資料!K330="","",IF(反向題設定!$C$14="是",反向題設定!$B$2+1-原始資料!K330,原始資料!K330))</f>
        <v/>
      </c>
      <c r="L330">
        <f>IF(原始資料!L330="","",IF(反向題設定!$C$15="是",反向題設定!$B$2+1-原始資料!L330,原始資料!L330))</f>
        <v/>
      </c>
      <c r="M330">
        <f>IF(原始資料!M330="","",IF(反向題設定!$C$16="是",反向題設定!$B$2+1-原始資料!M330,原始資料!M330))</f>
        <v/>
      </c>
      <c r="N330">
        <f>IF(原始資料!N330="","",IF(反向題設定!$C$17="是",反向題設定!$B$2+1-原始資料!N330,原始資料!N330))</f>
        <v/>
      </c>
      <c r="O330">
        <f>IF(原始資料!O330="","",IF(反向題設定!$C$18="是",反向題設定!$B$2+1-原始資料!O330,原始資料!O330))</f>
        <v/>
      </c>
      <c r="P330">
        <f>IF(原始資料!P330="","",IF(反向題設定!$C$19="是",反向題設定!$B$2+1-原始資料!P330,原始資料!P330))</f>
        <v/>
      </c>
      <c r="Q330">
        <f>IF(原始資料!Q330="","",IF(反向題設定!$C$20="是",反向題設定!$B$2+1-原始資料!Q330,原始資料!Q330))</f>
        <v/>
      </c>
      <c r="R330">
        <f>IF(原始資料!R330="","",IF(反向題設定!$C$21="是",反向題設定!$B$2+1-原始資料!R330,原始資料!R330))</f>
        <v/>
      </c>
      <c r="S330">
        <f>IF(原始資料!S330="","",IF(反向題設定!$C$22="是",反向題設定!$B$2+1-原始資料!S330,原始資料!S330))</f>
        <v/>
      </c>
      <c r="T330">
        <f>IF(原始資料!T330="","",IF(反向題設定!$C$23="是",反向題設定!$B$2+1-原始資料!T330,原始資料!T330))</f>
        <v/>
      </c>
      <c r="U330">
        <f>IF(原始資料!U330="","",IF(反向題設定!$C$24="是",反向題設定!$B$2+1-原始資料!U330,原始資料!U330))</f>
        <v/>
      </c>
      <c r="V330">
        <f>IF(原始資料!V330="","",IF(反向題設定!$C$25="是",反向題設定!$B$2+1-原始資料!V330,原始資料!V330))</f>
        <v/>
      </c>
      <c r="W330">
        <f>IF(原始資料!W330="","",IF(反向題設定!$C$26="是",反向題設定!$B$2+1-原始資料!W330,原始資料!W330))</f>
        <v/>
      </c>
      <c r="X330">
        <f>IF(原始資料!X330="","",IF(反向題設定!$C$27="是",反向題設定!$B$2+1-原始資料!X330,原始資料!X330))</f>
        <v/>
      </c>
      <c r="Y330">
        <f>IF(原始資料!Y330="","",IF(反向題設定!$C$28="是",反向題設定!$B$2+1-原始資料!Y330,原始資料!Y330))</f>
        <v/>
      </c>
      <c r="Z330">
        <f>IF(原始資料!Z330="","",IF(反向題設定!$C$29="是",反向題設定!$B$2+1-原始資料!Z330,原始資料!Z330))</f>
        <v/>
      </c>
      <c r="AA330">
        <f>IF(原始資料!AA330="","",IF(反向題設定!$C$30="是",反向題設定!$B$2+1-原始資料!AA330,原始資料!AA330))</f>
        <v/>
      </c>
      <c r="AB330">
        <f>IF(原始資料!AB330="","",IF(反向題設定!$C$31="是",反向題設定!$B$2+1-原始資料!AB330,原始資料!AB330))</f>
        <v/>
      </c>
      <c r="AC330">
        <f>IF(原始資料!AC330="","",IF(反向題設定!$C$32="是",反向題設定!$B$2+1-原始資料!AC330,原始資料!AC330))</f>
        <v/>
      </c>
      <c r="AD330">
        <f>IF(原始資料!AD330="","",IF(反向題設定!$C$33="是",反向題設定!$B$2+1-原始資料!AD330,原始資料!AD330))</f>
        <v/>
      </c>
      <c r="AE330">
        <f>IF(原始資料!AE330="","",IF(反向題設定!$C$34="是",反向題設定!$B$2+1-原始資料!AE330,原始資料!AE330))</f>
        <v/>
      </c>
      <c r="AF330">
        <f>IF(原始資料!AF330="","",IF(反向題設定!$C$35="是",反向題設定!$B$2+1-原始資料!AF330,原始資料!AF330))</f>
        <v/>
      </c>
      <c r="AG330">
        <f>IF(原始資料!AG330="","",IF(反向題設定!$C$36="是",反向題設定!$B$2+1-原始資料!AG330,原始資料!AG330))</f>
        <v/>
      </c>
      <c r="AH330">
        <f>IF(原始資料!AH330="","",IF(反向題設定!$C$37="是",反向題設定!$B$2+1-原始資料!AH330,原始資料!AH330))</f>
        <v/>
      </c>
      <c r="AI330">
        <f>IF(原始資料!AI330="","",IF(反向題設定!$C$38="是",反向題設定!$B$2+1-原始資料!AI330,原始資料!AI330))</f>
        <v/>
      </c>
      <c r="AJ330">
        <f>IF(原始資料!AJ330="","",IF(反向題設定!$C$39="是",反向題設定!$B$2+1-原始資料!AJ330,原始資料!AJ330))</f>
        <v/>
      </c>
      <c r="AK330">
        <f>IF(原始資料!AK330="","",IF(反向題設定!$C$40="是",反向題設定!$B$2+1-原始資料!AK330,原始資料!AK330))</f>
        <v/>
      </c>
      <c r="AL330">
        <f>IF(原始資料!AL330="","",IF(反向題設定!$C$41="是",反向題設定!$B$2+1-原始資料!AL330,原始資料!AL330))</f>
        <v/>
      </c>
      <c r="AM330">
        <f>IF(原始資料!AM330="","",IF(反向題設定!$C$42="是",反向題設定!$B$2+1-原始資料!AM330,原始資料!AM330))</f>
        <v/>
      </c>
      <c r="AN330">
        <f>IF(原始資料!AN330="","",IF(反向題設定!$C$43="是",反向題設定!$B$2+1-原始資料!AN330,原始資料!AN330))</f>
        <v/>
      </c>
      <c r="AO330">
        <f>IF(原始資料!AO330="","",IF(反向題設定!$C$44="是",反向題設定!$B$2+1-原始資料!AO330,原始資料!AO330))</f>
        <v/>
      </c>
      <c r="AP330">
        <f>IF(COUNT(B330:AO330)=0,"",SUM(B330:AO330))</f>
        <v/>
      </c>
      <c r="AQ330">
        <f>IF(AP330="","",IF(AP330&gt;=項目分析!$C$5,"高",IF(AP330&lt;=項目分析!$C$6,"低","")))</f>
        <v/>
      </c>
    </row>
    <row r="331">
      <c r="A331">
        <f>IF(原始資料!A331="","",原始資料!A331)</f>
        <v/>
      </c>
      <c r="B331">
        <f>IF(原始資料!B331="","",IF(反向題設定!$C$5="是",反向題設定!$B$2+1-原始資料!B331,原始資料!B331))</f>
        <v/>
      </c>
      <c r="C331">
        <f>IF(原始資料!C331="","",IF(反向題設定!$C$6="是",反向題設定!$B$2+1-原始資料!C331,原始資料!C331))</f>
        <v/>
      </c>
      <c r="D331">
        <f>IF(原始資料!D331="","",IF(反向題設定!$C$7="是",反向題設定!$B$2+1-原始資料!D331,原始資料!D331))</f>
        <v/>
      </c>
      <c r="E331">
        <f>IF(原始資料!E331="","",IF(反向題設定!$C$8="是",反向題設定!$B$2+1-原始資料!E331,原始資料!E331))</f>
        <v/>
      </c>
      <c r="F331">
        <f>IF(原始資料!F331="","",IF(反向題設定!$C$9="是",反向題設定!$B$2+1-原始資料!F331,原始資料!F331))</f>
        <v/>
      </c>
      <c r="G331">
        <f>IF(原始資料!G331="","",IF(反向題設定!$C$10="是",反向題設定!$B$2+1-原始資料!G331,原始資料!G331))</f>
        <v/>
      </c>
      <c r="H331">
        <f>IF(原始資料!H331="","",IF(反向題設定!$C$11="是",反向題設定!$B$2+1-原始資料!H331,原始資料!H331))</f>
        <v/>
      </c>
      <c r="I331">
        <f>IF(原始資料!I331="","",IF(反向題設定!$C$12="是",反向題設定!$B$2+1-原始資料!I331,原始資料!I331))</f>
        <v/>
      </c>
      <c r="J331">
        <f>IF(原始資料!J331="","",IF(反向題設定!$C$13="是",反向題設定!$B$2+1-原始資料!J331,原始資料!J331))</f>
        <v/>
      </c>
      <c r="K331">
        <f>IF(原始資料!K331="","",IF(反向題設定!$C$14="是",反向題設定!$B$2+1-原始資料!K331,原始資料!K331))</f>
        <v/>
      </c>
      <c r="L331">
        <f>IF(原始資料!L331="","",IF(反向題設定!$C$15="是",反向題設定!$B$2+1-原始資料!L331,原始資料!L331))</f>
        <v/>
      </c>
      <c r="M331">
        <f>IF(原始資料!M331="","",IF(反向題設定!$C$16="是",反向題設定!$B$2+1-原始資料!M331,原始資料!M331))</f>
        <v/>
      </c>
      <c r="N331">
        <f>IF(原始資料!N331="","",IF(反向題設定!$C$17="是",反向題設定!$B$2+1-原始資料!N331,原始資料!N331))</f>
        <v/>
      </c>
      <c r="O331">
        <f>IF(原始資料!O331="","",IF(反向題設定!$C$18="是",反向題設定!$B$2+1-原始資料!O331,原始資料!O331))</f>
        <v/>
      </c>
      <c r="P331">
        <f>IF(原始資料!P331="","",IF(反向題設定!$C$19="是",反向題設定!$B$2+1-原始資料!P331,原始資料!P331))</f>
        <v/>
      </c>
      <c r="Q331">
        <f>IF(原始資料!Q331="","",IF(反向題設定!$C$20="是",反向題設定!$B$2+1-原始資料!Q331,原始資料!Q331))</f>
        <v/>
      </c>
      <c r="R331">
        <f>IF(原始資料!R331="","",IF(反向題設定!$C$21="是",反向題設定!$B$2+1-原始資料!R331,原始資料!R331))</f>
        <v/>
      </c>
      <c r="S331">
        <f>IF(原始資料!S331="","",IF(反向題設定!$C$22="是",反向題設定!$B$2+1-原始資料!S331,原始資料!S331))</f>
        <v/>
      </c>
      <c r="T331">
        <f>IF(原始資料!T331="","",IF(反向題設定!$C$23="是",反向題設定!$B$2+1-原始資料!T331,原始資料!T331))</f>
        <v/>
      </c>
      <c r="U331">
        <f>IF(原始資料!U331="","",IF(反向題設定!$C$24="是",反向題設定!$B$2+1-原始資料!U331,原始資料!U331))</f>
        <v/>
      </c>
      <c r="V331">
        <f>IF(原始資料!V331="","",IF(反向題設定!$C$25="是",反向題設定!$B$2+1-原始資料!V331,原始資料!V331))</f>
        <v/>
      </c>
      <c r="W331">
        <f>IF(原始資料!W331="","",IF(反向題設定!$C$26="是",反向題設定!$B$2+1-原始資料!W331,原始資料!W331))</f>
        <v/>
      </c>
      <c r="X331">
        <f>IF(原始資料!X331="","",IF(反向題設定!$C$27="是",反向題設定!$B$2+1-原始資料!X331,原始資料!X331))</f>
        <v/>
      </c>
      <c r="Y331">
        <f>IF(原始資料!Y331="","",IF(反向題設定!$C$28="是",反向題設定!$B$2+1-原始資料!Y331,原始資料!Y331))</f>
        <v/>
      </c>
      <c r="Z331">
        <f>IF(原始資料!Z331="","",IF(反向題設定!$C$29="是",反向題設定!$B$2+1-原始資料!Z331,原始資料!Z331))</f>
        <v/>
      </c>
      <c r="AA331">
        <f>IF(原始資料!AA331="","",IF(反向題設定!$C$30="是",反向題設定!$B$2+1-原始資料!AA331,原始資料!AA331))</f>
        <v/>
      </c>
      <c r="AB331">
        <f>IF(原始資料!AB331="","",IF(反向題設定!$C$31="是",反向題設定!$B$2+1-原始資料!AB331,原始資料!AB331))</f>
        <v/>
      </c>
      <c r="AC331">
        <f>IF(原始資料!AC331="","",IF(反向題設定!$C$32="是",反向題設定!$B$2+1-原始資料!AC331,原始資料!AC331))</f>
        <v/>
      </c>
      <c r="AD331">
        <f>IF(原始資料!AD331="","",IF(反向題設定!$C$33="是",反向題設定!$B$2+1-原始資料!AD331,原始資料!AD331))</f>
        <v/>
      </c>
      <c r="AE331">
        <f>IF(原始資料!AE331="","",IF(反向題設定!$C$34="是",反向題設定!$B$2+1-原始資料!AE331,原始資料!AE331))</f>
        <v/>
      </c>
      <c r="AF331">
        <f>IF(原始資料!AF331="","",IF(反向題設定!$C$35="是",反向題設定!$B$2+1-原始資料!AF331,原始資料!AF331))</f>
        <v/>
      </c>
      <c r="AG331">
        <f>IF(原始資料!AG331="","",IF(反向題設定!$C$36="是",反向題設定!$B$2+1-原始資料!AG331,原始資料!AG331))</f>
        <v/>
      </c>
      <c r="AH331">
        <f>IF(原始資料!AH331="","",IF(反向題設定!$C$37="是",反向題設定!$B$2+1-原始資料!AH331,原始資料!AH331))</f>
        <v/>
      </c>
      <c r="AI331">
        <f>IF(原始資料!AI331="","",IF(反向題設定!$C$38="是",反向題設定!$B$2+1-原始資料!AI331,原始資料!AI331))</f>
        <v/>
      </c>
      <c r="AJ331">
        <f>IF(原始資料!AJ331="","",IF(反向題設定!$C$39="是",反向題設定!$B$2+1-原始資料!AJ331,原始資料!AJ331))</f>
        <v/>
      </c>
      <c r="AK331">
        <f>IF(原始資料!AK331="","",IF(反向題設定!$C$40="是",反向題設定!$B$2+1-原始資料!AK331,原始資料!AK331))</f>
        <v/>
      </c>
      <c r="AL331">
        <f>IF(原始資料!AL331="","",IF(反向題設定!$C$41="是",反向題設定!$B$2+1-原始資料!AL331,原始資料!AL331))</f>
        <v/>
      </c>
      <c r="AM331">
        <f>IF(原始資料!AM331="","",IF(反向題設定!$C$42="是",反向題設定!$B$2+1-原始資料!AM331,原始資料!AM331))</f>
        <v/>
      </c>
      <c r="AN331">
        <f>IF(原始資料!AN331="","",IF(反向題設定!$C$43="是",反向題設定!$B$2+1-原始資料!AN331,原始資料!AN331))</f>
        <v/>
      </c>
      <c r="AO331">
        <f>IF(原始資料!AO331="","",IF(反向題設定!$C$44="是",反向題設定!$B$2+1-原始資料!AO331,原始資料!AO331))</f>
        <v/>
      </c>
      <c r="AP331">
        <f>IF(COUNT(B331:AO331)=0,"",SUM(B331:AO331))</f>
        <v/>
      </c>
      <c r="AQ331">
        <f>IF(AP331="","",IF(AP331&gt;=項目分析!$C$5,"高",IF(AP331&lt;=項目分析!$C$6,"低","")))</f>
        <v/>
      </c>
    </row>
    <row r="332">
      <c r="A332">
        <f>IF(原始資料!A332="","",原始資料!A332)</f>
        <v/>
      </c>
      <c r="B332">
        <f>IF(原始資料!B332="","",IF(反向題設定!$C$5="是",反向題設定!$B$2+1-原始資料!B332,原始資料!B332))</f>
        <v/>
      </c>
      <c r="C332">
        <f>IF(原始資料!C332="","",IF(反向題設定!$C$6="是",反向題設定!$B$2+1-原始資料!C332,原始資料!C332))</f>
        <v/>
      </c>
      <c r="D332">
        <f>IF(原始資料!D332="","",IF(反向題設定!$C$7="是",反向題設定!$B$2+1-原始資料!D332,原始資料!D332))</f>
        <v/>
      </c>
      <c r="E332">
        <f>IF(原始資料!E332="","",IF(反向題設定!$C$8="是",反向題設定!$B$2+1-原始資料!E332,原始資料!E332))</f>
        <v/>
      </c>
      <c r="F332">
        <f>IF(原始資料!F332="","",IF(反向題設定!$C$9="是",反向題設定!$B$2+1-原始資料!F332,原始資料!F332))</f>
        <v/>
      </c>
      <c r="G332">
        <f>IF(原始資料!G332="","",IF(反向題設定!$C$10="是",反向題設定!$B$2+1-原始資料!G332,原始資料!G332))</f>
        <v/>
      </c>
      <c r="H332">
        <f>IF(原始資料!H332="","",IF(反向題設定!$C$11="是",反向題設定!$B$2+1-原始資料!H332,原始資料!H332))</f>
        <v/>
      </c>
      <c r="I332">
        <f>IF(原始資料!I332="","",IF(反向題設定!$C$12="是",反向題設定!$B$2+1-原始資料!I332,原始資料!I332))</f>
        <v/>
      </c>
      <c r="J332">
        <f>IF(原始資料!J332="","",IF(反向題設定!$C$13="是",反向題設定!$B$2+1-原始資料!J332,原始資料!J332))</f>
        <v/>
      </c>
      <c r="K332">
        <f>IF(原始資料!K332="","",IF(反向題設定!$C$14="是",反向題設定!$B$2+1-原始資料!K332,原始資料!K332))</f>
        <v/>
      </c>
      <c r="L332">
        <f>IF(原始資料!L332="","",IF(反向題設定!$C$15="是",反向題設定!$B$2+1-原始資料!L332,原始資料!L332))</f>
        <v/>
      </c>
      <c r="M332">
        <f>IF(原始資料!M332="","",IF(反向題設定!$C$16="是",反向題設定!$B$2+1-原始資料!M332,原始資料!M332))</f>
        <v/>
      </c>
      <c r="N332">
        <f>IF(原始資料!N332="","",IF(反向題設定!$C$17="是",反向題設定!$B$2+1-原始資料!N332,原始資料!N332))</f>
        <v/>
      </c>
      <c r="O332">
        <f>IF(原始資料!O332="","",IF(反向題設定!$C$18="是",反向題設定!$B$2+1-原始資料!O332,原始資料!O332))</f>
        <v/>
      </c>
      <c r="P332">
        <f>IF(原始資料!P332="","",IF(反向題設定!$C$19="是",反向題設定!$B$2+1-原始資料!P332,原始資料!P332))</f>
        <v/>
      </c>
      <c r="Q332">
        <f>IF(原始資料!Q332="","",IF(反向題設定!$C$20="是",反向題設定!$B$2+1-原始資料!Q332,原始資料!Q332))</f>
        <v/>
      </c>
      <c r="R332">
        <f>IF(原始資料!R332="","",IF(反向題設定!$C$21="是",反向題設定!$B$2+1-原始資料!R332,原始資料!R332))</f>
        <v/>
      </c>
      <c r="S332">
        <f>IF(原始資料!S332="","",IF(反向題設定!$C$22="是",反向題設定!$B$2+1-原始資料!S332,原始資料!S332))</f>
        <v/>
      </c>
      <c r="T332">
        <f>IF(原始資料!T332="","",IF(反向題設定!$C$23="是",反向題設定!$B$2+1-原始資料!T332,原始資料!T332))</f>
        <v/>
      </c>
      <c r="U332">
        <f>IF(原始資料!U332="","",IF(反向題設定!$C$24="是",反向題設定!$B$2+1-原始資料!U332,原始資料!U332))</f>
        <v/>
      </c>
      <c r="V332">
        <f>IF(原始資料!V332="","",IF(反向題設定!$C$25="是",反向題設定!$B$2+1-原始資料!V332,原始資料!V332))</f>
        <v/>
      </c>
      <c r="W332">
        <f>IF(原始資料!W332="","",IF(反向題設定!$C$26="是",反向題設定!$B$2+1-原始資料!W332,原始資料!W332))</f>
        <v/>
      </c>
      <c r="X332">
        <f>IF(原始資料!X332="","",IF(反向題設定!$C$27="是",反向題設定!$B$2+1-原始資料!X332,原始資料!X332))</f>
        <v/>
      </c>
      <c r="Y332">
        <f>IF(原始資料!Y332="","",IF(反向題設定!$C$28="是",反向題設定!$B$2+1-原始資料!Y332,原始資料!Y332))</f>
        <v/>
      </c>
      <c r="Z332">
        <f>IF(原始資料!Z332="","",IF(反向題設定!$C$29="是",反向題設定!$B$2+1-原始資料!Z332,原始資料!Z332))</f>
        <v/>
      </c>
      <c r="AA332">
        <f>IF(原始資料!AA332="","",IF(反向題設定!$C$30="是",反向題設定!$B$2+1-原始資料!AA332,原始資料!AA332))</f>
        <v/>
      </c>
      <c r="AB332">
        <f>IF(原始資料!AB332="","",IF(反向題設定!$C$31="是",反向題設定!$B$2+1-原始資料!AB332,原始資料!AB332))</f>
        <v/>
      </c>
      <c r="AC332">
        <f>IF(原始資料!AC332="","",IF(反向題設定!$C$32="是",反向題設定!$B$2+1-原始資料!AC332,原始資料!AC332))</f>
        <v/>
      </c>
      <c r="AD332">
        <f>IF(原始資料!AD332="","",IF(反向題設定!$C$33="是",反向題設定!$B$2+1-原始資料!AD332,原始資料!AD332))</f>
        <v/>
      </c>
      <c r="AE332">
        <f>IF(原始資料!AE332="","",IF(反向題設定!$C$34="是",反向題設定!$B$2+1-原始資料!AE332,原始資料!AE332))</f>
        <v/>
      </c>
      <c r="AF332">
        <f>IF(原始資料!AF332="","",IF(反向題設定!$C$35="是",反向題設定!$B$2+1-原始資料!AF332,原始資料!AF332))</f>
        <v/>
      </c>
      <c r="AG332">
        <f>IF(原始資料!AG332="","",IF(反向題設定!$C$36="是",反向題設定!$B$2+1-原始資料!AG332,原始資料!AG332))</f>
        <v/>
      </c>
      <c r="AH332">
        <f>IF(原始資料!AH332="","",IF(反向題設定!$C$37="是",反向題設定!$B$2+1-原始資料!AH332,原始資料!AH332))</f>
        <v/>
      </c>
      <c r="AI332">
        <f>IF(原始資料!AI332="","",IF(反向題設定!$C$38="是",反向題設定!$B$2+1-原始資料!AI332,原始資料!AI332))</f>
        <v/>
      </c>
      <c r="AJ332">
        <f>IF(原始資料!AJ332="","",IF(反向題設定!$C$39="是",反向題設定!$B$2+1-原始資料!AJ332,原始資料!AJ332))</f>
        <v/>
      </c>
      <c r="AK332">
        <f>IF(原始資料!AK332="","",IF(反向題設定!$C$40="是",反向題設定!$B$2+1-原始資料!AK332,原始資料!AK332))</f>
        <v/>
      </c>
      <c r="AL332">
        <f>IF(原始資料!AL332="","",IF(反向題設定!$C$41="是",反向題設定!$B$2+1-原始資料!AL332,原始資料!AL332))</f>
        <v/>
      </c>
      <c r="AM332">
        <f>IF(原始資料!AM332="","",IF(反向題設定!$C$42="是",反向題設定!$B$2+1-原始資料!AM332,原始資料!AM332))</f>
        <v/>
      </c>
      <c r="AN332">
        <f>IF(原始資料!AN332="","",IF(反向題設定!$C$43="是",反向題設定!$B$2+1-原始資料!AN332,原始資料!AN332))</f>
        <v/>
      </c>
      <c r="AO332">
        <f>IF(原始資料!AO332="","",IF(反向題設定!$C$44="是",反向題設定!$B$2+1-原始資料!AO332,原始資料!AO332))</f>
        <v/>
      </c>
      <c r="AP332">
        <f>IF(COUNT(B332:AO332)=0,"",SUM(B332:AO332))</f>
        <v/>
      </c>
      <c r="AQ332">
        <f>IF(AP332="","",IF(AP332&gt;=項目分析!$C$5,"高",IF(AP332&lt;=項目分析!$C$6,"低","")))</f>
        <v/>
      </c>
    </row>
    <row r="333">
      <c r="A333">
        <f>IF(原始資料!A333="","",原始資料!A333)</f>
        <v/>
      </c>
      <c r="B333">
        <f>IF(原始資料!B333="","",IF(反向題設定!$C$5="是",反向題設定!$B$2+1-原始資料!B333,原始資料!B333))</f>
        <v/>
      </c>
      <c r="C333">
        <f>IF(原始資料!C333="","",IF(反向題設定!$C$6="是",反向題設定!$B$2+1-原始資料!C333,原始資料!C333))</f>
        <v/>
      </c>
      <c r="D333">
        <f>IF(原始資料!D333="","",IF(反向題設定!$C$7="是",反向題設定!$B$2+1-原始資料!D333,原始資料!D333))</f>
        <v/>
      </c>
      <c r="E333">
        <f>IF(原始資料!E333="","",IF(反向題設定!$C$8="是",反向題設定!$B$2+1-原始資料!E333,原始資料!E333))</f>
        <v/>
      </c>
      <c r="F333">
        <f>IF(原始資料!F333="","",IF(反向題設定!$C$9="是",反向題設定!$B$2+1-原始資料!F333,原始資料!F333))</f>
        <v/>
      </c>
      <c r="G333">
        <f>IF(原始資料!G333="","",IF(反向題設定!$C$10="是",反向題設定!$B$2+1-原始資料!G333,原始資料!G333))</f>
        <v/>
      </c>
      <c r="H333">
        <f>IF(原始資料!H333="","",IF(反向題設定!$C$11="是",反向題設定!$B$2+1-原始資料!H333,原始資料!H333))</f>
        <v/>
      </c>
      <c r="I333">
        <f>IF(原始資料!I333="","",IF(反向題設定!$C$12="是",反向題設定!$B$2+1-原始資料!I333,原始資料!I333))</f>
        <v/>
      </c>
      <c r="J333">
        <f>IF(原始資料!J333="","",IF(反向題設定!$C$13="是",反向題設定!$B$2+1-原始資料!J333,原始資料!J333))</f>
        <v/>
      </c>
      <c r="K333">
        <f>IF(原始資料!K333="","",IF(反向題設定!$C$14="是",反向題設定!$B$2+1-原始資料!K333,原始資料!K333))</f>
        <v/>
      </c>
      <c r="L333">
        <f>IF(原始資料!L333="","",IF(反向題設定!$C$15="是",反向題設定!$B$2+1-原始資料!L333,原始資料!L333))</f>
        <v/>
      </c>
      <c r="M333">
        <f>IF(原始資料!M333="","",IF(反向題設定!$C$16="是",反向題設定!$B$2+1-原始資料!M333,原始資料!M333))</f>
        <v/>
      </c>
      <c r="N333">
        <f>IF(原始資料!N333="","",IF(反向題設定!$C$17="是",反向題設定!$B$2+1-原始資料!N333,原始資料!N333))</f>
        <v/>
      </c>
      <c r="O333">
        <f>IF(原始資料!O333="","",IF(反向題設定!$C$18="是",反向題設定!$B$2+1-原始資料!O333,原始資料!O333))</f>
        <v/>
      </c>
      <c r="P333">
        <f>IF(原始資料!P333="","",IF(反向題設定!$C$19="是",反向題設定!$B$2+1-原始資料!P333,原始資料!P333))</f>
        <v/>
      </c>
      <c r="Q333">
        <f>IF(原始資料!Q333="","",IF(反向題設定!$C$20="是",反向題設定!$B$2+1-原始資料!Q333,原始資料!Q333))</f>
        <v/>
      </c>
      <c r="R333">
        <f>IF(原始資料!R333="","",IF(反向題設定!$C$21="是",反向題設定!$B$2+1-原始資料!R333,原始資料!R333))</f>
        <v/>
      </c>
      <c r="S333">
        <f>IF(原始資料!S333="","",IF(反向題設定!$C$22="是",反向題設定!$B$2+1-原始資料!S333,原始資料!S333))</f>
        <v/>
      </c>
      <c r="T333">
        <f>IF(原始資料!T333="","",IF(反向題設定!$C$23="是",反向題設定!$B$2+1-原始資料!T333,原始資料!T333))</f>
        <v/>
      </c>
      <c r="U333">
        <f>IF(原始資料!U333="","",IF(反向題設定!$C$24="是",反向題設定!$B$2+1-原始資料!U333,原始資料!U333))</f>
        <v/>
      </c>
      <c r="V333">
        <f>IF(原始資料!V333="","",IF(反向題設定!$C$25="是",反向題設定!$B$2+1-原始資料!V333,原始資料!V333))</f>
        <v/>
      </c>
      <c r="W333">
        <f>IF(原始資料!W333="","",IF(反向題設定!$C$26="是",反向題設定!$B$2+1-原始資料!W333,原始資料!W333))</f>
        <v/>
      </c>
      <c r="X333">
        <f>IF(原始資料!X333="","",IF(反向題設定!$C$27="是",反向題設定!$B$2+1-原始資料!X333,原始資料!X333))</f>
        <v/>
      </c>
      <c r="Y333">
        <f>IF(原始資料!Y333="","",IF(反向題設定!$C$28="是",反向題設定!$B$2+1-原始資料!Y333,原始資料!Y333))</f>
        <v/>
      </c>
      <c r="Z333">
        <f>IF(原始資料!Z333="","",IF(反向題設定!$C$29="是",反向題設定!$B$2+1-原始資料!Z333,原始資料!Z333))</f>
        <v/>
      </c>
      <c r="AA333">
        <f>IF(原始資料!AA333="","",IF(反向題設定!$C$30="是",反向題設定!$B$2+1-原始資料!AA333,原始資料!AA333))</f>
        <v/>
      </c>
      <c r="AB333">
        <f>IF(原始資料!AB333="","",IF(反向題設定!$C$31="是",反向題設定!$B$2+1-原始資料!AB333,原始資料!AB333))</f>
        <v/>
      </c>
      <c r="AC333">
        <f>IF(原始資料!AC333="","",IF(反向題設定!$C$32="是",反向題設定!$B$2+1-原始資料!AC333,原始資料!AC333))</f>
        <v/>
      </c>
      <c r="AD333">
        <f>IF(原始資料!AD333="","",IF(反向題設定!$C$33="是",反向題設定!$B$2+1-原始資料!AD333,原始資料!AD333))</f>
        <v/>
      </c>
      <c r="AE333">
        <f>IF(原始資料!AE333="","",IF(反向題設定!$C$34="是",反向題設定!$B$2+1-原始資料!AE333,原始資料!AE333))</f>
        <v/>
      </c>
      <c r="AF333">
        <f>IF(原始資料!AF333="","",IF(反向題設定!$C$35="是",反向題設定!$B$2+1-原始資料!AF333,原始資料!AF333))</f>
        <v/>
      </c>
      <c r="AG333">
        <f>IF(原始資料!AG333="","",IF(反向題設定!$C$36="是",反向題設定!$B$2+1-原始資料!AG333,原始資料!AG333))</f>
        <v/>
      </c>
      <c r="AH333">
        <f>IF(原始資料!AH333="","",IF(反向題設定!$C$37="是",反向題設定!$B$2+1-原始資料!AH333,原始資料!AH333))</f>
        <v/>
      </c>
      <c r="AI333">
        <f>IF(原始資料!AI333="","",IF(反向題設定!$C$38="是",反向題設定!$B$2+1-原始資料!AI333,原始資料!AI333))</f>
        <v/>
      </c>
      <c r="AJ333">
        <f>IF(原始資料!AJ333="","",IF(反向題設定!$C$39="是",反向題設定!$B$2+1-原始資料!AJ333,原始資料!AJ333))</f>
        <v/>
      </c>
      <c r="AK333">
        <f>IF(原始資料!AK333="","",IF(反向題設定!$C$40="是",反向題設定!$B$2+1-原始資料!AK333,原始資料!AK333))</f>
        <v/>
      </c>
      <c r="AL333">
        <f>IF(原始資料!AL333="","",IF(反向題設定!$C$41="是",反向題設定!$B$2+1-原始資料!AL333,原始資料!AL333))</f>
        <v/>
      </c>
      <c r="AM333">
        <f>IF(原始資料!AM333="","",IF(反向題設定!$C$42="是",反向題設定!$B$2+1-原始資料!AM333,原始資料!AM333))</f>
        <v/>
      </c>
      <c r="AN333">
        <f>IF(原始資料!AN333="","",IF(反向題設定!$C$43="是",反向題設定!$B$2+1-原始資料!AN333,原始資料!AN333))</f>
        <v/>
      </c>
      <c r="AO333">
        <f>IF(原始資料!AO333="","",IF(反向題設定!$C$44="是",反向題設定!$B$2+1-原始資料!AO333,原始資料!AO333))</f>
        <v/>
      </c>
      <c r="AP333">
        <f>IF(COUNT(B333:AO333)=0,"",SUM(B333:AO333))</f>
        <v/>
      </c>
      <c r="AQ333">
        <f>IF(AP333="","",IF(AP333&gt;=項目分析!$C$5,"高",IF(AP333&lt;=項目分析!$C$6,"低","")))</f>
        <v/>
      </c>
    </row>
    <row r="334">
      <c r="A334">
        <f>IF(原始資料!A334="","",原始資料!A334)</f>
        <v/>
      </c>
      <c r="B334">
        <f>IF(原始資料!B334="","",IF(反向題設定!$C$5="是",反向題設定!$B$2+1-原始資料!B334,原始資料!B334))</f>
        <v/>
      </c>
      <c r="C334">
        <f>IF(原始資料!C334="","",IF(反向題設定!$C$6="是",反向題設定!$B$2+1-原始資料!C334,原始資料!C334))</f>
        <v/>
      </c>
      <c r="D334">
        <f>IF(原始資料!D334="","",IF(反向題設定!$C$7="是",反向題設定!$B$2+1-原始資料!D334,原始資料!D334))</f>
        <v/>
      </c>
      <c r="E334">
        <f>IF(原始資料!E334="","",IF(反向題設定!$C$8="是",反向題設定!$B$2+1-原始資料!E334,原始資料!E334))</f>
        <v/>
      </c>
      <c r="F334">
        <f>IF(原始資料!F334="","",IF(反向題設定!$C$9="是",反向題設定!$B$2+1-原始資料!F334,原始資料!F334))</f>
        <v/>
      </c>
      <c r="G334">
        <f>IF(原始資料!G334="","",IF(反向題設定!$C$10="是",反向題設定!$B$2+1-原始資料!G334,原始資料!G334))</f>
        <v/>
      </c>
      <c r="H334">
        <f>IF(原始資料!H334="","",IF(反向題設定!$C$11="是",反向題設定!$B$2+1-原始資料!H334,原始資料!H334))</f>
        <v/>
      </c>
      <c r="I334">
        <f>IF(原始資料!I334="","",IF(反向題設定!$C$12="是",反向題設定!$B$2+1-原始資料!I334,原始資料!I334))</f>
        <v/>
      </c>
      <c r="J334">
        <f>IF(原始資料!J334="","",IF(反向題設定!$C$13="是",反向題設定!$B$2+1-原始資料!J334,原始資料!J334))</f>
        <v/>
      </c>
      <c r="K334">
        <f>IF(原始資料!K334="","",IF(反向題設定!$C$14="是",反向題設定!$B$2+1-原始資料!K334,原始資料!K334))</f>
        <v/>
      </c>
      <c r="L334">
        <f>IF(原始資料!L334="","",IF(反向題設定!$C$15="是",反向題設定!$B$2+1-原始資料!L334,原始資料!L334))</f>
        <v/>
      </c>
      <c r="M334">
        <f>IF(原始資料!M334="","",IF(反向題設定!$C$16="是",反向題設定!$B$2+1-原始資料!M334,原始資料!M334))</f>
        <v/>
      </c>
      <c r="N334">
        <f>IF(原始資料!N334="","",IF(反向題設定!$C$17="是",反向題設定!$B$2+1-原始資料!N334,原始資料!N334))</f>
        <v/>
      </c>
      <c r="O334">
        <f>IF(原始資料!O334="","",IF(反向題設定!$C$18="是",反向題設定!$B$2+1-原始資料!O334,原始資料!O334))</f>
        <v/>
      </c>
      <c r="P334">
        <f>IF(原始資料!P334="","",IF(反向題設定!$C$19="是",反向題設定!$B$2+1-原始資料!P334,原始資料!P334))</f>
        <v/>
      </c>
      <c r="Q334">
        <f>IF(原始資料!Q334="","",IF(反向題設定!$C$20="是",反向題設定!$B$2+1-原始資料!Q334,原始資料!Q334))</f>
        <v/>
      </c>
      <c r="R334">
        <f>IF(原始資料!R334="","",IF(反向題設定!$C$21="是",反向題設定!$B$2+1-原始資料!R334,原始資料!R334))</f>
        <v/>
      </c>
      <c r="S334">
        <f>IF(原始資料!S334="","",IF(反向題設定!$C$22="是",反向題設定!$B$2+1-原始資料!S334,原始資料!S334))</f>
        <v/>
      </c>
      <c r="T334">
        <f>IF(原始資料!T334="","",IF(反向題設定!$C$23="是",反向題設定!$B$2+1-原始資料!T334,原始資料!T334))</f>
        <v/>
      </c>
      <c r="U334">
        <f>IF(原始資料!U334="","",IF(反向題設定!$C$24="是",反向題設定!$B$2+1-原始資料!U334,原始資料!U334))</f>
        <v/>
      </c>
      <c r="V334">
        <f>IF(原始資料!V334="","",IF(反向題設定!$C$25="是",反向題設定!$B$2+1-原始資料!V334,原始資料!V334))</f>
        <v/>
      </c>
      <c r="W334">
        <f>IF(原始資料!W334="","",IF(反向題設定!$C$26="是",反向題設定!$B$2+1-原始資料!W334,原始資料!W334))</f>
        <v/>
      </c>
      <c r="X334">
        <f>IF(原始資料!X334="","",IF(反向題設定!$C$27="是",反向題設定!$B$2+1-原始資料!X334,原始資料!X334))</f>
        <v/>
      </c>
      <c r="Y334">
        <f>IF(原始資料!Y334="","",IF(反向題設定!$C$28="是",反向題設定!$B$2+1-原始資料!Y334,原始資料!Y334))</f>
        <v/>
      </c>
      <c r="Z334">
        <f>IF(原始資料!Z334="","",IF(反向題設定!$C$29="是",反向題設定!$B$2+1-原始資料!Z334,原始資料!Z334))</f>
        <v/>
      </c>
      <c r="AA334">
        <f>IF(原始資料!AA334="","",IF(反向題設定!$C$30="是",反向題設定!$B$2+1-原始資料!AA334,原始資料!AA334))</f>
        <v/>
      </c>
      <c r="AB334">
        <f>IF(原始資料!AB334="","",IF(反向題設定!$C$31="是",反向題設定!$B$2+1-原始資料!AB334,原始資料!AB334))</f>
        <v/>
      </c>
      <c r="AC334">
        <f>IF(原始資料!AC334="","",IF(反向題設定!$C$32="是",反向題設定!$B$2+1-原始資料!AC334,原始資料!AC334))</f>
        <v/>
      </c>
      <c r="AD334">
        <f>IF(原始資料!AD334="","",IF(反向題設定!$C$33="是",反向題設定!$B$2+1-原始資料!AD334,原始資料!AD334))</f>
        <v/>
      </c>
      <c r="AE334">
        <f>IF(原始資料!AE334="","",IF(反向題設定!$C$34="是",反向題設定!$B$2+1-原始資料!AE334,原始資料!AE334))</f>
        <v/>
      </c>
      <c r="AF334">
        <f>IF(原始資料!AF334="","",IF(反向題設定!$C$35="是",反向題設定!$B$2+1-原始資料!AF334,原始資料!AF334))</f>
        <v/>
      </c>
      <c r="AG334">
        <f>IF(原始資料!AG334="","",IF(反向題設定!$C$36="是",反向題設定!$B$2+1-原始資料!AG334,原始資料!AG334))</f>
        <v/>
      </c>
      <c r="AH334">
        <f>IF(原始資料!AH334="","",IF(反向題設定!$C$37="是",反向題設定!$B$2+1-原始資料!AH334,原始資料!AH334))</f>
        <v/>
      </c>
      <c r="AI334">
        <f>IF(原始資料!AI334="","",IF(反向題設定!$C$38="是",反向題設定!$B$2+1-原始資料!AI334,原始資料!AI334))</f>
        <v/>
      </c>
      <c r="AJ334">
        <f>IF(原始資料!AJ334="","",IF(反向題設定!$C$39="是",反向題設定!$B$2+1-原始資料!AJ334,原始資料!AJ334))</f>
        <v/>
      </c>
      <c r="AK334">
        <f>IF(原始資料!AK334="","",IF(反向題設定!$C$40="是",反向題設定!$B$2+1-原始資料!AK334,原始資料!AK334))</f>
        <v/>
      </c>
      <c r="AL334">
        <f>IF(原始資料!AL334="","",IF(反向題設定!$C$41="是",反向題設定!$B$2+1-原始資料!AL334,原始資料!AL334))</f>
        <v/>
      </c>
      <c r="AM334">
        <f>IF(原始資料!AM334="","",IF(反向題設定!$C$42="是",反向題設定!$B$2+1-原始資料!AM334,原始資料!AM334))</f>
        <v/>
      </c>
      <c r="AN334">
        <f>IF(原始資料!AN334="","",IF(反向題設定!$C$43="是",反向題設定!$B$2+1-原始資料!AN334,原始資料!AN334))</f>
        <v/>
      </c>
      <c r="AO334">
        <f>IF(原始資料!AO334="","",IF(反向題設定!$C$44="是",反向題設定!$B$2+1-原始資料!AO334,原始資料!AO334))</f>
        <v/>
      </c>
      <c r="AP334">
        <f>IF(COUNT(B334:AO334)=0,"",SUM(B334:AO334))</f>
        <v/>
      </c>
      <c r="AQ334">
        <f>IF(AP334="","",IF(AP334&gt;=項目分析!$C$5,"高",IF(AP334&lt;=項目分析!$C$6,"低","")))</f>
        <v/>
      </c>
    </row>
    <row r="335">
      <c r="A335">
        <f>IF(原始資料!A335="","",原始資料!A335)</f>
        <v/>
      </c>
      <c r="B335">
        <f>IF(原始資料!B335="","",IF(反向題設定!$C$5="是",反向題設定!$B$2+1-原始資料!B335,原始資料!B335))</f>
        <v/>
      </c>
      <c r="C335">
        <f>IF(原始資料!C335="","",IF(反向題設定!$C$6="是",反向題設定!$B$2+1-原始資料!C335,原始資料!C335))</f>
        <v/>
      </c>
      <c r="D335">
        <f>IF(原始資料!D335="","",IF(反向題設定!$C$7="是",反向題設定!$B$2+1-原始資料!D335,原始資料!D335))</f>
        <v/>
      </c>
      <c r="E335">
        <f>IF(原始資料!E335="","",IF(反向題設定!$C$8="是",反向題設定!$B$2+1-原始資料!E335,原始資料!E335))</f>
        <v/>
      </c>
      <c r="F335">
        <f>IF(原始資料!F335="","",IF(反向題設定!$C$9="是",反向題設定!$B$2+1-原始資料!F335,原始資料!F335))</f>
        <v/>
      </c>
      <c r="G335">
        <f>IF(原始資料!G335="","",IF(反向題設定!$C$10="是",反向題設定!$B$2+1-原始資料!G335,原始資料!G335))</f>
        <v/>
      </c>
      <c r="H335">
        <f>IF(原始資料!H335="","",IF(反向題設定!$C$11="是",反向題設定!$B$2+1-原始資料!H335,原始資料!H335))</f>
        <v/>
      </c>
      <c r="I335">
        <f>IF(原始資料!I335="","",IF(反向題設定!$C$12="是",反向題設定!$B$2+1-原始資料!I335,原始資料!I335))</f>
        <v/>
      </c>
      <c r="J335">
        <f>IF(原始資料!J335="","",IF(反向題設定!$C$13="是",反向題設定!$B$2+1-原始資料!J335,原始資料!J335))</f>
        <v/>
      </c>
      <c r="K335">
        <f>IF(原始資料!K335="","",IF(反向題設定!$C$14="是",反向題設定!$B$2+1-原始資料!K335,原始資料!K335))</f>
        <v/>
      </c>
      <c r="L335">
        <f>IF(原始資料!L335="","",IF(反向題設定!$C$15="是",反向題設定!$B$2+1-原始資料!L335,原始資料!L335))</f>
        <v/>
      </c>
      <c r="M335">
        <f>IF(原始資料!M335="","",IF(反向題設定!$C$16="是",反向題設定!$B$2+1-原始資料!M335,原始資料!M335))</f>
        <v/>
      </c>
      <c r="N335">
        <f>IF(原始資料!N335="","",IF(反向題設定!$C$17="是",反向題設定!$B$2+1-原始資料!N335,原始資料!N335))</f>
        <v/>
      </c>
      <c r="O335">
        <f>IF(原始資料!O335="","",IF(反向題設定!$C$18="是",反向題設定!$B$2+1-原始資料!O335,原始資料!O335))</f>
        <v/>
      </c>
      <c r="P335">
        <f>IF(原始資料!P335="","",IF(反向題設定!$C$19="是",反向題設定!$B$2+1-原始資料!P335,原始資料!P335))</f>
        <v/>
      </c>
      <c r="Q335">
        <f>IF(原始資料!Q335="","",IF(反向題設定!$C$20="是",反向題設定!$B$2+1-原始資料!Q335,原始資料!Q335))</f>
        <v/>
      </c>
      <c r="R335">
        <f>IF(原始資料!R335="","",IF(反向題設定!$C$21="是",反向題設定!$B$2+1-原始資料!R335,原始資料!R335))</f>
        <v/>
      </c>
      <c r="S335">
        <f>IF(原始資料!S335="","",IF(反向題設定!$C$22="是",反向題設定!$B$2+1-原始資料!S335,原始資料!S335))</f>
        <v/>
      </c>
      <c r="T335">
        <f>IF(原始資料!T335="","",IF(反向題設定!$C$23="是",反向題設定!$B$2+1-原始資料!T335,原始資料!T335))</f>
        <v/>
      </c>
      <c r="U335">
        <f>IF(原始資料!U335="","",IF(反向題設定!$C$24="是",反向題設定!$B$2+1-原始資料!U335,原始資料!U335))</f>
        <v/>
      </c>
      <c r="V335">
        <f>IF(原始資料!V335="","",IF(反向題設定!$C$25="是",反向題設定!$B$2+1-原始資料!V335,原始資料!V335))</f>
        <v/>
      </c>
      <c r="W335">
        <f>IF(原始資料!W335="","",IF(反向題設定!$C$26="是",反向題設定!$B$2+1-原始資料!W335,原始資料!W335))</f>
        <v/>
      </c>
      <c r="X335">
        <f>IF(原始資料!X335="","",IF(反向題設定!$C$27="是",反向題設定!$B$2+1-原始資料!X335,原始資料!X335))</f>
        <v/>
      </c>
      <c r="Y335">
        <f>IF(原始資料!Y335="","",IF(反向題設定!$C$28="是",反向題設定!$B$2+1-原始資料!Y335,原始資料!Y335))</f>
        <v/>
      </c>
      <c r="Z335">
        <f>IF(原始資料!Z335="","",IF(反向題設定!$C$29="是",反向題設定!$B$2+1-原始資料!Z335,原始資料!Z335))</f>
        <v/>
      </c>
      <c r="AA335">
        <f>IF(原始資料!AA335="","",IF(反向題設定!$C$30="是",反向題設定!$B$2+1-原始資料!AA335,原始資料!AA335))</f>
        <v/>
      </c>
      <c r="AB335">
        <f>IF(原始資料!AB335="","",IF(反向題設定!$C$31="是",反向題設定!$B$2+1-原始資料!AB335,原始資料!AB335))</f>
        <v/>
      </c>
      <c r="AC335">
        <f>IF(原始資料!AC335="","",IF(反向題設定!$C$32="是",反向題設定!$B$2+1-原始資料!AC335,原始資料!AC335))</f>
        <v/>
      </c>
      <c r="AD335">
        <f>IF(原始資料!AD335="","",IF(反向題設定!$C$33="是",反向題設定!$B$2+1-原始資料!AD335,原始資料!AD335))</f>
        <v/>
      </c>
      <c r="AE335">
        <f>IF(原始資料!AE335="","",IF(反向題設定!$C$34="是",反向題設定!$B$2+1-原始資料!AE335,原始資料!AE335))</f>
        <v/>
      </c>
      <c r="AF335">
        <f>IF(原始資料!AF335="","",IF(反向題設定!$C$35="是",反向題設定!$B$2+1-原始資料!AF335,原始資料!AF335))</f>
        <v/>
      </c>
      <c r="AG335">
        <f>IF(原始資料!AG335="","",IF(反向題設定!$C$36="是",反向題設定!$B$2+1-原始資料!AG335,原始資料!AG335))</f>
        <v/>
      </c>
      <c r="AH335">
        <f>IF(原始資料!AH335="","",IF(反向題設定!$C$37="是",反向題設定!$B$2+1-原始資料!AH335,原始資料!AH335))</f>
        <v/>
      </c>
      <c r="AI335">
        <f>IF(原始資料!AI335="","",IF(反向題設定!$C$38="是",反向題設定!$B$2+1-原始資料!AI335,原始資料!AI335))</f>
        <v/>
      </c>
      <c r="AJ335">
        <f>IF(原始資料!AJ335="","",IF(反向題設定!$C$39="是",反向題設定!$B$2+1-原始資料!AJ335,原始資料!AJ335))</f>
        <v/>
      </c>
      <c r="AK335">
        <f>IF(原始資料!AK335="","",IF(反向題設定!$C$40="是",反向題設定!$B$2+1-原始資料!AK335,原始資料!AK335))</f>
        <v/>
      </c>
      <c r="AL335">
        <f>IF(原始資料!AL335="","",IF(反向題設定!$C$41="是",反向題設定!$B$2+1-原始資料!AL335,原始資料!AL335))</f>
        <v/>
      </c>
      <c r="AM335">
        <f>IF(原始資料!AM335="","",IF(反向題設定!$C$42="是",反向題設定!$B$2+1-原始資料!AM335,原始資料!AM335))</f>
        <v/>
      </c>
      <c r="AN335">
        <f>IF(原始資料!AN335="","",IF(反向題設定!$C$43="是",反向題設定!$B$2+1-原始資料!AN335,原始資料!AN335))</f>
        <v/>
      </c>
      <c r="AO335">
        <f>IF(原始資料!AO335="","",IF(反向題設定!$C$44="是",反向題設定!$B$2+1-原始資料!AO335,原始資料!AO335))</f>
        <v/>
      </c>
      <c r="AP335">
        <f>IF(COUNT(B335:AO335)=0,"",SUM(B335:AO335))</f>
        <v/>
      </c>
      <c r="AQ335">
        <f>IF(AP335="","",IF(AP335&gt;=項目分析!$C$5,"高",IF(AP335&lt;=項目分析!$C$6,"低","")))</f>
        <v/>
      </c>
    </row>
    <row r="336">
      <c r="A336">
        <f>IF(原始資料!A336="","",原始資料!A336)</f>
        <v/>
      </c>
      <c r="B336">
        <f>IF(原始資料!B336="","",IF(反向題設定!$C$5="是",反向題設定!$B$2+1-原始資料!B336,原始資料!B336))</f>
        <v/>
      </c>
      <c r="C336">
        <f>IF(原始資料!C336="","",IF(反向題設定!$C$6="是",反向題設定!$B$2+1-原始資料!C336,原始資料!C336))</f>
        <v/>
      </c>
      <c r="D336">
        <f>IF(原始資料!D336="","",IF(反向題設定!$C$7="是",反向題設定!$B$2+1-原始資料!D336,原始資料!D336))</f>
        <v/>
      </c>
      <c r="E336">
        <f>IF(原始資料!E336="","",IF(反向題設定!$C$8="是",反向題設定!$B$2+1-原始資料!E336,原始資料!E336))</f>
        <v/>
      </c>
      <c r="F336">
        <f>IF(原始資料!F336="","",IF(反向題設定!$C$9="是",反向題設定!$B$2+1-原始資料!F336,原始資料!F336))</f>
        <v/>
      </c>
      <c r="G336">
        <f>IF(原始資料!G336="","",IF(反向題設定!$C$10="是",反向題設定!$B$2+1-原始資料!G336,原始資料!G336))</f>
        <v/>
      </c>
      <c r="H336">
        <f>IF(原始資料!H336="","",IF(反向題設定!$C$11="是",反向題設定!$B$2+1-原始資料!H336,原始資料!H336))</f>
        <v/>
      </c>
      <c r="I336">
        <f>IF(原始資料!I336="","",IF(反向題設定!$C$12="是",反向題設定!$B$2+1-原始資料!I336,原始資料!I336))</f>
        <v/>
      </c>
      <c r="J336">
        <f>IF(原始資料!J336="","",IF(反向題設定!$C$13="是",反向題設定!$B$2+1-原始資料!J336,原始資料!J336))</f>
        <v/>
      </c>
      <c r="K336">
        <f>IF(原始資料!K336="","",IF(反向題設定!$C$14="是",反向題設定!$B$2+1-原始資料!K336,原始資料!K336))</f>
        <v/>
      </c>
      <c r="L336">
        <f>IF(原始資料!L336="","",IF(反向題設定!$C$15="是",反向題設定!$B$2+1-原始資料!L336,原始資料!L336))</f>
        <v/>
      </c>
      <c r="M336">
        <f>IF(原始資料!M336="","",IF(反向題設定!$C$16="是",反向題設定!$B$2+1-原始資料!M336,原始資料!M336))</f>
        <v/>
      </c>
      <c r="N336">
        <f>IF(原始資料!N336="","",IF(反向題設定!$C$17="是",反向題設定!$B$2+1-原始資料!N336,原始資料!N336))</f>
        <v/>
      </c>
      <c r="O336">
        <f>IF(原始資料!O336="","",IF(反向題設定!$C$18="是",反向題設定!$B$2+1-原始資料!O336,原始資料!O336))</f>
        <v/>
      </c>
      <c r="P336">
        <f>IF(原始資料!P336="","",IF(反向題設定!$C$19="是",反向題設定!$B$2+1-原始資料!P336,原始資料!P336))</f>
        <v/>
      </c>
      <c r="Q336">
        <f>IF(原始資料!Q336="","",IF(反向題設定!$C$20="是",反向題設定!$B$2+1-原始資料!Q336,原始資料!Q336))</f>
        <v/>
      </c>
      <c r="R336">
        <f>IF(原始資料!R336="","",IF(反向題設定!$C$21="是",反向題設定!$B$2+1-原始資料!R336,原始資料!R336))</f>
        <v/>
      </c>
      <c r="S336">
        <f>IF(原始資料!S336="","",IF(反向題設定!$C$22="是",反向題設定!$B$2+1-原始資料!S336,原始資料!S336))</f>
        <v/>
      </c>
      <c r="T336">
        <f>IF(原始資料!T336="","",IF(反向題設定!$C$23="是",反向題設定!$B$2+1-原始資料!T336,原始資料!T336))</f>
        <v/>
      </c>
      <c r="U336">
        <f>IF(原始資料!U336="","",IF(反向題設定!$C$24="是",反向題設定!$B$2+1-原始資料!U336,原始資料!U336))</f>
        <v/>
      </c>
      <c r="V336">
        <f>IF(原始資料!V336="","",IF(反向題設定!$C$25="是",反向題設定!$B$2+1-原始資料!V336,原始資料!V336))</f>
        <v/>
      </c>
      <c r="W336">
        <f>IF(原始資料!W336="","",IF(反向題設定!$C$26="是",反向題設定!$B$2+1-原始資料!W336,原始資料!W336))</f>
        <v/>
      </c>
      <c r="X336">
        <f>IF(原始資料!X336="","",IF(反向題設定!$C$27="是",反向題設定!$B$2+1-原始資料!X336,原始資料!X336))</f>
        <v/>
      </c>
      <c r="Y336">
        <f>IF(原始資料!Y336="","",IF(反向題設定!$C$28="是",反向題設定!$B$2+1-原始資料!Y336,原始資料!Y336))</f>
        <v/>
      </c>
      <c r="Z336">
        <f>IF(原始資料!Z336="","",IF(反向題設定!$C$29="是",反向題設定!$B$2+1-原始資料!Z336,原始資料!Z336))</f>
        <v/>
      </c>
      <c r="AA336">
        <f>IF(原始資料!AA336="","",IF(反向題設定!$C$30="是",反向題設定!$B$2+1-原始資料!AA336,原始資料!AA336))</f>
        <v/>
      </c>
      <c r="AB336">
        <f>IF(原始資料!AB336="","",IF(反向題設定!$C$31="是",反向題設定!$B$2+1-原始資料!AB336,原始資料!AB336))</f>
        <v/>
      </c>
      <c r="AC336">
        <f>IF(原始資料!AC336="","",IF(反向題設定!$C$32="是",反向題設定!$B$2+1-原始資料!AC336,原始資料!AC336))</f>
        <v/>
      </c>
      <c r="AD336">
        <f>IF(原始資料!AD336="","",IF(反向題設定!$C$33="是",反向題設定!$B$2+1-原始資料!AD336,原始資料!AD336))</f>
        <v/>
      </c>
      <c r="AE336">
        <f>IF(原始資料!AE336="","",IF(反向題設定!$C$34="是",反向題設定!$B$2+1-原始資料!AE336,原始資料!AE336))</f>
        <v/>
      </c>
      <c r="AF336">
        <f>IF(原始資料!AF336="","",IF(反向題設定!$C$35="是",反向題設定!$B$2+1-原始資料!AF336,原始資料!AF336))</f>
        <v/>
      </c>
      <c r="AG336">
        <f>IF(原始資料!AG336="","",IF(反向題設定!$C$36="是",反向題設定!$B$2+1-原始資料!AG336,原始資料!AG336))</f>
        <v/>
      </c>
      <c r="AH336">
        <f>IF(原始資料!AH336="","",IF(反向題設定!$C$37="是",反向題設定!$B$2+1-原始資料!AH336,原始資料!AH336))</f>
        <v/>
      </c>
      <c r="AI336">
        <f>IF(原始資料!AI336="","",IF(反向題設定!$C$38="是",反向題設定!$B$2+1-原始資料!AI336,原始資料!AI336))</f>
        <v/>
      </c>
      <c r="AJ336">
        <f>IF(原始資料!AJ336="","",IF(反向題設定!$C$39="是",反向題設定!$B$2+1-原始資料!AJ336,原始資料!AJ336))</f>
        <v/>
      </c>
      <c r="AK336">
        <f>IF(原始資料!AK336="","",IF(反向題設定!$C$40="是",反向題設定!$B$2+1-原始資料!AK336,原始資料!AK336))</f>
        <v/>
      </c>
      <c r="AL336">
        <f>IF(原始資料!AL336="","",IF(反向題設定!$C$41="是",反向題設定!$B$2+1-原始資料!AL336,原始資料!AL336))</f>
        <v/>
      </c>
      <c r="AM336">
        <f>IF(原始資料!AM336="","",IF(反向題設定!$C$42="是",反向題設定!$B$2+1-原始資料!AM336,原始資料!AM336))</f>
        <v/>
      </c>
      <c r="AN336">
        <f>IF(原始資料!AN336="","",IF(反向題設定!$C$43="是",反向題設定!$B$2+1-原始資料!AN336,原始資料!AN336))</f>
        <v/>
      </c>
      <c r="AO336">
        <f>IF(原始資料!AO336="","",IF(反向題設定!$C$44="是",反向題設定!$B$2+1-原始資料!AO336,原始資料!AO336))</f>
        <v/>
      </c>
      <c r="AP336">
        <f>IF(COUNT(B336:AO336)=0,"",SUM(B336:AO336))</f>
        <v/>
      </c>
      <c r="AQ336">
        <f>IF(AP336="","",IF(AP336&gt;=項目分析!$C$5,"高",IF(AP336&lt;=項目分析!$C$6,"低","")))</f>
        <v/>
      </c>
    </row>
    <row r="337">
      <c r="A337">
        <f>IF(原始資料!A337="","",原始資料!A337)</f>
        <v/>
      </c>
      <c r="B337">
        <f>IF(原始資料!B337="","",IF(反向題設定!$C$5="是",反向題設定!$B$2+1-原始資料!B337,原始資料!B337))</f>
        <v/>
      </c>
      <c r="C337">
        <f>IF(原始資料!C337="","",IF(反向題設定!$C$6="是",反向題設定!$B$2+1-原始資料!C337,原始資料!C337))</f>
        <v/>
      </c>
      <c r="D337">
        <f>IF(原始資料!D337="","",IF(反向題設定!$C$7="是",反向題設定!$B$2+1-原始資料!D337,原始資料!D337))</f>
        <v/>
      </c>
      <c r="E337">
        <f>IF(原始資料!E337="","",IF(反向題設定!$C$8="是",反向題設定!$B$2+1-原始資料!E337,原始資料!E337))</f>
        <v/>
      </c>
      <c r="F337">
        <f>IF(原始資料!F337="","",IF(反向題設定!$C$9="是",反向題設定!$B$2+1-原始資料!F337,原始資料!F337))</f>
        <v/>
      </c>
      <c r="G337">
        <f>IF(原始資料!G337="","",IF(反向題設定!$C$10="是",反向題設定!$B$2+1-原始資料!G337,原始資料!G337))</f>
        <v/>
      </c>
      <c r="H337">
        <f>IF(原始資料!H337="","",IF(反向題設定!$C$11="是",反向題設定!$B$2+1-原始資料!H337,原始資料!H337))</f>
        <v/>
      </c>
      <c r="I337">
        <f>IF(原始資料!I337="","",IF(反向題設定!$C$12="是",反向題設定!$B$2+1-原始資料!I337,原始資料!I337))</f>
        <v/>
      </c>
      <c r="J337">
        <f>IF(原始資料!J337="","",IF(反向題設定!$C$13="是",反向題設定!$B$2+1-原始資料!J337,原始資料!J337))</f>
        <v/>
      </c>
      <c r="K337">
        <f>IF(原始資料!K337="","",IF(反向題設定!$C$14="是",反向題設定!$B$2+1-原始資料!K337,原始資料!K337))</f>
        <v/>
      </c>
      <c r="L337">
        <f>IF(原始資料!L337="","",IF(反向題設定!$C$15="是",反向題設定!$B$2+1-原始資料!L337,原始資料!L337))</f>
        <v/>
      </c>
      <c r="M337">
        <f>IF(原始資料!M337="","",IF(反向題設定!$C$16="是",反向題設定!$B$2+1-原始資料!M337,原始資料!M337))</f>
        <v/>
      </c>
      <c r="N337">
        <f>IF(原始資料!N337="","",IF(反向題設定!$C$17="是",反向題設定!$B$2+1-原始資料!N337,原始資料!N337))</f>
        <v/>
      </c>
      <c r="O337">
        <f>IF(原始資料!O337="","",IF(反向題設定!$C$18="是",反向題設定!$B$2+1-原始資料!O337,原始資料!O337))</f>
        <v/>
      </c>
      <c r="P337">
        <f>IF(原始資料!P337="","",IF(反向題設定!$C$19="是",反向題設定!$B$2+1-原始資料!P337,原始資料!P337))</f>
        <v/>
      </c>
      <c r="Q337">
        <f>IF(原始資料!Q337="","",IF(反向題設定!$C$20="是",反向題設定!$B$2+1-原始資料!Q337,原始資料!Q337))</f>
        <v/>
      </c>
      <c r="R337">
        <f>IF(原始資料!R337="","",IF(反向題設定!$C$21="是",反向題設定!$B$2+1-原始資料!R337,原始資料!R337))</f>
        <v/>
      </c>
      <c r="S337">
        <f>IF(原始資料!S337="","",IF(反向題設定!$C$22="是",反向題設定!$B$2+1-原始資料!S337,原始資料!S337))</f>
        <v/>
      </c>
      <c r="T337">
        <f>IF(原始資料!T337="","",IF(反向題設定!$C$23="是",反向題設定!$B$2+1-原始資料!T337,原始資料!T337))</f>
        <v/>
      </c>
      <c r="U337">
        <f>IF(原始資料!U337="","",IF(反向題設定!$C$24="是",反向題設定!$B$2+1-原始資料!U337,原始資料!U337))</f>
        <v/>
      </c>
      <c r="V337">
        <f>IF(原始資料!V337="","",IF(反向題設定!$C$25="是",反向題設定!$B$2+1-原始資料!V337,原始資料!V337))</f>
        <v/>
      </c>
      <c r="W337">
        <f>IF(原始資料!W337="","",IF(反向題設定!$C$26="是",反向題設定!$B$2+1-原始資料!W337,原始資料!W337))</f>
        <v/>
      </c>
      <c r="X337">
        <f>IF(原始資料!X337="","",IF(反向題設定!$C$27="是",反向題設定!$B$2+1-原始資料!X337,原始資料!X337))</f>
        <v/>
      </c>
      <c r="Y337">
        <f>IF(原始資料!Y337="","",IF(反向題設定!$C$28="是",反向題設定!$B$2+1-原始資料!Y337,原始資料!Y337))</f>
        <v/>
      </c>
      <c r="Z337">
        <f>IF(原始資料!Z337="","",IF(反向題設定!$C$29="是",反向題設定!$B$2+1-原始資料!Z337,原始資料!Z337))</f>
        <v/>
      </c>
      <c r="AA337">
        <f>IF(原始資料!AA337="","",IF(反向題設定!$C$30="是",反向題設定!$B$2+1-原始資料!AA337,原始資料!AA337))</f>
        <v/>
      </c>
      <c r="AB337">
        <f>IF(原始資料!AB337="","",IF(反向題設定!$C$31="是",反向題設定!$B$2+1-原始資料!AB337,原始資料!AB337))</f>
        <v/>
      </c>
      <c r="AC337">
        <f>IF(原始資料!AC337="","",IF(反向題設定!$C$32="是",反向題設定!$B$2+1-原始資料!AC337,原始資料!AC337))</f>
        <v/>
      </c>
      <c r="AD337">
        <f>IF(原始資料!AD337="","",IF(反向題設定!$C$33="是",反向題設定!$B$2+1-原始資料!AD337,原始資料!AD337))</f>
        <v/>
      </c>
      <c r="AE337">
        <f>IF(原始資料!AE337="","",IF(反向題設定!$C$34="是",反向題設定!$B$2+1-原始資料!AE337,原始資料!AE337))</f>
        <v/>
      </c>
      <c r="AF337">
        <f>IF(原始資料!AF337="","",IF(反向題設定!$C$35="是",反向題設定!$B$2+1-原始資料!AF337,原始資料!AF337))</f>
        <v/>
      </c>
      <c r="AG337">
        <f>IF(原始資料!AG337="","",IF(反向題設定!$C$36="是",反向題設定!$B$2+1-原始資料!AG337,原始資料!AG337))</f>
        <v/>
      </c>
      <c r="AH337">
        <f>IF(原始資料!AH337="","",IF(反向題設定!$C$37="是",反向題設定!$B$2+1-原始資料!AH337,原始資料!AH337))</f>
        <v/>
      </c>
      <c r="AI337">
        <f>IF(原始資料!AI337="","",IF(反向題設定!$C$38="是",反向題設定!$B$2+1-原始資料!AI337,原始資料!AI337))</f>
        <v/>
      </c>
      <c r="AJ337">
        <f>IF(原始資料!AJ337="","",IF(反向題設定!$C$39="是",反向題設定!$B$2+1-原始資料!AJ337,原始資料!AJ337))</f>
        <v/>
      </c>
      <c r="AK337">
        <f>IF(原始資料!AK337="","",IF(反向題設定!$C$40="是",反向題設定!$B$2+1-原始資料!AK337,原始資料!AK337))</f>
        <v/>
      </c>
      <c r="AL337">
        <f>IF(原始資料!AL337="","",IF(反向題設定!$C$41="是",反向題設定!$B$2+1-原始資料!AL337,原始資料!AL337))</f>
        <v/>
      </c>
      <c r="AM337">
        <f>IF(原始資料!AM337="","",IF(反向題設定!$C$42="是",反向題設定!$B$2+1-原始資料!AM337,原始資料!AM337))</f>
        <v/>
      </c>
      <c r="AN337">
        <f>IF(原始資料!AN337="","",IF(反向題設定!$C$43="是",反向題設定!$B$2+1-原始資料!AN337,原始資料!AN337))</f>
        <v/>
      </c>
      <c r="AO337">
        <f>IF(原始資料!AO337="","",IF(反向題設定!$C$44="是",反向題設定!$B$2+1-原始資料!AO337,原始資料!AO337))</f>
        <v/>
      </c>
      <c r="AP337">
        <f>IF(COUNT(B337:AO337)=0,"",SUM(B337:AO337))</f>
        <v/>
      </c>
      <c r="AQ337">
        <f>IF(AP337="","",IF(AP337&gt;=項目分析!$C$5,"高",IF(AP337&lt;=項目分析!$C$6,"低","")))</f>
        <v/>
      </c>
    </row>
    <row r="338">
      <c r="A338">
        <f>IF(原始資料!A338="","",原始資料!A338)</f>
        <v/>
      </c>
      <c r="B338">
        <f>IF(原始資料!B338="","",IF(反向題設定!$C$5="是",反向題設定!$B$2+1-原始資料!B338,原始資料!B338))</f>
        <v/>
      </c>
      <c r="C338">
        <f>IF(原始資料!C338="","",IF(反向題設定!$C$6="是",反向題設定!$B$2+1-原始資料!C338,原始資料!C338))</f>
        <v/>
      </c>
      <c r="D338">
        <f>IF(原始資料!D338="","",IF(反向題設定!$C$7="是",反向題設定!$B$2+1-原始資料!D338,原始資料!D338))</f>
        <v/>
      </c>
      <c r="E338">
        <f>IF(原始資料!E338="","",IF(反向題設定!$C$8="是",反向題設定!$B$2+1-原始資料!E338,原始資料!E338))</f>
        <v/>
      </c>
      <c r="F338">
        <f>IF(原始資料!F338="","",IF(反向題設定!$C$9="是",反向題設定!$B$2+1-原始資料!F338,原始資料!F338))</f>
        <v/>
      </c>
      <c r="G338">
        <f>IF(原始資料!G338="","",IF(反向題設定!$C$10="是",反向題設定!$B$2+1-原始資料!G338,原始資料!G338))</f>
        <v/>
      </c>
      <c r="H338">
        <f>IF(原始資料!H338="","",IF(反向題設定!$C$11="是",反向題設定!$B$2+1-原始資料!H338,原始資料!H338))</f>
        <v/>
      </c>
      <c r="I338">
        <f>IF(原始資料!I338="","",IF(反向題設定!$C$12="是",反向題設定!$B$2+1-原始資料!I338,原始資料!I338))</f>
        <v/>
      </c>
      <c r="J338">
        <f>IF(原始資料!J338="","",IF(反向題設定!$C$13="是",反向題設定!$B$2+1-原始資料!J338,原始資料!J338))</f>
        <v/>
      </c>
      <c r="K338">
        <f>IF(原始資料!K338="","",IF(反向題設定!$C$14="是",反向題設定!$B$2+1-原始資料!K338,原始資料!K338))</f>
        <v/>
      </c>
      <c r="L338">
        <f>IF(原始資料!L338="","",IF(反向題設定!$C$15="是",反向題設定!$B$2+1-原始資料!L338,原始資料!L338))</f>
        <v/>
      </c>
      <c r="M338">
        <f>IF(原始資料!M338="","",IF(反向題設定!$C$16="是",反向題設定!$B$2+1-原始資料!M338,原始資料!M338))</f>
        <v/>
      </c>
      <c r="N338">
        <f>IF(原始資料!N338="","",IF(反向題設定!$C$17="是",反向題設定!$B$2+1-原始資料!N338,原始資料!N338))</f>
        <v/>
      </c>
      <c r="O338">
        <f>IF(原始資料!O338="","",IF(反向題設定!$C$18="是",反向題設定!$B$2+1-原始資料!O338,原始資料!O338))</f>
        <v/>
      </c>
      <c r="P338">
        <f>IF(原始資料!P338="","",IF(反向題設定!$C$19="是",反向題設定!$B$2+1-原始資料!P338,原始資料!P338))</f>
        <v/>
      </c>
      <c r="Q338">
        <f>IF(原始資料!Q338="","",IF(反向題設定!$C$20="是",反向題設定!$B$2+1-原始資料!Q338,原始資料!Q338))</f>
        <v/>
      </c>
      <c r="R338">
        <f>IF(原始資料!R338="","",IF(反向題設定!$C$21="是",反向題設定!$B$2+1-原始資料!R338,原始資料!R338))</f>
        <v/>
      </c>
      <c r="S338">
        <f>IF(原始資料!S338="","",IF(反向題設定!$C$22="是",反向題設定!$B$2+1-原始資料!S338,原始資料!S338))</f>
        <v/>
      </c>
      <c r="T338">
        <f>IF(原始資料!T338="","",IF(反向題設定!$C$23="是",反向題設定!$B$2+1-原始資料!T338,原始資料!T338))</f>
        <v/>
      </c>
      <c r="U338">
        <f>IF(原始資料!U338="","",IF(反向題設定!$C$24="是",反向題設定!$B$2+1-原始資料!U338,原始資料!U338))</f>
        <v/>
      </c>
      <c r="V338">
        <f>IF(原始資料!V338="","",IF(反向題設定!$C$25="是",反向題設定!$B$2+1-原始資料!V338,原始資料!V338))</f>
        <v/>
      </c>
      <c r="W338">
        <f>IF(原始資料!W338="","",IF(反向題設定!$C$26="是",反向題設定!$B$2+1-原始資料!W338,原始資料!W338))</f>
        <v/>
      </c>
      <c r="X338">
        <f>IF(原始資料!X338="","",IF(反向題設定!$C$27="是",反向題設定!$B$2+1-原始資料!X338,原始資料!X338))</f>
        <v/>
      </c>
      <c r="Y338">
        <f>IF(原始資料!Y338="","",IF(反向題設定!$C$28="是",反向題設定!$B$2+1-原始資料!Y338,原始資料!Y338))</f>
        <v/>
      </c>
      <c r="Z338">
        <f>IF(原始資料!Z338="","",IF(反向題設定!$C$29="是",反向題設定!$B$2+1-原始資料!Z338,原始資料!Z338))</f>
        <v/>
      </c>
      <c r="AA338">
        <f>IF(原始資料!AA338="","",IF(反向題設定!$C$30="是",反向題設定!$B$2+1-原始資料!AA338,原始資料!AA338))</f>
        <v/>
      </c>
      <c r="AB338">
        <f>IF(原始資料!AB338="","",IF(反向題設定!$C$31="是",反向題設定!$B$2+1-原始資料!AB338,原始資料!AB338))</f>
        <v/>
      </c>
      <c r="AC338">
        <f>IF(原始資料!AC338="","",IF(反向題設定!$C$32="是",反向題設定!$B$2+1-原始資料!AC338,原始資料!AC338))</f>
        <v/>
      </c>
      <c r="AD338">
        <f>IF(原始資料!AD338="","",IF(反向題設定!$C$33="是",反向題設定!$B$2+1-原始資料!AD338,原始資料!AD338))</f>
        <v/>
      </c>
      <c r="AE338">
        <f>IF(原始資料!AE338="","",IF(反向題設定!$C$34="是",反向題設定!$B$2+1-原始資料!AE338,原始資料!AE338))</f>
        <v/>
      </c>
      <c r="AF338">
        <f>IF(原始資料!AF338="","",IF(反向題設定!$C$35="是",反向題設定!$B$2+1-原始資料!AF338,原始資料!AF338))</f>
        <v/>
      </c>
      <c r="AG338">
        <f>IF(原始資料!AG338="","",IF(反向題設定!$C$36="是",反向題設定!$B$2+1-原始資料!AG338,原始資料!AG338))</f>
        <v/>
      </c>
      <c r="AH338">
        <f>IF(原始資料!AH338="","",IF(反向題設定!$C$37="是",反向題設定!$B$2+1-原始資料!AH338,原始資料!AH338))</f>
        <v/>
      </c>
      <c r="AI338">
        <f>IF(原始資料!AI338="","",IF(反向題設定!$C$38="是",反向題設定!$B$2+1-原始資料!AI338,原始資料!AI338))</f>
        <v/>
      </c>
      <c r="AJ338">
        <f>IF(原始資料!AJ338="","",IF(反向題設定!$C$39="是",反向題設定!$B$2+1-原始資料!AJ338,原始資料!AJ338))</f>
        <v/>
      </c>
      <c r="AK338">
        <f>IF(原始資料!AK338="","",IF(反向題設定!$C$40="是",反向題設定!$B$2+1-原始資料!AK338,原始資料!AK338))</f>
        <v/>
      </c>
      <c r="AL338">
        <f>IF(原始資料!AL338="","",IF(反向題設定!$C$41="是",反向題設定!$B$2+1-原始資料!AL338,原始資料!AL338))</f>
        <v/>
      </c>
      <c r="AM338">
        <f>IF(原始資料!AM338="","",IF(反向題設定!$C$42="是",反向題設定!$B$2+1-原始資料!AM338,原始資料!AM338))</f>
        <v/>
      </c>
      <c r="AN338">
        <f>IF(原始資料!AN338="","",IF(反向題設定!$C$43="是",反向題設定!$B$2+1-原始資料!AN338,原始資料!AN338))</f>
        <v/>
      </c>
      <c r="AO338">
        <f>IF(原始資料!AO338="","",IF(反向題設定!$C$44="是",反向題設定!$B$2+1-原始資料!AO338,原始資料!AO338))</f>
        <v/>
      </c>
      <c r="AP338">
        <f>IF(COUNT(B338:AO338)=0,"",SUM(B338:AO338))</f>
        <v/>
      </c>
      <c r="AQ338">
        <f>IF(AP338="","",IF(AP338&gt;=項目分析!$C$5,"高",IF(AP338&lt;=項目分析!$C$6,"低","")))</f>
        <v/>
      </c>
    </row>
    <row r="339">
      <c r="A339">
        <f>IF(原始資料!A339="","",原始資料!A339)</f>
        <v/>
      </c>
      <c r="B339">
        <f>IF(原始資料!B339="","",IF(反向題設定!$C$5="是",反向題設定!$B$2+1-原始資料!B339,原始資料!B339))</f>
        <v/>
      </c>
      <c r="C339">
        <f>IF(原始資料!C339="","",IF(反向題設定!$C$6="是",反向題設定!$B$2+1-原始資料!C339,原始資料!C339))</f>
        <v/>
      </c>
      <c r="D339">
        <f>IF(原始資料!D339="","",IF(反向題設定!$C$7="是",反向題設定!$B$2+1-原始資料!D339,原始資料!D339))</f>
        <v/>
      </c>
      <c r="E339">
        <f>IF(原始資料!E339="","",IF(反向題設定!$C$8="是",反向題設定!$B$2+1-原始資料!E339,原始資料!E339))</f>
        <v/>
      </c>
      <c r="F339">
        <f>IF(原始資料!F339="","",IF(反向題設定!$C$9="是",反向題設定!$B$2+1-原始資料!F339,原始資料!F339))</f>
        <v/>
      </c>
      <c r="G339">
        <f>IF(原始資料!G339="","",IF(反向題設定!$C$10="是",反向題設定!$B$2+1-原始資料!G339,原始資料!G339))</f>
        <v/>
      </c>
      <c r="H339">
        <f>IF(原始資料!H339="","",IF(反向題設定!$C$11="是",反向題設定!$B$2+1-原始資料!H339,原始資料!H339))</f>
        <v/>
      </c>
      <c r="I339">
        <f>IF(原始資料!I339="","",IF(反向題設定!$C$12="是",反向題設定!$B$2+1-原始資料!I339,原始資料!I339))</f>
        <v/>
      </c>
      <c r="J339">
        <f>IF(原始資料!J339="","",IF(反向題設定!$C$13="是",反向題設定!$B$2+1-原始資料!J339,原始資料!J339))</f>
        <v/>
      </c>
      <c r="K339">
        <f>IF(原始資料!K339="","",IF(反向題設定!$C$14="是",反向題設定!$B$2+1-原始資料!K339,原始資料!K339))</f>
        <v/>
      </c>
      <c r="L339">
        <f>IF(原始資料!L339="","",IF(反向題設定!$C$15="是",反向題設定!$B$2+1-原始資料!L339,原始資料!L339))</f>
        <v/>
      </c>
      <c r="M339">
        <f>IF(原始資料!M339="","",IF(反向題設定!$C$16="是",反向題設定!$B$2+1-原始資料!M339,原始資料!M339))</f>
        <v/>
      </c>
      <c r="N339">
        <f>IF(原始資料!N339="","",IF(反向題設定!$C$17="是",反向題設定!$B$2+1-原始資料!N339,原始資料!N339))</f>
        <v/>
      </c>
      <c r="O339">
        <f>IF(原始資料!O339="","",IF(反向題設定!$C$18="是",反向題設定!$B$2+1-原始資料!O339,原始資料!O339))</f>
        <v/>
      </c>
      <c r="P339">
        <f>IF(原始資料!P339="","",IF(反向題設定!$C$19="是",反向題設定!$B$2+1-原始資料!P339,原始資料!P339))</f>
        <v/>
      </c>
      <c r="Q339">
        <f>IF(原始資料!Q339="","",IF(反向題設定!$C$20="是",反向題設定!$B$2+1-原始資料!Q339,原始資料!Q339))</f>
        <v/>
      </c>
      <c r="R339">
        <f>IF(原始資料!R339="","",IF(反向題設定!$C$21="是",反向題設定!$B$2+1-原始資料!R339,原始資料!R339))</f>
        <v/>
      </c>
      <c r="S339">
        <f>IF(原始資料!S339="","",IF(反向題設定!$C$22="是",反向題設定!$B$2+1-原始資料!S339,原始資料!S339))</f>
        <v/>
      </c>
      <c r="T339">
        <f>IF(原始資料!T339="","",IF(反向題設定!$C$23="是",反向題設定!$B$2+1-原始資料!T339,原始資料!T339))</f>
        <v/>
      </c>
      <c r="U339">
        <f>IF(原始資料!U339="","",IF(反向題設定!$C$24="是",反向題設定!$B$2+1-原始資料!U339,原始資料!U339))</f>
        <v/>
      </c>
      <c r="V339">
        <f>IF(原始資料!V339="","",IF(反向題設定!$C$25="是",反向題設定!$B$2+1-原始資料!V339,原始資料!V339))</f>
        <v/>
      </c>
      <c r="W339">
        <f>IF(原始資料!W339="","",IF(反向題設定!$C$26="是",反向題設定!$B$2+1-原始資料!W339,原始資料!W339))</f>
        <v/>
      </c>
      <c r="X339">
        <f>IF(原始資料!X339="","",IF(反向題設定!$C$27="是",反向題設定!$B$2+1-原始資料!X339,原始資料!X339))</f>
        <v/>
      </c>
      <c r="Y339">
        <f>IF(原始資料!Y339="","",IF(反向題設定!$C$28="是",反向題設定!$B$2+1-原始資料!Y339,原始資料!Y339))</f>
        <v/>
      </c>
      <c r="Z339">
        <f>IF(原始資料!Z339="","",IF(反向題設定!$C$29="是",反向題設定!$B$2+1-原始資料!Z339,原始資料!Z339))</f>
        <v/>
      </c>
      <c r="AA339">
        <f>IF(原始資料!AA339="","",IF(反向題設定!$C$30="是",反向題設定!$B$2+1-原始資料!AA339,原始資料!AA339))</f>
        <v/>
      </c>
      <c r="AB339">
        <f>IF(原始資料!AB339="","",IF(反向題設定!$C$31="是",反向題設定!$B$2+1-原始資料!AB339,原始資料!AB339))</f>
        <v/>
      </c>
      <c r="AC339">
        <f>IF(原始資料!AC339="","",IF(反向題設定!$C$32="是",反向題設定!$B$2+1-原始資料!AC339,原始資料!AC339))</f>
        <v/>
      </c>
      <c r="AD339">
        <f>IF(原始資料!AD339="","",IF(反向題設定!$C$33="是",反向題設定!$B$2+1-原始資料!AD339,原始資料!AD339))</f>
        <v/>
      </c>
      <c r="AE339">
        <f>IF(原始資料!AE339="","",IF(反向題設定!$C$34="是",反向題設定!$B$2+1-原始資料!AE339,原始資料!AE339))</f>
        <v/>
      </c>
      <c r="AF339">
        <f>IF(原始資料!AF339="","",IF(反向題設定!$C$35="是",反向題設定!$B$2+1-原始資料!AF339,原始資料!AF339))</f>
        <v/>
      </c>
      <c r="AG339">
        <f>IF(原始資料!AG339="","",IF(反向題設定!$C$36="是",反向題設定!$B$2+1-原始資料!AG339,原始資料!AG339))</f>
        <v/>
      </c>
      <c r="AH339">
        <f>IF(原始資料!AH339="","",IF(反向題設定!$C$37="是",反向題設定!$B$2+1-原始資料!AH339,原始資料!AH339))</f>
        <v/>
      </c>
      <c r="AI339">
        <f>IF(原始資料!AI339="","",IF(反向題設定!$C$38="是",反向題設定!$B$2+1-原始資料!AI339,原始資料!AI339))</f>
        <v/>
      </c>
      <c r="AJ339">
        <f>IF(原始資料!AJ339="","",IF(反向題設定!$C$39="是",反向題設定!$B$2+1-原始資料!AJ339,原始資料!AJ339))</f>
        <v/>
      </c>
      <c r="AK339">
        <f>IF(原始資料!AK339="","",IF(反向題設定!$C$40="是",反向題設定!$B$2+1-原始資料!AK339,原始資料!AK339))</f>
        <v/>
      </c>
      <c r="AL339">
        <f>IF(原始資料!AL339="","",IF(反向題設定!$C$41="是",反向題設定!$B$2+1-原始資料!AL339,原始資料!AL339))</f>
        <v/>
      </c>
      <c r="AM339">
        <f>IF(原始資料!AM339="","",IF(反向題設定!$C$42="是",反向題設定!$B$2+1-原始資料!AM339,原始資料!AM339))</f>
        <v/>
      </c>
      <c r="AN339">
        <f>IF(原始資料!AN339="","",IF(反向題設定!$C$43="是",反向題設定!$B$2+1-原始資料!AN339,原始資料!AN339))</f>
        <v/>
      </c>
      <c r="AO339">
        <f>IF(原始資料!AO339="","",IF(反向題設定!$C$44="是",反向題設定!$B$2+1-原始資料!AO339,原始資料!AO339))</f>
        <v/>
      </c>
      <c r="AP339">
        <f>IF(COUNT(B339:AO339)=0,"",SUM(B339:AO339))</f>
        <v/>
      </c>
      <c r="AQ339">
        <f>IF(AP339="","",IF(AP339&gt;=項目分析!$C$5,"高",IF(AP339&lt;=項目分析!$C$6,"低","")))</f>
        <v/>
      </c>
    </row>
    <row r="340">
      <c r="A340">
        <f>IF(原始資料!A340="","",原始資料!A340)</f>
        <v/>
      </c>
      <c r="B340">
        <f>IF(原始資料!B340="","",IF(反向題設定!$C$5="是",反向題設定!$B$2+1-原始資料!B340,原始資料!B340))</f>
        <v/>
      </c>
      <c r="C340">
        <f>IF(原始資料!C340="","",IF(反向題設定!$C$6="是",反向題設定!$B$2+1-原始資料!C340,原始資料!C340))</f>
        <v/>
      </c>
      <c r="D340">
        <f>IF(原始資料!D340="","",IF(反向題設定!$C$7="是",反向題設定!$B$2+1-原始資料!D340,原始資料!D340))</f>
        <v/>
      </c>
      <c r="E340">
        <f>IF(原始資料!E340="","",IF(反向題設定!$C$8="是",反向題設定!$B$2+1-原始資料!E340,原始資料!E340))</f>
        <v/>
      </c>
      <c r="F340">
        <f>IF(原始資料!F340="","",IF(反向題設定!$C$9="是",反向題設定!$B$2+1-原始資料!F340,原始資料!F340))</f>
        <v/>
      </c>
      <c r="G340">
        <f>IF(原始資料!G340="","",IF(反向題設定!$C$10="是",反向題設定!$B$2+1-原始資料!G340,原始資料!G340))</f>
        <v/>
      </c>
      <c r="H340">
        <f>IF(原始資料!H340="","",IF(反向題設定!$C$11="是",反向題設定!$B$2+1-原始資料!H340,原始資料!H340))</f>
        <v/>
      </c>
      <c r="I340">
        <f>IF(原始資料!I340="","",IF(反向題設定!$C$12="是",反向題設定!$B$2+1-原始資料!I340,原始資料!I340))</f>
        <v/>
      </c>
      <c r="J340">
        <f>IF(原始資料!J340="","",IF(反向題設定!$C$13="是",反向題設定!$B$2+1-原始資料!J340,原始資料!J340))</f>
        <v/>
      </c>
      <c r="K340">
        <f>IF(原始資料!K340="","",IF(反向題設定!$C$14="是",反向題設定!$B$2+1-原始資料!K340,原始資料!K340))</f>
        <v/>
      </c>
      <c r="L340">
        <f>IF(原始資料!L340="","",IF(反向題設定!$C$15="是",反向題設定!$B$2+1-原始資料!L340,原始資料!L340))</f>
        <v/>
      </c>
      <c r="M340">
        <f>IF(原始資料!M340="","",IF(反向題設定!$C$16="是",反向題設定!$B$2+1-原始資料!M340,原始資料!M340))</f>
        <v/>
      </c>
      <c r="N340">
        <f>IF(原始資料!N340="","",IF(反向題設定!$C$17="是",反向題設定!$B$2+1-原始資料!N340,原始資料!N340))</f>
        <v/>
      </c>
      <c r="O340">
        <f>IF(原始資料!O340="","",IF(反向題設定!$C$18="是",反向題設定!$B$2+1-原始資料!O340,原始資料!O340))</f>
        <v/>
      </c>
      <c r="P340">
        <f>IF(原始資料!P340="","",IF(反向題設定!$C$19="是",反向題設定!$B$2+1-原始資料!P340,原始資料!P340))</f>
        <v/>
      </c>
      <c r="Q340">
        <f>IF(原始資料!Q340="","",IF(反向題設定!$C$20="是",反向題設定!$B$2+1-原始資料!Q340,原始資料!Q340))</f>
        <v/>
      </c>
      <c r="R340">
        <f>IF(原始資料!R340="","",IF(反向題設定!$C$21="是",反向題設定!$B$2+1-原始資料!R340,原始資料!R340))</f>
        <v/>
      </c>
      <c r="S340">
        <f>IF(原始資料!S340="","",IF(反向題設定!$C$22="是",反向題設定!$B$2+1-原始資料!S340,原始資料!S340))</f>
        <v/>
      </c>
      <c r="T340">
        <f>IF(原始資料!T340="","",IF(反向題設定!$C$23="是",反向題設定!$B$2+1-原始資料!T340,原始資料!T340))</f>
        <v/>
      </c>
      <c r="U340">
        <f>IF(原始資料!U340="","",IF(反向題設定!$C$24="是",反向題設定!$B$2+1-原始資料!U340,原始資料!U340))</f>
        <v/>
      </c>
      <c r="V340">
        <f>IF(原始資料!V340="","",IF(反向題設定!$C$25="是",反向題設定!$B$2+1-原始資料!V340,原始資料!V340))</f>
        <v/>
      </c>
      <c r="W340">
        <f>IF(原始資料!W340="","",IF(反向題設定!$C$26="是",反向題設定!$B$2+1-原始資料!W340,原始資料!W340))</f>
        <v/>
      </c>
      <c r="X340">
        <f>IF(原始資料!X340="","",IF(反向題設定!$C$27="是",反向題設定!$B$2+1-原始資料!X340,原始資料!X340))</f>
        <v/>
      </c>
      <c r="Y340">
        <f>IF(原始資料!Y340="","",IF(反向題設定!$C$28="是",反向題設定!$B$2+1-原始資料!Y340,原始資料!Y340))</f>
        <v/>
      </c>
      <c r="Z340">
        <f>IF(原始資料!Z340="","",IF(反向題設定!$C$29="是",反向題設定!$B$2+1-原始資料!Z340,原始資料!Z340))</f>
        <v/>
      </c>
      <c r="AA340">
        <f>IF(原始資料!AA340="","",IF(反向題設定!$C$30="是",反向題設定!$B$2+1-原始資料!AA340,原始資料!AA340))</f>
        <v/>
      </c>
      <c r="AB340">
        <f>IF(原始資料!AB340="","",IF(反向題設定!$C$31="是",反向題設定!$B$2+1-原始資料!AB340,原始資料!AB340))</f>
        <v/>
      </c>
      <c r="AC340">
        <f>IF(原始資料!AC340="","",IF(反向題設定!$C$32="是",反向題設定!$B$2+1-原始資料!AC340,原始資料!AC340))</f>
        <v/>
      </c>
      <c r="AD340">
        <f>IF(原始資料!AD340="","",IF(反向題設定!$C$33="是",反向題設定!$B$2+1-原始資料!AD340,原始資料!AD340))</f>
        <v/>
      </c>
      <c r="AE340">
        <f>IF(原始資料!AE340="","",IF(反向題設定!$C$34="是",反向題設定!$B$2+1-原始資料!AE340,原始資料!AE340))</f>
        <v/>
      </c>
      <c r="AF340">
        <f>IF(原始資料!AF340="","",IF(反向題設定!$C$35="是",反向題設定!$B$2+1-原始資料!AF340,原始資料!AF340))</f>
        <v/>
      </c>
      <c r="AG340">
        <f>IF(原始資料!AG340="","",IF(反向題設定!$C$36="是",反向題設定!$B$2+1-原始資料!AG340,原始資料!AG340))</f>
        <v/>
      </c>
      <c r="AH340">
        <f>IF(原始資料!AH340="","",IF(反向題設定!$C$37="是",反向題設定!$B$2+1-原始資料!AH340,原始資料!AH340))</f>
        <v/>
      </c>
      <c r="AI340">
        <f>IF(原始資料!AI340="","",IF(反向題設定!$C$38="是",反向題設定!$B$2+1-原始資料!AI340,原始資料!AI340))</f>
        <v/>
      </c>
      <c r="AJ340">
        <f>IF(原始資料!AJ340="","",IF(反向題設定!$C$39="是",反向題設定!$B$2+1-原始資料!AJ340,原始資料!AJ340))</f>
        <v/>
      </c>
      <c r="AK340">
        <f>IF(原始資料!AK340="","",IF(反向題設定!$C$40="是",反向題設定!$B$2+1-原始資料!AK340,原始資料!AK340))</f>
        <v/>
      </c>
      <c r="AL340">
        <f>IF(原始資料!AL340="","",IF(反向題設定!$C$41="是",反向題設定!$B$2+1-原始資料!AL340,原始資料!AL340))</f>
        <v/>
      </c>
      <c r="AM340">
        <f>IF(原始資料!AM340="","",IF(反向題設定!$C$42="是",反向題設定!$B$2+1-原始資料!AM340,原始資料!AM340))</f>
        <v/>
      </c>
      <c r="AN340">
        <f>IF(原始資料!AN340="","",IF(反向題設定!$C$43="是",反向題設定!$B$2+1-原始資料!AN340,原始資料!AN340))</f>
        <v/>
      </c>
      <c r="AO340">
        <f>IF(原始資料!AO340="","",IF(反向題設定!$C$44="是",反向題設定!$B$2+1-原始資料!AO340,原始資料!AO340))</f>
        <v/>
      </c>
      <c r="AP340">
        <f>IF(COUNT(B340:AO340)=0,"",SUM(B340:AO340))</f>
        <v/>
      </c>
      <c r="AQ340">
        <f>IF(AP340="","",IF(AP340&gt;=項目分析!$C$5,"高",IF(AP340&lt;=項目分析!$C$6,"低","")))</f>
        <v/>
      </c>
    </row>
    <row r="341">
      <c r="A341">
        <f>IF(原始資料!A341="","",原始資料!A341)</f>
        <v/>
      </c>
      <c r="B341">
        <f>IF(原始資料!B341="","",IF(反向題設定!$C$5="是",反向題設定!$B$2+1-原始資料!B341,原始資料!B341))</f>
        <v/>
      </c>
      <c r="C341">
        <f>IF(原始資料!C341="","",IF(反向題設定!$C$6="是",反向題設定!$B$2+1-原始資料!C341,原始資料!C341))</f>
        <v/>
      </c>
      <c r="D341">
        <f>IF(原始資料!D341="","",IF(反向題設定!$C$7="是",反向題設定!$B$2+1-原始資料!D341,原始資料!D341))</f>
        <v/>
      </c>
      <c r="E341">
        <f>IF(原始資料!E341="","",IF(反向題設定!$C$8="是",反向題設定!$B$2+1-原始資料!E341,原始資料!E341))</f>
        <v/>
      </c>
      <c r="F341">
        <f>IF(原始資料!F341="","",IF(反向題設定!$C$9="是",反向題設定!$B$2+1-原始資料!F341,原始資料!F341))</f>
        <v/>
      </c>
      <c r="G341">
        <f>IF(原始資料!G341="","",IF(反向題設定!$C$10="是",反向題設定!$B$2+1-原始資料!G341,原始資料!G341))</f>
        <v/>
      </c>
      <c r="H341">
        <f>IF(原始資料!H341="","",IF(反向題設定!$C$11="是",反向題設定!$B$2+1-原始資料!H341,原始資料!H341))</f>
        <v/>
      </c>
      <c r="I341">
        <f>IF(原始資料!I341="","",IF(反向題設定!$C$12="是",反向題設定!$B$2+1-原始資料!I341,原始資料!I341))</f>
        <v/>
      </c>
      <c r="J341">
        <f>IF(原始資料!J341="","",IF(反向題設定!$C$13="是",反向題設定!$B$2+1-原始資料!J341,原始資料!J341))</f>
        <v/>
      </c>
      <c r="K341">
        <f>IF(原始資料!K341="","",IF(反向題設定!$C$14="是",反向題設定!$B$2+1-原始資料!K341,原始資料!K341))</f>
        <v/>
      </c>
      <c r="L341">
        <f>IF(原始資料!L341="","",IF(反向題設定!$C$15="是",反向題設定!$B$2+1-原始資料!L341,原始資料!L341))</f>
        <v/>
      </c>
      <c r="M341">
        <f>IF(原始資料!M341="","",IF(反向題設定!$C$16="是",反向題設定!$B$2+1-原始資料!M341,原始資料!M341))</f>
        <v/>
      </c>
      <c r="N341">
        <f>IF(原始資料!N341="","",IF(反向題設定!$C$17="是",反向題設定!$B$2+1-原始資料!N341,原始資料!N341))</f>
        <v/>
      </c>
      <c r="O341">
        <f>IF(原始資料!O341="","",IF(反向題設定!$C$18="是",反向題設定!$B$2+1-原始資料!O341,原始資料!O341))</f>
        <v/>
      </c>
      <c r="P341">
        <f>IF(原始資料!P341="","",IF(反向題設定!$C$19="是",反向題設定!$B$2+1-原始資料!P341,原始資料!P341))</f>
        <v/>
      </c>
      <c r="Q341">
        <f>IF(原始資料!Q341="","",IF(反向題設定!$C$20="是",反向題設定!$B$2+1-原始資料!Q341,原始資料!Q341))</f>
        <v/>
      </c>
      <c r="R341">
        <f>IF(原始資料!R341="","",IF(反向題設定!$C$21="是",反向題設定!$B$2+1-原始資料!R341,原始資料!R341))</f>
        <v/>
      </c>
      <c r="S341">
        <f>IF(原始資料!S341="","",IF(反向題設定!$C$22="是",反向題設定!$B$2+1-原始資料!S341,原始資料!S341))</f>
        <v/>
      </c>
      <c r="T341">
        <f>IF(原始資料!T341="","",IF(反向題設定!$C$23="是",反向題設定!$B$2+1-原始資料!T341,原始資料!T341))</f>
        <v/>
      </c>
      <c r="U341">
        <f>IF(原始資料!U341="","",IF(反向題設定!$C$24="是",反向題設定!$B$2+1-原始資料!U341,原始資料!U341))</f>
        <v/>
      </c>
      <c r="V341">
        <f>IF(原始資料!V341="","",IF(反向題設定!$C$25="是",反向題設定!$B$2+1-原始資料!V341,原始資料!V341))</f>
        <v/>
      </c>
      <c r="W341">
        <f>IF(原始資料!W341="","",IF(反向題設定!$C$26="是",反向題設定!$B$2+1-原始資料!W341,原始資料!W341))</f>
        <v/>
      </c>
      <c r="X341">
        <f>IF(原始資料!X341="","",IF(反向題設定!$C$27="是",反向題設定!$B$2+1-原始資料!X341,原始資料!X341))</f>
        <v/>
      </c>
      <c r="Y341">
        <f>IF(原始資料!Y341="","",IF(反向題設定!$C$28="是",反向題設定!$B$2+1-原始資料!Y341,原始資料!Y341))</f>
        <v/>
      </c>
      <c r="Z341">
        <f>IF(原始資料!Z341="","",IF(反向題設定!$C$29="是",反向題設定!$B$2+1-原始資料!Z341,原始資料!Z341))</f>
        <v/>
      </c>
      <c r="AA341">
        <f>IF(原始資料!AA341="","",IF(反向題設定!$C$30="是",反向題設定!$B$2+1-原始資料!AA341,原始資料!AA341))</f>
        <v/>
      </c>
      <c r="AB341">
        <f>IF(原始資料!AB341="","",IF(反向題設定!$C$31="是",反向題設定!$B$2+1-原始資料!AB341,原始資料!AB341))</f>
        <v/>
      </c>
      <c r="AC341">
        <f>IF(原始資料!AC341="","",IF(反向題設定!$C$32="是",反向題設定!$B$2+1-原始資料!AC341,原始資料!AC341))</f>
        <v/>
      </c>
      <c r="AD341">
        <f>IF(原始資料!AD341="","",IF(反向題設定!$C$33="是",反向題設定!$B$2+1-原始資料!AD341,原始資料!AD341))</f>
        <v/>
      </c>
      <c r="AE341">
        <f>IF(原始資料!AE341="","",IF(反向題設定!$C$34="是",反向題設定!$B$2+1-原始資料!AE341,原始資料!AE341))</f>
        <v/>
      </c>
      <c r="AF341">
        <f>IF(原始資料!AF341="","",IF(反向題設定!$C$35="是",反向題設定!$B$2+1-原始資料!AF341,原始資料!AF341))</f>
        <v/>
      </c>
      <c r="AG341">
        <f>IF(原始資料!AG341="","",IF(反向題設定!$C$36="是",反向題設定!$B$2+1-原始資料!AG341,原始資料!AG341))</f>
        <v/>
      </c>
      <c r="AH341">
        <f>IF(原始資料!AH341="","",IF(反向題設定!$C$37="是",反向題設定!$B$2+1-原始資料!AH341,原始資料!AH341))</f>
        <v/>
      </c>
      <c r="AI341">
        <f>IF(原始資料!AI341="","",IF(反向題設定!$C$38="是",反向題設定!$B$2+1-原始資料!AI341,原始資料!AI341))</f>
        <v/>
      </c>
      <c r="AJ341">
        <f>IF(原始資料!AJ341="","",IF(反向題設定!$C$39="是",反向題設定!$B$2+1-原始資料!AJ341,原始資料!AJ341))</f>
        <v/>
      </c>
      <c r="AK341">
        <f>IF(原始資料!AK341="","",IF(反向題設定!$C$40="是",反向題設定!$B$2+1-原始資料!AK341,原始資料!AK341))</f>
        <v/>
      </c>
      <c r="AL341">
        <f>IF(原始資料!AL341="","",IF(反向題設定!$C$41="是",反向題設定!$B$2+1-原始資料!AL341,原始資料!AL341))</f>
        <v/>
      </c>
      <c r="AM341">
        <f>IF(原始資料!AM341="","",IF(反向題設定!$C$42="是",反向題設定!$B$2+1-原始資料!AM341,原始資料!AM341))</f>
        <v/>
      </c>
      <c r="AN341">
        <f>IF(原始資料!AN341="","",IF(反向題設定!$C$43="是",反向題設定!$B$2+1-原始資料!AN341,原始資料!AN341))</f>
        <v/>
      </c>
      <c r="AO341">
        <f>IF(原始資料!AO341="","",IF(反向題設定!$C$44="是",反向題設定!$B$2+1-原始資料!AO341,原始資料!AO341))</f>
        <v/>
      </c>
      <c r="AP341">
        <f>IF(COUNT(B341:AO341)=0,"",SUM(B341:AO341))</f>
        <v/>
      </c>
      <c r="AQ341">
        <f>IF(AP341="","",IF(AP341&gt;=項目分析!$C$5,"高",IF(AP341&lt;=項目分析!$C$6,"低","")))</f>
        <v/>
      </c>
    </row>
    <row r="342">
      <c r="A342">
        <f>IF(原始資料!A342="","",原始資料!A342)</f>
        <v/>
      </c>
      <c r="B342">
        <f>IF(原始資料!B342="","",IF(反向題設定!$C$5="是",反向題設定!$B$2+1-原始資料!B342,原始資料!B342))</f>
        <v/>
      </c>
      <c r="C342">
        <f>IF(原始資料!C342="","",IF(反向題設定!$C$6="是",反向題設定!$B$2+1-原始資料!C342,原始資料!C342))</f>
        <v/>
      </c>
      <c r="D342">
        <f>IF(原始資料!D342="","",IF(反向題設定!$C$7="是",反向題設定!$B$2+1-原始資料!D342,原始資料!D342))</f>
        <v/>
      </c>
      <c r="E342">
        <f>IF(原始資料!E342="","",IF(反向題設定!$C$8="是",反向題設定!$B$2+1-原始資料!E342,原始資料!E342))</f>
        <v/>
      </c>
      <c r="F342">
        <f>IF(原始資料!F342="","",IF(反向題設定!$C$9="是",反向題設定!$B$2+1-原始資料!F342,原始資料!F342))</f>
        <v/>
      </c>
      <c r="G342">
        <f>IF(原始資料!G342="","",IF(反向題設定!$C$10="是",反向題設定!$B$2+1-原始資料!G342,原始資料!G342))</f>
        <v/>
      </c>
      <c r="H342">
        <f>IF(原始資料!H342="","",IF(反向題設定!$C$11="是",反向題設定!$B$2+1-原始資料!H342,原始資料!H342))</f>
        <v/>
      </c>
      <c r="I342">
        <f>IF(原始資料!I342="","",IF(反向題設定!$C$12="是",反向題設定!$B$2+1-原始資料!I342,原始資料!I342))</f>
        <v/>
      </c>
      <c r="J342">
        <f>IF(原始資料!J342="","",IF(反向題設定!$C$13="是",反向題設定!$B$2+1-原始資料!J342,原始資料!J342))</f>
        <v/>
      </c>
      <c r="K342">
        <f>IF(原始資料!K342="","",IF(反向題設定!$C$14="是",反向題設定!$B$2+1-原始資料!K342,原始資料!K342))</f>
        <v/>
      </c>
      <c r="L342">
        <f>IF(原始資料!L342="","",IF(反向題設定!$C$15="是",反向題設定!$B$2+1-原始資料!L342,原始資料!L342))</f>
        <v/>
      </c>
      <c r="M342">
        <f>IF(原始資料!M342="","",IF(反向題設定!$C$16="是",反向題設定!$B$2+1-原始資料!M342,原始資料!M342))</f>
        <v/>
      </c>
      <c r="N342">
        <f>IF(原始資料!N342="","",IF(反向題設定!$C$17="是",反向題設定!$B$2+1-原始資料!N342,原始資料!N342))</f>
        <v/>
      </c>
      <c r="O342">
        <f>IF(原始資料!O342="","",IF(反向題設定!$C$18="是",反向題設定!$B$2+1-原始資料!O342,原始資料!O342))</f>
        <v/>
      </c>
      <c r="P342">
        <f>IF(原始資料!P342="","",IF(反向題設定!$C$19="是",反向題設定!$B$2+1-原始資料!P342,原始資料!P342))</f>
        <v/>
      </c>
      <c r="Q342">
        <f>IF(原始資料!Q342="","",IF(反向題設定!$C$20="是",反向題設定!$B$2+1-原始資料!Q342,原始資料!Q342))</f>
        <v/>
      </c>
      <c r="R342">
        <f>IF(原始資料!R342="","",IF(反向題設定!$C$21="是",反向題設定!$B$2+1-原始資料!R342,原始資料!R342))</f>
        <v/>
      </c>
      <c r="S342">
        <f>IF(原始資料!S342="","",IF(反向題設定!$C$22="是",反向題設定!$B$2+1-原始資料!S342,原始資料!S342))</f>
        <v/>
      </c>
      <c r="T342">
        <f>IF(原始資料!T342="","",IF(反向題設定!$C$23="是",反向題設定!$B$2+1-原始資料!T342,原始資料!T342))</f>
        <v/>
      </c>
      <c r="U342">
        <f>IF(原始資料!U342="","",IF(反向題設定!$C$24="是",反向題設定!$B$2+1-原始資料!U342,原始資料!U342))</f>
        <v/>
      </c>
      <c r="V342">
        <f>IF(原始資料!V342="","",IF(反向題設定!$C$25="是",反向題設定!$B$2+1-原始資料!V342,原始資料!V342))</f>
        <v/>
      </c>
      <c r="W342">
        <f>IF(原始資料!W342="","",IF(反向題設定!$C$26="是",反向題設定!$B$2+1-原始資料!W342,原始資料!W342))</f>
        <v/>
      </c>
      <c r="X342">
        <f>IF(原始資料!X342="","",IF(反向題設定!$C$27="是",反向題設定!$B$2+1-原始資料!X342,原始資料!X342))</f>
        <v/>
      </c>
      <c r="Y342">
        <f>IF(原始資料!Y342="","",IF(反向題設定!$C$28="是",反向題設定!$B$2+1-原始資料!Y342,原始資料!Y342))</f>
        <v/>
      </c>
      <c r="Z342">
        <f>IF(原始資料!Z342="","",IF(反向題設定!$C$29="是",反向題設定!$B$2+1-原始資料!Z342,原始資料!Z342))</f>
        <v/>
      </c>
      <c r="AA342">
        <f>IF(原始資料!AA342="","",IF(反向題設定!$C$30="是",反向題設定!$B$2+1-原始資料!AA342,原始資料!AA342))</f>
        <v/>
      </c>
      <c r="AB342">
        <f>IF(原始資料!AB342="","",IF(反向題設定!$C$31="是",反向題設定!$B$2+1-原始資料!AB342,原始資料!AB342))</f>
        <v/>
      </c>
      <c r="AC342">
        <f>IF(原始資料!AC342="","",IF(反向題設定!$C$32="是",反向題設定!$B$2+1-原始資料!AC342,原始資料!AC342))</f>
        <v/>
      </c>
      <c r="AD342">
        <f>IF(原始資料!AD342="","",IF(反向題設定!$C$33="是",反向題設定!$B$2+1-原始資料!AD342,原始資料!AD342))</f>
        <v/>
      </c>
      <c r="AE342">
        <f>IF(原始資料!AE342="","",IF(反向題設定!$C$34="是",反向題設定!$B$2+1-原始資料!AE342,原始資料!AE342))</f>
        <v/>
      </c>
      <c r="AF342">
        <f>IF(原始資料!AF342="","",IF(反向題設定!$C$35="是",反向題設定!$B$2+1-原始資料!AF342,原始資料!AF342))</f>
        <v/>
      </c>
      <c r="AG342">
        <f>IF(原始資料!AG342="","",IF(反向題設定!$C$36="是",反向題設定!$B$2+1-原始資料!AG342,原始資料!AG342))</f>
        <v/>
      </c>
      <c r="AH342">
        <f>IF(原始資料!AH342="","",IF(反向題設定!$C$37="是",反向題設定!$B$2+1-原始資料!AH342,原始資料!AH342))</f>
        <v/>
      </c>
      <c r="AI342">
        <f>IF(原始資料!AI342="","",IF(反向題設定!$C$38="是",反向題設定!$B$2+1-原始資料!AI342,原始資料!AI342))</f>
        <v/>
      </c>
      <c r="AJ342">
        <f>IF(原始資料!AJ342="","",IF(反向題設定!$C$39="是",反向題設定!$B$2+1-原始資料!AJ342,原始資料!AJ342))</f>
        <v/>
      </c>
      <c r="AK342">
        <f>IF(原始資料!AK342="","",IF(反向題設定!$C$40="是",反向題設定!$B$2+1-原始資料!AK342,原始資料!AK342))</f>
        <v/>
      </c>
      <c r="AL342">
        <f>IF(原始資料!AL342="","",IF(反向題設定!$C$41="是",反向題設定!$B$2+1-原始資料!AL342,原始資料!AL342))</f>
        <v/>
      </c>
      <c r="AM342">
        <f>IF(原始資料!AM342="","",IF(反向題設定!$C$42="是",反向題設定!$B$2+1-原始資料!AM342,原始資料!AM342))</f>
        <v/>
      </c>
      <c r="AN342">
        <f>IF(原始資料!AN342="","",IF(反向題設定!$C$43="是",反向題設定!$B$2+1-原始資料!AN342,原始資料!AN342))</f>
        <v/>
      </c>
      <c r="AO342">
        <f>IF(原始資料!AO342="","",IF(反向題設定!$C$44="是",反向題設定!$B$2+1-原始資料!AO342,原始資料!AO342))</f>
        <v/>
      </c>
      <c r="AP342">
        <f>IF(COUNT(B342:AO342)=0,"",SUM(B342:AO342))</f>
        <v/>
      </c>
      <c r="AQ342">
        <f>IF(AP342="","",IF(AP342&gt;=項目分析!$C$5,"高",IF(AP342&lt;=項目分析!$C$6,"低","")))</f>
        <v/>
      </c>
    </row>
    <row r="343">
      <c r="A343">
        <f>IF(原始資料!A343="","",原始資料!A343)</f>
        <v/>
      </c>
      <c r="B343">
        <f>IF(原始資料!B343="","",IF(反向題設定!$C$5="是",反向題設定!$B$2+1-原始資料!B343,原始資料!B343))</f>
        <v/>
      </c>
      <c r="C343">
        <f>IF(原始資料!C343="","",IF(反向題設定!$C$6="是",反向題設定!$B$2+1-原始資料!C343,原始資料!C343))</f>
        <v/>
      </c>
      <c r="D343">
        <f>IF(原始資料!D343="","",IF(反向題設定!$C$7="是",反向題設定!$B$2+1-原始資料!D343,原始資料!D343))</f>
        <v/>
      </c>
      <c r="E343">
        <f>IF(原始資料!E343="","",IF(反向題設定!$C$8="是",反向題設定!$B$2+1-原始資料!E343,原始資料!E343))</f>
        <v/>
      </c>
      <c r="F343">
        <f>IF(原始資料!F343="","",IF(反向題設定!$C$9="是",反向題設定!$B$2+1-原始資料!F343,原始資料!F343))</f>
        <v/>
      </c>
      <c r="G343">
        <f>IF(原始資料!G343="","",IF(反向題設定!$C$10="是",反向題設定!$B$2+1-原始資料!G343,原始資料!G343))</f>
        <v/>
      </c>
      <c r="H343">
        <f>IF(原始資料!H343="","",IF(反向題設定!$C$11="是",反向題設定!$B$2+1-原始資料!H343,原始資料!H343))</f>
        <v/>
      </c>
      <c r="I343">
        <f>IF(原始資料!I343="","",IF(反向題設定!$C$12="是",反向題設定!$B$2+1-原始資料!I343,原始資料!I343))</f>
        <v/>
      </c>
      <c r="J343">
        <f>IF(原始資料!J343="","",IF(反向題設定!$C$13="是",反向題設定!$B$2+1-原始資料!J343,原始資料!J343))</f>
        <v/>
      </c>
      <c r="K343">
        <f>IF(原始資料!K343="","",IF(反向題設定!$C$14="是",反向題設定!$B$2+1-原始資料!K343,原始資料!K343))</f>
        <v/>
      </c>
      <c r="L343">
        <f>IF(原始資料!L343="","",IF(反向題設定!$C$15="是",反向題設定!$B$2+1-原始資料!L343,原始資料!L343))</f>
        <v/>
      </c>
      <c r="M343">
        <f>IF(原始資料!M343="","",IF(反向題設定!$C$16="是",反向題設定!$B$2+1-原始資料!M343,原始資料!M343))</f>
        <v/>
      </c>
      <c r="N343">
        <f>IF(原始資料!N343="","",IF(反向題設定!$C$17="是",反向題設定!$B$2+1-原始資料!N343,原始資料!N343))</f>
        <v/>
      </c>
      <c r="O343">
        <f>IF(原始資料!O343="","",IF(反向題設定!$C$18="是",反向題設定!$B$2+1-原始資料!O343,原始資料!O343))</f>
        <v/>
      </c>
      <c r="P343">
        <f>IF(原始資料!P343="","",IF(反向題設定!$C$19="是",反向題設定!$B$2+1-原始資料!P343,原始資料!P343))</f>
        <v/>
      </c>
      <c r="Q343">
        <f>IF(原始資料!Q343="","",IF(反向題設定!$C$20="是",反向題設定!$B$2+1-原始資料!Q343,原始資料!Q343))</f>
        <v/>
      </c>
      <c r="R343">
        <f>IF(原始資料!R343="","",IF(反向題設定!$C$21="是",反向題設定!$B$2+1-原始資料!R343,原始資料!R343))</f>
        <v/>
      </c>
      <c r="S343">
        <f>IF(原始資料!S343="","",IF(反向題設定!$C$22="是",反向題設定!$B$2+1-原始資料!S343,原始資料!S343))</f>
        <v/>
      </c>
      <c r="T343">
        <f>IF(原始資料!T343="","",IF(反向題設定!$C$23="是",反向題設定!$B$2+1-原始資料!T343,原始資料!T343))</f>
        <v/>
      </c>
      <c r="U343">
        <f>IF(原始資料!U343="","",IF(反向題設定!$C$24="是",反向題設定!$B$2+1-原始資料!U343,原始資料!U343))</f>
        <v/>
      </c>
      <c r="V343">
        <f>IF(原始資料!V343="","",IF(反向題設定!$C$25="是",反向題設定!$B$2+1-原始資料!V343,原始資料!V343))</f>
        <v/>
      </c>
      <c r="W343">
        <f>IF(原始資料!W343="","",IF(反向題設定!$C$26="是",反向題設定!$B$2+1-原始資料!W343,原始資料!W343))</f>
        <v/>
      </c>
      <c r="X343">
        <f>IF(原始資料!X343="","",IF(反向題設定!$C$27="是",反向題設定!$B$2+1-原始資料!X343,原始資料!X343))</f>
        <v/>
      </c>
      <c r="Y343">
        <f>IF(原始資料!Y343="","",IF(反向題設定!$C$28="是",反向題設定!$B$2+1-原始資料!Y343,原始資料!Y343))</f>
        <v/>
      </c>
      <c r="Z343">
        <f>IF(原始資料!Z343="","",IF(反向題設定!$C$29="是",反向題設定!$B$2+1-原始資料!Z343,原始資料!Z343))</f>
        <v/>
      </c>
      <c r="AA343">
        <f>IF(原始資料!AA343="","",IF(反向題設定!$C$30="是",反向題設定!$B$2+1-原始資料!AA343,原始資料!AA343))</f>
        <v/>
      </c>
      <c r="AB343">
        <f>IF(原始資料!AB343="","",IF(反向題設定!$C$31="是",反向題設定!$B$2+1-原始資料!AB343,原始資料!AB343))</f>
        <v/>
      </c>
      <c r="AC343">
        <f>IF(原始資料!AC343="","",IF(反向題設定!$C$32="是",反向題設定!$B$2+1-原始資料!AC343,原始資料!AC343))</f>
        <v/>
      </c>
      <c r="AD343">
        <f>IF(原始資料!AD343="","",IF(反向題設定!$C$33="是",反向題設定!$B$2+1-原始資料!AD343,原始資料!AD343))</f>
        <v/>
      </c>
      <c r="AE343">
        <f>IF(原始資料!AE343="","",IF(反向題設定!$C$34="是",反向題設定!$B$2+1-原始資料!AE343,原始資料!AE343))</f>
        <v/>
      </c>
      <c r="AF343">
        <f>IF(原始資料!AF343="","",IF(反向題設定!$C$35="是",反向題設定!$B$2+1-原始資料!AF343,原始資料!AF343))</f>
        <v/>
      </c>
      <c r="AG343">
        <f>IF(原始資料!AG343="","",IF(反向題設定!$C$36="是",反向題設定!$B$2+1-原始資料!AG343,原始資料!AG343))</f>
        <v/>
      </c>
      <c r="AH343">
        <f>IF(原始資料!AH343="","",IF(反向題設定!$C$37="是",反向題設定!$B$2+1-原始資料!AH343,原始資料!AH343))</f>
        <v/>
      </c>
      <c r="AI343">
        <f>IF(原始資料!AI343="","",IF(反向題設定!$C$38="是",反向題設定!$B$2+1-原始資料!AI343,原始資料!AI343))</f>
        <v/>
      </c>
      <c r="AJ343">
        <f>IF(原始資料!AJ343="","",IF(反向題設定!$C$39="是",反向題設定!$B$2+1-原始資料!AJ343,原始資料!AJ343))</f>
        <v/>
      </c>
      <c r="AK343">
        <f>IF(原始資料!AK343="","",IF(反向題設定!$C$40="是",反向題設定!$B$2+1-原始資料!AK343,原始資料!AK343))</f>
        <v/>
      </c>
      <c r="AL343">
        <f>IF(原始資料!AL343="","",IF(反向題設定!$C$41="是",反向題設定!$B$2+1-原始資料!AL343,原始資料!AL343))</f>
        <v/>
      </c>
      <c r="AM343">
        <f>IF(原始資料!AM343="","",IF(反向題設定!$C$42="是",反向題設定!$B$2+1-原始資料!AM343,原始資料!AM343))</f>
        <v/>
      </c>
      <c r="AN343">
        <f>IF(原始資料!AN343="","",IF(反向題設定!$C$43="是",反向題設定!$B$2+1-原始資料!AN343,原始資料!AN343))</f>
        <v/>
      </c>
      <c r="AO343">
        <f>IF(原始資料!AO343="","",IF(反向題設定!$C$44="是",反向題設定!$B$2+1-原始資料!AO343,原始資料!AO343))</f>
        <v/>
      </c>
      <c r="AP343">
        <f>IF(COUNT(B343:AO343)=0,"",SUM(B343:AO343))</f>
        <v/>
      </c>
      <c r="AQ343">
        <f>IF(AP343="","",IF(AP343&gt;=項目分析!$C$5,"高",IF(AP343&lt;=項目分析!$C$6,"低","")))</f>
        <v/>
      </c>
    </row>
    <row r="344">
      <c r="A344">
        <f>IF(原始資料!A344="","",原始資料!A344)</f>
        <v/>
      </c>
      <c r="B344">
        <f>IF(原始資料!B344="","",IF(反向題設定!$C$5="是",反向題設定!$B$2+1-原始資料!B344,原始資料!B344))</f>
        <v/>
      </c>
      <c r="C344">
        <f>IF(原始資料!C344="","",IF(反向題設定!$C$6="是",反向題設定!$B$2+1-原始資料!C344,原始資料!C344))</f>
        <v/>
      </c>
      <c r="D344">
        <f>IF(原始資料!D344="","",IF(反向題設定!$C$7="是",反向題設定!$B$2+1-原始資料!D344,原始資料!D344))</f>
        <v/>
      </c>
      <c r="E344">
        <f>IF(原始資料!E344="","",IF(反向題設定!$C$8="是",反向題設定!$B$2+1-原始資料!E344,原始資料!E344))</f>
        <v/>
      </c>
      <c r="F344">
        <f>IF(原始資料!F344="","",IF(反向題設定!$C$9="是",反向題設定!$B$2+1-原始資料!F344,原始資料!F344))</f>
        <v/>
      </c>
      <c r="G344">
        <f>IF(原始資料!G344="","",IF(反向題設定!$C$10="是",反向題設定!$B$2+1-原始資料!G344,原始資料!G344))</f>
        <v/>
      </c>
      <c r="H344">
        <f>IF(原始資料!H344="","",IF(反向題設定!$C$11="是",反向題設定!$B$2+1-原始資料!H344,原始資料!H344))</f>
        <v/>
      </c>
      <c r="I344">
        <f>IF(原始資料!I344="","",IF(反向題設定!$C$12="是",反向題設定!$B$2+1-原始資料!I344,原始資料!I344))</f>
        <v/>
      </c>
      <c r="J344">
        <f>IF(原始資料!J344="","",IF(反向題設定!$C$13="是",反向題設定!$B$2+1-原始資料!J344,原始資料!J344))</f>
        <v/>
      </c>
      <c r="K344">
        <f>IF(原始資料!K344="","",IF(反向題設定!$C$14="是",反向題設定!$B$2+1-原始資料!K344,原始資料!K344))</f>
        <v/>
      </c>
      <c r="L344">
        <f>IF(原始資料!L344="","",IF(反向題設定!$C$15="是",反向題設定!$B$2+1-原始資料!L344,原始資料!L344))</f>
        <v/>
      </c>
      <c r="M344">
        <f>IF(原始資料!M344="","",IF(反向題設定!$C$16="是",反向題設定!$B$2+1-原始資料!M344,原始資料!M344))</f>
        <v/>
      </c>
      <c r="N344">
        <f>IF(原始資料!N344="","",IF(反向題設定!$C$17="是",反向題設定!$B$2+1-原始資料!N344,原始資料!N344))</f>
        <v/>
      </c>
      <c r="O344">
        <f>IF(原始資料!O344="","",IF(反向題設定!$C$18="是",反向題設定!$B$2+1-原始資料!O344,原始資料!O344))</f>
        <v/>
      </c>
      <c r="P344">
        <f>IF(原始資料!P344="","",IF(反向題設定!$C$19="是",反向題設定!$B$2+1-原始資料!P344,原始資料!P344))</f>
        <v/>
      </c>
      <c r="Q344">
        <f>IF(原始資料!Q344="","",IF(反向題設定!$C$20="是",反向題設定!$B$2+1-原始資料!Q344,原始資料!Q344))</f>
        <v/>
      </c>
      <c r="R344">
        <f>IF(原始資料!R344="","",IF(反向題設定!$C$21="是",反向題設定!$B$2+1-原始資料!R344,原始資料!R344))</f>
        <v/>
      </c>
      <c r="S344">
        <f>IF(原始資料!S344="","",IF(反向題設定!$C$22="是",反向題設定!$B$2+1-原始資料!S344,原始資料!S344))</f>
        <v/>
      </c>
      <c r="T344">
        <f>IF(原始資料!T344="","",IF(反向題設定!$C$23="是",反向題設定!$B$2+1-原始資料!T344,原始資料!T344))</f>
        <v/>
      </c>
      <c r="U344">
        <f>IF(原始資料!U344="","",IF(反向題設定!$C$24="是",反向題設定!$B$2+1-原始資料!U344,原始資料!U344))</f>
        <v/>
      </c>
      <c r="V344">
        <f>IF(原始資料!V344="","",IF(反向題設定!$C$25="是",反向題設定!$B$2+1-原始資料!V344,原始資料!V344))</f>
        <v/>
      </c>
      <c r="W344">
        <f>IF(原始資料!W344="","",IF(反向題設定!$C$26="是",反向題設定!$B$2+1-原始資料!W344,原始資料!W344))</f>
        <v/>
      </c>
      <c r="X344">
        <f>IF(原始資料!X344="","",IF(反向題設定!$C$27="是",反向題設定!$B$2+1-原始資料!X344,原始資料!X344))</f>
        <v/>
      </c>
      <c r="Y344">
        <f>IF(原始資料!Y344="","",IF(反向題設定!$C$28="是",反向題設定!$B$2+1-原始資料!Y344,原始資料!Y344))</f>
        <v/>
      </c>
      <c r="Z344">
        <f>IF(原始資料!Z344="","",IF(反向題設定!$C$29="是",反向題設定!$B$2+1-原始資料!Z344,原始資料!Z344))</f>
        <v/>
      </c>
      <c r="AA344">
        <f>IF(原始資料!AA344="","",IF(反向題設定!$C$30="是",反向題設定!$B$2+1-原始資料!AA344,原始資料!AA344))</f>
        <v/>
      </c>
      <c r="AB344">
        <f>IF(原始資料!AB344="","",IF(反向題設定!$C$31="是",反向題設定!$B$2+1-原始資料!AB344,原始資料!AB344))</f>
        <v/>
      </c>
      <c r="AC344">
        <f>IF(原始資料!AC344="","",IF(反向題設定!$C$32="是",反向題設定!$B$2+1-原始資料!AC344,原始資料!AC344))</f>
        <v/>
      </c>
      <c r="AD344">
        <f>IF(原始資料!AD344="","",IF(反向題設定!$C$33="是",反向題設定!$B$2+1-原始資料!AD344,原始資料!AD344))</f>
        <v/>
      </c>
      <c r="AE344">
        <f>IF(原始資料!AE344="","",IF(反向題設定!$C$34="是",反向題設定!$B$2+1-原始資料!AE344,原始資料!AE344))</f>
        <v/>
      </c>
      <c r="AF344">
        <f>IF(原始資料!AF344="","",IF(反向題設定!$C$35="是",反向題設定!$B$2+1-原始資料!AF344,原始資料!AF344))</f>
        <v/>
      </c>
      <c r="AG344">
        <f>IF(原始資料!AG344="","",IF(反向題設定!$C$36="是",反向題設定!$B$2+1-原始資料!AG344,原始資料!AG344))</f>
        <v/>
      </c>
      <c r="AH344">
        <f>IF(原始資料!AH344="","",IF(反向題設定!$C$37="是",反向題設定!$B$2+1-原始資料!AH344,原始資料!AH344))</f>
        <v/>
      </c>
      <c r="AI344">
        <f>IF(原始資料!AI344="","",IF(反向題設定!$C$38="是",反向題設定!$B$2+1-原始資料!AI344,原始資料!AI344))</f>
        <v/>
      </c>
      <c r="AJ344">
        <f>IF(原始資料!AJ344="","",IF(反向題設定!$C$39="是",反向題設定!$B$2+1-原始資料!AJ344,原始資料!AJ344))</f>
        <v/>
      </c>
      <c r="AK344">
        <f>IF(原始資料!AK344="","",IF(反向題設定!$C$40="是",反向題設定!$B$2+1-原始資料!AK344,原始資料!AK344))</f>
        <v/>
      </c>
      <c r="AL344">
        <f>IF(原始資料!AL344="","",IF(反向題設定!$C$41="是",反向題設定!$B$2+1-原始資料!AL344,原始資料!AL344))</f>
        <v/>
      </c>
      <c r="AM344">
        <f>IF(原始資料!AM344="","",IF(反向題設定!$C$42="是",反向題設定!$B$2+1-原始資料!AM344,原始資料!AM344))</f>
        <v/>
      </c>
      <c r="AN344">
        <f>IF(原始資料!AN344="","",IF(反向題設定!$C$43="是",反向題設定!$B$2+1-原始資料!AN344,原始資料!AN344))</f>
        <v/>
      </c>
      <c r="AO344">
        <f>IF(原始資料!AO344="","",IF(反向題設定!$C$44="是",反向題設定!$B$2+1-原始資料!AO344,原始資料!AO344))</f>
        <v/>
      </c>
      <c r="AP344">
        <f>IF(COUNT(B344:AO344)=0,"",SUM(B344:AO344))</f>
        <v/>
      </c>
      <c r="AQ344">
        <f>IF(AP344="","",IF(AP344&gt;=項目分析!$C$5,"高",IF(AP344&lt;=項目分析!$C$6,"低","")))</f>
        <v/>
      </c>
    </row>
    <row r="345">
      <c r="A345">
        <f>IF(原始資料!A345="","",原始資料!A345)</f>
        <v/>
      </c>
      <c r="B345">
        <f>IF(原始資料!B345="","",IF(反向題設定!$C$5="是",反向題設定!$B$2+1-原始資料!B345,原始資料!B345))</f>
        <v/>
      </c>
      <c r="C345">
        <f>IF(原始資料!C345="","",IF(反向題設定!$C$6="是",反向題設定!$B$2+1-原始資料!C345,原始資料!C345))</f>
        <v/>
      </c>
      <c r="D345">
        <f>IF(原始資料!D345="","",IF(反向題設定!$C$7="是",反向題設定!$B$2+1-原始資料!D345,原始資料!D345))</f>
        <v/>
      </c>
      <c r="E345">
        <f>IF(原始資料!E345="","",IF(反向題設定!$C$8="是",反向題設定!$B$2+1-原始資料!E345,原始資料!E345))</f>
        <v/>
      </c>
      <c r="F345">
        <f>IF(原始資料!F345="","",IF(反向題設定!$C$9="是",反向題設定!$B$2+1-原始資料!F345,原始資料!F345))</f>
        <v/>
      </c>
      <c r="G345">
        <f>IF(原始資料!G345="","",IF(反向題設定!$C$10="是",反向題設定!$B$2+1-原始資料!G345,原始資料!G345))</f>
        <v/>
      </c>
      <c r="H345">
        <f>IF(原始資料!H345="","",IF(反向題設定!$C$11="是",反向題設定!$B$2+1-原始資料!H345,原始資料!H345))</f>
        <v/>
      </c>
      <c r="I345">
        <f>IF(原始資料!I345="","",IF(反向題設定!$C$12="是",反向題設定!$B$2+1-原始資料!I345,原始資料!I345))</f>
        <v/>
      </c>
      <c r="J345">
        <f>IF(原始資料!J345="","",IF(反向題設定!$C$13="是",反向題設定!$B$2+1-原始資料!J345,原始資料!J345))</f>
        <v/>
      </c>
      <c r="K345">
        <f>IF(原始資料!K345="","",IF(反向題設定!$C$14="是",反向題設定!$B$2+1-原始資料!K345,原始資料!K345))</f>
        <v/>
      </c>
      <c r="L345">
        <f>IF(原始資料!L345="","",IF(反向題設定!$C$15="是",反向題設定!$B$2+1-原始資料!L345,原始資料!L345))</f>
        <v/>
      </c>
      <c r="M345">
        <f>IF(原始資料!M345="","",IF(反向題設定!$C$16="是",反向題設定!$B$2+1-原始資料!M345,原始資料!M345))</f>
        <v/>
      </c>
      <c r="N345">
        <f>IF(原始資料!N345="","",IF(反向題設定!$C$17="是",反向題設定!$B$2+1-原始資料!N345,原始資料!N345))</f>
        <v/>
      </c>
      <c r="O345">
        <f>IF(原始資料!O345="","",IF(反向題設定!$C$18="是",反向題設定!$B$2+1-原始資料!O345,原始資料!O345))</f>
        <v/>
      </c>
      <c r="P345">
        <f>IF(原始資料!P345="","",IF(反向題設定!$C$19="是",反向題設定!$B$2+1-原始資料!P345,原始資料!P345))</f>
        <v/>
      </c>
      <c r="Q345">
        <f>IF(原始資料!Q345="","",IF(反向題設定!$C$20="是",反向題設定!$B$2+1-原始資料!Q345,原始資料!Q345))</f>
        <v/>
      </c>
      <c r="R345">
        <f>IF(原始資料!R345="","",IF(反向題設定!$C$21="是",反向題設定!$B$2+1-原始資料!R345,原始資料!R345))</f>
        <v/>
      </c>
      <c r="S345">
        <f>IF(原始資料!S345="","",IF(反向題設定!$C$22="是",反向題設定!$B$2+1-原始資料!S345,原始資料!S345))</f>
        <v/>
      </c>
      <c r="T345">
        <f>IF(原始資料!T345="","",IF(反向題設定!$C$23="是",反向題設定!$B$2+1-原始資料!T345,原始資料!T345))</f>
        <v/>
      </c>
      <c r="U345">
        <f>IF(原始資料!U345="","",IF(反向題設定!$C$24="是",反向題設定!$B$2+1-原始資料!U345,原始資料!U345))</f>
        <v/>
      </c>
      <c r="V345">
        <f>IF(原始資料!V345="","",IF(反向題設定!$C$25="是",反向題設定!$B$2+1-原始資料!V345,原始資料!V345))</f>
        <v/>
      </c>
      <c r="W345">
        <f>IF(原始資料!W345="","",IF(反向題設定!$C$26="是",反向題設定!$B$2+1-原始資料!W345,原始資料!W345))</f>
        <v/>
      </c>
      <c r="X345">
        <f>IF(原始資料!X345="","",IF(反向題設定!$C$27="是",反向題設定!$B$2+1-原始資料!X345,原始資料!X345))</f>
        <v/>
      </c>
      <c r="Y345">
        <f>IF(原始資料!Y345="","",IF(反向題設定!$C$28="是",反向題設定!$B$2+1-原始資料!Y345,原始資料!Y345))</f>
        <v/>
      </c>
      <c r="Z345">
        <f>IF(原始資料!Z345="","",IF(反向題設定!$C$29="是",反向題設定!$B$2+1-原始資料!Z345,原始資料!Z345))</f>
        <v/>
      </c>
      <c r="AA345">
        <f>IF(原始資料!AA345="","",IF(反向題設定!$C$30="是",反向題設定!$B$2+1-原始資料!AA345,原始資料!AA345))</f>
        <v/>
      </c>
      <c r="AB345">
        <f>IF(原始資料!AB345="","",IF(反向題設定!$C$31="是",反向題設定!$B$2+1-原始資料!AB345,原始資料!AB345))</f>
        <v/>
      </c>
      <c r="AC345">
        <f>IF(原始資料!AC345="","",IF(反向題設定!$C$32="是",反向題設定!$B$2+1-原始資料!AC345,原始資料!AC345))</f>
        <v/>
      </c>
      <c r="AD345">
        <f>IF(原始資料!AD345="","",IF(反向題設定!$C$33="是",反向題設定!$B$2+1-原始資料!AD345,原始資料!AD345))</f>
        <v/>
      </c>
      <c r="AE345">
        <f>IF(原始資料!AE345="","",IF(反向題設定!$C$34="是",反向題設定!$B$2+1-原始資料!AE345,原始資料!AE345))</f>
        <v/>
      </c>
      <c r="AF345">
        <f>IF(原始資料!AF345="","",IF(反向題設定!$C$35="是",反向題設定!$B$2+1-原始資料!AF345,原始資料!AF345))</f>
        <v/>
      </c>
      <c r="AG345">
        <f>IF(原始資料!AG345="","",IF(反向題設定!$C$36="是",反向題設定!$B$2+1-原始資料!AG345,原始資料!AG345))</f>
        <v/>
      </c>
      <c r="AH345">
        <f>IF(原始資料!AH345="","",IF(反向題設定!$C$37="是",反向題設定!$B$2+1-原始資料!AH345,原始資料!AH345))</f>
        <v/>
      </c>
      <c r="AI345">
        <f>IF(原始資料!AI345="","",IF(反向題設定!$C$38="是",反向題設定!$B$2+1-原始資料!AI345,原始資料!AI345))</f>
        <v/>
      </c>
      <c r="AJ345">
        <f>IF(原始資料!AJ345="","",IF(反向題設定!$C$39="是",反向題設定!$B$2+1-原始資料!AJ345,原始資料!AJ345))</f>
        <v/>
      </c>
      <c r="AK345">
        <f>IF(原始資料!AK345="","",IF(反向題設定!$C$40="是",反向題設定!$B$2+1-原始資料!AK345,原始資料!AK345))</f>
        <v/>
      </c>
      <c r="AL345">
        <f>IF(原始資料!AL345="","",IF(反向題設定!$C$41="是",反向題設定!$B$2+1-原始資料!AL345,原始資料!AL345))</f>
        <v/>
      </c>
      <c r="AM345">
        <f>IF(原始資料!AM345="","",IF(反向題設定!$C$42="是",反向題設定!$B$2+1-原始資料!AM345,原始資料!AM345))</f>
        <v/>
      </c>
      <c r="AN345">
        <f>IF(原始資料!AN345="","",IF(反向題設定!$C$43="是",反向題設定!$B$2+1-原始資料!AN345,原始資料!AN345))</f>
        <v/>
      </c>
      <c r="AO345">
        <f>IF(原始資料!AO345="","",IF(反向題設定!$C$44="是",反向題設定!$B$2+1-原始資料!AO345,原始資料!AO345))</f>
        <v/>
      </c>
      <c r="AP345">
        <f>IF(COUNT(B345:AO345)=0,"",SUM(B345:AO345))</f>
        <v/>
      </c>
      <c r="AQ345">
        <f>IF(AP345="","",IF(AP345&gt;=項目分析!$C$5,"高",IF(AP345&lt;=項目分析!$C$6,"低","")))</f>
        <v/>
      </c>
    </row>
    <row r="346">
      <c r="A346">
        <f>IF(原始資料!A346="","",原始資料!A346)</f>
        <v/>
      </c>
      <c r="B346">
        <f>IF(原始資料!B346="","",IF(反向題設定!$C$5="是",反向題設定!$B$2+1-原始資料!B346,原始資料!B346))</f>
        <v/>
      </c>
      <c r="C346">
        <f>IF(原始資料!C346="","",IF(反向題設定!$C$6="是",反向題設定!$B$2+1-原始資料!C346,原始資料!C346))</f>
        <v/>
      </c>
      <c r="D346">
        <f>IF(原始資料!D346="","",IF(反向題設定!$C$7="是",反向題設定!$B$2+1-原始資料!D346,原始資料!D346))</f>
        <v/>
      </c>
      <c r="E346">
        <f>IF(原始資料!E346="","",IF(反向題設定!$C$8="是",反向題設定!$B$2+1-原始資料!E346,原始資料!E346))</f>
        <v/>
      </c>
      <c r="F346">
        <f>IF(原始資料!F346="","",IF(反向題設定!$C$9="是",反向題設定!$B$2+1-原始資料!F346,原始資料!F346))</f>
        <v/>
      </c>
      <c r="G346">
        <f>IF(原始資料!G346="","",IF(反向題設定!$C$10="是",反向題設定!$B$2+1-原始資料!G346,原始資料!G346))</f>
        <v/>
      </c>
      <c r="H346">
        <f>IF(原始資料!H346="","",IF(反向題設定!$C$11="是",反向題設定!$B$2+1-原始資料!H346,原始資料!H346))</f>
        <v/>
      </c>
      <c r="I346">
        <f>IF(原始資料!I346="","",IF(反向題設定!$C$12="是",反向題設定!$B$2+1-原始資料!I346,原始資料!I346))</f>
        <v/>
      </c>
      <c r="J346">
        <f>IF(原始資料!J346="","",IF(反向題設定!$C$13="是",反向題設定!$B$2+1-原始資料!J346,原始資料!J346))</f>
        <v/>
      </c>
      <c r="K346">
        <f>IF(原始資料!K346="","",IF(反向題設定!$C$14="是",反向題設定!$B$2+1-原始資料!K346,原始資料!K346))</f>
        <v/>
      </c>
      <c r="L346">
        <f>IF(原始資料!L346="","",IF(反向題設定!$C$15="是",反向題設定!$B$2+1-原始資料!L346,原始資料!L346))</f>
        <v/>
      </c>
      <c r="M346">
        <f>IF(原始資料!M346="","",IF(反向題設定!$C$16="是",反向題設定!$B$2+1-原始資料!M346,原始資料!M346))</f>
        <v/>
      </c>
      <c r="N346">
        <f>IF(原始資料!N346="","",IF(反向題設定!$C$17="是",反向題設定!$B$2+1-原始資料!N346,原始資料!N346))</f>
        <v/>
      </c>
      <c r="O346">
        <f>IF(原始資料!O346="","",IF(反向題設定!$C$18="是",反向題設定!$B$2+1-原始資料!O346,原始資料!O346))</f>
        <v/>
      </c>
      <c r="P346">
        <f>IF(原始資料!P346="","",IF(反向題設定!$C$19="是",反向題設定!$B$2+1-原始資料!P346,原始資料!P346))</f>
        <v/>
      </c>
      <c r="Q346">
        <f>IF(原始資料!Q346="","",IF(反向題設定!$C$20="是",反向題設定!$B$2+1-原始資料!Q346,原始資料!Q346))</f>
        <v/>
      </c>
      <c r="R346">
        <f>IF(原始資料!R346="","",IF(反向題設定!$C$21="是",反向題設定!$B$2+1-原始資料!R346,原始資料!R346))</f>
        <v/>
      </c>
      <c r="S346">
        <f>IF(原始資料!S346="","",IF(反向題設定!$C$22="是",反向題設定!$B$2+1-原始資料!S346,原始資料!S346))</f>
        <v/>
      </c>
      <c r="T346">
        <f>IF(原始資料!T346="","",IF(反向題設定!$C$23="是",反向題設定!$B$2+1-原始資料!T346,原始資料!T346))</f>
        <v/>
      </c>
      <c r="U346">
        <f>IF(原始資料!U346="","",IF(反向題設定!$C$24="是",反向題設定!$B$2+1-原始資料!U346,原始資料!U346))</f>
        <v/>
      </c>
      <c r="V346">
        <f>IF(原始資料!V346="","",IF(反向題設定!$C$25="是",反向題設定!$B$2+1-原始資料!V346,原始資料!V346))</f>
        <v/>
      </c>
      <c r="W346">
        <f>IF(原始資料!W346="","",IF(反向題設定!$C$26="是",反向題設定!$B$2+1-原始資料!W346,原始資料!W346))</f>
        <v/>
      </c>
      <c r="X346">
        <f>IF(原始資料!X346="","",IF(反向題設定!$C$27="是",反向題設定!$B$2+1-原始資料!X346,原始資料!X346))</f>
        <v/>
      </c>
      <c r="Y346">
        <f>IF(原始資料!Y346="","",IF(反向題設定!$C$28="是",反向題設定!$B$2+1-原始資料!Y346,原始資料!Y346))</f>
        <v/>
      </c>
      <c r="Z346">
        <f>IF(原始資料!Z346="","",IF(反向題設定!$C$29="是",反向題設定!$B$2+1-原始資料!Z346,原始資料!Z346))</f>
        <v/>
      </c>
      <c r="AA346">
        <f>IF(原始資料!AA346="","",IF(反向題設定!$C$30="是",反向題設定!$B$2+1-原始資料!AA346,原始資料!AA346))</f>
        <v/>
      </c>
      <c r="AB346">
        <f>IF(原始資料!AB346="","",IF(反向題設定!$C$31="是",反向題設定!$B$2+1-原始資料!AB346,原始資料!AB346))</f>
        <v/>
      </c>
      <c r="AC346">
        <f>IF(原始資料!AC346="","",IF(反向題設定!$C$32="是",反向題設定!$B$2+1-原始資料!AC346,原始資料!AC346))</f>
        <v/>
      </c>
      <c r="AD346">
        <f>IF(原始資料!AD346="","",IF(反向題設定!$C$33="是",反向題設定!$B$2+1-原始資料!AD346,原始資料!AD346))</f>
        <v/>
      </c>
      <c r="AE346">
        <f>IF(原始資料!AE346="","",IF(反向題設定!$C$34="是",反向題設定!$B$2+1-原始資料!AE346,原始資料!AE346))</f>
        <v/>
      </c>
      <c r="AF346">
        <f>IF(原始資料!AF346="","",IF(反向題設定!$C$35="是",反向題設定!$B$2+1-原始資料!AF346,原始資料!AF346))</f>
        <v/>
      </c>
      <c r="AG346">
        <f>IF(原始資料!AG346="","",IF(反向題設定!$C$36="是",反向題設定!$B$2+1-原始資料!AG346,原始資料!AG346))</f>
        <v/>
      </c>
      <c r="AH346">
        <f>IF(原始資料!AH346="","",IF(反向題設定!$C$37="是",反向題設定!$B$2+1-原始資料!AH346,原始資料!AH346))</f>
        <v/>
      </c>
      <c r="AI346">
        <f>IF(原始資料!AI346="","",IF(反向題設定!$C$38="是",反向題設定!$B$2+1-原始資料!AI346,原始資料!AI346))</f>
        <v/>
      </c>
      <c r="AJ346">
        <f>IF(原始資料!AJ346="","",IF(反向題設定!$C$39="是",反向題設定!$B$2+1-原始資料!AJ346,原始資料!AJ346))</f>
        <v/>
      </c>
      <c r="AK346">
        <f>IF(原始資料!AK346="","",IF(反向題設定!$C$40="是",反向題設定!$B$2+1-原始資料!AK346,原始資料!AK346))</f>
        <v/>
      </c>
      <c r="AL346">
        <f>IF(原始資料!AL346="","",IF(反向題設定!$C$41="是",反向題設定!$B$2+1-原始資料!AL346,原始資料!AL346))</f>
        <v/>
      </c>
      <c r="AM346">
        <f>IF(原始資料!AM346="","",IF(反向題設定!$C$42="是",反向題設定!$B$2+1-原始資料!AM346,原始資料!AM346))</f>
        <v/>
      </c>
      <c r="AN346">
        <f>IF(原始資料!AN346="","",IF(反向題設定!$C$43="是",反向題設定!$B$2+1-原始資料!AN346,原始資料!AN346))</f>
        <v/>
      </c>
      <c r="AO346">
        <f>IF(原始資料!AO346="","",IF(反向題設定!$C$44="是",反向題設定!$B$2+1-原始資料!AO346,原始資料!AO346))</f>
        <v/>
      </c>
      <c r="AP346">
        <f>IF(COUNT(B346:AO346)=0,"",SUM(B346:AO346))</f>
        <v/>
      </c>
      <c r="AQ346">
        <f>IF(AP346="","",IF(AP346&gt;=項目分析!$C$5,"高",IF(AP346&lt;=項目分析!$C$6,"低","")))</f>
        <v/>
      </c>
    </row>
    <row r="347">
      <c r="A347">
        <f>IF(原始資料!A347="","",原始資料!A347)</f>
        <v/>
      </c>
      <c r="B347">
        <f>IF(原始資料!B347="","",IF(反向題設定!$C$5="是",反向題設定!$B$2+1-原始資料!B347,原始資料!B347))</f>
        <v/>
      </c>
      <c r="C347">
        <f>IF(原始資料!C347="","",IF(反向題設定!$C$6="是",反向題設定!$B$2+1-原始資料!C347,原始資料!C347))</f>
        <v/>
      </c>
      <c r="D347">
        <f>IF(原始資料!D347="","",IF(反向題設定!$C$7="是",反向題設定!$B$2+1-原始資料!D347,原始資料!D347))</f>
        <v/>
      </c>
      <c r="E347">
        <f>IF(原始資料!E347="","",IF(反向題設定!$C$8="是",反向題設定!$B$2+1-原始資料!E347,原始資料!E347))</f>
        <v/>
      </c>
      <c r="F347">
        <f>IF(原始資料!F347="","",IF(反向題設定!$C$9="是",反向題設定!$B$2+1-原始資料!F347,原始資料!F347))</f>
        <v/>
      </c>
      <c r="G347">
        <f>IF(原始資料!G347="","",IF(反向題設定!$C$10="是",反向題設定!$B$2+1-原始資料!G347,原始資料!G347))</f>
        <v/>
      </c>
      <c r="H347">
        <f>IF(原始資料!H347="","",IF(反向題設定!$C$11="是",反向題設定!$B$2+1-原始資料!H347,原始資料!H347))</f>
        <v/>
      </c>
      <c r="I347">
        <f>IF(原始資料!I347="","",IF(反向題設定!$C$12="是",反向題設定!$B$2+1-原始資料!I347,原始資料!I347))</f>
        <v/>
      </c>
      <c r="J347">
        <f>IF(原始資料!J347="","",IF(反向題設定!$C$13="是",反向題設定!$B$2+1-原始資料!J347,原始資料!J347))</f>
        <v/>
      </c>
      <c r="K347">
        <f>IF(原始資料!K347="","",IF(反向題設定!$C$14="是",反向題設定!$B$2+1-原始資料!K347,原始資料!K347))</f>
        <v/>
      </c>
      <c r="L347">
        <f>IF(原始資料!L347="","",IF(反向題設定!$C$15="是",反向題設定!$B$2+1-原始資料!L347,原始資料!L347))</f>
        <v/>
      </c>
      <c r="M347">
        <f>IF(原始資料!M347="","",IF(反向題設定!$C$16="是",反向題設定!$B$2+1-原始資料!M347,原始資料!M347))</f>
        <v/>
      </c>
      <c r="N347">
        <f>IF(原始資料!N347="","",IF(反向題設定!$C$17="是",反向題設定!$B$2+1-原始資料!N347,原始資料!N347))</f>
        <v/>
      </c>
      <c r="O347">
        <f>IF(原始資料!O347="","",IF(反向題設定!$C$18="是",反向題設定!$B$2+1-原始資料!O347,原始資料!O347))</f>
        <v/>
      </c>
      <c r="P347">
        <f>IF(原始資料!P347="","",IF(反向題設定!$C$19="是",反向題設定!$B$2+1-原始資料!P347,原始資料!P347))</f>
        <v/>
      </c>
      <c r="Q347">
        <f>IF(原始資料!Q347="","",IF(反向題設定!$C$20="是",反向題設定!$B$2+1-原始資料!Q347,原始資料!Q347))</f>
        <v/>
      </c>
      <c r="R347">
        <f>IF(原始資料!R347="","",IF(反向題設定!$C$21="是",反向題設定!$B$2+1-原始資料!R347,原始資料!R347))</f>
        <v/>
      </c>
      <c r="S347">
        <f>IF(原始資料!S347="","",IF(反向題設定!$C$22="是",反向題設定!$B$2+1-原始資料!S347,原始資料!S347))</f>
        <v/>
      </c>
      <c r="T347">
        <f>IF(原始資料!T347="","",IF(反向題設定!$C$23="是",反向題設定!$B$2+1-原始資料!T347,原始資料!T347))</f>
        <v/>
      </c>
      <c r="U347">
        <f>IF(原始資料!U347="","",IF(反向題設定!$C$24="是",反向題設定!$B$2+1-原始資料!U347,原始資料!U347))</f>
        <v/>
      </c>
      <c r="V347">
        <f>IF(原始資料!V347="","",IF(反向題設定!$C$25="是",反向題設定!$B$2+1-原始資料!V347,原始資料!V347))</f>
        <v/>
      </c>
      <c r="W347">
        <f>IF(原始資料!W347="","",IF(反向題設定!$C$26="是",反向題設定!$B$2+1-原始資料!W347,原始資料!W347))</f>
        <v/>
      </c>
      <c r="X347">
        <f>IF(原始資料!X347="","",IF(反向題設定!$C$27="是",反向題設定!$B$2+1-原始資料!X347,原始資料!X347))</f>
        <v/>
      </c>
      <c r="Y347">
        <f>IF(原始資料!Y347="","",IF(反向題設定!$C$28="是",反向題設定!$B$2+1-原始資料!Y347,原始資料!Y347))</f>
        <v/>
      </c>
      <c r="Z347">
        <f>IF(原始資料!Z347="","",IF(反向題設定!$C$29="是",反向題設定!$B$2+1-原始資料!Z347,原始資料!Z347))</f>
        <v/>
      </c>
      <c r="AA347">
        <f>IF(原始資料!AA347="","",IF(反向題設定!$C$30="是",反向題設定!$B$2+1-原始資料!AA347,原始資料!AA347))</f>
        <v/>
      </c>
      <c r="AB347">
        <f>IF(原始資料!AB347="","",IF(反向題設定!$C$31="是",反向題設定!$B$2+1-原始資料!AB347,原始資料!AB347))</f>
        <v/>
      </c>
      <c r="AC347">
        <f>IF(原始資料!AC347="","",IF(反向題設定!$C$32="是",反向題設定!$B$2+1-原始資料!AC347,原始資料!AC347))</f>
        <v/>
      </c>
      <c r="AD347">
        <f>IF(原始資料!AD347="","",IF(反向題設定!$C$33="是",反向題設定!$B$2+1-原始資料!AD347,原始資料!AD347))</f>
        <v/>
      </c>
      <c r="AE347">
        <f>IF(原始資料!AE347="","",IF(反向題設定!$C$34="是",反向題設定!$B$2+1-原始資料!AE347,原始資料!AE347))</f>
        <v/>
      </c>
      <c r="AF347">
        <f>IF(原始資料!AF347="","",IF(反向題設定!$C$35="是",反向題設定!$B$2+1-原始資料!AF347,原始資料!AF347))</f>
        <v/>
      </c>
      <c r="AG347">
        <f>IF(原始資料!AG347="","",IF(反向題設定!$C$36="是",反向題設定!$B$2+1-原始資料!AG347,原始資料!AG347))</f>
        <v/>
      </c>
      <c r="AH347">
        <f>IF(原始資料!AH347="","",IF(反向題設定!$C$37="是",反向題設定!$B$2+1-原始資料!AH347,原始資料!AH347))</f>
        <v/>
      </c>
      <c r="AI347">
        <f>IF(原始資料!AI347="","",IF(反向題設定!$C$38="是",反向題設定!$B$2+1-原始資料!AI347,原始資料!AI347))</f>
        <v/>
      </c>
      <c r="AJ347">
        <f>IF(原始資料!AJ347="","",IF(反向題設定!$C$39="是",反向題設定!$B$2+1-原始資料!AJ347,原始資料!AJ347))</f>
        <v/>
      </c>
      <c r="AK347">
        <f>IF(原始資料!AK347="","",IF(反向題設定!$C$40="是",反向題設定!$B$2+1-原始資料!AK347,原始資料!AK347))</f>
        <v/>
      </c>
      <c r="AL347">
        <f>IF(原始資料!AL347="","",IF(反向題設定!$C$41="是",反向題設定!$B$2+1-原始資料!AL347,原始資料!AL347))</f>
        <v/>
      </c>
      <c r="AM347">
        <f>IF(原始資料!AM347="","",IF(反向題設定!$C$42="是",反向題設定!$B$2+1-原始資料!AM347,原始資料!AM347))</f>
        <v/>
      </c>
      <c r="AN347">
        <f>IF(原始資料!AN347="","",IF(反向題設定!$C$43="是",反向題設定!$B$2+1-原始資料!AN347,原始資料!AN347))</f>
        <v/>
      </c>
      <c r="AO347">
        <f>IF(原始資料!AO347="","",IF(反向題設定!$C$44="是",反向題設定!$B$2+1-原始資料!AO347,原始資料!AO347))</f>
        <v/>
      </c>
      <c r="AP347">
        <f>IF(COUNT(B347:AO347)=0,"",SUM(B347:AO347))</f>
        <v/>
      </c>
      <c r="AQ347">
        <f>IF(AP347="","",IF(AP347&gt;=項目分析!$C$5,"高",IF(AP347&lt;=項目分析!$C$6,"低","")))</f>
        <v/>
      </c>
    </row>
    <row r="348">
      <c r="A348">
        <f>IF(原始資料!A348="","",原始資料!A348)</f>
        <v/>
      </c>
      <c r="B348">
        <f>IF(原始資料!B348="","",IF(反向題設定!$C$5="是",反向題設定!$B$2+1-原始資料!B348,原始資料!B348))</f>
        <v/>
      </c>
      <c r="C348">
        <f>IF(原始資料!C348="","",IF(反向題設定!$C$6="是",反向題設定!$B$2+1-原始資料!C348,原始資料!C348))</f>
        <v/>
      </c>
      <c r="D348">
        <f>IF(原始資料!D348="","",IF(反向題設定!$C$7="是",反向題設定!$B$2+1-原始資料!D348,原始資料!D348))</f>
        <v/>
      </c>
      <c r="E348">
        <f>IF(原始資料!E348="","",IF(反向題設定!$C$8="是",反向題設定!$B$2+1-原始資料!E348,原始資料!E348))</f>
        <v/>
      </c>
      <c r="F348">
        <f>IF(原始資料!F348="","",IF(反向題設定!$C$9="是",反向題設定!$B$2+1-原始資料!F348,原始資料!F348))</f>
        <v/>
      </c>
      <c r="G348">
        <f>IF(原始資料!G348="","",IF(反向題設定!$C$10="是",反向題設定!$B$2+1-原始資料!G348,原始資料!G348))</f>
        <v/>
      </c>
      <c r="H348">
        <f>IF(原始資料!H348="","",IF(反向題設定!$C$11="是",反向題設定!$B$2+1-原始資料!H348,原始資料!H348))</f>
        <v/>
      </c>
      <c r="I348">
        <f>IF(原始資料!I348="","",IF(反向題設定!$C$12="是",反向題設定!$B$2+1-原始資料!I348,原始資料!I348))</f>
        <v/>
      </c>
      <c r="J348">
        <f>IF(原始資料!J348="","",IF(反向題設定!$C$13="是",反向題設定!$B$2+1-原始資料!J348,原始資料!J348))</f>
        <v/>
      </c>
      <c r="K348">
        <f>IF(原始資料!K348="","",IF(反向題設定!$C$14="是",反向題設定!$B$2+1-原始資料!K348,原始資料!K348))</f>
        <v/>
      </c>
      <c r="L348">
        <f>IF(原始資料!L348="","",IF(反向題設定!$C$15="是",反向題設定!$B$2+1-原始資料!L348,原始資料!L348))</f>
        <v/>
      </c>
      <c r="M348">
        <f>IF(原始資料!M348="","",IF(反向題設定!$C$16="是",反向題設定!$B$2+1-原始資料!M348,原始資料!M348))</f>
        <v/>
      </c>
      <c r="N348">
        <f>IF(原始資料!N348="","",IF(反向題設定!$C$17="是",反向題設定!$B$2+1-原始資料!N348,原始資料!N348))</f>
        <v/>
      </c>
      <c r="O348">
        <f>IF(原始資料!O348="","",IF(反向題設定!$C$18="是",反向題設定!$B$2+1-原始資料!O348,原始資料!O348))</f>
        <v/>
      </c>
      <c r="P348">
        <f>IF(原始資料!P348="","",IF(反向題設定!$C$19="是",反向題設定!$B$2+1-原始資料!P348,原始資料!P348))</f>
        <v/>
      </c>
      <c r="Q348">
        <f>IF(原始資料!Q348="","",IF(反向題設定!$C$20="是",反向題設定!$B$2+1-原始資料!Q348,原始資料!Q348))</f>
        <v/>
      </c>
      <c r="R348">
        <f>IF(原始資料!R348="","",IF(反向題設定!$C$21="是",反向題設定!$B$2+1-原始資料!R348,原始資料!R348))</f>
        <v/>
      </c>
      <c r="S348">
        <f>IF(原始資料!S348="","",IF(反向題設定!$C$22="是",反向題設定!$B$2+1-原始資料!S348,原始資料!S348))</f>
        <v/>
      </c>
      <c r="T348">
        <f>IF(原始資料!T348="","",IF(反向題設定!$C$23="是",反向題設定!$B$2+1-原始資料!T348,原始資料!T348))</f>
        <v/>
      </c>
      <c r="U348">
        <f>IF(原始資料!U348="","",IF(反向題設定!$C$24="是",反向題設定!$B$2+1-原始資料!U348,原始資料!U348))</f>
        <v/>
      </c>
      <c r="V348">
        <f>IF(原始資料!V348="","",IF(反向題設定!$C$25="是",反向題設定!$B$2+1-原始資料!V348,原始資料!V348))</f>
        <v/>
      </c>
      <c r="W348">
        <f>IF(原始資料!W348="","",IF(反向題設定!$C$26="是",反向題設定!$B$2+1-原始資料!W348,原始資料!W348))</f>
        <v/>
      </c>
      <c r="X348">
        <f>IF(原始資料!X348="","",IF(反向題設定!$C$27="是",反向題設定!$B$2+1-原始資料!X348,原始資料!X348))</f>
        <v/>
      </c>
      <c r="Y348">
        <f>IF(原始資料!Y348="","",IF(反向題設定!$C$28="是",反向題設定!$B$2+1-原始資料!Y348,原始資料!Y348))</f>
        <v/>
      </c>
      <c r="Z348">
        <f>IF(原始資料!Z348="","",IF(反向題設定!$C$29="是",反向題設定!$B$2+1-原始資料!Z348,原始資料!Z348))</f>
        <v/>
      </c>
      <c r="AA348">
        <f>IF(原始資料!AA348="","",IF(反向題設定!$C$30="是",反向題設定!$B$2+1-原始資料!AA348,原始資料!AA348))</f>
        <v/>
      </c>
      <c r="AB348">
        <f>IF(原始資料!AB348="","",IF(反向題設定!$C$31="是",反向題設定!$B$2+1-原始資料!AB348,原始資料!AB348))</f>
        <v/>
      </c>
      <c r="AC348">
        <f>IF(原始資料!AC348="","",IF(反向題設定!$C$32="是",反向題設定!$B$2+1-原始資料!AC348,原始資料!AC348))</f>
        <v/>
      </c>
      <c r="AD348">
        <f>IF(原始資料!AD348="","",IF(反向題設定!$C$33="是",反向題設定!$B$2+1-原始資料!AD348,原始資料!AD348))</f>
        <v/>
      </c>
      <c r="AE348">
        <f>IF(原始資料!AE348="","",IF(反向題設定!$C$34="是",反向題設定!$B$2+1-原始資料!AE348,原始資料!AE348))</f>
        <v/>
      </c>
      <c r="AF348">
        <f>IF(原始資料!AF348="","",IF(反向題設定!$C$35="是",反向題設定!$B$2+1-原始資料!AF348,原始資料!AF348))</f>
        <v/>
      </c>
      <c r="AG348">
        <f>IF(原始資料!AG348="","",IF(反向題設定!$C$36="是",反向題設定!$B$2+1-原始資料!AG348,原始資料!AG348))</f>
        <v/>
      </c>
      <c r="AH348">
        <f>IF(原始資料!AH348="","",IF(反向題設定!$C$37="是",反向題設定!$B$2+1-原始資料!AH348,原始資料!AH348))</f>
        <v/>
      </c>
      <c r="AI348">
        <f>IF(原始資料!AI348="","",IF(反向題設定!$C$38="是",反向題設定!$B$2+1-原始資料!AI348,原始資料!AI348))</f>
        <v/>
      </c>
      <c r="AJ348">
        <f>IF(原始資料!AJ348="","",IF(反向題設定!$C$39="是",反向題設定!$B$2+1-原始資料!AJ348,原始資料!AJ348))</f>
        <v/>
      </c>
      <c r="AK348">
        <f>IF(原始資料!AK348="","",IF(反向題設定!$C$40="是",反向題設定!$B$2+1-原始資料!AK348,原始資料!AK348))</f>
        <v/>
      </c>
      <c r="AL348">
        <f>IF(原始資料!AL348="","",IF(反向題設定!$C$41="是",反向題設定!$B$2+1-原始資料!AL348,原始資料!AL348))</f>
        <v/>
      </c>
      <c r="AM348">
        <f>IF(原始資料!AM348="","",IF(反向題設定!$C$42="是",反向題設定!$B$2+1-原始資料!AM348,原始資料!AM348))</f>
        <v/>
      </c>
      <c r="AN348">
        <f>IF(原始資料!AN348="","",IF(反向題設定!$C$43="是",反向題設定!$B$2+1-原始資料!AN348,原始資料!AN348))</f>
        <v/>
      </c>
      <c r="AO348">
        <f>IF(原始資料!AO348="","",IF(反向題設定!$C$44="是",反向題設定!$B$2+1-原始資料!AO348,原始資料!AO348))</f>
        <v/>
      </c>
      <c r="AP348">
        <f>IF(COUNT(B348:AO348)=0,"",SUM(B348:AO348))</f>
        <v/>
      </c>
      <c r="AQ348">
        <f>IF(AP348="","",IF(AP348&gt;=項目分析!$C$5,"高",IF(AP348&lt;=項目分析!$C$6,"低","")))</f>
        <v/>
      </c>
    </row>
    <row r="349">
      <c r="A349">
        <f>IF(原始資料!A349="","",原始資料!A349)</f>
        <v/>
      </c>
      <c r="B349">
        <f>IF(原始資料!B349="","",IF(反向題設定!$C$5="是",反向題設定!$B$2+1-原始資料!B349,原始資料!B349))</f>
        <v/>
      </c>
      <c r="C349">
        <f>IF(原始資料!C349="","",IF(反向題設定!$C$6="是",反向題設定!$B$2+1-原始資料!C349,原始資料!C349))</f>
        <v/>
      </c>
      <c r="D349">
        <f>IF(原始資料!D349="","",IF(反向題設定!$C$7="是",反向題設定!$B$2+1-原始資料!D349,原始資料!D349))</f>
        <v/>
      </c>
      <c r="E349">
        <f>IF(原始資料!E349="","",IF(反向題設定!$C$8="是",反向題設定!$B$2+1-原始資料!E349,原始資料!E349))</f>
        <v/>
      </c>
      <c r="F349">
        <f>IF(原始資料!F349="","",IF(反向題設定!$C$9="是",反向題設定!$B$2+1-原始資料!F349,原始資料!F349))</f>
        <v/>
      </c>
      <c r="G349">
        <f>IF(原始資料!G349="","",IF(反向題設定!$C$10="是",反向題設定!$B$2+1-原始資料!G349,原始資料!G349))</f>
        <v/>
      </c>
      <c r="H349">
        <f>IF(原始資料!H349="","",IF(反向題設定!$C$11="是",反向題設定!$B$2+1-原始資料!H349,原始資料!H349))</f>
        <v/>
      </c>
      <c r="I349">
        <f>IF(原始資料!I349="","",IF(反向題設定!$C$12="是",反向題設定!$B$2+1-原始資料!I349,原始資料!I349))</f>
        <v/>
      </c>
      <c r="J349">
        <f>IF(原始資料!J349="","",IF(反向題設定!$C$13="是",反向題設定!$B$2+1-原始資料!J349,原始資料!J349))</f>
        <v/>
      </c>
      <c r="K349">
        <f>IF(原始資料!K349="","",IF(反向題設定!$C$14="是",反向題設定!$B$2+1-原始資料!K349,原始資料!K349))</f>
        <v/>
      </c>
      <c r="L349">
        <f>IF(原始資料!L349="","",IF(反向題設定!$C$15="是",反向題設定!$B$2+1-原始資料!L349,原始資料!L349))</f>
        <v/>
      </c>
      <c r="M349">
        <f>IF(原始資料!M349="","",IF(反向題設定!$C$16="是",反向題設定!$B$2+1-原始資料!M349,原始資料!M349))</f>
        <v/>
      </c>
      <c r="N349">
        <f>IF(原始資料!N349="","",IF(反向題設定!$C$17="是",反向題設定!$B$2+1-原始資料!N349,原始資料!N349))</f>
        <v/>
      </c>
      <c r="O349">
        <f>IF(原始資料!O349="","",IF(反向題設定!$C$18="是",反向題設定!$B$2+1-原始資料!O349,原始資料!O349))</f>
        <v/>
      </c>
      <c r="P349">
        <f>IF(原始資料!P349="","",IF(反向題設定!$C$19="是",反向題設定!$B$2+1-原始資料!P349,原始資料!P349))</f>
        <v/>
      </c>
      <c r="Q349">
        <f>IF(原始資料!Q349="","",IF(反向題設定!$C$20="是",反向題設定!$B$2+1-原始資料!Q349,原始資料!Q349))</f>
        <v/>
      </c>
      <c r="R349">
        <f>IF(原始資料!R349="","",IF(反向題設定!$C$21="是",反向題設定!$B$2+1-原始資料!R349,原始資料!R349))</f>
        <v/>
      </c>
      <c r="S349">
        <f>IF(原始資料!S349="","",IF(反向題設定!$C$22="是",反向題設定!$B$2+1-原始資料!S349,原始資料!S349))</f>
        <v/>
      </c>
      <c r="T349">
        <f>IF(原始資料!T349="","",IF(反向題設定!$C$23="是",反向題設定!$B$2+1-原始資料!T349,原始資料!T349))</f>
        <v/>
      </c>
      <c r="U349">
        <f>IF(原始資料!U349="","",IF(反向題設定!$C$24="是",反向題設定!$B$2+1-原始資料!U349,原始資料!U349))</f>
        <v/>
      </c>
      <c r="V349">
        <f>IF(原始資料!V349="","",IF(反向題設定!$C$25="是",反向題設定!$B$2+1-原始資料!V349,原始資料!V349))</f>
        <v/>
      </c>
      <c r="W349">
        <f>IF(原始資料!W349="","",IF(反向題設定!$C$26="是",反向題設定!$B$2+1-原始資料!W349,原始資料!W349))</f>
        <v/>
      </c>
      <c r="X349">
        <f>IF(原始資料!X349="","",IF(反向題設定!$C$27="是",反向題設定!$B$2+1-原始資料!X349,原始資料!X349))</f>
        <v/>
      </c>
      <c r="Y349">
        <f>IF(原始資料!Y349="","",IF(反向題設定!$C$28="是",反向題設定!$B$2+1-原始資料!Y349,原始資料!Y349))</f>
        <v/>
      </c>
      <c r="Z349">
        <f>IF(原始資料!Z349="","",IF(反向題設定!$C$29="是",反向題設定!$B$2+1-原始資料!Z349,原始資料!Z349))</f>
        <v/>
      </c>
      <c r="AA349">
        <f>IF(原始資料!AA349="","",IF(反向題設定!$C$30="是",反向題設定!$B$2+1-原始資料!AA349,原始資料!AA349))</f>
        <v/>
      </c>
      <c r="AB349">
        <f>IF(原始資料!AB349="","",IF(反向題設定!$C$31="是",反向題設定!$B$2+1-原始資料!AB349,原始資料!AB349))</f>
        <v/>
      </c>
      <c r="AC349">
        <f>IF(原始資料!AC349="","",IF(反向題設定!$C$32="是",反向題設定!$B$2+1-原始資料!AC349,原始資料!AC349))</f>
        <v/>
      </c>
      <c r="AD349">
        <f>IF(原始資料!AD349="","",IF(反向題設定!$C$33="是",反向題設定!$B$2+1-原始資料!AD349,原始資料!AD349))</f>
        <v/>
      </c>
      <c r="AE349">
        <f>IF(原始資料!AE349="","",IF(反向題設定!$C$34="是",反向題設定!$B$2+1-原始資料!AE349,原始資料!AE349))</f>
        <v/>
      </c>
      <c r="AF349">
        <f>IF(原始資料!AF349="","",IF(反向題設定!$C$35="是",反向題設定!$B$2+1-原始資料!AF349,原始資料!AF349))</f>
        <v/>
      </c>
      <c r="AG349">
        <f>IF(原始資料!AG349="","",IF(反向題設定!$C$36="是",反向題設定!$B$2+1-原始資料!AG349,原始資料!AG349))</f>
        <v/>
      </c>
      <c r="AH349">
        <f>IF(原始資料!AH349="","",IF(反向題設定!$C$37="是",反向題設定!$B$2+1-原始資料!AH349,原始資料!AH349))</f>
        <v/>
      </c>
      <c r="AI349">
        <f>IF(原始資料!AI349="","",IF(反向題設定!$C$38="是",反向題設定!$B$2+1-原始資料!AI349,原始資料!AI349))</f>
        <v/>
      </c>
      <c r="AJ349">
        <f>IF(原始資料!AJ349="","",IF(反向題設定!$C$39="是",反向題設定!$B$2+1-原始資料!AJ349,原始資料!AJ349))</f>
        <v/>
      </c>
      <c r="AK349">
        <f>IF(原始資料!AK349="","",IF(反向題設定!$C$40="是",反向題設定!$B$2+1-原始資料!AK349,原始資料!AK349))</f>
        <v/>
      </c>
      <c r="AL349">
        <f>IF(原始資料!AL349="","",IF(反向題設定!$C$41="是",反向題設定!$B$2+1-原始資料!AL349,原始資料!AL349))</f>
        <v/>
      </c>
      <c r="AM349">
        <f>IF(原始資料!AM349="","",IF(反向題設定!$C$42="是",反向題設定!$B$2+1-原始資料!AM349,原始資料!AM349))</f>
        <v/>
      </c>
      <c r="AN349">
        <f>IF(原始資料!AN349="","",IF(反向題設定!$C$43="是",反向題設定!$B$2+1-原始資料!AN349,原始資料!AN349))</f>
        <v/>
      </c>
      <c r="AO349">
        <f>IF(原始資料!AO349="","",IF(反向題設定!$C$44="是",反向題設定!$B$2+1-原始資料!AO349,原始資料!AO349))</f>
        <v/>
      </c>
      <c r="AP349">
        <f>IF(COUNT(B349:AO349)=0,"",SUM(B349:AO349))</f>
        <v/>
      </c>
      <c r="AQ349">
        <f>IF(AP349="","",IF(AP349&gt;=項目分析!$C$5,"高",IF(AP349&lt;=項目分析!$C$6,"低","")))</f>
        <v/>
      </c>
    </row>
    <row r="350">
      <c r="A350">
        <f>IF(原始資料!A350="","",原始資料!A350)</f>
        <v/>
      </c>
      <c r="B350">
        <f>IF(原始資料!B350="","",IF(反向題設定!$C$5="是",反向題設定!$B$2+1-原始資料!B350,原始資料!B350))</f>
        <v/>
      </c>
      <c r="C350">
        <f>IF(原始資料!C350="","",IF(反向題設定!$C$6="是",反向題設定!$B$2+1-原始資料!C350,原始資料!C350))</f>
        <v/>
      </c>
      <c r="D350">
        <f>IF(原始資料!D350="","",IF(反向題設定!$C$7="是",反向題設定!$B$2+1-原始資料!D350,原始資料!D350))</f>
        <v/>
      </c>
      <c r="E350">
        <f>IF(原始資料!E350="","",IF(反向題設定!$C$8="是",反向題設定!$B$2+1-原始資料!E350,原始資料!E350))</f>
        <v/>
      </c>
      <c r="F350">
        <f>IF(原始資料!F350="","",IF(反向題設定!$C$9="是",反向題設定!$B$2+1-原始資料!F350,原始資料!F350))</f>
        <v/>
      </c>
      <c r="G350">
        <f>IF(原始資料!G350="","",IF(反向題設定!$C$10="是",反向題設定!$B$2+1-原始資料!G350,原始資料!G350))</f>
        <v/>
      </c>
      <c r="H350">
        <f>IF(原始資料!H350="","",IF(反向題設定!$C$11="是",反向題設定!$B$2+1-原始資料!H350,原始資料!H350))</f>
        <v/>
      </c>
      <c r="I350">
        <f>IF(原始資料!I350="","",IF(反向題設定!$C$12="是",反向題設定!$B$2+1-原始資料!I350,原始資料!I350))</f>
        <v/>
      </c>
      <c r="J350">
        <f>IF(原始資料!J350="","",IF(反向題設定!$C$13="是",反向題設定!$B$2+1-原始資料!J350,原始資料!J350))</f>
        <v/>
      </c>
      <c r="K350">
        <f>IF(原始資料!K350="","",IF(反向題設定!$C$14="是",反向題設定!$B$2+1-原始資料!K350,原始資料!K350))</f>
        <v/>
      </c>
      <c r="L350">
        <f>IF(原始資料!L350="","",IF(反向題設定!$C$15="是",反向題設定!$B$2+1-原始資料!L350,原始資料!L350))</f>
        <v/>
      </c>
      <c r="M350">
        <f>IF(原始資料!M350="","",IF(反向題設定!$C$16="是",反向題設定!$B$2+1-原始資料!M350,原始資料!M350))</f>
        <v/>
      </c>
      <c r="N350">
        <f>IF(原始資料!N350="","",IF(反向題設定!$C$17="是",反向題設定!$B$2+1-原始資料!N350,原始資料!N350))</f>
        <v/>
      </c>
      <c r="O350">
        <f>IF(原始資料!O350="","",IF(反向題設定!$C$18="是",反向題設定!$B$2+1-原始資料!O350,原始資料!O350))</f>
        <v/>
      </c>
      <c r="P350">
        <f>IF(原始資料!P350="","",IF(反向題設定!$C$19="是",反向題設定!$B$2+1-原始資料!P350,原始資料!P350))</f>
        <v/>
      </c>
      <c r="Q350">
        <f>IF(原始資料!Q350="","",IF(反向題設定!$C$20="是",反向題設定!$B$2+1-原始資料!Q350,原始資料!Q350))</f>
        <v/>
      </c>
      <c r="R350">
        <f>IF(原始資料!R350="","",IF(反向題設定!$C$21="是",反向題設定!$B$2+1-原始資料!R350,原始資料!R350))</f>
        <v/>
      </c>
      <c r="S350">
        <f>IF(原始資料!S350="","",IF(反向題設定!$C$22="是",反向題設定!$B$2+1-原始資料!S350,原始資料!S350))</f>
        <v/>
      </c>
      <c r="T350">
        <f>IF(原始資料!T350="","",IF(反向題設定!$C$23="是",反向題設定!$B$2+1-原始資料!T350,原始資料!T350))</f>
        <v/>
      </c>
      <c r="U350">
        <f>IF(原始資料!U350="","",IF(反向題設定!$C$24="是",反向題設定!$B$2+1-原始資料!U350,原始資料!U350))</f>
        <v/>
      </c>
      <c r="V350">
        <f>IF(原始資料!V350="","",IF(反向題設定!$C$25="是",反向題設定!$B$2+1-原始資料!V350,原始資料!V350))</f>
        <v/>
      </c>
      <c r="W350">
        <f>IF(原始資料!W350="","",IF(反向題設定!$C$26="是",反向題設定!$B$2+1-原始資料!W350,原始資料!W350))</f>
        <v/>
      </c>
      <c r="X350">
        <f>IF(原始資料!X350="","",IF(反向題設定!$C$27="是",反向題設定!$B$2+1-原始資料!X350,原始資料!X350))</f>
        <v/>
      </c>
      <c r="Y350">
        <f>IF(原始資料!Y350="","",IF(反向題設定!$C$28="是",反向題設定!$B$2+1-原始資料!Y350,原始資料!Y350))</f>
        <v/>
      </c>
      <c r="Z350">
        <f>IF(原始資料!Z350="","",IF(反向題設定!$C$29="是",反向題設定!$B$2+1-原始資料!Z350,原始資料!Z350))</f>
        <v/>
      </c>
      <c r="AA350">
        <f>IF(原始資料!AA350="","",IF(反向題設定!$C$30="是",反向題設定!$B$2+1-原始資料!AA350,原始資料!AA350))</f>
        <v/>
      </c>
      <c r="AB350">
        <f>IF(原始資料!AB350="","",IF(反向題設定!$C$31="是",反向題設定!$B$2+1-原始資料!AB350,原始資料!AB350))</f>
        <v/>
      </c>
      <c r="AC350">
        <f>IF(原始資料!AC350="","",IF(反向題設定!$C$32="是",反向題設定!$B$2+1-原始資料!AC350,原始資料!AC350))</f>
        <v/>
      </c>
      <c r="AD350">
        <f>IF(原始資料!AD350="","",IF(反向題設定!$C$33="是",反向題設定!$B$2+1-原始資料!AD350,原始資料!AD350))</f>
        <v/>
      </c>
      <c r="AE350">
        <f>IF(原始資料!AE350="","",IF(反向題設定!$C$34="是",反向題設定!$B$2+1-原始資料!AE350,原始資料!AE350))</f>
        <v/>
      </c>
      <c r="AF350">
        <f>IF(原始資料!AF350="","",IF(反向題設定!$C$35="是",反向題設定!$B$2+1-原始資料!AF350,原始資料!AF350))</f>
        <v/>
      </c>
      <c r="AG350">
        <f>IF(原始資料!AG350="","",IF(反向題設定!$C$36="是",反向題設定!$B$2+1-原始資料!AG350,原始資料!AG350))</f>
        <v/>
      </c>
      <c r="AH350">
        <f>IF(原始資料!AH350="","",IF(反向題設定!$C$37="是",反向題設定!$B$2+1-原始資料!AH350,原始資料!AH350))</f>
        <v/>
      </c>
      <c r="AI350">
        <f>IF(原始資料!AI350="","",IF(反向題設定!$C$38="是",反向題設定!$B$2+1-原始資料!AI350,原始資料!AI350))</f>
        <v/>
      </c>
      <c r="AJ350">
        <f>IF(原始資料!AJ350="","",IF(反向題設定!$C$39="是",反向題設定!$B$2+1-原始資料!AJ350,原始資料!AJ350))</f>
        <v/>
      </c>
      <c r="AK350">
        <f>IF(原始資料!AK350="","",IF(反向題設定!$C$40="是",反向題設定!$B$2+1-原始資料!AK350,原始資料!AK350))</f>
        <v/>
      </c>
      <c r="AL350">
        <f>IF(原始資料!AL350="","",IF(反向題設定!$C$41="是",反向題設定!$B$2+1-原始資料!AL350,原始資料!AL350))</f>
        <v/>
      </c>
      <c r="AM350">
        <f>IF(原始資料!AM350="","",IF(反向題設定!$C$42="是",反向題設定!$B$2+1-原始資料!AM350,原始資料!AM350))</f>
        <v/>
      </c>
      <c r="AN350">
        <f>IF(原始資料!AN350="","",IF(反向題設定!$C$43="是",反向題設定!$B$2+1-原始資料!AN350,原始資料!AN350))</f>
        <v/>
      </c>
      <c r="AO350">
        <f>IF(原始資料!AO350="","",IF(反向題設定!$C$44="是",反向題設定!$B$2+1-原始資料!AO350,原始資料!AO350))</f>
        <v/>
      </c>
      <c r="AP350">
        <f>IF(COUNT(B350:AO350)=0,"",SUM(B350:AO350))</f>
        <v/>
      </c>
      <c r="AQ350">
        <f>IF(AP350="","",IF(AP350&gt;=項目分析!$C$5,"高",IF(AP350&lt;=項目分析!$C$6,"低","")))</f>
        <v/>
      </c>
    </row>
    <row r="351">
      <c r="A351">
        <f>IF(原始資料!A351="","",原始資料!A351)</f>
        <v/>
      </c>
      <c r="B351">
        <f>IF(原始資料!B351="","",IF(反向題設定!$C$5="是",反向題設定!$B$2+1-原始資料!B351,原始資料!B351))</f>
        <v/>
      </c>
      <c r="C351">
        <f>IF(原始資料!C351="","",IF(反向題設定!$C$6="是",反向題設定!$B$2+1-原始資料!C351,原始資料!C351))</f>
        <v/>
      </c>
      <c r="D351">
        <f>IF(原始資料!D351="","",IF(反向題設定!$C$7="是",反向題設定!$B$2+1-原始資料!D351,原始資料!D351))</f>
        <v/>
      </c>
      <c r="E351">
        <f>IF(原始資料!E351="","",IF(反向題設定!$C$8="是",反向題設定!$B$2+1-原始資料!E351,原始資料!E351))</f>
        <v/>
      </c>
      <c r="F351">
        <f>IF(原始資料!F351="","",IF(反向題設定!$C$9="是",反向題設定!$B$2+1-原始資料!F351,原始資料!F351))</f>
        <v/>
      </c>
      <c r="G351">
        <f>IF(原始資料!G351="","",IF(反向題設定!$C$10="是",反向題設定!$B$2+1-原始資料!G351,原始資料!G351))</f>
        <v/>
      </c>
      <c r="H351">
        <f>IF(原始資料!H351="","",IF(反向題設定!$C$11="是",反向題設定!$B$2+1-原始資料!H351,原始資料!H351))</f>
        <v/>
      </c>
      <c r="I351">
        <f>IF(原始資料!I351="","",IF(反向題設定!$C$12="是",反向題設定!$B$2+1-原始資料!I351,原始資料!I351))</f>
        <v/>
      </c>
      <c r="J351">
        <f>IF(原始資料!J351="","",IF(反向題設定!$C$13="是",反向題設定!$B$2+1-原始資料!J351,原始資料!J351))</f>
        <v/>
      </c>
      <c r="K351">
        <f>IF(原始資料!K351="","",IF(反向題設定!$C$14="是",反向題設定!$B$2+1-原始資料!K351,原始資料!K351))</f>
        <v/>
      </c>
      <c r="L351">
        <f>IF(原始資料!L351="","",IF(反向題設定!$C$15="是",反向題設定!$B$2+1-原始資料!L351,原始資料!L351))</f>
        <v/>
      </c>
      <c r="M351">
        <f>IF(原始資料!M351="","",IF(反向題設定!$C$16="是",反向題設定!$B$2+1-原始資料!M351,原始資料!M351))</f>
        <v/>
      </c>
      <c r="N351">
        <f>IF(原始資料!N351="","",IF(反向題設定!$C$17="是",反向題設定!$B$2+1-原始資料!N351,原始資料!N351))</f>
        <v/>
      </c>
      <c r="O351">
        <f>IF(原始資料!O351="","",IF(反向題設定!$C$18="是",反向題設定!$B$2+1-原始資料!O351,原始資料!O351))</f>
        <v/>
      </c>
      <c r="P351">
        <f>IF(原始資料!P351="","",IF(反向題設定!$C$19="是",反向題設定!$B$2+1-原始資料!P351,原始資料!P351))</f>
        <v/>
      </c>
      <c r="Q351">
        <f>IF(原始資料!Q351="","",IF(反向題設定!$C$20="是",反向題設定!$B$2+1-原始資料!Q351,原始資料!Q351))</f>
        <v/>
      </c>
      <c r="R351">
        <f>IF(原始資料!R351="","",IF(反向題設定!$C$21="是",反向題設定!$B$2+1-原始資料!R351,原始資料!R351))</f>
        <v/>
      </c>
      <c r="S351">
        <f>IF(原始資料!S351="","",IF(反向題設定!$C$22="是",反向題設定!$B$2+1-原始資料!S351,原始資料!S351))</f>
        <v/>
      </c>
      <c r="T351">
        <f>IF(原始資料!T351="","",IF(反向題設定!$C$23="是",反向題設定!$B$2+1-原始資料!T351,原始資料!T351))</f>
        <v/>
      </c>
      <c r="U351">
        <f>IF(原始資料!U351="","",IF(反向題設定!$C$24="是",反向題設定!$B$2+1-原始資料!U351,原始資料!U351))</f>
        <v/>
      </c>
      <c r="V351">
        <f>IF(原始資料!V351="","",IF(反向題設定!$C$25="是",反向題設定!$B$2+1-原始資料!V351,原始資料!V351))</f>
        <v/>
      </c>
      <c r="W351">
        <f>IF(原始資料!W351="","",IF(反向題設定!$C$26="是",反向題設定!$B$2+1-原始資料!W351,原始資料!W351))</f>
        <v/>
      </c>
      <c r="X351">
        <f>IF(原始資料!X351="","",IF(反向題設定!$C$27="是",反向題設定!$B$2+1-原始資料!X351,原始資料!X351))</f>
        <v/>
      </c>
      <c r="Y351">
        <f>IF(原始資料!Y351="","",IF(反向題設定!$C$28="是",反向題設定!$B$2+1-原始資料!Y351,原始資料!Y351))</f>
        <v/>
      </c>
      <c r="Z351">
        <f>IF(原始資料!Z351="","",IF(反向題設定!$C$29="是",反向題設定!$B$2+1-原始資料!Z351,原始資料!Z351))</f>
        <v/>
      </c>
      <c r="AA351">
        <f>IF(原始資料!AA351="","",IF(反向題設定!$C$30="是",反向題設定!$B$2+1-原始資料!AA351,原始資料!AA351))</f>
        <v/>
      </c>
      <c r="AB351">
        <f>IF(原始資料!AB351="","",IF(反向題設定!$C$31="是",反向題設定!$B$2+1-原始資料!AB351,原始資料!AB351))</f>
        <v/>
      </c>
      <c r="AC351">
        <f>IF(原始資料!AC351="","",IF(反向題設定!$C$32="是",反向題設定!$B$2+1-原始資料!AC351,原始資料!AC351))</f>
        <v/>
      </c>
      <c r="AD351">
        <f>IF(原始資料!AD351="","",IF(反向題設定!$C$33="是",反向題設定!$B$2+1-原始資料!AD351,原始資料!AD351))</f>
        <v/>
      </c>
      <c r="AE351">
        <f>IF(原始資料!AE351="","",IF(反向題設定!$C$34="是",反向題設定!$B$2+1-原始資料!AE351,原始資料!AE351))</f>
        <v/>
      </c>
      <c r="AF351">
        <f>IF(原始資料!AF351="","",IF(反向題設定!$C$35="是",反向題設定!$B$2+1-原始資料!AF351,原始資料!AF351))</f>
        <v/>
      </c>
      <c r="AG351">
        <f>IF(原始資料!AG351="","",IF(反向題設定!$C$36="是",反向題設定!$B$2+1-原始資料!AG351,原始資料!AG351))</f>
        <v/>
      </c>
      <c r="AH351">
        <f>IF(原始資料!AH351="","",IF(反向題設定!$C$37="是",反向題設定!$B$2+1-原始資料!AH351,原始資料!AH351))</f>
        <v/>
      </c>
      <c r="AI351">
        <f>IF(原始資料!AI351="","",IF(反向題設定!$C$38="是",反向題設定!$B$2+1-原始資料!AI351,原始資料!AI351))</f>
        <v/>
      </c>
      <c r="AJ351">
        <f>IF(原始資料!AJ351="","",IF(反向題設定!$C$39="是",反向題設定!$B$2+1-原始資料!AJ351,原始資料!AJ351))</f>
        <v/>
      </c>
      <c r="AK351">
        <f>IF(原始資料!AK351="","",IF(反向題設定!$C$40="是",反向題設定!$B$2+1-原始資料!AK351,原始資料!AK351))</f>
        <v/>
      </c>
      <c r="AL351">
        <f>IF(原始資料!AL351="","",IF(反向題設定!$C$41="是",反向題設定!$B$2+1-原始資料!AL351,原始資料!AL351))</f>
        <v/>
      </c>
      <c r="AM351">
        <f>IF(原始資料!AM351="","",IF(反向題設定!$C$42="是",反向題設定!$B$2+1-原始資料!AM351,原始資料!AM351))</f>
        <v/>
      </c>
      <c r="AN351">
        <f>IF(原始資料!AN351="","",IF(反向題設定!$C$43="是",反向題設定!$B$2+1-原始資料!AN351,原始資料!AN351))</f>
        <v/>
      </c>
      <c r="AO351">
        <f>IF(原始資料!AO351="","",IF(反向題設定!$C$44="是",反向題設定!$B$2+1-原始資料!AO351,原始資料!AO351))</f>
        <v/>
      </c>
      <c r="AP351">
        <f>IF(COUNT(B351:AO351)=0,"",SUM(B351:AO351))</f>
        <v/>
      </c>
      <c r="AQ351">
        <f>IF(AP351="","",IF(AP351&gt;=項目分析!$C$5,"高",IF(AP351&lt;=項目分析!$C$6,"低","")))</f>
        <v/>
      </c>
    </row>
    <row r="352">
      <c r="A352">
        <f>IF(原始資料!A352="","",原始資料!A352)</f>
        <v/>
      </c>
      <c r="B352">
        <f>IF(原始資料!B352="","",IF(反向題設定!$C$5="是",反向題設定!$B$2+1-原始資料!B352,原始資料!B352))</f>
        <v/>
      </c>
      <c r="C352">
        <f>IF(原始資料!C352="","",IF(反向題設定!$C$6="是",反向題設定!$B$2+1-原始資料!C352,原始資料!C352))</f>
        <v/>
      </c>
      <c r="D352">
        <f>IF(原始資料!D352="","",IF(反向題設定!$C$7="是",反向題設定!$B$2+1-原始資料!D352,原始資料!D352))</f>
        <v/>
      </c>
      <c r="E352">
        <f>IF(原始資料!E352="","",IF(反向題設定!$C$8="是",反向題設定!$B$2+1-原始資料!E352,原始資料!E352))</f>
        <v/>
      </c>
      <c r="F352">
        <f>IF(原始資料!F352="","",IF(反向題設定!$C$9="是",反向題設定!$B$2+1-原始資料!F352,原始資料!F352))</f>
        <v/>
      </c>
      <c r="G352">
        <f>IF(原始資料!G352="","",IF(反向題設定!$C$10="是",反向題設定!$B$2+1-原始資料!G352,原始資料!G352))</f>
        <v/>
      </c>
      <c r="H352">
        <f>IF(原始資料!H352="","",IF(反向題設定!$C$11="是",反向題設定!$B$2+1-原始資料!H352,原始資料!H352))</f>
        <v/>
      </c>
      <c r="I352">
        <f>IF(原始資料!I352="","",IF(反向題設定!$C$12="是",反向題設定!$B$2+1-原始資料!I352,原始資料!I352))</f>
        <v/>
      </c>
      <c r="J352">
        <f>IF(原始資料!J352="","",IF(反向題設定!$C$13="是",反向題設定!$B$2+1-原始資料!J352,原始資料!J352))</f>
        <v/>
      </c>
      <c r="K352">
        <f>IF(原始資料!K352="","",IF(反向題設定!$C$14="是",反向題設定!$B$2+1-原始資料!K352,原始資料!K352))</f>
        <v/>
      </c>
      <c r="L352">
        <f>IF(原始資料!L352="","",IF(反向題設定!$C$15="是",反向題設定!$B$2+1-原始資料!L352,原始資料!L352))</f>
        <v/>
      </c>
      <c r="M352">
        <f>IF(原始資料!M352="","",IF(反向題設定!$C$16="是",反向題設定!$B$2+1-原始資料!M352,原始資料!M352))</f>
        <v/>
      </c>
      <c r="N352">
        <f>IF(原始資料!N352="","",IF(反向題設定!$C$17="是",反向題設定!$B$2+1-原始資料!N352,原始資料!N352))</f>
        <v/>
      </c>
      <c r="O352">
        <f>IF(原始資料!O352="","",IF(反向題設定!$C$18="是",反向題設定!$B$2+1-原始資料!O352,原始資料!O352))</f>
        <v/>
      </c>
      <c r="P352">
        <f>IF(原始資料!P352="","",IF(反向題設定!$C$19="是",反向題設定!$B$2+1-原始資料!P352,原始資料!P352))</f>
        <v/>
      </c>
      <c r="Q352">
        <f>IF(原始資料!Q352="","",IF(反向題設定!$C$20="是",反向題設定!$B$2+1-原始資料!Q352,原始資料!Q352))</f>
        <v/>
      </c>
      <c r="R352">
        <f>IF(原始資料!R352="","",IF(反向題設定!$C$21="是",反向題設定!$B$2+1-原始資料!R352,原始資料!R352))</f>
        <v/>
      </c>
      <c r="S352">
        <f>IF(原始資料!S352="","",IF(反向題設定!$C$22="是",反向題設定!$B$2+1-原始資料!S352,原始資料!S352))</f>
        <v/>
      </c>
      <c r="T352">
        <f>IF(原始資料!T352="","",IF(反向題設定!$C$23="是",反向題設定!$B$2+1-原始資料!T352,原始資料!T352))</f>
        <v/>
      </c>
      <c r="U352">
        <f>IF(原始資料!U352="","",IF(反向題設定!$C$24="是",反向題設定!$B$2+1-原始資料!U352,原始資料!U352))</f>
        <v/>
      </c>
      <c r="V352">
        <f>IF(原始資料!V352="","",IF(反向題設定!$C$25="是",反向題設定!$B$2+1-原始資料!V352,原始資料!V352))</f>
        <v/>
      </c>
      <c r="W352">
        <f>IF(原始資料!W352="","",IF(反向題設定!$C$26="是",反向題設定!$B$2+1-原始資料!W352,原始資料!W352))</f>
        <v/>
      </c>
      <c r="X352">
        <f>IF(原始資料!X352="","",IF(反向題設定!$C$27="是",反向題設定!$B$2+1-原始資料!X352,原始資料!X352))</f>
        <v/>
      </c>
      <c r="Y352">
        <f>IF(原始資料!Y352="","",IF(反向題設定!$C$28="是",反向題設定!$B$2+1-原始資料!Y352,原始資料!Y352))</f>
        <v/>
      </c>
      <c r="Z352">
        <f>IF(原始資料!Z352="","",IF(反向題設定!$C$29="是",反向題設定!$B$2+1-原始資料!Z352,原始資料!Z352))</f>
        <v/>
      </c>
      <c r="AA352">
        <f>IF(原始資料!AA352="","",IF(反向題設定!$C$30="是",反向題設定!$B$2+1-原始資料!AA352,原始資料!AA352))</f>
        <v/>
      </c>
      <c r="AB352">
        <f>IF(原始資料!AB352="","",IF(反向題設定!$C$31="是",反向題設定!$B$2+1-原始資料!AB352,原始資料!AB352))</f>
        <v/>
      </c>
      <c r="AC352">
        <f>IF(原始資料!AC352="","",IF(反向題設定!$C$32="是",反向題設定!$B$2+1-原始資料!AC352,原始資料!AC352))</f>
        <v/>
      </c>
      <c r="AD352">
        <f>IF(原始資料!AD352="","",IF(反向題設定!$C$33="是",反向題設定!$B$2+1-原始資料!AD352,原始資料!AD352))</f>
        <v/>
      </c>
      <c r="AE352">
        <f>IF(原始資料!AE352="","",IF(反向題設定!$C$34="是",反向題設定!$B$2+1-原始資料!AE352,原始資料!AE352))</f>
        <v/>
      </c>
      <c r="AF352">
        <f>IF(原始資料!AF352="","",IF(反向題設定!$C$35="是",反向題設定!$B$2+1-原始資料!AF352,原始資料!AF352))</f>
        <v/>
      </c>
      <c r="AG352">
        <f>IF(原始資料!AG352="","",IF(反向題設定!$C$36="是",反向題設定!$B$2+1-原始資料!AG352,原始資料!AG352))</f>
        <v/>
      </c>
      <c r="AH352">
        <f>IF(原始資料!AH352="","",IF(反向題設定!$C$37="是",反向題設定!$B$2+1-原始資料!AH352,原始資料!AH352))</f>
        <v/>
      </c>
      <c r="AI352">
        <f>IF(原始資料!AI352="","",IF(反向題設定!$C$38="是",反向題設定!$B$2+1-原始資料!AI352,原始資料!AI352))</f>
        <v/>
      </c>
      <c r="AJ352">
        <f>IF(原始資料!AJ352="","",IF(反向題設定!$C$39="是",反向題設定!$B$2+1-原始資料!AJ352,原始資料!AJ352))</f>
        <v/>
      </c>
      <c r="AK352">
        <f>IF(原始資料!AK352="","",IF(反向題設定!$C$40="是",反向題設定!$B$2+1-原始資料!AK352,原始資料!AK352))</f>
        <v/>
      </c>
      <c r="AL352">
        <f>IF(原始資料!AL352="","",IF(反向題設定!$C$41="是",反向題設定!$B$2+1-原始資料!AL352,原始資料!AL352))</f>
        <v/>
      </c>
      <c r="AM352">
        <f>IF(原始資料!AM352="","",IF(反向題設定!$C$42="是",反向題設定!$B$2+1-原始資料!AM352,原始資料!AM352))</f>
        <v/>
      </c>
      <c r="AN352">
        <f>IF(原始資料!AN352="","",IF(反向題設定!$C$43="是",反向題設定!$B$2+1-原始資料!AN352,原始資料!AN352))</f>
        <v/>
      </c>
      <c r="AO352">
        <f>IF(原始資料!AO352="","",IF(反向題設定!$C$44="是",反向題設定!$B$2+1-原始資料!AO352,原始資料!AO352))</f>
        <v/>
      </c>
      <c r="AP352">
        <f>IF(COUNT(B352:AO352)=0,"",SUM(B352:AO352))</f>
        <v/>
      </c>
      <c r="AQ352">
        <f>IF(AP352="","",IF(AP352&gt;=項目分析!$C$5,"高",IF(AP352&lt;=項目分析!$C$6,"低","")))</f>
        <v/>
      </c>
    </row>
    <row r="353">
      <c r="A353">
        <f>IF(原始資料!A353="","",原始資料!A353)</f>
        <v/>
      </c>
      <c r="B353">
        <f>IF(原始資料!B353="","",IF(反向題設定!$C$5="是",反向題設定!$B$2+1-原始資料!B353,原始資料!B353))</f>
        <v/>
      </c>
      <c r="C353">
        <f>IF(原始資料!C353="","",IF(反向題設定!$C$6="是",反向題設定!$B$2+1-原始資料!C353,原始資料!C353))</f>
        <v/>
      </c>
      <c r="D353">
        <f>IF(原始資料!D353="","",IF(反向題設定!$C$7="是",反向題設定!$B$2+1-原始資料!D353,原始資料!D353))</f>
        <v/>
      </c>
      <c r="E353">
        <f>IF(原始資料!E353="","",IF(反向題設定!$C$8="是",反向題設定!$B$2+1-原始資料!E353,原始資料!E353))</f>
        <v/>
      </c>
      <c r="F353">
        <f>IF(原始資料!F353="","",IF(反向題設定!$C$9="是",反向題設定!$B$2+1-原始資料!F353,原始資料!F353))</f>
        <v/>
      </c>
      <c r="G353">
        <f>IF(原始資料!G353="","",IF(反向題設定!$C$10="是",反向題設定!$B$2+1-原始資料!G353,原始資料!G353))</f>
        <v/>
      </c>
      <c r="H353">
        <f>IF(原始資料!H353="","",IF(反向題設定!$C$11="是",反向題設定!$B$2+1-原始資料!H353,原始資料!H353))</f>
        <v/>
      </c>
      <c r="I353">
        <f>IF(原始資料!I353="","",IF(反向題設定!$C$12="是",反向題設定!$B$2+1-原始資料!I353,原始資料!I353))</f>
        <v/>
      </c>
      <c r="J353">
        <f>IF(原始資料!J353="","",IF(反向題設定!$C$13="是",反向題設定!$B$2+1-原始資料!J353,原始資料!J353))</f>
        <v/>
      </c>
      <c r="K353">
        <f>IF(原始資料!K353="","",IF(反向題設定!$C$14="是",反向題設定!$B$2+1-原始資料!K353,原始資料!K353))</f>
        <v/>
      </c>
      <c r="L353">
        <f>IF(原始資料!L353="","",IF(反向題設定!$C$15="是",反向題設定!$B$2+1-原始資料!L353,原始資料!L353))</f>
        <v/>
      </c>
      <c r="M353">
        <f>IF(原始資料!M353="","",IF(反向題設定!$C$16="是",反向題設定!$B$2+1-原始資料!M353,原始資料!M353))</f>
        <v/>
      </c>
      <c r="N353">
        <f>IF(原始資料!N353="","",IF(反向題設定!$C$17="是",反向題設定!$B$2+1-原始資料!N353,原始資料!N353))</f>
        <v/>
      </c>
      <c r="O353">
        <f>IF(原始資料!O353="","",IF(反向題設定!$C$18="是",反向題設定!$B$2+1-原始資料!O353,原始資料!O353))</f>
        <v/>
      </c>
      <c r="P353">
        <f>IF(原始資料!P353="","",IF(反向題設定!$C$19="是",反向題設定!$B$2+1-原始資料!P353,原始資料!P353))</f>
        <v/>
      </c>
      <c r="Q353">
        <f>IF(原始資料!Q353="","",IF(反向題設定!$C$20="是",反向題設定!$B$2+1-原始資料!Q353,原始資料!Q353))</f>
        <v/>
      </c>
      <c r="R353">
        <f>IF(原始資料!R353="","",IF(反向題設定!$C$21="是",反向題設定!$B$2+1-原始資料!R353,原始資料!R353))</f>
        <v/>
      </c>
      <c r="S353">
        <f>IF(原始資料!S353="","",IF(反向題設定!$C$22="是",反向題設定!$B$2+1-原始資料!S353,原始資料!S353))</f>
        <v/>
      </c>
      <c r="T353">
        <f>IF(原始資料!T353="","",IF(反向題設定!$C$23="是",反向題設定!$B$2+1-原始資料!T353,原始資料!T353))</f>
        <v/>
      </c>
      <c r="U353">
        <f>IF(原始資料!U353="","",IF(反向題設定!$C$24="是",反向題設定!$B$2+1-原始資料!U353,原始資料!U353))</f>
        <v/>
      </c>
      <c r="V353">
        <f>IF(原始資料!V353="","",IF(反向題設定!$C$25="是",反向題設定!$B$2+1-原始資料!V353,原始資料!V353))</f>
        <v/>
      </c>
      <c r="W353">
        <f>IF(原始資料!W353="","",IF(反向題設定!$C$26="是",反向題設定!$B$2+1-原始資料!W353,原始資料!W353))</f>
        <v/>
      </c>
      <c r="X353">
        <f>IF(原始資料!X353="","",IF(反向題設定!$C$27="是",反向題設定!$B$2+1-原始資料!X353,原始資料!X353))</f>
        <v/>
      </c>
      <c r="Y353">
        <f>IF(原始資料!Y353="","",IF(反向題設定!$C$28="是",反向題設定!$B$2+1-原始資料!Y353,原始資料!Y353))</f>
        <v/>
      </c>
      <c r="Z353">
        <f>IF(原始資料!Z353="","",IF(反向題設定!$C$29="是",反向題設定!$B$2+1-原始資料!Z353,原始資料!Z353))</f>
        <v/>
      </c>
      <c r="AA353">
        <f>IF(原始資料!AA353="","",IF(反向題設定!$C$30="是",反向題設定!$B$2+1-原始資料!AA353,原始資料!AA353))</f>
        <v/>
      </c>
      <c r="AB353">
        <f>IF(原始資料!AB353="","",IF(反向題設定!$C$31="是",反向題設定!$B$2+1-原始資料!AB353,原始資料!AB353))</f>
        <v/>
      </c>
      <c r="AC353">
        <f>IF(原始資料!AC353="","",IF(反向題設定!$C$32="是",反向題設定!$B$2+1-原始資料!AC353,原始資料!AC353))</f>
        <v/>
      </c>
      <c r="AD353">
        <f>IF(原始資料!AD353="","",IF(反向題設定!$C$33="是",反向題設定!$B$2+1-原始資料!AD353,原始資料!AD353))</f>
        <v/>
      </c>
      <c r="AE353">
        <f>IF(原始資料!AE353="","",IF(反向題設定!$C$34="是",反向題設定!$B$2+1-原始資料!AE353,原始資料!AE353))</f>
        <v/>
      </c>
      <c r="AF353">
        <f>IF(原始資料!AF353="","",IF(反向題設定!$C$35="是",反向題設定!$B$2+1-原始資料!AF353,原始資料!AF353))</f>
        <v/>
      </c>
      <c r="AG353">
        <f>IF(原始資料!AG353="","",IF(反向題設定!$C$36="是",反向題設定!$B$2+1-原始資料!AG353,原始資料!AG353))</f>
        <v/>
      </c>
      <c r="AH353">
        <f>IF(原始資料!AH353="","",IF(反向題設定!$C$37="是",反向題設定!$B$2+1-原始資料!AH353,原始資料!AH353))</f>
        <v/>
      </c>
      <c r="AI353">
        <f>IF(原始資料!AI353="","",IF(反向題設定!$C$38="是",反向題設定!$B$2+1-原始資料!AI353,原始資料!AI353))</f>
        <v/>
      </c>
      <c r="AJ353">
        <f>IF(原始資料!AJ353="","",IF(反向題設定!$C$39="是",反向題設定!$B$2+1-原始資料!AJ353,原始資料!AJ353))</f>
        <v/>
      </c>
      <c r="AK353">
        <f>IF(原始資料!AK353="","",IF(反向題設定!$C$40="是",反向題設定!$B$2+1-原始資料!AK353,原始資料!AK353))</f>
        <v/>
      </c>
      <c r="AL353">
        <f>IF(原始資料!AL353="","",IF(反向題設定!$C$41="是",反向題設定!$B$2+1-原始資料!AL353,原始資料!AL353))</f>
        <v/>
      </c>
      <c r="AM353">
        <f>IF(原始資料!AM353="","",IF(反向題設定!$C$42="是",反向題設定!$B$2+1-原始資料!AM353,原始資料!AM353))</f>
        <v/>
      </c>
      <c r="AN353">
        <f>IF(原始資料!AN353="","",IF(反向題設定!$C$43="是",反向題設定!$B$2+1-原始資料!AN353,原始資料!AN353))</f>
        <v/>
      </c>
      <c r="AO353">
        <f>IF(原始資料!AO353="","",IF(反向題設定!$C$44="是",反向題設定!$B$2+1-原始資料!AO353,原始資料!AO353))</f>
        <v/>
      </c>
      <c r="AP353">
        <f>IF(COUNT(B353:AO353)=0,"",SUM(B353:AO353))</f>
        <v/>
      </c>
      <c r="AQ353">
        <f>IF(AP353="","",IF(AP353&gt;=項目分析!$C$5,"高",IF(AP353&lt;=項目分析!$C$6,"低","")))</f>
        <v/>
      </c>
    </row>
    <row r="354">
      <c r="A354">
        <f>IF(原始資料!A354="","",原始資料!A354)</f>
        <v/>
      </c>
      <c r="B354">
        <f>IF(原始資料!B354="","",IF(反向題設定!$C$5="是",反向題設定!$B$2+1-原始資料!B354,原始資料!B354))</f>
        <v/>
      </c>
      <c r="C354">
        <f>IF(原始資料!C354="","",IF(反向題設定!$C$6="是",反向題設定!$B$2+1-原始資料!C354,原始資料!C354))</f>
        <v/>
      </c>
      <c r="D354">
        <f>IF(原始資料!D354="","",IF(反向題設定!$C$7="是",反向題設定!$B$2+1-原始資料!D354,原始資料!D354))</f>
        <v/>
      </c>
      <c r="E354">
        <f>IF(原始資料!E354="","",IF(反向題設定!$C$8="是",反向題設定!$B$2+1-原始資料!E354,原始資料!E354))</f>
        <v/>
      </c>
      <c r="F354">
        <f>IF(原始資料!F354="","",IF(反向題設定!$C$9="是",反向題設定!$B$2+1-原始資料!F354,原始資料!F354))</f>
        <v/>
      </c>
      <c r="G354">
        <f>IF(原始資料!G354="","",IF(反向題設定!$C$10="是",反向題設定!$B$2+1-原始資料!G354,原始資料!G354))</f>
        <v/>
      </c>
      <c r="H354">
        <f>IF(原始資料!H354="","",IF(反向題設定!$C$11="是",反向題設定!$B$2+1-原始資料!H354,原始資料!H354))</f>
        <v/>
      </c>
      <c r="I354">
        <f>IF(原始資料!I354="","",IF(反向題設定!$C$12="是",反向題設定!$B$2+1-原始資料!I354,原始資料!I354))</f>
        <v/>
      </c>
      <c r="J354">
        <f>IF(原始資料!J354="","",IF(反向題設定!$C$13="是",反向題設定!$B$2+1-原始資料!J354,原始資料!J354))</f>
        <v/>
      </c>
      <c r="K354">
        <f>IF(原始資料!K354="","",IF(反向題設定!$C$14="是",反向題設定!$B$2+1-原始資料!K354,原始資料!K354))</f>
        <v/>
      </c>
      <c r="L354">
        <f>IF(原始資料!L354="","",IF(反向題設定!$C$15="是",反向題設定!$B$2+1-原始資料!L354,原始資料!L354))</f>
        <v/>
      </c>
      <c r="M354">
        <f>IF(原始資料!M354="","",IF(反向題設定!$C$16="是",反向題設定!$B$2+1-原始資料!M354,原始資料!M354))</f>
        <v/>
      </c>
      <c r="N354">
        <f>IF(原始資料!N354="","",IF(反向題設定!$C$17="是",反向題設定!$B$2+1-原始資料!N354,原始資料!N354))</f>
        <v/>
      </c>
      <c r="O354">
        <f>IF(原始資料!O354="","",IF(反向題設定!$C$18="是",反向題設定!$B$2+1-原始資料!O354,原始資料!O354))</f>
        <v/>
      </c>
      <c r="P354">
        <f>IF(原始資料!P354="","",IF(反向題設定!$C$19="是",反向題設定!$B$2+1-原始資料!P354,原始資料!P354))</f>
        <v/>
      </c>
      <c r="Q354">
        <f>IF(原始資料!Q354="","",IF(反向題設定!$C$20="是",反向題設定!$B$2+1-原始資料!Q354,原始資料!Q354))</f>
        <v/>
      </c>
      <c r="R354">
        <f>IF(原始資料!R354="","",IF(反向題設定!$C$21="是",反向題設定!$B$2+1-原始資料!R354,原始資料!R354))</f>
        <v/>
      </c>
      <c r="S354">
        <f>IF(原始資料!S354="","",IF(反向題設定!$C$22="是",反向題設定!$B$2+1-原始資料!S354,原始資料!S354))</f>
        <v/>
      </c>
      <c r="T354">
        <f>IF(原始資料!T354="","",IF(反向題設定!$C$23="是",反向題設定!$B$2+1-原始資料!T354,原始資料!T354))</f>
        <v/>
      </c>
      <c r="U354">
        <f>IF(原始資料!U354="","",IF(反向題設定!$C$24="是",反向題設定!$B$2+1-原始資料!U354,原始資料!U354))</f>
        <v/>
      </c>
      <c r="V354">
        <f>IF(原始資料!V354="","",IF(反向題設定!$C$25="是",反向題設定!$B$2+1-原始資料!V354,原始資料!V354))</f>
        <v/>
      </c>
      <c r="W354">
        <f>IF(原始資料!W354="","",IF(反向題設定!$C$26="是",反向題設定!$B$2+1-原始資料!W354,原始資料!W354))</f>
        <v/>
      </c>
      <c r="X354">
        <f>IF(原始資料!X354="","",IF(反向題設定!$C$27="是",反向題設定!$B$2+1-原始資料!X354,原始資料!X354))</f>
        <v/>
      </c>
      <c r="Y354">
        <f>IF(原始資料!Y354="","",IF(反向題設定!$C$28="是",反向題設定!$B$2+1-原始資料!Y354,原始資料!Y354))</f>
        <v/>
      </c>
      <c r="Z354">
        <f>IF(原始資料!Z354="","",IF(反向題設定!$C$29="是",反向題設定!$B$2+1-原始資料!Z354,原始資料!Z354))</f>
        <v/>
      </c>
      <c r="AA354">
        <f>IF(原始資料!AA354="","",IF(反向題設定!$C$30="是",反向題設定!$B$2+1-原始資料!AA354,原始資料!AA354))</f>
        <v/>
      </c>
      <c r="AB354">
        <f>IF(原始資料!AB354="","",IF(反向題設定!$C$31="是",反向題設定!$B$2+1-原始資料!AB354,原始資料!AB354))</f>
        <v/>
      </c>
      <c r="AC354">
        <f>IF(原始資料!AC354="","",IF(反向題設定!$C$32="是",反向題設定!$B$2+1-原始資料!AC354,原始資料!AC354))</f>
        <v/>
      </c>
      <c r="AD354">
        <f>IF(原始資料!AD354="","",IF(反向題設定!$C$33="是",反向題設定!$B$2+1-原始資料!AD354,原始資料!AD354))</f>
        <v/>
      </c>
      <c r="AE354">
        <f>IF(原始資料!AE354="","",IF(反向題設定!$C$34="是",反向題設定!$B$2+1-原始資料!AE354,原始資料!AE354))</f>
        <v/>
      </c>
      <c r="AF354">
        <f>IF(原始資料!AF354="","",IF(反向題設定!$C$35="是",反向題設定!$B$2+1-原始資料!AF354,原始資料!AF354))</f>
        <v/>
      </c>
      <c r="AG354">
        <f>IF(原始資料!AG354="","",IF(反向題設定!$C$36="是",反向題設定!$B$2+1-原始資料!AG354,原始資料!AG354))</f>
        <v/>
      </c>
      <c r="AH354">
        <f>IF(原始資料!AH354="","",IF(反向題設定!$C$37="是",反向題設定!$B$2+1-原始資料!AH354,原始資料!AH354))</f>
        <v/>
      </c>
      <c r="AI354">
        <f>IF(原始資料!AI354="","",IF(反向題設定!$C$38="是",反向題設定!$B$2+1-原始資料!AI354,原始資料!AI354))</f>
        <v/>
      </c>
      <c r="AJ354">
        <f>IF(原始資料!AJ354="","",IF(反向題設定!$C$39="是",反向題設定!$B$2+1-原始資料!AJ354,原始資料!AJ354))</f>
        <v/>
      </c>
      <c r="AK354">
        <f>IF(原始資料!AK354="","",IF(反向題設定!$C$40="是",反向題設定!$B$2+1-原始資料!AK354,原始資料!AK354))</f>
        <v/>
      </c>
      <c r="AL354">
        <f>IF(原始資料!AL354="","",IF(反向題設定!$C$41="是",反向題設定!$B$2+1-原始資料!AL354,原始資料!AL354))</f>
        <v/>
      </c>
      <c r="AM354">
        <f>IF(原始資料!AM354="","",IF(反向題設定!$C$42="是",反向題設定!$B$2+1-原始資料!AM354,原始資料!AM354))</f>
        <v/>
      </c>
      <c r="AN354">
        <f>IF(原始資料!AN354="","",IF(反向題設定!$C$43="是",反向題設定!$B$2+1-原始資料!AN354,原始資料!AN354))</f>
        <v/>
      </c>
      <c r="AO354">
        <f>IF(原始資料!AO354="","",IF(反向題設定!$C$44="是",反向題設定!$B$2+1-原始資料!AO354,原始資料!AO354))</f>
        <v/>
      </c>
      <c r="AP354">
        <f>IF(COUNT(B354:AO354)=0,"",SUM(B354:AO354))</f>
        <v/>
      </c>
      <c r="AQ354">
        <f>IF(AP354="","",IF(AP354&gt;=項目分析!$C$5,"高",IF(AP354&lt;=項目分析!$C$6,"低","")))</f>
        <v/>
      </c>
    </row>
    <row r="355">
      <c r="A355">
        <f>IF(原始資料!A355="","",原始資料!A355)</f>
        <v/>
      </c>
      <c r="B355">
        <f>IF(原始資料!B355="","",IF(反向題設定!$C$5="是",反向題設定!$B$2+1-原始資料!B355,原始資料!B355))</f>
        <v/>
      </c>
      <c r="C355">
        <f>IF(原始資料!C355="","",IF(反向題設定!$C$6="是",反向題設定!$B$2+1-原始資料!C355,原始資料!C355))</f>
        <v/>
      </c>
      <c r="D355">
        <f>IF(原始資料!D355="","",IF(反向題設定!$C$7="是",反向題設定!$B$2+1-原始資料!D355,原始資料!D355))</f>
        <v/>
      </c>
      <c r="E355">
        <f>IF(原始資料!E355="","",IF(反向題設定!$C$8="是",反向題設定!$B$2+1-原始資料!E355,原始資料!E355))</f>
        <v/>
      </c>
      <c r="F355">
        <f>IF(原始資料!F355="","",IF(反向題設定!$C$9="是",反向題設定!$B$2+1-原始資料!F355,原始資料!F355))</f>
        <v/>
      </c>
      <c r="G355">
        <f>IF(原始資料!G355="","",IF(反向題設定!$C$10="是",反向題設定!$B$2+1-原始資料!G355,原始資料!G355))</f>
        <v/>
      </c>
      <c r="H355">
        <f>IF(原始資料!H355="","",IF(反向題設定!$C$11="是",反向題設定!$B$2+1-原始資料!H355,原始資料!H355))</f>
        <v/>
      </c>
      <c r="I355">
        <f>IF(原始資料!I355="","",IF(反向題設定!$C$12="是",反向題設定!$B$2+1-原始資料!I355,原始資料!I355))</f>
        <v/>
      </c>
      <c r="J355">
        <f>IF(原始資料!J355="","",IF(反向題設定!$C$13="是",反向題設定!$B$2+1-原始資料!J355,原始資料!J355))</f>
        <v/>
      </c>
      <c r="K355">
        <f>IF(原始資料!K355="","",IF(反向題設定!$C$14="是",反向題設定!$B$2+1-原始資料!K355,原始資料!K355))</f>
        <v/>
      </c>
      <c r="L355">
        <f>IF(原始資料!L355="","",IF(反向題設定!$C$15="是",反向題設定!$B$2+1-原始資料!L355,原始資料!L355))</f>
        <v/>
      </c>
      <c r="M355">
        <f>IF(原始資料!M355="","",IF(反向題設定!$C$16="是",反向題設定!$B$2+1-原始資料!M355,原始資料!M355))</f>
        <v/>
      </c>
      <c r="N355">
        <f>IF(原始資料!N355="","",IF(反向題設定!$C$17="是",反向題設定!$B$2+1-原始資料!N355,原始資料!N355))</f>
        <v/>
      </c>
      <c r="O355">
        <f>IF(原始資料!O355="","",IF(反向題設定!$C$18="是",反向題設定!$B$2+1-原始資料!O355,原始資料!O355))</f>
        <v/>
      </c>
      <c r="P355">
        <f>IF(原始資料!P355="","",IF(反向題設定!$C$19="是",反向題設定!$B$2+1-原始資料!P355,原始資料!P355))</f>
        <v/>
      </c>
      <c r="Q355">
        <f>IF(原始資料!Q355="","",IF(反向題設定!$C$20="是",反向題設定!$B$2+1-原始資料!Q355,原始資料!Q355))</f>
        <v/>
      </c>
      <c r="R355">
        <f>IF(原始資料!R355="","",IF(反向題設定!$C$21="是",反向題設定!$B$2+1-原始資料!R355,原始資料!R355))</f>
        <v/>
      </c>
      <c r="S355">
        <f>IF(原始資料!S355="","",IF(反向題設定!$C$22="是",反向題設定!$B$2+1-原始資料!S355,原始資料!S355))</f>
        <v/>
      </c>
      <c r="T355">
        <f>IF(原始資料!T355="","",IF(反向題設定!$C$23="是",反向題設定!$B$2+1-原始資料!T355,原始資料!T355))</f>
        <v/>
      </c>
      <c r="U355">
        <f>IF(原始資料!U355="","",IF(反向題設定!$C$24="是",反向題設定!$B$2+1-原始資料!U355,原始資料!U355))</f>
        <v/>
      </c>
      <c r="V355">
        <f>IF(原始資料!V355="","",IF(反向題設定!$C$25="是",反向題設定!$B$2+1-原始資料!V355,原始資料!V355))</f>
        <v/>
      </c>
      <c r="W355">
        <f>IF(原始資料!W355="","",IF(反向題設定!$C$26="是",反向題設定!$B$2+1-原始資料!W355,原始資料!W355))</f>
        <v/>
      </c>
      <c r="X355">
        <f>IF(原始資料!X355="","",IF(反向題設定!$C$27="是",反向題設定!$B$2+1-原始資料!X355,原始資料!X355))</f>
        <v/>
      </c>
      <c r="Y355">
        <f>IF(原始資料!Y355="","",IF(反向題設定!$C$28="是",反向題設定!$B$2+1-原始資料!Y355,原始資料!Y355))</f>
        <v/>
      </c>
      <c r="Z355">
        <f>IF(原始資料!Z355="","",IF(反向題設定!$C$29="是",反向題設定!$B$2+1-原始資料!Z355,原始資料!Z355))</f>
        <v/>
      </c>
      <c r="AA355">
        <f>IF(原始資料!AA355="","",IF(反向題設定!$C$30="是",反向題設定!$B$2+1-原始資料!AA355,原始資料!AA355))</f>
        <v/>
      </c>
      <c r="AB355">
        <f>IF(原始資料!AB355="","",IF(反向題設定!$C$31="是",反向題設定!$B$2+1-原始資料!AB355,原始資料!AB355))</f>
        <v/>
      </c>
      <c r="AC355">
        <f>IF(原始資料!AC355="","",IF(反向題設定!$C$32="是",反向題設定!$B$2+1-原始資料!AC355,原始資料!AC355))</f>
        <v/>
      </c>
      <c r="AD355">
        <f>IF(原始資料!AD355="","",IF(反向題設定!$C$33="是",反向題設定!$B$2+1-原始資料!AD355,原始資料!AD355))</f>
        <v/>
      </c>
      <c r="AE355">
        <f>IF(原始資料!AE355="","",IF(反向題設定!$C$34="是",反向題設定!$B$2+1-原始資料!AE355,原始資料!AE355))</f>
        <v/>
      </c>
      <c r="AF355">
        <f>IF(原始資料!AF355="","",IF(反向題設定!$C$35="是",反向題設定!$B$2+1-原始資料!AF355,原始資料!AF355))</f>
        <v/>
      </c>
      <c r="AG355">
        <f>IF(原始資料!AG355="","",IF(反向題設定!$C$36="是",反向題設定!$B$2+1-原始資料!AG355,原始資料!AG355))</f>
        <v/>
      </c>
      <c r="AH355">
        <f>IF(原始資料!AH355="","",IF(反向題設定!$C$37="是",反向題設定!$B$2+1-原始資料!AH355,原始資料!AH355))</f>
        <v/>
      </c>
      <c r="AI355">
        <f>IF(原始資料!AI355="","",IF(反向題設定!$C$38="是",反向題設定!$B$2+1-原始資料!AI355,原始資料!AI355))</f>
        <v/>
      </c>
      <c r="AJ355">
        <f>IF(原始資料!AJ355="","",IF(反向題設定!$C$39="是",反向題設定!$B$2+1-原始資料!AJ355,原始資料!AJ355))</f>
        <v/>
      </c>
      <c r="AK355">
        <f>IF(原始資料!AK355="","",IF(反向題設定!$C$40="是",反向題設定!$B$2+1-原始資料!AK355,原始資料!AK355))</f>
        <v/>
      </c>
      <c r="AL355">
        <f>IF(原始資料!AL355="","",IF(反向題設定!$C$41="是",反向題設定!$B$2+1-原始資料!AL355,原始資料!AL355))</f>
        <v/>
      </c>
      <c r="AM355">
        <f>IF(原始資料!AM355="","",IF(反向題設定!$C$42="是",反向題設定!$B$2+1-原始資料!AM355,原始資料!AM355))</f>
        <v/>
      </c>
      <c r="AN355">
        <f>IF(原始資料!AN355="","",IF(反向題設定!$C$43="是",反向題設定!$B$2+1-原始資料!AN355,原始資料!AN355))</f>
        <v/>
      </c>
      <c r="AO355">
        <f>IF(原始資料!AO355="","",IF(反向題設定!$C$44="是",反向題設定!$B$2+1-原始資料!AO355,原始資料!AO355))</f>
        <v/>
      </c>
      <c r="AP355">
        <f>IF(COUNT(B355:AO355)=0,"",SUM(B355:AO355))</f>
        <v/>
      </c>
      <c r="AQ355">
        <f>IF(AP355="","",IF(AP355&gt;=項目分析!$C$5,"高",IF(AP355&lt;=項目分析!$C$6,"低","")))</f>
        <v/>
      </c>
    </row>
    <row r="356">
      <c r="A356">
        <f>IF(原始資料!A356="","",原始資料!A356)</f>
        <v/>
      </c>
      <c r="B356">
        <f>IF(原始資料!B356="","",IF(反向題設定!$C$5="是",反向題設定!$B$2+1-原始資料!B356,原始資料!B356))</f>
        <v/>
      </c>
      <c r="C356">
        <f>IF(原始資料!C356="","",IF(反向題設定!$C$6="是",反向題設定!$B$2+1-原始資料!C356,原始資料!C356))</f>
        <v/>
      </c>
      <c r="D356">
        <f>IF(原始資料!D356="","",IF(反向題設定!$C$7="是",反向題設定!$B$2+1-原始資料!D356,原始資料!D356))</f>
        <v/>
      </c>
      <c r="E356">
        <f>IF(原始資料!E356="","",IF(反向題設定!$C$8="是",反向題設定!$B$2+1-原始資料!E356,原始資料!E356))</f>
        <v/>
      </c>
      <c r="F356">
        <f>IF(原始資料!F356="","",IF(反向題設定!$C$9="是",反向題設定!$B$2+1-原始資料!F356,原始資料!F356))</f>
        <v/>
      </c>
      <c r="G356">
        <f>IF(原始資料!G356="","",IF(反向題設定!$C$10="是",反向題設定!$B$2+1-原始資料!G356,原始資料!G356))</f>
        <v/>
      </c>
      <c r="H356">
        <f>IF(原始資料!H356="","",IF(反向題設定!$C$11="是",反向題設定!$B$2+1-原始資料!H356,原始資料!H356))</f>
        <v/>
      </c>
      <c r="I356">
        <f>IF(原始資料!I356="","",IF(反向題設定!$C$12="是",反向題設定!$B$2+1-原始資料!I356,原始資料!I356))</f>
        <v/>
      </c>
      <c r="J356">
        <f>IF(原始資料!J356="","",IF(反向題設定!$C$13="是",反向題設定!$B$2+1-原始資料!J356,原始資料!J356))</f>
        <v/>
      </c>
      <c r="K356">
        <f>IF(原始資料!K356="","",IF(反向題設定!$C$14="是",反向題設定!$B$2+1-原始資料!K356,原始資料!K356))</f>
        <v/>
      </c>
      <c r="L356">
        <f>IF(原始資料!L356="","",IF(反向題設定!$C$15="是",反向題設定!$B$2+1-原始資料!L356,原始資料!L356))</f>
        <v/>
      </c>
      <c r="M356">
        <f>IF(原始資料!M356="","",IF(反向題設定!$C$16="是",反向題設定!$B$2+1-原始資料!M356,原始資料!M356))</f>
        <v/>
      </c>
      <c r="N356">
        <f>IF(原始資料!N356="","",IF(反向題設定!$C$17="是",反向題設定!$B$2+1-原始資料!N356,原始資料!N356))</f>
        <v/>
      </c>
      <c r="O356">
        <f>IF(原始資料!O356="","",IF(反向題設定!$C$18="是",反向題設定!$B$2+1-原始資料!O356,原始資料!O356))</f>
        <v/>
      </c>
      <c r="P356">
        <f>IF(原始資料!P356="","",IF(反向題設定!$C$19="是",反向題設定!$B$2+1-原始資料!P356,原始資料!P356))</f>
        <v/>
      </c>
      <c r="Q356">
        <f>IF(原始資料!Q356="","",IF(反向題設定!$C$20="是",反向題設定!$B$2+1-原始資料!Q356,原始資料!Q356))</f>
        <v/>
      </c>
      <c r="R356">
        <f>IF(原始資料!R356="","",IF(反向題設定!$C$21="是",反向題設定!$B$2+1-原始資料!R356,原始資料!R356))</f>
        <v/>
      </c>
      <c r="S356">
        <f>IF(原始資料!S356="","",IF(反向題設定!$C$22="是",反向題設定!$B$2+1-原始資料!S356,原始資料!S356))</f>
        <v/>
      </c>
      <c r="T356">
        <f>IF(原始資料!T356="","",IF(反向題設定!$C$23="是",反向題設定!$B$2+1-原始資料!T356,原始資料!T356))</f>
        <v/>
      </c>
      <c r="U356">
        <f>IF(原始資料!U356="","",IF(反向題設定!$C$24="是",反向題設定!$B$2+1-原始資料!U356,原始資料!U356))</f>
        <v/>
      </c>
      <c r="V356">
        <f>IF(原始資料!V356="","",IF(反向題設定!$C$25="是",反向題設定!$B$2+1-原始資料!V356,原始資料!V356))</f>
        <v/>
      </c>
      <c r="W356">
        <f>IF(原始資料!W356="","",IF(反向題設定!$C$26="是",反向題設定!$B$2+1-原始資料!W356,原始資料!W356))</f>
        <v/>
      </c>
      <c r="X356">
        <f>IF(原始資料!X356="","",IF(反向題設定!$C$27="是",反向題設定!$B$2+1-原始資料!X356,原始資料!X356))</f>
        <v/>
      </c>
      <c r="Y356">
        <f>IF(原始資料!Y356="","",IF(反向題設定!$C$28="是",反向題設定!$B$2+1-原始資料!Y356,原始資料!Y356))</f>
        <v/>
      </c>
      <c r="Z356">
        <f>IF(原始資料!Z356="","",IF(反向題設定!$C$29="是",反向題設定!$B$2+1-原始資料!Z356,原始資料!Z356))</f>
        <v/>
      </c>
      <c r="AA356">
        <f>IF(原始資料!AA356="","",IF(反向題設定!$C$30="是",反向題設定!$B$2+1-原始資料!AA356,原始資料!AA356))</f>
        <v/>
      </c>
      <c r="AB356">
        <f>IF(原始資料!AB356="","",IF(反向題設定!$C$31="是",反向題設定!$B$2+1-原始資料!AB356,原始資料!AB356))</f>
        <v/>
      </c>
      <c r="AC356">
        <f>IF(原始資料!AC356="","",IF(反向題設定!$C$32="是",反向題設定!$B$2+1-原始資料!AC356,原始資料!AC356))</f>
        <v/>
      </c>
      <c r="AD356">
        <f>IF(原始資料!AD356="","",IF(反向題設定!$C$33="是",反向題設定!$B$2+1-原始資料!AD356,原始資料!AD356))</f>
        <v/>
      </c>
      <c r="AE356">
        <f>IF(原始資料!AE356="","",IF(反向題設定!$C$34="是",反向題設定!$B$2+1-原始資料!AE356,原始資料!AE356))</f>
        <v/>
      </c>
      <c r="AF356">
        <f>IF(原始資料!AF356="","",IF(反向題設定!$C$35="是",反向題設定!$B$2+1-原始資料!AF356,原始資料!AF356))</f>
        <v/>
      </c>
      <c r="AG356">
        <f>IF(原始資料!AG356="","",IF(反向題設定!$C$36="是",反向題設定!$B$2+1-原始資料!AG356,原始資料!AG356))</f>
        <v/>
      </c>
      <c r="AH356">
        <f>IF(原始資料!AH356="","",IF(反向題設定!$C$37="是",反向題設定!$B$2+1-原始資料!AH356,原始資料!AH356))</f>
        <v/>
      </c>
      <c r="AI356">
        <f>IF(原始資料!AI356="","",IF(反向題設定!$C$38="是",反向題設定!$B$2+1-原始資料!AI356,原始資料!AI356))</f>
        <v/>
      </c>
      <c r="AJ356">
        <f>IF(原始資料!AJ356="","",IF(反向題設定!$C$39="是",反向題設定!$B$2+1-原始資料!AJ356,原始資料!AJ356))</f>
        <v/>
      </c>
      <c r="AK356">
        <f>IF(原始資料!AK356="","",IF(反向題設定!$C$40="是",反向題設定!$B$2+1-原始資料!AK356,原始資料!AK356))</f>
        <v/>
      </c>
      <c r="AL356">
        <f>IF(原始資料!AL356="","",IF(反向題設定!$C$41="是",反向題設定!$B$2+1-原始資料!AL356,原始資料!AL356))</f>
        <v/>
      </c>
      <c r="AM356">
        <f>IF(原始資料!AM356="","",IF(反向題設定!$C$42="是",反向題設定!$B$2+1-原始資料!AM356,原始資料!AM356))</f>
        <v/>
      </c>
      <c r="AN356">
        <f>IF(原始資料!AN356="","",IF(反向題設定!$C$43="是",反向題設定!$B$2+1-原始資料!AN356,原始資料!AN356))</f>
        <v/>
      </c>
      <c r="AO356">
        <f>IF(原始資料!AO356="","",IF(反向題設定!$C$44="是",反向題設定!$B$2+1-原始資料!AO356,原始資料!AO356))</f>
        <v/>
      </c>
      <c r="AP356">
        <f>IF(COUNT(B356:AO356)=0,"",SUM(B356:AO356))</f>
        <v/>
      </c>
      <c r="AQ356">
        <f>IF(AP356="","",IF(AP356&gt;=項目分析!$C$5,"高",IF(AP356&lt;=項目分析!$C$6,"低","")))</f>
        <v/>
      </c>
    </row>
    <row r="357">
      <c r="A357">
        <f>IF(原始資料!A357="","",原始資料!A357)</f>
        <v/>
      </c>
      <c r="B357">
        <f>IF(原始資料!B357="","",IF(反向題設定!$C$5="是",反向題設定!$B$2+1-原始資料!B357,原始資料!B357))</f>
        <v/>
      </c>
      <c r="C357">
        <f>IF(原始資料!C357="","",IF(反向題設定!$C$6="是",反向題設定!$B$2+1-原始資料!C357,原始資料!C357))</f>
        <v/>
      </c>
      <c r="D357">
        <f>IF(原始資料!D357="","",IF(反向題設定!$C$7="是",反向題設定!$B$2+1-原始資料!D357,原始資料!D357))</f>
        <v/>
      </c>
      <c r="E357">
        <f>IF(原始資料!E357="","",IF(反向題設定!$C$8="是",反向題設定!$B$2+1-原始資料!E357,原始資料!E357))</f>
        <v/>
      </c>
      <c r="F357">
        <f>IF(原始資料!F357="","",IF(反向題設定!$C$9="是",反向題設定!$B$2+1-原始資料!F357,原始資料!F357))</f>
        <v/>
      </c>
      <c r="G357">
        <f>IF(原始資料!G357="","",IF(反向題設定!$C$10="是",反向題設定!$B$2+1-原始資料!G357,原始資料!G357))</f>
        <v/>
      </c>
      <c r="H357">
        <f>IF(原始資料!H357="","",IF(反向題設定!$C$11="是",反向題設定!$B$2+1-原始資料!H357,原始資料!H357))</f>
        <v/>
      </c>
      <c r="I357">
        <f>IF(原始資料!I357="","",IF(反向題設定!$C$12="是",反向題設定!$B$2+1-原始資料!I357,原始資料!I357))</f>
        <v/>
      </c>
      <c r="J357">
        <f>IF(原始資料!J357="","",IF(反向題設定!$C$13="是",反向題設定!$B$2+1-原始資料!J357,原始資料!J357))</f>
        <v/>
      </c>
      <c r="K357">
        <f>IF(原始資料!K357="","",IF(反向題設定!$C$14="是",反向題設定!$B$2+1-原始資料!K357,原始資料!K357))</f>
        <v/>
      </c>
      <c r="L357">
        <f>IF(原始資料!L357="","",IF(反向題設定!$C$15="是",反向題設定!$B$2+1-原始資料!L357,原始資料!L357))</f>
        <v/>
      </c>
      <c r="M357">
        <f>IF(原始資料!M357="","",IF(反向題設定!$C$16="是",反向題設定!$B$2+1-原始資料!M357,原始資料!M357))</f>
        <v/>
      </c>
      <c r="N357">
        <f>IF(原始資料!N357="","",IF(反向題設定!$C$17="是",反向題設定!$B$2+1-原始資料!N357,原始資料!N357))</f>
        <v/>
      </c>
      <c r="O357">
        <f>IF(原始資料!O357="","",IF(反向題設定!$C$18="是",反向題設定!$B$2+1-原始資料!O357,原始資料!O357))</f>
        <v/>
      </c>
      <c r="P357">
        <f>IF(原始資料!P357="","",IF(反向題設定!$C$19="是",反向題設定!$B$2+1-原始資料!P357,原始資料!P357))</f>
        <v/>
      </c>
      <c r="Q357">
        <f>IF(原始資料!Q357="","",IF(反向題設定!$C$20="是",反向題設定!$B$2+1-原始資料!Q357,原始資料!Q357))</f>
        <v/>
      </c>
      <c r="R357">
        <f>IF(原始資料!R357="","",IF(反向題設定!$C$21="是",反向題設定!$B$2+1-原始資料!R357,原始資料!R357))</f>
        <v/>
      </c>
      <c r="S357">
        <f>IF(原始資料!S357="","",IF(反向題設定!$C$22="是",反向題設定!$B$2+1-原始資料!S357,原始資料!S357))</f>
        <v/>
      </c>
      <c r="T357">
        <f>IF(原始資料!T357="","",IF(反向題設定!$C$23="是",反向題設定!$B$2+1-原始資料!T357,原始資料!T357))</f>
        <v/>
      </c>
      <c r="U357">
        <f>IF(原始資料!U357="","",IF(反向題設定!$C$24="是",反向題設定!$B$2+1-原始資料!U357,原始資料!U357))</f>
        <v/>
      </c>
      <c r="V357">
        <f>IF(原始資料!V357="","",IF(反向題設定!$C$25="是",反向題設定!$B$2+1-原始資料!V357,原始資料!V357))</f>
        <v/>
      </c>
      <c r="W357">
        <f>IF(原始資料!W357="","",IF(反向題設定!$C$26="是",反向題設定!$B$2+1-原始資料!W357,原始資料!W357))</f>
        <v/>
      </c>
      <c r="X357">
        <f>IF(原始資料!X357="","",IF(反向題設定!$C$27="是",反向題設定!$B$2+1-原始資料!X357,原始資料!X357))</f>
        <v/>
      </c>
      <c r="Y357">
        <f>IF(原始資料!Y357="","",IF(反向題設定!$C$28="是",反向題設定!$B$2+1-原始資料!Y357,原始資料!Y357))</f>
        <v/>
      </c>
      <c r="Z357">
        <f>IF(原始資料!Z357="","",IF(反向題設定!$C$29="是",反向題設定!$B$2+1-原始資料!Z357,原始資料!Z357))</f>
        <v/>
      </c>
      <c r="AA357">
        <f>IF(原始資料!AA357="","",IF(反向題設定!$C$30="是",反向題設定!$B$2+1-原始資料!AA357,原始資料!AA357))</f>
        <v/>
      </c>
      <c r="AB357">
        <f>IF(原始資料!AB357="","",IF(反向題設定!$C$31="是",反向題設定!$B$2+1-原始資料!AB357,原始資料!AB357))</f>
        <v/>
      </c>
      <c r="AC357">
        <f>IF(原始資料!AC357="","",IF(反向題設定!$C$32="是",反向題設定!$B$2+1-原始資料!AC357,原始資料!AC357))</f>
        <v/>
      </c>
      <c r="AD357">
        <f>IF(原始資料!AD357="","",IF(反向題設定!$C$33="是",反向題設定!$B$2+1-原始資料!AD357,原始資料!AD357))</f>
        <v/>
      </c>
      <c r="AE357">
        <f>IF(原始資料!AE357="","",IF(反向題設定!$C$34="是",反向題設定!$B$2+1-原始資料!AE357,原始資料!AE357))</f>
        <v/>
      </c>
      <c r="AF357">
        <f>IF(原始資料!AF357="","",IF(反向題設定!$C$35="是",反向題設定!$B$2+1-原始資料!AF357,原始資料!AF357))</f>
        <v/>
      </c>
      <c r="AG357">
        <f>IF(原始資料!AG357="","",IF(反向題設定!$C$36="是",反向題設定!$B$2+1-原始資料!AG357,原始資料!AG357))</f>
        <v/>
      </c>
      <c r="AH357">
        <f>IF(原始資料!AH357="","",IF(反向題設定!$C$37="是",反向題設定!$B$2+1-原始資料!AH357,原始資料!AH357))</f>
        <v/>
      </c>
      <c r="AI357">
        <f>IF(原始資料!AI357="","",IF(反向題設定!$C$38="是",反向題設定!$B$2+1-原始資料!AI357,原始資料!AI357))</f>
        <v/>
      </c>
      <c r="AJ357">
        <f>IF(原始資料!AJ357="","",IF(反向題設定!$C$39="是",反向題設定!$B$2+1-原始資料!AJ357,原始資料!AJ357))</f>
        <v/>
      </c>
      <c r="AK357">
        <f>IF(原始資料!AK357="","",IF(反向題設定!$C$40="是",反向題設定!$B$2+1-原始資料!AK357,原始資料!AK357))</f>
        <v/>
      </c>
      <c r="AL357">
        <f>IF(原始資料!AL357="","",IF(反向題設定!$C$41="是",反向題設定!$B$2+1-原始資料!AL357,原始資料!AL357))</f>
        <v/>
      </c>
      <c r="AM357">
        <f>IF(原始資料!AM357="","",IF(反向題設定!$C$42="是",反向題設定!$B$2+1-原始資料!AM357,原始資料!AM357))</f>
        <v/>
      </c>
      <c r="AN357">
        <f>IF(原始資料!AN357="","",IF(反向題設定!$C$43="是",反向題設定!$B$2+1-原始資料!AN357,原始資料!AN357))</f>
        <v/>
      </c>
      <c r="AO357">
        <f>IF(原始資料!AO357="","",IF(反向題設定!$C$44="是",反向題設定!$B$2+1-原始資料!AO357,原始資料!AO357))</f>
        <v/>
      </c>
      <c r="AP357">
        <f>IF(COUNT(B357:AO357)=0,"",SUM(B357:AO357))</f>
        <v/>
      </c>
      <c r="AQ357">
        <f>IF(AP357="","",IF(AP357&gt;=項目分析!$C$5,"高",IF(AP357&lt;=項目分析!$C$6,"低","")))</f>
        <v/>
      </c>
    </row>
    <row r="358">
      <c r="A358">
        <f>IF(原始資料!A358="","",原始資料!A358)</f>
        <v/>
      </c>
      <c r="B358">
        <f>IF(原始資料!B358="","",IF(反向題設定!$C$5="是",反向題設定!$B$2+1-原始資料!B358,原始資料!B358))</f>
        <v/>
      </c>
      <c r="C358">
        <f>IF(原始資料!C358="","",IF(反向題設定!$C$6="是",反向題設定!$B$2+1-原始資料!C358,原始資料!C358))</f>
        <v/>
      </c>
      <c r="D358">
        <f>IF(原始資料!D358="","",IF(反向題設定!$C$7="是",反向題設定!$B$2+1-原始資料!D358,原始資料!D358))</f>
        <v/>
      </c>
      <c r="E358">
        <f>IF(原始資料!E358="","",IF(反向題設定!$C$8="是",反向題設定!$B$2+1-原始資料!E358,原始資料!E358))</f>
        <v/>
      </c>
      <c r="F358">
        <f>IF(原始資料!F358="","",IF(反向題設定!$C$9="是",反向題設定!$B$2+1-原始資料!F358,原始資料!F358))</f>
        <v/>
      </c>
      <c r="G358">
        <f>IF(原始資料!G358="","",IF(反向題設定!$C$10="是",反向題設定!$B$2+1-原始資料!G358,原始資料!G358))</f>
        <v/>
      </c>
      <c r="H358">
        <f>IF(原始資料!H358="","",IF(反向題設定!$C$11="是",反向題設定!$B$2+1-原始資料!H358,原始資料!H358))</f>
        <v/>
      </c>
      <c r="I358">
        <f>IF(原始資料!I358="","",IF(反向題設定!$C$12="是",反向題設定!$B$2+1-原始資料!I358,原始資料!I358))</f>
        <v/>
      </c>
      <c r="J358">
        <f>IF(原始資料!J358="","",IF(反向題設定!$C$13="是",反向題設定!$B$2+1-原始資料!J358,原始資料!J358))</f>
        <v/>
      </c>
      <c r="K358">
        <f>IF(原始資料!K358="","",IF(反向題設定!$C$14="是",反向題設定!$B$2+1-原始資料!K358,原始資料!K358))</f>
        <v/>
      </c>
      <c r="L358">
        <f>IF(原始資料!L358="","",IF(反向題設定!$C$15="是",反向題設定!$B$2+1-原始資料!L358,原始資料!L358))</f>
        <v/>
      </c>
      <c r="M358">
        <f>IF(原始資料!M358="","",IF(反向題設定!$C$16="是",反向題設定!$B$2+1-原始資料!M358,原始資料!M358))</f>
        <v/>
      </c>
      <c r="N358">
        <f>IF(原始資料!N358="","",IF(反向題設定!$C$17="是",反向題設定!$B$2+1-原始資料!N358,原始資料!N358))</f>
        <v/>
      </c>
      <c r="O358">
        <f>IF(原始資料!O358="","",IF(反向題設定!$C$18="是",反向題設定!$B$2+1-原始資料!O358,原始資料!O358))</f>
        <v/>
      </c>
      <c r="P358">
        <f>IF(原始資料!P358="","",IF(反向題設定!$C$19="是",反向題設定!$B$2+1-原始資料!P358,原始資料!P358))</f>
        <v/>
      </c>
      <c r="Q358">
        <f>IF(原始資料!Q358="","",IF(反向題設定!$C$20="是",反向題設定!$B$2+1-原始資料!Q358,原始資料!Q358))</f>
        <v/>
      </c>
      <c r="R358">
        <f>IF(原始資料!R358="","",IF(反向題設定!$C$21="是",反向題設定!$B$2+1-原始資料!R358,原始資料!R358))</f>
        <v/>
      </c>
      <c r="S358">
        <f>IF(原始資料!S358="","",IF(反向題設定!$C$22="是",反向題設定!$B$2+1-原始資料!S358,原始資料!S358))</f>
        <v/>
      </c>
      <c r="T358">
        <f>IF(原始資料!T358="","",IF(反向題設定!$C$23="是",反向題設定!$B$2+1-原始資料!T358,原始資料!T358))</f>
        <v/>
      </c>
      <c r="U358">
        <f>IF(原始資料!U358="","",IF(反向題設定!$C$24="是",反向題設定!$B$2+1-原始資料!U358,原始資料!U358))</f>
        <v/>
      </c>
      <c r="V358">
        <f>IF(原始資料!V358="","",IF(反向題設定!$C$25="是",反向題設定!$B$2+1-原始資料!V358,原始資料!V358))</f>
        <v/>
      </c>
      <c r="W358">
        <f>IF(原始資料!W358="","",IF(反向題設定!$C$26="是",反向題設定!$B$2+1-原始資料!W358,原始資料!W358))</f>
        <v/>
      </c>
      <c r="X358">
        <f>IF(原始資料!X358="","",IF(反向題設定!$C$27="是",反向題設定!$B$2+1-原始資料!X358,原始資料!X358))</f>
        <v/>
      </c>
      <c r="Y358">
        <f>IF(原始資料!Y358="","",IF(反向題設定!$C$28="是",反向題設定!$B$2+1-原始資料!Y358,原始資料!Y358))</f>
        <v/>
      </c>
      <c r="Z358">
        <f>IF(原始資料!Z358="","",IF(反向題設定!$C$29="是",反向題設定!$B$2+1-原始資料!Z358,原始資料!Z358))</f>
        <v/>
      </c>
      <c r="AA358">
        <f>IF(原始資料!AA358="","",IF(反向題設定!$C$30="是",反向題設定!$B$2+1-原始資料!AA358,原始資料!AA358))</f>
        <v/>
      </c>
      <c r="AB358">
        <f>IF(原始資料!AB358="","",IF(反向題設定!$C$31="是",反向題設定!$B$2+1-原始資料!AB358,原始資料!AB358))</f>
        <v/>
      </c>
      <c r="AC358">
        <f>IF(原始資料!AC358="","",IF(反向題設定!$C$32="是",反向題設定!$B$2+1-原始資料!AC358,原始資料!AC358))</f>
        <v/>
      </c>
      <c r="AD358">
        <f>IF(原始資料!AD358="","",IF(反向題設定!$C$33="是",反向題設定!$B$2+1-原始資料!AD358,原始資料!AD358))</f>
        <v/>
      </c>
      <c r="AE358">
        <f>IF(原始資料!AE358="","",IF(反向題設定!$C$34="是",反向題設定!$B$2+1-原始資料!AE358,原始資料!AE358))</f>
        <v/>
      </c>
      <c r="AF358">
        <f>IF(原始資料!AF358="","",IF(反向題設定!$C$35="是",反向題設定!$B$2+1-原始資料!AF358,原始資料!AF358))</f>
        <v/>
      </c>
      <c r="AG358">
        <f>IF(原始資料!AG358="","",IF(反向題設定!$C$36="是",反向題設定!$B$2+1-原始資料!AG358,原始資料!AG358))</f>
        <v/>
      </c>
      <c r="AH358">
        <f>IF(原始資料!AH358="","",IF(反向題設定!$C$37="是",反向題設定!$B$2+1-原始資料!AH358,原始資料!AH358))</f>
        <v/>
      </c>
      <c r="AI358">
        <f>IF(原始資料!AI358="","",IF(反向題設定!$C$38="是",反向題設定!$B$2+1-原始資料!AI358,原始資料!AI358))</f>
        <v/>
      </c>
      <c r="AJ358">
        <f>IF(原始資料!AJ358="","",IF(反向題設定!$C$39="是",反向題設定!$B$2+1-原始資料!AJ358,原始資料!AJ358))</f>
        <v/>
      </c>
      <c r="AK358">
        <f>IF(原始資料!AK358="","",IF(反向題設定!$C$40="是",反向題設定!$B$2+1-原始資料!AK358,原始資料!AK358))</f>
        <v/>
      </c>
      <c r="AL358">
        <f>IF(原始資料!AL358="","",IF(反向題設定!$C$41="是",反向題設定!$B$2+1-原始資料!AL358,原始資料!AL358))</f>
        <v/>
      </c>
      <c r="AM358">
        <f>IF(原始資料!AM358="","",IF(反向題設定!$C$42="是",反向題設定!$B$2+1-原始資料!AM358,原始資料!AM358))</f>
        <v/>
      </c>
      <c r="AN358">
        <f>IF(原始資料!AN358="","",IF(反向題設定!$C$43="是",反向題設定!$B$2+1-原始資料!AN358,原始資料!AN358))</f>
        <v/>
      </c>
      <c r="AO358">
        <f>IF(原始資料!AO358="","",IF(反向題設定!$C$44="是",反向題設定!$B$2+1-原始資料!AO358,原始資料!AO358))</f>
        <v/>
      </c>
      <c r="AP358">
        <f>IF(COUNT(B358:AO358)=0,"",SUM(B358:AO358))</f>
        <v/>
      </c>
      <c r="AQ358">
        <f>IF(AP358="","",IF(AP358&gt;=項目分析!$C$5,"高",IF(AP358&lt;=項目分析!$C$6,"低","")))</f>
        <v/>
      </c>
    </row>
    <row r="359">
      <c r="A359">
        <f>IF(原始資料!A359="","",原始資料!A359)</f>
        <v/>
      </c>
      <c r="B359">
        <f>IF(原始資料!B359="","",IF(反向題設定!$C$5="是",反向題設定!$B$2+1-原始資料!B359,原始資料!B359))</f>
        <v/>
      </c>
      <c r="C359">
        <f>IF(原始資料!C359="","",IF(反向題設定!$C$6="是",反向題設定!$B$2+1-原始資料!C359,原始資料!C359))</f>
        <v/>
      </c>
      <c r="D359">
        <f>IF(原始資料!D359="","",IF(反向題設定!$C$7="是",反向題設定!$B$2+1-原始資料!D359,原始資料!D359))</f>
        <v/>
      </c>
      <c r="E359">
        <f>IF(原始資料!E359="","",IF(反向題設定!$C$8="是",反向題設定!$B$2+1-原始資料!E359,原始資料!E359))</f>
        <v/>
      </c>
      <c r="F359">
        <f>IF(原始資料!F359="","",IF(反向題設定!$C$9="是",反向題設定!$B$2+1-原始資料!F359,原始資料!F359))</f>
        <v/>
      </c>
      <c r="G359">
        <f>IF(原始資料!G359="","",IF(反向題設定!$C$10="是",反向題設定!$B$2+1-原始資料!G359,原始資料!G359))</f>
        <v/>
      </c>
      <c r="H359">
        <f>IF(原始資料!H359="","",IF(反向題設定!$C$11="是",反向題設定!$B$2+1-原始資料!H359,原始資料!H359))</f>
        <v/>
      </c>
      <c r="I359">
        <f>IF(原始資料!I359="","",IF(反向題設定!$C$12="是",反向題設定!$B$2+1-原始資料!I359,原始資料!I359))</f>
        <v/>
      </c>
      <c r="J359">
        <f>IF(原始資料!J359="","",IF(反向題設定!$C$13="是",反向題設定!$B$2+1-原始資料!J359,原始資料!J359))</f>
        <v/>
      </c>
      <c r="K359">
        <f>IF(原始資料!K359="","",IF(反向題設定!$C$14="是",反向題設定!$B$2+1-原始資料!K359,原始資料!K359))</f>
        <v/>
      </c>
      <c r="L359">
        <f>IF(原始資料!L359="","",IF(反向題設定!$C$15="是",反向題設定!$B$2+1-原始資料!L359,原始資料!L359))</f>
        <v/>
      </c>
      <c r="M359">
        <f>IF(原始資料!M359="","",IF(反向題設定!$C$16="是",反向題設定!$B$2+1-原始資料!M359,原始資料!M359))</f>
        <v/>
      </c>
      <c r="N359">
        <f>IF(原始資料!N359="","",IF(反向題設定!$C$17="是",反向題設定!$B$2+1-原始資料!N359,原始資料!N359))</f>
        <v/>
      </c>
      <c r="O359">
        <f>IF(原始資料!O359="","",IF(反向題設定!$C$18="是",反向題設定!$B$2+1-原始資料!O359,原始資料!O359))</f>
        <v/>
      </c>
      <c r="P359">
        <f>IF(原始資料!P359="","",IF(反向題設定!$C$19="是",反向題設定!$B$2+1-原始資料!P359,原始資料!P359))</f>
        <v/>
      </c>
      <c r="Q359">
        <f>IF(原始資料!Q359="","",IF(反向題設定!$C$20="是",反向題設定!$B$2+1-原始資料!Q359,原始資料!Q359))</f>
        <v/>
      </c>
      <c r="R359">
        <f>IF(原始資料!R359="","",IF(反向題設定!$C$21="是",反向題設定!$B$2+1-原始資料!R359,原始資料!R359))</f>
        <v/>
      </c>
      <c r="S359">
        <f>IF(原始資料!S359="","",IF(反向題設定!$C$22="是",反向題設定!$B$2+1-原始資料!S359,原始資料!S359))</f>
        <v/>
      </c>
      <c r="T359">
        <f>IF(原始資料!T359="","",IF(反向題設定!$C$23="是",反向題設定!$B$2+1-原始資料!T359,原始資料!T359))</f>
        <v/>
      </c>
      <c r="U359">
        <f>IF(原始資料!U359="","",IF(反向題設定!$C$24="是",反向題設定!$B$2+1-原始資料!U359,原始資料!U359))</f>
        <v/>
      </c>
      <c r="V359">
        <f>IF(原始資料!V359="","",IF(反向題設定!$C$25="是",反向題設定!$B$2+1-原始資料!V359,原始資料!V359))</f>
        <v/>
      </c>
      <c r="W359">
        <f>IF(原始資料!W359="","",IF(反向題設定!$C$26="是",反向題設定!$B$2+1-原始資料!W359,原始資料!W359))</f>
        <v/>
      </c>
      <c r="X359">
        <f>IF(原始資料!X359="","",IF(反向題設定!$C$27="是",反向題設定!$B$2+1-原始資料!X359,原始資料!X359))</f>
        <v/>
      </c>
      <c r="Y359">
        <f>IF(原始資料!Y359="","",IF(反向題設定!$C$28="是",反向題設定!$B$2+1-原始資料!Y359,原始資料!Y359))</f>
        <v/>
      </c>
      <c r="Z359">
        <f>IF(原始資料!Z359="","",IF(反向題設定!$C$29="是",反向題設定!$B$2+1-原始資料!Z359,原始資料!Z359))</f>
        <v/>
      </c>
      <c r="AA359">
        <f>IF(原始資料!AA359="","",IF(反向題設定!$C$30="是",反向題設定!$B$2+1-原始資料!AA359,原始資料!AA359))</f>
        <v/>
      </c>
      <c r="AB359">
        <f>IF(原始資料!AB359="","",IF(反向題設定!$C$31="是",反向題設定!$B$2+1-原始資料!AB359,原始資料!AB359))</f>
        <v/>
      </c>
      <c r="AC359">
        <f>IF(原始資料!AC359="","",IF(反向題設定!$C$32="是",反向題設定!$B$2+1-原始資料!AC359,原始資料!AC359))</f>
        <v/>
      </c>
      <c r="AD359">
        <f>IF(原始資料!AD359="","",IF(反向題設定!$C$33="是",反向題設定!$B$2+1-原始資料!AD359,原始資料!AD359))</f>
        <v/>
      </c>
      <c r="AE359">
        <f>IF(原始資料!AE359="","",IF(反向題設定!$C$34="是",反向題設定!$B$2+1-原始資料!AE359,原始資料!AE359))</f>
        <v/>
      </c>
      <c r="AF359">
        <f>IF(原始資料!AF359="","",IF(反向題設定!$C$35="是",反向題設定!$B$2+1-原始資料!AF359,原始資料!AF359))</f>
        <v/>
      </c>
      <c r="AG359">
        <f>IF(原始資料!AG359="","",IF(反向題設定!$C$36="是",反向題設定!$B$2+1-原始資料!AG359,原始資料!AG359))</f>
        <v/>
      </c>
      <c r="AH359">
        <f>IF(原始資料!AH359="","",IF(反向題設定!$C$37="是",反向題設定!$B$2+1-原始資料!AH359,原始資料!AH359))</f>
        <v/>
      </c>
      <c r="AI359">
        <f>IF(原始資料!AI359="","",IF(反向題設定!$C$38="是",反向題設定!$B$2+1-原始資料!AI359,原始資料!AI359))</f>
        <v/>
      </c>
      <c r="AJ359">
        <f>IF(原始資料!AJ359="","",IF(反向題設定!$C$39="是",反向題設定!$B$2+1-原始資料!AJ359,原始資料!AJ359))</f>
        <v/>
      </c>
      <c r="AK359">
        <f>IF(原始資料!AK359="","",IF(反向題設定!$C$40="是",反向題設定!$B$2+1-原始資料!AK359,原始資料!AK359))</f>
        <v/>
      </c>
      <c r="AL359">
        <f>IF(原始資料!AL359="","",IF(反向題設定!$C$41="是",反向題設定!$B$2+1-原始資料!AL359,原始資料!AL359))</f>
        <v/>
      </c>
      <c r="AM359">
        <f>IF(原始資料!AM359="","",IF(反向題設定!$C$42="是",反向題設定!$B$2+1-原始資料!AM359,原始資料!AM359))</f>
        <v/>
      </c>
      <c r="AN359">
        <f>IF(原始資料!AN359="","",IF(反向題設定!$C$43="是",反向題設定!$B$2+1-原始資料!AN359,原始資料!AN359))</f>
        <v/>
      </c>
      <c r="AO359">
        <f>IF(原始資料!AO359="","",IF(反向題設定!$C$44="是",反向題設定!$B$2+1-原始資料!AO359,原始資料!AO359))</f>
        <v/>
      </c>
      <c r="AP359">
        <f>IF(COUNT(B359:AO359)=0,"",SUM(B359:AO359))</f>
        <v/>
      </c>
      <c r="AQ359">
        <f>IF(AP359="","",IF(AP359&gt;=項目分析!$C$5,"高",IF(AP359&lt;=項目分析!$C$6,"低","")))</f>
        <v/>
      </c>
    </row>
    <row r="360">
      <c r="A360">
        <f>IF(原始資料!A360="","",原始資料!A360)</f>
        <v/>
      </c>
      <c r="B360">
        <f>IF(原始資料!B360="","",IF(反向題設定!$C$5="是",反向題設定!$B$2+1-原始資料!B360,原始資料!B360))</f>
        <v/>
      </c>
      <c r="C360">
        <f>IF(原始資料!C360="","",IF(反向題設定!$C$6="是",反向題設定!$B$2+1-原始資料!C360,原始資料!C360))</f>
        <v/>
      </c>
      <c r="D360">
        <f>IF(原始資料!D360="","",IF(反向題設定!$C$7="是",反向題設定!$B$2+1-原始資料!D360,原始資料!D360))</f>
        <v/>
      </c>
      <c r="E360">
        <f>IF(原始資料!E360="","",IF(反向題設定!$C$8="是",反向題設定!$B$2+1-原始資料!E360,原始資料!E360))</f>
        <v/>
      </c>
      <c r="F360">
        <f>IF(原始資料!F360="","",IF(反向題設定!$C$9="是",反向題設定!$B$2+1-原始資料!F360,原始資料!F360))</f>
        <v/>
      </c>
      <c r="G360">
        <f>IF(原始資料!G360="","",IF(反向題設定!$C$10="是",反向題設定!$B$2+1-原始資料!G360,原始資料!G360))</f>
        <v/>
      </c>
      <c r="H360">
        <f>IF(原始資料!H360="","",IF(反向題設定!$C$11="是",反向題設定!$B$2+1-原始資料!H360,原始資料!H360))</f>
        <v/>
      </c>
      <c r="I360">
        <f>IF(原始資料!I360="","",IF(反向題設定!$C$12="是",反向題設定!$B$2+1-原始資料!I360,原始資料!I360))</f>
        <v/>
      </c>
      <c r="J360">
        <f>IF(原始資料!J360="","",IF(反向題設定!$C$13="是",反向題設定!$B$2+1-原始資料!J360,原始資料!J360))</f>
        <v/>
      </c>
      <c r="K360">
        <f>IF(原始資料!K360="","",IF(反向題設定!$C$14="是",反向題設定!$B$2+1-原始資料!K360,原始資料!K360))</f>
        <v/>
      </c>
      <c r="L360">
        <f>IF(原始資料!L360="","",IF(反向題設定!$C$15="是",反向題設定!$B$2+1-原始資料!L360,原始資料!L360))</f>
        <v/>
      </c>
      <c r="M360">
        <f>IF(原始資料!M360="","",IF(反向題設定!$C$16="是",反向題設定!$B$2+1-原始資料!M360,原始資料!M360))</f>
        <v/>
      </c>
      <c r="N360">
        <f>IF(原始資料!N360="","",IF(反向題設定!$C$17="是",反向題設定!$B$2+1-原始資料!N360,原始資料!N360))</f>
        <v/>
      </c>
      <c r="O360">
        <f>IF(原始資料!O360="","",IF(反向題設定!$C$18="是",反向題設定!$B$2+1-原始資料!O360,原始資料!O360))</f>
        <v/>
      </c>
      <c r="P360">
        <f>IF(原始資料!P360="","",IF(反向題設定!$C$19="是",反向題設定!$B$2+1-原始資料!P360,原始資料!P360))</f>
        <v/>
      </c>
      <c r="Q360">
        <f>IF(原始資料!Q360="","",IF(反向題設定!$C$20="是",反向題設定!$B$2+1-原始資料!Q360,原始資料!Q360))</f>
        <v/>
      </c>
      <c r="R360">
        <f>IF(原始資料!R360="","",IF(反向題設定!$C$21="是",反向題設定!$B$2+1-原始資料!R360,原始資料!R360))</f>
        <v/>
      </c>
      <c r="S360">
        <f>IF(原始資料!S360="","",IF(反向題設定!$C$22="是",反向題設定!$B$2+1-原始資料!S360,原始資料!S360))</f>
        <v/>
      </c>
      <c r="T360">
        <f>IF(原始資料!T360="","",IF(反向題設定!$C$23="是",反向題設定!$B$2+1-原始資料!T360,原始資料!T360))</f>
        <v/>
      </c>
      <c r="U360">
        <f>IF(原始資料!U360="","",IF(反向題設定!$C$24="是",反向題設定!$B$2+1-原始資料!U360,原始資料!U360))</f>
        <v/>
      </c>
      <c r="V360">
        <f>IF(原始資料!V360="","",IF(反向題設定!$C$25="是",反向題設定!$B$2+1-原始資料!V360,原始資料!V360))</f>
        <v/>
      </c>
      <c r="W360">
        <f>IF(原始資料!W360="","",IF(反向題設定!$C$26="是",反向題設定!$B$2+1-原始資料!W360,原始資料!W360))</f>
        <v/>
      </c>
      <c r="X360">
        <f>IF(原始資料!X360="","",IF(反向題設定!$C$27="是",反向題設定!$B$2+1-原始資料!X360,原始資料!X360))</f>
        <v/>
      </c>
      <c r="Y360">
        <f>IF(原始資料!Y360="","",IF(反向題設定!$C$28="是",反向題設定!$B$2+1-原始資料!Y360,原始資料!Y360))</f>
        <v/>
      </c>
      <c r="Z360">
        <f>IF(原始資料!Z360="","",IF(反向題設定!$C$29="是",反向題設定!$B$2+1-原始資料!Z360,原始資料!Z360))</f>
        <v/>
      </c>
      <c r="AA360">
        <f>IF(原始資料!AA360="","",IF(反向題設定!$C$30="是",反向題設定!$B$2+1-原始資料!AA360,原始資料!AA360))</f>
        <v/>
      </c>
      <c r="AB360">
        <f>IF(原始資料!AB360="","",IF(反向題設定!$C$31="是",反向題設定!$B$2+1-原始資料!AB360,原始資料!AB360))</f>
        <v/>
      </c>
      <c r="AC360">
        <f>IF(原始資料!AC360="","",IF(反向題設定!$C$32="是",反向題設定!$B$2+1-原始資料!AC360,原始資料!AC360))</f>
        <v/>
      </c>
      <c r="AD360">
        <f>IF(原始資料!AD360="","",IF(反向題設定!$C$33="是",反向題設定!$B$2+1-原始資料!AD360,原始資料!AD360))</f>
        <v/>
      </c>
      <c r="AE360">
        <f>IF(原始資料!AE360="","",IF(反向題設定!$C$34="是",反向題設定!$B$2+1-原始資料!AE360,原始資料!AE360))</f>
        <v/>
      </c>
      <c r="AF360">
        <f>IF(原始資料!AF360="","",IF(反向題設定!$C$35="是",反向題設定!$B$2+1-原始資料!AF360,原始資料!AF360))</f>
        <v/>
      </c>
      <c r="AG360">
        <f>IF(原始資料!AG360="","",IF(反向題設定!$C$36="是",反向題設定!$B$2+1-原始資料!AG360,原始資料!AG360))</f>
        <v/>
      </c>
      <c r="AH360">
        <f>IF(原始資料!AH360="","",IF(反向題設定!$C$37="是",反向題設定!$B$2+1-原始資料!AH360,原始資料!AH360))</f>
        <v/>
      </c>
      <c r="AI360">
        <f>IF(原始資料!AI360="","",IF(反向題設定!$C$38="是",反向題設定!$B$2+1-原始資料!AI360,原始資料!AI360))</f>
        <v/>
      </c>
      <c r="AJ360">
        <f>IF(原始資料!AJ360="","",IF(反向題設定!$C$39="是",反向題設定!$B$2+1-原始資料!AJ360,原始資料!AJ360))</f>
        <v/>
      </c>
      <c r="AK360">
        <f>IF(原始資料!AK360="","",IF(反向題設定!$C$40="是",反向題設定!$B$2+1-原始資料!AK360,原始資料!AK360))</f>
        <v/>
      </c>
      <c r="AL360">
        <f>IF(原始資料!AL360="","",IF(反向題設定!$C$41="是",反向題設定!$B$2+1-原始資料!AL360,原始資料!AL360))</f>
        <v/>
      </c>
      <c r="AM360">
        <f>IF(原始資料!AM360="","",IF(反向題設定!$C$42="是",反向題設定!$B$2+1-原始資料!AM360,原始資料!AM360))</f>
        <v/>
      </c>
      <c r="AN360">
        <f>IF(原始資料!AN360="","",IF(反向題設定!$C$43="是",反向題設定!$B$2+1-原始資料!AN360,原始資料!AN360))</f>
        <v/>
      </c>
      <c r="AO360">
        <f>IF(原始資料!AO360="","",IF(反向題設定!$C$44="是",反向題設定!$B$2+1-原始資料!AO360,原始資料!AO360))</f>
        <v/>
      </c>
      <c r="AP360">
        <f>IF(COUNT(B360:AO360)=0,"",SUM(B360:AO360))</f>
        <v/>
      </c>
      <c r="AQ360">
        <f>IF(AP360="","",IF(AP360&gt;=項目分析!$C$5,"高",IF(AP360&lt;=項目分析!$C$6,"低","")))</f>
        <v/>
      </c>
    </row>
    <row r="361">
      <c r="A361">
        <f>IF(原始資料!A361="","",原始資料!A361)</f>
        <v/>
      </c>
      <c r="B361">
        <f>IF(原始資料!B361="","",IF(反向題設定!$C$5="是",反向題設定!$B$2+1-原始資料!B361,原始資料!B361))</f>
        <v/>
      </c>
      <c r="C361">
        <f>IF(原始資料!C361="","",IF(反向題設定!$C$6="是",反向題設定!$B$2+1-原始資料!C361,原始資料!C361))</f>
        <v/>
      </c>
      <c r="D361">
        <f>IF(原始資料!D361="","",IF(反向題設定!$C$7="是",反向題設定!$B$2+1-原始資料!D361,原始資料!D361))</f>
        <v/>
      </c>
      <c r="E361">
        <f>IF(原始資料!E361="","",IF(反向題設定!$C$8="是",反向題設定!$B$2+1-原始資料!E361,原始資料!E361))</f>
        <v/>
      </c>
      <c r="F361">
        <f>IF(原始資料!F361="","",IF(反向題設定!$C$9="是",反向題設定!$B$2+1-原始資料!F361,原始資料!F361))</f>
        <v/>
      </c>
      <c r="G361">
        <f>IF(原始資料!G361="","",IF(反向題設定!$C$10="是",反向題設定!$B$2+1-原始資料!G361,原始資料!G361))</f>
        <v/>
      </c>
      <c r="H361">
        <f>IF(原始資料!H361="","",IF(反向題設定!$C$11="是",反向題設定!$B$2+1-原始資料!H361,原始資料!H361))</f>
        <v/>
      </c>
      <c r="I361">
        <f>IF(原始資料!I361="","",IF(反向題設定!$C$12="是",反向題設定!$B$2+1-原始資料!I361,原始資料!I361))</f>
        <v/>
      </c>
      <c r="J361">
        <f>IF(原始資料!J361="","",IF(反向題設定!$C$13="是",反向題設定!$B$2+1-原始資料!J361,原始資料!J361))</f>
        <v/>
      </c>
      <c r="K361">
        <f>IF(原始資料!K361="","",IF(反向題設定!$C$14="是",反向題設定!$B$2+1-原始資料!K361,原始資料!K361))</f>
        <v/>
      </c>
      <c r="L361">
        <f>IF(原始資料!L361="","",IF(反向題設定!$C$15="是",反向題設定!$B$2+1-原始資料!L361,原始資料!L361))</f>
        <v/>
      </c>
      <c r="M361">
        <f>IF(原始資料!M361="","",IF(反向題設定!$C$16="是",反向題設定!$B$2+1-原始資料!M361,原始資料!M361))</f>
        <v/>
      </c>
      <c r="N361">
        <f>IF(原始資料!N361="","",IF(反向題設定!$C$17="是",反向題設定!$B$2+1-原始資料!N361,原始資料!N361))</f>
        <v/>
      </c>
      <c r="O361">
        <f>IF(原始資料!O361="","",IF(反向題設定!$C$18="是",反向題設定!$B$2+1-原始資料!O361,原始資料!O361))</f>
        <v/>
      </c>
      <c r="P361">
        <f>IF(原始資料!P361="","",IF(反向題設定!$C$19="是",反向題設定!$B$2+1-原始資料!P361,原始資料!P361))</f>
        <v/>
      </c>
      <c r="Q361">
        <f>IF(原始資料!Q361="","",IF(反向題設定!$C$20="是",反向題設定!$B$2+1-原始資料!Q361,原始資料!Q361))</f>
        <v/>
      </c>
      <c r="R361">
        <f>IF(原始資料!R361="","",IF(反向題設定!$C$21="是",反向題設定!$B$2+1-原始資料!R361,原始資料!R361))</f>
        <v/>
      </c>
      <c r="S361">
        <f>IF(原始資料!S361="","",IF(反向題設定!$C$22="是",反向題設定!$B$2+1-原始資料!S361,原始資料!S361))</f>
        <v/>
      </c>
      <c r="T361">
        <f>IF(原始資料!T361="","",IF(反向題設定!$C$23="是",反向題設定!$B$2+1-原始資料!T361,原始資料!T361))</f>
        <v/>
      </c>
      <c r="U361">
        <f>IF(原始資料!U361="","",IF(反向題設定!$C$24="是",反向題設定!$B$2+1-原始資料!U361,原始資料!U361))</f>
        <v/>
      </c>
      <c r="V361">
        <f>IF(原始資料!V361="","",IF(反向題設定!$C$25="是",反向題設定!$B$2+1-原始資料!V361,原始資料!V361))</f>
        <v/>
      </c>
      <c r="W361">
        <f>IF(原始資料!W361="","",IF(反向題設定!$C$26="是",反向題設定!$B$2+1-原始資料!W361,原始資料!W361))</f>
        <v/>
      </c>
      <c r="X361">
        <f>IF(原始資料!X361="","",IF(反向題設定!$C$27="是",反向題設定!$B$2+1-原始資料!X361,原始資料!X361))</f>
        <v/>
      </c>
      <c r="Y361">
        <f>IF(原始資料!Y361="","",IF(反向題設定!$C$28="是",反向題設定!$B$2+1-原始資料!Y361,原始資料!Y361))</f>
        <v/>
      </c>
      <c r="Z361">
        <f>IF(原始資料!Z361="","",IF(反向題設定!$C$29="是",反向題設定!$B$2+1-原始資料!Z361,原始資料!Z361))</f>
        <v/>
      </c>
      <c r="AA361">
        <f>IF(原始資料!AA361="","",IF(反向題設定!$C$30="是",反向題設定!$B$2+1-原始資料!AA361,原始資料!AA361))</f>
        <v/>
      </c>
      <c r="AB361">
        <f>IF(原始資料!AB361="","",IF(反向題設定!$C$31="是",反向題設定!$B$2+1-原始資料!AB361,原始資料!AB361))</f>
        <v/>
      </c>
      <c r="AC361">
        <f>IF(原始資料!AC361="","",IF(反向題設定!$C$32="是",反向題設定!$B$2+1-原始資料!AC361,原始資料!AC361))</f>
        <v/>
      </c>
      <c r="AD361">
        <f>IF(原始資料!AD361="","",IF(反向題設定!$C$33="是",反向題設定!$B$2+1-原始資料!AD361,原始資料!AD361))</f>
        <v/>
      </c>
      <c r="AE361">
        <f>IF(原始資料!AE361="","",IF(反向題設定!$C$34="是",反向題設定!$B$2+1-原始資料!AE361,原始資料!AE361))</f>
        <v/>
      </c>
      <c r="AF361">
        <f>IF(原始資料!AF361="","",IF(反向題設定!$C$35="是",反向題設定!$B$2+1-原始資料!AF361,原始資料!AF361))</f>
        <v/>
      </c>
      <c r="AG361">
        <f>IF(原始資料!AG361="","",IF(反向題設定!$C$36="是",反向題設定!$B$2+1-原始資料!AG361,原始資料!AG361))</f>
        <v/>
      </c>
      <c r="AH361">
        <f>IF(原始資料!AH361="","",IF(反向題設定!$C$37="是",反向題設定!$B$2+1-原始資料!AH361,原始資料!AH361))</f>
        <v/>
      </c>
      <c r="AI361">
        <f>IF(原始資料!AI361="","",IF(反向題設定!$C$38="是",反向題設定!$B$2+1-原始資料!AI361,原始資料!AI361))</f>
        <v/>
      </c>
      <c r="AJ361">
        <f>IF(原始資料!AJ361="","",IF(反向題設定!$C$39="是",反向題設定!$B$2+1-原始資料!AJ361,原始資料!AJ361))</f>
        <v/>
      </c>
      <c r="AK361">
        <f>IF(原始資料!AK361="","",IF(反向題設定!$C$40="是",反向題設定!$B$2+1-原始資料!AK361,原始資料!AK361))</f>
        <v/>
      </c>
      <c r="AL361">
        <f>IF(原始資料!AL361="","",IF(反向題設定!$C$41="是",反向題設定!$B$2+1-原始資料!AL361,原始資料!AL361))</f>
        <v/>
      </c>
      <c r="AM361">
        <f>IF(原始資料!AM361="","",IF(反向題設定!$C$42="是",反向題設定!$B$2+1-原始資料!AM361,原始資料!AM361))</f>
        <v/>
      </c>
      <c r="AN361">
        <f>IF(原始資料!AN361="","",IF(反向題設定!$C$43="是",反向題設定!$B$2+1-原始資料!AN361,原始資料!AN361))</f>
        <v/>
      </c>
      <c r="AO361">
        <f>IF(原始資料!AO361="","",IF(反向題設定!$C$44="是",反向題設定!$B$2+1-原始資料!AO361,原始資料!AO361))</f>
        <v/>
      </c>
      <c r="AP361">
        <f>IF(COUNT(B361:AO361)=0,"",SUM(B361:AO361))</f>
        <v/>
      </c>
      <c r="AQ361">
        <f>IF(AP361="","",IF(AP361&gt;=項目分析!$C$5,"高",IF(AP361&lt;=項目分析!$C$6,"低","")))</f>
        <v/>
      </c>
    </row>
    <row r="362">
      <c r="A362">
        <f>IF(原始資料!A362="","",原始資料!A362)</f>
        <v/>
      </c>
      <c r="B362">
        <f>IF(原始資料!B362="","",IF(反向題設定!$C$5="是",反向題設定!$B$2+1-原始資料!B362,原始資料!B362))</f>
        <v/>
      </c>
      <c r="C362">
        <f>IF(原始資料!C362="","",IF(反向題設定!$C$6="是",反向題設定!$B$2+1-原始資料!C362,原始資料!C362))</f>
        <v/>
      </c>
      <c r="D362">
        <f>IF(原始資料!D362="","",IF(反向題設定!$C$7="是",反向題設定!$B$2+1-原始資料!D362,原始資料!D362))</f>
        <v/>
      </c>
      <c r="E362">
        <f>IF(原始資料!E362="","",IF(反向題設定!$C$8="是",反向題設定!$B$2+1-原始資料!E362,原始資料!E362))</f>
        <v/>
      </c>
      <c r="F362">
        <f>IF(原始資料!F362="","",IF(反向題設定!$C$9="是",反向題設定!$B$2+1-原始資料!F362,原始資料!F362))</f>
        <v/>
      </c>
      <c r="G362">
        <f>IF(原始資料!G362="","",IF(反向題設定!$C$10="是",反向題設定!$B$2+1-原始資料!G362,原始資料!G362))</f>
        <v/>
      </c>
      <c r="H362">
        <f>IF(原始資料!H362="","",IF(反向題設定!$C$11="是",反向題設定!$B$2+1-原始資料!H362,原始資料!H362))</f>
        <v/>
      </c>
      <c r="I362">
        <f>IF(原始資料!I362="","",IF(反向題設定!$C$12="是",反向題設定!$B$2+1-原始資料!I362,原始資料!I362))</f>
        <v/>
      </c>
      <c r="J362">
        <f>IF(原始資料!J362="","",IF(反向題設定!$C$13="是",反向題設定!$B$2+1-原始資料!J362,原始資料!J362))</f>
        <v/>
      </c>
      <c r="K362">
        <f>IF(原始資料!K362="","",IF(反向題設定!$C$14="是",反向題設定!$B$2+1-原始資料!K362,原始資料!K362))</f>
        <v/>
      </c>
      <c r="L362">
        <f>IF(原始資料!L362="","",IF(反向題設定!$C$15="是",反向題設定!$B$2+1-原始資料!L362,原始資料!L362))</f>
        <v/>
      </c>
      <c r="M362">
        <f>IF(原始資料!M362="","",IF(反向題設定!$C$16="是",反向題設定!$B$2+1-原始資料!M362,原始資料!M362))</f>
        <v/>
      </c>
      <c r="N362">
        <f>IF(原始資料!N362="","",IF(反向題設定!$C$17="是",反向題設定!$B$2+1-原始資料!N362,原始資料!N362))</f>
        <v/>
      </c>
      <c r="O362">
        <f>IF(原始資料!O362="","",IF(反向題設定!$C$18="是",反向題設定!$B$2+1-原始資料!O362,原始資料!O362))</f>
        <v/>
      </c>
      <c r="P362">
        <f>IF(原始資料!P362="","",IF(反向題設定!$C$19="是",反向題設定!$B$2+1-原始資料!P362,原始資料!P362))</f>
        <v/>
      </c>
      <c r="Q362">
        <f>IF(原始資料!Q362="","",IF(反向題設定!$C$20="是",反向題設定!$B$2+1-原始資料!Q362,原始資料!Q362))</f>
        <v/>
      </c>
      <c r="R362">
        <f>IF(原始資料!R362="","",IF(反向題設定!$C$21="是",反向題設定!$B$2+1-原始資料!R362,原始資料!R362))</f>
        <v/>
      </c>
      <c r="S362">
        <f>IF(原始資料!S362="","",IF(反向題設定!$C$22="是",反向題設定!$B$2+1-原始資料!S362,原始資料!S362))</f>
        <v/>
      </c>
      <c r="T362">
        <f>IF(原始資料!T362="","",IF(反向題設定!$C$23="是",反向題設定!$B$2+1-原始資料!T362,原始資料!T362))</f>
        <v/>
      </c>
      <c r="U362">
        <f>IF(原始資料!U362="","",IF(反向題設定!$C$24="是",反向題設定!$B$2+1-原始資料!U362,原始資料!U362))</f>
        <v/>
      </c>
      <c r="V362">
        <f>IF(原始資料!V362="","",IF(反向題設定!$C$25="是",反向題設定!$B$2+1-原始資料!V362,原始資料!V362))</f>
        <v/>
      </c>
      <c r="W362">
        <f>IF(原始資料!W362="","",IF(反向題設定!$C$26="是",反向題設定!$B$2+1-原始資料!W362,原始資料!W362))</f>
        <v/>
      </c>
      <c r="X362">
        <f>IF(原始資料!X362="","",IF(反向題設定!$C$27="是",反向題設定!$B$2+1-原始資料!X362,原始資料!X362))</f>
        <v/>
      </c>
      <c r="Y362">
        <f>IF(原始資料!Y362="","",IF(反向題設定!$C$28="是",反向題設定!$B$2+1-原始資料!Y362,原始資料!Y362))</f>
        <v/>
      </c>
      <c r="Z362">
        <f>IF(原始資料!Z362="","",IF(反向題設定!$C$29="是",反向題設定!$B$2+1-原始資料!Z362,原始資料!Z362))</f>
        <v/>
      </c>
      <c r="AA362">
        <f>IF(原始資料!AA362="","",IF(反向題設定!$C$30="是",反向題設定!$B$2+1-原始資料!AA362,原始資料!AA362))</f>
        <v/>
      </c>
      <c r="AB362">
        <f>IF(原始資料!AB362="","",IF(反向題設定!$C$31="是",反向題設定!$B$2+1-原始資料!AB362,原始資料!AB362))</f>
        <v/>
      </c>
      <c r="AC362">
        <f>IF(原始資料!AC362="","",IF(反向題設定!$C$32="是",反向題設定!$B$2+1-原始資料!AC362,原始資料!AC362))</f>
        <v/>
      </c>
      <c r="AD362">
        <f>IF(原始資料!AD362="","",IF(反向題設定!$C$33="是",反向題設定!$B$2+1-原始資料!AD362,原始資料!AD362))</f>
        <v/>
      </c>
      <c r="AE362">
        <f>IF(原始資料!AE362="","",IF(反向題設定!$C$34="是",反向題設定!$B$2+1-原始資料!AE362,原始資料!AE362))</f>
        <v/>
      </c>
      <c r="AF362">
        <f>IF(原始資料!AF362="","",IF(反向題設定!$C$35="是",反向題設定!$B$2+1-原始資料!AF362,原始資料!AF362))</f>
        <v/>
      </c>
      <c r="AG362">
        <f>IF(原始資料!AG362="","",IF(反向題設定!$C$36="是",反向題設定!$B$2+1-原始資料!AG362,原始資料!AG362))</f>
        <v/>
      </c>
      <c r="AH362">
        <f>IF(原始資料!AH362="","",IF(反向題設定!$C$37="是",反向題設定!$B$2+1-原始資料!AH362,原始資料!AH362))</f>
        <v/>
      </c>
      <c r="AI362">
        <f>IF(原始資料!AI362="","",IF(反向題設定!$C$38="是",反向題設定!$B$2+1-原始資料!AI362,原始資料!AI362))</f>
        <v/>
      </c>
      <c r="AJ362">
        <f>IF(原始資料!AJ362="","",IF(反向題設定!$C$39="是",反向題設定!$B$2+1-原始資料!AJ362,原始資料!AJ362))</f>
        <v/>
      </c>
      <c r="AK362">
        <f>IF(原始資料!AK362="","",IF(反向題設定!$C$40="是",反向題設定!$B$2+1-原始資料!AK362,原始資料!AK362))</f>
        <v/>
      </c>
      <c r="AL362">
        <f>IF(原始資料!AL362="","",IF(反向題設定!$C$41="是",反向題設定!$B$2+1-原始資料!AL362,原始資料!AL362))</f>
        <v/>
      </c>
      <c r="AM362">
        <f>IF(原始資料!AM362="","",IF(反向題設定!$C$42="是",反向題設定!$B$2+1-原始資料!AM362,原始資料!AM362))</f>
        <v/>
      </c>
      <c r="AN362">
        <f>IF(原始資料!AN362="","",IF(反向題設定!$C$43="是",反向題設定!$B$2+1-原始資料!AN362,原始資料!AN362))</f>
        <v/>
      </c>
      <c r="AO362">
        <f>IF(原始資料!AO362="","",IF(反向題設定!$C$44="是",反向題設定!$B$2+1-原始資料!AO362,原始資料!AO362))</f>
        <v/>
      </c>
      <c r="AP362">
        <f>IF(COUNT(B362:AO362)=0,"",SUM(B362:AO362))</f>
        <v/>
      </c>
      <c r="AQ362">
        <f>IF(AP362="","",IF(AP362&gt;=項目分析!$C$5,"高",IF(AP362&lt;=項目分析!$C$6,"低","")))</f>
        <v/>
      </c>
    </row>
    <row r="363">
      <c r="A363">
        <f>IF(原始資料!A363="","",原始資料!A363)</f>
        <v/>
      </c>
      <c r="B363">
        <f>IF(原始資料!B363="","",IF(反向題設定!$C$5="是",反向題設定!$B$2+1-原始資料!B363,原始資料!B363))</f>
        <v/>
      </c>
      <c r="C363">
        <f>IF(原始資料!C363="","",IF(反向題設定!$C$6="是",反向題設定!$B$2+1-原始資料!C363,原始資料!C363))</f>
        <v/>
      </c>
      <c r="D363">
        <f>IF(原始資料!D363="","",IF(反向題設定!$C$7="是",反向題設定!$B$2+1-原始資料!D363,原始資料!D363))</f>
        <v/>
      </c>
      <c r="E363">
        <f>IF(原始資料!E363="","",IF(反向題設定!$C$8="是",反向題設定!$B$2+1-原始資料!E363,原始資料!E363))</f>
        <v/>
      </c>
      <c r="F363">
        <f>IF(原始資料!F363="","",IF(反向題設定!$C$9="是",反向題設定!$B$2+1-原始資料!F363,原始資料!F363))</f>
        <v/>
      </c>
      <c r="G363">
        <f>IF(原始資料!G363="","",IF(反向題設定!$C$10="是",反向題設定!$B$2+1-原始資料!G363,原始資料!G363))</f>
        <v/>
      </c>
      <c r="H363">
        <f>IF(原始資料!H363="","",IF(反向題設定!$C$11="是",反向題設定!$B$2+1-原始資料!H363,原始資料!H363))</f>
        <v/>
      </c>
      <c r="I363">
        <f>IF(原始資料!I363="","",IF(反向題設定!$C$12="是",反向題設定!$B$2+1-原始資料!I363,原始資料!I363))</f>
        <v/>
      </c>
      <c r="J363">
        <f>IF(原始資料!J363="","",IF(反向題設定!$C$13="是",反向題設定!$B$2+1-原始資料!J363,原始資料!J363))</f>
        <v/>
      </c>
      <c r="K363">
        <f>IF(原始資料!K363="","",IF(反向題設定!$C$14="是",反向題設定!$B$2+1-原始資料!K363,原始資料!K363))</f>
        <v/>
      </c>
      <c r="L363">
        <f>IF(原始資料!L363="","",IF(反向題設定!$C$15="是",反向題設定!$B$2+1-原始資料!L363,原始資料!L363))</f>
        <v/>
      </c>
      <c r="M363">
        <f>IF(原始資料!M363="","",IF(反向題設定!$C$16="是",反向題設定!$B$2+1-原始資料!M363,原始資料!M363))</f>
        <v/>
      </c>
      <c r="N363">
        <f>IF(原始資料!N363="","",IF(反向題設定!$C$17="是",反向題設定!$B$2+1-原始資料!N363,原始資料!N363))</f>
        <v/>
      </c>
      <c r="O363">
        <f>IF(原始資料!O363="","",IF(反向題設定!$C$18="是",反向題設定!$B$2+1-原始資料!O363,原始資料!O363))</f>
        <v/>
      </c>
      <c r="P363">
        <f>IF(原始資料!P363="","",IF(反向題設定!$C$19="是",反向題設定!$B$2+1-原始資料!P363,原始資料!P363))</f>
        <v/>
      </c>
      <c r="Q363">
        <f>IF(原始資料!Q363="","",IF(反向題設定!$C$20="是",反向題設定!$B$2+1-原始資料!Q363,原始資料!Q363))</f>
        <v/>
      </c>
      <c r="R363">
        <f>IF(原始資料!R363="","",IF(反向題設定!$C$21="是",反向題設定!$B$2+1-原始資料!R363,原始資料!R363))</f>
        <v/>
      </c>
      <c r="S363">
        <f>IF(原始資料!S363="","",IF(反向題設定!$C$22="是",反向題設定!$B$2+1-原始資料!S363,原始資料!S363))</f>
        <v/>
      </c>
      <c r="T363">
        <f>IF(原始資料!T363="","",IF(反向題設定!$C$23="是",反向題設定!$B$2+1-原始資料!T363,原始資料!T363))</f>
        <v/>
      </c>
      <c r="U363">
        <f>IF(原始資料!U363="","",IF(反向題設定!$C$24="是",反向題設定!$B$2+1-原始資料!U363,原始資料!U363))</f>
        <v/>
      </c>
      <c r="V363">
        <f>IF(原始資料!V363="","",IF(反向題設定!$C$25="是",反向題設定!$B$2+1-原始資料!V363,原始資料!V363))</f>
        <v/>
      </c>
      <c r="W363">
        <f>IF(原始資料!W363="","",IF(反向題設定!$C$26="是",反向題設定!$B$2+1-原始資料!W363,原始資料!W363))</f>
        <v/>
      </c>
      <c r="X363">
        <f>IF(原始資料!X363="","",IF(反向題設定!$C$27="是",反向題設定!$B$2+1-原始資料!X363,原始資料!X363))</f>
        <v/>
      </c>
      <c r="Y363">
        <f>IF(原始資料!Y363="","",IF(反向題設定!$C$28="是",反向題設定!$B$2+1-原始資料!Y363,原始資料!Y363))</f>
        <v/>
      </c>
      <c r="Z363">
        <f>IF(原始資料!Z363="","",IF(反向題設定!$C$29="是",反向題設定!$B$2+1-原始資料!Z363,原始資料!Z363))</f>
        <v/>
      </c>
      <c r="AA363">
        <f>IF(原始資料!AA363="","",IF(反向題設定!$C$30="是",反向題設定!$B$2+1-原始資料!AA363,原始資料!AA363))</f>
        <v/>
      </c>
      <c r="AB363">
        <f>IF(原始資料!AB363="","",IF(反向題設定!$C$31="是",反向題設定!$B$2+1-原始資料!AB363,原始資料!AB363))</f>
        <v/>
      </c>
      <c r="AC363">
        <f>IF(原始資料!AC363="","",IF(反向題設定!$C$32="是",反向題設定!$B$2+1-原始資料!AC363,原始資料!AC363))</f>
        <v/>
      </c>
      <c r="AD363">
        <f>IF(原始資料!AD363="","",IF(反向題設定!$C$33="是",反向題設定!$B$2+1-原始資料!AD363,原始資料!AD363))</f>
        <v/>
      </c>
      <c r="AE363">
        <f>IF(原始資料!AE363="","",IF(反向題設定!$C$34="是",反向題設定!$B$2+1-原始資料!AE363,原始資料!AE363))</f>
        <v/>
      </c>
      <c r="AF363">
        <f>IF(原始資料!AF363="","",IF(反向題設定!$C$35="是",反向題設定!$B$2+1-原始資料!AF363,原始資料!AF363))</f>
        <v/>
      </c>
      <c r="AG363">
        <f>IF(原始資料!AG363="","",IF(反向題設定!$C$36="是",反向題設定!$B$2+1-原始資料!AG363,原始資料!AG363))</f>
        <v/>
      </c>
      <c r="AH363">
        <f>IF(原始資料!AH363="","",IF(反向題設定!$C$37="是",反向題設定!$B$2+1-原始資料!AH363,原始資料!AH363))</f>
        <v/>
      </c>
      <c r="AI363">
        <f>IF(原始資料!AI363="","",IF(反向題設定!$C$38="是",反向題設定!$B$2+1-原始資料!AI363,原始資料!AI363))</f>
        <v/>
      </c>
      <c r="AJ363">
        <f>IF(原始資料!AJ363="","",IF(反向題設定!$C$39="是",反向題設定!$B$2+1-原始資料!AJ363,原始資料!AJ363))</f>
        <v/>
      </c>
      <c r="AK363">
        <f>IF(原始資料!AK363="","",IF(反向題設定!$C$40="是",反向題設定!$B$2+1-原始資料!AK363,原始資料!AK363))</f>
        <v/>
      </c>
      <c r="AL363">
        <f>IF(原始資料!AL363="","",IF(反向題設定!$C$41="是",反向題設定!$B$2+1-原始資料!AL363,原始資料!AL363))</f>
        <v/>
      </c>
      <c r="AM363">
        <f>IF(原始資料!AM363="","",IF(反向題設定!$C$42="是",反向題設定!$B$2+1-原始資料!AM363,原始資料!AM363))</f>
        <v/>
      </c>
      <c r="AN363">
        <f>IF(原始資料!AN363="","",IF(反向題設定!$C$43="是",反向題設定!$B$2+1-原始資料!AN363,原始資料!AN363))</f>
        <v/>
      </c>
      <c r="AO363">
        <f>IF(原始資料!AO363="","",IF(反向題設定!$C$44="是",反向題設定!$B$2+1-原始資料!AO363,原始資料!AO363))</f>
        <v/>
      </c>
      <c r="AP363">
        <f>IF(COUNT(B363:AO363)=0,"",SUM(B363:AO363))</f>
        <v/>
      </c>
      <c r="AQ363">
        <f>IF(AP363="","",IF(AP363&gt;=項目分析!$C$5,"高",IF(AP363&lt;=項目分析!$C$6,"低","")))</f>
        <v/>
      </c>
    </row>
    <row r="364">
      <c r="A364">
        <f>IF(原始資料!A364="","",原始資料!A364)</f>
        <v/>
      </c>
      <c r="B364">
        <f>IF(原始資料!B364="","",IF(反向題設定!$C$5="是",反向題設定!$B$2+1-原始資料!B364,原始資料!B364))</f>
        <v/>
      </c>
      <c r="C364">
        <f>IF(原始資料!C364="","",IF(反向題設定!$C$6="是",反向題設定!$B$2+1-原始資料!C364,原始資料!C364))</f>
        <v/>
      </c>
      <c r="D364">
        <f>IF(原始資料!D364="","",IF(反向題設定!$C$7="是",反向題設定!$B$2+1-原始資料!D364,原始資料!D364))</f>
        <v/>
      </c>
      <c r="E364">
        <f>IF(原始資料!E364="","",IF(反向題設定!$C$8="是",反向題設定!$B$2+1-原始資料!E364,原始資料!E364))</f>
        <v/>
      </c>
      <c r="F364">
        <f>IF(原始資料!F364="","",IF(反向題設定!$C$9="是",反向題設定!$B$2+1-原始資料!F364,原始資料!F364))</f>
        <v/>
      </c>
      <c r="G364">
        <f>IF(原始資料!G364="","",IF(反向題設定!$C$10="是",反向題設定!$B$2+1-原始資料!G364,原始資料!G364))</f>
        <v/>
      </c>
      <c r="H364">
        <f>IF(原始資料!H364="","",IF(反向題設定!$C$11="是",反向題設定!$B$2+1-原始資料!H364,原始資料!H364))</f>
        <v/>
      </c>
      <c r="I364">
        <f>IF(原始資料!I364="","",IF(反向題設定!$C$12="是",反向題設定!$B$2+1-原始資料!I364,原始資料!I364))</f>
        <v/>
      </c>
      <c r="J364">
        <f>IF(原始資料!J364="","",IF(反向題設定!$C$13="是",反向題設定!$B$2+1-原始資料!J364,原始資料!J364))</f>
        <v/>
      </c>
      <c r="K364">
        <f>IF(原始資料!K364="","",IF(反向題設定!$C$14="是",反向題設定!$B$2+1-原始資料!K364,原始資料!K364))</f>
        <v/>
      </c>
      <c r="L364">
        <f>IF(原始資料!L364="","",IF(反向題設定!$C$15="是",反向題設定!$B$2+1-原始資料!L364,原始資料!L364))</f>
        <v/>
      </c>
      <c r="M364">
        <f>IF(原始資料!M364="","",IF(反向題設定!$C$16="是",反向題設定!$B$2+1-原始資料!M364,原始資料!M364))</f>
        <v/>
      </c>
      <c r="N364">
        <f>IF(原始資料!N364="","",IF(反向題設定!$C$17="是",反向題設定!$B$2+1-原始資料!N364,原始資料!N364))</f>
        <v/>
      </c>
      <c r="O364">
        <f>IF(原始資料!O364="","",IF(反向題設定!$C$18="是",反向題設定!$B$2+1-原始資料!O364,原始資料!O364))</f>
        <v/>
      </c>
      <c r="P364">
        <f>IF(原始資料!P364="","",IF(反向題設定!$C$19="是",反向題設定!$B$2+1-原始資料!P364,原始資料!P364))</f>
        <v/>
      </c>
      <c r="Q364">
        <f>IF(原始資料!Q364="","",IF(反向題設定!$C$20="是",反向題設定!$B$2+1-原始資料!Q364,原始資料!Q364))</f>
        <v/>
      </c>
      <c r="R364">
        <f>IF(原始資料!R364="","",IF(反向題設定!$C$21="是",反向題設定!$B$2+1-原始資料!R364,原始資料!R364))</f>
        <v/>
      </c>
      <c r="S364">
        <f>IF(原始資料!S364="","",IF(反向題設定!$C$22="是",反向題設定!$B$2+1-原始資料!S364,原始資料!S364))</f>
        <v/>
      </c>
      <c r="T364">
        <f>IF(原始資料!T364="","",IF(反向題設定!$C$23="是",反向題設定!$B$2+1-原始資料!T364,原始資料!T364))</f>
        <v/>
      </c>
      <c r="U364">
        <f>IF(原始資料!U364="","",IF(反向題設定!$C$24="是",反向題設定!$B$2+1-原始資料!U364,原始資料!U364))</f>
        <v/>
      </c>
      <c r="V364">
        <f>IF(原始資料!V364="","",IF(反向題設定!$C$25="是",反向題設定!$B$2+1-原始資料!V364,原始資料!V364))</f>
        <v/>
      </c>
      <c r="W364">
        <f>IF(原始資料!W364="","",IF(反向題設定!$C$26="是",反向題設定!$B$2+1-原始資料!W364,原始資料!W364))</f>
        <v/>
      </c>
      <c r="X364">
        <f>IF(原始資料!X364="","",IF(反向題設定!$C$27="是",反向題設定!$B$2+1-原始資料!X364,原始資料!X364))</f>
        <v/>
      </c>
      <c r="Y364">
        <f>IF(原始資料!Y364="","",IF(反向題設定!$C$28="是",反向題設定!$B$2+1-原始資料!Y364,原始資料!Y364))</f>
        <v/>
      </c>
      <c r="Z364">
        <f>IF(原始資料!Z364="","",IF(反向題設定!$C$29="是",反向題設定!$B$2+1-原始資料!Z364,原始資料!Z364))</f>
        <v/>
      </c>
      <c r="AA364">
        <f>IF(原始資料!AA364="","",IF(反向題設定!$C$30="是",反向題設定!$B$2+1-原始資料!AA364,原始資料!AA364))</f>
        <v/>
      </c>
      <c r="AB364">
        <f>IF(原始資料!AB364="","",IF(反向題設定!$C$31="是",反向題設定!$B$2+1-原始資料!AB364,原始資料!AB364))</f>
        <v/>
      </c>
      <c r="AC364">
        <f>IF(原始資料!AC364="","",IF(反向題設定!$C$32="是",反向題設定!$B$2+1-原始資料!AC364,原始資料!AC364))</f>
        <v/>
      </c>
      <c r="AD364">
        <f>IF(原始資料!AD364="","",IF(反向題設定!$C$33="是",反向題設定!$B$2+1-原始資料!AD364,原始資料!AD364))</f>
        <v/>
      </c>
      <c r="AE364">
        <f>IF(原始資料!AE364="","",IF(反向題設定!$C$34="是",反向題設定!$B$2+1-原始資料!AE364,原始資料!AE364))</f>
        <v/>
      </c>
      <c r="AF364">
        <f>IF(原始資料!AF364="","",IF(反向題設定!$C$35="是",反向題設定!$B$2+1-原始資料!AF364,原始資料!AF364))</f>
        <v/>
      </c>
      <c r="AG364">
        <f>IF(原始資料!AG364="","",IF(反向題設定!$C$36="是",反向題設定!$B$2+1-原始資料!AG364,原始資料!AG364))</f>
        <v/>
      </c>
      <c r="AH364">
        <f>IF(原始資料!AH364="","",IF(反向題設定!$C$37="是",反向題設定!$B$2+1-原始資料!AH364,原始資料!AH364))</f>
        <v/>
      </c>
      <c r="AI364">
        <f>IF(原始資料!AI364="","",IF(反向題設定!$C$38="是",反向題設定!$B$2+1-原始資料!AI364,原始資料!AI364))</f>
        <v/>
      </c>
      <c r="AJ364">
        <f>IF(原始資料!AJ364="","",IF(反向題設定!$C$39="是",反向題設定!$B$2+1-原始資料!AJ364,原始資料!AJ364))</f>
        <v/>
      </c>
      <c r="AK364">
        <f>IF(原始資料!AK364="","",IF(反向題設定!$C$40="是",反向題設定!$B$2+1-原始資料!AK364,原始資料!AK364))</f>
        <v/>
      </c>
      <c r="AL364">
        <f>IF(原始資料!AL364="","",IF(反向題設定!$C$41="是",反向題設定!$B$2+1-原始資料!AL364,原始資料!AL364))</f>
        <v/>
      </c>
      <c r="AM364">
        <f>IF(原始資料!AM364="","",IF(反向題設定!$C$42="是",反向題設定!$B$2+1-原始資料!AM364,原始資料!AM364))</f>
        <v/>
      </c>
      <c r="AN364">
        <f>IF(原始資料!AN364="","",IF(反向題設定!$C$43="是",反向題設定!$B$2+1-原始資料!AN364,原始資料!AN364))</f>
        <v/>
      </c>
      <c r="AO364">
        <f>IF(原始資料!AO364="","",IF(反向題設定!$C$44="是",反向題設定!$B$2+1-原始資料!AO364,原始資料!AO364))</f>
        <v/>
      </c>
      <c r="AP364">
        <f>IF(COUNT(B364:AO364)=0,"",SUM(B364:AO364))</f>
        <v/>
      </c>
      <c r="AQ364">
        <f>IF(AP364="","",IF(AP364&gt;=項目分析!$C$5,"高",IF(AP364&lt;=項目分析!$C$6,"低","")))</f>
        <v/>
      </c>
    </row>
    <row r="365">
      <c r="A365">
        <f>IF(原始資料!A365="","",原始資料!A365)</f>
        <v/>
      </c>
      <c r="B365">
        <f>IF(原始資料!B365="","",IF(反向題設定!$C$5="是",反向題設定!$B$2+1-原始資料!B365,原始資料!B365))</f>
        <v/>
      </c>
      <c r="C365">
        <f>IF(原始資料!C365="","",IF(反向題設定!$C$6="是",反向題設定!$B$2+1-原始資料!C365,原始資料!C365))</f>
        <v/>
      </c>
      <c r="D365">
        <f>IF(原始資料!D365="","",IF(反向題設定!$C$7="是",反向題設定!$B$2+1-原始資料!D365,原始資料!D365))</f>
        <v/>
      </c>
      <c r="E365">
        <f>IF(原始資料!E365="","",IF(反向題設定!$C$8="是",反向題設定!$B$2+1-原始資料!E365,原始資料!E365))</f>
        <v/>
      </c>
      <c r="F365">
        <f>IF(原始資料!F365="","",IF(反向題設定!$C$9="是",反向題設定!$B$2+1-原始資料!F365,原始資料!F365))</f>
        <v/>
      </c>
      <c r="G365">
        <f>IF(原始資料!G365="","",IF(反向題設定!$C$10="是",反向題設定!$B$2+1-原始資料!G365,原始資料!G365))</f>
        <v/>
      </c>
      <c r="H365">
        <f>IF(原始資料!H365="","",IF(反向題設定!$C$11="是",反向題設定!$B$2+1-原始資料!H365,原始資料!H365))</f>
        <v/>
      </c>
      <c r="I365">
        <f>IF(原始資料!I365="","",IF(反向題設定!$C$12="是",反向題設定!$B$2+1-原始資料!I365,原始資料!I365))</f>
        <v/>
      </c>
      <c r="J365">
        <f>IF(原始資料!J365="","",IF(反向題設定!$C$13="是",反向題設定!$B$2+1-原始資料!J365,原始資料!J365))</f>
        <v/>
      </c>
      <c r="K365">
        <f>IF(原始資料!K365="","",IF(反向題設定!$C$14="是",反向題設定!$B$2+1-原始資料!K365,原始資料!K365))</f>
        <v/>
      </c>
      <c r="L365">
        <f>IF(原始資料!L365="","",IF(反向題設定!$C$15="是",反向題設定!$B$2+1-原始資料!L365,原始資料!L365))</f>
        <v/>
      </c>
      <c r="M365">
        <f>IF(原始資料!M365="","",IF(反向題設定!$C$16="是",反向題設定!$B$2+1-原始資料!M365,原始資料!M365))</f>
        <v/>
      </c>
      <c r="N365">
        <f>IF(原始資料!N365="","",IF(反向題設定!$C$17="是",反向題設定!$B$2+1-原始資料!N365,原始資料!N365))</f>
        <v/>
      </c>
      <c r="O365">
        <f>IF(原始資料!O365="","",IF(反向題設定!$C$18="是",反向題設定!$B$2+1-原始資料!O365,原始資料!O365))</f>
        <v/>
      </c>
      <c r="P365">
        <f>IF(原始資料!P365="","",IF(反向題設定!$C$19="是",反向題設定!$B$2+1-原始資料!P365,原始資料!P365))</f>
        <v/>
      </c>
      <c r="Q365">
        <f>IF(原始資料!Q365="","",IF(反向題設定!$C$20="是",反向題設定!$B$2+1-原始資料!Q365,原始資料!Q365))</f>
        <v/>
      </c>
      <c r="R365">
        <f>IF(原始資料!R365="","",IF(反向題設定!$C$21="是",反向題設定!$B$2+1-原始資料!R365,原始資料!R365))</f>
        <v/>
      </c>
      <c r="S365">
        <f>IF(原始資料!S365="","",IF(反向題設定!$C$22="是",反向題設定!$B$2+1-原始資料!S365,原始資料!S365))</f>
        <v/>
      </c>
      <c r="T365">
        <f>IF(原始資料!T365="","",IF(反向題設定!$C$23="是",反向題設定!$B$2+1-原始資料!T365,原始資料!T365))</f>
        <v/>
      </c>
      <c r="U365">
        <f>IF(原始資料!U365="","",IF(反向題設定!$C$24="是",反向題設定!$B$2+1-原始資料!U365,原始資料!U365))</f>
        <v/>
      </c>
      <c r="V365">
        <f>IF(原始資料!V365="","",IF(反向題設定!$C$25="是",反向題設定!$B$2+1-原始資料!V365,原始資料!V365))</f>
        <v/>
      </c>
      <c r="W365">
        <f>IF(原始資料!W365="","",IF(反向題設定!$C$26="是",反向題設定!$B$2+1-原始資料!W365,原始資料!W365))</f>
        <v/>
      </c>
      <c r="X365">
        <f>IF(原始資料!X365="","",IF(反向題設定!$C$27="是",反向題設定!$B$2+1-原始資料!X365,原始資料!X365))</f>
        <v/>
      </c>
      <c r="Y365">
        <f>IF(原始資料!Y365="","",IF(反向題設定!$C$28="是",反向題設定!$B$2+1-原始資料!Y365,原始資料!Y365))</f>
        <v/>
      </c>
      <c r="Z365">
        <f>IF(原始資料!Z365="","",IF(反向題設定!$C$29="是",反向題設定!$B$2+1-原始資料!Z365,原始資料!Z365))</f>
        <v/>
      </c>
      <c r="AA365">
        <f>IF(原始資料!AA365="","",IF(反向題設定!$C$30="是",反向題設定!$B$2+1-原始資料!AA365,原始資料!AA365))</f>
        <v/>
      </c>
      <c r="AB365">
        <f>IF(原始資料!AB365="","",IF(反向題設定!$C$31="是",反向題設定!$B$2+1-原始資料!AB365,原始資料!AB365))</f>
        <v/>
      </c>
      <c r="AC365">
        <f>IF(原始資料!AC365="","",IF(反向題設定!$C$32="是",反向題設定!$B$2+1-原始資料!AC365,原始資料!AC365))</f>
        <v/>
      </c>
      <c r="AD365">
        <f>IF(原始資料!AD365="","",IF(反向題設定!$C$33="是",反向題設定!$B$2+1-原始資料!AD365,原始資料!AD365))</f>
        <v/>
      </c>
      <c r="AE365">
        <f>IF(原始資料!AE365="","",IF(反向題設定!$C$34="是",反向題設定!$B$2+1-原始資料!AE365,原始資料!AE365))</f>
        <v/>
      </c>
      <c r="AF365">
        <f>IF(原始資料!AF365="","",IF(反向題設定!$C$35="是",反向題設定!$B$2+1-原始資料!AF365,原始資料!AF365))</f>
        <v/>
      </c>
      <c r="AG365">
        <f>IF(原始資料!AG365="","",IF(反向題設定!$C$36="是",反向題設定!$B$2+1-原始資料!AG365,原始資料!AG365))</f>
        <v/>
      </c>
      <c r="AH365">
        <f>IF(原始資料!AH365="","",IF(反向題設定!$C$37="是",反向題設定!$B$2+1-原始資料!AH365,原始資料!AH365))</f>
        <v/>
      </c>
      <c r="AI365">
        <f>IF(原始資料!AI365="","",IF(反向題設定!$C$38="是",反向題設定!$B$2+1-原始資料!AI365,原始資料!AI365))</f>
        <v/>
      </c>
      <c r="AJ365">
        <f>IF(原始資料!AJ365="","",IF(反向題設定!$C$39="是",反向題設定!$B$2+1-原始資料!AJ365,原始資料!AJ365))</f>
        <v/>
      </c>
      <c r="AK365">
        <f>IF(原始資料!AK365="","",IF(反向題設定!$C$40="是",反向題設定!$B$2+1-原始資料!AK365,原始資料!AK365))</f>
        <v/>
      </c>
      <c r="AL365">
        <f>IF(原始資料!AL365="","",IF(反向題設定!$C$41="是",反向題設定!$B$2+1-原始資料!AL365,原始資料!AL365))</f>
        <v/>
      </c>
      <c r="AM365">
        <f>IF(原始資料!AM365="","",IF(反向題設定!$C$42="是",反向題設定!$B$2+1-原始資料!AM365,原始資料!AM365))</f>
        <v/>
      </c>
      <c r="AN365">
        <f>IF(原始資料!AN365="","",IF(反向題設定!$C$43="是",反向題設定!$B$2+1-原始資料!AN365,原始資料!AN365))</f>
        <v/>
      </c>
      <c r="AO365">
        <f>IF(原始資料!AO365="","",IF(反向題設定!$C$44="是",反向題設定!$B$2+1-原始資料!AO365,原始資料!AO365))</f>
        <v/>
      </c>
      <c r="AP365">
        <f>IF(COUNT(B365:AO365)=0,"",SUM(B365:AO365))</f>
        <v/>
      </c>
      <c r="AQ365">
        <f>IF(AP365="","",IF(AP365&gt;=項目分析!$C$5,"高",IF(AP365&lt;=項目分析!$C$6,"低","")))</f>
        <v/>
      </c>
    </row>
    <row r="366">
      <c r="A366">
        <f>IF(原始資料!A366="","",原始資料!A366)</f>
        <v/>
      </c>
      <c r="B366">
        <f>IF(原始資料!B366="","",IF(反向題設定!$C$5="是",反向題設定!$B$2+1-原始資料!B366,原始資料!B366))</f>
        <v/>
      </c>
      <c r="C366">
        <f>IF(原始資料!C366="","",IF(反向題設定!$C$6="是",反向題設定!$B$2+1-原始資料!C366,原始資料!C366))</f>
        <v/>
      </c>
      <c r="D366">
        <f>IF(原始資料!D366="","",IF(反向題設定!$C$7="是",反向題設定!$B$2+1-原始資料!D366,原始資料!D366))</f>
        <v/>
      </c>
      <c r="E366">
        <f>IF(原始資料!E366="","",IF(反向題設定!$C$8="是",反向題設定!$B$2+1-原始資料!E366,原始資料!E366))</f>
        <v/>
      </c>
      <c r="F366">
        <f>IF(原始資料!F366="","",IF(反向題設定!$C$9="是",反向題設定!$B$2+1-原始資料!F366,原始資料!F366))</f>
        <v/>
      </c>
      <c r="G366">
        <f>IF(原始資料!G366="","",IF(反向題設定!$C$10="是",反向題設定!$B$2+1-原始資料!G366,原始資料!G366))</f>
        <v/>
      </c>
      <c r="H366">
        <f>IF(原始資料!H366="","",IF(反向題設定!$C$11="是",反向題設定!$B$2+1-原始資料!H366,原始資料!H366))</f>
        <v/>
      </c>
      <c r="I366">
        <f>IF(原始資料!I366="","",IF(反向題設定!$C$12="是",反向題設定!$B$2+1-原始資料!I366,原始資料!I366))</f>
        <v/>
      </c>
      <c r="J366">
        <f>IF(原始資料!J366="","",IF(反向題設定!$C$13="是",反向題設定!$B$2+1-原始資料!J366,原始資料!J366))</f>
        <v/>
      </c>
      <c r="K366">
        <f>IF(原始資料!K366="","",IF(反向題設定!$C$14="是",反向題設定!$B$2+1-原始資料!K366,原始資料!K366))</f>
        <v/>
      </c>
      <c r="L366">
        <f>IF(原始資料!L366="","",IF(反向題設定!$C$15="是",反向題設定!$B$2+1-原始資料!L366,原始資料!L366))</f>
        <v/>
      </c>
      <c r="M366">
        <f>IF(原始資料!M366="","",IF(反向題設定!$C$16="是",反向題設定!$B$2+1-原始資料!M366,原始資料!M366))</f>
        <v/>
      </c>
      <c r="N366">
        <f>IF(原始資料!N366="","",IF(反向題設定!$C$17="是",反向題設定!$B$2+1-原始資料!N366,原始資料!N366))</f>
        <v/>
      </c>
      <c r="O366">
        <f>IF(原始資料!O366="","",IF(反向題設定!$C$18="是",反向題設定!$B$2+1-原始資料!O366,原始資料!O366))</f>
        <v/>
      </c>
      <c r="P366">
        <f>IF(原始資料!P366="","",IF(反向題設定!$C$19="是",反向題設定!$B$2+1-原始資料!P366,原始資料!P366))</f>
        <v/>
      </c>
      <c r="Q366">
        <f>IF(原始資料!Q366="","",IF(反向題設定!$C$20="是",反向題設定!$B$2+1-原始資料!Q366,原始資料!Q366))</f>
        <v/>
      </c>
      <c r="R366">
        <f>IF(原始資料!R366="","",IF(反向題設定!$C$21="是",反向題設定!$B$2+1-原始資料!R366,原始資料!R366))</f>
        <v/>
      </c>
      <c r="S366">
        <f>IF(原始資料!S366="","",IF(反向題設定!$C$22="是",反向題設定!$B$2+1-原始資料!S366,原始資料!S366))</f>
        <v/>
      </c>
      <c r="T366">
        <f>IF(原始資料!T366="","",IF(反向題設定!$C$23="是",反向題設定!$B$2+1-原始資料!T366,原始資料!T366))</f>
        <v/>
      </c>
      <c r="U366">
        <f>IF(原始資料!U366="","",IF(反向題設定!$C$24="是",反向題設定!$B$2+1-原始資料!U366,原始資料!U366))</f>
        <v/>
      </c>
      <c r="V366">
        <f>IF(原始資料!V366="","",IF(反向題設定!$C$25="是",反向題設定!$B$2+1-原始資料!V366,原始資料!V366))</f>
        <v/>
      </c>
      <c r="W366">
        <f>IF(原始資料!W366="","",IF(反向題設定!$C$26="是",反向題設定!$B$2+1-原始資料!W366,原始資料!W366))</f>
        <v/>
      </c>
      <c r="X366">
        <f>IF(原始資料!X366="","",IF(反向題設定!$C$27="是",反向題設定!$B$2+1-原始資料!X366,原始資料!X366))</f>
        <v/>
      </c>
      <c r="Y366">
        <f>IF(原始資料!Y366="","",IF(反向題設定!$C$28="是",反向題設定!$B$2+1-原始資料!Y366,原始資料!Y366))</f>
        <v/>
      </c>
      <c r="Z366">
        <f>IF(原始資料!Z366="","",IF(反向題設定!$C$29="是",反向題設定!$B$2+1-原始資料!Z366,原始資料!Z366))</f>
        <v/>
      </c>
      <c r="AA366">
        <f>IF(原始資料!AA366="","",IF(反向題設定!$C$30="是",反向題設定!$B$2+1-原始資料!AA366,原始資料!AA366))</f>
        <v/>
      </c>
      <c r="AB366">
        <f>IF(原始資料!AB366="","",IF(反向題設定!$C$31="是",反向題設定!$B$2+1-原始資料!AB366,原始資料!AB366))</f>
        <v/>
      </c>
      <c r="AC366">
        <f>IF(原始資料!AC366="","",IF(反向題設定!$C$32="是",反向題設定!$B$2+1-原始資料!AC366,原始資料!AC366))</f>
        <v/>
      </c>
      <c r="AD366">
        <f>IF(原始資料!AD366="","",IF(反向題設定!$C$33="是",反向題設定!$B$2+1-原始資料!AD366,原始資料!AD366))</f>
        <v/>
      </c>
      <c r="AE366">
        <f>IF(原始資料!AE366="","",IF(反向題設定!$C$34="是",反向題設定!$B$2+1-原始資料!AE366,原始資料!AE366))</f>
        <v/>
      </c>
      <c r="AF366">
        <f>IF(原始資料!AF366="","",IF(反向題設定!$C$35="是",反向題設定!$B$2+1-原始資料!AF366,原始資料!AF366))</f>
        <v/>
      </c>
      <c r="AG366">
        <f>IF(原始資料!AG366="","",IF(反向題設定!$C$36="是",反向題設定!$B$2+1-原始資料!AG366,原始資料!AG366))</f>
        <v/>
      </c>
      <c r="AH366">
        <f>IF(原始資料!AH366="","",IF(反向題設定!$C$37="是",反向題設定!$B$2+1-原始資料!AH366,原始資料!AH366))</f>
        <v/>
      </c>
      <c r="AI366">
        <f>IF(原始資料!AI366="","",IF(反向題設定!$C$38="是",反向題設定!$B$2+1-原始資料!AI366,原始資料!AI366))</f>
        <v/>
      </c>
      <c r="AJ366">
        <f>IF(原始資料!AJ366="","",IF(反向題設定!$C$39="是",反向題設定!$B$2+1-原始資料!AJ366,原始資料!AJ366))</f>
        <v/>
      </c>
      <c r="AK366">
        <f>IF(原始資料!AK366="","",IF(反向題設定!$C$40="是",反向題設定!$B$2+1-原始資料!AK366,原始資料!AK366))</f>
        <v/>
      </c>
      <c r="AL366">
        <f>IF(原始資料!AL366="","",IF(反向題設定!$C$41="是",反向題設定!$B$2+1-原始資料!AL366,原始資料!AL366))</f>
        <v/>
      </c>
      <c r="AM366">
        <f>IF(原始資料!AM366="","",IF(反向題設定!$C$42="是",反向題設定!$B$2+1-原始資料!AM366,原始資料!AM366))</f>
        <v/>
      </c>
      <c r="AN366">
        <f>IF(原始資料!AN366="","",IF(反向題設定!$C$43="是",反向題設定!$B$2+1-原始資料!AN366,原始資料!AN366))</f>
        <v/>
      </c>
      <c r="AO366">
        <f>IF(原始資料!AO366="","",IF(反向題設定!$C$44="是",反向題設定!$B$2+1-原始資料!AO366,原始資料!AO366))</f>
        <v/>
      </c>
      <c r="AP366">
        <f>IF(COUNT(B366:AO366)=0,"",SUM(B366:AO366))</f>
        <v/>
      </c>
      <c r="AQ366">
        <f>IF(AP366="","",IF(AP366&gt;=項目分析!$C$5,"高",IF(AP366&lt;=項目分析!$C$6,"低","")))</f>
        <v/>
      </c>
    </row>
    <row r="367">
      <c r="A367">
        <f>IF(原始資料!A367="","",原始資料!A367)</f>
        <v/>
      </c>
      <c r="B367">
        <f>IF(原始資料!B367="","",IF(反向題設定!$C$5="是",反向題設定!$B$2+1-原始資料!B367,原始資料!B367))</f>
        <v/>
      </c>
      <c r="C367">
        <f>IF(原始資料!C367="","",IF(反向題設定!$C$6="是",反向題設定!$B$2+1-原始資料!C367,原始資料!C367))</f>
        <v/>
      </c>
      <c r="D367">
        <f>IF(原始資料!D367="","",IF(反向題設定!$C$7="是",反向題設定!$B$2+1-原始資料!D367,原始資料!D367))</f>
        <v/>
      </c>
      <c r="E367">
        <f>IF(原始資料!E367="","",IF(反向題設定!$C$8="是",反向題設定!$B$2+1-原始資料!E367,原始資料!E367))</f>
        <v/>
      </c>
      <c r="F367">
        <f>IF(原始資料!F367="","",IF(反向題設定!$C$9="是",反向題設定!$B$2+1-原始資料!F367,原始資料!F367))</f>
        <v/>
      </c>
      <c r="G367">
        <f>IF(原始資料!G367="","",IF(反向題設定!$C$10="是",反向題設定!$B$2+1-原始資料!G367,原始資料!G367))</f>
        <v/>
      </c>
      <c r="H367">
        <f>IF(原始資料!H367="","",IF(反向題設定!$C$11="是",反向題設定!$B$2+1-原始資料!H367,原始資料!H367))</f>
        <v/>
      </c>
      <c r="I367">
        <f>IF(原始資料!I367="","",IF(反向題設定!$C$12="是",反向題設定!$B$2+1-原始資料!I367,原始資料!I367))</f>
        <v/>
      </c>
      <c r="J367">
        <f>IF(原始資料!J367="","",IF(反向題設定!$C$13="是",反向題設定!$B$2+1-原始資料!J367,原始資料!J367))</f>
        <v/>
      </c>
      <c r="K367">
        <f>IF(原始資料!K367="","",IF(反向題設定!$C$14="是",反向題設定!$B$2+1-原始資料!K367,原始資料!K367))</f>
        <v/>
      </c>
      <c r="L367">
        <f>IF(原始資料!L367="","",IF(反向題設定!$C$15="是",反向題設定!$B$2+1-原始資料!L367,原始資料!L367))</f>
        <v/>
      </c>
      <c r="M367">
        <f>IF(原始資料!M367="","",IF(反向題設定!$C$16="是",反向題設定!$B$2+1-原始資料!M367,原始資料!M367))</f>
        <v/>
      </c>
      <c r="N367">
        <f>IF(原始資料!N367="","",IF(反向題設定!$C$17="是",反向題設定!$B$2+1-原始資料!N367,原始資料!N367))</f>
        <v/>
      </c>
      <c r="O367">
        <f>IF(原始資料!O367="","",IF(反向題設定!$C$18="是",反向題設定!$B$2+1-原始資料!O367,原始資料!O367))</f>
        <v/>
      </c>
      <c r="P367">
        <f>IF(原始資料!P367="","",IF(反向題設定!$C$19="是",反向題設定!$B$2+1-原始資料!P367,原始資料!P367))</f>
        <v/>
      </c>
      <c r="Q367">
        <f>IF(原始資料!Q367="","",IF(反向題設定!$C$20="是",反向題設定!$B$2+1-原始資料!Q367,原始資料!Q367))</f>
        <v/>
      </c>
      <c r="R367">
        <f>IF(原始資料!R367="","",IF(反向題設定!$C$21="是",反向題設定!$B$2+1-原始資料!R367,原始資料!R367))</f>
        <v/>
      </c>
      <c r="S367">
        <f>IF(原始資料!S367="","",IF(反向題設定!$C$22="是",反向題設定!$B$2+1-原始資料!S367,原始資料!S367))</f>
        <v/>
      </c>
      <c r="T367">
        <f>IF(原始資料!T367="","",IF(反向題設定!$C$23="是",反向題設定!$B$2+1-原始資料!T367,原始資料!T367))</f>
        <v/>
      </c>
      <c r="U367">
        <f>IF(原始資料!U367="","",IF(反向題設定!$C$24="是",反向題設定!$B$2+1-原始資料!U367,原始資料!U367))</f>
        <v/>
      </c>
      <c r="V367">
        <f>IF(原始資料!V367="","",IF(反向題設定!$C$25="是",反向題設定!$B$2+1-原始資料!V367,原始資料!V367))</f>
        <v/>
      </c>
      <c r="W367">
        <f>IF(原始資料!W367="","",IF(反向題設定!$C$26="是",反向題設定!$B$2+1-原始資料!W367,原始資料!W367))</f>
        <v/>
      </c>
      <c r="X367">
        <f>IF(原始資料!X367="","",IF(反向題設定!$C$27="是",反向題設定!$B$2+1-原始資料!X367,原始資料!X367))</f>
        <v/>
      </c>
      <c r="Y367">
        <f>IF(原始資料!Y367="","",IF(反向題設定!$C$28="是",反向題設定!$B$2+1-原始資料!Y367,原始資料!Y367))</f>
        <v/>
      </c>
      <c r="Z367">
        <f>IF(原始資料!Z367="","",IF(反向題設定!$C$29="是",反向題設定!$B$2+1-原始資料!Z367,原始資料!Z367))</f>
        <v/>
      </c>
      <c r="AA367">
        <f>IF(原始資料!AA367="","",IF(反向題設定!$C$30="是",反向題設定!$B$2+1-原始資料!AA367,原始資料!AA367))</f>
        <v/>
      </c>
      <c r="AB367">
        <f>IF(原始資料!AB367="","",IF(反向題設定!$C$31="是",反向題設定!$B$2+1-原始資料!AB367,原始資料!AB367))</f>
        <v/>
      </c>
      <c r="AC367">
        <f>IF(原始資料!AC367="","",IF(反向題設定!$C$32="是",反向題設定!$B$2+1-原始資料!AC367,原始資料!AC367))</f>
        <v/>
      </c>
      <c r="AD367">
        <f>IF(原始資料!AD367="","",IF(反向題設定!$C$33="是",反向題設定!$B$2+1-原始資料!AD367,原始資料!AD367))</f>
        <v/>
      </c>
      <c r="AE367">
        <f>IF(原始資料!AE367="","",IF(反向題設定!$C$34="是",反向題設定!$B$2+1-原始資料!AE367,原始資料!AE367))</f>
        <v/>
      </c>
      <c r="AF367">
        <f>IF(原始資料!AF367="","",IF(反向題設定!$C$35="是",反向題設定!$B$2+1-原始資料!AF367,原始資料!AF367))</f>
        <v/>
      </c>
      <c r="AG367">
        <f>IF(原始資料!AG367="","",IF(反向題設定!$C$36="是",反向題設定!$B$2+1-原始資料!AG367,原始資料!AG367))</f>
        <v/>
      </c>
      <c r="AH367">
        <f>IF(原始資料!AH367="","",IF(反向題設定!$C$37="是",反向題設定!$B$2+1-原始資料!AH367,原始資料!AH367))</f>
        <v/>
      </c>
      <c r="AI367">
        <f>IF(原始資料!AI367="","",IF(反向題設定!$C$38="是",反向題設定!$B$2+1-原始資料!AI367,原始資料!AI367))</f>
        <v/>
      </c>
      <c r="AJ367">
        <f>IF(原始資料!AJ367="","",IF(反向題設定!$C$39="是",反向題設定!$B$2+1-原始資料!AJ367,原始資料!AJ367))</f>
        <v/>
      </c>
      <c r="AK367">
        <f>IF(原始資料!AK367="","",IF(反向題設定!$C$40="是",反向題設定!$B$2+1-原始資料!AK367,原始資料!AK367))</f>
        <v/>
      </c>
      <c r="AL367">
        <f>IF(原始資料!AL367="","",IF(反向題設定!$C$41="是",反向題設定!$B$2+1-原始資料!AL367,原始資料!AL367))</f>
        <v/>
      </c>
      <c r="AM367">
        <f>IF(原始資料!AM367="","",IF(反向題設定!$C$42="是",反向題設定!$B$2+1-原始資料!AM367,原始資料!AM367))</f>
        <v/>
      </c>
      <c r="AN367">
        <f>IF(原始資料!AN367="","",IF(反向題設定!$C$43="是",反向題設定!$B$2+1-原始資料!AN367,原始資料!AN367))</f>
        <v/>
      </c>
      <c r="AO367">
        <f>IF(原始資料!AO367="","",IF(反向題設定!$C$44="是",反向題設定!$B$2+1-原始資料!AO367,原始資料!AO367))</f>
        <v/>
      </c>
      <c r="AP367">
        <f>IF(COUNT(B367:AO367)=0,"",SUM(B367:AO367))</f>
        <v/>
      </c>
      <c r="AQ367">
        <f>IF(AP367="","",IF(AP367&gt;=項目分析!$C$5,"高",IF(AP367&lt;=項目分析!$C$6,"低","")))</f>
        <v/>
      </c>
    </row>
    <row r="368">
      <c r="A368">
        <f>IF(原始資料!A368="","",原始資料!A368)</f>
        <v/>
      </c>
      <c r="B368">
        <f>IF(原始資料!B368="","",IF(反向題設定!$C$5="是",反向題設定!$B$2+1-原始資料!B368,原始資料!B368))</f>
        <v/>
      </c>
      <c r="C368">
        <f>IF(原始資料!C368="","",IF(反向題設定!$C$6="是",反向題設定!$B$2+1-原始資料!C368,原始資料!C368))</f>
        <v/>
      </c>
      <c r="D368">
        <f>IF(原始資料!D368="","",IF(反向題設定!$C$7="是",反向題設定!$B$2+1-原始資料!D368,原始資料!D368))</f>
        <v/>
      </c>
      <c r="E368">
        <f>IF(原始資料!E368="","",IF(反向題設定!$C$8="是",反向題設定!$B$2+1-原始資料!E368,原始資料!E368))</f>
        <v/>
      </c>
      <c r="F368">
        <f>IF(原始資料!F368="","",IF(反向題設定!$C$9="是",反向題設定!$B$2+1-原始資料!F368,原始資料!F368))</f>
        <v/>
      </c>
      <c r="G368">
        <f>IF(原始資料!G368="","",IF(反向題設定!$C$10="是",反向題設定!$B$2+1-原始資料!G368,原始資料!G368))</f>
        <v/>
      </c>
      <c r="H368">
        <f>IF(原始資料!H368="","",IF(反向題設定!$C$11="是",反向題設定!$B$2+1-原始資料!H368,原始資料!H368))</f>
        <v/>
      </c>
      <c r="I368">
        <f>IF(原始資料!I368="","",IF(反向題設定!$C$12="是",反向題設定!$B$2+1-原始資料!I368,原始資料!I368))</f>
        <v/>
      </c>
      <c r="J368">
        <f>IF(原始資料!J368="","",IF(反向題設定!$C$13="是",反向題設定!$B$2+1-原始資料!J368,原始資料!J368))</f>
        <v/>
      </c>
      <c r="K368">
        <f>IF(原始資料!K368="","",IF(反向題設定!$C$14="是",反向題設定!$B$2+1-原始資料!K368,原始資料!K368))</f>
        <v/>
      </c>
      <c r="L368">
        <f>IF(原始資料!L368="","",IF(反向題設定!$C$15="是",反向題設定!$B$2+1-原始資料!L368,原始資料!L368))</f>
        <v/>
      </c>
      <c r="M368">
        <f>IF(原始資料!M368="","",IF(反向題設定!$C$16="是",反向題設定!$B$2+1-原始資料!M368,原始資料!M368))</f>
        <v/>
      </c>
      <c r="N368">
        <f>IF(原始資料!N368="","",IF(反向題設定!$C$17="是",反向題設定!$B$2+1-原始資料!N368,原始資料!N368))</f>
        <v/>
      </c>
      <c r="O368">
        <f>IF(原始資料!O368="","",IF(反向題設定!$C$18="是",反向題設定!$B$2+1-原始資料!O368,原始資料!O368))</f>
        <v/>
      </c>
      <c r="P368">
        <f>IF(原始資料!P368="","",IF(反向題設定!$C$19="是",反向題設定!$B$2+1-原始資料!P368,原始資料!P368))</f>
        <v/>
      </c>
      <c r="Q368">
        <f>IF(原始資料!Q368="","",IF(反向題設定!$C$20="是",反向題設定!$B$2+1-原始資料!Q368,原始資料!Q368))</f>
        <v/>
      </c>
      <c r="R368">
        <f>IF(原始資料!R368="","",IF(反向題設定!$C$21="是",反向題設定!$B$2+1-原始資料!R368,原始資料!R368))</f>
        <v/>
      </c>
      <c r="S368">
        <f>IF(原始資料!S368="","",IF(反向題設定!$C$22="是",反向題設定!$B$2+1-原始資料!S368,原始資料!S368))</f>
        <v/>
      </c>
      <c r="T368">
        <f>IF(原始資料!T368="","",IF(反向題設定!$C$23="是",反向題設定!$B$2+1-原始資料!T368,原始資料!T368))</f>
        <v/>
      </c>
      <c r="U368">
        <f>IF(原始資料!U368="","",IF(反向題設定!$C$24="是",反向題設定!$B$2+1-原始資料!U368,原始資料!U368))</f>
        <v/>
      </c>
      <c r="V368">
        <f>IF(原始資料!V368="","",IF(反向題設定!$C$25="是",反向題設定!$B$2+1-原始資料!V368,原始資料!V368))</f>
        <v/>
      </c>
      <c r="W368">
        <f>IF(原始資料!W368="","",IF(反向題設定!$C$26="是",反向題設定!$B$2+1-原始資料!W368,原始資料!W368))</f>
        <v/>
      </c>
      <c r="X368">
        <f>IF(原始資料!X368="","",IF(反向題設定!$C$27="是",反向題設定!$B$2+1-原始資料!X368,原始資料!X368))</f>
        <v/>
      </c>
      <c r="Y368">
        <f>IF(原始資料!Y368="","",IF(反向題設定!$C$28="是",反向題設定!$B$2+1-原始資料!Y368,原始資料!Y368))</f>
        <v/>
      </c>
      <c r="Z368">
        <f>IF(原始資料!Z368="","",IF(反向題設定!$C$29="是",反向題設定!$B$2+1-原始資料!Z368,原始資料!Z368))</f>
        <v/>
      </c>
      <c r="AA368">
        <f>IF(原始資料!AA368="","",IF(反向題設定!$C$30="是",反向題設定!$B$2+1-原始資料!AA368,原始資料!AA368))</f>
        <v/>
      </c>
      <c r="AB368">
        <f>IF(原始資料!AB368="","",IF(反向題設定!$C$31="是",反向題設定!$B$2+1-原始資料!AB368,原始資料!AB368))</f>
        <v/>
      </c>
      <c r="AC368">
        <f>IF(原始資料!AC368="","",IF(反向題設定!$C$32="是",反向題設定!$B$2+1-原始資料!AC368,原始資料!AC368))</f>
        <v/>
      </c>
      <c r="AD368">
        <f>IF(原始資料!AD368="","",IF(反向題設定!$C$33="是",反向題設定!$B$2+1-原始資料!AD368,原始資料!AD368))</f>
        <v/>
      </c>
      <c r="AE368">
        <f>IF(原始資料!AE368="","",IF(反向題設定!$C$34="是",反向題設定!$B$2+1-原始資料!AE368,原始資料!AE368))</f>
        <v/>
      </c>
      <c r="AF368">
        <f>IF(原始資料!AF368="","",IF(反向題設定!$C$35="是",反向題設定!$B$2+1-原始資料!AF368,原始資料!AF368))</f>
        <v/>
      </c>
      <c r="AG368">
        <f>IF(原始資料!AG368="","",IF(反向題設定!$C$36="是",反向題設定!$B$2+1-原始資料!AG368,原始資料!AG368))</f>
        <v/>
      </c>
      <c r="AH368">
        <f>IF(原始資料!AH368="","",IF(反向題設定!$C$37="是",反向題設定!$B$2+1-原始資料!AH368,原始資料!AH368))</f>
        <v/>
      </c>
      <c r="AI368">
        <f>IF(原始資料!AI368="","",IF(反向題設定!$C$38="是",反向題設定!$B$2+1-原始資料!AI368,原始資料!AI368))</f>
        <v/>
      </c>
      <c r="AJ368">
        <f>IF(原始資料!AJ368="","",IF(反向題設定!$C$39="是",反向題設定!$B$2+1-原始資料!AJ368,原始資料!AJ368))</f>
        <v/>
      </c>
      <c r="AK368">
        <f>IF(原始資料!AK368="","",IF(反向題設定!$C$40="是",反向題設定!$B$2+1-原始資料!AK368,原始資料!AK368))</f>
        <v/>
      </c>
      <c r="AL368">
        <f>IF(原始資料!AL368="","",IF(反向題設定!$C$41="是",反向題設定!$B$2+1-原始資料!AL368,原始資料!AL368))</f>
        <v/>
      </c>
      <c r="AM368">
        <f>IF(原始資料!AM368="","",IF(反向題設定!$C$42="是",反向題設定!$B$2+1-原始資料!AM368,原始資料!AM368))</f>
        <v/>
      </c>
      <c r="AN368">
        <f>IF(原始資料!AN368="","",IF(反向題設定!$C$43="是",反向題設定!$B$2+1-原始資料!AN368,原始資料!AN368))</f>
        <v/>
      </c>
      <c r="AO368">
        <f>IF(原始資料!AO368="","",IF(反向題設定!$C$44="是",反向題設定!$B$2+1-原始資料!AO368,原始資料!AO368))</f>
        <v/>
      </c>
      <c r="AP368">
        <f>IF(COUNT(B368:AO368)=0,"",SUM(B368:AO368))</f>
        <v/>
      </c>
      <c r="AQ368">
        <f>IF(AP368="","",IF(AP368&gt;=項目分析!$C$5,"高",IF(AP368&lt;=項目分析!$C$6,"低","")))</f>
        <v/>
      </c>
    </row>
    <row r="369">
      <c r="A369">
        <f>IF(原始資料!A369="","",原始資料!A369)</f>
        <v/>
      </c>
      <c r="B369">
        <f>IF(原始資料!B369="","",IF(反向題設定!$C$5="是",反向題設定!$B$2+1-原始資料!B369,原始資料!B369))</f>
        <v/>
      </c>
      <c r="C369">
        <f>IF(原始資料!C369="","",IF(反向題設定!$C$6="是",反向題設定!$B$2+1-原始資料!C369,原始資料!C369))</f>
        <v/>
      </c>
      <c r="D369">
        <f>IF(原始資料!D369="","",IF(反向題設定!$C$7="是",反向題設定!$B$2+1-原始資料!D369,原始資料!D369))</f>
        <v/>
      </c>
      <c r="E369">
        <f>IF(原始資料!E369="","",IF(反向題設定!$C$8="是",反向題設定!$B$2+1-原始資料!E369,原始資料!E369))</f>
        <v/>
      </c>
      <c r="F369">
        <f>IF(原始資料!F369="","",IF(反向題設定!$C$9="是",反向題設定!$B$2+1-原始資料!F369,原始資料!F369))</f>
        <v/>
      </c>
      <c r="G369">
        <f>IF(原始資料!G369="","",IF(反向題設定!$C$10="是",反向題設定!$B$2+1-原始資料!G369,原始資料!G369))</f>
        <v/>
      </c>
      <c r="H369">
        <f>IF(原始資料!H369="","",IF(反向題設定!$C$11="是",反向題設定!$B$2+1-原始資料!H369,原始資料!H369))</f>
        <v/>
      </c>
      <c r="I369">
        <f>IF(原始資料!I369="","",IF(反向題設定!$C$12="是",反向題設定!$B$2+1-原始資料!I369,原始資料!I369))</f>
        <v/>
      </c>
      <c r="J369">
        <f>IF(原始資料!J369="","",IF(反向題設定!$C$13="是",反向題設定!$B$2+1-原始資料!J369,原始資料!J369))</f>
        <v/>
      </c>
      <c r="K369">
        <f>IF(原始資料!K369="","",IF(反向題設定!$C$14="是",反向題設定!$B$2+1-原始資料!K369,原始資料!K369))</f>
        <v/>
      </c>
      <c r="L369">
        <f>IF(原始資料!L369="","",IF(反向題設定!$C$15="是",反向題設定!$B$2+1-原始資料!L369,原始資料!L369))</f>
        <v/>
      </c>
      <c r="M369">
        <f>IF(原始資料!M369="","",IF(反向題設定!$C$16="是",反向題設定!$B$2+1-原始資料!M369,原始資料!M369))</f>
        <v/>
      </c>
      <c r="N369">
        <f>IF(原始資料!N369="","",IF(反向題設定!$C$17="是",反向題設定!$B$2+1-原始資料!N369,原始資料!N369))</f>
        <v/>
      </c>
      <c r="O369">
        <f>IF(原始資料!O369="","",IF(反向題設定!$C$18="是",反向題設定!$B$2+1-原始資料!O369,原始資料!O369))</f>
        <v/>
      </c>
      <c r="P369">
        <f>IF(原始資料!P369="","",IF(反向題設定!$C$19="是",反向題設定!$B$2+1-原始資料!P369,原始資料!P369))</f>
        <v/>
      </c>
      <c r="Q369">
        <f>IF(原始資料!Q369="","",IF(反向題設定!$C$20="是",反向題設定!$B$2+1-原始資料!Q369,原始資料!Q369))</f>
        <v/>
      </c>
      <c r="R369">
        <f>IF(原始資料!R369="","",IF(反向題設定!$C$21="是",反向題設定!$B$2+1-原始資料!R369,原始資料!R369))</f>
        <v/>
      </c>
      <c r="S369">
        <f>IF(原始資料!S369="","",IF(反向題設定!$C$22="是",反向題設定!$B$2+1-原始資料!S369,原始資料!S369))</f>
        <v/>
      </c>
      <c r="T369">
        <f>IF(原始資料!T369="","",IF(反向題設定!$C$23="是",反向題設定!$B$2+1-原始資料!T369,原始資料!T369))</f>
        <v/>
      </c>
      <c r="U369">
        <f>IF(原始資料!U369="","",IF(反向題設定!$C$24="是",反向題設定!$B$2+1-原始資料!U369,原始資料!U369))</f>
        <v/>
      </c>
      <c r="V369">
        <f>IF(原始資料!V369="","",IF(反向題設定!$C$25="是",反向題設定!$B$2+1-原始資料!V369,原始資料!V369))</f>
        <v/>
      </c>
      <c r="W369">
        <f>IF(原始資料!W369="","",IF(反向題設定!$C$26="是",反向題設定!$B$2+1-原始資料!W369,原始資料!W369))</f>
        <v/>
      </c>
      <c r="X369">
        <f>IF(原始資料!X369="","",IF(反向題設定!$C$27="是",反向題設定!$B$2+1-原始資料!X369,原始資料!X369))</f>
        <v/>
      </c>
      <c r="Y369">
        <f>IF(原始資料!Y369="","",IF(反向題設定!$C$28="是",反向題設定!$B$2+1-原始資料!Y369,原始資料!Y369))</f>
        <v/>
      </c>
      <c r="Z369">
        <f>IF(原始資料!Z369="","",IF(反向題設定!$C$29="是",反向題設定!$B$2+1-原始資料!Z369,原始資料!Z369))</f>
        <v/>
      </c>
      <c r="AA369">
        <f>IF(原始資料!AA369="","",IF(反向題設定!$C$30="是",反向題設定!$B$2+1-原始資料!AA369,原始資料!AA369))</f>
        <v/>
      </c>
      <c r="AB369">
        <f>IF(原始資料!AB369="","",IF(反向題設定!$C$31="是",反向題設定!$B$2+1-原始資料!AB369,原始資料!AB369))</f>
        <v/>
      </c>
      <c r="AC369">
        <f>IF(原始資料!AC369="","",IF(反向題設定!$C$32="是",反向題設定!$B$2+1-原始資料!AC369,原始資料!AC369))</f>
        <v/>
      </c>
      <c r="AD369">
        <f>IF(原始資料!AD369="","",IF(反向題設定!$C$33="是",反向題設定!$B$2+1-原始資料!AD369,原始資料!AD369))</f>
        <v/>
      </c>
      <c r="AE369">
        <f>IF(原始資料!AE369="","",IF(反向題設定!$C$34="是",反向題設定!$B$2+1-原始資料!AE369,原始資料!AE369))</f>
        <v/>
      </c>
      <c r="AF369">
        <f>IF(原始資料!AF369="","",IF(反向題設定!$C$35="是",反向題設定!$B$2+1-原始資料!AF369,原始資料!AF369))</f>
        <v/>
      </c>
      <c r="AG369">
        <f>IF(原始資料!AG369="","",IF(反向題設定!$C$36="是",反向題設定!$B$2+1-原始資料!AG369,原始資料!AG369))</f>
        <v/>
      </c>
      <c r="AH369">
        <f>IF(原始資料!AH369="","",IF(反向題設定!$C$37="是",反向題設定!$B$2+1-原始資料!AH369,原始資料!AH369))</f>
        <v/>
      </c>
      <c r="AI369">
        <f>IF(原始資料!AI369="","",IF(反向題設定!$C$38="是",反向題設定!$B$2+1-原始資料!AI369,原始資料!AI369))</f>
        <v/>
      </c>
      <c r="AJ369">
        <f>IF(原始資料!AJ369="","",IF(反向題設定!$C$39="是",反向題設定!$B$2+1-原始資料!AJ369,原始資料!AJ369))</f>
        <v/>
      </c>
      <c r="AK369">
        <f>IF(原始資料!AK369="","",IF(反向題設定!$C$40="是",反向題設定!$B$2+1-原始資料!AK369,原始資料!AK369))</f>
        <v/>
      </c>
      <c r="AL369">
        <f>IF(原始資料!AL369="","",IF(反向題設定!$C$41="是",反向題設定!$B$2+1-原始資料!AL369,原始資料!AL369))</f>
        <v/>
      </c>
      <c r="AM369">
        <f>IF(原始資料!AM369="","",IF(反向題設定!$C$42="是",反向題設定!$B$2+1-原始資料!AM369,原始資料!AM369))</f>
        <v/>
      </c>
      <c r="AN369">
        <f>IF(原始資料!AN369="","",IF(反向題設定!$C$43="是",反向題設定!$B$2+1-原始資料!AN369,原始資料!AN369))</f>
        <v/>
      </c>
      <c r="AO369">
        <f>IF(原始資料!AO369="","",IF(反向題設定!$C$44="是",反向題設定!$B$2+1-原始資料!AO369,原始資料!AO369))</f>
        <v/>
      </c>
      <c r="AP369">
        <f>IF(COUNT(B369:AO369)=0,"",SUM(B369:AO369))</f>
        <v/>
      </c>
      <c r="AQ369">
        <f>IF(AP369="","",IF(AP369&gt;=項目分析!$C$5,"高",IF(AP369&lt;=項目分析!$C$6,"低","")))</f>
        <v/>
      </c>
    </row>
    <row r="370">
      <c r="A370">
        <f>IF(原始資料!A370="","",原始資料!A370)</f>
        <v/>
      </c>
      <c r="B370">
        <f>IF(原始資料!B370="","",IF(反向題設定!$C$5="是",反向題設定!$B$2+1-原始資料!B370,原始資料!B370))</f>
        <v/>
      </c>
      <c r="C370">
        <f>IF(原始資料!C370="","",IF(反向題設定!$C$6="是",反向題設定!$B$2+1-原始資料!C370,原始資料!C370))</f>
        <v/>
      </c>
      <c r="D370">
        <f>IF(原始資料!D370="","",IF(反向題設定!$C$7="是",反向題設定!$B$2+1-原始資料!D370,原始資料!D370))</f>
        <v/>
      </c>
      <c r="E370">
        <f>IF(原始資料!E370="","",IF(反向題設定!$C$8="是",反向題設定!$B$2+1-原始資料!E370,原始資料!E370))</f>
        <v/>
      </c>
      <c r="F370">
        <f>IF(原始資料!F370="","",IF(反向題設定!$C$9="是",反向題設定!$B$2+1-原始資料!F370,原始資料!F370))</f>
        <v/>
      </c>
      <c r="G370">
        <f>IF(原始資料!G370="","",IF(反向題設定!$C$10="是",反向題設定!$B$2+1-原始資料!G370,原始資料!G370))</f>
        <v/>
      </c>
      <c r="H370">
        <f>IF(原始資料!H370="","",IF(反向題設定!$C$11="是",反向題設定!$B$2+1-原始資料!H370,原始資料!H370))</f>
        <v/>
      </c>
      <c r="I370">
        <f>IF(原始資料!I370="","",IF(反向題設定!$C$12="是",反向題設定!$B$2+1-原始資料!I370,原始資料!I370))</f>
        <v/>
      </c>
      <c r="J370">
        <f>IF(原始資料!J370="","",IF(反向題設定!$C$13="是",反向題設定!$B$2+1-原始資料!J370,原始資料!J370))</f>
        <v/>
      </c>
      <c r="K370">
        <f>IF(原始資料!K370="","",IF(反向題設定!$C$14="是",反向題設定!$B$2+1-原始資料!K370,原始資料!K370))</f>
        <v/>
      </c>
      <c r="L370">
        <f>IF(原始資料!L370="","",IF(反向題設定!$C$15="是",反向題設定!$B$2+1-原始資料!L370,原始資料!L370))</f>
        <v/>
      </c>
      <c r="M370">
        <f>IF(原始資料!M370="","",IF(反向題設定!$C$16="是",反向題設定!$B$2+1-原始資料!M370,原始資料!M370))</f>
        <v/>
      </c>
      <c r="N370">
        <f>IF(原始資料!N370="","",IF(反向題設定!$C$17="是",反向題設定!$B$2+1-原始資料!N370,原始資料!N370))</f>
        <v/>
      </c>
      <c r="O370">
        <f>IF(原始資料!O370="","",IF(反向題設定!$C$18="是",反向題設定!$B$2+1-原始資料!O370,原始資料!O370))</f>
        <v/>
      </c>
      <c r="P370">
        <f>IF(原始資料!P370="","",IF(反向題設定!$C$19="是",反向題設定!$B$2+1-原始資料!P370,原始資料!P370))</f>
        <v/>
      </c>
      <c r="Q370">
        <f>IF(原始資料!Q370="","",IF(反向題設定!$C$20="是",反向題設定!$B$2+1-原始資料!Q370,原始資料!Q370))</f>
        <v/>
      </c>
      <c r="R370">
        <f>IF(原始資料!R370="","",IF(反向題設定!$C$21="是",反向題設定!$B$2+1-原始資料!R370,原始資料!R370))</f>
        <v/>
      </c>
      <c r="S370">
        <f>IF(原始資料!S370="","",IF(反向題設定!$C$22="是",反向題設定!$B$2+1-原始資料!S370,原始資料!S370))</f>
        <v/>
      </c>
      <c r="T370">
        <f>IF(原始資料!T370="","",IF(反向題設定!$C$23="是",反向題設定!$B$2+1-原始資料!T370,原始資料!T370))</f>
        <v/>
      </c>
      <c r="U370">
        <f>IF(原始資料!U370="","",IF(反向題設定!$C$24="是",反向題設定!$B$2+1-原始資料!U370,原始資料!U370))</f>
        <v/>
      </c>
      <c r="V370">
        <f>IF(原始資料!V370="","",IF(反向題設定!$C$25="是",反向題設定!$B$2+1-原始資料!V370,原始資料!V370))</f>
        <v/>
      </c>
      <c r="W370">
        <f>IF(原始資料!W370="","",IF(反向題設定!$C$26="是",反向題設定!$B$2+1-原始資料!W370,原始資料!W370))</f>
        <v/>
      </c>
      <c r="X370">
        <f>IF(原始資料!X370="","",IF(反向題設定!$C$27="是",反向題設定!$B$2+1-原始資料!X370,原始資料!X370))</f>
        <v/>
      </c>
      <c r="Y370">
        <f>IF(原始資料!Y370="","",IF(反向題設定!$C$28="是",反向題設定!$B$2+1-原始資料!Y370,原始資料!Y370))</f>
        <v/>
      </c>
      <c r="Z370">
        <f>IF(原始資料!Z370="","",IF(反向題設定!$C$29="是",反向題設定!$B$2+1-原始資料!Z370,原始資料!Z370))</f>
        <v/>
      </c>
      <c r="AA370">
        <f>IF(原始資料!AA370="","",IF(反向題設定!$C$30="是",反向題設定!$B$2+1-原始資料!AA370,原始資料!AA370))</f>
        <v/>
      </c>
      <c r="AB370">
        <f>IF(原始資料!AB370="","",IF(反向題設定!$C$31="是",反向題設定!$B$2+1-原始資料!AB370,原始資料!AB370))</f>
        <v/>
      </c>
      <c r="AC370">
        <f>IF(原始資料!AC370="","",IF(反向題設定!$C$32="是",反向題設定!$B$2+1-原始資料!AC370,原始資料!AC370))</f>
        <v/>
      </c>
      <c r="AD370">
        <f>IF(原始資料!AD370="","",IF(反向題設定!$C$33="是",反向題設定!$B$2+1-原始資料!AD370,原始資料!AD370))</f>
        <v/>
      </c>
      <c r="AE370">
        <f>IF(原始資料!AE370="","",IF(反向題設定!$C$34="是",反向題設定!$B$2+1-原始資料!AE370,原始資料!AE370))</f>
        <v/>
      </c>
      <c r="AF370">
        <f>IF(原始資料!AF370="","",IF(反向題設定!$C$35="是",反向題設定!$B$2+1-原始資料!AF370,原始資料!AF370))</f>
        <v/>
      </c>
      <c r="AG370">
        <f>IF(原始資料!AG370="","",IF(反向題設定!$C$36="是",反向題設定!$B$2+1-原始資料!AG370,原始資料!AG370))</f>
        <v/>
      </c>
      <c r="AH370">
        <f>IF(原始資料!AH370="","",IF(反向題設定!$C$37="是",反向題設定!$B$2+1-原始資料!AH370,原始資料!AH370))</f>
        <v/>
      </c>
      <c r="AI370">
        <f>IF(原始資料!AI370="","",IF(反向題設定!$C$38="是",反向題設定!$B$2+1-原始資料!AI370,原始資料!AI370))</f>
        <v/>
      </c>
      <c r="AJ370">
        <f>IF(原始資料!AJ370="","",IF(反向題設定!$C$39="是",反向題設定!$B$2+1-原始資料!AJ370,原始資料!AJ370))</f>
        <v/>
      </c>
      <c r="AK370">
        <f>IF(原始資料!AK370="","",IF(反向題設定!$C$40="是",反向題設定!$B$2+1-原始資料!AK370,原始資料!AK370))</f>
        <v/>
      </c>
      <c r="AL370">
        <f>IF(原始資料!AL370="","",IF(反向題設定!$C$41="是",反向題設定!$B$2+1-原始資料!AL370,原始資料!AL370))</f>
        <v/>
      </c>
      <c r="AM370">
        <f>IF(原始資料!AM370="","",IF(反向題設定!$C$42="是",反向題設定!$B$2+1-原始資料!AM370,原始資料!AM370))</f>
        <v/>
      </c>
      <c r="AN370">
        <f>IF(原始資料!AN370="","",IF(反向題設定!$C$43="是",反向題設定!$B$2+1-原始資料!AN370,原始資料!AN370))</f>
        <v/>
      </c>
      <c r="AO370">
        <f>IF(原始資料!AO370="","",IF(反向題設定!$C$44="是",反向題設定!$B$2+1-原始資料!AO370,原始資料!AO370))</f>
        <v/>
      </c>
      <c r="AP370">
        <f>IF(COUNT(B370:AO370)=0,"",SUM(B370:AO370))</f>
        <v/>
      </c>
      <c r="AQ370">
        <f>IF(AP370="","",IF(AP370&gt;=項目分析!$C$5,"高",IF(AP370&lt;=項目分析!$C$6,"低","")))</f>
        <v/>
      </c>
    </row>
    <row r="371">
      <c r="A371">
        <f>IF(原始資料!A371="","",原始資料!A371)</f>
        <v/>
      </c>
      <c r="B371">
        <f>IF(原始資料!B371="","",IF(反向題設定!$C$5="是",反向題設定!$B$2+1-原始資料!B371,原始資料!B371))</f>
        <v/>
      </c>
      <c r="C371">
        <f>IF(原始資料!C371="","",IF(反向題設定!$C$6="是",反向題設定!$B$2+1-原始資料!C371,原始資料!C371))</f>
        <v/>
      </c>
      <c r="D371">
        <f>IF(原始資料!D371="","",IF(反向題設定!$C$7="是",反向題設定!$B$2+1-原始資料!D371,原始資料!D371))</f>
        <v/>
      </c>
      <c r="E371">
        <f>IF(原始資料!E371="","",IF(反向題設定!$C$8="是",反向題設定!$B$2+1-原始資料!E371,原始資料!E371))</f>
        <v/>
      </c>
      <c r="F371">
        <f>IF(原始資料!F371="","",IF(反向題設定!$C$9="是",反向題設定!$B$2+1-原始資料!F371,原始資料!F371))</f>
        <v/>
      </c>
      <c r="G371">
        <f>IF(原始資料!G371="","",IF(反向題設定!$C$10="是",反向題設定!$B$2+1-原始資料!G371,原始資料!G371))</f>
        <v/>
      </c>
      <c r="H371">
        <f>IF(原始資料!H371="","",IF(反向題設定!$C$11="是",反向題設定!$B$2+1-原始資料!H371,原始資料!H371))</f>
        <v/>
      </c>
      <c r="I371">
        <f>IF(原始資料!I371="","",IF(反向題設定!$C$12="是",反向題設定!$B$2+1-原始資料!I371,原始資料!I371))</f>
        <v/>
      </c>
      <c r="J371">
        <f>IF(原始資料!J371="","",IF(反向題設定!$C$13="是",反向題設定!$B$2+1-原始資料!J371,原始資料!J371))</f>
        <v/>
      </c>
      <c r="K371">
        <f>IF(原始資料!K371="","",IF(反向題設定!$C$14="是",反向題設定!$B$2+1-原始資料!K371,原始資料!K371))</f>
        <v/>
      </c>
      <c r="L371">
        <f>IF(原始資料!L371="","",IF(反向題設定!$C$15="是",反向題設定!$B$2+1-原始資料!L371,原始資料!L371))</f>
        <v/>
      </c>
      <c r="M371">
        <f>IF(原始資料!M371="","",IF(反向題設定!$C$16="是",反向題設定!$B$2+1-原始資料!M371,原始資料!M371))</f>
        <v/>
      </c>
      <c r="N371">
        <f>IF(原始資料!N371="","",IF(反向題設定!$C$17="是",反向題設定!$B$2+1-原始資料!N371,原始資料!N371))</f>
        <v/>
      </c>
      <c r="O371">
        <f>IF(原始資料!O371="","",IF(反向題設定!$C$18="是",反向題設定!$B$2+1-原始資料!O371,原始資料!O371))</f>
        <v/>
      </c>
      <c r="P371">
        <f>IF(原始資料!P371="","",IF(反向題設定!$C$19="是",反向題設定!$B$2+1-原始資料!P371,原始資料!P371))</f>
        <v/>
      </c>
      <c r="Q371">
        <f>IF(原始資料!Q371="","",IF(反向題設定!$C$20="是",反向題設定!$B$2+1-原始資料!Q371,原始資料!Q371))</f>
        <v/>
      </c>
      <c r="R371">
        <f>IF(原始資料!R371="","",IF(反向題設定!$C$21="是",反向題設定!$B$2+1-原始資料!R371,原始資料!R371))</f>
        <v/>
      </c>
      <c r="S371">
        <f>IF(原始資料!S371="","",IF(反向題設定!$C$22="是",反向題設定!$B$2+1-原始資料!S371,原始資料!S371))</f>
        <v/>
      </c>
      <c r="T371">
        <f>IF(原始資料!T371="","",IF(反向題設定!$C$23="是",反向題設定!$B$2+1-原始資料!T371,原始資料!T371))</f>
        <v/>
      </c>
      <c r="U371">
        <f>IF(原始資料!U371="","",IF(反向題設定!$C$24="是",反向題設定!$B$2+1-原始資料!U371,原始資料!U371))</f>
        <v/>
      </c>
      <c r="V371">
        <f>IF(原始資料!V371="","",IF(反向題設定!$C$25="是",反向題設定!$B$2+1-原始資料!V371,原始資料!V371))</f>
        <v/>
      </c>
      <c r="W371">
        <f>IF(原始資料!W371="","",IF(反向題設定!$C$26="是",反向題設定!$B$2+1-原始資料!W371,原始資料!W371))</f>
        <v/>
      </c>
      <c r="X371">
        <f>IF(原始資料!X371="","",IF(反向題設定!$C$27="是",反向題設定!$B$2+1-原始資料!X371,原始資料!X371))</f>
        <v/>
      </c>
      <c r="Y371">
        <f>IF(原始資料!Y371="","",IF(反向題設定!$C$28="是",反向題設定!$B$2+1-原始資料!Y371,原始資料!Y371))</f>
        <v/>
      </c>
      <c r="Z371">
        <f>IF(原始資料!Z371="","",IF(反向題設定!$C$29="是",反向題設定!$B$2+1-原始資料!Z371,原始資料!Z371))</f>
        <v/>
      </c>
      <c r="AA371">
        <f>IF(原始資料!AA371="","",IF(反向題設定!$C$30="是",反向題設定!$B$2+1-原始資料!AA371,原始資料!AA371))</f>
        <v/>
      </c>
      <c r="AB371">
        <f>IF(原始資料!AB371="","",IF(反向題設定!$C$31="是",反向題設定!$B$2+1-原始資料!AB371,原始資料!AB371))</f>
        <v/>
      </c>
      <c r="AC371">
        <f>IF(原始資料!AC371="","",IF(反向題設定!$C$32="是",反向題設定!$B$2+1-原始資料!AC371,原始資料!AC371))</f>
        <v/>
      </c>
      <c r="AD371">
        <f>IF(原始資料!AD371="","",IF(反向題設定!$C$33="是",反向題設定!$B$2+1-原始資料!AD371,原始資料!AD371))</f>
        <v/>
      </c>
      <c r="AE371">
        <f>IF(原始資料!AE371="","",IF(反向題設定!$C$34="是",反向題設定!$B$2+1-原始資料!AE371,原始資料!AE371))</f>
        <v/>
      </c>
      <c r="AF371">
        <f>IF(原始資料!AF371="","",IF(反向題設定!$C$35="是",反向題設定!$B$2+1-原始資料!AF371,原始資料!AF371))</f>
        <v/>
      </c>
      <c r="AG371">
        <f>IF(原始資料!AG371="","",IF(反向題設定!$C$36="是",反向題設定!$B$2+1-原始資料!AG371,原始資料!AG371))</f>
        <v/>
      </c>
      <c r="AH371">
        <f>IF(原始資料!AH371="","",IF(反向題設定!$C$37="是",反向題設定!$B$2+1-原始資料!AH371,原始資料!AH371))</f>
        <v/>
      </c>
      <c r="AI371">
        <f>IF(原始資料!AI371="","",IF(反向題設定!$C$38="是",反向題設定!$B$2+1-原始資料!AI371,原始資料!AI371))</f>
        <v/>
      </c>
      <c r="AJ371">
        <f>IF(原始資料!AJ371="","",IF(反向題設定!$C$39="是",反向題設定!$B$2+1-原始資料!AJ371,原始資料!AJ371))</f>
        <v/>
      </c>
      <c r="AK371">
        <f>IF(原始資料!AK371="","",IF(反向題設定!$C$40="是",反向題設定!$B$2+1-原始資料!AK371,原始資料!AK371))</f>
        <v/>
      </c>
      <c r="AL371">
        <f>IF(原始資料!AL371="","",IF(反向題設定!$C$41="是",反向題設定!$B$2+1-原始資料!AL371,原始資料!AL371))</f>
        <v/>
      </c>
      <c r="AM371">
        <f>IF(原始資料!AM371="","",IF(反向題設定!$C$42="是",反向題設定!$B$2+1-原始資料!AM371,原始資料!AM371))</f>
        <v/>
      </c>
      <c r="AN371">
        <f>IF(原始資料!AN371="","",IF(反向題設定!$C$43="是",反向題設定!$B$2+1-原始資料!AN371,原始資料!AN371))</f>
        <v/>
      </c>
      <c r="AO371">
        <f>IF(原始資料!AO371="","",IF(反向題設定!$C$44="是",反向題設定!$B$2+1-原始資料!AO371,原始資料!AO371))</f>
        <v/>
      </c>
      <c r="AP371">
        <f>IF(COUNT(B371:AO371)=0,"",SUM(B371:AO371))</f>
        <v/>
      </c>
      <c r="AQ371">
        <f>IF(AP371="","",IF(AP371&gt;=項目分析!$C$5,"高",IF(AP371&lt;=項目分析!$C$6,"低","")))</f>
        <v/>
      </c>
    </row>
    <row r="372">
      <c r="A372">
        <f>IF(原始資料!A372="","",原始資料!A372)</f>
        <v/>
      </c>
      <c r="B372">
        <f>IF(原始資料!B372="","",IF(反向題設定!$C$5="是",反向題設定!$B$2+1-原始資料!B372,原始資料!B372))</f>
        <v/>
      </c>
      <c r="C372">
        <f>IF(原始資料!C372="","",IF(反向題設定!$C$6="是",反向題設定!$B$2+1-原始資料!C372,原始資料!C372))</f>
        <v/>
      </c>
      <c r="D372">
        <f>IF(原始資料!D372="","",IF(反向題設定!$C$7="是",反向題設定!$B$2+1-原始資料!D372,原始資料!D372))</f>
        <v/>
      </c>
      <c r="E372">
        <f>IF(原始資料!E372="","",IF(反向題設定!$C$8="是",反向題設定!$B$2+1-原始資料!E372,原始資料!E372))</f>
        <v/>
      </c>
      <c r="F372">
        <f>IF(原始資料!F372="","",IF(反向題設定!$C$9="是",反向題設定!$B$2+1-原始資料!F372,原始資料!F372))</f>
        <v/>
      </c>
      <c r="G372">
        <f>IF(原始資料!G372="","",IF(反向題設定!$C$10="是",反向題設定!$B$2+1-原始資料!G372,原始資料!G372))</f>
        <v/>
      </c>
      <c r="H372">
        <f>IF(原始資料!H372="","",IF(反向題設定!$C$11="是",反向題設定!$B$2+1-原始資料!H372,原始資料!H372))</f>
        <v/>
      </c>
      <c r="I372">
        <f>IF(原始資料!I372="","",IF(反向題設定!$C$12="是",反向題設定!$B$2+1-原始資料!I372,原始資料!I372))</f>
        <v/>
      </c>
      <c r="J372">
        <f>IF(原始資料!J372="","",IF(反向題設定!$C$13="是",反向題設定!$B$2+1-原始資料!J372,原始資料!J372))</f>
        <v/>
      </c>
      <c r="K372">
        <f>IF(原始資料!K372="","",IF(反向題設定!$C$14="是",反向題設定!$B$2+1-原始資料!K372,原始資料!K372))</f>
        <v/>
      </c>
      <c r="L372">
        <f>IF(原始資料!L372="","",IF(反向題設定!$C$15="是",反向題設定!$B$2+1-原始資料!L372,原始資料!L372))</f>
        <v/>
      </c>
      <c r="M372">
        <f>IF(原始資料!M372="","",IF(反向題設定!$C$16="是",反向題設定!$B$2+1-原始資料!M372,原始資料!M372))</f>
        <v/>
      </c>
      <c r="N372">
        <f>IF(原始資料!N372="","",IF(反向題設定!$C$17="是",反向題設定!$B$2+1-原始資料!N372,原始資料!N372))</f>
        <v/>
      </c>
      <c r="O372">
        <f>IF(原始資料!O372="","",IF(反向題設定!$C$18="是",反向題設定!$B$2+1-原始資料!O372,原始資料!O372))</f>
        <v/>
      </c>
      <c r="P372">
        <f>IF(原始資料!P372="","",IF(反向題設定!$C$19="是",反向題設定!$B$2+1-原始資料!P372,原始資料!P372))</f>
        <v/>
      </c>
      <c r="Q372">
        <f>IF(原始資料!Q372="","",IF(反向題設定!$C$20="是",反向題設定!$B$2+1-原始資料!Q372,原始資料!Q372))</f>
        <v/>
      </c>
      <c r="R372">
        <f>IF(原始資料!R372="","",IF(反向題設定!$C$21="是",反向題設定!$B$2+1-原始資料!R372,原始資料!R372))</f>
        <v/>
      </c>
      <c r="S372">
        <f>IF(原始資料!S372="","",IF(反向題設定!$C$22="是",反向題設定!$B$2+1-原始資料!S372,原始資料!S372))</f>
        <v/>
      </c>
      <c r="T372">
        <f>IF(原始資料!T372="","",IF(反向題設定!$C$23="是",反向題設定!$B$2+1-原始資料!T372,原始資料!T372))</f>
        <v/>
      </c>
      <c r="U372">
        <f>IF(原始資料!U372="","",IF(反向題設定!$C$24="是",反向題設定!$B$2+1-原始資料!U372,原始資料!U372))</f>
        <v/>
      </c>
      <c r="V372">
        <f>IF(原始資料!V372="","",IF(反向題設定!$C$25="是",反向題設定!$B$2+1-原始資料!V372,原始資料!V372))</f>
        <v/>
      </c>
      <c r="W372">
        <f>IF(原始資料!W372="","",IF(反向題設定!$C$26="是",反向題設定!$B$2+1-原始資料!W372,原始資料!W372))</f>
        <v/>
      </c>
      <c r="X372">
        <f>IF(原始資料!X372="","",IF(反向題設定!$C$27="是",反向題設定!$B$2+1-原始資料!X372,原始資料!X372))</f>
        <v/>
      </c>
      <c r="Y372">
        <f>IF(原始資料!Y372="","",IF(反向題設定!$C$28="是",反向題設定!$B$2+1-原始資料!Y372,原始資料!Y372))</f>
        <v/>
      </c>
      <c r="Z372">
        <f>IF(原始資料!Z372="","",IF(反向題設定!$C$29="是",反向題設定!$B$2+1-原始資料!Z372,原始資料!Z372))</f>
        <v/>
      </c>
      <c r="AA372">
        <f>IF(原始資料!AA372="","",IF(反向題設定!$C$30="是",反向題設定!$B$2+1-原始資料!AA372,原始資料!AA372))</f>
        <v/>
      </c>
      <c r="AB372">
        <f>IF(原始資料!AB372="","",IF(反向題設定!$C$31="是",反向題設定!$B$2+1-原始資料!AB372,原始資料!AB372))</f>
        <v/>
      </c>
      <c r="AC372">
        <f>IF(原始資料!AC372="","",IF(反向題設定!$C$32="是",反向題設定!$B$2+1-原始資料!AC372,原始資料!AC372))</f>
        <v/>
      </c>
      <c r="AD372">
        <f>IF(原始資料!AD372="","",IF(反向題設定!$C$33="是",反向題設定!$B$2+1-原始資料!AD372,原始資料!AD372))</f>
        <v/>
      </c>
      <c r="AE372">
        <f>IF(原始資料!AE372="","",IF(反向題設定!$C$34="是",反向題設定!$B$2+1-原始資料!AE372,原始資料!AE372))</f>
        <v/>
      </c>
      <c r="AF372">
        <f>IF(原始資料!AF372="","",IF(反向題設定!$C$35="是",反向題設定!$B$2+1-原始資料!AF372,原始資料!AF372))</f>
        <v/>
      </c>
      <c r="AG372">
        <f>IF(原始資料!AG372="","",IF(反向題設定!$C$36="是",反向題設定!$B$2+1-原始資料!AG372,原始資料!AG372))</f>
        <v/>
      </c>
      <c r="AH372">
        <f>IF(原始資料!AH372="","",IF(反向題設定!$C$37="是",反向題設定!$B$2+1-原始資料!AH372,原始資料!AH372))</f>
        <v/>
      </c>
      <c r="AI372">
        <f>IF(原始資料!AI372="","",IF(反向題設定!$C$38="是",反向題設定!$B$2+1-原始資料!AI372,原始資料!AI372))</f>
        <v/>
      </c>
      <c r="AJ372">
        <f>IF(原始資料!AJ372="","",IF(反向題設定!$C$39="是",反向題設定!$B$2+1-原始資料!AJ372,原始資料!AJ372))</f>
        <v/>
      </c>
      <c r="AK372">
        <f>IF(原始資料!AK372="","",IF(反向題設定!$C$40="是",反向題設定!$B$2+1-原始資料!AK372,原始資料!AK372))</f>
        <v/>
      </c>
      <c r="AL372">
        <f>IF(原始資料!AL372="","",IF(反向題設定!$C$41="是",反向題設定!$B$2+1-原始資料!AL372,原始資料!AL372))</f>
        <v/>
      </c>
      <c r="AM372">
        <f>IF(原始資料!AM372="","",IF(反向題設定!$C$42="是",反向題設定!$B$2+1-原始資料!AM372,原始資料!AM372))</f>
        <v/>
      </c>
      <c r="AN372">
        <f>IF(原始資料!AN372="","",IF(反向題設定!$C$43="是",反向題設定!$B$2+1-原始資料!AN372,原始資料!AN372))</f>
        <v/>
      </c>
      <c r="AO372">
        <f>IF(原始資料!AO372="","",IF(反向題設定!$C$44="是",反向題設定!$B$2+1-原始資料!AO372,原始資料!AO372))</f>
        <v/>
      </c>
      <c r="AP372">
        <f>IF(COUNT(B372:AO372)=0,"",SUM(B372:AO372))</f>
        <v/>
      </c>
      <c r="AQ372">
        <f>IF(AP372="","",IF(AP372&gt;=項目分析!$C$5,"高",IF(AP372&lt;=項目分析!$C$6,"低","")))</f>
        <v/>
      </c>
    </row>
    <row r="373">
      <c r="A373">
        <f>IF(原始資料!A373="","",原始資料!A373)</f>
        <v/>
      </c>
      <c r="B373">
        <f>IF(原始資料!B373="","",IF(反向題設定!$C$5="是",反向題設定!$B$2+1-原始資料!B373,原始資料!B373))</f>
        <v/>
      </c>
      <c r="C373">
        <f>IF(原始資料!C373="","",IF(反向題設定!$C$6="是",反向題設定!$B$2+1-原始資料!C373,原始資料!C373))</f>
        <v/>
      </c>
      <c r="D373">
        <f>IF(原始資料!D373="","",IF(反向題設定!$C$7="是",反向題設定!$B$2+1-原始資料!D373,原始資料!D373))</f>
        <v/>
      </c>
      <c r="E373">
        <f>IF(原始資料!E373="","",IF(反向題設定!$C$8="是",反向題設定!$B$2+1-原始資料!E373,原始資料!E373))</f>
        <v/>
      </c>
      <c r="F373">
        <f>IF(原始資料!F373="","",IF(反向題設定!$C$9="是",反向題設定!$B$2+1-原始資料!F373,原始資料!F373))</f>
        <v/>
      </c>
      <c r="G373">
        <f>IF(原始資料!G373="","",IF(反向題設定!$C$10="是",反向題設定!$B$2+1-原始資料!G373,原始資料!G373))</f>
        <v/>
      </c>
      <c r="H373">
        <f>IF(原始資料!H373="","",IF(反向題設定!$C$11="是",反向題設定!$B$2+1-原始資料!H373,原始資料!H373))</f>
        <v/>
      </c>
      <c r="I373">
        <f>IF(原始資料!I373="","",IF(反向題設定!$C$12="是",反向題設定!$B$2+1-原始資料!I373,原始資料!I373))</f>
        <v/>
      </c>
      <c r="J373">
        <f>IF(原始資料!J373="","",IF(反向題設定!$C$13="是",反向題設定!$B$2+1-原始資料!J373,原始資料!J373))</f>
        <v/>
      </c>
      <c r="K373">
        <f>IF(原始資料!K373="","",IF(反向題設定!$C$14="是",反向題設定!$B$2+1-原始資料!K373,原始資料!K373))</f>
        <v/>
      </c>
      <c r="L373">
        <f>IF(原始資料!L373="","",IF(反向題設定!$C$15="是",反向題設定!$B$2+1-原始資料!L373,原始資料!L373))</f>
        <v/>
      </c>
      <c r="M373">
        <f>IF(原始資料!M373="","",IF(反向題設定!$C$16="是",反向題設定!$B$2+1-原始資料!M373,原始資料!M373))</f>
        <v/>
      </c>
      <c r="N373">
        <f>IF(原始資料!N373="","",IF(反向題設定!$C$17="是",反向題設定!$B$2+1-原始資料!N373,原始資料!N373))</f>
        <v/>
      </c>
      <c r="O373">
        <f>IF(原始資料!O373="","",IF(反向題設定!$C$18="是",反向題設定!$B$2+1-原始資料!O373,原始資料!O373))</f>
        <v/>
      </c>
      <c r="P373">
        <f>IF(原始資料!P373="","",IF(反向題設定!$C$19="是",反向題設定!$B$2+1-原始資料!P373,原始資料!P373))</f>
        <v/>
      </c>
      <c r="Q373">
        <f>IF(原始資料!Q373="","",IF(反向題設定!$C$20="是",反向題設定!$B$2+1-原始資料!Q373,原始資料!Q373))</f>
        <v/>
      </c>
      <c r="R373">
        <f>IF(原始資料!R373="","",IF(反向題設定!$C$21="是",反向題設定!$B$2+1-原始資料!R373,原始資料!R373))</f>
        <v/>
      </c>
      <c r="S373">
        <f>IF(原始資料!S373="","",IF(反向題設定!$C$22="是",反向題設定!$B$2+1-原始資料!S373,原始資料!S373))</f>
        <v/>
      </c>
      <c r="T373">
        <f>IF(原始資料!T373="","",IF(反向題設定!$C$23="是",反向題設定!$B$2+1-原始資料!T373,原始資料!T373))</f>
        <v/>
      </c>
      <c r="U373">
        <f>IF(原始資料!U373="","",IF(反向題設定!$C$24="是",反向題設定!$B$2+1-原始資料!U373,原始資料!U373))</f>
        <v/>
      </c>
      <c r="V373">
        <f>IF(原始資料!V373="","",IF(反向題設定!$C$25="是",反向題設定!$B$2+1-原始資料!V373,原始資料!V373))</f>
        <v/>
      </c>
      <c r="W373">
        <f>IF(原始資料!W373="","",IF(反向題設定!$C$26="是",反向題設定!$B$2+1-原始資料!W373,原始資料!W373))</f>
        <v/>
      </c>
      <c r="X373">
        <f>IF(原始資料!X373="","",IF(反向題設定!$C$27="是",反向題設定!$B$2+1-原始資料!X373,原始資料!X373))</f>
        <v/>
      </c>
      <c r="Y373">
        <f>IF(原始資料!Y373="","",IF(反向題設定!$C$28="是",反向題設定!$B$2+1-原始資料!Y373,原始資料!Y373))</f>
        <v/>
      </c>
      <c r="Z373">
        <f>IF(原始資料!Z373="","",IF(反向題設定!$C$29="是",反向題設定!$B$2+1-原始資料!Z373,原始資料!Z373))</f>
        <v/>
      </c>
      <c r="AA373">
        <f>IF(原始資料!AA373="","",IF(反向題設定!$C$30="是",反向題設定!$B$2+1-原始資料!AA373,原始資料!AA373))</f>
        <v/>
      </c>
      <c r="AB373">
        <f>IF(原始資料!AB373="","",IF(反向題設定!$C$31="是",反向題設定!$B$2+1-原始資料!AB373,原始資料!AB373))</f>
        <v/>
      </c>
      <c r="AC373">
        <f>IF(原始資料!AC373="","",IF(反向題設定!$C$32="是",反向題設定!$B$2+1-原始資料!AC373,原始資料!AC373))</f>
        <v/>
      </c>
      <c r="AD373">
        <f>IF(原始資料!AD373="","",IF(反向題設定!$C$33="是",反向題設定!$B$2+1-原始資料!AD373,原始資料!AD373))</f>
        <v/>
      </c>
      <c r="AE373">
        <f>IF(原始資料!AE373="","",IF(反向題設定!$C$34="是",反向題設定!$B$2+1-原始資料!AE373,原始資料!AE373))</f>
        <v/>
      </c>
      <c r="AF373">
        <f>IF(原始資料!AF373="","",IF(反向題設定!$C$35="是",反向題設定!$B$2+1-原始資料!AF373,原始資料!AF373))</f>
        <v/>
      </c>
      <c r="AG373">
        <f>IF(原始資料!AG373="","",IF(反向題設定!$C$36="是",反向題設定!$B$2+1-原始資料!AG373,原始資料!AG373))</f>
        <v/>
      </c>
      <c r="AH373">
        <f>IF(原始資料!AH373="","",IF(反向題設定!$C$37="是",反向題設定!$B$2+1-原始資料!AH373,原始資料!AH373))</f>
        <v/>
      </c>
      <c r="AI373">
        <f>IF(原始資料!AI373="","",IF(反向題設定!$C$38="是",反向題設定!$B$2+1-原始資料!AI373,原始資料!AI373))</f>
        <v/>
      </c>
      <c r="AJ373">
        <f>IF(原始資料!AJ373="","",IF(反向題設定!$C$39="是",反向題設定!$B$2+1-原始資料!AJ373,原始資料!AJ373))</f>
        <v/>
      </c>
      <c r="AK373">
        <f>IF(原始資料!AK373="","",IF(反向題設定!$C$40="是",反向題設定!$B$2+1-原始資料!AK373,原始資料!AK373))</f>
        <v/>
      </c>
      <c r="AL373">
        <f>IF(原始資料!AL373="","",IF(反向題設定!$C$41="是",反向題設定!$B$2+1-原始資料!AL373,原始資料!AL373))</f>
        <v/>
      </c>
      <c r="AM373">
        <f>IF(原始資料!AM373="","",IF(反向題設定!$C$42="是",反向題設定!$B$2+1-原始資料!AM373,原始資料!AM373))</f>
        <v/>
      </c>
      <c r="AN373">
        <f>IF(原始資料!AN373="","",IF(反向題設定!$C$43="是",反向題設定!$B$2+1-原始資料!AN373,原始資料!AN373))</f>
        <v/>
      </c>
      <c r="AO373">
        <f>IF(原始資料!AO373="","",IF(反向題設定!$C$44="是",反向題設定!$B$2+1-原始資料!AO373,原始資料!AO373))</f>
        <v/>
      </c>
      <c r="AP373">
        <f>IF(COUNT(B373:AO373)=0,"",SUM(B373:AO373))</f>
        <v/>
      </c>
      <c r="AQ373">
        <f>IF(AP373="","",IF(AP373&gt;=項目分析!$C$5,"高",IF(AP373&lt;=項目分析!$C$6,"低","")))</f>
        <v/>
      </c>
    </row>
    <row r="374">
      <c r="A374">
        <f>IF(原始資料!A374="","",原始資料!A374)</f>
        <v/>
      </c>
      <c r="B374">
        <f>IF(原始資料!B374="","",IF(反向題設定!$C$5="是",反向題設定!$B$2+1-原始資料!B374,原始資料!B374))</f>
        <v/>
      </c>
      <c r="C374">
        <f>IF(原始資料!C374="","",IF(反向題設定!$C$6="是",反向題設定!$B$2+1-原始資料!C374,原始資料!C374))</f>
        <v/>
      </c>
      <c r="D374">
        <f>IF(原始資料!D374="","",IF(反向題設定!$C$7="是",反向題設定!$B$2+1-原始資料!D374,原始資料!D374))</f>
        <v/>
      </c>
      <c r="E374">
        <f>IF(原始資料!E374="","",IF(反向題設定!$C$8="是",反向題設定!$B$2+1-原始資料!E374,原始資料!E374))</f>
        <v/>
      </c>
      <c r="F374">
        <f>IF(原始資料!F374="","",IF(反向題設定!$C$9="是",反向題設定!$B$2+1-原始資料!F374,原始資料!F374))</f>
        <v/>
      </c>
      <c r="G374">
        <f>IF(原始資料!G374="","",IF(反向題設定!$C$10="是",反向題設定!$B$2+1-原始資料!G374,原始資料!G374))</f>
        <v/>
      </c>
      <c r="H374">
        <f>IF(原始資料!H374="","",IF(反向題設定!$C$11="是",反向題設定!$B$2+1-原始資料!H374,原始資料!H374))</f>
        <v/>
      </c>
      <c r="I374">
        <f>IF(原始資料!I374="","",IF(反向題設定!$C$12="是",反向題設定!$B$2+1-原始資料!I374,原始資料!I374))</f>
        <v/>
      </c>
      <c r="J374">
        <f>IF(原始資料!J374="","",IF(反向題設定!$C$13="是",反向題設定!$B$2+1-原始資料!J374,原始資料!J374))</f>
        <v/>
      </c>
      <c r="K374">
        <f>IF(原始資料!K374="","",IF(反向題設定!$C$14="是",反向題設定!$B$2+1-原始資料!K374,原始資料!K374))</f>
        <v/>
      </c>
      <c r="L374">
        <f>IF(原始資料!L374="","",IF(反向題設定!$C$15="是",反向題設定!$B$2+1-原始資料!L374,原始資料!L374))</f>
        <v/>
      </c>
      <c r="M374">
        <f>IF(原始資料!M374="","",IF(反向題設定!$C$16="是",反向題設定!$B$2+1-原始資料!M374,原始資料!M374))</f>
        <v/>
      </c>
      <c r="N374">
        <f>IF(原始資料!N374="","",IF(反向題設定!$C$17="是",反向題設定!$B$2+1-原始資料!N374,原始資料!N374))</f>
        <v/>
      </c>
      <c r="O374">
        <f>IF(原始資料!O374="","",IF(反向題設定!$C$18="是",反向題設定!$B$2+1-原始資料!O374,原始資料!O374))</f>
        <v/>
      </c>
      <c r="P374">
        <f>IF(原始資料!P374="","",IF(反向題設定!$C$19="是",反向題設定!$B$2+1-原始資料!P374,原始資料!P374))</f>
        <v/>
      </c>
      <c r="Q374">
        <f>IF(原始資料!Q374="","",IF(反向題設定!$C$20="是",反向題設定!$B$2+1-原始資料!Q374,原始資料!Q374))</f>
        <v/>
      </c>
      <c r="R374">
        <f>IF(原始資料!R374="","",IF(反向題設定!$C$21="是",反向題設定!$B$2+1-原始資料!R374,原始資料!R374))</f>
        <v/>
      </c>
      <c r="S374">
        <f>IF(原始資料!S374="","",IF(反向題設定!$C$22="是",反向題設定!$B$2+1-原始資料!S374,原始資料!S374))</f>
        <v/>
      </c>
      <c r="T374">
        <f>IF(原始資料!T374="","",IF(反向題設定!$C$23="是",反向題設定!$B$2+1-原始資料!T374,原始資料!T374))</f>
        <v/>
      </c>
      <c r="U374">
        <f>IF(原始資料!U374="","",IF(反向題設定!$C$24="是",反向題設定!$B$2+1-原始資料!U374,原始資料!U374))</f>
        <v/>
      </c>
      <c r="V374">
        <f>IF(原始資料!V374="","",IF(反向題設定!$C$25="是",反向題設定!$B$2+1-原始資料!V374,原始資料!V374))</f>
        <v/>
      </c>
      <c r="W374">
        <f>IF(原始資料!W374="","",IF(反向題設定!$C$26="是",反向題設定!$B$2+1-原始資料!W374,原始資料!W374))</f>
        <v/>
      </c>
      <c r="X374">
        <f>IF(原始資料!X374="","",IF(反向題設定!$C$27="是",反向題設定!$B$2+1-原始資料!X374,原始資料!X374))</f>
        <v/>
      </c>
      <c r="Y374">
        <f>IF(原始資料!Y374="","",IF(反向題設定!$C$28="是",反向題設定!$B$2+1-原始資料!Y374,原始資料!Y374))</f>
        <v/>
      </c>
      <c r="Z374">
        <f>IF(原始資料!Z374="","",IF(反向題設定!$C$29="是",反向題設定!$B$2+1-原始資料!Z374,原始資料!Z374))</f>
        <v/>
      </c>
      <c r="AA374">
        <f>IF(原始資料!AA374="","",IF(反向題設定!$C$30="是",反向題設定!$B$2+1-原始資料!AA374,原始資料!AA374))</f>
        <v/>
      </c>
      <c r="AB374">
        <f>IF(原始資料!AB374="","",IF(反向題設定!$C$31="是",反向題設定!$B$2+1-原始資料!AB374,原始資料!AB374))</f>
        <v/>
      </c>
      <c r="AC374">
        <f>IF(原始資料!AC374="","",IF(反向題設定!$C$32="是",反向題設定!$B$2+1-原始資料!AC374,原始資料!AC374))</f>
        <v/>
      </c>
      <c r="AD374">
        <f>IF(原始資料!AD374="","",IF(反向題設定!$C$33="是",反向題設定!$B$2+1-原始資料!AD374,原始資料!AD374))</f>
        <v/>
      </c>
      <c r="AE374">
        <f>IF(原始資料!AE374="","",IF(反向題設定!$C$34="是",反向題設定!$B$2+1-原始資料!AE374,原始資料!AE374))</f>
        <v/>
      </c>
      <c r="AF374">
        <f>IF(原始資料!AF374="","",IF(反向題設定!$C$35="是",反向題設定!$B$2+1-原始資料!AF374,原始資料!AF374))</f>
        <v/>
      </c>
      <c r="AG374">
        <f>IF(原始資料!AG374="","",IF(反向題設定!$C$36="是",反向題設定!$B$2+1-原始資料!AG374,原始資料!AG374))</f>
        <v/>
      </c>
      <c r="AH374">
        <f>IF(原始資料!AH374="","",IF(反向題設定!$C$37="是",反向題設定!$B$2+1-原始資料!AH374,原始資料!AH374))</f>
        <v/>
      </c>
      <c r="AI374">
        <f>IF(原始資料!AI374="","",IF(反向題設定!$C$38="是",反向題設定!$B$2+1-原始資料!AI374,原始資料!AI374))</f>
        <v/>
      </c>
      <c r="AJ374">
        <f>IF(原始資料!AJ374="","",IF(反向題設定!$C$39="是",反向題設定!$B$2+1-原始資料!AJ374,原始資料!AJ374))</f>
        <v/>
      </c>
      <c r="AK374">
        <f>IF(原始資料!AK374="","",IF(反向題設定!$C$40="是",反向題設定!$B$2+1-原始資料!AK374,原始資料!AK374))</f>
        <v/>
      </c>
      <c r="AL374">
        <f>IF(原始資料!AL374="","",IF(反向題設定!$C$41="是",反向題設定!$B$2+1-原始資料!AL374,原始資料!AL374))</f>
        <v/>
      </c>
      <c r="AM374">
        <f>IF(原始資料!AM374="","",IF(反向題設定!$C$42="是",反向題設定!$B$2+1-原始資料!AM374,原始資料!AM374))</f>
        <v/>
      </c>
      <c r="AN374">
        <f>IF(原始資料!AN374="","",IF(反向題設定!$C$43="是",反向題設定!$B$2+1-原始資料!AN374,原始資料!AN374))</f>
        <v/>
      </c>
      <c r="AO374">
        <f>IF(原始資料!AO374="","",IF(反向題設定!$C$44="是",反向題設定!$B$2+1-原始資料!AO374,原始資料!AO374))</f>
        <v/>
      </c>
      <c r="AP374">
        <f>IF(COUNT(B374:AO374)=0,"",SUM(B374:AO374))</f>
        <v/>
      </c>
      <c r="AQ374">
        <f>IF(AP374="","",IF(AP374&gt;=項目分析!$C$5,"高",IF(AP374&lt;=項目分析!$C$6,"低","")))</f>
        <v/>
      </c>
    </row>
    <row r="375">
      <c r="A375">
        <f>IF(原始資料!A375="","",原始資料!A375)</f>
        <v/>
      </c>
      <c r="B375">
        <f>IF(原始資料!B375="","",IF(反向題設定!$C$5="是",反向題設定!$B$2+1-原始資料!B375,原始資料!B375))</f>
        <v/>
      </c>
      <c r="C375">
        <f>IF(原始資料!C375="","",IF(反向題設定!$C$6="是",反向題設定!$B$2+1-原始資料!C375,原始資料!C375))</f>
        <v/>
      </c>
      <c r="D375">
        <f>IF(原始資料!D375="","",IF(反向題設定!$C$7="是",反向題設定!$B$2+1-原始資料!D375,原始資料!D375))</f>
        <v/>
      </c>
      <c r="E375">
        <f>IF(原始資料!E375="","",IF(反向題設定!$C$8="是",反向題設定!$B$2+1-原始資料!E375,原始資料!E375))</f>
        <v/>
      </c>
      <c r="F375">
        <f>IF(原始資料!F375="","",IF(反向題設定!$C$9="是",反向題設定!$B$2+1-原始資料!F375,原始資料!F375))</f>
        <v/>
      </c>
      <c r="G375">
        <f>IF(原始資料!G375="","",IF(反向題設定!$C$10="是",反向題設定!$B$2+1-原始資料!G375,原始資料!G375))</f>
        <v/>
      </c>
      <c r="H375">
        <f>IF(原始資料!H375="","",IF(反向題設定!$C$11="是",反向題設定!$B$2+1-原始資料!H375,原始資料!H375))</f>
        <v/>
      </c>
      <c r="I375">
        <f>IF(原始資料!I375="","",IF(反向題設定!$C$12="是",反向題設定!$B$2+1-原始資料!I375,原始資料!I375))</f>
        <v/>
      </c>
      <c r="J375">
        <f>IF(原始資料!J375="","",IF(反向題設定!$C$13="是",反向題設定!$B$2+1-原始資料!J375,原始資料!J375))</f>
        <v/>
      </c>
      <c r="K375">
        <f>IF(原始資料!K375="","",IF(反向題設定!$C$14="是",反向題設定!$B$2+1-原始資料!K375,原始資料!K375))</f>
        <v/>
      </c>
      <c r="L375">
        <f>IF(原始資料!L375="","",IF(反向題設定!$C$15="是",反向題設定!$B$2+1-原始資料!L375,原始資料!L375))</f>
        <v/>
      </c>
      <c r="M375">
        <f>IF(原始資料!M375="","",IF(反向題設定!$C$16="是",反向題設定!$B$2+1-原始資料!M375,原始資料!M375))</f>
        <v/>
      </c>
      <c r="N375">
        <f>IF(原始資料!N375="","",IF(反向題設定!$C$17="是",反向題設定!$B$2+1-原始資料!N375,原始資料!N375))</f>
        <v/>
      </c>
      <c r="O375">
        <f>IF(原始資料!O375="","",IF(反向題設定!$C$18="是",反向題設定!$B$2+1-原始資料!O375,原始資料!O375))</f>
        <v/>
      </c>
      <c r="P375">
        <f>IF(原始資料!P375="","",IF(反向題設定!$C$19="是",反向題設定!$B$2+1-原始資料!P375,原始資料!P375))</f>
        <v/>
      </c>
      <c r="Q375">
        <f>IF(原始資料!Q375="","",IF(反向題設定!$C$20="是",反向題設定!$B$2+1-原始資料!Q375,原始資料!Q375))</f>
        <v/>
      </c>
      <c r="R375">
        <f>IF(原始資料!R375="","",IF(反向題設定!$C$21="是",反向題設定!$B$2+1-原始資料!R375,原始資料!R375))</f>
        <v/>
      </c>
      <c r="S375">
        <f>IF(原始資料!S375="","",IF(反向題設定!$C$22="是",反向題設定!$B$2+1-原始資料!S375,原始資料!S375))</f>
        <v/>
      </c>
      <c r="T375">
        <f>IF(原始資料!T375="","",IF(反向題設定!$C$23="是",反向題設定!$B$2+1-原始資料!T375,原始資料!T375))</f>
        <v/>
      </c>
      <c r="U375">
        <f>IF(原始資料!U375="","",IF(反向題設定!$C$24="是",反向題設定!$B$2+1-原始資料!U375,原始資料!U375))</f>
        <v/>
      </c>
      <c r="V375">
        <f>IF(原始資料!V375="","",IF(反向題設定!$C$25="是",反向題設定!$B$2+1-原始資料!V375,原始資料!V375))</f>
        <v/>
      </c>
      <c r="W375">
        <f>IF(原始資料!W375="","",IF(反向題設定!$C$26="是",反向題設定!$B$2+1-原始資料!W375,原始資料!W375))</f>
        <v/>
      </c>
      <c r="X375">
        <f>IF(原始資料!X375="","",IF(反向題設定!$C$27="是",反向題設定!$B$2+1-原始資料!X375,原始資料!X375))</f>
        <v/>
      </c>
      <c r="Y375">
        <f>IF(原始資料!Y375="","",IF(反向題設定!$C$28="是",反向題設定!$B$2+1-原始資料!Y375,原始資料!Y375))</f>
        <v/>
      </c>
      <c r="Z375">
        <f>IF(原始資料!Z375="","",IF(反向題設定!$C$29="是",反向題設定!$B$2+1-原始資料!Z375,原始資料!Z375))</f>
        <v/>
      </c>
      <c r="AA375">
        <f>IF(原始資料!AA375="","",IF(反向題設定!$C$30="是",反向題設定!$B$2+1-原始資料!AA375,原始資料!AA375))</f>
        <v/>
      </c>
      <c r="AB375">
        <f>IF(原始資料!AB375="","",IF(反向題設定!$C$31="是",反向題設定!$B$2+1-原始資料!AB375,原始資料!AB375))</f>
        <v/>
      </c>
      <c r="AC375">
        <f>IF(原始資料!AC375="","",IF(反向題設定!$C$32="是",反向題設定!$B$2+1-原始資料!AC375,原始資料!AC375))</f>
        <v/>
      </c>
      <c r="AD375">
        <f>IF(原始資料!AD375="","",IF(反向題設定!$C$33="是",反向題設定!$B$2+1-原始資料!AD375,原始資料!AD375))</f>
        <v/>
      </c>
      <c r="AE375">
        <f>IF(原始資料!AE375="","",IF(反向題設定!$C$34="是",反向題設定!$B$2+1-原始資料!AE375,原始資料!AE375))</f>
        <v/>
      </c>
      <c r="AF375">
        <f>IF(原始資料!AF375="","",IF(反向題設定!$C$35="是",反向題設定!$B$2+1-原始資料!AF375,原始資料!AF375))</f>
        <v/>
      </c>
      <c r="AG375">
        <f>IF(原始資料!AG375="","",IF(反向題設定!$C$36="是",反向題設定!$B$2+1-原始資料!AG375,原始資料!AG375))</f>
        <v/>
      </c>
      <c r="AH375">
        <f>IF(原始資料!AH375="","",IF(反向題設定!$C$37="是",反向題設定!$B$2+1-原始資料!AH375,原始資料!AH375))</f>
        <v/>
      </c>
      <c r="AI375">
        <f>IF(原始資料!AI375="","",IF(反向題設定!$C$38="是",反向題設定!$B$2+1-原始資料!AI375,原始資料!AI375))</f>
        <v/>
      </c>
      <c r="AJ375">
        <f>IF(原始資料!AJ375="","",IF(反向題設定!$C$39="是",反向題設定!$B$2+1-原始資料!AJ375,原始資料!AJ375))</f>
        <v/>
      </c>
      <c r="AK375">
        <f>IF(原始資料!AK375="","",IF(反向題設定!$C$40="是",反向題設定!$B$2+1-原始資料!AK375,原始資料!AK375))</f>
        <v/>
      </c>
      <c r="AL375">
        <f>IF(原始資料!AL375="","",IF(反向題設定!$C$41="是",反向題設定!$B$2+1-原始資料!AL375,原始資料!AL375))</f>
        <v/>
      </c>
      <c r="AM375">
        <f>IF(原始資料!AM375="","",IF(反向題設定!$C$42="是",反向題設定!$B$2+1-原始資料!AM375,原始資料!AM375))</f>
        <v/>
      </c>
      <c r="AN375">
        <f>IF(原始資料!AN375="","",IF(反向題設定!$C$43="是",反向題設定!$B$2+1-原始資料!AN375,原始資料!AN375))</f>
        <v/>
      </c>
      <c r="AO375">
        <f>IF(原始資料!AO375="","",IF(反向題設定!$C$44="是",反向題設定!$B$2+1-原始資料!AO375,原始資料!AO375))</f>
        <v/>
      </c>
      <c r="AP375">
        <f>IF(COUNT(B375:AO375)=0,"",SUM(B375:AO375))</f>
        <v/>
      </c>
      <c r="AQ375">
        <f>IF(AP375="","",IF(AP375&gt;=項目分析!$C$5,"高",IF(AP375&lt;=項目分析!$C$6,"低","")))</f>
        <v/>
      </c>
    </row>
    <row r="376">
      <c r="A376">
        <f>IF(原始資料!A376="","",原始資料!A376)</f>
        <v/>
      </c>
      <c r="B376">
        <f>IF(原始資料!B376="","",IF(反向題設定!$C$5="是",反向題設定!$B$2+1-原始資料!B376,原始資料!B376))</f>
        <v/>
      </c>
      <c r="C376">
        <f>IF(原始資料!C376="","",IF(反向題設定!$C$6="是",反向題設定!$B$2+1-原始資料!C376,原始資料!C376))</f>
        <v/>
      </c>
      <c r="D376">
        <f>IF(原始資料!D376="","",IF(反向題設定!$C$7="是",反向題設定!$B$2+1-原始資料!D376,原始資料!D376))</f>
        <v/>
      </c>
      <c r="E376">
        <f>IF(原始資料!E376="","",IF(反向題設定!$C$8="是",反向題設定!$B$2+1-原始資料!E376,原始資料!E376))</f>
        <v/>
      </c>
      <c r="F376">
        <f>IF(原始資料!F376="","",IF(反向題設定!$C$9="是",反向題設定!$B$2+1-原始資料!F376,原始資料!F376))</f>
        <v/>
      </c>
      <c r="G376">
        <f>IF(原始資料!G376="","",IF(反向題設定!$C$10="是",反向題設定!$B$2+1-原始資料!G376,原始資料!G376))</f>
        <v/>
      </c>
      <c r="H376">
        <f>IF(原始資料!H376="","",IF(反向題設定!$C$11="是",反向題設定!$B$2+1-原始資料!H376,原始資料!H376))</f>
        <v/>
      </c>
      <c r="I376">
        <f>IF(原始資料!I376="","",IF(反向題設定!$C$12="是",反向題設定!$B$2+1-原始資料!I376,原始資料!I376))</f>
        <v/>
      </c>
      <c r="J376">
        <f>IF(原始資料!J376="","",IF(反向題設定!$C$13="是",反向題設定!$B$2+1-原始資料!J376,原始資料!J376))</f>
        <v/>
      </c>
      <c r="K376">
        <f>IF(原始資料!K376="","",IF(反向題設定!$C$14="是",反向題設定!$B$2+1-原始資料!K376,原始資料!K376))</f>
        <v/>
      </c>
      <c r="L376">
        <f>IF(原始資料!L376="","",IF(反向題設定!$C$15="是",反向題設定!$B$2+1-原始資料!L376,原始資料!L376))</f>
        <v/>
      </c>
      <c r="M376">
        <f>IF(原始資料!M376="","",IF(反向題設定!$C$16="是",反向題設定!$B$2+1-原始資料!M376,原始資料!M376))</f>
        <v/>
      </c>
      <c r="N376">
        <f>IF(原始資料!N376="","",IF(反向題設定!$C$17="是",反向題設定!$B$2+1-原始資料!N376,原始資料!N376))</f>
        <v/>
      </c>
      <c r="O376">
        <f>IF(原始資料!O376="","",IF(反向題設定!$C$18="是",反向題設定!$B$2+1-原始資料!O376,原始資料!O376))</f>
        <v/>
      </c>
      <c r="P376">
        <f>IF(原始資料!P376="","",IF(反向題設定!$C$19="是",反向題設定!$B$2+1-原始資料!P376,原始資料!P376))</f>
        <v/>
      </c>
      <c r="Q376">
        <f>IF(原始資料!Q376="","",IF(反向題設定!$C$20="是",反向題設定!$B$2+1-原始資料!Q376,原始資料!Q376))</f>
        <v/>
      </c>
      <c r="R376">
        <f>IF(原始資料!R376="","",IF(反向題設定!$C$21="是",反向題設定!$B$2+1-原始資料!R376,原始資料!R376))</f>
        <v/>
      </c>
      <c r="S376">
        <f>IF(原始資料!S376="","",IF(反向題設定!$C$22="是",反向題設定!$B$2+1-原始資料!S376,原始資料!S376))</f>
        <v/>
      </c>
      <c r="T376">
        <f>IF(原始資料!T376="","",IF(反向題設定!$C$23="是",反向題設定!$B$2+1-原始資料!T376,原始資料!T376))</f>
        <v/>
      </c>
      <c r="U376">
        <f>IF(原始資料!U376="","",IF(反向題設定!$C$24="是",反向題設定!$B$2+1-原始資料!U376,原始資料!U376))</f>
        <v/>
      </c>
      <c r="V376">
        <f>IF(原始資料!V376="","",IF(反向題設定!$C$25="是",反向題設定!$B$2+1-原始資料!V376,原始資料!V376))</f>
        <v/>
      </c>
      <c r="W376">
        <f>IF(原始資料!W376="","",IF(反向題設定!$C$26="是",反向題設定!$B$2+1-原始資料!W376,原始資料!W376))</f>
        <v/>
      </c>
      <c r="X376">
        <f>IF(原始資料!X376="","",IF(反向題設定!$C$27="是",反向題設定!$B$2+1-原始資料!X376,原始資料!X376))</f>
        <v/>
      </c>
      <c r="Y376">
        <f>IF(原始資料!Y376="","",IF(反向題設定!$C$28="是",反向題設定!$B$2+1-原始資料!Y376,原始資料!Y376))</f>
        <v/>
      </c>
      <c r="Z376">
        <f>IF(原始資料!Z376="","",IF(反向題設定!$C$29="是",反向題設定!$B$2+1-原始資料!Z376,原始資料!Z376))</f>
        <v/>
      </c>
      <c r="AA376">
        <f>IF(原始資料!AA376="","",IF(反向題設定!$C$30="是",反向題設定!$B$2+1-原始資料!AA376,原始資料!AA376))</f>
        <v/>
      </c>
      <c r="AB376">
        <f>IF(原始資料!AB376="","",IF(反向題設定!$C$31="是",反向題設定!$B$2+1-原始資料!AB376,原始資料!AB376))</f>
        <v/>
      </c>
      <c r="AC376">
        <f>IF(原始資料!AC376="","",IF(反向題設定!$C$32="是",反向題設定!$B$2+1-原始資料!AC376,原始資料!AC376))</f>
        <v/>
      </c>
      <c r="AD376">
        <f>IF(原始資料!AD376="","",IF(反向題設定!$C$33="是",反向題設定!$B$2+1-原始資料!AD376,原始資料!AD376))</f>
        <v/>
      </c>
      <c r="AE376">
        <f>IF(原始資料!AE376="","",IF(反向題設定!$C$34="是",反向題設定!$B$2+1-原始資料!AE376,原始資料!AE376))</f>
        <v/>
      </c>
      <c r="AF376">
        <f>IF(原始資料!AF376="","",IF(反向題設定!$C$35="是",反向題設定!$B$2+1-原始資料!AF376,原始資料!AF376))</f>
        <v/>
      </c>
      <c r="AG376">
        <f>IF(原始資料!AG376="","",IF(反向題設定!$C$36="是",反向題設定!$B$2+1-原始資料!AG376,原始資料!AG376))</f>
        <v/>
      </c>
      <c r="AH376">
        <f>IF(原始資料!AH376="","",IF(反向題設定!$C$37="是",反向題設定!$B$2+1-原始資料!AH376,原始資料!AH376))</f>
        <v/>
      </c>
      <c r="AI376">
        <f>IF(原始資料!AI376="","",IF(反向題設定!$C$38="是",反向題設定!$B$2+1-原始資料!AI376,原始資料!AI376))</f>
        <v/>
      </c>
      <c r="AJ376">
        <f>IF(原始資料!AJ376="","",IF(反向題設定!$C$39="是",反向題設定!$B$2+1-原始資料!AJ376,原始資料!AJ376))</f>
        <v/>
      </c>
      <c r="AK376">
        <f>IF(原始資料!AK376="","",IF(反向題設定!$C$40="是",反向題設定!$B$2+1-原始資料!AK376,原始資料!AK376))</f>
        <v/>
      </c>
      <c r="AL376">
        <f>IF(原始資料!AL376="","",IF(反向題設定!$C$41="是",反向題設定!$B$2+1-原始資料!AL376,原始資料!AL376))</f>
        <v/>
      </c>
      <c r="AM376">
        <f>IF(原始資料!AM376="","",IF(反向題設定!$C$42="是",反向題設定!$B$2+1-原始資料!AM376,原始資料!AM376))</f>
        <v/>
      </c>
      <c r="AN376">
        <f>IF(原始資料!AN376="","",IF(反向題設定!$C$43="是",反向題設定!$B$2+1-原始資料!AN376,原始資料!AN376))</f>
        <v/>
      </c>
      <c r="AO376">
        <f>IF(原始資料!AO376="","",IF(反向題設定!$C$44="是",反向題設定!$B$2+1-原始資料!AO376,原始資料!AO376))</f>
        <v/>
      </c>
      <c r="AP376">
        <f>IF(COUNT(B376:AO376)=0,"",SUM(B376:AO376))</f>
        <v/>
      </c>
      <c r="AQ376">
        <f>IF(AP376="","",IF(AP376&gt;=項目分析!$C$5,"高",IF(AP376&lt;=項目分析!$C$6,"低","")))</f>
        <v/>
      </c>
    </row>
    <row r="377">
      <c r="A377">
        <f>IF(原始資料!A377="","",原始資料!A377)</f>
        <v/>
      </c>
      <c r="B377">
        <f>IF(原始資料!B377="","",IF(反向題設定!$C$5="是",反向題設定!$B$2+1-原始資料!B377,原始資料!B377))</f>
        <v/>
      </c>
      <c r="C377">
        <f>IF(原始資料!C377="","",IF(反向題設定!$C$6="是",反向題設定!$B$2+1-原始資料!C377,原始資料!C377))</f>
        <v/>
      </c>
      <c r="D377">
        <f>IF(原始資料!D377="","",IF(反向題設定!$C$7="是",反向題設定!$B$2+1-原始資料!D377,原始資料!D377))</f>
        <v/>
      </c>
      <c r="E377">
        <f>IF(原始資料!E377="","",IF(反向題設定!$C$8="是",反向題設定!$B$2+1-原始資料!E377,原始資料!E377))</f>
        <v/>
      </c>
      <c r="F377">
        <f>IF(原始資料!F377="","",IF(反向題設定!$C$9="是",反向題設定!$B$2+1-原始資料!F377,原始資料!F377))</f>
        <v/>
      </c>
      <c r="G377">
        <f>IF(原始資料!G377="","",IF(反向題設定!$C$10="是",反向題設定!$B$2+1-原始資料!G377,原始資料!G377))</f>
        <v/>
      </c>
      <c r="H377">
        <f>IF(原始資料!H377="","",IF(反向題設定!$C$11="是",反向題設定!$B$2+1-原始資料!H377,原始資料!H377))</f>
        <v/>
      </c>
      <c r="I377">
        <f>IF(原始資料!I377="","",IF(反向題設定!$C$12="是",反向題設定!$B$2+1-原始資料!I377,原始資料!I377))</f>
        <v/>
      </c>
      <c r="J377">
        <f>IF(原始資料!J377="","",IF(反向題設定!$C$13="是",反向題設定!$B$2+1-原始資料!J377,原始資料!J377))</f>
        <v/>
      </c>
      <c r="K377">
        <f>IF(原始資料!K377="","",IF(反向題設定!$C$14="是",反向題設定!$B$2+1-原始資料!K377,原始資料!K377))</f>
        <v/>
      </c>
      <c r="L377">
        <f>IF(原始資料!L377="","",IF(反向題設定!$C$15="是",反向題設定!$B$2+1-原始資料!L377,原始資料!L377))</f>
        <v/>
      </c>
      <c r="M377">
        <f>IF(原始資料!M377="","",IF(反向題設定!$C$16="是",反向題設定!$B$2+1-原始資料!M377,原始資料!M377))</f>
        <v/>
      </c>
      <c r="N377">
        <f>IF(原始資料!N377="","",IF(反向題設定!$C$17="是",反向題設定!$B$2+1-原始資料!N377,原始資料!N377))</f>
        <v/>
      </c>
      <c r="O377">
        <f>IF(原始資料!O377="","",IF(反向題設定!$C$18="是",反向題設定!$B$2+1-原始資料!O377,原始資料!O377))</f>
        <v/>
      </c>
      <c r="P377">
        <f>IF(原始資料!P377="","",IF(反向題設定!$C$19="是",反向題設定!$B$2+1-原始資料!P377,原始資料!P377))</f>
        <v/>
      </c>
      <c r="Q377">
        <f>IF(原始資料!Q377="","",IF(反向題設定!$C$20="是",反向題設定!$B$2+1-原始資料!Q377,原始資料!Q377))</f>
        <v/>
      </c>
      <c r="R377">
        <f>IF(原始資料!R377="","",IF(反向題設定!$C$21="是",反向題設定!$B$2+1-原始資料!R377,原始資料!R377))</f>
        <v/>
      </c>
      <c r="S377">
        <f>IF(原始資料!S377="","",IF(反向題設定!$C$22="是",反向題設定!$B$2+1-原始資料!S377,原始資料!S377))</f>
        <v/>
      </c>
      <c r="T377">
        <f>IF(原始資料!T377="","",IF(反向題設定!$C$23="是",反向題設定!$B$2+1-原始資料!T377,原始資料!T377))</f>
        <v/>
      </c>
      <c r="U377">
        <f>IF(原始資料!U377="","",IF(反向題設定!$C$24="是",反向題設定!$B$2+1-原始資料!U377,原始資料!U377))</f>
        <v/>
      </c>
      <c r="V377">
        <f>IF(原始資料!V377="","",IF(反向題設定!$C$25="是",反向題設定!$B$2+1-原始資料!V377,原始資料!V377))</f>
        <v/>
      </c>
      <c r="W377">
        <f>IF(原始資料!W377="","",IF(反向題設定!$C$26="是",反向題設定!$B$2+1-原始資料!W377,原始資料!W377))</f>
        <v/>
      </c>
      <c r="X377">
        <f>IF(原始資料!X377="","",IF(反向題設定!$C$27="是",反向題設定!$B$2+1-原始資料!X377,原始資料!X377))</f>
        <v/>
      </c>
      <c r="Y377">
        <f>IF(原始資料!Y377="","",IF(反向題設定!$C$28="是",反向題設定!$B$2+1-原始資料!Y377,原始資料!Y377))</f>
        <v/>
      </c>
      <c r="Z377">
        <f>IF(原始資料!Z377="","",IF(反向題設定!$C$29="是",反向題設定!$B$2+1-原始資料!Z377,原始資料!Z377))</f>
        <v/>
      </c>
      <c r="AA377">
        <f>IF(原始資料!AA377="","",IF(反向題設定!$C$30="是",反向題設定!$B$2+1-原始資料!AA377,原始資料!AA377))</f>
        <v/>
      </c>
      <c r="AB377">
        <f>IF(原始資料!AB377="","",IF(反向題設定!$C$31="是",反向題設定!$B$2+1-原始資料!AB377,原始資料!AB377))</f>
        <v/>
      </c>
      <c r="AC377">
        <f>IF(原始資料!AC377="","",IF(反向題設定!$C$32="是",反向題設定!$B$2+1-原始資料!AC377,原始資料!AC377))</f>
        <v/>
      </c>
      <c r="AD377">
        <f>IF(原始資料!AD377="","",IF(反向題設定!$C$33="是",反向題設定!$B$2+1-原始資料!AD377,原始資料!AD377))</f>
        <v/>
      </c>
      <c r="AE377">
        <f>IF(原始資料!AE377="","",IF(反向題設定!$C$34="是",反向題設定!$B$2+1-原始資料!AE377,原始資料!AE377))</f>
        <v/>
      </c>
      <c r="AF377">
        <f>IF(原始資料!AF377="","",IF(反向題設定!$C$35="是",反向題設定!$B$2+1-原始資料!AF377,原始資料!AF377))</f>
        <v/>
      </c>
      <c r="AG377">
        <f>IF(原始資料!AG377="","",IF(反向題設定!$C$36="是",反向題設定!$B$2+1-原始資料!AG377,原始資料!AG377))</f>
        <v/>
      </c>
      <c r="AH377">
        <f>IF(原始資料!AH377="","",IF(反向題設定!$C$37="是",反向題設定!$B$2+1-原始資料!AH377,原始資料!AH377))</f>
        <v/>
      </c>
      <c r="AI377">
        <f>IF(原始資料!AI377="","",IF(反向題設定!$C$38="是",反向題設定!$B$2+1-原始資料!AI377,原始資料!AI377))</f>
        <v/>
      </c>
      <c r="AJ377">
        <f>IF(原始資料!AJ377="","",IF(反向題設定!$C$39="是",反向題設定!$B$2+1-原始資料!AJ377,原始資料!AJ377))</f>
        <v/>
      </c>
      <c r="AK377">
        <f>IF(原始資料!AK377="","",IF(反向題設定!$C$40="是",反向題設定!$B$2+1-原始資料!AK377,原始資料!AK377))</f>
        <v/>
      </c>
      <c r="AL377">
        <f>IF(原始資料!AL377="","",IF(反向題設定!$C$41="是",反向題設定!$B$2+1-原始資料!AL377,原始資料!AL377))</f>
        <v/>
      </c>
      <c r="AM377">
        <f>IF(原始資料!AM377="","",IF(反向題設定!$C$42="是",反向題設定!$B$2+1-原始資料!AM377,原始資料!AM377))</f>
        <v/>
      </c>
      <c r="AN377">
        <f>IF(原始資料!AN377="","",IF(反向題設定!$C$43="是",反向題設定!$B$2+1-原始資料!AN377,原始資料!AN377))</f>
        <v/>
      </c>
      <c r="AO377">
        <f>IF(原始資料!AO377="","",IF(反向題設定!$C$44="是",反向題設定!$B$2+1-原始資料!AO377,原始資料!AO377))</f>
        <v/>
      </c>
      <c r="AP377">
        <f>IF(COUNT(B377:AO377)=0,"",SUM(B377:AO377))</f>
        <v/>
      </c>
      <c r="AQ377">
        <f>IF(AP377="","",IF(AP377&gt;=項目分析!$C$5,"高",IF(AP377&lt;=項目分析!$C$6,"低","")))</f>
        <v/>
      </c>
    </row>
    <row r="378">
      <c r="A378">
        <f>IF(原始資料!A378="","",原始資料!A378)</f>
        <v/>
      </c>
      <c r="B378">
        <f>IF(原始資料!B378="","",IF(反向題設定!$C$5="是",反向題設定!$B$2+1-原始資料!B378,原始資料!B378))</f>
        <v/>
      </c>
      <c r="C378">
        <f>IF(原始資料!C378="","",IF(反向題設定!$C$6="是",反向題設定!$B$2+1-原始資料!C378,原始資料!C378))</f>
        <v/>
      </c>
      <c r="D378">
        <f>IF(原始資料!D378="","",IF(反向題設定!$C$7="是",反向題設定!$B$2+1-原始資料!D378,原始資料!D378))</f>
        <v/>
      </c>
      <c r="E378">
        <f>IF(原始資料!E378="","",IF(反向題設定!$C$8="是",反向題設定!$B$2+1-原始資料!E378,原始資料!E378))</f>
        <v/>
      </c>
      <c r="F378">
        <f>IF(原始資料!F378="","",IF(反向題設定!$C$9="是",反向題設定!$B$2+1-原始資料!F378,原始資料!F378))</f>
        <v/>
      </c>
      <c r="G378">
        <f>IF(原始資料!G378="","",IF(反向題設定!$C$10="是",反向題設定!$B$2+1-原始資料!G378,原始資料!G378))</f>
        <v/>
      </c>
      <c r="H378">
        <f>IF(原始資料!H378="","",IF(反向題設定!$C$11="是",反向題設定!$B$2+1-原始資料!H378,原始資料!H378))</f>
        <v/>
      </c>
      <c r="I378">
        <f>IF(原始資料!I378="","",IF(反向題設定!$C$12="是",反向題設定!$B$2+1-原始資料!I378,原始資料!I378))</f>
        <v/>
      </c>
      <c r="J378">
        <f>IF(原始資料!J378="","",IF(反向題設定!$C$13="是",反向題設定!$B$2+1-原始資料!J378,原始資料!J378))</f>
        <v/>
      </c>
      <c r="K378">
        <f>IF(原始資料!K378="","",IF(反向題設定!$C$14="是",反向題設定!$B$2+1-原始資料!K378,原始資料!K378))</f>
        <v/>
      </c>
      <c r="L378">
        <f>IF(原始資料!L378="","",IF(反向題設定!$C$15="是",反向題設定!$B$2+1-原始資料!L378,原始資料!L378))</f>
        <v/>
      </c>
      <c r="M378">
        <f>IF(原始資料!M378="","",IF(反向題設定!$C$16="是",反向題設定!$B$2+1-原始資料!M378,原始資料!M378))</f>
        <v/>
      </c>
      <c r="N378">
        <f>IF(原始資料!N378="","",IF(反向題設定!$C$17="是",反向題設定!$B$2+1-原始資料!N378,原始資料!N378))</f>
        <v/>
      </c>
      <c r="O378">
        <f>IF(原始資料!O378="","",IF(反向題設定!$C$18="是",反向題設定!$B$2+1-原始資料!O378,原始資料!O378))</f>
        <v/>
      </c>
      <c r="P378">
        <f>IF(原始資料!P378="","",IF(反向題設定!$C$19="是",反向題設定!$B$2+1-原始資料!P378,原始資料!P378))</f>
        <v/>
      </c>
      <c r="Q378">
        <f>IF(原始資料!Q378="","",IF(反向題設定!$C$20="是",反向題設定!$B$2+1-原始資料!Q378,原始資料!Q378))</f>
        <v/>
      </c>
      <c r="R378">
        <f>IF(原始資料!R378="","",IF(反向題設定!$C$21="是",反向題設定!$B$2+1-原始資料!R378,原始資料!R378))</f>
        <v/>
      </c>
      <c r="S378">
        <f>IF(原始資料!S378="","",IF(反向題設定!$C$22="是",反向題設定!$B$2+1-原始資料!S378,原始資料!S378))</f>
        <v/>
      </c>
      <c r="T378">
        <f>IF(原始資料!T378="","",IF(反向題設定!$C$23="是",反向題設定!$B$2+1-原始資料!T378,原始資料!T378))</f>
        <v/>
      </c>
      <c r="U378">
        <f>IF(原始資料!U378="","",IF(反向題設定!$C$24="是",反向題設定!$B$2+1-原始資料!U378,原始資料!U378))</f>
        <v/>
      </c>
      <c r="V378">
        <f>IF(原始資料!V378="","",IF(反向題設定!$C$25="是",反向題設定!$B$2+1-原始資料!V378,原始資料!V378))</f>
        <v/>
      </c>
      <c r="W378">
        <f>IF(原始資料!W378="","",IF(反向題設定!$C$26="是",反向題設定!$B$2+1-原始資料!W378,原始資料!W378))</f>
        <v/>
      </c>
      <c r="X378">
        <f>IF(原始資料!X378="","",IF(反向題設定!$C$27="是",反向題設定!$B$2+1-原始資料!X378,原始資料!X378))</f>
        <v/>
      </c>
      <c r="Y378">
        <f>IF(原始資料!Y378="","",IF(反向題設定!$C$28="是",反向題設定!$B$2+1-原始資料!Y378,原始資料!Y378))</f>
        <v/>
      </c>
      <c r="Z378">
        <f>IF(原始資料!Z378="","",IF(反向題設定!$C$29="是",反向題設定!$B$2+1-原始資料!Z378,原始資料!Z378))</f>
        <v/>
      </c>
      <c r="AA378">
        <f>IF(原始資料!AA378="","",IF(反向題設定!$C$30="是",反向題設定!$B$2+1-原始資料!AA378,原始資料!AA378))</f>
        <v/>
      </c>
      <c r="AB378">
        <f>IF(原始資料!AB378="","",IF(反向題設定!$C$31="是",反向題設定!$B$2+1-原始資料!AB378,原始資料!AB378))</f>
        <v/>
      </c>
      <c r="AC378">
        <f>IF(原始資料!AC378="","",IF(反向題設定!$C$32="是",反向題設定!$B$2+1-原始資料!AC378,原始資料!AC378))</f>
        <v/>
      </c>
      <c r="AD378">
        <f>IF(原始資料!AD378="","",IF(反向題設定!$C$33="是",反向題設定!$B$2+1-原始資料!AD378,原始資料!AD378))</f>
        <v/>
      </c>
      <c r="AE378">
        <f>IF(原始資料!AE378="","",IF(反向題設定!$C$34="是",反向題設定!$B$2+1-原始資料!AE378,原始資料!AE378))</f>
        <v/>
      </c>
      <c r="AF378">
        <f>IF(原始資料!AF378="","",IF(反向題設定!$C$35="是",反向題設定!$B$2+1-原始資料!AF378,原始資料!AF378))</f>
        <v/>
      </c>
      <c r="AG378">
        <f>IF(原始資料!AG378="","",IF(反向題設定!$C$36="是",反向題設定!$B$2+1-原始資料!AG378,原始資料!AG378))</f>
        <v/>
      </c>
      <c r="AH378">
        <f>IF(原始資料!AH378="","",IF(反向題設定!$C$37="是",反向題設定!$B$2+1-原始資料!AH378,原始資料!AH378))</f>
        <v/>
      </c>
      <c r="AI378">
        <f>IF(原始資料!AI378="","",IF(反向題設定!$C$38="是",反向題設定!$B$2+1-原始資料!AI378,原始資料!AI378))</f>
        <v/>
      </c>
      <c r="AJ378">
        <f>IF(原始資料!AJ378="","",IF(反向題設定!$C$39="是",反向題設定!$B$2+1-原始資料!AJ378,原始資料!AJ378))</f>
        <v/>
      </c>
      <c r="AK378">
        <f>IF(原始資料!AK378="","",IF(反向題設定!$C$40="是",反向題設定!$B$2+1-原始資料!AK378,原始資料!AK378))</f>
        <v/>
      </c>
      <c r="AL378">
        <f>IF(原始資料!AL378="","",IF(反向題設定!$C$41="是",反向題設定!$B$2+1-原始資料!AL378,原始資料!AL378))</f>
        <v/>
      </c>
      <c r="AM378">
        <f>IF(原始資料!AM378="","",IF(反向題設定!$C$42="是",反向題設定!$B$2+1-原始資料!AM378,原始資料!AM378))</f>
        <v/>
      </c>
      <c r="AN378">
        <f>IF(原始資料!AN378="","",IF(反向題設定!$C$43="是",反向題設定!$B$2+1-原始資料!AN378,原始資料!AN378))</f>
        <v/>
      </c>
      <c r="AO378">
        <f>IF(原始資料!AO378="","",IF(反向題設定!$C$44="是",反向題設定!$B$2+1-原始資料!AO378,原始資料!AO378))</f>
        <v/>
      </c>
      <c r="AP378">
        <f>IF(COUNT(B378:AO378)=0,"",SUM(B378:AO378))</f>
        <v/>
      </c>
      <c r="AQ378">
        <f>IF(AP378="","",IF(AP378&gt;=項目分析!$C$5,"高",IF(AP378&lt;=項目分析!$C$6,"低","")))</f>
        <v/>
      </c>
    </row>
    <row r="379">
      <c r="A379">
        <f>IF(原始資料!A379="","",原始資料!A379)</f>
        <v/>
      </c>
      <c r="B379">
        <f>IF(原始資料!B379="","",IF(反向題設定!$C$5="是",反向題設定!$B$2+1-原始資料!B379,原始資料!B379))</f>
        <v/>
      </c>
      <c r="C379">
        <f>IF(原始資料!C379="","",IF(反向題設定!$C$6="是",反向題設定!$B$2+1-原始資料!C379,原始資料!C379))</f>
        <v/>
      </c>
      <c r="D379">
        <f>IF(原始資料!D379="","",IF(反向題設定!$C$7="是",反向題設定!$B$2+1-原始資料!D379,原始資料!D379))</f>
        <v/>
      </c>
      <c r="E379">
        <f>IF(原始資料!E379="","",IF(反向題設定!$C$8="是",反向題設定!$B$2+1-原始資料!E379,原始資料!E379))</f>
        <v/>
      </c>
      <c r="F379">
        <f>IF(原始資料!F379="","",IF(反向題設定!$C$9="是",反向題設定!$B$2+1-原始資料!F379,原始資料!F379))</f>
        <v/>
      </c>
      <c r="G379">
        <f>IF(原始資料!G379="","",IF(反向題設定!$C$10="是",反向題設定!$B$2+1-原始資料!G379,原始資料!G379))</f>
        <v/>
      </c>
      <c r="H379">
        <f>IF(原始資料!H379="","",IF(反向題設定!$C$11="是",反向題設定!$B$2+1-原始資料!H379,原始資料!H379))</f>
        <v/>
      </c>
      <c r="I379">
        <f>IF(原始資料!I379="","",IF(反向題設定!$C$12="是",反向題設定!$B$2+1-原始資料!I379,原始資料!I379))</f>
        <v/>
      </c>
      <c r="J379">
        <f>IF(原始資料!J379="","",IF(反向題設定!$C$13="是",反向題設定!$B$2+1-原始資料!J379,原始資料!J379))</f>
        <v/>
      </c>
      <c r="K379">
        <f>IF(原始資料!K379="","",IF(反向題設定!$C$14="是",反向題設定!$B$2+1-原始資料!K379,原始資料!K379))</f>
        <v/>
      </c>
      <c r="L379">
        <f>IF(原始資料!L379="","",IF(反向題設定!$C$15="是",反向題設定!$B$2+1-原始資料!L379,原始資料!L379))</f>
        <v/>
      </c>
      <c r="M379">
        <f>IF(原始資料!M379="","",IF(反向題設定!$C$16="是",反向題設定!$B$2+1-原始資料!M379,原始資料!M379))</f>
        <v/>
      </c>
      <c r="N379">
        <f>IF(原始資料!N379="","",IF(反向題設定!$C$17="是",反向題設定!$B$2+1-原始資料!N379,原始資料!N379))</f>
        <v/>
      </c>
      <c r="O379">
        <f>IF(原始資料!O379="","",IF(反向題設定!$C$18="是",反向題設定!$B$2+1-原始資料!O379,原始資料!O379))</f>
        <v/>
      </c>
      <c r="P379">
        <f>IF(原始資料!P379="","",IF(反向題設定!$C$19="是",反向題設定!$B$2+1-原始資料!P379,原始資料!P379))</f>
        <v/>
      </c>
      <c r="Q379">
        <f>IF(原始資料!Q379="","",IF(反向題設定!$C$20="是",反向題設定!$B$2+1-原始資料!Q379,原始資料!Q379))</f>
        <v/>
      </c>
      <c r="R379">
        <f>IF(原始資料!R379="","",IF(反向題設定!$C$21="是",反向題設定!$B$2+1-原始資料!R379,原始資料!R379))</f>
        <v/>
      </c>
      <c r="S379">
        <f>IF(原始資料!S379="","",IF(反向題設定!$C$22="是",反向題設定!$B$2+1-原始資料!S379,原始資料!S379))</f>
        <v/>
      </c>
      <c r="T379">
        <f>IF(原始資料!T379="","",IF(反向題設定!$C$23="是",反向題設定!$B$2+1-原始資料!T379,原始資料!T379))</f>
        <v/>
      </c>
      <c r="U379">
        <f>IF(原始資料!U379="","",IF(反向題設定!$C$24="是",反向題設定!$B$2+1-原始資料!U379,原始資料!U379))</f>
        <v/>
      </c>
      <c r="V379">
        <f>IF(原始資料!V379="","",IF(反向題設定!$C$25="是",反向題設定!$B$2+1-原始資料!V379,原始資料!V379))</f>
        <v/>
      </c>
      <c r="W379">
        <f>IF(原始資料!W379="","",IF(反向題設定!$C$26="是",反向題設定!$B$2+1-原始資料!W379,原始資料!W379))</f>
        <v/>
      </c>
      <c r="X379">
        <f>IF(原始資料!X379="","",IF(反向題設定!$C$27="是",反向題設定!$B$2+1-原始資料!X379,原始資料!X379))</f>
        <v/>
      </c>
      <c r="Y379">
        <f>IF(原始資料!Y379="","",IF(反向題設定!$C$28="是",反向題設定!$B$2+1-原始資料!Y379,原始資料!Y379))</f>
        <v/>
      </c>
      <c r="Z379">
        <f>IF(原始資料!Z379="","",IF(反向題設定!$C$29="是",反向題設定!$B$2+1-原始資料!Z379,原始資料!Z379))</f>
        <v/>
      </c>
      <c r="AA379">
        <f>IF(原始資料!AA379="","",IF(反向題設定!$C$30="是",反向題設定!$B$2+1-原始資料!AA379,原始資料!AA379))</f>
        <v/>
      </c>
      <c r="AB379">
        <f>IF(原始資料!AB379="","",IF(反向題設定!$C$31="是",反向題設定!$B$2+1-原始資料!AB379,原始資料!AB379))</f>
        <v/>
      </c>
      <c r="AC379">
        <f>IF(原始資料!AC379="","",IF(反向題設定!$C$32="是",反向題設定!$B$2+1-原始資料!AC379,原始資料!AC379))</f>
        <v/>
      </c>
      <c r="AD379">
        <f>IF(原始資料!AD379="","",IF(反向題設定!$C$33="是",反向題設定!$B$2+1-原始資料!AD379,原始資料!AD379))</f>
        <v/>
      </c>
      <c r="AE379">
        <f>IF(原始資料!AE379="","",IF(反向題設定!$C$34="是",反向題設定!$B$2+1-原始資料!AE379,原始資料!AE379))</f>
        <v/>
      </c>
      <c r="AF379">
        <f>IF(原始資料!AF379="","",IF(反向題設定!$C$35="是",反向題設定!$B$2+1-原始資料!AF379,原始資料!AF379))</f>
        <v/>
      </c>
      <c r="AG379">
        <f>IF(原始資料!AG379="","",IF(反向題設定!$C$36="是",反向題設定!$B$2+1-原始資料!AG379,原始資料!AG379))</f>
        <v/>
      </c>
      <c r="AH379">
        <f>IF(原始資料!AH379="","",IF(反向題設定!$C$37="是",反向題設定!$B$2+1-原始資料!AH379,原始資料!AH379))</f>
        <v/>
      </c>
      <c r="AI379">
        <f>IF(原始資料!AI379="","",IF(反向題設定!$C$38="是",反向題設定!$B$2+1-原始資料!AI379,原始資料!AI379))</f>
        <v/>
      </c>
      <c r="AJ379">
        <f>IF(原始資料!AJ379="","",IF(反向題設定!$C$39="是",反向題設定!$B$2+1-原始資料!AJ379,原始資料!AJ379))</f>
        <v/>
      </c>
      <c r="AK379">
        <f>IF(原始資料!AK379="","",IF(反向題設定!$C$40="是",反向題設定!$B$2+1-原始資料!AK379,原始資料!AK379))</f>
        <v/>
      </c>
      <c r="AL379">
        <f>IF(原始資料!AL379="","",IF(反向題設定!$C$41="是",反向題設定!$B$2+1-原始資料!AL379,原始資料!AL379))</f>
        <v/>
      </c>
      <c r="AM379">
        <f>IF(原始資料!AM379="","",IF(反向題設定!$C$42="是",反向題設定!$B$2+1-原始資料!AM379,原始資料!AM379))</f>
        <v/>
      </c>
      <c r="AN379">
        <f>IF(原始資料!AN379="","",IF(反向題設定!$C$43="是",反向題設定!$B$2+1-原始資料!AN379,原始資料!AN379))</f>
        <v/>
      </c>
      <c r="AO379">
        <f>IF(原始資料!AO379="","",IF(反向題設定!$C$44="是",反向題設定!$B$2+1-原始資料!AO379,原始資料!AO379))</f>
        <v/>
      </c>
      <c r="AP379">
        <f>IF(COUNT(B379:AO379)=0,"",SUM(B379:AO379))</f>
        <v/>
      </c>
      <c r="AQ379">
        <f>IF(AP379="","",IF(AP379&gt;=項目分析!$C$5,"高",IF(AP379&lt;=項目分析!$C$6,"低","")))</f>
        <v/>
      </c>
    </row>
    <row r="380">
      <c r="A380">
        <f>IF(原始資料!A380="","",原始資料!A380)</f>
        <v/>
      </c>
      <c r="B380">
        <f>IF(原始資料!B380="","",IF(反向題設定!$C$5="是",反向題設定!$B$2+1-原始資料!B380,原始資料!B380))</f>
        <v/>
      </c>
      <c r="C380">
        <f>IF(原始資料!C380="","",IF(反向題設定!$C$6="是",反向題設定!$B$2+1-原始資料!C380,原始資料!C380))</f>
        <v/>
      </c>
      <c r="D380">
        <f>IF(原始資料!D380="","",IF(反向題設定!$C$7="是",反向題設定!$B$2+1-原始資料!D380,原始資料!D380))</f>
        <v/>
      </c>
      <c r="E380">
        <f>IF(原始資料!E380="","",IF(反向題設定!$C$8="是",反向題設定!$B$2+1-原始資料!E380,原始資料!E380))</f>
        <v/>
      </c>
      <c r="F380">
        <f>IF(原始資料!F380="","",IF(反向題設定!$C$9="是",反向題設定!$B$2+1-原始資料!F380,原始資料!F380))</f>
        <v/>
      </c>
      <c r="G380">
        <f>IF(原始資料!G380="","",IF(反向題設定!$C$10="是",反向題設定!$B$2+1-原始資料!G380,原始資料!G380))</f>
        <v/>
      </c>
      <c r="H380">
        <f>IF(原始資料!H380="","",IF(反向題設定!$C$11="是",反向題設定!$B$2+1-原始資料!H380,原始資料!H380))</f>
        <v/>
      </c>
      <c r="I380">
        <f>IF(原始資料!I380="","",IF(反向題設定!$C$12="是",反向題設定!$B$2+1-原始資料!I380,原始資料!I380))</f>
        <v/>
      </c>
      <c r="J380">
        <f>IF(原始資料!J380="","",IF(反向題設定!$C$13="是",反向題設定!$B$2+1-原始資料!J380,原始資料!J380))</f>
        <v/>
      </c>
      <c r="K380">
        <f>IF(原始資料!K380="","",IF(反向題設定!$C$14="是",反向題設定!$B$2+1-原始資料!K380,原始資料!K380))</f>
        <v/>
      </c>
      <c r="L380">
        <f>IF(原始資料!L380="","",IF(反向題設定!$C$15="是",反向題設定!$B$2+1-原始資料!L380,原始資料!L380))</f>
        <v/>
      </c>
      <c r="M380">
        <f>IF(原始資料!M380="","",IF(反向題設定!$C$16="是",反向題設定!$B$2+1-原始資料!M380,原始資料!M380))</f>
        <v/>
      </c>
      <c r="N380">
        <f>IF(原始資料!N380="","",IF(反向題設定!$C$17="是",反向題設定!$B$2+1-原始資料!N380,原始資料!N380))</f>
        <v/>
      </c>
      <c r="O380">
        <f>IF(原始資料!O380="","",IF(反向題設定!$C$18="是",反向題設定!$B$2+1-原始資料!O380,原始資料!O380))</f>
        <v/>
      </c>
      <c r="P380">
        <f>IF(原始資料!P380="","",IF(反向題設定!$C$19="是",反向題設定!$B$2+1-原始資料!P380,原始資料!P380))</f>
        <v/>
      </c>
      <c r="Q380">
        <f>IF(原始資料!Q380="","",IF(反向題設定!$C$20="是",反向題設定!$B$2+1-原始資料!Q380,原始資料!Q380))</f>
        <v/>
      </c>
      <c r="R380">
        <f>IF(原始資料!R380="","",IF(反向題設定!$C$21="是",反向題設定!$B$2+1-原始資料!R380,原始資料!R380))</f>
        <v/>
      </c>
      <c r="S380">
        <f>IF(原始資料!S380="","",IF(反向題設定!$C$22="是",反向題設定!$B$2+1-原始資料!S380,原始資料!S380))</f>
        <v/>
      </c>
      <c r="T380">
        <f>IF(原始資料!T380="","",IF(反向題設定!$C$23="是",反向題設定!$B$2+1-原始資料!T380,原始資料!T380))</f>
        <v/>
      </c>
      <c r="U380">
        <f>IF(原始資料!U380="","",IF(反向題設定!$C$24="是",反向題設定!$B$2+1-原始資料!U380,原始資料!U380))</f>
        <v/>
      </c>
      <c r="V380">
        <f>IF(原始資料!V380="","",IF(反向題設定!$C$25="是",反向題設定!$B$2+1-原始資料!V380,原始資料!V380))</f>
        <v/>
      </c>
      <c r="W380">
        <f>IF(原始資料!W380="","",IF(反向題設定!$C$26="是",反向題設定!$B$2+1-原始資料!W380,原始資料!W380))</f>
        <v/>
      </c>
      <c r="X380">
        <f>IF(原始資料!X380="","",IF(反向題設定!$C$27="是",反向題設定!$B$2+1-原始資料!X380,原始資料!X380))</f>
        <v/>
      </c>
      <c r="Y380">
        <f>IF(原始資料!Y380="","",IF(反向題設定!$C$28="是",反向題設定!$B$2+1-原始資料!Y380,原始資料!Y380))</f>
        <v/>
      </c>
      <c r="Z380">
        <f>IF(原始資料!Z380="","",IF(反向題設定!$C$29="是",反向題設定!$B$2+1-原始資料!Z380,原始資料!Z380))</f>
        <v/>
      </c>
      <c r="AA380">
        <f>IF(原始資料!AA380="","",IF(反向題設定!$C$30="是",反向題設定!$B$2+1-原始資料!AA380,原始資料!AA380))</f>
        <v/>
      </c>
      <c r="AB380">
        <f>IF(原始資料!AB380="","",IF(反向題設定!$C$31="是",反向題設定!$B$2+1-原始資料!AB380,原始資料!AB380))</f>
        <v/>
      </c>
      <c r="AC380">
        <f>IF(原始資料!AC380="","",IF(反向題設定!$C$32="是",反向題設定!$B$2+1-原始資料!AC380,原始資料!AC380))</f>
        <v/>
      </c>
      <c r="AD380">
        <f>IF(原始資料!AD380="","",IF(反向題設定!$C$33="是",反向題設定!$B$2+1-原始資料!AD380,原始資料!AD380))</f>
        <v/>
      </c>
      <c r="AE380">
        <f>IF(原始資料!AE380="","",IF(反向題設定!$C$34="是",反向題設定!$B$2+1-原始資料!AE380,原始資料!AE380))</f>
        <v/>
      </c>
      <c r="AF380">
        <f>IF(原始資料!AF380="","",IF(反向題設定!$C$35="是",反向題設定!$B$2+1-原始資料!AF380,原始資料!AF380))</f>
        <v/>
      </c>
      <c r="AG380">
        <f>IF(原始資料!AG380="","",IF(反向題設定!$C$36="是",反向題設定!$B$2+1-原始資料!AG380,原始資料!AG380))</f>
        <v/>
      </c>
      <c r="AH380">
        <f>IF(原始資料!AH380="","",IF(反向題設定!$C$37="是",反向題設定!$B$2+1-原始資料!AH380,原始資料!AH380))</f>
        <v/>
      </c>
      <c r="AI380">
        <f>IF(原始資料!AI380="","",IF(反向題設定!$C$38="是",反向題設定!$B$2+1-原始資料!AI380,原始資料!AI380))</f>
        <v/>
      </c>
      <c r="AJ380">
        <f>IF(原始資料!AJ380="","",IF(反向題設定!$C$39="是",反向題設定!$B$2+1-原始資料!AJ380,原始資料!AJ380))</f>
        <v/>
      </c>
      <c r="AK380">
        <f>IF(原始資料!AK380="","",IF(反向題設定!$C$40="是",反向題設定!$B$2+1-原始資料!AK380,原始資料!AK380))</f>
        <v/>
      </c>
      <c r="AL380">
        <f>IF(原始資料!AL380="","",IF(反向題設定!$C$41="是",反向題設定!$B$2+1-原始資料!AL380,原始資料!AL380))</f>
        <v/>
      </c>
      <c r="AM380">
        <f>IF(原始資料!AM380="","",IF(反向題設定!$C$42="是",反向題設定!$B$2+1-原始資料!AM380,原始資料!AM380))</f>
        <v/>
      </c>
      <c r="AN380">
        <f>IF(原始資料!AN380="","",IF(反向題設定!$C$43="是",反向題設定!$B$2+1-原始資料!AN380,原始資料!AN380))</f>
        <v/>
      </c>
      <c r="AO380">
        <f>IF(原始資料!AO380="","",IF(反向題設定!$C$44="是",反向題設定!$B$2+1-原始資料!AO380,原始資料!AO380))</f>
        <v/>
      </c>
      <c r="AP380">
        <f>IF(COUNT(B380:AO380)=0,"",SUM(B380:AO380))</f>
        <v/>
      </c>
      <c r="AQ380">
        <f>IF(AP380="","",IF(AP380&gt;=項目分析!$C$5,"高",IF(AP380&lt;=項目分析!$C$6,"低","")))</f>
        <v/>
      </c>
    </row>
    <row r="381">
      <c r="A381">
        <f>IF(原始資料!A381="","",原始資料!A381)</f>
        <v/>
      </c>
      <c r="B381">
        <f>IF(原始資料!B381="","",IF(反向題設定!$C$5="是",反向題設定!$B$2+1-原始資料!B381,原始資料!B381))</f>
        <v/>
      </c>
      <c r="C381">
        <f>IF(原始資料!C381="","",IF(反向題設定!$C$6="是",反向題設定!$B$2+1-原始資料!C381,原始資料!C381))</f>
        <v/>
      </c>
      <c r="D381">
        <f>IF(原始資料!D381="","",IF(反向題設定!$C$7="是",反向題設定!$B$2+1-原始資料!D381,原始資料!D381))</f>
        <v/>
      </c>
      <c r="E381">
        <f>IF(原始資料!E381="","",IF(反向題設定!$C$8="是",反向題設定!$B$2+1-原始資料!E381,原始資料!E381))</f>
        <v/>
      </c>
      <c r="F381">
        <f>IF(原始資料!F381="","",IF(反向題設定!$C$9="是",反向題設定!$B$2+1-原始資料!F381,原始資料!F381))</f>
        <v/>
      </c>
      <c r="G381">
        <f>IF(原始資料!G381="","",IF(反向題設定!$C$10="是",反向題設定!$B$2+1-原始資料!G381,原始資料!G381))</f>
        <v/>
      </c>
      <c r="H381">
        <f>IF(原始資料!H381="","",IF(反向題設定!$C$11="是",反向題設定!$B$2+1-原始資料!H381,原始資料!H381))</f>
        <v/>
      </c>
      <c r="I381">
        <f>IF(原始資料!I381="","",IF(反向題設定!$C$12="是",反向題設定!$B$2+1-原始資料!I381,原始資料!I381))</f>
        <v/>
      </c>
      <c r="J381">
        <f>IF(原始資料!J381="","",IF(反向題設定!$C$13="是",反向題設定!$B$2+1-原始資料!J381,原始資料!J381))</f>
        <v/>
      </c>
      <c r="K381">
        <f>IF(原始資料!K381="","",IF(反向題設定!$C$14="是",反向題設定!$B$2+1-原始資料!K381,原始資料!K381))</f>
        <v/>
      </c>
      <c r="L381">
        <f>IF(原始資料!L381="","",IF(反向題設定!$C$15="是",反向題設定!$B$2+1-原始資料!L381,原始資料!L381))</f>
        <v/>
      </c>
      <c r="M381">
        <f>IF(原始資料!M381="","",IF(反向題設定!$C$16="是",反向題設定!$B$2+1-原始資料!M381,原始資料!M381))</f>
        <v/>
      </c>
      <c r="N381">
        <f>IF(原始資料!N381="","",IF(反向題設定!$C$17="是",反向題設定!$B$2+1-原始資料!N381,原始資料!N381))</f>
        <v/>
      </c>
      <c r="O381">
        <f>IF(原始資料!O381="","",IF(反向題設定!$C$18="是",反向題設定!$B$2+1-原始資料!O381,原始資料!O381))</f>
        <v/>
      </c>
      <c r="P381">
        <f>IF(原始資料!P381="","",IF(反向題設定!$C$19="是",反向題設定!$B$2+1-原始資料!P381,原始資料!P381))</f>
        <v/>
      </c>
      <c r="Q381">
        <f>IF(原始資料!Q381="","",IF(反向題設定!$C$20="是",反向題設定!$B$2+1-原始資料!Q381,原始資料!Q381))</f>
        <v/>
      </c>
      <c r="R381">
        <f>IF(原始資料!R381="","",IF(反向題設定!$C$21="是",反向題設定!$B$2+1-原始資料!R381,原始資料!R381))</f>
        <v/>
      </c>
      <c r="S381">
        <f>IF(原始資料!S381="","",IF(反向題設定!$C$22="是",反向題設定!$B$2+1-原始資料!S381,原始資料!S381))</f>
        <v/>
      </c>
      <c r="T381">
        <f>IF(原始資料!T381="","",IF(反向題設定!$C$23="是",反向題設定!$B$2+1-原始資料!T381,原始資料!T381))</f>
        <v/>
      </c>
      <c r="U381">
        <f>IF(原始資料!U381="","",IF(反向題設定!$C$24="是",反向題設定!$B$2+1-原始資料!U381,原始資料!U381))</f>
        <v/>
      </c>
      <c r="V381">
        <f>IF(原始資料!V381="","",IF(反向題設定!$C$25="是",反向題設定!$B$2+1-原始資料!V381,原始資料!V381))</f>
        <v/>
      </c>
      <c r="W381">
        <f>IF(原始資料!W381="","",IF(反向題設定!$C$26="是",反向題設定!$B$2+1-原始資料!W381,原始資料!W381))</f>
        <v/>
      </c>
      <c r="X381">
        <f>IF(原始資料!X381="","",IF(反向題設定!$C$27="是",反向題設定!$B$2+1-原始資料!X381,原始資料!X381))</f>
        <v/>
      </c>
      <c r="Y381">
        <f>IF(原始資料!Y381="","",IF(反向題設定!$C$28="是",反向題設定!$B$2+1-原始資料!Y381,原始資料!Y381))</f>
        <v/>
      </c>
      <c r="Z381">
        <f>IF(原始資料!Z381="","",IF(反向題設定!$C$29="是",反向題設定!$B$2+1-原始資料!Z381,原始資料!Z381))</f>
        <v/>
      </c>
      <c r="AA381">
        <f>IF(原始資料!AA381="","",IF(反向題設定!$C$30="是",反向題設定!$B$2+1-原始資料!AA381,原始資料!AA381))</f>
        <v/>
      </c>
      <c r="AB381">
        <f>IF(原始資料!AB381="","",IF(反向題設定!$C$31="是",反向題設定!$B$2+1-原始資料!AB381,原始資料!AB381))</f>
        <v/>
      </c>
      <c r="AC381">
        <f>IF(原始資料!AC381="","",IF(反向題設定!$C$32="是",反向題設定!$B$2+1-原始資料!AC381,原始資料!AC381))</f>
        <v/>
      </c>
      <c r="AD381">
        <f>IF(原始資料!AD381="","",IF(反向題設定!$C$33="是",反向題設定!$B$2+1-原始資料!AD381,原始資料!AD381))</f>
        <v/>
      </c>
      <c r="AE381">
        <f>IF(原始資料!AE381="","",IF(反向題設定!$C$34="是",反向題設定!$B$2+1-原始資料!AE381,原始資料!AE381))</f>
        <v/>
      </c>
      <c r="AF381">
        <f>IF(原始資料!AF381="","",IF(反向題設定!$C$35="是",反向題設定!$B$2+1-原始資料!AF381,原始資料!AF381))</f>
        <v/>
      </c>
      <c r="AG381">
        <f>IF(原始資料!AG381="","",IF(反向題設定!$C$36="是",反向題設定!$B$2+1-原始資料!AG381,原始資料!AG381))</f>
        <v/>
      </c>
      <c r="AH381">
        <f>IF(原始資料!AH381="","",IF(反向題設定!$C$37="是",反向題設定!$B$2+1-原始資料!AH381,原始資料!AH381))</f>
        <v/>
      </c>
      <c r="AI381">
        <f>IF(原始資料!AI381="","",IF(反向題設定!$C$38="是",反向題設定!$B$2+1-原始資料!AI381,原始資料!AI381))</f>
        <v/>
      </c>
      <c r="AJ381">
        <f>IF(原始資料!AJ381="","",IF(反向題設定!$C$39="是",反向題設定!$B$2+1-原始資料!AJ381,原始資料!AJ381))</f>
        <v/>
      </c>
      <c r="AK381">
        <f>IF(原始資料!AK381="","",IF(反向題設定!$C$40="是",反向題設定!$B$2+1-原始資料!AK381,原始資料!AK381))</f>
        <v/>
      </c>
      <c r="AL381">
        <f>IF(原始資料!AL381="","",IF(反向題設定!$C$41="是",反向題設定!$B$2+1-原始資料!AL381,原始資料!AL381))</f>
        <v/>
      </c>
      <c r="AM381">
        <f>IF(原始資料!AM381="","",IF(反向題設定!$C$42="是",反向題設定!$B$2+1-原始資料!AM381,原始資料!AM381))</f>
        <v/>
      </c>
      <c r="AN381">
        <f>IF(原始資料!AN381="","",IF(反向題設定!$C$43="是",反向題設定!$B$2+1-原始資料!AN381,原始資料!AN381))</f>
        <v/>
      </c>
      <c r="AO381">
        <f>IF(原始資料!AO381="","",IF(反向題設定!$C$44="是",反向題設定!$B$2+1-原始資料!AO381,原始資料!AO381))</f>
        <v/>
      </c>
      <c r="AP381">
        <f>IF(COUNT(B381:AO381)=0,"",SUM(B381:AO381))</f>
        <v/>
      </c>
      <c r="AQ381">
        <f>IF(AP381="","",IF(AP381&gt;=項目分析!$C$5,"高",IF(AP381&lt;=項目分析!$C$6,"低","")))</f>
        <v/>
      </c>
    </row>
    <row r="382">
      <c r="A382">
        <f>IF(原始資料!A382="","",原始資料!A382)</f>
        <v/>
      </c>
      <c r="B382">
        <f>IF(原始資料!B382="","",IF(反向題設定!$C$5="是",反向題設定!$B$2+1-原始資料!B382,原始資料!B382))</f>
        <v/>
      </c>
      <c r="C382">
        <f>IF(原始資料!C382="","",IF(反向題設定!$C$6="是",反向題設定!$B$2+1-原始資料!C382,原始資料!C382))</f>
        <v/>
      </c>
      <c r="D382">
        <f>IF(原始資料!D382="","",IF(反向題設定!$C$7="是",反向題設定!$B$2+1-原始資料!D382,原始資料!D382))</f>
        <v/>
      </c>
      <c r="E382">
        <f>IF(原始資料!E382="","",IF(反向題設定!$C$8="是",反向題設定!$B$2+1-原始資料!E382,原始資料!E382))</f>
        <v/>
      </c>
      <c r="F382">
        <f>IF(原始資料!F382="","",IF(反向題設定!$C$9="是",反向題設定!$B$2+1-原始資料!F382,原始資料!F382))</f>
        <v/>
      </c>
      <c r="G382">
        <f>IF(原始資料!G382="","",IF(反向題設定!$C$10="是",反向題設定!$B$2+1-原始資料!G382,原始資料!G382))</f>
        <v/>
      </c>
      <c r="H382">
        <f>IF(原始資料!H382="","",IF(反向題設定!$C$11="是",反向題設定!$B$2+1-原始資料!H382,原始資料!H382))</f>
        <v/>
      </c>
      <c r="I382">
        <f>IF(原始資料!I382="","",IF(反向題設定!$C$12="是",反向題設定!$B$2+1-原始資料!I382,原始資料!I382))</f>
        <v/>
      </c>
      <c r="J382">
        <f>IF(原始資料!J382="","",IF(反向題設定!$C$13="是",反向題設定!$B$2+1-原始資料!J382,原始資料!J382))</f>
        <v/>
      </c>
      <c r="K382">
        <f>IF(原始資料!K382="","",IF(反向題設定!$C$14="是",反向題設定!$B$2+1-原始資料!K382,原始資料!K382))</f>
        <v/>
      </c>
      <c r="L382">
        <f>IF(原始資料!L382="","",IF(反向題設定!$C$15="是",反向題設定!$B$2+1-原始資料!L382,原始資料!L382))</f>
        <v/>
      </c>
      <c r="M382">
        <f>IF(原始資料!M382="","",IF(反向題設定!$C$16="是",反向題設定!$B$2+1-原始資料!M382,原始資料!M382))</f>
        <v/>
      </c>
      <c r="N382">
        <f>IF(原始資料!N382="","",IF(反向題設定!$C$17="是",反向題設定!$B$2+1-原始資料!N382,原始資料!N382))</f>
        <v/>
      </c>
      <c r="O382">
        <f>IF(原始資料!O382="","",IF(反向題設定!$C$18="是",反向題設定!$B$2+1-原始資料!O382,原始資料!O382))</f>
        <v/>
      </c>
      <c r="P382">
        <f>IF(原始資料!P382="","",IF(反向題設定!$C$19="是",反向題設定!$B$2+1-原始資料!P382,原始資料!P382))</f>
        <v/>
      </c>
      <c r="Q382">
        <f>IF(原始資料!Q382="","",IF(反向題設定!$C$20="是",反向題設定!$B$2+1-原始資料!Q382,原始資料!Q382))</f>
        <v/>
      </c>
      <c r="R382">
        <f>IF(原始資料!R382="","",IF(反向題設定!$C$21="是",反向題設定!$B$2+1-原始資料!R382,原始資料!R382))</f>
        <v/>
      </c>
      <c r="S382">
        <f>IF(原始資料!S382="","",IF(反向題設定!$C$22="是",反向題設定!$B$2+1-原始資料!S382,原始資料!S382))</f>
        <v/>
      </c>
      <c r="T382">
        <f>IF(原始資料!T382="","",IF(反向題設定!$C$23="是",反向題設定!$B$2+1-原始資料!T382,原始資料!T382))</f>
        <v/>
      </c>
      <c r="U382">
        <f>IF(原始資料!U382="","",IF(反向題設定!$C$24="是",反向題設定!$B$2+1-原始資料!U382,原始資料!U382))</f>
        <v/>
      </c>
      <c r="V382">
        <f>IF(原始資料!V382="","",IF(反向題設定!$C$25="是",反向題設定!$B$2+1-原始資料!V382,原始資料!V382))</f>
        <v/>
      </c>
      <c r="W382">
        <f>IF(原始資料!W382="","",IF(反向題設定!$C$26="是",反向題設定!$B$2+1-原始資料!W382,原始資料!W382))</f>
        <v/>
      </c>
      <c r="X382">
        <f>IF(原始資料!X382="","",IF(反向題設定!$C$27="是",反向題設定!$B$2+1-原始資料!X382,原始資料!X382))</f>
        <v/>
      </c>
      <c r="Y382">
        <f>IF(原始資料!Y382="","",IF(反向題設定!$C$28="是",反向題設定!$B$2+1-原始資料!Y382,原始資料!Y382))</f>
        <v/>
      </c>
      <c r="Z382">
        <f>IF(原始資料!Z382="","",IF(反向題設定!$C$29="是",反向題設定!$B$2+1-原始資料!Z382,原始資料!Z382))</f>
        <v/>
      </c>
      <c r="AA382">
        <f>IF(原始資料!AA382="","",IF(反向題設定!$C$30="是",反向題設定!$B$2+1-原始資料!AA382,原始資料!AA382))</f>
        <v/>
      </c>
      <c r="AB382">
        <f>IF(原始資料!AB382="","",IF(反向題設定!$C$31="是",反向題設定!$B$2+1-原始資料!AB382,原始資料!AB382))</f>
        <v/>
      </c>
      <c r="AC382">
        <f>IF(原始資料!AC382="","",IF(反向題設定!$C$32="是",反向題設定!$B$2+1-原始資料!AC382,原始資料!AC382))</f>
        <v/>
      </c>
      <c r="AD382">
        <f>IF(原始資料!AD382="","",IF(反向題設定!$C$33="是",反向題設定!$B$2+1-原始資料!AD382,原始資料!AD382))</f>
        <v/>
      </c>
      <c r="AE382">
        <f>IF(原始資料!AE382="","",IF(反向題設定!$C$34="是",反向題設定!$B$2+1-原始資料!AE382,原始資料!AE382))</f>
        <v/>
      </c>
      <c r="AF382">
        <f>IF(原始資料!AF382="","",IF(反向題設定!$C$35="是",反向題設定!$B$2+1-原始資料!AF382,原始資料!AF382))</f>
        <v/>
      </c>
      <c r="AG382">
        <f>IF(原始資料!AG382="","",IF(反向題設定!$C$36="是",反向題設定!$B$2+1-原始資料!AG382,原始資料!AG382))</f>
        <v/>
      </c>
      <c r="AH382">
        <f>IF(原始資料!AH382="","",IF(反向題設定!$C$37="是",反向題設定!$B$2+1-原始資料!AH382,原始資料!AH382))</f>
        <v/>
      </c>
      <c r="AI382">
        <f>IF(原始資料!AI382="","",IF(反向題設定!$C$38="是",反向題設定!$B$2+1-原始資料!AI382,原始資料!AI382))</f>
        <v/>
      </c>
      <c r="AJ382">
        <f>IF(原始資料!AJ382="","",IF(反向題設定!$C$39="是",反向題設定!$B$2+1-原始資料!AJ382,原始資料!AJ382))</f>
        <v/>
      </c>
      <c r="AK382">
        <f>IF(原始資料!AK382="","",IF(反向題設定!$C$40="是",反向題設定!$B$2+1-原始資料!AK382,原始資料!AK382))</f>
        <v/>
      </c>
      <c r="AL382">
        <f>IF(原始資料!AL382="","",IF(反向題設定!$C$41="是",反向題設定!$B$2+1-原始資料!AL382,原始資料!AL382))</f>
        <v/>
      </c>
      <c r="AM382">
        <f>IF(原始資料!AM382="","",IF(反向題設定!$C$42="是",反向題設定!$B$2+1-原始資料!AM382,原始資料!AM382))</f>
        <v/>
      </c>
      <c r="AN382">
        <f>IF(原始資料!AN382="","",IF(反向題設定!$C$43="是",反向題設定!$B$2+1-原始資料!AN382,原始資料!AN382))</f>
        <v/>
      </c>
      <c r="AO382">
        <f>IF(原始資料!AO382="","",IF(反向題設定!$C$44="是",反向題設定!$B$2+1-原始資料!AO382,原始資料!AO382))</f>
        <v/>
      </c>
      <c r="AP382">
        <f>IF(COUNT(B382:AO382)=0,"",SUM(B382:AO382))</f>
        <v/>
      </c>
      <c r="AQ382">
        <f>IF(AP382="","",IF(AP382&gt;=項目分析!$C$5,"高",IF(AP382&lt;=項目分析!$C$6,"低","")))</f>
        <v/>
      </c>
    </row>
    <row r="383">
      <c r="A383">
        <f>IF(原始資料!A383="","",原始資料!A383)</f>
        <v/>
      </c>
      <c r="B383">
        <f>IF(原始資料!B383="","",IF(反向題設定!$C$5="是",反向題設定!$B$2+1-原始資料!B383,原始資料!B383))</f>
        <v/>
      </c>
      <c r="C383">
        <f>IF(原始資料!C383="","",IF(反向題設定!$C$6="是",反向題設定!$B$2+1-原始資料!C383,原始資料!C383))</f>
        <v/>
      </c>
      <c r="D383">
        <f>IF(原始資料!D383="","",IF(反向題設定!$C$7="是",反向題設定!$B$2+1-原始資料!D383,原始資料!D383))</f>
        <v/>
      </c>
      <c r="E383">
        <f>IF(原始資料!E383="","",IF(反向題設定!$C$8="是",反向題設定!$B$2+1-原始資料!E383,原始資料!E383))</f>
        <v/>
      </c>
      <c r="F383">
        <f>IF(原始資料!F383="","",IF(反向題設定!$C$9="是",反向題設定!$B$2+1-原始資料!F383,原始資料!F383))</f>
        <v/>
      </c>
      <c r="G383">
        <f>IF(原始資料!G383="","",IF(反向題設定!$C$10="是",反向題設定!$B$2+1-原始資料!G383,原始資料!G383))</f>
        <v/>
      </c>
      <c r="H383">
        <f>IF(原始資料!H383="","",IF(反向題設定!$C$11="是",反向題設定!$B$2+1-原始資料!H383,原始資料!H383))</f>
        <v/>
      </c>
      <c r="I383">
        <f>IF(原始資料!I383="","",IF(反向題設定!$C$12="是",反向題設定!$B$2+1-原始資料!I383,原始資料!I383))</f>
        <v/>
      </c>
      <c r="J383">
        <f>IF(原始資料!J383="","",IF(反向題設定!$C$13="是",反向題設定!$B$2+1-原始資料!J383,原始資料!J383))</f>
        <v/>
      </c>
      <c r="K383">
        <f>IF(原始資料!K383="","",IF(反向題設定!$C$14="是",反向題設定!$B$2+1-原始資料!K383,原始資料!K383))</f>
        <v/>
      </c>
      <c r="L383">
        <f>IF(原始資料!L383="","",IF(反向題設定!$C$15="是",反向題設定!$B$2+1-原始資料!L383,原始資料!L383))</f>
        <v/>
      </c>
      <c r="M383">
        <f>IF(原始資料!M383="","",IF(反向題設定!$C$16="是",反向題設定!$B$2+1-原始資料!M383,原始資料!M383))</f>
        <v/>
      </c>
      <c r="N383">
        <f>IF(原始資料!N383="","",IF(反向題設定!$C$17="是",反向題設定!$B$2+1-原始資料!N383,原始資料!N383))</f>
        <v/>
      </c>
      <c r="O383">
        <f>IF(原始資料!O383="","",IF(反向題設定!$C$18="是",反向題設定!$B$2+1-原始資料!O383,原始資料!O383))</f>
        <v/>
      </c>
      <c r="P383">
        <f>IF(原始資料!P383="","",IF(反向題設定!$C$19="是",反向題設定!$B$2+1-原始資料!P383,原始資料!P383))</f>
        <v/>
      </c>
      <c r="Q383">
        <f>IF(原始資料!Q383="","",IF(反向題設定!$C$20="是",反向題設定!$B$2+1-原始資料!Q383,原始資料!Q383))</f>
        <v/>
      </c>
      <c r="R383">
        <f>IF(原始資料!R383="","",IF(反向題設定!$C$21="是",反向題設定!$B$2+1-原始資料!R383,原始資料!R383))</f>
        <v/>
      </c>
      <c r="S383">
        <f>IF(原始資料!S383="","",IF(反向題設定!$C$22="是",反向題設定!$B$2+1-原始資料!S383,原始資料!S383))</f>
        <v/>
      </c>
      <c r="T383">
        <f>IF(原始資料!T383="","",IF(反向題設定!$C$23="是",反向題設定!$B$2+1-原始資料!T383,原始資料!T383))</f>
        <v/>
      </c>
      <c r="U383">
        <f>IF(原始資料!U383="","",IF(反向題設定!$C$24="是",反向題設定!$B$2+1-原始資料!U383,原始資料!U383))</f>
        <v/>
      </c>
      <c r="V383">
        <f>IF(原始資料!V383="","",IF(反向題設定!$C$25="是",反向題設定!$B$2+1-原始資料!V383,原始資料!V383))</f>
        <v/>
      </c>
      <c r="W383">
        <f>IF(原始資料!W383="","",IF(反向題設定!$C$26="是",反向題設定!$B$2+1-原始資料!W383,原始資料!W383))</f>
        <v/>
      </c>
      <c r="X383">
        <f>IF(原始資料!X383="","",IF(反向題設定!$C$27="是",反向題設定!$B$2+1-原始資料!X383,原始資料!X383))</f>
        <v/>
      </c>
      <c r="Y383">
        <f>IF(原始資料!Y383="","",IF(反向題設定!$C$28="是",反向題設定!$B$2+1-原始資料!Y383,原始資料!Y383))</f>
        <v/>
      </c>
      <c r="Z383">
        <f>IF(原始資料!Z383="","",IF(反向題設定!$C$29="是",反向題設定!$B$2+1-原始資料!Z383,原始資料!Z383))</f>
        <v/>
      </c>
      <c r="AA383">
        <f>IF(原始資料!AA383="","",IF(反向題設定!$C$30="是",反向題設定!$B$2+1-原始資料!AA383,原始資料!AA383))</f>
        <v/>
      </c>
      <c r="AB383">
        <f>IF(原始資料!AB383="","",IF(反向題設定!$C$31="是",反向題設定!$B$2+1-原始資料!AB383,原始資料!AB383))</f>
        <v/>
      </c>
      <c r="AC383">
        <f>IF(原始資料!AC383="","",IF(反向題設定!$C$32="是",反向題設定!$B$2+1-原始資料!AC383,原始資料!AC383))</f>
        <v/>
      </c>
      <c r="AD383">
        <f>IF(原始資料!AD383="","",IF(反向題設定!$C$33="是",反向題設定!$B$2+1-原始資料!AD383,原始資料!AD383))</f>
        <v/>
      </c>
      <c r="AE383">
        <f>IF(原始資料!AE383="","",IF(反向題設定!$C$34="是",反向題設定!$B$2+1-原始資料!AE383,原始資料!AE383))</f>
        <v/>
      </c>
      <c r="AF383">
        <f>IF(原始資料!AF383="","",IF(反向題設定!$C$35="是",反向題設定!$B$2+1-原始資料!AF383,原始資料!AF383))</f>
        <v/>
      </c>
      <c r="AG383">
        <f>IF(原始資料!AG383="","",IF(反向題設定!$C$36="是",反向題設定!$B$2+1-原始資料!AG383,原始資料!AG383))</f>
        <v/>
      </c>
      <c r="AH383">
        <f>IF(原始資料!AH383="","",IF(反向題設定!$C$37="是",反向題設定!$B$2+1-原始資料!AH383,原始資料!AH383))</f>
        <v/>
      </c>
      <c r="AI383">
        <f>IF(原始資料!AI383="","",IF(反向題設定!$C$38="是",反向題設定!$B$2+1-原始資料!AI383,原始資料!AI383))</f>
        <v/>
      </c>
      <c r="AJ383">
        <f>IF(原始資料!AJ383="","",IF(反向題設定!$C$39="是",反向題設定!$B$2+1-原始資料!AJ383,原始資料!AJ383))</f>
        <v/>
      </c>
      <c r="AK383">
        <f>IF(原始資料!AK383="","",IF(反向題設定!$C$40="是",反向題設定!$B$2+1-原始資料!AK383,原始資料!AK383))</f>
        <v/>
      </c>
      <c r="AL383">
        <f>IF(原始資料!AL383="","",IF(反向題設定!$C$41="是",反向題設定!$B$2+1-原始資料!AL383,原始資料!AL383))</f>
        <v/>
      </c>
      <c r="AM383">
        <f>IF(原始資料!AM383="","",IF(反向題設定!$C$42="是",反向題設定!$B$2+1-原始資料!AM383,原始資料!AM383))</f>
        <v/>
      </c>
      <c r="AN383">
        <f>IF(原始資料!AN383="","",IF(反向題設定!$C$43="是",反向題設定!$B$2+1-原始資料!AN383,原始資料!AN383))</f>
        <v/>
      </c>
      <c r="AO383">
        <f>IF(原始資料!AO383="","",IF(反向題設定!$C$44="是",反向題設定!$B$2+1-原始資料!AO383,原始資料!AO383))</f>
        <v/>
      </c>
      <c r="AP383">
        <f>IF(COUNT(B383:AO383)=0,"",SUM(B383:AO383))</f>
        <v/>
      </c>
      <c r="AQ383">
        <f>IF(AP383="","",IF(AP383&gt;=項目分析!$C$5,"高",IF(AP383&lt;=項目分析!$C$6,"低","")))</f>
        <v/>
      </c>
    </row>
    <row r="384">
      <c r="A384">
        <f>IF(原始資料!A384="","",原始資料!A384)</f>
        <v/>
      </c>
      <c r="B384">
        <f>IF(原始資料!B384="","",IF(反向題設定!$C$5="是",反向題設定!$B$2+1-原始資料!B384,原始資料!B384))</f>
        <v/>
      </c>
      <c r="C384">
        <f>IF(原始資料!C384="","",IF(反向題設定!$C$6="是",反向題設定!$B$2+1-原始資料!C384,原始資料!C384))</f>
        <v/>
      </c>
      <c r="D384">
        <f>IF(原始資料!D384="","",IF(反向題設定!$C$7="是",反向題設定!$B$2+1-原始資料!D384,原始資料!D384))</f>
        <v/>
      </c>
      <c r="E384">
        <f>IF(原始資料!E384="","",IF(反向題設定!$C$8="是",反向題設定!$B$2+1-原始資料!E384,原始資料!E384))</f>
        <v/>
      </c>
      <c r="F384">
        <f>IF(原始資料!F384="","",IF(反向題設定!$C$9="是",反向題設定!$B$2+1-原始資料!F384,原始資料!F384))</f>
        <v/>
      </c>
      <c r="G384">
        <f>IF(原始資料!G384="","",IF(反向題設定!$C$10="是",反向題設定!$B$2+1-原始資料!G384,原始資料!G384))</f>
        <v/>
      </c>
      <c r="H384">
        <f>IF(原始資料!H384="","",IF(反向題設定!$C$11="是",反向題設定!$B$2+1-原始資料!H384,原始資料!H384))</f>
        <v/>
      </c>
      <c r="I384">
        <f>IF(原始資料!I384="","",IF(反向題設定!$C$12="是",反向題設定!$B$2+1-原始資料!I384,原始資料!I384))</f>
        <v/>
      </c>
      <c r="J384">
        <f>IF(原始資料!J384="","",IF(反向題設定!$C$13="是",反向題設定!$B$2+1-原始資料!J384,原始資料!J384))</f>
        <v/>
      </c>
      <c r="K384">
        <f>IF(原始資料!K384="","",IF(反向題設定!$C$14="是",反向題設定!$B$2+1-原始資料!K384,原始資料!K384))</f>
        <v/>
      </c>
      <c r="L384">
        <f>IF(原始資料!L384="","",IF(反向題設定!$C$15="是",反向題設定!$B$2+1-原始資料!L384,原始資料!L384))</f>
        <v/>
      </c>
      <c r="M384">
        <f>IF(原始資料!M384="","",IF(反向題設定!$C$16="是",反向題設定!$B$2+1-原始資料!M384,原始資料!M384))</f>
        <v/>
      </c>
      <c r="N384">
        <f>IF(原始資料!N384="","",IF(反向題設定!$C$17="是",反向題設定!$B$2+1-原始資料!N384,原始資料!N384))</f>
        <v/>
      </c>
      <c r="O384">
        <f>IF(原始資料!O384="","",IF(反向題設定!$C$18="是",反向題設定!$B$2+1-原始資料!O384,原始資料!O384))</f>
        <v/>
      </c>
      <c r="P384">
        <f>IF(原始資料!P384="","",IF(反向題設定!$C$19="是",反向題設定!$B$2+1-原始資料!P384,原始資料!P384))</f>
        <v/>
      </c>
      <c r="Q384">
        <f>IF(原始資料!Q384="","",IF(反向題設定!$C$20="是",反向題設定!$B$2+1-原始資料!Q384,原始資料!Q384))</f>
        <v/>
      </c>
      <c r="R384">
        <f>IF(原始資料!R384="","",IF(反向題設定!$C$21="是",反向題設定!$B$2+1-原始資料!R384,原始資料!R384))</f>
        <v/>
      </c>
      <c r="S384">
        <f>IF(原始資料!S384="","",IF(反向題設定!$C$22="是",反向題設定!$B$2+1-原始資料!S384,原始資料!S384))</f>
        <v/>
      </c>
      <c r="T384">
        <f>IF(原始資料!T384="","",IF(反向題設定!$C$23="是",反向題設定!$B$2+1-原始資料!T384,原始資料!T384))</f>
        <v/>
      </c>
      <c r="U384">
        <f>IF(原始資料!U384="","",IF(反向題設定!$C$24="是",反向題設定!$B$2+1-原始資料!U384,原始資料!U384))</f>
        <v/>
      </c>
      <c r="V384">
        <f>IF(原始資料!V384="","",IF(反向題設定!$C$25="是",反向題設定!$B$2+1-原始資料!V384,原始資料!V384))</f>
        <v/>
      </c>
      <c r="W384">
        <f>IF(原始資料!W384="","",IF(反向題設定!$C$26="是",反向題設定!$B$2+1-原始資料!W384,原始資料!W384))</f>
        <v/>
      </c>
      <c r="X384">
        <f>IF(原始資料!X384="","",IF(反向題設定!$C$27="是",反向題設定!$B$2+1-原始資料!X384,原始資料!X384))</f>
        <v/>
      </c>
      <c r="Y384">
        <f>IF(原始資料!Y384="","",IF(反向題設定!$C$28="是",反向題設定!$B$2+1-原始資料!Y384,原始資料!Y384))</f>
        <v/>
      </c>
      <c r="Z384">
        <f>IF(原始資料!Z384="","",IF(反向題設定!$C$29="是",反向題設定!$B$2+1-原始資料!Z384,原始資料!Z384))</f>
        <v/>
      </c>
      <c r="AA384">
        <f>IF(原始資料!AA384="","",IF(反向題設定!$C$30="是",反向題設定!$B$2+1-原始資料!AA384,原始資料!AA384))</f>
        <v/>
      </c>
      <c r="AB384">
        <f>IF(原始資料!AB384="","",IF(反向題設定!$C$31="是",反向題設定!$B$2+1-原始資料!AB384,原始資料!AB384))</f>
        <v/>
      </c>
      <c r="AC384">
        <f>IF(原始資料!AC384="","",IF(反向題設定!$C$32="是",反向題設定!$B$2+1-原始資料!AC384,原始資料!AC384))</f>
        <v/>
      </c>
      <c r="AD384">
        <f>IF(原始資料!AD384="","",IF(反向題設定!$C$33="是",反向題設定!$B$2+1-原始資料!AD384,原始資料!AD384))</f>
        <v/>
      </c>
      <c r="AE384">
        <f>IF(原始資料!AE384="","",IF(反向題設定!$C$34="是",反向題設定!$B$2+1-原始資料!AE384,原始資料!AE384))</f>
        <v/>
      </c>
      <c r="AF384">
        <f>IF(原始資料!AF384="","",IF(反向題設定!$C$35="是",反向題設定!$B$2+1-原始資料!AF384,原始資料!AF384))</f>
        <v/>
      </c>
      <c r="AG384">
        <f>IF(原始資料!AG384="","",IF(反向題設定!$C$36="是",反向題設定!$B$2+1-原始資料!AG384,原始資料!AG384))</f>
        <v/>
      </c>
      <c r="AH384">
        <f>IF(原始資料!AH384="","",IF(反向題設定!$C$37="是",反向題設定!$B$2+1-原始資料!AH384,原始資料!AH384))</f>
        <v/>
      </c>
      <c r="AI384">
        <f>IF(原始資料!AI384="","",IF(反向題設定!$C$38="是",反向題設定!$B$2+1-原始資料!AI384,原始資料!AI384))</f>
        <v/>
      </c>
      <c r="AJ384">
        <f>IF(原始資料!AJ384="","",IF(反向題設定!$C$39="是",反向題設定!$B$2+1-原始資料!AJ384,原始資料!AJ384))</f>
        <v/>
      </c>
      <c r="AK384">
        <f>IF(原始資料!AK384="","",IF(反向題設定!$C$40="是",反向題設定!$B$2+1-原始資料!AK384,原始資料!AK384))</f>
        <v/>
      </c>
      <c r="AL384">
        <f>IF(原始資料!AL384="","",IF(反向題設定!$C$41="是",反向題設定!$B$2+1-原始資料!AL384,原始資料!AL384))</f>
        <v/>
      </c>
      <c r="AM384">
        <f>IF(原始資料!AM384="","",IF(反向題設定!$C$42="是",反向題設定!$B$2+1-原始資料!AM384,原始資料!AM384))</f>
        <v/>
      </c>
      <c r="AN384">
        <f>IF(原始資料!AN384="","",IF(反向題設定!$C$43="是",反向題設定!$B$2+1-原始資料!AN384,原始資料!AN384))</f>
        <v/>
      </c>
      <c r="AO384">
        <f>IF(原始資料!AO384="","",IF(反向題設定!$C$44="是",反向題設定!$B$2+1-原始資料!AO384,原始資料!AO384))</f>
        <v/>
      </c>
      <c r="AP384">
        <f>IF(COUNT(B384:AO384)=0,"",SUM(B384:AO384))</f>
        <v/>
      </c>
      <c r="AQ384">
        <f>IF(AP384="","",IF(AP384&gt;=項目分析!$C$5,"高",IF(AP384&lt;=項目分析!$C$6,"低","")))</f>
        <v/>
      </c>
    </row>
    <row r="385">
      <c r="A385">
        <f>IF(原始資料!A385="","",原始資料!A385)</f>
        <v/>
      </c>
      <c r="B385">
        <f>IF(原始資料!B385="","",IF(反向題設定!$C$5="是",反向題設定!$B$2+1-原始資料!B385,原始資料!B385))</f>
        <v/>
      </c>
      <c r="C385">
        <f>IF(原始資料!C385="","",IF(反向題設定!$C$6="是",反向題設定!$B$2+1-原始資料!C385,原始資料!C385))</f>
        <v/>
      </c>
      <c r="D385">
        <f>IF(原始資料!D385="","",IF(反向題設定!$C$7="是",反向題設定!$B$2+1-原始資料!D385,原始資料!D385))</f>
        <v/>
      </c>
      <c r="E385">
        <f>IF(原始資料!E385="","",IF(反向題設定!$C$8="是",反向題設定!$B$2+1-原始資料!E385,原始資料!E385))</f>
        <v/>
      </c>
      <c r="F385">
        <f>IF(原始資料!F385="","",IF(反向題設定!$C$9="是",反向題設定!$B$2+1-原始資料!F385,原始資料!F385))</f>
        <v/>
      </c>
      <c r="G385">
        <f>IF(原始資料!G385="","",IF(反向題設定!$C$10="是",反向題設定!$B$2+1-原始資料!G385,原始資料!G385))</f>
        <v/>
      </c>
      <c r="H385">
        <f>IF(原始資料!H385="","",IF(反向題設定!$C$11="是",反向題設定!$B$2+1-原始資料!H385,原始資料!H385))</f>
        <v/>
      </c>
      <c r="I385">
        <f>IF(原始資料!I385="","",IF(反向題設定!$C$12="是",反向題設定!$B$2+1-原始資料!I385,原始資料!I385))</f>
        <v/>
      </c>
      <c r="J385">
        <f>IF(原始資料!J385="","",IF(反向題設定!$C$13="是",反向題設定!$B$2+1-原始資料!J385,原始資料!J385))</f>
        <v/>
      </c>
      <c r="K385">
        <f>IF(原始資料!K385="","",IF(反向題設定!$C$14="是",反向題設定!$B$2+1-原始資料!K385,原始資料!K385))</f>
        <v/>
      </c>
      <c r="L385">
        <f>IF(原始資料!L385="","",IF(反向題設定!$C$15="是",反向題設定!$B$2+1-原始資料!L385,原始資料!L385))</f>
        <v/>
      </c>
      <c r="M385">
        <f>IF(原始資料!M385="","",IF(反向題設定!$C$16="是",反向題設定!$B$2+1-原始資料!M385,原始資料!M385))</f>
        <v/>
      </c>
      <c r="N385">
        <f>IF(原始資料!N385="","",IF(反向題設定!$C$17="是",反向題設定!$B$2+1-原始資料!N385,原始資料!N385))</f>
        <v/>
      </c>
      <c r="O385">
        <f>IF(原始資料!O385="","",IF(反向題設定!$C$18="是",反向題設定!$B$2+1-原始資料!O385,原始資料!O385))</f>
        <v/>
      </c>
      <c r="P385">
        <f>IF(原始資料!P385="","",IF(反向題設定!$C$19="是",反向題設定!$B$2+1-原始資料!P385,原始資料!P385))</f>
        <v/>
      </c>
      <c r="Q385">
        <f>IF(原始資料!Q385="","",IF(反向題設定!$C$20="是",反向題設定!$B$2+1-原始資料!Q385,原始資料!Q385))</f>
        <v/>
      </c>
      <c r="R385">
        <f>IF(原始資料!R385="","",IF(反向題設定!$C$21="是",反向題設定!$B$2+1-原始資料!R385,原始資料!R385))</f>
        <v/>
      </c>
      <c r="S385">
        <f>IF(原始資料!S385="","",IF(反向題設定!$C$22="是",反向題設定!$B$2+1-原始資料!S385,原始資料!S385))</f>
        <v/>
      </c>
      <c r="T385">
        <f>IF(原始資料!T385="","",IF(反向題設定!$C$23="是",反向題設定!$B$2+1-原始資料!T385,原始資料!T385))</f>
        <v/>
      </c>
      <c r="U385">
        <f>IF(原始資料!U385="","",IF(反向題設定!$C$24="是",反向題設定!$B$2+1-原始資料!U385,原始資料!U385))</f>
        <v/>
      </c>
      <c r="V385">
        <f>IF(原始資料!V385="","",IF(反向題設定!$C$25="是",反向題設定!$B$2+1-原始資料!V385,原始資料!V385))</f>
        <v/>
      </c>
      <c r="W385">
        <f>IF(原始資料!W385="","",IF(反向題設定!$C$26="是",反向題設定!$B$2+1-原始資料!W385,原始資料!W385))</f>
        <v/>
      </c>
      <c r="X385">
        <f>IF(原始資料!X385="","",IF(反向題設定!$C$27="是",反向題設定!$B$2+1-原始資料!X385,原始資料!X385))</f>
        <v/>
      </c>
      <c r="Y385">
        <f>IF(原始資料!Y385="","",IF(反向題設定!$C$28="是",反向題設定!$B$2+1-原始資料!Y385,原始資料!Y385))</f>
        <v/>
      </c>
      <c r="Z385">
        <f>IF(原始資料!Z385="","",IF(反向題設定!$C$29="是",反向題設定!$B$2+1-原始資料!Z385,原始資料!Z385))</f>
        <v/>
      </c>
      <c r="AA385">
        <f>IF(原始資料!AA385="","",IF(反向題設定!$C$30="是",反向題設定!$B$2+1-原始資料!AA385,原始資料!AA385))</f>
        <v/>
      </c>
      <c r="AB385">
        <f>IF(原始資料!AB385="","",IF(反向題設定!$C$31="是",反向題設定!$B$2+1-原始資料!AB385,原始資料!AB385))</f>
        <v/>
      </c>
      <c r="AC385">
        <f>IF(原始資料!AC385="","",IF(反向題設定!$C$32="是",反向題設定!$B$2+1-原始資料!AC385,原始資料!AC385))</f>
        <v/>
      </c>
      <c r="AD385">
        <f>IF(原始資料!AD385="","",IF(反向題設定!$C$33="是",反向題設定!$B$2+1-原始資料!AD385,原始資料!AD385))</f>
        <v/>
      </c>
      <c r="AE385">
        <f>IF(原始資料!AE385="","",IF(反向題設定!$C$34="是",反向題設定!$B$2+1-原始資料!AE385,原始資料!AE385))</f>
        <v/>
      </c>
      <c r="AF385">
        <f>IF(原始資料!AF385="","",IF(反向題設定!$C$35="是",反向題設定!$B$2+1-原始資料!AF385,原始資料!AF385))</f>
        <v/>
      </c>
      <c r="AG385">
        <f>IF(原始資料!AG385="","",IF(反向題設定!$C$36="是",反向題設定!$B$2+1-原始資料!AG385,原始資料!AG385))</f>
        <v/>
      </c>
      <c r="AH385">
        <f>IF(原始資料!AH385="","",IF(反向題設定!$C$37="是",反向題設定!$B$2+1-原始資料!AH385,原始資料!AH385))</f>
        <v/>
      </c>
      <c r="AI385">
        <f>IF(原始資料!AI385="","",IF(反向題設定!$C$38="是",反向題設定!$B$2+1-原始資料!AI385,原始資料!AI385))</f>
        <v/>
      </c>
      <c r="AJ385">
        <f>IF(原始資料!AJ385="","",IF(反向題設定!$C$39="是",反向題設定!$B$2+1-原始資料!AJ385,原始資料!AJ385))</f>
        <v/>
      </c>
      <c r="AK385">
        <f>IF(原始資料!AK385="","",IF(反向題設定!$C$40="是",反向題設定!$B$2+1-原始資料!AK385,原始資料!AK385))</f>
        <v/>
      </c>
      <c r="AL385">
        <f>IF(原始資料!AL385="","",IF(反向題設定!$C$41="是",反向題設定!$B$2+1-原始資料!AL385,原始資料!AL385))</f>
        <v/>
      </c>
      <c r="AM385">
        <f>IF(原始資料!AM385="","",IF(反向題設定!$C$42="是",反向題設定!$B$2+1-原始資料!AM385,原始資料!AM385))</f>
        <v/>
      </c>
      <c r="AN385">
        <f>IF(原始資料!AN385="","",IF(反向題設定!$C$43="是",反向題設定!$B$2+1-原始資料!AN385,原始資料!AN385))</f>
        <v/>
      </c>
      <c r="AO385">
        <f>IF(原始資料!AO385="","",IF(反向題設定!$C$44="是",反向題設定!$B$2+1-原始資料!AO385,原始資料!AO385))</f>
        <v/>
      </c>
      <c r="AP385">
        <f>IF(COUNT(B385:AO385)=0,"",SUM(B385:AO385))</f>
        <v/>
      </c>
      <c r="AQ385">
        <f>IF(AP385="","",IF(AP385&gt;=項目分析!$C$5,"高",IF(AP385&lt;=項目分析!$C$6,"低","")))</f>
        <v/>
      </c>
    </row>
    <row r="386">
      <c r="A386">
        <f>IF(原始資料!A386="","",原始資料!A386)</f>
        <v/>
      </c>
      <c r="B386">
        <f>IF(原始資料!B386="","",IF(反向題設定!$C$5="是",反向題設定!$B$2+1-原始資料!B386,原始資料!B386))</f>
        <v/>
      </c>
      <c r="C386">
        <f>IF(原始資料!C386="","",IF(反向題設定!$C$6="是",反向題設定!$B$2+1-原始資料!C386,原始資料!C386))</f>
        <v/>
      </c>
      <c r="D386">
        <f>IF(原始資料!D386="","",IF(反向題設定!$C$7="是",反向題設定!$B$2+1-原始資料!D386,原始資料!D386))</f>
        <v/>
      </c>
      <c r="E386">
        <f>IF(原始資料!E386="","",IF(反向題設定!$C$8="是",反向題設定!$B$2+1-原始資料!E386,原始資料!E386))</f>
        <v/>
      </c>
      <c r="F386">
        <f>IF(原始資料!F386="","",IF(反向題設定!$C$9="是",反向題設定!$B$2+1-原始資料!F386,原始資料!F386))</f>
        <v/>
      </c>
      <c r="G386">
        <f>IF(原始資料!G386="","",IF(反向題設定!$C$10="是",反向題設定!$B$2+1-原始資料!G386,原始資料!G386))</f>
        <v/>
      </c>
      <c r="H386">
        <f>IF(原始資料!H386="","",IF(反向題設定!$C$11="是",反向題設定!$B$2+1-原始資料!H386,原始資料!H386))</f>
        <v/>
      </c>
      <c r="I386">
        <f>IF(原始資料!I386="","",IF(反向題設定!$C$12="是",反向題設定!$B$2+1-原始資料!I386,原始資料!I386))</f>
        <v/>
      </c>
      <c r="J386">
        <f>IF(原始資料!J386="","",IF(反向題設定!$C$13="是",反向題設定!$B$2+1-原始資料!J386,原始資料!J386))</f>
        <v/>
      </c>
      <c r="K386">
        <f>IF(原始資料!K386="","",IF(反向題設定!$C$14="是",反向題設定!$B$2+1-原始資料!K386,原始資料!K386))</f>
        <v/>
      </c>
      <c r="L386">
        <f>IF(原始資料!L386="","",IF(反向題設定!$C$15="是",反向題設定!$B$2+1-原始資料!L386,原始資料!L386))</f>
        <v/>
      </c>
      <c r="M386">
        <f>IF(原始資料!M386="","",IF(反向題設定!$C$16="是",反向題設定!$B$2+1-原始資料!M386,原始資料!M386))</f>
        <v/>
      </c>
      <c r="N386">
        <f>IF(原始資料!N386="","",IF(反向題設定!$C$17="是",反向題設定!$B$2+1-原始資料!N386,原始資料!N386))</f>
        <v/>
      </c>
      <c r="O386">
        <f>IF(原始資料!O386="","",IF(反向題設定!$C$18="是",反向題設定!$B$2+1-原始資料!O386,原始資料!O386))</f>
        <v/>
      </c>
      <c r="P386">
        <f>IF(原始資料!P386="","",IF(反向題設定!$C$19="是",反向題設定!$B$2+1-原始資料!P386,原始資料!P386))</f>
        <v/>
      </c>
      <c r="Q386">
        <f>IF(原始資料!Q386="","",IF(反向題設定!$C$20="是",反向題設定!$B$2+1-原始資料!Q386,原始資料!Q386))</f>
        <v/>
      </c>
      <c r="R386">
        <f>IF(原始資料!R386="","",IF(反向題設定!$C$21="是",反向題設定!$B$2+1-原始資料!R386,原始資料!R386))</f>
        <v/>
      </c>
      <c r="S386">
        <f>IF(原始資料!S386="","",IF(反向題設定!$C$22="是",反向題設定!$B$2+1-原始資料!S386,原始資料!S386))</f>
        <v/>
      </c>
      <c r="T386">
        <f>IF(原始資料!T386="","",IF(反向題設定!$C$23="是",反向題設定!$B$2+1-原始資料!T386,原始資料!T386))</f>
        <v/>
      </c>
      <c r="U386">
        <f>IF(原始資料!U386="","",IF(反向題設定!$C$24="是",反向題設定!$B$2+1-原始資料!U386,原始資料!U386))</f>
        <v/>
      </c>
      <c r="V386">
        <f>IF(原始資料!V386="","",IF(反向題設定!$C$25="是",反向題設定!$B$2+1-原始資料!V386,原始資料!V386))</f>
        <v/>
      </c>
      <c r="W386">
        <f>IF(原始資料!W386="","",IF(反向題設定!$C$26="是",反向題設定!$B$2+1-原始資料!W386,原始資料!W386))</f>
        <v/>
      </c>
      <c r="X386">
        <f>IF(原始資料!X386="","",IF(反向題設定!$C$27="是",反向題設定!$B$2+1-原始資料!X386,原始資料!X386))</f>
        <v/>
      </c>
      <c r="Y386">
        <f>IF(原始資料!Y386="","",IF(反向題設定!$C$28="是",反向題設定!$B$2+1-原始資料!Y386,原始資料!Y386))</f>
        <v/>
      </c>
      <c r="Z386">
        <f>IF(原始資料!Z386="","",IF(反向題設定!$C$29="是",反向題設定!$B$2+1-原始資料!Z386,原始資料!Z386))</f>
        <v/>
      </c>
      <c r="AA386">
        <f>IF(原始資料!AA386="","",IF(反向題設定!$C$30="是",反向題設定!$B$2+1-原始資料!AA386,原始資料!AA386))</f>
        <v/>
      </c>
      <c r="AB386">
        <f>IF(原始資料!AB386="","",IF(反向題設定!$C$31="是",反向題設定!$B$2+1-原始資料!AB386,原始資料!AB386))</f>
        <v/>
      </c>
      <c r="AC386">
        <f>IF(原始資料!AC386="","",IF(反向題設定!$C$32="是",反向題設定!$B$2+1-原始資料!AC386,原始資料!AC386))</f>
        <v/>
      </c>
      <c r="AD386">
        <f>IF(原始資料!AD386="","",IF(反向題設定!$C$33="是",反向題設定!$B$2+1-原始資料!AD386,原始資料!AD386))</f>
        <v/>
      </c>
      <c r="AE386">
        <f>IF(原始資料!AE386="","",IF(反向題設定!$C$34="是",反向題設定!$B$2+1-原始資料!AE386,原始資料!AE386))</f>
        <v/>
      </c>
      <c r="AF386">
        <f>IF(原始資料!AF386="","",IF(反向題設定!$C$35="是",反向題設定!$B$2+1-原始資料!AF386,原始資料!AF386))</f>
        <v/>
      </c>
      <c r="AG386">
        <f>IF(原始資料!AG386="","",IF(反向題設定!$C$36="是",反向題設定!$B$2+1-原始資料!AG386,原始資料!AG386))</f>
        <v/>
      </c>
      <c r="AH386">
        <f>IF(原始資料!AH386="","",IF(反向題設定!$C$37="是",反向題設定!$B$2+1-原始資料!AH386,原始資料!AH386))</f>
        <v/>
      </c>
      <c r="AI386">
        <f>IF(原始資料!AI386="","",IF(反向題設定!$C$38="是",反向題設定!$B$2+1-原始資料!AI386,原始資料!AI386))</f>
        <v/>
      </c>
      <c r="AJ386">
        <f>IF(原始資料!AJ386="","",IF(反向題設定!$C$39="是",反向題設定!$B$2+1-原始資料!AJ386,原始資料!AJ386))</f>
        <v/>
      </c>
      <c r="AK386">
        <f>IF(原始資料!AK386="","",IF(反向題設定!$C$40="是",反向題設定!$B$2+1-原始資料!AK386,原始資料!AK386))</f>
        <v/>
      </c>
      <c r="AL386">
        <f>IF(原始資料!AL386="","",IF(反向題設定!$C$41="是",反向題設定!$B$2+1-原始資料!AL386,原始資料!AL386))</f>
        <v/>
      </c>
      <c r="AM386">
        <f>IF(原始資料!AM386="","",IF(反向題設定!$C$42="是",反向題設定!$B$2+1-原始資料!AM386,原始資料!AM386))</f>
        <v/>
      </c>
      <c r="AN386">
        <f>IF(原始資料!AN386="","",IF(反向題設定!$C$43="是",反向題設定!$B$2+1-原始資料!AN386,原始資料!AN386))</f>
        <v/>
      </c>
      <c r="AO386">
        <f>IF(原始資料!AO386="","",IF(反向題設定!$C$44="是",反向題設定!$B$2+1-原始資料!AO386,原始資料!AO386))</f>
        <v/>
      </c>
      <c r="AP386">
        <f>IF(COUNT(B386:AO386)=0,"",SUM(B386:AO386))</f>
        <v/>
      </c>
      <c r="AQ386">
        <f>IF(AP386="","",IF(AP386&gt;=項目分析!$C$5,"高",IF(AP386&lt;=項目分析!$C$6,"低","")))</f>
        <v/>
      </c>
    </row>
    <row r="387">
      <c r="A387">
        <f>IF(原始資料!A387="","",原始資料!A387)</f>
        <v/>
      </c>
      <c r="B387">
        <f>IF(原始資料!B387="","",IF(反向題設定!$C$5="是",反向題設定!$B$2+1-原始資料!B387,原始資料!B387))</f>
        <v/>
      </c>
      <c r="C387">
        <f>IF(原始資料!C387="","",IF(反向題設定!$C$6="是",反向題設定!$B$2+1-原始資料!C387,原始資料!C387))</f>
        <v/>
      </c>
      <c r="D387">
        <f>IF(原始資料!D387="","",IF(反向題設定!$C$7="是",反向題設定!$B$2+1-原始資料!D387,原始資料!D387))</f>
        <v/>
      </c>
      <c r="E387">
        <f>IF(原始資料!E387="","",IF(反向題設定!$C$8="是",反向題設定!$B$2+1-原始資料!E387,原始資料!E387))</f>
        <v/>
      </c>
      <c r="F387">
        <f>IF(原始資料!F387="","",IF(反向題設定!$C$9="是",反向題設定!$B$2+1-原始資料!F387,原始資料!F387))</f>
        <v/>
      </c>
      <c r="G387">
        <f>IF(原始資料!G387="","",IF(反向題設定!$C$10="是",反向題設定!$B$2+1-原始資料!G387,原始資料!G387))</f>
        <v/>
      </c>
      <c r="H387">
        <f>IF(原始資料!H387="","",IF(反向題設定!$C$11="是",反向題設定!$B$2+1-原始資料!H387,原始資料!H387))</f>
        <v/>
      </c>
      <c r="I387">
        <f>IF(原始資料!I387="","",IF(反向題設定!$C$12="是",反向題設定!$B$2+1-原始資料!I387,原始資料!I387))</f>
        <v/>
      </c>
      <c r="J387">
        <f>IF(原始資料!J387="","",IF(反向題設定!$C$13="是",反向題設定!$B$2+1-原始資料!J387,原始資料!J387))</f>
        <v/>
      </c>
      <c r="K387">
        <f>IF(原始資料!K387="","",IF(反向題設定!$C$14="是",反向題設定!$B$2+1-原始資料!K387,原始資料!K387))</f>
        <v/>
      </c>
      <c r="L387">
        <f>IF(原始資料!L387="","",IF(反向題設定!$C$15="是",反向題設定!$B$2+1-原始資料!L387,原始資料!L387))</f>
        <v/>
      </c>
      <c r="M387">
        <f>IF(原始資料!M387="","",IF(反向題設定!$C$16="是",反向題設定!$B$2+1-原始資料!M387,原始資料!M387))</f>
        <v/>
      </c>
      <c r="N387">
        <f>IF(原始資料!N387="","",IF(反向題設定!$C$17="是",反向題設定!$B$2+1-原始資料!N387,原始資料!N387))</f>
        <v/>
      </c>
      <c r="O387">
        <f>IF(原始資料!O387="","",IF(反向題設定!$C$18="是",反向題設定!$B$2+1-原始資料!O387,原始資料!O387))</f>
        <v/>
      </c>
      <c r="P387">
        <f>IF(原始資料!P387="","",IF(反向題設定!$C$19="是",反向題設定!$B$2+1-原始資料!P387,原始資料!P387))</f>
        <v/>
      </c>
      <c r="Q387">
        <f>IF(原始資料!Q387="","",IF(反向題設定!$C$20="是",反向題設定!$B$2+1-原始資料!Q387,原始資料!Q387))</f>
        <v/>
      </c>
      <c r="R387">
        <f>IF(原始資料!R387="","",IF(反向題設定!$C$21="是",反向題設定!$B$2+1-原始資料!R387,原始資料!R387))</f>
        <v/>
      </c>
      <c r="S387">
        <f>IF(原始資料!S387="","",IF(反向題設定!$C$22="是",反向題設定!$B$2+1-原始資料!S387,原始資料!S387))</f>
        <v/>
      </c>
      <c r="T387">
        <f>IF(原始資料!T387="","",IF(反向題設定!$C$23="是",反向題設定!$B$2+1-原始資料!T387,原始資料!T387))</f>
        <v/>
      </c>
      <c r="U387">
        <f>IF(原始資料!U387="","",IF(反向題設定!$C$24="是",反向題設定!$B$2+1-原始資料!U387,原始資料!U387))</f>
        <v/>
      </c>
      <c r="V387">
        <f>IF(原始資料!V387="","",IF(反向題設定!$C$25="是",反向題設定!$B$2+1-原始資料!V387,原始資料!V387))</f>
        <v/>
      </c>
      <c r="W387">
        <f>IF(原始資料!W387="","",IF(反向題設定!$C$26="是",反向題設定!$B$2+1-原始資料!W387,原始資料!W387))</f>
        <v/>
      </c>
      <c r="X387">
        <f>IF(原始資料!X387="","",IF(反向題設定!$C$27="是",反向題設定!$B$2+1-原始資料!X387,原始資料!X387))</f>
        <v/>
      </c>
      <c r="Y387">
        <f>IF(原始資料!Y387="","",IF(反向題設定!$C$28="是",反向題設定!$B$2+1-原始資料!Y387,原始資料!Y387))</f>
        <v/>
      </c>
      <c r="Z387">
        <f>IF(原始資料!Z387="","",IF(反向題設定!$C$29="是",反向題設定!$B$2+1-原始資料!Z387,原始資料!Z387))</f>
        <v/>
      </c>
      <c r="AA387">
        <f>IF(原始資料!AA387="","",IF(反向題設定!$C$30="是",反向題設定!$B$2+1-原始資料!AA387,原始資料!AA387))</f>
        <v/>
      </c>
      <c r="AB387">
        <f>IF(原始資料!AB387="","",IF(反向題設定!$C$31="是",反向題設定!$B$2+1-原始資料!AB387,原始資料!AB387))</f>
        <v/>
      </c>
      <c r="AC387">
        <f>IF(原始資料!AC387="","",IF(反向題設定!$C$32="是",反向題設定!$B$2+1-原始資料!AC387,原始資料!AC387))</f>
        <v/>
      </c>
      <c r="AD387">
        <f>IF(原始資料!AD387="","",IF(反向題設定!$C$33="是",反向題設定!$B$2+1-原始資料!AD387,原始資料!AD387))</f>
        <v/>
      </c>
      <c r="AE387">
        <f>IF(原始資料!AE387="","",IF(反向題設定!$C$34="是",反向題設定!$B$2+1-原始資料!AE387,原始資料!AE387))</f>
        <v/>
      </c>
      <c r="AF387">
        <f>IF(原始資料!AF387="","",IF(反向題設定!$C$35="是",反向題設定!$B$2+1-原始資料!AF387,原始資料!AF387))</f>
        <v/>
      </c>
      <c r="AG387">
        <f>IF(原始資料!AG387="","",IF(反向題設定!$C$36="是",反向題設定!$B$2+1-原始資料!AG387,原始資料!AG387))</f>
        <v/>
      </c>
      <c r="AH387">
        <f>IF(原始資料!AH387="","",IF(反向題設定!$C$37="是",反向題設定!$B$2+1-原始資料!AH387,原始資料!AH387))</f>
        <v/>
      </c>
      <c r="AI387">
        <f>IF(原始資料!AI387="","",IF(反向題設定!$C$38="是",反向題設定!$B$2+1-原始資料!AI387,原始資料!AI387))</f>
        <v/>
      </c>
      <c r="AJ387">
        <f>IF(原始資料!AJ387="","",IF(反向題設定!$C$39="是",反向題設定!$B$2+1-原始資料!AJ387,原始資料!AJ387))</f>
        <v/>
      </c>
      <c r="AK387">
        <f>IF(原始資料!AK387="","",IF(反向題設定!$C$40="是",反向題設定!$B$2+1-原始資料!AK387,原始資料!AK387))</f>
        <v/>
      </c>
      <c r="AL387">
        <f>IF(原始資料!AL387="","",IF(反向題設定!$C$41="是",反向題設定!$B$2+1-原始資料!AL387,原始資料!AL387))</f>
        <v/>
      </c>
      <c r="AM387">
        <f>IF(原始資料!AM387="","",IF(反向題設定!$C$42="是",反向題設定!$B$2+1-原始資料!AM387,原始資料!AM387))</f>
        <v/>
      </c>
      <c r="AN387">
        <f>IF(原始資料!AN387="","",IF(反向題設定!$C$43="是",反向題設定!$B$2+1-原始資料!AN387,原始資料!AN387))</f>
        <v/>
      </c>
      <c r="AO387">
        <f>IF(原始資料!AO387="","",IF(反向題設定!$C$44="是",反向題設定!$B$2+1-原始資料!AO387,原始資料!AO387))</f>
        <v/>
      </c>
      <c r="AP387">
        <f>IF(COUNT(B387:AO387)=0,"",SUM(B387:AO387))</f>
        <v/>
      </c>
      <c r="AQ387">
        <f>IF(AP387="","",IF(AP387&gt;=項目分析!$C$5,"高",IF(AP387&lt;=項目分析!$C$6,"低","")))</f>
        <v/>
      </c>
    </row>
    <row r="388">
      <c r="A388">
        <f>IF(原始資料!A388="","",原始資料!A388)</f>
        <v/>
      </c>
      <c r="B388">
        <f>IF(原始資料!B388="","",IF(反向題設定!$C$5="是",反向題設定!$B$2+1-原始資料!B388,原始資料!B388))</f>
        <v/>
      </c>
      <c r="C388">
        <f>IF(原始資料!C388="","",IF(反向題設定!$C$6="是",反向題設定!$B$2+1-原始資料!C388,原始資料!C388))</f>
        <v/>
      </c>
      <c r="D388">
        <f>IF(原始資料!D388="","",IF(反向題設定!$C$7="是",反向題設定!$B$2+1-原始資料!D388,原始資料!D388))</f>
        <v/>
      </c>
      <c r="E388">
        <f>IF(原始資料!E388="","",IF(反向題設定!$C$8="是",反向題設定!$B$2+1-原始資料!E388,原始資料!E388))</f>
        <v/>
      </c>
      <c r="F388">
        <f>IF(原始資料!F388="","",IF(反向題設定!$C$9="是",反向題設定!$B$2+1-原始資料!F388,原始資料!F388))</f>
        <v/>
      </c>
      <c r="G388">
        <f>IF(原始資料!G388="","",IF(反向題設定!$C$10="是",反向題設定!$B$2+1-原始資料!G388,原始資料!G388))</f>
        <v/>
      </c>
      <c r="H388">
        <f>IF(原始資料!H388="","",IF(反向題設定!$C$11="是",反向題設定!$B$2+1-原始資料!H388,原始資料!H388))</f>
        <v/>
      </c>
      <c r="I388">
        <f>IF(原始資料!I388="","",IF(反向題設定!$C$12="是",反向題設定!$B$2+1-原始資料!I388,原始資料!I388))</f>
        <v/>
      </c>
      <c r="J388">
        <f>IF(原始資料!J388="","",IF(反向題設定!$C$13="是",反向題設定!$B$2+1-原始資料!J388,原始資料!J388))</f>
        <v/>
      </c>
      <c r="K388">
        <f>IF(原始資料!K388="","",IF(反向題設定!$C$14="是",反向題設定!$B$2+1-原始資料!K388,原始資料!K388))</f>
        <v/>
      </c>
      <c r="L388">
        <f>IF(原始資料!L388="","",IF(反向題設定!$C$15="是",反向題設定!$B$2+1-原始資料!L388,原始資料!L388))</f>
        <v/>
      </c>
      <c r="M388">
        <f>IF(原始資料!M388="","",IF(反向題設定!$C$16="是",反向題設定!$B$2+1-原始資料!M388,原始資料!M388))</f>
        <v/>
      </c>
      <c r="N388">
        <f>IF(原始資料!N388="","",IF(反向題設定!$C$17="是",反向題設定!$B$2+1-原始資料!N388,原始資料!N388))</f>
        <v/>
      </c>
      <c r="O388">
        <f>IF(原始資料!O388="","",IF(反向題設定!$C$18="是",反向題設定!$B$2+1-原始資料!O388,原始資料!O388))</f>
        <v/>
      </c>
      <c r="P388">
        <f>IF(原始資料!P388="","",IF(反向題設定!$C$19="是",反向題設定!$B$2+1-原始資料!P388,原始資料!P388))</f>
        <v/>
      </c>
      <c r="Q388">
        <f>IF(原始資料!Q388="","",IF(反向題設定!$C$20="是",反向題設定!$B$2+1-原始資料!Q388,原始資料!Q388))</f>
        <v/>
      </c>
      <c r="R388">
        <f>IF(原始資料!R388="","",IF(反向題設定!$C$21="是",反向題設定!$B$2+1-原始資料!R388,原始資料!R388))</f>
        <v/>
      </c>
      <c r="S388">
        <f>IF(原始資料!S388="","",IF(反向題設定!$C$22="是",反向題設定!$B$2+1-原始資料!S388,原始資料!S388))</f>
        <v/>
      </c>
      <c r="T388">
        <f>IF(原始資料!T388="","",IF(反向題設定!$C$23="是",反向題設定!$B$2+1-原始資料!T388,原始資料!T388))</f>
        <v/>
      </c>
      <c r="U388">
        <f>IF(原始資料!U388="","",IF(反向題設定!$C$24="是",反向題設定!$B$2+1-原始資料!U388,原始資料!U388))</f>
        <v/>
      </c>
      <c r="V388">
        <f>IF(原始資料!V388="","",IF(反向題設定!$C$25="是",反向題設定!$B$2+1-原始資料!V388,原始資料!V388))</f>
        <v/>
      </c>
      <c r="W388">
        <f>IF(原始資料!W388="","",IF(反向題設定!$C$26="是",反向題設定!$B$2+1-原始資料!W388,原始資料!W388))</f>
        <v/>
      </c>
      <c r="X388">
        <f>IF(原始資料!X388="","",IF(反向題設定!$C$27="是",反向題設定!$B$2+1-原始資料!X388,原始資料!X388))</f>
        <v/>
      </c>
      <c r="Y388">
        <f>IF(原始資料!Y388="","",IF(反向題設定!$C$28="是",反向題設定!$B$2+1-原始資料!Y388,原始資料!Y388))</f>
        <v/>
      </c>
      <c r="Z388">
        <f>IF(原始資料!Z388="","",IF(反向題設定!$C$29="是",反向題設定!$B$2+1-原始資料!Z388,原始資料!Z388))</f>
        <v/>
      </c>
      <c r="AA388">
        <f>IF(原始資料!AA388="","",IF(反向題設定!$C$30="是",反向題設定!$B$2+1-原始資料!AA388,原始資料!AA388))</f>
        <v/>
      </c>
      <c r="AB388">
        <f>IF(原始資料!AB388="","",IF(反向題設定!$C$31="是",反向題設定!$B$2+1-原始資料!AB388,原始資料!AB388))</f>
        <v/>
      </c>
      <c r="AC388">
        <f>IF(原始資料!AC388="","",IF(反向題設定!$C$32="是",反向題設定!$B$2+1-原始資料!AC388,原始資料!AC388))</f>
        <v/>
      </c>
      <c r="AD388">
        <f>IF(原始資料!AD388="","",IF(反向題設定!$C$33="是",反向題設定!$B$2+1-原始資料!AD388,原始資料!AD388))</f>
        <v/>
      </c>
      <c r="AE388">
        <f>IF(原始資料!AE388="","",IF(反向題設定!$C$34="是",反向題設定!$B$2+1-原始資料!AE388,原始資料!AE388))</f>
        <v/>
      </c>
      <c r="AF388">
        <f>IF(原始資料!AF388="","",IF(反向題設定!$C$35="是",反向題設定!$B$2+1-原始資料!AF388,原始資料!AF388))</f>
        <v/>
      </c>
      <c r="AG388">
        <f>IF(原始資料!AG388="","",IF(反向題設定!$C$36="是",反向題設定!$B$2+1-原始資料!AG388,原始資料!AG388))</f>
        <v/>
      </c>
      <c r="AH388">
        <f>IF(原始資料!AH388="","",IF(反向題設定!$C$37="是",反向題設定!$B$2+1-原始資料!AH388,原始資料!AH388))</f>
        <v/>
      </c>
      <c r="AI388">
        <f>IF(原始資料!AI388="","",IF(反向題設定!$C$38="是",反向題設定!$B$2+1-原始資料!AI388,原始資料!AI388))</f>
        <v/>
      </c>
      <c r="AJ388">
        <f>IF(原始資料!AJ388="","",IF(反向題設定!$C$39="是",反向題設定!$B$2+1-原始資料!AJ388,原始資料!AJ388))</f>
        <v/>
      </c>
      <c r="AK388">
        <f>IF(原始資料!AK388="","",IF(反向題設定!$C$40="是",反向題設定!$B$2+1-原始資料!AK388,原始資料!AK388))</f>
        <v/>
      </c>
      <c r="AL388">
        <f>IF(原始資料!AL388="","",IF(反向題設定!$C$41="是",反向題設定!$B$2+1-原始資料!AL388,原始資料!AL388))</f>
        <v/>
      </c>
      <c r="AM388">
        <f>IF(原始資料!AM388="","",IF(反向題設定!$C$42="是",反向題設定!$B$2+1-原始資料!AM388,原始資料!AM388))</f>
        <v/>
      </c>
      <c r="AN388">
        <f>IF(原始資料!AN388="","",IF(反向題設定!$C$43="是",反向題設定!$B$2+1-原始資料!AN388,原始資料!AN388))</f>
        <v/>
      </c>
      <c r="AO388">
        <f>IF(原始資料!AO388="","",IF(反向題設定!$C$44="是",反向題設定!$B$2+1-原始資料!AO388,原始資料!AO388))</f>
        <v/>
      </c>
      <c r="AP388">
        <f>IF(COUNT(B388:AO388)=0,"",SUM(B388:AO388))</f>
        <v/>
      </c>
      <c r="AQ388">
        <f>IF(AP388="","",IF(AP388&gt;=項目分析!$C$5,"高",IF(AP388&lt;=項目分析!$C$6,"低","")))</f>
        <v/>
      </c>
    </row>
    <row r="389">
      <c r="A389">
        <f>IF(原始資料!A389="","",原始資料!A389)</f>
        <v/>
      </c>
      <c r="B389">
        <f>IF(原始資料!B389="","",IF(反向題設定!$C$5="是",反向題設定!$B$2+1-原始資料!B389,原始資料!B389))</f>
        <v/>
      </c>
      <c r="C389">
        <f>IF(原始資料!C389="","",IF(反向題設定!$C$6="是",反向題設定!$B$2+1-原始資料!C389,原始資料!C389))</f>
        <v/>
      </c>
      <c r="D389">
        <f>IF(原始資料!D389="","",IF(反向題設定!$C$7="是",反向題設定!$B$2+1-原始資料!D389,原始資料!D389))</f>
        <v/>
      </c>
      <c r="E389">
        <f>IF(原始資料!E389="","",IF(反向題設定!$C$8="是",反向題設定!$B$2+1-原始資料!E389,原始資料!E389))</f>
        <v/>
      </c>
      <c r="F389">
        <f>IF(原始資料!F389="","",IF(反向題設定!$C$9="是",反向題設定!$B$2+1-原始資料!F389,原始資料!F389))</f>
        <v/>
      </c>
      <c r="G389">
        <f>IF(原始資料!G389="","",IF(反向題設定!$C$10="是",反向題設定!$B$2+1-原始資料!G389,原始資料!G389))</f>
        <v/>
      </c>
      <c r="H389">
        <f>IF(原始資料!H389="","",IF(反向題設定!$C$11="是",反向題設定!$B$2+1-原始資料!H389,原始資料!H389))</f>
        <v/>
      </c>
      <c r="I389">
        <f>IF(原始資料!I389="","",IF(反向題設定!$C$12="是",反向題設定!$B$2+1-原始資料!I389,原始資料!I389))</f>
        <v/>
      </c>
      <c r="J389">
        <f>IF(原始資料!J389="","",IF(反向題設定!$C$13="是",反向題設定!$B$2+1-原始資料!J389,原始資料!J389))</f>
        <v/>
      </c>
      <c r="K389">
        <f>IF(原始資料!K389="","",IF(反向題設定!$C$14="是",反向題設定!$B$2+1-原始資料!K389,原始資料!K389))</f>
        <v/>
      </c>
      <c r="L389">
        <f>IF(原始資料!L389="","",IF(反向題設定!$C$15="是",反向題設定!$B$2+1-原始資料!L389,原始資料!L389))</f>
        <v/>
      </c>
      <c r="M389">
        <f>IF(原始資料!M389="","",IF(反向題設定!$C$16="是",反向題設定!$B$2+1-原始資料!M389,原始資料!M389))</f>
        <v/>
      </c>
      <c r="N389">
        <f>IF(原始資料!N389="","",IF(反向題設定!$C$17="是",反向題設定!$B$2+1-原始資料!N389,原始資料!N389))</f>
        <v/>
      </c>
      <c r="O389">
        <f>IF(原始資料!O389="","",IF(反向題設定!$C$18="是",反向題設定!$B$2+1-原始資料!O389,原始資料!O389))</f>
        <v/>
      </c>
      <c r="P389">
        <f>IF(原始資料!P389="","",IF(反向題設定!$C$19="是",反向題設定!$B$2+1-原始資料!P389,原始資料!P389))</f>
        <v/>
      </c>
      <c r="Q389">
        <f>IF(原始資料!Q389="","",IF(反向題設定!$C$20="是",反向題設定!$B$2+1-原始資料!Q389,原始資料!Q389))</f>
        <v/>
      </c>
      <c r="R389">
        <f>IF(原始資料!R389="","",IF(反向題設定!$C$21="是",反向題設定!$B$2+1-原始資料!R389,原始資料!R389))</f>
        <v/>
      </c>
      <c r="S389">
        <f>IF(原始資料!S389="","",IF(反向題設定!$C$22="是",反向題設定!$B$2+1-原始資料!S389,原始資料!S389))</f>
        <v/>
      </c>
      <c r="T389">
        <f>IF(原始資料!T389="","",IF(反向題設定!$C$23="是",反向題設定!$B$2+1-原始資料!T389,原始資料!T389))</f>
        <v/>
      </c>
      <c r="U389">
        <f>IF(原始資料!U389="","",IF(反向題設定!$C$24="是",反向題設定!$B$2+1-原始資料!U389,原始資料!U389))</f>
        <v/>
      </c>
      <c r="V389">
        <f>IF(原始資料!V389="","",IF(反向題設定!$C$25="是",反向題設定!$B$2+1-原始資料!V389,原始資料!V389))</f>
        <v/>
      </c>
      <c r="W389">
        <f>IF(原始資料!W389="","",IF(反向題設定!$C$26="是",反向題設定!$B$2+1-原始資料!W389,原始資料!W389))</f>
        <v/>
      </c>
      <c r="X389">
        <f>IF(原始資料!X389="","",IF(反向題設定!$C$27="是",反向題設定!$B$2+1-原始資料!X389,原始資料!X389))</f>
        <v/>
      </c>
      <c r="Y389">
        <f>IF(原始資料!Y389="","",IF(反向題設定!$C$28="是",反向題設定!$B$2+1-原始資料!Y389,原始資料!Y389))</f>
        <v/>
      </c>
      <c r="Z389">
        <f>IF(原始資料!Z389="","",IF(反向題設定!$C$29="是",反向題設定!$B$2+1-原始資料!Z389,原始資料!Z389))</f>
        <v/>
      </c>
      <c r="AA389">
        <f>IF(原始資料!AA389="","",IF(反向題設定!$C$30="是",反向題設定!$B$2+1-原始資料!AA389,原始資料!AA389))</f>
        <v/>
      </c>
      <c r="AB389">
        <f>IF(原始資料!AB389="","",IF(反向題設定!$C$31="是",反向題設定!$B$2+1-原始資料!AB389,原始資料!AB389))</f>
        <v/>
      </c>
      <c r="AC389">
        <f>IF(原始資料!AC389="","",IF(反向題設定!$C$32="是",反向題設定!$B$2+1-原始資料!AC389,原始資料!AC389))</f>
        <v/>
      </c>
      <c r="AD389">
        <f>IF(原始資料!AD389="","",IF(反向題設定!$C$33="是",反向題設定!$B$2+1-原始資料!AD389,原始資料!AD389))</f>
        <v/>
      </c>
      <c r="AE389">
        <f>IF(原始資料!AE389="","",IF(反向題設定!$C$34="是",反向題設定!$B$2+1-原始資料!AE389,原始資料!AE389))</f>
        <v/>
      </c>
      <c r="AF389">
        <f>IF(原始資料!AF389="","",IF(反向題設定!$C$35="是",反向題設定!$B$2+1-原始資料!AF389,原始資料!AF389))</f>
        <v/>
      </c>
      <c r="AG389">
        <f>IF(原始資料!AG389="","",IF(反向題設定!$C$36="是",反向題設定!$B$2+1-原始資料!AG389,原始資料!AG389))</f>
        <v/>
      </c>
      <c r="AH389">
        <f>IF(原始資料!AH389="","",IF(反向題設定!$C$37="是",反向題設定!$B$2+1-原始資料!AH389,原始資料!AH389))</f>
        <v/>
      </c>
      <c r="AI389">
        <f>IF(原始資料!AI389="","",IF(反向題設定!$C$38="是",反向題設定!$B$2+1-原始資料!AI389,原始資料!AI389))</f>
        <v/>
      </c>
      <c r="AJ389">
        <f>IF(原始資料!AJ389="","",IF(反向題設定!$C$39="是",反向題設定!$B$2+1-原始資料!AJ389,原始資料!AJ389))</f>
        <v/>
      </c>
      <c r="AK389">
        <f>IF(原始資料!AK389="","",IF(反向題設定!$C$40="是",反向題設定!$B$2+1-原始資料!AK389,原始資料!AK389))</f>
        <v/>
      </c>
      <c r="AL389">
        <f>IF(原始資料!AL389="","",IF(反向題設定!$C$41="是",反向題設定!$B$2+1-原始資料!AL389,原始資料!AL389))</f>
        <v/>
      </c>
      <c r="AM389">
        <f>IF(原始資料!AM389="","",IF(反向題設定!$C$42="是",反向題設定!$B$2+1-原始資料!AM389,原始資料!AM389))</f>
        <v/>
      </c>
      <c r="AN389">
        <f>IF(原始資料!AN389="","",IF(反向題設定!$C$43="是",反向題設定!$B$2+1-原始資料!AN389,原始資料!AN389))</f>
        <v/>
      </c>
      <c r="AO389">
        <f>IF(原始資料!AO389="","",IF(反向題設定!$C$44="是",反向題設定!$B$2+1-原始資料!AO389,原始資料!AO389))</f>
        <v/>
      </c>
      <c r="AP389">
        <f>IF(COUNT(B389:AO389)=0,"",SUM(B389:AO389))</f>
        <v/>
      </c>
      <c r="AQ389">
        <f>IF(AP389="","",IF(AP389&gt;=項目分析!$C$5,"高",IF(AP389&lt;=項目分析!$C$6,"低","")))</f>
        <v/>
      </c>
    </row>
    <row r="390">
      <c r="A390">
        <f>IF(原始資料!A390="","",原始資料!A390)</f>
        <v/>
      </c>
      <c r="B390">
        <f>IF(原始資料!B390="","",IF(反向題設定!$C$5="是",反向題設定!$B$2+1-原始資料!B390,原始資料!B390))</f>
        <v/>
      </c>
      <c r="C390">
        <f>IF(原始資料!C390="","",IF(反向題設定!$C$6="是",反向題設定!$B$2+1-原始資料!C390,原始資料!C390))</f>
        <v/>
      </c>
      <c r="D390">
        <f>IF(原始資料!D390="","",IF(反向題設定!$C$7="是",反向題設定!$B$2+1-原始資料!D390,原始資料!D390))</f>
        <v/>
      </c>
      <c r="E390">
        <f>IF(原始資料!E390="","",IF(反向題設定!$C$8="是",反向題設定!$B$2+1-原始資料!E390,原始資料!E390))</f>
        <v/>
      </c>
      <c r="F390">
        <f>IF(原始資料!F390="","",IF(反向題設定!$C$9="是",反向題設定!$B$2+1-原始資料!F390,原始資料!F390))</f>
        <v/>
      </c>
      <c r="G390">
        <f>IF(原始資料!G390="","",IF(反向題設定!$C$10="是",反向題設定!$B$2+1-原始資料!G390,原始資料!G390))</f>
        <v/>
      </c>
      <c r="H390">
        <f>IF(原始資料!H390="","",IF(反向題設定!$C$11="是",反向題設定!$B$2+1-原始資料!H390,原始資料!H390))</f>
        <v/>
      </c>
      <c r="I390">
        <f>IF(原始資料!I390="","",IF(反向題設定!$C$12="是",反向題設定!$B$2+1-原始資料!I390,原始資料!I390))</f>
        <v/>
      </c>
      <c r="J390">
        <f>IF(原始資料!J390="","",IF(反向題設定!$C$13="是",反向題設定!$B$2+1-原始資料!J390,原始資料!J390))</f>
        <v/>
      </c>
      <c r="K390">
        <f>IF(原始資料!K390="","",IF(反向題設定!$C$14="是",反向題設定!$B$2+1-原始資料!K390,原始資料!K390))</f>
        <v/>
      </c>
      <c r="L390">
        <f>IF(原始資料!L390="","",IF(反向題設定!$C$15="是",反向題設定!$B$2+1-原始資料!L390,原始資料!L390))</f>
        <v/>
      </c>
      <c r="M390">
        <f>IF(原始資料!M390="","",IF(反向題設定!$C$16="是",反向題設定!$B$2+1-原始資料!M390,原始資料!M390))</f>
        <v/>
      </c>
      <c r="N390">
        <f>IF(原始資料!N390="","",IF(反向題設定!$C$17="是",反向題設定!$B$2+1-原始資料!N390,原始資料!N390))</f>
        <v/>
      </c>
      <c r="O390">
        <f>IF(原始資料!O390="","",IF(反向題設定!$C$18="是",反向題設定!$B$2+1-原始資料!O390,原始資料!O390))</f>
        <v/>
      </c>
      <c r="P390">
        <f>IF(原始資料!P390="","",IF(反向題設定!$C$19="是",反向題設定!$B$2+1-原始資料!P390,原始資料!P390))</f>
        <v/>
      </c>
      <c r="Q390">
        <f>IF(原始資料!Q390="","",IF(反向題設定!$C$20="是",反向題設定!$B$2+1-原始資料!Q390,原始資料!Q390))</f>
        <v/>
      </c>
      <c r="R390">
        <f>IF(原始資料!R390="","",IF(反向題設定!$C$21="是",反向題設定!$B$2+1-原始資料!R390,原始資料!R390))</f>
        <v/>
      </c>
      <c r="S390">
        <f>IF(原始資料!S390="","",IF(反向題設定!$C$22="是",反向題設定!$B$2+1-原始資料!S390,原始資料!S390))</f>
        <v/>
      </c>
      <c r="T390">
        <f>IF(原始資料!T390="","",IF(反向題設定!$C$23="是",反向題設定!$B$2+1-原始資料!T390,原始資料!T390))</f>
        <v/>
      </c>
      <c r="U390">
        <f>IF(原始資料!U390="","",IF(反向題設定!$C$24="是",反向題設定!$B$2+1-原始資料!U390,原始資料!U390))</f>
        <v/>
      </c>
      <c r="V390">
        <f>IF(原始資料!V390="","",IF(反向題設定!$C$25="是",反向題設定!$B$2+1-原始資料!V390,原始資料!V390))</f>
        <v/>
      </c>
      <c r="W390">
        <f>IF(原始資料!W390="","",IF(反向題設定!$C$26="是",反向題設定!$B$2+1-原始資料!W390,原始資料!W390))</f>
        <v/>
      </c>
      <c r="X390">
        <f>IF(原始資料!X390="","",IF(反向題設定!$C$27="是",反向題設定!$B$2+1-原始資料!X390,原始資料!X390))</f>
        <v/>
      </c>
      <c r="Y390">
        <f>IF(原始資料!Y390="","",IF(反向題設定!$C$28="是",反向題設定!$B$2+1-原始資料!Y390,原始資料!Y390))</f>
        <v/>
      </c>
      <c r="Z390">
        <f>IF(原始資料!Z390="","",IF(反向題設定!$C$29="是",反向題設定!$B$2+1-原始資料!Z390,原始資料!Z390))</f>
        <v/>
      </c>
      <c r="AA390">
        <f>IF(原始資料!AA390="","",IF(反向題設定!$C$30="是",反向題設定!$B$2+1-原始資料!AA390,原始資料!AA390))</f>
        <v/>
      </c>
      <c r="AB390">
        <f>IF(原始資料!AB390="","",IF(反向題設定!$C$31="是",反向題設定!$B$2+1-原始資料!AB390,原始資料!AB390))</f>
        <v/>
      </c>
      <c r="AC390">
        <f>IF(原始資料!AC390="","",IF(反向題設定!$C$32="是",反向題設定!$B$2+1-原始資料!AC390,原始資料!AC390))</f>
        <v/>
      </c>
      <c r="AD390">
        <f>IF(原始資料!AD390="","",IF(反向題設定!$C$33="是",反向題設定!$B$2+1-原始資料!AD390,原始資料!AD390))</f>
        <v/>
      </c>
      <c r="AE390">
        <f>IF(原始資料!AE390="","",IF(反向題設定!$C$34="是",反向題設定!$B$2+1-原始資料!AE390,原始資料!AE390))</f>
        <v/>
      </c>
      <c r="AF390">
        <f>IF(原始資料!AF390="","",IF(反向題設定!$C$35="是",反向題設定!$B$2+1-原始資料!AF390,原始資料!AF390))</f>
        <v/>
      </c>
      <c r="AG390">
        <f>IF(原始資料!AG390="","",IF(反向題設定!$C$36="是",反向題設定!$B$2+1-原始資料!AG390,原始資料!AG390))</f>
        <v/>
      </c>
      <c r="AH390">
        <f>IF(原始資料!AH390="","",IF(反向題設定!$C$37="是",反向題設定!$B$2+1-原始資料!AH390,原始資料!AH390))</f>
        <v/>
      </c>
      <c r="AI390">
        <f>IF(原始資料!AI390="","",IF(反向題設定!$C$38="是",反向題設定!$B$2+1-原始資料!AI390,原始資料!AI390))</f>
        <v/>
      </c>
      <c r="AJ390">
        <f>IF(原始資料!AJ390="","",IF(反向題設定!$C$39="是",反向題設定!$B$2+1-原始資料!AJ390,原始資料!AJ390))</f>
        <v/>
      </c>
      <c r="AK390">
        <f>IF(原始資料!AK390="","",IF(反向題設定!$C$40="是",反向題設定!$B$2+1-原始資料!AK390,原始資料!AK390))</f>
        <v/>
      </c>
      <c r="AL390">
        <f>IF(原始資料!AL390="","",IF(反向題設定!$C$41="是",反向題設定!$B$2+1-原始資料!AL390,原始資料!AL390))</f>
        <v/>
      </c>
      <c r="AM390">
        <f>IF(原始資料!AM390="","",IF(反向題設定!$C$42="是",反向題設定!$B$2+1-原始資料!AM390,原始資料!AM390))</f>
        <v/>
      </c>
      <c r="AN390">
        <f>IF(原始資料!AN390="","",IF(反向題設定!$C$43="是",反向題設定!$B$2+1-原始資料!AN390,原始資料!AN390))</f>
        <v/>
      </c>
      <c r="AO390">
        <f>IF(原始資料!AO390="","",IF(反向題設定!$C$44="是",反向題設定!$B$2+1-原始資料!AO390,原始資料!AO390))</f>
        <v/>
      </c>
      <c r="AP390">
        <f>IF(COUNT(B390:AO390)=0,"",SUM(B390:AO390))</f>
        <v/>
      </c>
      <c r="AQ390">
        <f>IF(AP390="","",IF(AP390&gt;=項目分析!$C$5,"高",IF(AP390&lt;=項目分析!$C$6,"低","")))</f>
        <v/>
      </c>
    </row>
    <row r="391">
      <c r="A391">
        <f>IF(原始資料!A391="","",原始資料!A391)</f>
        <v/>
      </c>
      <c r="B391">
        <f>IF(原始資料!B391="","",IF(反向題設定!$C$5="是",反向題設定!$B$2+1-原始資料!B391,原始資料!B391))</f>
        <v/>
      </c>
      <c r="C391">
        <f>IF(原始資料!C391="","",IF(反向題設定!$C$6="是",反向題設定!$B$2+1-原始資料!C391,原始資料!C391))</f>
        <v/>
      </c>
      <c r="D391">
        <f>IF(原始資料!D391="","",IF(反向題設定!$C$7="是",反向題設定!$B$2+1-原始資料!D391,原始資料!D391))</f>
        <v/>
      </c>
      <c r="E391">
        <f>IF(原始資料!E391="","",IF(反向題設定!$C$8="是",反向題設定!$B$2+1-原始資料!E391,原始資料!E391))</f>
        <v/>
      </c>
      <c r="F391">
        <f>IF(原始資料!F391="","",IF(反向題設定!$C$9="是",反向題設定!$B$2+1-原始資料!F391,原始資料!F391))</f>
        <v/>
      </c>
      <c r="G391">
        <f>IF(原始資料!G391="","",IF(反向題設定!$C$10="是",反向題設定!$B$2+1-原始資料!G391,原始資料!G391))</f>
        <v/>
      </c>
      <c r="H391">
        <f>IF(原始資料!H391="","",IF(反向題設定!$C$11="是",反向題設定!$B$2+1-原始資料!H391,原始資料!H391))</f>
        <v/>
      </c>
      <c r="I391">
        <f>IF(原始資料!I391="","",IF(反向題設定!$C$12="是",反向題設定!$B$2+1-原始資料!I391,原始資料!I391))</f>
        <v/>
      </c>
      <c r="J391">
        <f>IF(原始資料!J391="","",IF(反向題設定!$C$13="是",反向題設定!$B$2+1-原始資料!J391,原始資料!J391))</f>
        <v/>
      </c>
      <c r="K391">
        <f>IF(原始資料!K391="","",IF(反向題設定!$C$14="是",反向題設定!$B$2+1-原始資料!K391,原始資料!K391))</f>
        <v/>
      </c>
      <c r="L391">
        <f>IF(原始資料!L391="","",IF(反向題設定!$C$15="是",反向題設定!$B$2+1-原始資料!L391,原始資料!L391))</f>
        <v/>
      </c>
      <c r="M391">
        <f>IF(原始資料!M391="","",IF(反向題設定!$C$16="是",反向題設定!$B$2+1-原始資料!M391,原始資料!M391))</f>
        <v/>
      </c>
      <c r="N391">
        <f>IF(原始資料!N391="","",IF(反向題設定!$C$17="是",反向題設定!$B$2+1-原始資料!N391,原始資料!N391))</f>
        <v/>
      </c>
      <c r="O391">
        <f>IF(原始資料!O391="","",IF(反向題設定!$C$18="是",反向題設定!$B$2+1-原始資料!O391,原始資料!O391))</f>
        <v/>
      </c>
      <c r="P391">
        <f>IF(原始資料!P391="","",IF(反向題設定!$C$19="是",反向題設定!$B$2+1-原始資料!P391,原始資料!P391))</f>
        <v/>
      </c>
      <c r="Q391">
        <f>IF(原始資料!Q391="","",IF(反向題設定!$C$20="是",反向題設定!$B$2+1-原始資料!Q391,原始資料!Q391))</f>
        <v/>
      </c>
      <c r="R391">
        <f>IF(原始資料!R391="","",IF(反向題設定!$C$21="是",反向題設定!$B$2+1-原始資料!R391,原始資料!R391))</f>
        <v/>
      </c>
      <c r="S391">
        <f>IF(原始資料!S391="","",IF(反向題設定!$C$22="是",反向題設定!$B$2+1-原始資料!S391,原始資料!S391))</f>
        <v/>
      </c>
      <c r="T391">
        <f>IF(原始資料!T391="","",IF(反向題設定!$C$23="是",反向題設定!$B$2+1-原始資料!T391,原始資料!T391))</f>
        <v/>
      </c>
      <c r="U391">
        <f>IF(原始資料!U391="","",IF(反向題設定!$C$24="是",反向題設定!$B$2+1-原始資料!U391,原始資料!U391))</f>
        <v/>
      </c>
      <c r="V391">
        <f>IF(原始資料!V391="","",IF(反向題設定!$C$25="是",反向題設定!$B$2+1-原始資料!V391,原始資料!V391))</f>
        <v/>
      </c>
      <c r="W391">
        <f>IF(原始資料!W391="","",IF(反向題設定!$C$26="是",反向題設定!$B$2+1-原始資料!W391,原始資料!W391))</f>
        <v/>
      </c>
      <c r="X391">
        <f>IF(原始資料!X391="","",IF(反向題設定!$C$27="是",反向題設定!$B$2+1-原始資料!X391,原始資料!X391))</f>
        <v/>
      </c>
      <c r="Y391">
        <f>IF(原始資料!Y391="","",IF(反向題設定!$C$28="是",反向題設定!$B$2+1-原始資料!Y391,原始資料!Y391))</f>
        <v/>
      </c>
      <c r="Z391">
        <f>IF(原始資料!Z391="","",IF(反向題設定!$C$29="是",反向題設定!$B$2+1-原始資料!Z391,原始資料!Z391))</f>
        <v/>
      </c>
      <c r="AA391">
        <f>IF(原始資料!AA391="","",IF(反向題設定!$C$30="是",反向題設定!$B$2+1-原始資料!AA391,原始資料!AA391))</f>
        <v/>
      </c>
      <c r="AB391">
        <f>IF(原始資料!AB391="","",IF(反向題設定!$C$31="是",反向題設定!$B$2+1-原始資料!AB391,原始資料!AB391))</f>
        <v/>
      </c>
      <c r="AC391">
        <f>IF(原始資料!AC391="","",IF(反向題設定!$C$32="是",反向題設定!$B$2+1-原始資料!AC391,原始資料!AC391))</f>
        <v/>
      </c>
      <c r="AD391">
        <f>IF(原始資料!AD391="","",IF(反向題設定!$C$33="是",反向題設定!$B$2+1-原始資料!AD391,原始資料!AD391))</f>
        <v/>
      </c>
      <c r="AE391">
        <f>IF(原始資料!AE391="","",IF(反向題設定!$C$34="是",反向題設定!$B$2+1-原始資料!AE391,原始資料!AE391))</f>
        <v/>
      </c>
      <c r="AF391">
        <f>IF(原始資料!AF391="","",IF(反向題設定!$C$35="是",反向題設定!$B$2+1-原始資料!AF391,原始資料!AF391))</f>
        <v/>
      </c>
      <c r="AG391">
        <f>IF(原始資料!AG391="","",IF(反向題設定!$C$36="是",反向題設定!$B$2+1-原始資料!AG391,原始資料!AG391))</f>
        <v/>
      </c>
      <c r="AH391">
        <f>IF(原始資料!AH391="","",IF(反向題設定!$C$37="是",反向題設定!$B$2+1-原始資料!AH391,原始資料!AH391))</f>
        <v/>
      </c>
      <c r="AI391">
        <f>IF(原始資料!AI391="","",IF(反向題設定!$C$38="是",反向題設定!$B$2+1-原始資料!AI391,原始資料!AI391))</f>
        <v/>
      </c>
      <c r="AJ391">
        <f>IF(原始資料!AJ391="","",IF(反向題設定!$C$39="是",反向題設定!$B$2+1-原始資料!AJ391,原始資料!AJ391))</f>
        <v/>
      </c>
      <c r="AK391">
        <f>IF(原始資料!AK391="","",IF(反向題設定!$C$40="是",反向題設定!$B$2+1-原始資料!AK391,原始資料!AK391))</f>
        <v/>
      </c>
      <c r="AL391">
        <f>IF(原始資料!AL391="","",IF(反向題設定!$C$41="是",反向題設定!$B$2+1-原始資料!AL391,原始資料!AL391))</f>
        <v/>
      </c>
      <c r="AM391">
        <f>IF(原始資料!AM391="","",IF(反向題設定!$C$42="是",反向題設定!$B$2+1-原始資料!AM391,原始資料!AM391))</f>
        <v/>
      </c>
      <c r="AN391">
        <f>IF(原始資料!AN391="","",IF(反向題設定!$C$43="是",反向題設定!$B$2+1-原始資料!AN391,原始資料!AN391))</f>
        <v/>
      </c>
      <c r="AO391">
        <f>IF(原始資料!AO391="","",IF(反向題設定!$C$44="是",反向題設定!$B$2+1-原始資料!AO391,原始資料!AO391))</f>
        <v/>
      </c>
      <c r="AP391">
        <f>IF(COUNT(B391:AO391)=0,"",SUM(B391:AO391))</f>
        <v/>
      </c>
      <c r="AQ391">
        <f>IF(AP391="","",IF(AP391&gt;=項目分析!$C$5,"高",IF(AP391&lt;=項目分析!$C$6,"低","")))</f>
        <v/>
      </c>
    </row>
    <row r="392">
      <c r="A392">
        <f>IF(原始資料!A392="","",原始資料!A392)</f>
        <v/>
      </c>
      <c r="B392">
        <f>IF(原始資料!B392="","",IF(反向題設定!$C$5="是",反向題設定!$B$2+1-原始資料!B392,原始資料!B392))</f>
        <v/>
      </c>
      <c r="C392">
        <f>IF(原始資料!C392="","",IF(反向題設定!$C$6="是",反向題設定!$B$2+1-原始資料!C392,原始資料!C392))</f>
        <v/>
      </c>
      <c r="D392">
        <f>IF(原始資料!D392="","",IF(反向題設定!$C$7="是",反向題設定!$B$2+1-原始資料!D392,原始資料!D392))</f>
        <v/>
      </c>
      <c r="E392">
        <f>IF(原始資料!E392="","",IF(反向題設定!$C$8="是",反向題設定!$B$2+1-原始資料!E392,原始資料!E392))</f>
        <v/>
      </c>
      <c r="F392">
        <f>IF(原始資料!F392="","",IF(反向題設定!$C$9="是",反向題設定!$B$2+1-原始資料!F392,原始資料!F392))</f>
        <v/>
      </c>
      <c r="G392">
        <f>IF(原始資料!G392="","",IF(反向題設定!$C$10="是",反向題設定!$B$2+1-原始資料!G392,原始資料!G392))</f>
        <v/>
      </c>
      <c r="H392">
        <f>IF(原始資料!H392="","",IF(反向題設定!$C$11="是",反向題設定!$B$2+1-原始資料!H392,原始資料!H392))</f>
        <v/>
      </c>
      <c r="I392">
        <f>IF(原始資料!I392="","",IF(反向題設定!$C$12="是",反向題設定!$B$2+1-原始資料!I392,原始資料!I392))</f>
        <v/>
      </c>
      <c r="J392">
        <f>IF(原始資料!J392="","",IF(反向題設定!$C$13="是",反向題設定!$B$2+1-原始資料!J392,原始資料!J392))</f>
        <v/>
      </c>
      <c r="K392">
        <f>IF(原始資料!K392="","",IF(反向題設定!$C$14="是",反向題設定!$B$2+1-原始資料!K392,原始資料!K392))</f>
        <v/>
      </c>
      <c r="L392">
        <f>IF(原始資料!L392="","",IF(反向題設定!$C$15="是",反向題設定!$B$2+1-原始資料!L392,原始資料!L392))</f>
        <v/>
      </c>
      <c r="M392">
        <f>IF(原始資料!M392="","",IF(反向題設定!$C$16="是",反向題設定!$B$2+1-原始資料!M392,原始資料!M392))</f>
        <v/>
      </c>
      <c r="N392">
        <f>IF(原始資料!N392="","",IF(反向題設定!$C$17="是",反向題設定!$B$2+1-原始資料!N392,原始資料!N392))</f>
        <v/>
      </c>
      <c r="O392">
        <f>IF(原始資料!O392="","",IF(反向題設定!$C$18="是",反向題設定!$B$2+1-原始資料!O392,原始資料!O392))</f>
        <v/>
      </c>
      <c r="P392">
        <f>IF(原始資料!P392="","",IF(反向題設定!$C$19="是",反向題設定!$B$2+1-原始資料!P392,原始資料!P392))</f>
        <v/>
      </c>
      <c r="Q392">
        <f>IF(原始資料!Q392="","",IF(反向題設定!$C$20="是",反向題設定!$B$2+1-原始資料!Q392,原始資料!Q392))</f>
        <v/>
      </c>
      <c r="R392">
        <f>IF(原始資料!R392="","",IF(反向題設定!$C$21="是",反向題設定!$B$2+1-原始資料!R392,原始資料!R392))</f>
        <v/>
      </c>
      <c r="S392">
        <f>IF(原始資料!S392="","",IF(反向題設定!$C$22="是",反向題設定!$B$2+1-原始資料!S392,原始資料!S392))</f>
        <v/>
      </c>
      <c r="T392">
        <f>IF(原始資料!T392="","",IF(反向題設定!$C$23="是",反向題設定!$B$2+1-原始資料!T392,原始資料!T392))</f>
        <v/>
      </c>
      <c r="U392">
        <f>IF(原始資料!U392="","",IF(反向題設定!$C$24="是",反向題設定!$B$2+1-原始資料!U392,原始資料!U392))</f>
        <v/>
      </c>
      <c r="V392">
        <f>IF(原始資料!V392="","",IF(反向題設定!$C$25="是",反向題設定!$B$2+1-原始資料!V392,原始資料!V392))</f>
        <v/>
      </c>
      <c r="W392">
        <f>IF(原始資料!W392="","",IF(反向題設定!$C$26="是",反向題設定!$B$2+1-原始資料!W392,原始資料!W392))</f>
        <v/>
      </c>
      <c r="X392">
        <f>IF(原始資料!X392="","",IF(反向題設定!$C$27="是",反向題設定!$B$2+1-原始資料!X392,原始資料!X392))</f>
        <v/>
      </c>
      <c r="Y392">
        <f>IF(原始資料!Y392="","",IF(反向題設定!$C$28="是",反向題設定!$B$2+1-原始資料!Y392,原始資料!Y392))</f>
        <v/>
      </c>
      <c r="Z392">
        <f>IF(原始資料!Z392="","",IF(反向題設定!$C$29="是",反向題設定!$B$2+1-原始資料!Z392,原始資料!Z392))</f>
        <v/>
      </c>
      <c r="AA392">
        <f>IF(原始資料!AA392="","",IF(反向題設定!$C$30="是",反向題設定!$B$2+1-原始資料!AA392,原始資料!AA392))</f>
        <v/>
      </c>
      <c r="AB392">
        <f>IF(原始資料!AB392="","",IF(反向題設定!$C$31="是",反向題設定!$B$2+1-原始資料!AB392,原始資料!AB392))</f>
        <v/>
      </c>
      <c r="AC392">
        <f>IF(原始資料!AC392="","",IF(反向題設定!$C$32="是",反向題設定!$B$2+1-原始資料!AC392,原始資料!AC392))</f>
        <v/>
      </c>
      <c r="AD392">
        <f>IF(原始資料!AD392="","",IF(反向題設定!$C$33="是",反向題設定!$B$2+1-原始資料!AD392,原始資料!AD392))</f>
        <v/>
      </c>
      <c r="AE392">
        <f>IF(原始資料!AE392="","",IF(反向題設定!$C$34="是",反向題設定!$B$2+1-原始資料!AE392,原始資料!AE392))</f>
        <v/>
      </c>
      <c r="AF392">
        <f>IF(原始資料!AF392="","",IF(反向題設定!$C$35="是",反向題設定!$B$2+1-原始資料!AF392,原始資料!AF392))</f>
        <v/>
      </c>
      <c r="AG392">
        <f>IF(原始資料!AG392="","",IF(反向題設定!$C$36="是",反向題設定!$B$2+1-原始資料!AG392,原始資料!AG392))</f>
        <v/>
      </c>
      <c r="AH392">
        <f>IF(原始資料!AH392="","",IF(反向題設定!$C$37="是",反向題設定!$B$2+1-原始資料!AH392,原始資料!AH392))</f>
        <v/>
      </c>
      <c r="AI392">
        <f>IF(原始資料!AI392="","",IF(反向題設定!$C$38="是",反向題設定!$B$2+1-原始資料!AI392,原始資料!AI392))</f>
        <v/>
      </c>
      <c r="AJ392">
        <f>IF(原始資料!AJ392="","",IF(反向題設定!$C$39="是",反向題設定!$B$2+1-原始資料!AJ392,原始資料!AJ392))</f>
        <v/>
      </c>
      <c r="AK392">
        <f>IF(原始資料!AK392="","",IF(反向題設定!$C$40="是",反向題設定!$B$2+1-原始資料!AK392,原始資料!AK392))</f>
        <v/>
      </c>
      <c r="AL392">
        <f>IF(原始資料!AL392="","",IF(反向題設定!$C$41="是",反向題設定!$B$2+1-原始資料!AL392,原始資料!AL392))</f>
        <v/>
      </c>
      <c r="AM392">
        <f>IF(原始資料!AM392="","",IF(反向題設定!$C$42="是",反向題設定!$B$2+1-原始資料!AM392,原始資料!AM392))</f>
        <v/>
      </c>
      <c r="AN392">
        <f>IF(原始資料!AN392="","",IF(反向題設定!$C$43="是",反向題設定!$B$2+1-原始資料!AN392,原始資料!AN392))</f>
        <v/>
      </c>
      <c r="AO392">
        <f>IF(原始資料!AO392="","",IF(反向題設定!$C$44="是",反向題設定!$B$2+1-原始資料!AO392,原始資料!AO392))</f>
        <v/>
      </c>
      <c r="AP392">
        <f>IF(COUNT(B392:AO392)=0,"",SUM(B392:AO392))</f>
        <v/>
      </c>
      <c r="AQ392">
        <f>IF(AP392="","",IF(AP392&gt;=項目分析!$C$5,"高",IF(AP392&lt;=項目分析!$C$6,"低","")))</f>
        <v/>
      </c>
    </row>
    <row r="393">
      <c r="A393">
        <f>IF(原始資料!A393="","",原始資料!A393)</f>
        <v/>
      </c>
      <c r="B393">
        <f>IF(原始資料!B393="","",IF(反向題設定!$C$5="是",反向題設定!$B$2+1-原始資料!B393,原始資料!B393))</f>
        <v/>
      </c>
      <c r="C393">
        <f>IF(原始資料!C393="","",IF(反向題設定!$C$6="是",反向題設定!$B$2+1-原始資料!C393,原始資料!C393))</f>
        <v/>
      </c>
      <c r="D393">
        <f>IF(原始資料!D393="","",IF(反向題設定!$C$7="是",反向題設定!$B$2+1-原始資料!D393,原始資料!D393))</f>
        <v/>
      </c>
      <c r="E393">
        <f>IF(原始資料!E393="","",IF(反向題設定!$C$8="是",反向題設定!$B$2+1-原始資料!E393,原始資料!E393))</f>
        <v/>
      </c>
      <c r="F393">
        <f>IF(原始資料!F393="","",IF(反向題設定!$C$9="是",反向題設定!$B$2+1-原始資料!F393,原始資料!F393))</f>
        <v/>
      </c>
      <c r="G393">
        <f>IF(原始資料!G393="","",IF(反向題設定!$C$10="是",反向題設定!$B$2+1-原始資料!G393,原始資料!G393))</f>
        <v/>
      </c>
      <c r="H393">
        <f>IF(原始資料!H393="","",IF(反向題設定!$C$11="是",反向題設定!$B$2+1-原始資料!H393,原始資料!H393))</f>
        <v/>
      </c>
      <c r="I393">
        <f>IF(原始資料!I393="","",IF(反向題設定!$C$12="是",反向題設定!$B$2+1-原始資料!I393,原始資料!I393))</f>
        <v/>
      </c>
      <c r="J393">
        <f>IF(原始資料!J393="","",IF(反向題設定!$C$13="是",反向題設定!$B$2+1-原始資料!J393,原始資料!J393))</f>
        <v/>
      </c>
      <c r="K393">
        <f>IF(原始資料!K393="","",IF(反向題設定!$C$14="是",反向題設定!$B$2+1-原始資料!K393,原始資料!K393))</f>
        <v/>
      </c>
      <c r="L393">
        <f>IF(原始資料!L393="","",IF(反向題設定!$C$15="是",反向題設定!$B$2+1-原始資料!L393,原始資料!L393))</f>
        <v/>
      </c>
      <c r="M393">
        <f>IF(原始資料!M393="","",IF(反向題設定!$C$16="是",反向題設定!$B$2+1-原始資料!M393,原始資料!M393))</f>
        <v/>
      </c>
      <c r="N393">
        <f>IF(原始資料!N393="","",IF(反向題設定!$C$17="是",反向題設定!$B$2+1-原始資料!N393,原始資料!N393))</f>
        <v/>
      </c>
      <c r="O393">
        <f>IF(原始資料!O393="","",IF(反向題設定!$C$18="是",反向題設定!$B$2+1-原始資料!O393,原始資料!O393))</f>
        <v/>
      </c>
      <c r="P393">
        <f>IF(原始資料!P393="","",IF(反向題設定!$C$19="是",反向題設定!$B$2+1-原始資料!P393,原始資料!P393))</f>
        <v/>
      </c>
      <c r="Q393">
        <f>IF(原始資料!Q393="","",IF(反向題設定!$C$20="是",反向題設定!$B$2+1-原始資料!Q393,原始資料!Q393))</f>
        <v/>
      </c>
      <c r="R393">
        <f>IF(原始資料!R393="","",IF(反向題設定!$C$21="是",反向題設定!$B$2+1-原始資料!R393,原始資料!R393))</f>
        <v/>
      </c>
      <c r="S393">
        <f>IF(原始資料!S393="","",IF(反向題設定!$C$22="是",反向題設定!$B$2+1-原始資料!S393,原始資料!S393))</f>
        <v/>
      </c>
      <c r="T393">
        <f>IF(原始資料!T393="","",IF(反向題設定!$C$23="是",反向題設定!$B$2+1-原始資料!T393,原始資料!T393))</f>
        <v/>
      </c>
      <c r="U393">
        <f>IF(原始資料!U393="","",IF(反向題設定!$C$24="是",反向題設定!$B$2+1-原始資料!U393,原始資料!U393))</f>
        <v/>
      </c>
      <c r="V393">
        <f>IF(原始資料!V393="","",IF(反向題設定!$C$25="是",反向題設定!$B$2+1-原始資料!V393,原始資料!V393))</f>
        <v/>
      </c>
      <c r="W393">
        <f>IF(原始資料!W393="","",IF(反向題設定!$C$26="是",反向題設定!$B$2+1-原始資料!W393,原始資料!W393))</f>
        <v/>
      </c>
      <c r="X393">
        <f>IF(原始資料!X393="","",IF(反向題設定!$C$27="是",反向題設定!$B$2+1-原始資料!X393,原始資料!X393))</f>
        <v/>
      </c>
      <c r="Y393">
        <f>IF(原始資料!Y393="","",IF(反向題設定!$C$28="是",反向題設定!$B$2+1-原始資料!Y393,原始資料!Y393))</f>
        <v/>
      </c>
      <c r="Z393">
        <f>IF(原始資料!Z393="","",IF(反向題設定!$C$29="是",反向題設定!$B$2+1-原始資料!Z393,原始資料!Z393))</f>
        <v/>
      </c>
      <c r="AA393">
        <f>IF(原始資料!AA393="","",IF(反向題設定!$C$30="是",反向題設定!$B$2+1-原始資料!AA393,原始資料!AA393))</f>
        <v/>
      </c>
      <c r="AB393">
        <f>IF(原始資料!AB393="","",IF(反向題設定!$C$31="是",反向題設定!$B$2+1-原始資料!AB393,原始資料!AB393))</f>
        <v/>
      </c>
      <c r="AC393">
        <f>IF(原始資料!AC393="","",IF(反向題設定!$C$32="是",反向題設定!$B$2+1-原始資料!AC393,原始資料!AC393))</f>
        <v/>
      </c>
      <c r="AD393">
        <f>IF(原始資料!AD393="","",IF(反向題設定!$C$33="是",反向題設定!$B$2+1-原始資料!AD393,原始資料!AD393))</f>
        <v/>
      </c>
      <c r="AE393">
        <f>IF(原始資料!AE393="","",IF(反向題設定!$C$34="是",反向題設定!$B$2+1-原始資料!AE393,原始資料!AE393))</f>
        <v/>
      </c>
      <c r="AF393">
        <f>IF(原始資料!AF393="","",IF(反向題設定!$C$35="是",反向題設定!$B$2+1-原始資料!AF393,原始資料!AF393))</f>
        <v/>
      </c>
      <c r="AG393">
        <f>IF(原始資料!AG393="","",IF(反向題設定!$C$36="是",反向題設定!$B$2+1-原始資料!AG393,原始資料!AG393))</f>
        <v/>
      </c>
      <c r="AH393">
        <f>IF(原始資料!AH393="","",IF(反向題設定!$C$37="是",反向題設定!$B$2+1-原始資料!AH393,原始資料!AH393))</f>
        <v/>
      </c>
      <c r="AI393">
        <f>IF(原始資料!AI393="","",IF(反向題設定!$C$38="是",反向題設定!$B$2+1-原始資料!AI393,原始資料!AI393))</f>
        <v/>
      </c>
      <c r="AJ393">
        <f>IF(原始資料!AJ393="","",IF(反向題設定!$C$39="是",反向題設定!$B$2+1-原始資料!AJ393,原始資料!AJ393))</f>
        <v/>
      </c>
      <c r="AK393">
        <f>IF(原始資料!AK393="","",IF(反向題設定!$C$40="是",反向題設定!$B$2+1-原始資料!AK393,原始資料!AK393))</f>
        <v/>
      </c>
      <c r="AL393">
        <f>IF(原始資料!AL393="","",IF(反向題設定!$C$41="是",反向題設定!$B$2+1-原始資料!AL393,原始資料!AL393))</f>
        <v/>
      </c>
      <c r="AM393">
        <f>IF(原始資料!AM393="","",IF(反向題設定!$C$42="是",反向題設定!$B$2+1-原始資料!AM393,原始資料!AM393))</f>
        <v/>
      </c>
      <c r="AN393">
        <f>IF(原始資料!AN393="","",IF(反向題設定!$C$43="是",反向題設定!$B$2+1-原始資料!AN393,原始資料!AN393))</f>
        <v/>
      </c>
      <c r="AO393">
        <f>IF(原始資料!AO393="","",IF(反向題設定!$C$44="是",反向題設定!$B$2+1-原始資料!AO393,原始資料!AO393))</f>
        <v/>
      </c>
      <c r="AP393">
        <f>IF(COUNT(B393:AO393)=0,"",SUM(B393:AO393))</f>
        <v/>
      </c>
      <c r="AQ393">
        <f>IF(AP393="","",IF(AP393&gt;=項目分析!$C$5,"高",IF(AP393&lt;=項目分析!$C$6,"低","")))</f>
        <v/>
      </c>
    </row>
    <row r="394">
      <c r="A394">
        <f>IF(原始資料!A394="","",原始資料!A394)</f>
        <v/>
      </c>
      <c r="B394">
        <f>IF(原始資料!B394="","",IF(反向題設定!$C$5="是",反向題設定!$B$2+1-原始資料!B394,原始資料!B394))</f>
        <v/>
      </c>
      <c r="C394">
        <f>IF(原始資料!C394="","",IF(反向題設定!$C$6="是",反向題設定!$B$2+1-原始資料!C394,原始資料!C394))</f>
        <v/>
      </c>
      <c r="D394">
        <f>IF(原始資料!D394="","",IF(反向題設定!$C$7="是",反向題設定!$B$2+1-原始資料!D394,原始資料!D394))</f>
        <v/>
      </c>
      <c r="E394">
        <f>IF(原始資料!E394="","",IF(反向題設定!$C$8="是",反向題設定!$B$2+1-原始資料!E394,原始資料!E394))</f>
        <v/>
      </c>
      <c r="F394">
        <f>IF(原始資料!F394="","",IF(反向題設定!$C$9="是",反向題設定!$B$2+1-原始資料!F394,原始資料!F394))</f>
        <v/>
      </c>
      <c r="G394">
        <f>IF(原始資料!G394="","",IF(反向題設定!$C$10="是",反向題設定!$B$2+1-原始資料!G394,原始資料!G394))</f>
        <v/>
      </c>
      <c r="H394">
        <f>IF(原始資料!H394="","",IF(反向題設定!$C$11="是",反向題設定!$B$2+1-原始資料!H394,原始資料!H394))</f>
        <v/>
      </c>
      <c r="I394">
        <f>IF(原始資料!I394="","",IF(反向題設定!$C$12="是",反向題設定!$B$2+1-原始資料!I394,原始資料!I394))</f>
        <v/>
      </c>
      <c r="J394">
        <f>IF(原始資料!J394="","",IF(反向題設定!$C$13="是",反向題設定!$B$2+1-原始資料!J394,原始資料!J394))</f>
        <v/>
      </c>
      <c r="K394">
        <f>IF(原始資料!K394="","",IF(反向題設定!$C$14="是",反向題設定!$B$2+1-原始資料!K394,原始資料!K394))</f>
        <v/>
      </c>
      <c r="L394">
        <f>IF(原始資料!L394="","",IF(反向題設定!$C$15="是",反向題設定!$B$2+1-原始資料!L394,原始資料!L394))</f>
        <v/>
      </c>
      <c r="M394">
        <f>IF(原始資料!M394="","",IF(反向題設定!$C$16="是",反向題設定!$B$2+1-原始資料!M394,原始資料!M394))</f>
        <v/>
      </c>
      <c r="N394">
        <f>IF(原始資料!N394="","",IF(反向題設定!$C$17="是",反向題設定!$B$2+1-原始資料!N394,原始資料!N394))</f>
        <v/>
      </c>
      <c r="O394">
        <f>IF(原始資料!O394="","",IF(反向題設定!$C$18="是",反向題設定!$B$2+1-原始資料!O394,原始資料!O394))</f>
        <v/>
      </c>
      <c r="P394">
        <f>IF(原始資料!P394="","",IF(反向題設定!$C$19="是",反向題設定!$B$2+1-原始資料!P394,原始資料!P394))</f>
        <v/>
      </c>
      <c r="Q394">
        <f>IF(原始資料!Q394="","",IF(反向題設定!$C$20="是",反向題設定!$B$2+1-原始資料!Q394,原始資料!Q394))</f>
        <v/>
      </c>
      <c r="R394">
        <f>IF(原始資料!R394="","",IF(反向題設定!$C$21="是",反向題設定!$B$2+1-原始資料!R394,原始資料!R394))</f>
        <v/>
      </c>
      <c r="S394">
        <f>IF(原始資料!S394="","",IF(反向題設定!$C$22="是",反向題設定!$B$2+1-原始資料!S394,原始資料!S394))</f>
        <v/>
      </c>
      <c r="T394">
        <f>IF(原始資料!T394="","",IF(反向題設定!$C$23="是",反向題設定!$B$2+1-原始資料!T394,原始資料!T394))</f>
        <v/>
      </c>
      <c r="U394">
        <f>IF(原始資料!U394="","",IF(反向題設定!$C$24="是",反向題設定!$B$2+1-原始資料!U394,原始資料!U394))</f>
        <v/>
      </c>
      <c r="V394">
        <f>IF(原始資料!V394="","",IF(反向題設定!$C$25="是",反向題設定!$B$2+1-原始資料!V394,原始資料!V394))</f>
        <v/>
      </c>
      <c r="W394">
        <f>IF(原始資料!W394="","",IF(反向題設定!$C$26="是",反向題設定!$B$2+1-原始資料!W394,原始資料!W394))</f>
        <v/>
      </c>
      <c r="X394">
        <f>IF(原始資料!X394="","",IF(反向題設定!$C$27="是",反向題設定!$B$2+1-原始資料!X394,原始資料!X394))</f>
        <v/>
      </c>
      <c r="Y394">
        <f>IF(原始資料!Y394="","",IF(反向題設定!$C$28="是",反向題設定!$B$2+1-原始資料!Y394,原始資料!Y394))</f>
        <v/>
      </c>
      <c r="Z394">
        <f>IF(原始資料!Z394="","",IF(反向題設定!$C$29="是",反向題設定!$B$2+1-原始資料!Z394,原始資料!Z394))</f>
        <v/>
      </c>
      <c r="AA394">
        <f>IF(原始資料!AA394="","",IF(反向題設定!$C$30="是",反向題設定!$B$2+1-原始資料!AA394,原始資料!AA394))</f>
        <v/>
      </c>
      <c r="AB394">
        <f>IF(原始資料!AB394="","",IF(反向題設定!$C$31="是",反向題設定!$B$2+1-原始資料!AB394,原始資料!AB394))</f>
        <v/>
      </c>
      <c r="AC394">
        <f>IF(原始資料!AC394="","",IF(反向題設定!$C$32="是",反向題設定!$B$2+1-原始資料!AC394,原始資料!AC394))</f>
        <v/>
      </c>
      <c r="AD394">
        <f>IF(原始資料!AD394="","",IF(反向題設定!$C$33="是",反向題設定!$B$2+1-原始資料!AD394,原始資料!AD394))</f>
        <v/>
      </c>
      <c r="AE394">
        <f>IF(原始資料!AE394="","",IF(反向題設定!$C$34="是",反向題設定!$B$2+1-原始資料!AE394,原始資料!AE394))</f>
        <v/>
      </c>
      <c r="AF394">
        <f>IF(原始資料!AF394="","",IF(反向題設定!$C$35="是",反向題設定!$B$2+1-原始資料!AF394,原始資料!AF394))</f>
        <v/>
      </c>
      <c r="AG394">
        <f>IF(原始資料!AG394="","",IF(反向題設定!$C$36="是",反向題設定!$B$2+1-原始資料!AG394,原始資料!AG394))</f>
        <v/>
      </c>
      <c r="AH394">
        <f>IF(原始資料!AH394="","",IF(反向題設定!$C$37="是",反向題設定!$B$2+1-原始資料!AH394,原始資料!AH394))</f>
        <v/>
      </c>
      <c r="AI394">
        <f>IF(原始資料!AI394="","",IF(反向題設定!$C$38="是",反向題設定!$B$2+1-原始資料!AI394,原始資料!AI394))</f>
        <v/>
      </c>
      <c r="AJ394">
        <f>IF(原始資料!AJ394="","",IF(反向題設定!$C$39="是",反向題設定!$B$2+1-原始資料!AJ394,原始資料!AJ394))</f>
        <v/>
      </c>
      <c r="AK394">
        <f>IF(原始資料!AK394="","",IF(反向題設定!$C$40="是",反向題設定!$B$2+1-原始資料!AK394,原始資料!AK394))</f>
        <v/>
      </c>
      <c r="AL394">
        <f>IF(原始資料!AL394="","",IF(反向題設定!$C$41="是",反向題設定!$B$2+1-原始資料!AL394,原始資料!AL394))</f>
        <v/>
      </c>
      <c r="AM394">
        <f>IF(原始資料!AM394="","",IF(反向題設定!$C$42="是",反向題設定!$B$2+1-原始資料!AM394,原始資料!AM394))</f>
        <v/>
      </c>
      <c r="AN394">
        <f>IF(原始資料!AN394="","",IF(反向題設定!$C$43="是",反向題設定!$B$2+1-原始資料!AN394,原始資料!AN394))</f>
        <v/>
      </c>
      <c r="AO394">
        <f>IF(原始資料!AO394="","",IF(反向題設定!$C$44="是",反向題設定!$B$2+1-原始資料!AO394,原始資料!AO394))</f>
        <v/>
      </c>
      <c r="AP394">
        <f>IF(COUNT(B394:AO394)=0,"",SUM(B394:AO394))</f>
        <v/>
      </c>
      <c r="AQ394">
        <f>IF(AP394="","",IF(AP394&gt;=項目分析!$C$5,"高",IF(AP394&lt;=項目分析!$C$6,"低","")))</f>
        <v/>
      </c>
    </row>
    <row r="395">
      <c r="A395">
        <f>IF(原始資料!A395="","",原始資料!A395)</f>
        <v/>
      </c>
      <c r="B395">
        <f>IF(原始資料!B395="","",IF(反向題設定!$C$5="是",反向題設定!$B$2+1-原始資料!B395,原始資料!B395))</f>
        <v/>
      </c>
      <c r="C395">
        <f>IF(原始資料!C395="","",IF(反向題設定!$C$6="是",反向題設定!$B$2+1-原始資料!C395,原始資料!C395))</f>
        <v/>
      </c>
      <c r="D395">
        <f>IF(原始資料!D395="","",IF(反向題設定!$C$7="是",反向題設定!$B$2+1-原始資料!D395,原始資料!D395))</f>
        <v/>
      </c>
      <c r="E395">
        <f>IF(原始資料!E395="","",IF(反向題設定!$C$8="是",反向題設定!$B$2+1-原始資料!E395,原始資料!E395))</f>
        <v/>
      </c>
      <c r="F395">
        <f>IF(原始資料!F395="","",IF(反向題設定!$C$9="是",反向題設定!$B$2+1-原始資料!F395,原始資料!F395))</f>
        <v/>
      </c>
      <c r="G395">
        <f>IF(原始資料!G395="","",IF(反向題設定!$C$10="是",反向題設定!$B$2+1-原始資料!G395,原始資料!G395))</f>
        <v/>
      </c>
      <c r="H395">
        <f>IF(原始資料!H395="","",IF(反向題設定!$C$11="是",反向題設定!$B$2+1-原始資料!H395,原始資料!H395))</f>
        <v/>
      </c>
      <c r="I395">
        <f>IF(原始資料!I395="","",IF(反向題設定!$C$12="是",反向題設定!$B$2+1-原始資料!I395,原始資料!I395))</f>
        <v/>
      </c>
      <c r="J395">
        <f>IF(原始資料!J395="","",IF(反向題設定!$C$13="是",反向題設定!$B$2+1-原始資料!J395,原始資料!J395))</f>
        <v/>
      </c>
      <c r="K395">
        <f>IF(原始資料!K395="","",IF(反向題設定!$C$14="是",反向題設定!$B$2+1-原始資料!K395,原始資料!K395))</f>
        <v/>
      </c>
      <c r="L395">
        <f>IF(原始資料!L395="","",IF(反向題設定!$C$15="是",反向題設定!$B$2+1-原始資料!L395,原始資料!L395))</f>
        <v/>
      </c>
      <c r="M395">
        <f>IF(原始資料!M395="","",IF(反向題設定!$C$16="是",反向題設定!$B$2+1-原始資料!M395,原始資料!M395))</f>
        <v/>
      </c>
      <c r="N395">
        <f>IF(原始資料!N395="","",IF(反向題設定!$C$17="是",反向題設定!$B$2+1-原始資料!N395,原始資料!N395))</f>
        <v/>
      </c>
      <c r="O395">
        <f>IF(原始資料!O395="","",IF(反向題設定!$C$18="是",反向題設定!$B$2+1-原始資料!O395,原始資料!O395))</f>
        <v/>
      </c>
      <c r="P395">
        <f>IF(原始資料!P395="","",IF(反向題設定!$C$19="是",反向題設定!$B$2+1-原始資料!P395,原始資料!P395))</f>
        <v/>
      </c>
      <c r="Q395">
        <f>IF(原始資料!Q395="","",IF(反向題設定!$C$20="是",反向題設定!$B$2+1-原始資料!Q395,原始資料!Q395))</f>
        <v/>
      </c>
      <c r="R395">
        <f>IF(原始資料!R395="","",IF(反向題設定!$C$21="是",反向題設定!$B$2+1-原始資料!R395,原始資料!R395))</f>
        <v/>
      </c>
      <c r="S395">
        <f>IF(原始資料!S395="","",IF(反向題設定!$C$22="是",反向題設定!$B$2+1-原始資料!S395,原始資料!S395))</f>
        <v/>
      </c>
      <c r="T395">
        <f>IF(原始資料!T395="","",IF(反向題設定!$C$23="是",反向題設定!$B$2+1-原始資料!T395,原始資料!T395))</f>
        <v/>
      </c>
      <c r="U395">
        <f>IF(原始資料!U395="","",IF(反向題設定!$C$24="是",反向題設定!$B$2+1-原始資料!U395,原始資料!U395))</f>
        <v/>
      </c>
      <c r="V395">
        <f>IF(原始資料!V395="","",IF(反向題設定!$C$25="是",反向題設定!$B$2+1-原始資料!V395,原始資料!V395))</f>
        <v/>
      </c>
      <c r="W395">
        <f>IF(原始資料!W395="","",IF(反向題設定!$C$26="是",反向題設定!$B$2+1-原始資料!W395,原始資料!W395))</f>
        <v/>
      </c>
      <c r="X395">
        <f>IF(原始資料!X395="","",IF(反向題設定!$C$27="是",反向題設定!$B$2+1-原始資料!X395,原始資料!X395))</f>
        <v/>
      </c>
      <c r="Y395">
        <f>IF(原始資料!Y395="","",IF(反向題設定!$C$28="是",反向題設定!$B$2+1-原始資料!Y395,原始資料!Y395))</f>
        <v/>
      </c>
      <c r="Z395">
        <f>IF(原始資料!Z395="","",IF(反向題設定!$C$29="是",反向題設定!$B$2+1-原始資料!Z395,原始資料!Z395))</f>
        <v/>
      </c>
      <c r="AA395">
        <f>IF(原始資料!AA395="","",IF(反向題設定!$C$30="是",反向題設定!$B$2+1-原始資料!AA395,原始資料!AA395))</f>
        <v/>
      </c>
      <c r="AB395">
        <f>IF(原始資料!AB395="","",IF(反向題設定!$C$31="是",反向題設定!$B$2+1-原始資料!AB395,原始資料!AB395))</f>
        <v/>
      </c>
      <c r="AC395">
        <f>IF(原始資料!AC395="","",IF(反向題設定!$C$32="是",反向題設定!$B$2+1-原始資料!AC395,原始資料!AC395))</f>
        <v/>
      </c>
      <c r="AD395">
        <f>IF(原始資料!AD395="","",IF(反向題設定!$C$33="是",反向題設定!$B$2+1-原始資料!AD395,原始資料!AD395))</f>
        <v/>
      </c>
      <c r="AE395">
        <f>IF(原始資料!AE395="","",IF(反向題設定!$C$34="是",反向題設定!$B$2+1-原始資料!AE395,原始資料!AE395))</f>
        <v/>
      </c>
      <c r="AF395">
        <f>IF(原始資料!AF395="","",IF(反向題設定!$C$35="是",反向題設定!$B$2+1-原始資料!AF395,原始資料!AF395))</f>
        <v/>
      </c>
      <c r="AG395">
        <f>IF(原始資料!AG395="","",IF(反向題設定!$C$36="是",反向題設定!$B$2+1-原始資料!AG395,原始資料!AG395))</f>
        <v/>
      </c>
      <c r="AH395">
        <f>IF(原始資料!AH395="","",IF(反向題設定!$C$37="是",反向題設定!$B$2+1-原始資料!AH395,原始資料!AH395))</f>
        <v/>
      </c>
      <c r="AI395">
        <f>IF(原始資料!AI395="","",IF(反向題設定!$C$38="是",反向題設定!$B$2+1-原始資料!AI395,原始資料!AI395))</f>
        <v/>
      </c>
      <c r="AJ395">
        <f>IF(原始資料!AJ395="","",IF(反向題設定!$C$39="是",反向題設定!$B$2+1-原始資料!AJ395,原始資料!AJ395))</f>
        <v/>
      </c>
      <c r="AK395">
        <f>IF(原始資料!AK395="","",IF(反向題設定!$C$40="是",反向題設定!$B$2+1-原始資料!AK395,原始資料!AK395))</f>
        <v/>
      </c>
      <c r="AL395">
        <f>IF(原始資料!AL395="","",IF(反向題設定!$C$41="是",反向題設定!$B$2+1-原始資料!AL395,原始資料!AL395))</f>
        <v/>
      </c>
      <c r="AM395">
        <f>IF(原始資料!AM395="","",IF(反向題設定!$C$42="是",反向題設定!$B$2+1-原始資料!AM395,原始資料!AM395))</f>
        <v/>
      </c>
      <c r="AN395">
        <f>IF(原始資料!AN395="","",IF(反向題設定!$C$43="是",反向題設定!$B$2+1-原始資料!AN395,原始資料!AN395))</f>
        <v/>
      </c>
      <c r="AO395">
        <f>IF(原始資料!AO395="","",IF(反向題設定!$C$44="是",反向題設定!$B$2+1-原始資料!AO395,原始資料!AO395))</f>
        <v/>
      </c>
      <c r="AP395">
        <f>IF(COUNT(B395:AO395)=0,"",SUM(B395:AO395))</f>
        <v/>
      </c>
      <c r="AQ395">
        <f>IF(AP395="","",IF(AP395&gt;=項目分析!$C$5,"高",IF(AP395&lt;=項目分析!$C$6,"低","")))</f>
        <v/>
      </c>
    </row>
    <row r="396">
      <c r="A396">
        <f>IF(原始資料!A396="","",原始資料!A396)</f>
        <v/>
      </c>
      <c r="B396">
        <f>IF(原始資料!B396="","",IF(反向題設定!$C$5="是",反向題設定!$B$2+1-原始資料!B396,原始資料!B396))</f>
        <v/>
      </c>
      <c r="C396">
        <f>IF(原始資料!C396="","",IF(反向題設定!$C$6="是",反向題設定!$B$2+1-原始資料!C396,原始資料!C396))</f>
        <v/>
      </c>
      <c r="D396">
        <f>IF(原始資料!D396="","",IF(反向題設定!$C$7="是",反向題設定!$B$2+1-原始資料!D396,原始資料!D396))</f>
        <v/>
      </c>
      <c r="E396">
        <f>IF(原始資料!E396="","",IF(反向題設定!$C$8="是",反向題設定!$B$2+1-原始資料!E396,原始資料!E396))</f>
        <v/>
      </c>
      <c r="F396">
        <f>IF(原始資料!F396="","",IF(反向題設定!$C$9="是",反向題設定!$B$2+1-原始資料!F396,原始資料!F396))</f>
        <v/>
      </c>
      <c r="G396">
        <f>IF(原始資料!G396="","",IF(反向題設定!$C$10="是",反向題設定!$B$2+1-原始資料!G396,原始資料!G396))</f>
        <v/>
      </c>
      <c r="H396">
        <f>IF(原始資料!H396="","",IF(反向題設定!$C$11="是",反向題設定!$B$2+1-原始資料!H396,原始資料!H396))</f>
        <v/>
      </c>
      <c r="I396">
        <f>IF(原始資料!I396="","",IF(反向題設定!$C$12="是",反向題設定!$B$2+1-原始資料!I396,原始資料!I396))</f>
        <v/>
      </c>
      <c r="J396">
        <f>IF(原始資料!J396="","",IF(反向題設定!$C$13="是",反向題設定!$B$2+1-原始資料!J396,原始資料!J396))</f>
        <v/>
      </c>
      <c r="K396">
        <f>IF(原始資料!K396="","",IF(反向題設定!$C$14="是",反向題設定!$B$2+1-原始資料!K396,原始資料!K396))</f>
        <v/>
      </c>
      <c r="L396">
        <f>IF(原始資料!L396="","",IF(反向題設定!$C$15="是",反向題設定!$B$2+1-原始資料!L396,原始資料!L396))</f>
        <v/>
      </c>
      <c r="M396">
        <f>IF(原始資料!M396="","",IF(反向題設定!$C$16="是",反向題設定!$B$2+1-原始資料!M396,原始資料!M396))</f>
        <v/>
      </c>
      <c r="N396">
        <f>IF(原始資料!N396="","",IF(反向題設定!$C$17="是",反向題設定!$B$2+1-原始資料!N396,原始資料!N396))</f>
        <v/>
      </c>
      <c r="O396">
        <f>IF(原始資料!O396="","",IF(反向題設定!$C$18="是",反向題設定!$B$2+1-原始資料!O396,原始資料!O396))</f>
        <v/>
      </c>
      <c r="P396">
        <f>IF(原始資料!P396="","",IF(反向題設定!$C$19="是",反向題設定!$B$2+1-原始資料!P396,原始資料!P396))</f>
        <v/>
      </c>
      <c r="Q396">
        <f>IF(原始資料!Q396="","",IF(反向題設定!$C$20="是",反向題設定!$B$2+1-原始資料!Q396,原始資料!Q396))</f>
        <v/>
      </c>
      <c r="R396">
        <f>IF(原始資料!R396="","",IF(反向題設定!$C$21="是",反向題設定!$B$2+1-原始資料!R396,原始資料!R396))</f>
        <v/>
      </c>
      <c r="S396">
        <f>IF(原始資料!S396="","",IF(反向題設定!$C$22="是",反向題設定!$B$2+1-原始資料!S396,原始資料!S396))</f>
        <v/>
      </c>
      <c r="T396">
        <f>IF(原始資料!T396="","",IF(反向題設定!$C$23="是",反向題設定!$B$2+1-原始資料!T396,原始資料!T396))</f>
        <v/>
      </c>
      <c r="U396">
        <f>IF(原始資料!U396="","",IF(反向題設定!$C$24="是",反向題設定!$B$2+1-原始資料!U396,原始資料!U396))</f>
        <v/>
      </c>
      <c r="V396">
        <f>IF(原始資料!V396="","",IF(反向題設定!$C$25="是",反向題設定!$B$2+1-原始資料!V396,原始資料!V396))</f>
        <v/>
      </c>
      <c r="W396">
        <f>IF(原始資料!W396="","",IF(反向題設定!$C$26="是",反向題設定!$B$2+1-原始資料!W396,原始資料!W396))</f>
        <v/>
      </c>
      <c r="X396">
        <f>IF(原始資料!X396="","",IF(反向題設定!$C$27="是",反向題設定!$B$2+1-原始資料!X396,原始資料!X396))</f>
        <v/>
      </c>
      <c r="Y396">
        <f>IF(原始資料!Y396="","",IF(反向題設定!$C$28="是",反向題設定!$B$2+1-原始資料!Y396,原始資料!Y396))</f>
        <v/>
      </c>
      <c r="Z396">
        <f>IF(原始資料!Z396="","",IF(反向題設定!$C$29="是",反向題設定!$B$2+1-原始資料!Z396,原始資料!Z396))</f>
        <v/>
      </c>
      <c r="AA396">
        <f>IF(原始資料!AA396="","",IF(反向題設定!$C$30="是",反向題設定!$B$2+1-原始資料!AA396,原始資料!AA396))</f>
        <v/>
      </c>
      <c r="AB396">
        <f>IF(原始資料!AB396="","",IF(反向題設定!$C$31="是",反向題設定!$B$2+1-原始資料!AB396,原始資料!AB396))</f>
        <v/>
      </c>
      <c r="AC396">
        <f>IF(原始資料!AC396="","",IF(反向題設定!$C$32="是",反向題設定!$B$2+1-原始資料!AC396,原始資料!AC396))</f>
        <v/>
      </c>
      <c r="AD396">
        <f>IF(原始資料!AD396="","",IF(反向題設定!$C$33="是",反向題設定!$B$2+1-原始資料!AD396,原始資料!AD396))</f>
        <v/>
      </c>
      <c r="AE396">
        <f>IF(原始資料!AE396="","",IF(反向題設定!$C$34="是",反向題設定!$B$2+1-原始資料!AE396,原始資料!AE396))</f>
        <v/>
      </c>
      <c r="AF396">
        <f>IF(原始資料!AF396="","",IF(反向題設定!$C$35="是",反向題設定!$B$2+1-原始資料!AF396,原始資料!AF396))</f>
        <v/>
      </c>
      <c r="AG396">
        <f>IF(原始資料!AG396="","",IF(反向題設定!$C$36="是",反向題設定!$B$2+1-原始資料!AG396,原始資料!AG396))</f>
        <v/>
      </c>
      <c r="AH396">
        <f>IF(原始資料!AH396="","",IF(反向題設定!$C$37="是",反向題設定!$B$2+1-原始資料!AH396,原始資料!AH396))</f>
        <v/>
      </c>
      <c r="AI396">
        <f>IF(原始資料!AI396="","",IF(反向題設定!$C$38="是",反向題設定!$B$2+1-原始資料!AI396,原始資料!AI396))</f>
        <v/>
      </c>
      <c r="AJ396">
        <f>IF(原始資料!AJ396="","",IF(反向題設定!$C$39="是",反向題設定!$B$2+1-原始資料!AJ396,原始資料!AJ396))</f>
        <v/>
      </c>
      <c r="AK396">
        <f>IF(原始資料!AK396="","",IF(反向題設定!$C$40="是",反向題設定!$B$2+1-原始資料!AK396,原始資料!AK396))</f>
        <v/>
      </c>
      <c r="AL396">
        <f>IF(原始資料!AL396="","",IF(反向題設定!$C$41="是",反向題設定!$B$2+1-原始資料!AL396,原始資料!AL396))</f>
        <v/>
      </c>
      <c r="AM396">
        <f>IF(原始資料!AM396="","",IF(反向題設定!$C$42="是",反向題設定!$B$2+1-原始資料!AM396,原始資料!AM396))</f>
        <v/>
      </c>
      <c r="AN396">
        <f>IF(原始資料!AN396="","",IF(反向題設定!$C$43="是",反向題設定!$B$2+1-原始資料!AN396,原始資料!AN396))</f>
        <v/>
      </c>
      <c r="AO396">
        <f>IF(原始資料!AO396="","",IF(反向題設定!$C$44="是",反向題設定!$B$2+1-原始資料!AO396,原始資料!AO396))</f>
        <v/>
      </c>
      <c r="AP396">
        <f>IF(COUNT(B396:AO396)=0,"",SUM(B396:AO396))</f>
        <v/>
      </c>
      <c r="AQ396">
        <f>IF(AP396="","",IF(AP396&gt;=項目分析!$C$5,"高",IF(AP396&lt;=項目分析!$C$6,"低","")))</f>
        <v/>
      </c>
    </row>
    <row r="397">
      <c r="A397">
        <f>IF(原始資料!A397="","",原始資料!A397)</f>
        <v/>
      </c>
      <c r="B397">
        <f>IF(原始資料!B397="","",IF(反向題設定!$C$5="是",反向題設定!$B$2+1-原始資料!B397,原始資料!B397))</f>
        <v/>
      </c>
      <c r="C397">
        <f>IF(原始資料!C397="","",IF(反向題設定!$C$6="是",反向題設定!$B$2+1-原始資料!C397,原始資料!C397))</f>
        <v/>
      </c>
      <c r="D397">
        <f>IF(原始資料!D397="","",IF(反向題設定!$C$7="是",反向題設定!$B$2+1-原始資料!D397,原始資料!D397))</f>
        <v/>
      </c>
      <c r="E397">
        <f>IF(原始資料!E397="","",IF(反向題設定!$C$8="是",反向題設定!$B$2+1-原始資料!E397,原始資料!E397))</f>
        <v/>
      </c>
      <c r="F397">
        <f>IF(原始資料!F397="","",IF(反向題設定!$C$9="是",反向題設定!$B$2+1-原始資料!F397,原始資料!F397))</f>
        <v/>
      </c>
      <c r="G397">
        <f>IF(原始資料!G397="","",IF(反向題設定!$C$10="是",反向題設定!$B$2+1-原始資料!G397,原始資料!G397))</f>
        <v/>
      </c>
      <c r="H397">
        <f>IF(原始資料!H397="","",IF(反向題設定!$C$11="是",反向題設定!$B$2+1-原始資料!H397,原始資料!H397))</f>
        <v/>
      </c>
      <c r="I397">
        <f>IF(原始資料!I397="","",IF(反向題設定!$C$12="是",反向題設定!$B$2+1-原始資料!I397,原始資料!I397))</f>
        <v/>
      </c>
      <c r="J397">
        <f>IF(原始資料!J397="","",IF(反向題設定!$C$13="是",反向題設定!$B$2+1-原始資料!J397,原始資料!J397))</f>
        <v/>
      </c>
      <c r="K397">
        <f>IF(原始資料!K397="","",IF(反向題設定!$C$14="是",反向題設定!$B$2+1-原始資料!K397,原始資料!K397))</f>
        <v/>
      </c>
      <c r="L397">
        <f>IF(原始資料!L397="","",IF(反向題設定!$C$15="是",反向題設定!$B$2+1-原始資料!L397,原始資料!L397))</f>
        <v/>
      </c>
      <c r="M397">
        <f>IF(原始資料!M397="","",IF(反向題設定!$C$16="是",反向題設定!$B$2+1-原始資料!M397,原始資料!M397))</f>
        <v/>
      </c>
      <c r="N397">
        <f>IF(原始資料!N397="","",IF(反向題設定!$C$17="是",反向題設定!$B$2+1-原始資料!N397,原始資料!N397))</f>
        <v/>
      </c>
      <c r="O397">
        <f>IF(原始資料!O397="","",IF(反向題設定!$C$18="是",反向題設定!$B$2+1-原始資料!O397,原始資料!O397))</f>
        <v/>
      </c>
      <c r="P397">
        <f>IF(原始資料!P397="","",IF(反向題設定!$C$19="是",反向題設定!$B$2+1-原始資料!P397,原始資料!P397))</f>
        <v/>
      </c>
      <c r="Q397">
        <f>IF(原始資料!Q397="","",IF(反向題設定!$C$20="是",反向題設定!$B$2+1-原始資料!Q397,原始資料!Q397))</f>
        <v/>
      </c>
      <c r="R397">
        <f>IF(原始資料!R397="","",IF(反向題設定!$C$21="是",反向題設定!$B$2+1-原始資料!R397,原始資料!R397))</f>
        <v/>
      </c>
      <c r="S397">
        <f>IF(原始資料!S397="","",IF(反向題設定!$C$22="是",反向題設定!$B$2+1-原始資料!S397,原始資料!S397))</f>
        <v/>
      </c>
      <c r="T397">
        <f>IF(原始資料!T397="","",IF(反向題設定!$C$23="是",反向題設定!$B$2+1-原始資料!T397,原始資料!T397))</f>
        <v/>
      </c>
      <c r="U397">
        <f>IF(原始資料!U397="","",IF(反向題設定!$C$24="是",反向題設定!$B$2+1-原始資料!U397,原始資料!U397))</f>
        <v/>
      </c>
      <c r="V397">
        <f>IF(原始資料!V397="","",IF(反向題設定!$C$25="是",反向題設定!$B$2+1-原始資料!V397,原始資料!V397))</f>
        <v/>
      </c>
      <c r="W397">
        <f>IF(原始資料!W397="","",IF(反向題設定!$C$26="是",反向題設定!$B$2+1-原始資料!W397,原始資料!W397))</f>
        <v/>
      </c>
      <c r="X397">
        <f>IF(原始資料!X397="","",IF(反向題設定!$C$27="是",反向題設定!$B$2+1-原始資料!X397,原始資料!X397))</f>
        <v/>
      </c>
      <c r="Y397">
        <f>IF(原始資料!Y397="","",IF(反向題設定!$C$28="是",反向題設定!$B$2+1-原始資料!Y397,原始資料!Y397))</f>
        <v/>
      </c>
      <c r="Z397">
        <f>IF(原始資料!Z397="","",IF(反向題設定!$C$29="是",反向題設定!$B$2+1-原始資料!Z397,原始資料!Z397))</f>
        <v/>
      </c>
      <c r="AA397">
        <f>IF(原始資料!AA397="","",IF(反向題設定!$C$30="是",反向題設定!$B$2+1-原始資料!AA397,原始資料!AA397))</f>
        <v/>
      </c>
      <c r="AB397">
        <f>IF(原始資料!AB397="","",IF(反向題設定!$C$31="是",反向題設定!$B$2+1-原始資料!AB397,原始資料!AB397))</f>
        <v/>
      </c>
      <c r="AC397">
        <f>IF(原始資料!AC397="","",IF(反向題設定!$C$32="是",反向題設定!$B$2+1-原始資料!AC397,原始資料!AC397))</f>
        <v/>
      </c>
      <c r="AD397">
        <f>IF(原始資料!AD397="","",IF(反向題設定!$C$33="是",反向題設定!$B$2+1-原始資料!AD397,原始資料!AD397))</f>
        <v/>
      </c>
      <c r="AE397">
        <f>IF(原始資料!AE397="","",IF(反向題設定!$C$34="是",反向題設定!$B$2+1-原始資料!AE397,原始資料!AE397))</f>
        <v/>
      </c>
      <c r="AF397">
        <f>IF(原始資料!AF397="","",IF(反向題設定!$C$35="是",反向題設定!$B$2+1-原始資料!AF397,原始資料!AF397))</f>
        <v/>
      </c>
      <c r="AG397">
        <f>IF(原始資料!AG397="","",IF(反向題設定!$C$36="是",反向題設定!$B$2+1-原始資料!AG397,原始資料!AG397))</f>
        <v/>
      </c>
      <c r="AH397">
        <f>IF(原始資料!AH397="","",IF(反向題設定!$C$37="是",反向題設定!$B$2+1-原始資料!AH397,原始資料!AH397))</f>
        <v/>
      </c>
      <c r="AI397">
        <f>IF(原始資料!AI397="","",IF(反向題設定!$C$38="是",反向題設定!$B$2+1-原始資料!AI397,原始資料!AI397))</f>
        <v/>
      </c>
      <c r="AJ397">
        <f>IF(原始資料!AJ397="","",IF(反向題設定!$C$39="是",反向題設定!$B$2+1-原始資料!AJ397,原始資料!AJ397))</f>
        <v/>
      </c>
      <c r="AK397">
        <f>IF(原始資料!AK397="","",IF(反向題設定!$C$40="是",反向題設定!$B$2+1-原始資料!AK397,原始資料!AK397))</f>
        <v/>
      </c>
      <c r="AL397">
        <f>IF(原始資料!AL397="","",IF(反向題設定!$C$41="是",反向題設定!$B$2+1-原始資料!AL397,原始資料!AL397))</f>
        <v/>
      </c>
      <c r="AM397">
        <f>IF(原始資料!AM397="","",IF(反向題設定!$C$42="是",反向題設定!$B$2+1-原始資料!AM397,原始資料!AM397))</f>
        <v/>
      </c>
      <c r="AN397">
        <f>IF(原始資料!AN397="","",IF(反向題設定!$C$43="是",反向題設定!$B$2+1-原始資料!AN397,原始資料!AN397))</f>
        <v/>
      </c>
      <c r="AO397">
        <f>IF(原始資料!AO397="","",IF(反向題設定!$C$44="是",反向題設定!$B$2+1-原始資料!AO397,原始資料!AO397))</f>
        <v/>
      </c>
      <c r="AP397">
        <f>IF(COUNT(B397:AO397)=0,"",SUM(B397:AO397))</f>
        <v/>
      </c>
      <c r="AQ397">
        <f>IF(AP397="","",IF(AP397&gt;=項目分析!$C$5,"高",IF(AP397&lt;=項目分析!$C$6,"低","")))</f>
        <v/>
      </c>
    </row>
    <row r="398">
      <c r="A398">
        <f>IF(原始資料!A398="","",原始資料!A398)</f>
        <v/>
      </c>
      <c r="B398">
        <f>IF(原始資料!B398="","",IF(反向題設定!$C$5="是",反向題設定!$B$2+1-原始資料!B398,原始資料!B398))</f>
        <v/>
      </c>
      <c r="C398">
        <f>IF(原始資料!C398="","",IF(反向題設定!$C$6="是",反向題設定!$B$2+1-原始資料!C398,原始資料!C398))</f>
        <v/>
      </c>
      <c r="D398">
        <f>IF(原始資料!D398="","",IF(反向題設定!$C$7="是",反向題設定!$B$2+1-原始資料!D398,原始資料!D398))</f>
        <v/>
      </c>
      <c r="E398">
        <f>IF(原始資料!E398="","",IF(反向題設定!$C$8="是",反向題設定!$B$2+1-原始資料!E398,原始資料!E398))</f>
        <v/>
      </c>
      <c r="F398">
        <f>IF(原始資料!F398="","",IF(反向題設定!$C$9="是",反向題設定!$B$2+1-原始資料!F398,原始資料!F398))</f>
        <v/>
      </c>
      <c r="G398">
        <f>IF(原始資料!G398="","",IF(反向題設定!$C$10="是",反向題設定!$B$2+1-原始資料!G398,原始資料!G398))</f>
        <v/>
      </c>
      <c r="H398">
        <f>IF(原始資料!H398="","",IF(反向題設定!$C$11="是",反向題設定!$B$2+1-原始資料!H398,原始資料!H398))</f>
        <v/>
      </c>
      <c r="I398">
        <f>IF(原始資料!I398="","",IF(反向題設定!$C$12="是",反向題設定!$B$2+1-原始資料!I398,原始資料!I398))</f>
        <v/>
      </c>
      <c r="J398">
        <f>IF(原始資料!J398="","",IF(反向題設定!$C$13="是",反向題設定!$B$2+1-原始資料!J398,原始資料!J398))</f>
        <v/>
      </c>
      <c r="K398">
        <f>IF(原始資料!K398="","",IF(反向題設定!$C$14="是",反向題設定!$B$2+1-原始資料!K398,原始資料!K398))</f>
        <v/>
      </c>
      <c r="L398">
        <f>IF(原始資料!L398="","",IF(反向題設定!$C$15="是",反向題設定!$B$2+1-原始資料!L398,原始資料!L398))</f>
        <v/>
      </c>
      <c r="M398">
        <f>IF(原始資料!M398="","",IF(反向題設定!$C$16="是",反向題設定!$B$2+1-原始資料!M398,原始資料!M398))</f>
        <v/>
      </c>
      <c r="N398">
        <f>IF(原始資料!N398="","",IF(反向題設定!$C$17="是",反向題設定!$B$2+1-原始資料!N398,原始資料!N398))</f>
        <v/>
      </c>
      <c r="O398">
        <f>IF(原始資料!O398="","",IF(反向題設定!$C$18="是",反向題設定!$B$2+1-原始資料!O398,原始資料!O398))</f>
        <v/>
      </c>
      <c r="P398">
        <f>IF(原始資料!P398="","",IF(反向題設定!$C$19="是",反向題設定!$B$2+1-原始資料!P398,原始資料!P398))</f>
        <v/>
      </c>
      <c r="Q398">
        <f>IF(原始資料!Q398="","",IF(反向題設定!$C$20="是",反向題設定!$B$2+1-原始資料!Q398,原始資料!Q398))</f>
        <v/>
      </c>
      <c r="R398">
        <f>IF(原始資料!R398="","",IF(反向題設定!$C$21="是",反向題設定!$B$2+1-原始資料!R398,原始資料!R398))</f>
        <v/>
      </c>
      <c r="S398">
        <f>IF(原始資料!S398="","",IF(反向題設定!$C$22="是",反向題設定!$B$2+1-原始資料!S398,原始資料!S398))</f>
        <v/>
      </c>
      <c r="T398">
        <f>IF(原始資料!T398="","",IF(反向題設定!$C$23="是",反向題設定!$B$2+1-原始資料!T398,原始資料!T398))</f>
        <v/>
      </c>
      <c r="U398">
        <f>IF(原始資料!U398="","",IF(反向題設定!$C$24="是",反向題設定!$B$2+1-原始資料!U398,原始資料!U398))</f>
        <v/>
      </c>
      <c r="V398">
        <f>IF(原始資料!V398="","",IF(反向題設定!$C$25="是",反向題設定!$B$2+1-原始資料!V398,原始資料!V398))</f>
        <v/>
      </c>
      <c r="W398">
        <f>IF(原始資料!W398="","",IF(反向題設定!$C$26="是",反向題設定!$B$2+1-原始資料!W398,原始資料!W398))</f>
        <v/>
      </c>
      <c r="X398">
        <f>IF(原始資料!X398="","",IF(反向題設定!$C$27="是",反向題設定!$B$2+1-原始資料!X398,原始資料!X398))</f>
        <v/>
      </c>
      <c r="Y398">
        <f>IF(原始資料!Y398="","",IF(反向題設定!$C$28="是",反向題設定!$B$2+1-原始資料!Y398,原始資料!Y398))</f>
        <v/>
      </c>
      <c r="Z398">
        <f>IF(原始資料!Z398="","",IF(反向題設定!$C$29="是",反向題設定!$B$2+1-原始資料!Z398,原始資料!Z398))</f>
        <v/>
      </c>
      <c r="AA398">
        <f>IF(原始資料!AA398="","",IF(反向題設定!$C$30="是",反向題設定!$B$2+1-原始資料!AA398,原始資料!AA398))</f>
        <v/>
      </c>
      <c r="AB398">
        <f>IF(原始資料!AB398="","",IF(反向題設定!$C$31="是",反向題設定!$B$2+1-原始資料!AB398,原始資料!AB398))</f>
        <v/>
      </c>
      <c r="AC398">
        <f>IF(原始資料!AC398="","",IF(反向題設定!$C$32="是",反向題設定!$B$2+1-原始資料!AC398,原始資料!AC398))</f>
        <v/>
      </c>
      <c r="AD398">
        <f>IF(原始資料!AD398="","",IF(反向題設定!$C$33="是",反向題設定!$B$2+1-原始資料!AD398,原始資料!AD398))</f>
        <v/>
      </c>
      <c r="AE398">
        <f>IF(原始資料!AE398="","",IF(反向題設定!$C$34="是",反向題設定!$B$2+1-原始資料!AE398,原始資料!AE398))</f>
        <v/>
      </c>
      <c r="AF398">
        <f>IF(原始資料!AF398="","",IF(反向題設定!$C$35="是",反向題設定!$B$2+1-原始資料!AF398,原始資料!AF398))</f>
        <v/>
      </c>
      <c r="AG398">
        <f>IF(原始資料!AG398="","",IF(反向題設定!$C$36="是",反向題設定!$B$2+1-原始資料!AG398,原始資料!AG398))</f>
        <v/>
      </c>
      <c r="AH398">
        <f>IF(原始資料!AH398="","",IF(反向題設定!$C$37="是",反向題設定!$B$2+1-原始資料!AH398,原始資料!AH398))</f>
        <v/>
      </c>
      <c r="AI398">
        <f>IF(原始資料!AI398="","",IF(反向題設定!$C$38="是",反向題設定!$B$2+1-原始資料!AI398,原始資料!AI398))</f>
        <v/>
      </c>
      <c r="AJ398">
        <f>IF(原始資料!AJ398="","",IF(反向題設定!$C$39="是",反向題設定!$B$2+1-原始資料!AJ398,原始資料!AJ398))</f>
        <v/>
      </c>
      <c r="AK398">
        <f>IF(原始資料!AK398="","",IF(反向題設定!$C$40="是",反向題設定!$B$2+1-原始資料!AK398,原始資料!AK398))</f>
        <v/>
      </c>
      <c r="AL398">
        <f>IF(原始資料!AL398="","",IF(反向題設定!$C$41="是",反向題設定!$B$2+1-原始資料!AL398,原始資料!AL398))</f>
        <v/>
      </c>
      <c r="AM398">
        <f>IF(原始資料!AM398="","",IF(反向題設定!$C$42="是",反向題設定!$B$2+1-原始資料!AM398,原始資料!AM398))</f>
        <v/>
      </c>
      <c r="AN398">
        <f>IF(原始資料!AN398="","",IF(反向題設定!$C$43="是",反向題設定!$B$2+1-原始資料!AN398,原始資料!AN398))</f>
        <v/>
      </c>
      <c r="AO398">
        <f>IF(原始資料!AO398="","",IF(反向題設定!$C$44="是",反向題設定!$B$2+1-原始資料!AO398,原始資料!AO398))</f>
        <v/>
      </c>
      <c r="AP398">
        <f>IF(COUNT(B398:AO398)=0,"",SUM(B398:AO398))</f>
        <v/>
      </c>
      <c r="AQ398">
        <f>IF(AP398="","",IF(AP398&gt;=項目分析!$C$5,"高",IF(AP398&lt;=項目分析!$C$6,"低","")))</f>
        <v/>
      </c>
    </row>
    <row r="399">
      <c r="A399">
        <f>IF(原始資料!A399="","",原始資料!A399)</f>
        <v/>
      </c>
      <c r="B399">
        <f>IF(原始資料!B399="","",IF(反向題設定!$C$5="是",反向題設定!$B$2+1-原始資料!B399,原始資料!B399))</f>
        <v/>
      </c>
      <c r="C399">
        <f>IF(原始資料!C399="","",IF(反向題設定!$C$6="是",反向題設定!$B$2+1-原始資料!C399,原始資料!C399))</f>
        <v/>
      </c>
      <c r="D399">
        <f>IF(原始資料!D399="","",IF(反向題設定!$C$7="是",反向題設定!$B$2+1-原始資料!D399,原始資料!D399))</f>
        <v/>
      </c>
      <c r="E399">
        <f>IF(原始資料!E399="","",IF(反向題設定!$C$8="是",反向題設定!$B$2+1-原始資料!E399,原始資料!E399))</f>
        <v/>
      </c>
      <c r="F399">
        <f>IF(原始資料!F399="","",IF(反向題設定!$C$9="是",反向題設定!$B$2+1-原始資料!F399,原始資料!F399))</f>
        <v/>
      </c>
      <c r="G399">
        <f>IF(原始資料!G399="","",IF(反向題設定!$C$10="是",反向題設定!$B$2+1-原始資料!G399,原始資料!G399))</f>
        <v/>
      </c>
      <c r="H399">
        <f>IF(原始資料!H399="","",IF(反向題設定!$C$11="是",反向題設定!$B$2+1-原始資料!H399,原始資料!H399))</f>
        <v/>
      </c>
      <c r="I399">
        <f>IF(原始資料!I399="","",IF(反向題設定!$C$12="是",反向題設定!$B$2+1-原始資料!I399,原始資料!I399))</f>
        <v/>
      </c>
      <c r="J399">
        <f>IF(原始資料!J399="","",IF(反向題設定!$C$13="是",反向題設定!$B$2+1-原始資料!J399,原始資料!J399))</f>
        <v/>
      </c>
      <c r="K399">
        <f>IF(原始資料!K399="","",IF(反向題設定!$C$14="是",反向題設定!$B$2+1-原始資料!K399,原始資料!K399))</f>
        <v/>
      </c>
      <c r="L399">
        <f>IF(原始資料!L399="","",IF(反向題設定!$C$15="是",反向題設定!$B$2+1-原始資料!L399,原始資料!L399))</f>
        <v/>
      </c>
      <c r="M399">
        <f>IF(原始資料!M399="","",IF(反向題設定!$C$16="是",反向題設定!$B$2+1-原始資料!M399,原始資料!M399))</f>
        <v/>
      </c>
      <c r="N399">
        <f>IF(原始資料!N399="","",IF(反向題設定!$C$17="是",反向題設定!$B$2+1-原始資料!N399,原始資料!N399))</f>
        <v/>
      </c>
      <c r="O399">
        <f>IF(原始資料!O399="","",IF(反向題設定!$C$18="是",反向題設定!$B$2+1-原始資料!O399,原始資料!O399))</f>
        <v/>
      </c>
      <c r="P399">
        <f>IF(原始資料!P399="","",IF(反向題設定!$C$19="是",反向題設定!$B$2+1-原始資料!P399,原始資料!P399))</f>
        <v/>
      </c>
      <c r="Q399">
        <f>IF(原始資料!Q399="","",IF(反向題設定!$C$20="是",反向題設定!$B$2+1-原始資料!Q399,原始資料!Q399))</f>
        <v/>
      </c>
      <c r="R399">
        <f>IF(原始資料!R399="","",IF(反向題設定!$C$21="是",反向題設定!$B$2+1-原始資料!R399,原始資料!R399))</f>
        <v/>
      </c>
      <c r="S399">
        <f>IF(原始資料!S399="","",IF(反向題設定!$C$22="是",反向題設定!$B$2+1-原始資料!S399,原始資料!S399))</f>
        <v/>
      </c>
      <c r="T399">
        <f>IF(原始資料!T399="","",IF(反向題設定!$C$23="是",反向題設定!$B$2+1-原始資料!T399,原始資料!T399))</f>
        <v/>
      </c>
      <c r="U399">
        <f>IF(原始資料!U399="","",IF(反向題設定!$C$24="是",反向題設定!$B$2+1-原始資料!U399,原始資料!U399))</f>
        <v/>
      </c>
      <c r="V399">
        <f>IF(原始資料!V399="","",IF(反向題設定!$C$25="是",反向題設定!$B$2+1-原始資料!V399,原始資料!V399))</f>
        <v/>
      </c>
      <c r="W399">
        <f>IF(原始資料!W399="","",IF(反向題設定!$C$26="是",反向題設定!$B$2+1-原始資料!W399,原始資料!W399))</f>
        <v/>
      </c>
      <c r="X399">
        <f>IF(原始資料!X399="","",IF(反向題設定!$C$27="是",反向題設定!$B$2+1-原始資料!X399,原始資料!X399))</f>
        <v/>
      </c>
      <c r="Y399">
        <f>IF(原始資料!Y399="","",IF(反向題設定!$C$28="是",反向題設定!$B$2+1-原始資料!Y399,原始資料!Y399))</f>
        <v/>
      </c>
      <c r="Z399">
        <f>IF(原始資料!Z399="","",IF(反向題設定!$C$29="是",反向題設定!$B$2+1-原始資料!Z399,原始資料!Z399))</f>
        <v/>
      </c>
      <c r="AA399">
        <f>IF(原始資料!AA399="","",IF(反向題設定!$C$30="是",反向題設定!$B$2+1-原始資料!AA399,原始資料!AA399))</f>
        <v/>
      </c>
      <c r="AB399">
        <f>IF(原始資料!AB399="","",IF(反向題設定!$C$31="是",反向題設定!$B$2+1-原始資料!AB399,原始資料!AB399))</f>
        <v/>
      </c>
      <c r="AC399">
        <f>IF(原始資料!AC399="","",IF(反向題設定!$C$32="是",反向題設定!$B$2+1-原始資料!AC399,原始資料!AC399))</f>
        <v/>
      </c>
      <c r="AD399">
        <f>IF(原始資料!AD399="","",IF(反向題設定!$C$33="是",反向題設定!$B$2+1-原始資料!AD399,原始資料!AD399))</f>
        <v/>
      </c>
      <c r="AE399">
        <f>IF(原始資料!AE399="","",IF(反向題設定!$C$34="是",反向題設定!$B$2+1-原始資料!AE399,原始資料!AE399))</f>
        <v/>
      </c>
      <c r="AF399">
        <f>IF(原始資料!AF399="","",IF(反向題設定!$C$35="是",反向題設定!$B$2+1-原始資料!AF399,原始資料!AF399))</f>
        <v/>
      </c>
      <c r="AG399">
        <f>IF(原始資料!AG399="","",IF(反向題設定!$C$36="是",反向題設定!$B$2+1-原始資料!AG399,原始資料!AG399))</f>
        <v/>
      </c>
      <c r="AH399">
        <f>IF(原始資料!AH399="","",IF(反向題設定!$C$37="是",反向題設定!$B$2+1-原始資料!AH399,原始資料!AH399))</f>
        <v/>
      </c>
      <c r="AI399">
        <f>IF(原始資料!AI399="","",IF(反向題設定!$C$38="是",反向題設定!$B$2+1-原始資料!AI399,原始資料!AI399))</f>
        <v/>
      </c>
      <c r="AJ399">
        <f>IF(原始資料!AJ399="","",IF(反向題設定!$C$39="是",反向題設定!$B$2+1-原始資料!AJ399,原始資料!AJ399))</f>
        <v/>
      </c>
      <c r="AK399">
        <f>IF(原始資料!AK399="","",IF(反向題設定!$C$40="是",反向題設定!$B$2+1-原始資料!AK399,原始資料!AK399))</f>
        <v/>
      </c>
      <c r="AL399">
        <f>IF(原始資料!AL399="","",IF(反向題設定!$C$41="是",反向題設定!$B$2+1-原始資料!AL399,原始資料!AL399))</f>
        <v/>
      </c>
      <c r="AM399">
        <f>IF(原始資料!AM399="","",IF(反向題設定!$C$42="是",反向題設定!$B$2+1-原始資料!AM399,原始資料!AM399))</f>
        <v/>
      </c>
      <c r="AN399">
        <f>IF(原始資料!AN399="","",IF(反向題設定!$C$43="是",反向題設定!$B$2+1-原始資料!AN399,原始資料!AN399))</f>
        <v/>
      </c>
      <c r="AO399">
        <f>IF(原始資料!AO399="","",IF(反向題設定!$C$44="是",反向題設定!$B$2+1-原始資料!AO399,原始資料!AO399))</f>
        <v/>
      </c>
      <c r="AP399">
        <f>IF(COUNT(B399:AO399)=0,"",SUM(B399:AO399))</f>
        <v/>
      </c>
      <c r="AQ399">
        <f>IF(AP399="","",IF(AP399&gt;=項目分析!$C$5,"高",IF(AP399&lt;=項目分析!$C$6,"低","")))</f>
        <v/>
      </c>
    </row>
    <row r="400">
      <c r="A400">
        <f>IF(原始資料!A400="","",原始資料!A400)</f>
        <v/>
      </c>
      <c r="B400">
        <f>IF(原始資料!B400="","",IF(反向題設定!$C$5="是",反向題設定!$B$2+1-原始資料!B400,原始資料!B400))</f>
        <v/>
      </c>
      <c r="C400">
        <f>IF(原始資料!C400="","",IF(反向題設定!$C$6="是",反向題設定!$B$2+1-原始資料!C400,原始資料!C400))</f>
        <v/>
      </c>
      <c r="D400">
        <f>IF(原始資料!D400="","",IF(反向題設定!$C$7="是",反向題設定!$B$2+1-原始資料!D400,原始資料!D400))</f>
        <v/>
      </c>
      <c r="E400">
        <f>IF(原始資料!E400="","",IF(反向題設定!$C$8="是",反向題設定!$B$2+1-原始資料!E400,原始資料!E400))</f>
        <v/>
      </c>
      <c r="F400">
        <f>IF(原始資料!F400="","",IF(反向題設定!$C$9="是",反向題設定!$B$2+1-原始資料!F400,原始資料!F400))</f>
        <v/>
      </c>
      <c r="G400">
        <f>IF(原始資料!G400="","",IF(反向題設定!$C$10="是",反向題設定!$B$2+1-原始資料!G400,原始資料!G400))</f>
        <v/>
      </c>
      <c r="H400">
        <f>IF(原始資料!H400="","",IF(反向題設定!$C$11="是",反向題設定!$B$2+1-原始資料!H400,原始資料!H400))</f>
        <v/>
      </c>
      <c r="I400">
        <f>IF(原始資料!I400="","",IF(反向題設定!$C$12="是",反向題設定!$B$2+1-原始資料!I400,原始資料!I400))</f>
        <v/>
      </c>
      <c r="J400">
        <f>IF(原始資料!J400="","",IF(反向題設定!$C$13="是",反向題設定!$B$2+1-原始資料!J400,原始資料!J400))</f>
        <v/>
      </c>
      <c r="K400">
        <f>IF(原始資料!K400="","",IF(反向題設定!$C$14="是",反向題設定!$B$2+1-原始資料!K400,原始資料!K400))</f>
        <v/>
      </c>
      <c r="L400">
        <f>IF(原始資料!L400="","",IF(反向題設定!$C$15="是",反向題設定!$B$2+1-原始資料!L400,原始資料!L400))</f>
        <v/>
      </c>
      <c r="M400">
        <f>IF(原始資料!M400="","",IF(反向題設定!$C$16="是",反向題設定!$B$2+1-原始資料!M400,原始資料!M400))</f>
        <v/>
      </c>
      <c r="N400">
        <f>IF(原始資料!N400="","",IF(反向題設定!$C$17="是",反向題設定!$B$2+1-原始資料!N400,原始資料!N400))</f>
        <v/>
      </c>
      <c r="O400">
        <f>IF(原始資料!O400="","",IF(反向題設定!$C$18="是",反向題設定!$B$2+1-原始資料!O400,原始資料!O400))</f>
        <v/>
      </c>
      <c r="P400">
        <f>IF(原始資料!P400="","",IF(反向題設定!$C$19="是",反向題設定!$B$2+1-原始資料!P400,原始資料!P400))</f>
        <v/>
      </c>
      <c r="Q400">
        <f>IF(原始資料!Q400="","",IF(反向題設定!$C$20="是",反向題設定!$B$2+1-原始資料!Q400,原始資料!Q400))</f>
        <v/>
      </c>
      <c r="R400">
        <f>IF(原始資料!R400="","",IF(反向題設定!$C$21="是",反向題設定!$B$2+1-原始資料!R400,原始資料!R400))</f>
        <v/>
      </c>
      <c r="S400">
        <f>IF(原始資料!S400="","",IF(反向題設定!$C$22="是",反向題設定!$B$2+1-原始資料!S400,原始資料!S400))</f>
        <v/>
      </c>
      <c r="T400">
        <f>IF(原始資料!T400="","",IF(反向題設定!$C$23="是",反向題設定!$B$2+1-原始資料!T400,原始資料!T400))</f>
        <v/>
      </c>
      <c r="U400">
        <f>IF(原始資料!U400="","",IF(反向題設定!$C$24="是",反向題設定!$B$2+1-原始資料!U400,原始資料!U400))</f>
        <v/>
      </c>
      <c r="V400">
        <f>IF(原始資料!V400="","",IF(反向題設定!$C$25="是",反向題設定!$B$2+1-原始資料!V400,原始資料!V400))</f>
        <v/>
      </c>
      <c r="W400">
        <f>IF(原始資料!W400="","",IF(反向題設定!$C$26="是",反向題設定!$B$2+1-原始資料!W400,原始資料!W400))</f>
        <v/>
      </c>
      <c r="X400">
        <f>IF(原始資料!X400="","",IF(反向題設定!$C$27="是",反向題設定!$B$2+1-原始資料!X400,原始資料!X400))</f>
        <v/>
      </c>
      <c r="Y400">
        <f>IF(原始資料!Y400="","",IF(反向題設定!$C$28="是",反向題設定!$B$2+1-原始資料!Y400,原始資料!Y400))</f>
        <v/>
      </c>
      <c r="Z400">
        <f>IF(原始資料!Z400="","",IF(反向題設定!$C$29="是",反向題設定!$B$2+1-原始資料!Z400,原始資料!Z400))</f>
        <v/>
      </c>
      <c r="AA400">
        <f>IF(原始資料!AA400="","",IF(反向題設定!$C$30="是",反向題設定!$B$2+1-原始資料!AA400,原始資料!AA400))</f>
        <v/>
      </c>
      <c r="AB400">
        <f>IF(原始資料!AB400="","",IF(反向題設定!$C$31="是",反向題設定!$B$2+1-原始資料!AB400,原始資料!AB400))</f>
        <v/>
      </c>
      <c r="AC400">
        <f>IF(原始資料!AC400="","",IF(反向題設定!$C$32="是",反向題設定!$B$2+1-原始資料!AC400,原始資料!AC400))</f>
        <v/>
      </c>
      <c r="AD400">
        <f>IF(原始資料!AD400="","",IF(反向題設定!$C$33="是",反向題設定!$B$2+1-原始資料!AD400,原始資料!AD400))</f>
        <v/>
      </c>
      <c r="AE400">
        <f>IF(原始資料!AE400="","",IF(反向題設定!$C$34="是",反向題設定!$B$2+1-原始資料!AE400,原始資料!AE400))</f>
        <v/>
      </c>
      <c r="AF400">
        <f>IF(原始資料!AF400="","",IF(反向題設定!$C$35="是",反向題設定!$B$2+1-原始資料!AF400,原始資料!AF400))</f>
        <v/>
      </c>
      <c r="AG400">
        <f>IF(原始資料!AG400="","",IF(反向題設定!$C$36="是",反向題設定!$B$2+1-原始資料!AG400,原始資料!AG400))</f>
        <v/>
      </c>
      <c r="AH400">
        <f>IF(原始資料!AH400="","",IF(反向題設定!$C$37="是",反向題設定!$B$2+1-原始資料!AH400,原始資料!AH400))</f>
        <v/>
      </c>
      <c r="AI400">
        <f>IF(原始資料!AI400="","",IF(反向題設定!$C$38="是",反向題設定!$B$2+1-原始資料!AI400,原始資料!AI400))</f>
        <v/>
      </c>
      <c r="AJ400">
        <f>IF(原始資料!AJ400="","",IF(反向題設定!$C$39="是",反向題設定!$B$2+1-原始資料!AJ400,原始資料!AJ400))</f>
        <v/>
      </c>
      <c r="AK400">
        <f>IF(原始資料!AK400="","",IF(反向題設定!$C$40="是",反向題設定!$B$2+1-原始資料!AK400,原始資料!AK400))</f>
        <v/>
      </c>
      <c r="AL400">
        <f>IF(原始資料!AL400="","",IF(反向題設定!$C$41="是",反向題設定!$B$2+1-原始資料!AL400,原始資料!AL400))</f>
        <v/>
      </c>
      <c r="AM400">
        <f>IF(原始資料!AM400="","",IF(反向題設定!$C$42="是",反向題設定!$B$2+1-原始資料!AM400,原始資料!AM400))</f>
        <v/>
      </c>
      <c r="AN400">
        <f>IF(原始資料!AN400="","",IF(反向題設定!$C$43="是",反向題設定!$B$2+1-原始資料!AN400,原始資料!AN400))</f>
        <v/>
      </c>
      <c r="AO400">
        <f>IF(原始資料!AO400="","",IF(反向題設定!$C$44="是",反向題設定!$B$2+1-原始資料!AO400,原始資料!AO400))</f>
        <v/>
      </c>
      <c r="AP400">
        <f>IF(COUNT(B400:AO400)=0,"",SUM(B400:AO400))</f>
        <v/>
      </c>
      <c r="AQ400">
        <f>IF(AP400="","",IF(AP400&gt;=項目分析!$C$5,"高",IF(AP400&lt;=項目分析!$C$6,"低","")))</f>
        <v/>
      </c>
    </row>
    <row r="401">
      <c r="A401">
        <f>IF(原始資料!A401="","",原始資料!A401)</f>
        <v/>
      </c>
      <c r="B401">
        <f>IF(原始資料!B401="","",IF(反向題設定!$C$5="是",反向題設定!$B$2+1-原始資料!B401,原始資料!B401))</f>
        <v/>
      </c>
      <c r="C401">
        <f>IF(原始資料!C401="","",IF(反向題設定!$C$6="是",反向題設定!$B$2+1-原始資料!C401,原始資料!C401))</f>
        <v/>
      </c>
      <c r="D401">
        <f>IF(原始資料!D401="","",IF(反向題設定!$C$7="是",反向題設定!$B$2+1-原始資料!D401,原始資料!D401))</f>
        <v/>
      </c>
      <c r="E401">
        <f>IF(原始資料!E401="","",IF(反向題設定!$C$8="是",反向題設定!$B$2+1-原始資料!E401,原始資料!E401))</f>
        <v/>
      </c>
      <c r="F401">
        <f>IF(原始資料!F401="","",IF(反向題設定!$C$9="是",反向題設定!$B$2+1-原始資料!F401,原始資料!F401))</f>
        <v/>
      </c>
      <c r="G401">
        <f>IF(原始資料!G401="","",IF(反向題設定!$C$10="是",反向題設定!$B$2+1-原始資料!G401,原始資料!G401))</f>
        <v/>
      </c>
      <c r="H401">
        <f>IF(原始資料!H401="","",IF(反向題設定!$C$11="是",反向題設定!$B$2+1-原始資料!H401,原始資料!H401))</f>
        <v/>
      </c>
      <c r="I401">
        <f>IF(原始資料!I401="","",IF(反向題設定!$C$12="是",反向題設定!$B$2+1-原始資料!I401,原始資料!I401))</f>
        <v/>
      </c>
      <c r="J401">
        <f>IF(原始資料!J401="","",IF(反向題設定!$C$13="是",反向題設定!$B$2+1-原始資料!J401,原始資料!J401))</f>
        <v/>
      </c>
      <c r="K401">
        <f>IF(原始資料!K401="","",IF(反向題設定!$C$14="是",反向題設定!$B$2+1-原始資料!K401,原始資料!K401))</f>
        <v/>
      </c>
      <c r="L401">
        <f>IF(原始資料!L401="","",IF(反向題設定!$C$15="是",反向題設定!$B$2+1-原始資料!L401,原始資料!L401))</f>
        <v/>
      </c>
      <c r="M401">
        <f>IF(原始資料!M401="","",IF(反向題設定!$C$16="是",反向題設定!$B$2+1-原始資料!M401,原始資料!M401))</f>
        <v/>
      </c>
      <c r="N401">
        <f>IF(原始資料!N401="","",IF(反向題設定!$C$17="是",反向題設定!$B$2+1-原始資料!N401,原始資料!N401))</f>
        <v/>
      </c>
      <c r="O401">
        <f>IF(原始資料!O401="","",IF(反向題設定!$C$18="是",反向題設定!$B$2+1-原始資料!O401,原始資料!O401))</f>
        <v/>
      </c>
      <c r="P401">
        <f>IF(原始資料!P401="","",IF(反向題設定!$C$19="是",反向題設定!$B$2+1-原始資料!P401,原始資料!P401))</f>
        <v/>
      </c>
      <c r="Q401">
        <f>IF(原始資料!Q401="","",IF(反向題設定!$C$20="是",反向題設定!$B$2+1-原始資料!Q401,原始資料!Q401))</f>
        <v/>
      </c>
      <c r="R401">
        <f>IF(原始資料!R401="","",IF(反向題設定!$C$21="是",反向題設定!$B$2+1-原始資料!R401,原始資料!R401))</f>
        <v/>
      </c>
      <c r="S401">
        <f>IF(原始資料!S401="","",IF(反向題設定!$C$22="是",反向題設定!$B$2+1-原始資料!S401,原始資料!S401))</f>
        <v/>
      </c>
      <c r="T401">
        <f>IF(原始資料!T401="","",IF(反向題設定!$C$23="是",反向題設定!$B$2+1-原始資料!T401,原始資料!T401))</f>
        <v/>
      </c>
      <c r="U401">
        <f>IF(原始資料!U401="","",IF(反向題設定!$C$24="是",反向題設定!$B$2+1-原始資料!U401,原始資料!U401))</f>
        <v/>
      </c>
      <c r="V401">
        <f>IF(原始資料!V401="","",IF(反向題設定!$C$25="是",反向題設定!$B$2+1-原始資料!V401,原始資料!V401))</f>
        <v/>
      </c>
      <c r="W401">
        <f>IF(原始資料!W401="","",IF(反向題設定!$C$26="是",反向題設定!$B$2+1-原始資料!W401,原始資料!W401))</f>
        <v/>
      </c>
      <c r="X401">
        <f>IF(原始資料!X401="","",IF(反向題設定!$C$27="是",反向題設定!$B$2+1-原始資料!X401,原始資料!X401))</f>
        <v/>
      </c>
      <c r="Y401">
        <f>IF(原始資料!Y401="","",IF(反向題設定!$C$28="是",反向題設定!$B$2+1-原始資料!Y401,原始資料!Y401))</f>
        <v/>
      </c>
      <c r="Z401">
        <f>IF(原始資料!Z401="","",IF(反向題設定!$C$29="是",反向題設定!$B$2+1-原始資料!Z401,原始資料!Z401))</f>
        <v/>
      </c>
      <c r="AA401">
        <f>IF(原始資料!AA401="","",IF(反向題設定!$C$30="是",反向題設定!$B$2+1-原始資料!AA401,原始資料!AA401))</f>
        <v/>
      </c>
      <c r="AB401">
        <f>IF(原始資料!AB401="","",IF(反向題設定!$C$31="是",反向題設定!$B$2+1-原始資料!AB401,原始資料!AB401))</f>
        <v/>
      </c>
      <c r="AC401">
        <f>IF(原始資料!AC401="","",IF(反向題設定!$C$32="是",反向題設定!$B$2+1-原始資料!AC401,原始資料!AC401))</f>
        <v/>
      </c>
      <c r="AD401">
        <f>IF(原始資料!AD401="","",IF(反向題設定!$C$33="是",反向題設定!$B$2+1-原始資料!AD401,原始資料!AD401))</f>
        <v/>
      </c>
      <c r="AE401">
        <f>IF(原始資料!AE401="","",IF(反向題設定!$C$34="是",反向題設定!$B$2+1-原始資料!AE401,原始資料!AE401))</f>
        <v/>
      </c>
      <c r="AF401">
        <f>IF(原始資料!AF401="","",IF(反向題設定!$C$35="是",反向題設定!$B$2+1-原始資料!AF401,原始資料!AF401))</f>
        <v/>
      </c>
      <c r="AG401">
        <f>IF(原始資料!AG401="","",IF(反向題設定!$C$36="是",反向題設定!$B$2+1-原始資料!AG401,原始資料!AG401))</f>
        <v/>
      </c>
      <c r="AH401">
        <f>IF(原始資料!AH401="","",IF(反向題設定!$C$37="是",反向題設定!$B$2+1-原始資料!AH401,原始資料!AH401))</f>
        <v/>
      </c>
      <c r="AI401">
        <f>IF(原始資料!AI401="","",IF(反向題設定!$C$38="是",反向題設定!$B$2+1-原始資料!AI401,原始資料!AI401))</f>
        <v/>
      </c>
      <c r="AJ401">
        <f>IF(原始資料!AJ401="","",IF(反向題設定!$C$39="是",反向題設定!$B$2+1-原始資料!AJ401,原始資料!AJ401))</f>
        <v/>
      </c>
      <c r="AK401">
        <f>IF(原始資料!AK401="","",IF(反向題設定!$C$40="是",反向題設定!$B$2+1-原始資料!AK401,原始資料!AK401))</f>
        <v/>
      </c>
      <c r="AL401">
        <f>IF(原始資料!AL401="","",IF(反向題設定!$C$41="是",反向題設定!$B$2+1-原始資料!AL401,原始資料!AL401))</f>
        <v/>
      </c>
      <c r="AM401">
        <f>IF(原始資料!AM401="","",IF(反向題設定!$C$42="是",反向題設定!$B$2+1-原始資料!AM401,原始資料!AM401))</f>
        <v/>
      </c>
      <c r="AN401">
        <f>IF(原始資料!AN401="","",IF(反向題設定!$C$43="是",反向題設定!$B$2+1-原始資料!AN401,原始資料!AN401))</f>
        <v/>
      </c>
      <c r="AO401">
        <f>IF(原始資料!AO401="","",IF(反向題設定!$C$44="是",反向題設定!$B$2+1-原始資料!AO401,原始資料!AO401))</f>
        <v/>
      </c>
      <c r="AP401">
        <f>IF(COUNT(B401:AO401)=0,"",SUM(B401:AO401))</f>
        <v/>
      </c>
      <c r="AQ401">
        <f>IF(AP401="","",IF(AP401&gt;=項目分析!$C$5,"高",IF(AP401&lt;=項目分析!$C$6,"低","")))</f>
        <v/>
      </c>
    </row>
    <row r="402">
      <c r="A402">
        <f>IF(原始資料!A402="","",原始資料!A402)</f>
        <v/>
      </c>
      <c r="B402">
        <f>IF(原始資料!B402="","",IF(反向題設定!$C$5="是",反向題設定!$B$2+1-原始資料!B402,原始資料!B402))</f>
        <v/>
      </c>
      <c r="C402">
        <f>IF(原始資料!C402="","",IF(反向題設定!$C$6="是",反向題設定!$B$2+1-原始資料!C402,原始資料!C402))</f>
        <v/>
      </c>
      <c r="D402">
        <f>IF(原始資料!D402="","",IF(反向題設定!$C$7="是",反向題設定!$B$2+1-原始資料!D402,原始資料!D402))</f>
        <v/>
      </c>
      <c r="E402">
        <f>IF(原始資料!E402="","",IF(反向題設定!$C$8="是",反向題設定!$B$2+1-原始資料!E402,原始資料!E402))</f>
        <v/>
      </c>
      <c r="F402">
        <f>IF(原始資料!F402="","",IF(反向題設定!$C$9="是",反向題設定!$B$2+1-原始資料!F402,原始資料!F402))</f>
        <v/>
      </c>
      <c r="G402">
        <f>IF(原始資料!G402="","",IF(反向題設定!$C$10="是",反向題設定!$B$2+1-原始資料!G402,原始資料!G402))</f>
        <v/>
      </c>
      <c r="H402">
        <f>IF(原始資料!H402="","",IF(反向題設定!$C$11="是",反向題設定!$B$2+1-原始資料!H402,原始資料!H402))</f>
        <v/>
      </c>
      <c r="I402">
        <f>IF(原始資料!I402="","",IF(反向題設定!$C$12="是",反向題設定!$B$2+1-原始資料!I402,原始資料!I402))</f>
        <v/>
      </c>
      <c r="J402">
        <f>IF(原始資料!J402="","",IF(反向題設定!$C$13="是",反向題設定!$B$2+1-原始資料!J402,原始資料!J402))</f>
        <v/>
      </c>
      <c r="K402">
        <f>IF(原始資料!K402="","",IF(反向題設定!$C$14="是",反向題設定!$B$2+1-原始資料!K402,原始資料!K402))</f>
        <v/>
      </c>
      <c r="L402">
        <f>IF(原始資料!L402="","",IF(反向題設定!$C$15="是",反向題設定!$B$2+1-原始資料!L402,原始資料!L402))</f>
        <v/>
      </c>
      <c r="M402">
        <f>IF(原始資料!M402="","",IF(反向題設定!$C$16="是",反向題設定!$B$2+1-原始資料!M402,原始資料!M402))</f>
        <v/>
      </c>
      <c r="N402">
        <f>IF(原始資料!N402="","",IF(反向題設定!$C$17="是",反向題設定!$B$2+1-原始資料!N402,原始資料!N402))</f>
        <v/>
      </c>
      <c r="O402">
        <f>IF(原始資料!O402="","",IF(反向題設定!$C$18="是",反向題設定!$B$2+1-原始資料!O402,原始資料!O402))</f>
        <v/>
      </c>
      <c r="P402">
        <f>IF(原始資料!P402="","",IF(反向題設定!$C$19="是",反向題設定!$B$2+1-原始資料!P402,原始資料!P402))</f>
        <v/>
      </c>
      <c r="Q402">
        <f>IF(原始資料!Q402="","",IF(反向題設定!$C$20="是",反向題設定!$B$2+1-原始資料!Q402,原始資料!Q402))</f>
        <v/>
      </c>
      <c r="R402">
        <f>IF(原始資料!R402="","",IF(反向題設定!$C$21="是",反向題設定!$B$2+1-原始資料!R402,原始資料!R402))</f>
        <v/>
      </c>
      <c r="S402">
        <f>IF(原始資料!S402="","",IF(反向題設定!$C$22="是",反向題設定!$B$2+1-原始資料!S402,原始資料!S402))</f>
        <v/>
      </c>
      <c r="T402">
        <f>IF(原始資料!T402="","",IF(反向題設定!$C$23="是",反向題設定!$B$2+1-原始資料!T402,原始資料!T402))</f>
        <v/>
      </c>
      <c r="U402">
        <f>IF(原始資料!U402="","",IF(反向題設定!$C$24="是",反向題設定!$B$2+1-原始資料!U402,原始資料!U402))</f>
        <v/>
      </c>
      <c r="V402">
        <f>IF(原始資料!V402="","",IF(反向題設定!$C$25="是",反向題設定!$B$2+1-原始資料!V402,原始資料!V402))</f>
        <v/>
      </c>
      <c r="W402">
        <f>IF(原始資料!W402="","",IF(反向題設定!$C$26="是",反向題設定!$B$2+1-原始資料!W402,原始資料!W402))</f>
        <v/>
      </c>
      <c r="X402">
        <f>IF(原始資料!X402="","",IF(反向題設定!$C$27="是",反向題設定!$B$2+1-原始資料!X402,原始資料!X402))</f>
        <v/>
      </c>
      <c r="Y402">
        <f>IF(原始資料!Y402="","",IF(反向題設定!$C$28="是",反向題設定!$B$2+1-原始資料!Y402,原始資料!Y402))</f>
        <v/>
      </c>
      <c r="Z402">
        <f>IF(原始資料!Z402="","",IF(反向題設定!$C$29="是",反向題設定!$B$2+1-原始資料!Z402,原始資料!Z402))</f>
        <v/>
      </c>
      <c r="AA402">
        <f>IF(原始資料!AA402="","",IF(反向題設定!$C$30="是",反向題設定!$B$2+1-原始資料!AA402,原始資料!AA402))</f>
        <v/>
      </c>
      <c r="AB402">
        <f>IF(原始資料!AB402="","",IF(反向題設定!$C$31="是",反向題設定!$B$2+1-原始資料!AB402,原始資料!AB402))</f>
        <v/>
      </c>
      <c r="AC402">
        <f>IF(原始資料!AC402="","",IF(反向題設定!$C$32="是",反向題設定!$B$2+1-原始資料!AC402,原始資料!AC402))</f>
        <v/>
      </c>
      <c r="AD402">
        <f>IF(原始資料!AD402="","",IF(反向題設定!$C$33="是",反向題設定!$B$2+1-原始資料!AD402,原始資料!AD402))</f>
        <v/>
      </c>
      <c r="AE402">
        <f>IF(原始資料!AE402="","",IF(反向題設定!$C$34="是",反向題設定!$B$2+1-原始資料!AE402,原始資料!AE402))</f>
        <v/>
      </c>
      <c r="AF402">
        <f>IF(原始資料!AF402="","",IF(反向題設定!$C$35="是",反向題設定!$B$2+1-原始資料!AF402,原始資料!AF402))</f>
        <v/>
      </c>
      <c r="AG402">
        <f>IF(原始資料!AG402="","",IF(反向題設定!$C$36="是",反向題設定!$B$2+1-原始資料!AG402,原始資料!AG402))</f>
        <v/>
      </c>
      <c r="AH402">
        <f>IF(原始資料!AH402="","",IF(反向題設定!$C$37="是",反向題設定!$B$2+1-原始資料!AH402,原始資料!AH402))</f>
        <v/>
      </c>
      <c r="AI402">
        <f>IF(原始資料!AI402="","",IF(反向題設定!$C$38="是",反向題設定!$B$2+1-原始資料!AI402,原始資料!AI402))</f>
        <v/>
      </c>
      <c r="AJ402">
        <f>IF(原始資料!AJ402="","",IF(反向題設定!$C$39="是",反向題設定!$B$2+1-原始資料!AJ402,原始資料!AJ402))</f>
        <v/>
      </c>
      <c r="AK402">
        <f>IF(原始資料!AK402="","",IF(反向題設定!$C$40="是",反向題設定!$B$2+1-原始資料!AK402,原始資料!AK402))</f>
        <v/>
      </c>
      <c r="AL402">
        <f>IF(原始資料!AL402="","",IF(反向題設定!$C$41="是",反向題設定!$B$2+1-原始資料!AL402,原始資料!AL402))</f>
        <v/>
      </c>
      <c r="AM402">
        <f>IF(原始資料!AM402="","",IF(反向題設定!$C$42="是",反向題設定!$B$2+1-原始資料!AM402,原始資料!AM402))</f>
        <v/>
      </c>
      <c r="AN402">
        <f>IF(原始資料!AN402="","",IF(反向題設定!$C$43="是",反向題設定!$B$2+1-原始資料!AN402,原始資料!AN402))</f>
        <v/>
      </c>
      <c r="AO402">
        <f>IF(原始資料!AO402="","",IF(反向題設定!$C$44="是",反向題設定!$B$2+1-原始資料!AO402,原始資料!AO402))</f>
        <v/>
      </c>
      <c r="AP402">
        <f>IF(COUNT(B402:AO402)=0,"",SUM(B402:AO402))</f>
        <v/>
      </c>
      <c r="AQ402">
        <f>IF(AP402="","",IF(AP402&gt;=項目分析!$C$5,"高",IF(AP402&lt;=項目分析!$C$6,"低","")))</f>
        <v/>
      </c>
    </row>
    <row r="403">
      <c r="A403">
        <f>IF(原始資料!A403="","",原始資料!A403)</f>
        <v/>
      </c>
      <c r="B403">
        <f>IF(原始資料!B403="","",IF(反向題設定!$C$5="是",反向題設定!$B$2+1-原始資料!B403,原始資料!B403))</f>
        <v/>
      </c>
      <c r="C403">
        <f>IF(原始資料!C403="","",IF(反向題設定!$C$6="是",反向題設定!$B$2+1-原始資料!C403,原始資料!C403))</f>
        <v/>
      </c>
      <c r="D403">
        <f>IF(原始資料!D403="","",IF(反向題設定!$C$7="是",反向題設定!$B$2+1-原始資料!D403,原始資料!D403))</f>
        <v/>
      </c>
      <c r="E403">
        <f>IF(原始資料!E403="","",IF(反向題設定!$C$8="是",反向題設定!$B$2+1-原始資料!E403,原始資料!E403))</f>
        <v/>
      </c>
      <c r="F403">
        <f>IF(原始資料!F403="","",IF(反向題設定!$C$9="是",反向題設定!$B$2+1-原始資料!F403,原始資料!F403))</f>
        <v/>
      </c>
      <c r="G403">
        <f>IF(原始資料!G403="","",IF(反向題設定!$C$10="是",反向題設定!$B$2+1-原始資料!G403,原始資料!G403))</f>
        <v/>
      </c>
      <c r="H403">
        <f>IF(原始資料!H403="","",IF(反向題設定!$C$11="是",反向題設定!$B$2+1-原始資料!H403,原始資料!H403))</f>
        <v/>
      </c>
      <c r="I403">
        <f>IF(原始資料!I403="","",IF(反向題設定!$C$12="是",反向題設定!$B$2+1-原始資料!I403,原始資料!I403))</f>
        <v/>
      </c>
      <c r="J403">
        <f>IF(原始資料!J403="","",IF(反向題設定!$C$13="是",反向題設定!$B$2+1-原始資料!J403,原始資料!J403))</f>
        <v/>
      </c>
      <c r="K403">
        <f>IF(原始資料!K403="","",IF(反向題設定!$C$14="是",反向題設定!$B$2+1-原始資料!K403,原始資料!K403))</f>
        <v/>
      </c>
      <c r="L403">
        <f>IF(原始資料!L403="","",IF(反向題設定!$C$15="是",反向題設定!$B$2+1-原始資料!L403,原始資料!L403))</f>
        <v/>
      </c>
      <c r="M403">
        <f>IF(原始資料!M403="","",IF(反向題設定!$C$16="是",反向題設定!$B$2+1-原始資料!M403,原始資料!M403))</f>
        <v/>
      </c>
      <c r="N403">
        <f>IF(原始資料!N403="","",IF(反向題設定!$C$17="是",反向題設定!$B$2+1-原始資料!N403,原始資料!N403))</f>
        <v/>
      </c>
      <c r="O403">
        <f>IF(原始資料!O403="","",IF(反向題設定!$C$18="是",反向題設定!$B$2+1-原始資料!O403,原始資料!O403))</f>
        <v/>
      </c>
      <c r="P403">
        <f>IF(原始資料!P403="","",IF(反向題設定!$C$19="是",反向題設定!$B$2+1-原始資料!P403,原始資料!P403))</f>
        <v/>
      </c>
      <c r="Q403">
        <f>IF(原始資料!Q403="","",IF(反向題設定!$C$20="是",反向題設定!$B$2+1-原始資料!Q403,原始資料!Q403))</f>
        <v/>
      </c>
      <c r="R403">
        <f>IF(原始資料!R403="","",IF(反向題設定!$C$21="是",反向題設定!$B$2+1-原始資料!R403,原始資料!R403))</f>
        <v/>
      </c>
      <c r="S403">
        <f>IF(原始資料!S403="","",IF(反向題設定!$C$22="是",反向題設定!$B$2+1-原始資料!S403,原始資料!S403))</f>
        <v/>
      </c>
      <c r="T403">
        <f>IF(原始資料!T403="","",IF(反向題設定!$C$23="是",反向題設定!$B$2+1-原始資料!T403,原始資料!T403))</f>
        <v/>
      </c>
      <c r="U403">
        <f>IF(原始資料!U403="","",IF(反向題設定!$C$24="是",反向題設定!$B$2+1-原始資料!U403,原始資料!U403))</f>
        <v/>
      </c>
      <c r="V403">
        <f>IF(原始資料!V403="","",IF(反向題設定!$C$25="是",反向題設定!$B$2+1-原始資料!V403,原始資料!V403))</f>
        <v/>
      </c>
      <c r="W403">
        <f>IF(原始資料!W403="","",IF(反向題設定!$C$26="是",反向題設定!$B$2+1-原始資料!W403,原始資料!W403))</f>
        <v/>
      </c>
      <c r="X403">
        <f>IF(原始資料!X403="","",IF(反向題設定!$C$27="是",反向題設定!$B$2+1-原始資料!X403,原始資料!X403))</f>
        <v/>
      </c>
      <c r="Y403">
        <f>IF(原始資料!Y403="","",IF(反向題設定!$C$28="是",反向題設定!$B$2+1-原始資料!Y403,原始資料!Y403))</f>
        <v/>
      </c>
      <c r="Z403">
        <f>IF(原始資料!Z403="","",IF(反向題設定!$C$29="是",反向題設定!$B$2+1-原始資料!Z403,原始資料!Z403))</f>
        <v/>
      </c>
      <c r="AA403">
        <f>IF(原始資料!AA403="","",IF(反向題設定!$C$30="是",反向題設定!$B$2+1-原始資料!AA403,原始資料!AA403))</f>
        <v/>
      </c>
      <c r="AB403">
        <f>IF(原始資料!AB403="","",IF(反向題設定!$C$31="是",反向題設定!$B$2+1-原始資料!AB403,原始資料!AB403))</f>
        <v/>
      </c>
      <c r="AC403">
        <f>IF(原始資料!AC403="","",IF(反向題設定!$C$32="是",反向題設定!$B$2+1-原始資料!AC403,原始資料!AC403))</f>
        <v/>
      </c>
      <c r="AD403">
        <f>IF(原始資料!AD403="","",IF(反向題設定!$C$33="是",反向題設定!$B$2+1-原始資料!AD403,原始資料!AD403))</f>
        <v/>
      </c>
      <c r="AE403">
        <f>IF(原始資料!AE403="","",IF(反向題設定!$C$34="是",反向題設定!$B$2+1-原始資料!AE403,原始資料!AE403))</f>
        <v/>
      </c>
      <c r="AF403">
        <f>IF(原始資料!AF403="","",IF(反向題設定!$C$35="是",反向題設定!$B$2+1-原始資料!AF403,原始資料!AF403))</f>
        <v/>
      </c>
      <c r="AG403">
        <f>IF(原始資料!AG403="","",IF(反向題設定!$C$36="是",反向題設定!$B$2+1-原始資料!AG403,原始資料!AG403))</f>
        <v/>
      </c>
      <c r="AH403">
        <f>IF(原始資料!AH403="","",IF(反向題設定!$C$37="是",反向題設定!$B$2+1-原始資料!AH403,原始資料!AH403))</f>
        <v/>
      </c>
      <c r="AI403">
        <f>IF(原始資料!AI403="","",IF(反向題設定!$C$38="是",反向題設定!$B$2+1-原始資料!AI403,原始資料!AI403))</f>
        <v/>
      </c>
      <c r="AJ403">
        <f>IF(原始資料!AJ403="","",IF(反向題設定!$C$39="是",反向題設定!$B$2+1-原始資料!AJ403,原始資料!AJ403))</f>
        <v/>
      </c>
      <c r="AK403">
        <f>IF(原始資料!AK403="","",IF(反向題設定!$C$40="是",反向題設定!$B$2+1-原始資料!AK403,原始資料!AK403))</f>
        <v/>
      </c>
      <c r="AL403">
        <f>IF(原始資料!AL403="","",IF(反向題設定!$C$41="是",反向題設定!$B$2+1-原始資料!AL403,原始資料!AL403))</f>
        <v/>
      </c>
      <c r="AM403">
        <f>IF(原始資料!AM403="","",IF(反向題設定!$C$42="是",反向題設定!$B$2+1-原始資料!AM403,原始資料!AM403))</f>
        <v/>
      </c>
      <c r="AN403">
        <f>IF(原始資料!AN403="","",IF(反向題設定!$C$43="是",反向題設定!$B$2+1-原始資料!AN403,原始資料!AN403))</f>
        <v/>
      </c>
      <c r="AO403">
        <f>IF(原始資料!AO403="","",IF(反向題設定!$C$44="是",反向題設定!$B$2+1-原始資料!AO403,原始資料!AO403))</f>
        <v/>
      </c>
      <c r="AP403">
        <f>IF(COUNT(B403:AO403)=0,"",SUM(B403:AO403))</f>
        <v/>
      </c>
      <c r="AQ403">
        <f>IF(AP403="","",IF(AP403&gt;=項目分析!$C$5,"高",IF(AP403&lt;=項目分析!$C$6,"低","")))</f>
        <v/>
      </c>
    </row>
    <row r="404">
      <c r="A404">
        <f>IF(原始資料!A404="","",原始資料!A404)</f>
        <v/>
      </c>
      <c r="B404">
        <f>IF(原始資料!B404="","",IF(反向題設定!$C$5="是",反向題設定!$B$2+1-原始資料!B404,原始資料!B404))</f>
        <v/>
      </c>
      <c r="C404">
        <f>IF(原始資料!C404="","",IF(反向題設定!$C$6="是",反向題設定!$B$2+1-原始資料!C404,原始資料!C404))</f>
        <v/>
      </c>
      <c r="D404">
        <f>IF(原始資料!D404="","",IF(反向題設定!$C$7="是",反向題設定!$B$2+1-原始資料!D404,原始資料!D404))</f>
        <v/>
      </c>
      <c r="E404">
        <f>IF(原始資料!E404="","",IF(反向題設定!$C$8="是",反向題設定!$B$2+1-原始資料!E404,原始資料!E404))</f>
        <v/>
      </c>
      <c r="F404">
        <f>IF(原始資料!F404="","",IF(反向題設定!$C$9="是",反向題設定!$B$2+1-原始資料!F404,原始資料!F404))</f>
        <v/>
      </c>
      <c r="G404">
        <f>IF(原始資料!G404="","",IF(反向題設定!$C$10="是",反向題設定!$B$2+1-原始資料!G404,原始資料!G404))</f>
        <v/>
      </c>
      <c r="H404">
        <f>IF(原始資料!H404="","",IF(反向題設定!$C$11="是",反向題設定!$B$2+1-原始資料!H404,原始資料!H404))</f>
        <v/>
      </c>
      <c r="I404">
        <f>IF(原始資料!I404="","",IF(反向題設定!$C$12="是",反向題設定!$B$2+1-原始資料!I404,原始資料!I404))</f>
        <v/>
      </c>
      <c r="J404">
        <f>IF(原始資料!J404="","",IF(反向題設定!$C$13="是",反向題設定!$B$2+1-原始資料!J404,原始資料!J404))</f>
        <v/>
      </c>
      <c r="K404">
        <f>IF(原始資料!K404="","",IF(反向題設定!$C$14="是",反向題設定!$B$2+1-原始資料!K404,原始資料!K404))</f>
        <v/>
      </c>
      <c r="L404">
        <f>IF(原始資料!L404="","",IF(反向題設定!$C$15="是",反向題設定!$B$2+1-原始資料!L404,原始資料!L404))</f>
        <v/>
      </c>
      <c r="M404">
        <f>IF(原始資料!M404="","",IF(反向題設定!$C$16="是",反向題設定!$B$2+1-原始資料!M404,原始資料!M404))</f>
        <v/>
      </c>
      <c r="N404">
        <f>IF(原始資料!N404="","",IF(反向題設定!$C$17="是",反向題設定!$B$2+1-原始資料!N404,原始資料!N404))</f>
        <v/>
      </c>
      <c r="O404">
        <f>IF(原始資料!O404="","",IF(反向題設定!$C$18="是",反向題設定!$B$2+1-原始資料!O404,原始資料!O404))</f>
        <v/>
      </c>
      <c r="P404">
        <f>IF(原始資料!P404="","",IF(反向題設定!$C$19="是",反向題設定!$B$2+1-原始資料!P404,原始資料!P404))</f>
        <v/>
      </c>
      <c r="Q404">
        <f>IF(原始資料!Q404="","",IF(反向題設定!$C$20="是",反向題設定!$B$2+1-原始資料!Q404,原始資料!Q404))</f>
        <v/>
      </c>
      <c r="R404">
        <f>IF(原始資料!R404="","",IF(反向題設定!$C$21="是",反向題設定!$B$2+1-原始資料!R404,原始資料!R404))</f>
        <v/>
      </c>
      <c r="S404">
        <f>IF(原始資料!S404="","",IF(反向題設定!$C$22="是",反向題設定!$B$2+1-原始資料!S404,原始資料!S404))</f>
        <v/>
      </c>
      <c r="T404">
        <f>IF(原始資料!T404="","",IF(反向題設定!$C$23="是",反向題設定!$B$2+1-原始資料!T404,原始資料!T404))</f>
        <v/>
      </c>
      <c r="U404">
        <f>IF(原始資料!U404="","",IF(反向題設定!$C$24="是",反向題設定!$B$2+1-原始資料!U404,原始資料!U404))</f>
        <v/>
      </c>
      <c r="V404">
        <f>IF(原始資料!V404="","",IF(反向題設定!$C$25="是",反向題設定!$B$2+1-原始資料!V404,原始資料!V404))</f>
        <v/>
      </c>
      <c r="W404">
        <f>IF(原始資料!W404="","",IF(反向題設定!$C$26="是",反向題設定!$B$2+1-原始資料!W404,原始資料!W404))</f>
        <v/>
      </c>
      <c r="X404">
        <f>IF(原始資料!X404="","",IF(反向題設定!$C$27="是",反向題設定!$B$2+1-原始資料!X404,原始資料!X404))</f>
        <v/>
      </c>
      <c r="Y404">
        <f>IF(原始資料!Y404="","",IF(反向題設定!$C$28="是",反向題設定!$B$2+1-原始資料!Y404,原始資料!Y404))</f>
        <v/>
      </c>
      <c r="Z404">
        <f>IF(原始資料!Z404="","",IF(反向題設定!$C$29="是",反向題設定!$B$2+1-原始資料!Z404,原始資料!Z404))</f>
        <v/>
      </c>
      <c r="AA404">
        <f>IF(原始資料!AA404="","",IF(反向題設定!$C$30="是",反向題設定!$B$2+1-原始資料!AA404,原始資料!AA404))</f>
        <v/>
      </c>
      <c r="AB404">
        <f>IF(原始資料!AB404="","",IF(反向題設定!$C$31="是",反向題設定!$B$2+1-原始資料!AB404,原始資料!AB404))</f>
        <v/>
      </c>
      <c r="AC404">
        <f>IF(原始資料!AC404="","",IF(反向題設定!$C$32="是",反向題設定!$B$2+1-原始資料!AC404,原始資料!AC404))</f>
        <v/>
      </c>
      <c r="AD404">
        <f>IF(原始資料!AD404="","",IF(反向題設定!$C$33="是",反向題設定!$B$2+1-原始資料!AD404,原始資料!AD404))</f>
        <v/>
      </c>
      <c r="AE404">
        <f>IF(原始資料!AE404="","",IF(反向題設定!$C$34="是",反向題設定!$B$2+1-原始資料!AE404,原始資料!AE404))</f>
        <v/>
      </c>
      <c r="AF404">
        <f>IF(原始資料!AF404="","",IF(反向題設定!$C$35="是",反向題設定!$B$2+1-原始資料!AF404,原始資料!AF404))</f>
        <v/>
      </c>
      <c r="AG404">
        <f>IF(原始資料!AG404="","",IF(反向題設定!$C$36="是",反向題設定!$B$2+1-原始資料!AG404,原始資料!AG404))</f>
        <v/>
      </c>
      <c r="AH404">
        <f>IF(原始資料!AH404="","",IF(反向題設定!$C$37="是",反向題設定!$B$2+1-原始資料!AH404,原始資料!AH404))</f>
        <v/>
      </c>
      <c r="AI404">
        <f>IF(原始資料!AI404="","",IF(反向題設定!$C$38="是",反向題設定!$B$2+1-原始資料!AI404,原始資料!AI404))</f>
        <v/>
      </c>
      <c r="AJ404">
        <f>IF(原始資料!AJ404="","",IF(反向題設定!$C$39="是",反向題設定!$B$2+1-原始資料!AJ404,原始資料!AJ404))</f>
        <v/>
      </c>
      <c r="AK404">
        <f>IF(原始資料!AK404="","",IF(反向題設定!$C$40="是",反向題設定!$B$2+1-原始資料!AK404,原始資料!AK404))</f>
        <v/>
      </c>
      <c r="AL404">
        <f>IF(原始資料!AL404="","",IF(反向題設定!$C$41="是",反向題設定!$B$2+1-原始資料!AL404,原始資料!AL404))</f>
        <v/>
      </c>
      <c r="AM404">
        <f>IF(原始資料!AM404="","",IF(反向題設定!$C$42="是",反向題設定!$B$2+1-原始資料!AM404,原始資料!AM404))</f>
        <v/>
      </c>
      <c r="AN404">
        <f>IF(原始資料!AN404="","",IF(反向題設定!$C$43="是",反向題設定!$B$2+1-原始資料!AN404,原始資料!AN404))</f>
        <v/>
      </c>
      <c r="AO404">
        <f>IF(原始資料!AO404="","",IF(反向題設定!$C$44="是",反向題設定!$B$2+1-原始資料!AO404,原始資料!AO404))</f>
        <v/>
      </c>
      <c r="AP404">
        <f>IF(COUNT(B404:AO404)=0,"",SUM(B404:AO404))</f>
        <v/>
      </c>
      <c r="AQ404">
        <f>IF(AP404="","",IF(AP404&gt;=項目分析!$C$5,"高",IF(AP404&lt;=項目分析!$C$6,"低","")))</f>
        <v/>
      </c>
    </row>
    <row r="405">
      <c r="A405">
        <f>IF(原始資料!A405="","",原始資料!A405)</f>
        <v/>
      </c>
      <c r="B405">
        <f>IF(原始資料!B405="","",IF(反向題設定!$C$5="是",反向題設定!$B$2+1-原始資料!B405,原始資料!B405))</f>
        <v/>
      </c>
      <c r="C405">
        <f>IF(原始資料!C405="","",IF(反向題設定!$C$6="是",反向題設定!$B$2+1-原始資料!C405,原始資料!C405))</f>
        <v/>
      </c>
      <c r="D405">
        <f>IF(原始資料!D405="","",IF(反向題設定!$C$7="是",反向題設定!$B$2+1-原始資料!D405,原始資料!D405))</f>
        <v/>
      </c>
      <c r="E405">
        <f>IF(原始資料!E405="","",IF(反向題設定!$C$8="是",反向題設定!$B$2+1-原始資料!E405,原始資料!E405))</f>
        <v/>
      </c>
      <c r="F405">
        <f>IF(原始資料!F405="","",IF(反向題設定!$C$9="是",反向題設定!$B$2+1-原始資料!F405,原始資料!F405))</f>
        <v/>
      </c>
      <c r="G405">
        <f>IF(原始資料!G405="","",IF(反向題設定!$C$10="是",反向題設定!$B$2+1-原始資料!G405,原始資料!G405))</f>
        <v/>
      </c>
      <c r="H405">
        <f>IF(原始資料!H405="","",IF(反向題設定!$C$11="是",反向題設定!$B$2+1-原始資料!H405,原始資料!H405))</f>
        <v/>
      </c>
      <c r="I405">
        <f>IF(原始資料!I405="","",IF(反向題設定!$C$12="是",反向題設定!$B$2+1-原始資料!I405,原始資料!I405))</f>
        <v/>
      </c>
      <c r="J405">
        <f>IF(原始資料!J405="","",IF(反向題設定!$C$13="是",反向題設定!$B$2+1-原始資料!J405,原始資料!J405))</f>
        <v/>
      </c>
      <c r="K405">
        <f>IF(原始資料!K405="","",IF(反向題設定!$C$14="是",反向題設定!$B$2+1-原始資料!K405,原始資料!K405))</f>
        <v/>
      </c>
      <c r="L405">
        <f>IF(原始資料!L405="","",IF(反向題設定!$C$15="是",反向題設定!$B$2+1-原始資料!L405,原始資料!L405))</f>
        <v/>
      </c>
      <c r="M405">
        <f>IF(原始資料!M405="","",IF(反向題設定!$C$16="是",反向題設定!$B$2+1-原始資料!M405,原始資料!M405))</f>
        <v/>
      </c>
      <c r="N405">
        <f>IF(原始資料!N405="","",IF(反向題設定!$C$17="是",反向題設定!$B$2+1-原始資料!N405,原始資料!N405))</f>
        <v/>
      </c>
      <c r="O405">
        <f>IF(原始資料!O405="","",IF(反向題設定!$C$18="是",反向題設定!$B$2+1-原始資料!O405,原始資料!O405))</f>
        <v/>
      </c>
      <c r="P405">
        <f>IF(原始資料!P405="","",IF(反向題設定!$C$19="是",反向題設定!$B$2+1-原始資料!P405,原始資料!P405))</f>
        <v/>
      </c>
      <c r="Q405">
        <f>IF(原始資料!Q405="","",IF(反向題設定!$C$20="是",反向題設定!$B$2+1-原始資料!Q405,原始資料!Q405))</f>
        <v/>
      </c>
      <c r="R405">
        <f>IF(原始資料!R405="","",IF(反向題設定!$C$21="是",反向題設定!$B$2+1-原始資料!R405,原始資料!R405))</f>
        <v/>
      </c>
      <c r="S405">
        <f>IF(原始資料!S405="","",IF(反向題設定!$C$22="是",反向題設定!$B$2+1-原始資料!S405,原始資料!S405))</f>
        <v/>
      </c>
      <c r="T405">
        <f>IF(原始資料!T405="","",IF(反向題設定!$C$23="是",反向題設定!$B$2+1-原始資料!T405,原始資料!T405))</f>
        <v/>
      </c>
      <c r="U405">
        <f>IF(原始資料!U405="","",IF(反向題設定!$C$24="是",反向題設定!$B$2+1-原始資料!U405,原始資料!U405))</f>
        <v/>
      </c>
      <c r="V405">
        <f>IF(原始資料!V405="","",IF(反向題設定!$C$25="是",反向題設定!$B$2+1-原始資料!V405,原始資料!V405))</f>
        <v/>
      </c>
      <c r="W405">
        <f>IF(原始資料!W405="","",IF(反向題設定!$C$26="是",反向題設定!$B$2+1-原始資料!W405,原始資料!W405))</f>
        <v/>
      </c>
      <c r="X405">
        <f>IF(原始資料!X405="","",IF(反向題設定!$C$27="是",反向題設定!$B$2+1-原始資料!X405,原始資料!X405))</f>
        <v/>
      </c>
      <c r="Y405">
        <f>IF(原始資料!Y405="","",IF(反向題設定!$C$28="是",反向題設定!$B$2+1-原始資料!Y405,原始資料!Y405))</f>
        <v/>
      </c>
      <c r="Z405">
        <f>IF(原始資料!Z405="","",IF(反向題設定!$C$29="是",反向題設定!$B$2+1-原始資料!Z405,原始資料!Z405))</f>
        <v/>
      </c>
      <c r="AA405">
        <f>IF(原始資料!AA405="","",IF(反向題設定!$C$30="是",反向題設定!$B$2+1-原始資料!AA405,原始資料!AA405))</f>
        <v/>
      </c>
      <c r="AB405">
        <f>IF(原始資料!AB405="","",IF(反向題設定!$C$31="是",反向題設定!$B$2+1-原始資料!AB405,原始資料!AB405))</f>
        <v/>
      </c>
      <c r="AC405">
        <f>IF(原始資料!AC405="","",IF(反向題設定!$C$32="是",反向題設定!$B$2+1-原始資料!AC405,原始資料!AC405))</f>
        <v/>
      </c>
      <c r="AD405">
        <f>IF(原始資料!AD405="","",IF(反向題設定!$C$33="是",反向題設定!$B$2+1-原始資料!AD405,原始資料!AD405))</f>
        <v/>
      </c>
      <c r="AE405">
        <f>IF(原始資料!AE405="","",IF(反向題設定!$C$34="是",反向題設定!$B$2+1-原始資料!AE405,原始資料!AE405))</f>
        <v/>
      </c>
      <c r="AF405">
        <f>IF(原始資料!AF405="","",IF(反向題設定!$C$35="是",反向題設定!$B$2+1-原始資料!AF405,原始資料!AF405))</f>
        <v/>
      </c>
      <c r="AG405">
        <f>IF(原始資料!AG405="","",IF(反向題設定!$C$36="是",反向題設定!$B$2+1-原始資料!AG405,原始資料!AG405))</f>
        <v/>
      </c>
      <c r="AH405">
        <f>IF(原始資料!AH405="","",IF(反向題設定!$C$37="是",反向題設定!$B$2+1-原始資料!AH405,原始資料!AH405))</f>
        <v/>
      </c>
      <c r="AI405">
        <f>IF(原始資料!AI405="","",IF(反向題設定!$C$38="是",反向題設定!$B$2+1-原始資料!AI405,原始資料!AI405))</f>
        <v/>
      </c>
      <c r="AJ405">
        <f>IF(原始資料!AJ405="","",IF(反向題設定!$C$39="是",反向題設定!$B$2+1-原始資料!AJ405,原始資料!AJ405))</f>
        <v/>
      </c>
      <c r="AK405">
        <f>IF(原始資料!AK405="","",IF(反向題設定!$C$40="是",反向題設定!$B$2+1-原始資料!AK405,原始資料!AK405))</f>
        <v/>
      </c>
      <c r="AL405">
        <f>IF(原始資料!AL405="","",IF(反向題設定!$C$41="是",反向題設定!$B$2+1-原始資料!AL405,原始資料!AL405))</f>
        <v/>
      </c>
      <c r="AM405">
        <f>IF(原始資料!AM405="","",IF(反向題設定!$C$42="是",反向題設定!$B$2+1-原始資料!AM405,原始資料!AM405))</f>
        <v/>
      </c>
      <c r="AN405">
        <f>IF(原始資料!AN405="","",IF(反向題設定!$C$43="是",反向題設定!$B$2+1-原始資料!AN405,原始資料!AN405))</f>
        <v/>
      </c>
      <c r="AO405">
        <f>IF(原始資料!AO405="","",IF(反向題設定!$C$44="是",反向題設定!$B$2+1-原始資料!AO405,原始資料!AO405))</f>
        <v/>
      </c>
      <c r="AP405">
        <f>IF(COUNT(B405:AO405)=0,"",SUM(B405:AO405))</f>
        <v/>
      </c>
      <c r="AQ405">
        <f>IF(AP405="","",IF(AP405&gt;=項目分析!$C$5,"高",IF(AP405&lt;=項目分析!$C$6,"低","")))</f>
        <v/>
      </c>
    </row>
    <row r="406">
      <c r="A406">
        <f>IF(原始資料!A406="","",原始資料!A406)</f>
        <v/>
      </c>
      <c r="B406">
        <f>IF(原始資料!B406="","",IF(反向題設定!$C$5="是",反向題設定!$B$2+1-原始資料!B406,原始資料!B406))</f>
        <v/>
      </c>
      <c r="C406">
        <f>IF(原始資料!C406="","",IF(反向題設定!$C$6="是",反向題設定!$B$2+1-原始資料!C406,原始資料!C406))</f>
        <v/>
      </c>
      <c r="D406">
        <f>IF(原始資料!D406="","",IF(反向題設定!$C$7="是",反向題設定!$B$2+1-原始資料!D406,原始資料!D406))</f>
        <v/>
      </c>
      <c r="E406">
        <f>IF(原始資料!E406="","",IF(反向題設定!$C$8="是",反向題設定!$B$2+1-原始資料!E406,原始資料!E406))</f>
        <v/>
      </c>
      <c r="F406">
        <f>IF(原始資料!F406="","",IF(反向題設定!$C$9="是",反向題設定!$B$2+1-原始資料!F406,原始資料!F406))</f>
        <v/>
      </c>
      <c r="G406">
        <f>IF(原始資料!G406="","",IF(反向題設定!$C$10="是",反向題設定!$B$2+1-原始資料!G406,原始資料!G406))</f>
        <v/>
      </c>
      <c r="H406">
        <f>IF(原始資料!H406="","",IF(反向題設定!$C$11="是",反向題設定!$B$2+1-原始資料!H406,原始資料!H406))</f>
        <v/>
      </c>
      <c r="I406">
        <f>IF(原始資料!I406="","",IF(反向題設定!$C$12="是",反向題設定!$B$2+1-原始資料!I406,原始資料!I406))</f>
        <v/>
      </c>
      <c r="J406">
        <f>IF(原始資料!J406="","",IF(反向題設定!$C$13="是",反向題設定!$B$2+1-原始資料!J406,原始資料!J406))</f>
        <v/>
      </c>
      <c r="K406">
        <f>IF(原始資料!K406="","",IF(反向題設定!$C$14="是",反向題設定!$B$2+1-原始資料!K406,原始資料!K406))</f>
        <v/>
      </c>
      <c r="L406">
        <f>IF(原始資料!L406="","",IF(反向題設定!$C$15="是",反向題設定!$B$2+1-原始資料!L406,原始資料!L406))</f>
        <v/>
      </c>
      <c r="M406">
        <f>IF(原始資料!M406="","",IF(反向題設定!$C$16="是",反向題設定!$B$2+1-原始資料!M406,原始資料!M406))</f>
        <v/>
      </c>
      <c r="N406">
        <f>IF(原始資料!N406="","",IF(反向題設定!$C$17="是",反向題設定!$B$2+1-原始資料!N406,原始資料!N406))</f>
        <v/>
      </c>
      <c r="O406">
        <f>IF(原始資料!O406="","",IF(反向題設定!$C$18="是",反向題設定!$B$2+1-原始資料!O406,原始資料!O406))</f>
        <v/>
      </c>
      <c r="P406">
        <f>IF(原始資料!P406="","",IF(反向題設定!$C$19="是",反向題設定!$B$2+1-原始資料!P406,原始資料!P406))</f>
        <v/>
      </c>
      <c r="Q406">
        <f>IF(原始資料!Q406="","",IF(反向題設定!$C$20="是",反向題設定!$B$2+1-原始資料!Q406,原始資料!Q406))</f>
        <v/>
      </c>
      <c r="R406">
        <f>IF(原始資料!R406="","",IF(反向題設定!$C$21="是",反向題設定!$B$2+1-原始資料!R406,原始資料!R406))</f>
        <v/>
      </c>
      <c r="S406">
        <f>IF(原始資料!S406="","",IF(反向題設定!$C$22="是",反向題設定!$B$2+1-原始資料!S406,原始資料!S406))</f>
        <v/>
      </c>
      <c r="T406">
        <f>IF(原始資料!T406="","",IF(反向題設定!$C$23="是",反向題設定!$B$2+1-原始資料!T406,原始資料!T406))</f>
        <v/>
      </c>
      <c r="U406">
        <f>IF(原始資料!U406="","",IF(反向題設定!$C$24="是",反向題設定!$B$2+1-原始資料!U406,原始資料!U406))</f>
        <v/>
      </c>
      <c r="V406">
        <f>IF(原始資料!V406="","",IF(反向題設定!$C$25="是",反向題設定!$B$2+1-原始資料!V406,原始資料!V406))</f>
        <v/>
      </c>
      <c r="W406">
        <f>IF(原始資料!W406="","",IF(反向題設定!$C$26="是",反向題設定!$B$2+1-原始資料!W406,原始資料!W406))</f>
        <v/>
      </c>
      <c r="X406">
        <f>IF(原始資料!X406="","",IF(反向題設定!$C$27="是",反向題設定!$B$2+1-原始資料!X406,原始資料!X406))</f>
        <v/>
      </c>
      <c r="Y406">
        <f>IF(原始資料!Y406="","",IF(反向題設定!$C$28="是",反向題設定!$B$2+1-原始資料!Y406,原始資料!Y406))</f>
        <v/>
      </c>
      <c r="Z406">
        <f>IF(原始資料!Z406="","",IF(反向題設定!$C$29="是",反向題設定!$B$2+1-原始資料!Z406,原始資料!Z406))</f>
        <v/>
      </c>
      <c r="AA406">
        <f>IF(原始資料!AA406="","",IF(反向題設定!$C$30="是",反向題設定!$B$2+1-原始資料!AA406,原始資料!AA406))</f>
        <v/>
      </c>
      <c r="AB406">
        <f>IF(原始資料!AB406="","",IF(反向題設定!$C$31="是",反向題設定!$B$2+1-原始資料!AB406,原始資料!AB406))</f>
        <v/>
      </c>
      <c r="AC406">
        <f>IF(原始資料!AC406="","",IF(反向題設定!$C$32="是",反向題設定!$B$2+1-原始資料!AC406,原始資料!AC406))</f>
        <v/>
      </c>
      <c r="AD406">
        <f>IF(原始資料!AD406="","",IF(反向題設定!$C$33="是",反向題設定!$B$2+1-原始資料!AD406,原始資料!AD406))</f>
        <v/>
      </c>
      <c r="AE406">
        <f>IF(原始資料!AE406="","",IF(反向題設定!$C$34="是",反向題設定!$B$2+1-原始資料!AE406,原始資料!AE406))</f>
        <v/>
      </c>
      <c r="AF406">
        <f>IF(原始資料!AF406="","",IF(反向題設定!$C$35="是",反向題設定!$B$2+1-原始資料!AF406,原始資料!AF406))</f>
        <v/>
      </c>
      <c r="AG406">
        <f>IF(原始資料!AG406="","",IF(反向題設定!$C$36="是",反向題設定!$B$2+1-原始資料!AG406,原始資料!AG406))</f>
        <v/>
      </c>
      <c r="AH406">
        <f>IF(原始資料!AH406="","",IF(反向題設定!$C$37="是",反向題設定!$B$2+1-原始資料!AH406,原始資料!AH406))</f>
        <v/>
      </c>
      <c r="AI406">
        <f>IF(原始資料!AI406="","",IF(反向題設定!$C$38="是",反向題設定!$B$2+1-原始資料!AI406,原始資料!AI406))</f>
        <v/>
      </c>
      <c r="AJ406">
        <f>IF(原始資料!AJ406="","",IF(反向題設定!$C$39="是",反向題設定!$B$2+1-原始資料!AJ406,原始資料!AJ406))</f>
        <v/>
      </c>
      <c r="AK406">
        <f>IF(原始資料!AK406="","",IF(反向題設定!$C$40="是",反向題設定!$B$2+1-原始資料!AK406,原始資料!AK406))</f>
        <v/>
      </c>
      <c r="AL406">
        <f>IF(原始資料!AL406="","",IF(反向題設定!$C$41="是",反向題設定!$B$2+1-原始資料!AL406,原始資料!AL406))</f>
        <v/>
      </c>
      <c r="AM406">
        <f>IF(原始資料!AM406="","",IF(反向題設定!$C$42="是",反向題設定!$B$2+1-原始資料!AM406,原始資料!AM406))</f>
        <v/>
      </c>
      <c r="AN406">
        <f>IF(原始資料!AN406="","",IF(反向題設定!$C$43="是",反向題設定!$B$2+1-原始資料!AN406,原始資料!AN406))</f>
        <v/>
      </c>
      <c r="AO406">
        <f>IF(原始資料!AO406="","",IF(反向題設定!$C$44="是",反向題設定!$B$2+1-原始資料!AO406,原始資料!AO406))</f>
        <v/>
      </c>
      <c r="AP406">
        <f>IF(COUNT(B406:AO406)=0,"",SUM(B406:AO406))</f>
        <v/>
      </c>
      <c r="AQ406">
        <f>IF(AP406="","",IF(AP406&gt;=項目分析!$C$5,"高",IF(AP406&lt;=項目分析!$C$6,"低","")))</f>
        <v/>
      </c>
    </row>
    <row r="407">
      <c r="A407">
        <f>IF(原始資料!A407="","",原始資料!A407)</f>
        <v/>
      </c>
      <c r="B407">
        <f>IF(原始資料!B407="","",IF(反向題設定!$C$5="是",反向題設定!$B$2+1-原始資料!B407,原始資料!B407))</f>
        <v/>
      </c>
      <c r="C407">
        <f>IF(原始資料!C407="","",IF(反向題設定!$C$6="是",反向題設定!$B$2+1-原始資料!C407,原始資料!C407))</f>
        <v/>
      </c>
      <c r="D407">
        <f>IF(原始資料!D407="","",IF(反向題設定!$C$7="是",反向題設定!$B$2+1-原始資料!D407,原始資料!D407))</f>
        <v/>
      </c>
      <c r="E407">
        <f>IF(原始資料!E407="","",IF(反向題設定!$C$8="是",反向題設定!$B$2+1-原始資料!E407,原始資料!E407))</f>
        <v/>
      </c>
      <c r="F407">
        <f>IF(原始資料!F407="","",IF(反向題設定!$C$9="是",反向題設定!$B$2+1-原始資料!F407,原始資料!F407))</f>
        <v/>
      </c>
      <c r="G407">
        <f>IF(原始資料!G407="","",IF(反向題設定!$C$10="是",反向題設定!$B$2+1-原始資料!G407,原始資料!G407))</f>
        <v/>
      </c>
      <c r="H407">
        <f>IF(原始資料!H407="","",IF(反向題設定!$C$11="是",反向題設定!$B$2+1-原始資料!H407,原始資料!H407))</f>
        <v/>
      </c>
      <c r="I407">
        <f>IF(原始資料!I407="","",IF(反向題設定!$C$12="是",反向題設定!$B$2+1-原始資料!I407,原始資料!I407))</f>
        <v/>
      </c>
      <c r="J407">
        <f>IF(原始資料!J407="","",IF(反向題設定!$C$13="是",反向題設定!$B$2+1-原始資料!J407,原始資料!J407))</f>
        <v/>
      </c>
      <c r="K407">
        <f>IF(原始資料!K407="","",IF(反向題設定!$C$14="是",反向題設定!$B$2+1-原始資料!K407,原始資料!K407))</f>
        <v/>
      </c>
      <c r="L407">
        <f>IF(原始資料!L407="","",IF(反向題設定!$C$15="是",反向題設定!$B$2+1-原始資料!L407,原始資料!L407))</f>
        <v/>
      </c>
      <c r="M407">
        <f>IF(原始資料!M407="","",IF(反向題設定!$C$16="是",反向題設定!$B$2+1-原始資料!M407,原始資料!M407))</f>
        <v/>
      </c>
      <c r="N407">
        <f>IF(原始資料!N407="","",IF(反向題設定!$C$17="是",反向題設定!$B$2+1-原始資料!N407,原始資料!N407))</f>
        <v/>
      </c>
      <c r="O407">
        <f>IF(原始資料!O407="","",IF(反向題設定!$C$18="是",反向題設定!$B$2+1-原始資料!O407,原始資料!O407))</f>
        <v/>
      </c>
      <c r="P407">
        <f>IF(原始資料!P407="","",IF(反向題設定!$C$19="是",反向題設定!$B$2+1-原始資料!P407,原始資料!P407))</f>
        <v/>
      </c>
      <c r="Q407">
        <f>IF(原始資料!Q407="","",IF(反向題設定!$C$20="是",反向題設定!$B$2+1-原始資料!Q407,原始資料!Q407))</f>
        <v/>
      </c>
      <c r="R407">
        <f>IF(原始資料!R407="","",IF(反向題設定!$C$21="是",反向題設定!$B$2+1-原始資料!R407,原始資料!R407))</f>
        <v/>
      </c>
      <c r="S407">
        <f>IF(原始資料!S407="","",IF(反向題設定!$C$22="是",反向題設定!$B$2+1-原始資料!S407,原始資料!S407))</f>
        <v/>
      </c>
      <c r="T407">
        <f>IF(原始資料!T407="","",IF(反向題設定!$C$23="是",反向題設定!$B$2+1-原始資料!T407,原始資料!T407))</f>
        <v/>
      </c>
      <c r="U407">
        <f>IF(原始資料!U407="","",IF(反向題設定!$C$24="是",反向題設定!$B$2+1-原始資料!U407,原始資料!U407))</f>
        <v/>
      </c>
      <c r="V407">
        <f>IF(原始資料!V407="","",IF(反向題設定!$C$25="是",反向題設定!$B$2+1-原始資料!V407,原始資料!V407))</f>
        <v/>
      </c>
      <c r="W407">
        <f>IF(原始資料!W407="","",IF(反向題設定!$C$26="是",反向題設定!$B$2+1-原始資料!W407,原始資料!W407))</f>
        <v/>
      </c>
      <c r="X407">
        <f>IF(原始資料!X407="","",IF(反向題設定!$C$27="是",反向題設定!$B$2+1-原始資料!X407,原始資料!X407))</f>
        <v/>
      </c>
      <c r="Y407">
        <f>IF(原始資料!Y407="","",IF(反向題設定!$C$28="是",反向題設定!$B$2+1-原始資料!Y407,原始資料!Y407))</f>
        <v/>
      </c>
      <c r="Z407">
        <f>IF(原始資料!Z407="","",IF(反向題設定!$C$29="是",反向題設定!$B$2+1-原始資料!Z407,原始資料!Z407))</f>
        <v/>
      </c>
      <c r="AA407">
        <f>IF(原始資料!AA407="","",IF(反向題設定!$C$30="是",反向題設定!$B$2+1-原始資料!AA407,原始資料!AA407))</f>
        <v/>
      </c>
      <c r="AB407">
        <f>IF(原始資料!AB407="","",IF(反向題設定!$C$31="是",反向題設定!$B$2+1-原始資料!AB407,原始資料!AB407))</f>
        <v/>
      </c>
      <c r="AC407">
        <f>IF(原始資料!AC407="","",IF(反向題設定!$C$32="是",反向題設定!$B$2+1-原始資料!AC407,原始資料!AC407))</f>
        <v/>
      </c>
      <c r="AD407">
        <f>IF(原始資料!AD407="","",IF(反向題設定!$C$33="是",反向題設定!$B$2+1-原始資料!AD407,原始資料!AD407))</f>
        <v/>
      </c>
      <c r="AE407">
        <f>IF(原始資料!AE407="","",IF(反向題設定!$C$34="是",反向題設定!$B$2+1-原始資料!AE407,原始資料!AE407))</f>
        <v/>
      </c>
      <c r="AF407">
        <f>IF(原始資料!AF407="","",IF(反向題設定!$C$35="是",反向題設定!$B$2+1-原始資料!AF407,原始資料!AF407))</f>
        <v/>
      </c>
      <c r="AG407">
        <f>IF(原始資料!AG407="","",IF(反向題設定!$C$36="是",反向題設定!$B$2+1-原始資料!AG407,原始資料!AG407))</f>
        <v/>
      </c>
      <c r="AH407">
        <f>IF(原始資料!AH407="","",IF(反向題設定!$C$37="是",反向題設定!$B$2+1-原始資料!AH407,原始資料!AH407))</f>
        <v/>
      </c>
      <c r="AI407">
        <f>IF(原始資料!AI407="","",IF(反向題設定!$C$38="是",反向題設定!$B$2+1-原始資料!AI407,原始資料!AI407))</f>
        <v/>
      </c>
      <c r="AJ407">
        <f>IF(原始資料!AJ407="","",IF(反向題設定!$C$39="是",反向題設定!$B$2+1-原始資料!AJ407,原始資料!AJ407))</f>
        <v/>
      </c>
      <c r="AK407">
        <f>IF(原始資料!AK407="","",IF(反向題設定!$C$40="是",反向題設定!$B$2+1-原始資料!AK407,原始資料!AK407))</f>
        <v/>
      </c>
      <c r="AL407">
        <f>IF(原始資料!AL407="","",IF(反向題設定!$C$41="是",反向題設定!$B$2+1-原始資料!AL407,原始資料!AL407))</f>
        <v/>
      </c>
      <c r="AM407">
        <f>IF(原始資料!AM407="","",IF(反向題設定!$C$42="是",反向題設定!$B$2+1-原始資料!AM407,原始資料!AM407))</f>
        <v/>
      </c>
      <c r="AN407">
        <f>IF(原始資料!AN407="","",IF(反向題設定!$C$43="是",反向題設定!$B$2+1-原始資料!AN407,原始資料!AN407))</f>
        <v/>
      </c>
      <c r="AO407">
        <f>IF(原始資料!AO407="","",IF(反向題設定!$C$44="是",反向題設定!$B$2+1-原始資料!AO407,原始資料!AO407))</f>
        <v/>
      </c>
      <c r="AP407">
        <f>IF(COUNT(B407:AO407)=0,"",SUM(B407:AO407))</f>
        <v/>
      </c>
      <c r="AQ407">
        <f>IF(AP407="","",IF(AP407&gt;=項目分析!$C$5,"高",IF(AP407&lt;=項目分析!$C$6,"低","")))</f>
        <v/>
      </c>
    </row>
    <row r="408">
      <c r="A408">
        <f>IF(原始資料!A408="","",原始資料!A408)</f>
        <v/>
      </c>
      <c r="B408">
        <f>IF(原始資料!B408="","",IF(反向題設定!$C$5="是",反向題設定!$B$2+1-原始資料!B408,原始資料!B408))</f>
        <v/>
      </c>
      <c r="C408">
        <f>IF(原始資料!C408="","",IF(反向題設定!$C$6="是",反向題設定!$B$2+1-原始資料!C408,原始資料!C408))</f>
        <v/>
      </c>
      <c r="D408">
        <f>IF(原始資料!D408="","",IF(反向題設定!$C$7="是",反向題設定!$B$2+1-原始資料!D408,原始資料!D408))</f>
        <v/>
      </c>
      <c r="E408">
        <f>IF(原始資料!E408="","",IF(反向題設定!$C$8="是",反向題設定!$B$2+1-原始資料!E408,原始資料!E408))</f>
        <v/>
      </c>
      <c r="F408">
        <f>IF(原始資料!F408="","",IF(反向題設定!$C$9="是",反向題設定!$B$2+1-原始資料!F408,原始資料!F408))</f>
        <v/>
      </c>
      <c r="G408">
        <f>IF(原始資料!G408="","",IF(反向題設定!$C$10="是",反向題設定!$B$2+1-原始資料!G408,原始資料!G408))</f>
        <v/>
      </c>
      <c r="H408">
        <f>IF(原始資料!H408="","",IF(反向題設定!$C$11="是",反向題設定!$B$2+1-原始資料!H408,原始資料!H408))</f>
        <v/>
      </c>
      <c r="I408">
        <f>IF(原始資料!I408="","",IF(反向題設定!$C$12="是",反向題設定!$B$2+1-原始資料!I408,原始資料!I408))</f>
        <v/>
      </c>
      <c r="J408">
        <f>IF(原始資料!J408="","",IF(反向題設定!$C$13="是",反向題設定!$B$2+1-原始資料!J408,原始資料!J408))</f>
        <v/>
      </c>
      <c r="K408">
        <f>IF(原始資料!K408="","",IF(反向題設定!$C$14="是",反向題設定!$B$2+1-原始資料!K408,原始資料!K408))</f>
        <v/>
      </c>
      <c r="L408">
        <f>IF(原始資料!L408="","",IF(反向題設定!$C$15="是",反向題設定!$B$2+1-原始資料!L408,原始資料!L408))</f>
        <v/>
      </c>
      <c r="M408">
        <f>IF(原始資料!M408="","",IF(反向題設定!$C$16="是",反向題設定!$B$2+1-原始資料!M408,原始資料!M408))</f>
        <v/>
      </c>
      <c r="N408">
        <f>IF(原始資料!N408="","",IF(反向題設定!$C$17="是",反向題設定!$B$2+1-原始資料!N408,原始資料!N408))</f>
        <v/>
      </c>
      <c r="O408">
        <f>IF(原始資料!O408="","",IF(反向題設定!$C$18="是",反向題設定!$B$2+1-原始資料!O408,原始資料!O408))</f>
        <v/>
      </c>
      <c r="P408">
        <f>IF(原始資料!P408="","",IF(反向題設定!$C$19="是",反向題設定!$B$2+1-原始資料!P408,原始資料!P408))</f>
        <v/>
      </c>
      <c r="Q408">
        <f>IF(原始資料!Q408="","",IF(反向題設定!$C$20="是",反向題設定!$B$2+1-原始資料!Q408,原始資料!Q408))</f>
        <v/>
      </c>
      <c r="R408">
        <f>IF(原始資料!R408="","",IF(反向題設定!$C$21="是",反向題設定!$B$2+1-原始資料!R408,原始資料!R408))</f>
        <v/>
      </c>
      <c r="S408">
        <f>IF(原始資料!S408="","",IF(反向題設定!$C$22="是",反向題設定!$B$2+1-原始資料!S408,原始資料!S408))</f>
        <v/>
      </c>
      <c r="T408">
        <f>IF(原始資料!T408="","",IF(反向題設定!$C$23="是",反向題設定!$B$2+1-原始資料!T408,原始資料!T408))</f>
        <v/>
      </c>
      <c r="U408">
        <f>IF(原始資料!U408="","",IF(反向題設定!$C$24="是",反向題設定!$B$2+1-原始資料!U408,原始資料!U408))</f>
        <v/>
      </c>
      <c r="V408">
        <f>IF(原始資料!V408="","",IF(反向題設定!$C$25="是",反向題設定!$B$2+1-原始資料!V408,原始資料!V408))</f>
        <v/>
      </c>
      <c r="W408">
        <f>IF(原始資料!W408="","",IF(反向題設定!$C$26="是",反向題設定!$B$2+1-原始資料!W408,原始資料!W408))</f>
        <v/>
      </c>
      <c r="X408">
        <f>IF(原始資料!X408="","",IF(反向題設定!$C$27="是",反向題設定!$B$2+1-原始資料!X408,原始資料!X408))</f>
        <v/>
      </c>
      <c r="Y408">
        <f>IF(原始資料!Y408="","",IF(反向題設定!$C$28="是",反向題設定!$B$2+1-原始資料!Y408,原始資料!Y408))</f>
        <v/>
      </c>
      <c r="Z408">
        <f>IF(原始資料!Z408="","",IF(反向題設定!$C$29="是",反向題設定!$B$2+1-原始資料!Z408,原始資料!Z408))</f>
        <v/>
      </c>
      <c r="AA408">
        <f>IF(原始資料!AA408="","",IF(反向題設定!$C$30="是",反向題設定!$B$2+1-原始資料!AA408,原始資料!AA408))</f>
        <v/>
      </c>
      <c r="AB408">
        <f>IF(原始資料!AB408="","",IF(反向題設定!$C$31="是",反向題設定!$B$2+1-原始資料!AB408,原始資料!AB408))</f>
        <v/>
      </c>
      <c r="AC408">
        <f>IF(原始資料!AC408="","",IF(反向題設定!$C$32="是",反向題設定!$B$2+1-原始資料!AC408,原始資料!AC408))</f>
        <v/>
      </c>
      <c r="AD408">
        <f>IF(原始資料!AD408="","",IF(反向題設定!$C$33="是",反向題設定!$B$2+1-原始資料!AD408,原始資料!AD408))</f>
        <v/>
      </c>
      <c r="AE408">
        <f>IF(原始資料!AE408="","",IF(反向題設定!$C$34="是",反向題設定!$B$2+1-原始資料!AE408,原始資料!AE408))</f>
        <v/>
      </c>
      <c r="AF408">
        <f>IF(原始資料!AF408="","",IF(反向題設定!$C$35="是",反向題設定!$B$2+1-原始資料!AF408,原始資料!AF408))</f>
        <v/>
      </c>
      <c r="AG408">
        <f>IF(原始資料!AG408="","",IF(反向題設定!$C$36="是",反向題設定!$B$2+1-原始資料!AG408,原始資料!AG408))</f>
        <v/>
      </c>
      <c r="AH408">
        <f>IF(原始資料!AH408="","",IF(反向題設定!$C$37="是",反向題設定!$B$2+1-原始資料!AH408,原始資料!AH408))</f>
        <v/>
      </c>
      <c r="AI408">
        <f>IF(原始資料!AI408="","",IF(反向題設定!$C$38="是",反向題設定!$B$2+1-原始資料!AI408,原始資料!AI408))</f>
        <v/>
      </c>
      <c r="AJ408">
        <f>IF(原始資料!AJ408="","",IF(反向題設定!$C$39="是",反向題設定!$B$2+1-原始資料!AJ408,原始資料!AJ408))</f>
        <v/>
      </c>
      <c r="AK408">
        <f>IF(原始資料!AK408="","",IF(反向題設定!$C$40="是",反向題設定!$B$2+1-原始資料!AK408,原始資料!AK408))</f>
        <v/>
      </c>
      <c r="AL408">
        <f>IF(原始資料!AL408="","",IF(反向題設定!$C$41="是",反向題設定!$B$2+1-原始資料!AL408,原始資料!AL408))</f>
        <v/>
      </c>
      <c r="AM408">
        <f>IF(原始資料!AM408="","",IF(反向題設定!$C$42="是",反向題設定!$B$2+1-原始資料!AM408,原始資料!AM408))</f>
        <v/>
      </c>
      <c r="AN408">
        <f>IF(原始資料!AN408="","",IF(反向題設定!$C$43="是",反向題設定!$B$2+1-原始資料!AN408,原始資料!AN408))</f>
        <v/>
      </c>
      <c r="AO408">
        <f>IF(原始資料!AO408="","",IF(反向題設定!$C$44="是",反向題設定!$B$2+1-原始資料!AO408,原始資料!AO408))</f>
        <v/>
      </c>
      <c r="AP408">
        <f>IF(COUNT(B408:AO408)=0,"",SUM(B408:AO408))</f>
        <v/>
      </c>
      <c r="AQ408">
        <f>IF(AP408="","",IF(AP408&gt;=項目分析!$C$5,"高",IF(AP408&lt;=項目分析!$C$6,"低","")))</f>
        <v/>
      </c>
    </row>
    <row r="409">
      <c r="A409">
        <f>IF(原始資料!A409="","",原始資料!A409)</f>
        <v/>
      </c>
      <c r="B409">
        <f>IF(原始資料!B409="","",IF(反向題設定!$C$5="是",反向題設定!$B$2+1-原始資料!B409,原始資料!B409))</f>
        <v/>
      </c>
      <c r="C409">
        <f>IF(原始資料!C409="","",IF(反向題設定!$C$6="是",反向題設定!$B$2+1-原始資料!C409,原始資料!C409))</f>
        <v/>
      </c>
      <c r="D409">
        <f>IF(原始資料!D409="","",IF(反向題設定!$C$7="是",反向題設定!$B$2+1-原始資料!D409,原始資料!D409))</f>
        <v/>
      </c>
      <c r="E409">
        <f>IF(原始資料!E409="","",IF(反向題設定!$C$8="是",反向題設定!$B$2+1-原始資料!E409,原始資料!E409))</f>
        <v/>
      </c>
      <c r="F409">
        <f>IF(原始資料!F409="","",IF(反向題設定!$C$9="是",反向題設定!$B$2+1-原始資料!F409,原始資料!F409))</f>
        <v/>
      </c>
      <c r="G409">
        <f>IF(原始資料!G409="","",IF(反向題設定!$C$10="是",反向題設定!$B$2+1-原始資料!G409,原始資料!G409))</f>
        <v/>
      </c>
      <c r="H409">
        <f>IF(原始資料!H409="","",IF(反向題設定!$C$11="是",反向題設定!$B$2+1-原始資料!H409,原始資料!H409))</f>
        <v/>
      </c>
      <c r="I409">
        <f>IF(原始資料!I409="","",IF(反向題設定!$C$12="是",反向題設定!$B$2+1-原始資料!I409,原始資料!I409))</f>
        <v/>
      </c>
      <c r="J409">
        <f>IF(原始資料!J409="","",IF(反向題設定!$C$13="是",反向題設定!$B$2+1-原始資料!J409,原始資料!J409))</f>
        <v/>
      </c>
      <c r="K409">
        <f>IF(原始資料!K409="","",IF(反向題設定!$C$14="是",反向題設定!$B$2+1-原始資料!K409,原始資料!K409))</f>
        <v/>
      </c>
      <c r="L409">
        <f>IF(原始資料!L409="","",IF(反向題設定!$C$15="是",反向題設定!$B$2+1-原始資料!L409,原始資料!L409))</f>
        <v/>
      </c>
      <c r="M409">
        <f>IF(原始資料!M409="","",IF(反向題設定!$C$16="是",反向題設定!$B$2+1-原始資料!M409,原始資料!M409))</f>
        <v/>
      </c>
      <c r="N409">
        <f>IF(原始資料!N409="","",IF(反向題設定!$C$17="是",反向題設定!$B$2+1-原始資料!N409,原始資料!N409))</f>
        <v/>
      </c>
      <c r="O409">
        <f>IF(原始資料!O409="","",IF(反向題設定!$C$18="是",反向題設定!$B$2+1-原始資料!O409,原始資料!O409))</f>
        <v/>
      </c>
      <c r="P409">
        <f>IF(原始資料!P409="","",IF(反向題設定!$C$19="是",反向題設定!$B$2+1-原始資料!P409,原始資料!P409))</f>
        <v/>
      </c>
      <c r="Q409">
        <f>IF(原始資料!Q409="","",IF(反向題設定!$C$20="是",反向題設定!$B$2+1-原始資料!Q409,原始資料!Q409))</f>
        <v/>
      </c>
      <c r="R409">
        <f>IF(原始資料!R409="","",IF(反向題設定!$C$21="是",反向題設定!$B$2+1-原始資料!R409,原始資料!R409))</f>
        <v/>
      </c>
      <c r="S409">
        <f>IF(原始資料!S409="","",IF(反向題設定!$C$22="是",反向題設定!$B$2+1-原始資料!S409,原始資料!S409))</f>
        <v/>
      </c>
      <c r="T409">
        <f>IF(原始資料!T409="","",IF(反向題設定!$C$23="是",反向題設定!$B$2+1-原始資料!T409,原始資料!T409))</f>
        <v/>
      </c>
      <c r="U409">
        <f>IF(原始資料!U409="","",IF(反向題設定!$C$24="是",反向題設定!$B$2+1-原始資料!U409,原始資料!U409))</f>
        <v/>
      </c>
      <c r="V409">
        <f>IF(原始資料!V409="","",IF(反向題設定!$C$25="是",反向題設定!$B$2+1-原始資料!V409,原始資料!V409))</f>
        <v/>
      </c>
      <c r="W409">
        <f>IF(原始資料!W409="","",IF(反向題設定!$C$26="是",反向題設定!$B$2+1-原始資料!W409,原始資料!W409))</f>
        <v/>
      </c>
      <c r="X409">
        <f>IF(原始資料!X409="","",IF(反向題設定!$C$27="是",反向題設定!$B$2+1-原始資料!X409,原始資料!X409))</f>
        <v/>
      </c>
      <c r="Y409">
        <f>IF(原始資料!Y409="","",IF(反向題設定!$C$28="是",反向題設定!$B$2+1-原始資料!Y409,原始資料!Y409))</f>
        <v/>
      </c>
      <c r="Z409">
        <f>IF(原始資料!Z409="","",IF(反向題設定!$C$29="是",反向題設定!$B$2+1-原始資料!Z409,原始資料!Z409))</f>
        <v/>
      </c>
      <c r="AA409">
        <f>IF(原始資料!AA409="","",IF(反向題設定!$C$30="是",反向題設定!$B$2+1-原始資料!AA409,原始資料!AA409))</f>
        <v/>
      </c>
      <c r="AB409">
        <f>IF(原始資料!AB409="","",IF(反向題設定!$C$31="是",反向題設定!$B$2+1-原始資料!AB409,原始資料!AB409))</f>
        <v/>
      </c>
      <c r="AC409">
        <f>IF(原始資料!AC409="","",IF(反向題設定!$C$32="是",反向題設定!$B$2+1-原始資料!AC409,原始資料!AC409))</f>
        <v/>
      </c>
      <c r="AD409">
        <f>IF(原始資料!AD409="","",IF(反向題設定!$C$33="是",反向題設定!$B$2+1-原始資料!AD409,原始資料!AD409))</f>
        <v/>
      </c>
      <c r="AE409">
        <f>IF(原始資料!AE409="","",IF(反向題設定!$C$34="是",反向題設定!$B$2+1-原始資料!AE409,原始資料!AE409))</f>
        <v/>
      </c>
      <c r="AF409">
        <f>IF(原始資料!AF409="","",IF(反向題設定!$C$35="是",反向題設定!$B$2+1-原始資料!AF409,原始資料!AF409))</f>
        <v/>
      </c>
      <c r="AG409">
        <f>IF(原始資料!AG409="","",IF(反向題設定!$C$36="是",反向題設定!$B$2+1-原始資料!AG409,原始資料!AG409))</f>
        <v/>
      </c>
      <c r="AH409">
        <f>IF(原始資料!AH409="","",IF(反向題設定!$C$37="是",反向題設定!$B$2+1-原始資料!AH409,原始資料!AH409))</f>
        <v/>
      </c>
      <c r="AI409">
        <f>IF(原始資料!AI409="","",IF(反向題設定!$C$38="是",反向題設定!$B$2+1-原始資料!AI409,原始資料!AI409))</f>
        <v/>
      </c>
      <c r="AJ409">
        <f>IF(原始資料!AJ409="","",IF(反向題設定!$C$39="是",反向題設定!$B$2+1-原始資料!AJ409,原始資料!AJ409))</f>
        <v/>
      </c>
      <c r="AK409">
        <f>IF(原始資料!AK409="","",IF(反向題設定!$C$40="是",反向題設定!$B$2+1-原始資料!AK409,原始資料!AK409))</f>
        <v/>
      </c>
      <c r="AL409">
        <f>IF(原始資料!AL409="","",IF(反向題設定!$C$41="是",反向題設定!$B$2+1-原始資料!AL409,原始資料!AL409))</f>
        <v/>
      </c>
      <c r="AM409">
        <f>IF(原始資料!AM409="","",IF(反向題設定!$C$42="是",反向題設定!$B$2+1-原始資料!AM409,原始資料!AM409))</f>
        <v/>
      </c>
      <c r="AN409">
        <f>IF(原始資料!AN409="","",IF(反向題設定!$C$43="是",反向題設定!$B$2+1-原始資料!AN409,原始資料!AN409))</f>
        <v/>
      </c>
      <c r="AO409">
        <f>IF(原始資料!AO409="","",IF(反向題設定!$C$44="是",反向題設定!$B$2+1-原始資料!AO409,原始資料!AO409))</f>
        <v/>
      </c>
      <c r="AP409">
        <f>IF(COUNT(B409:AO409)=0,"",SUM(B409:AO409))</f>
        <v/>
      </c>
      <c r="AQ409">
        <f>IF(AP409="","",IF(AP409&gt;=項目分析!$C$5,"高",IF(AP409&lt;=項目分析!$C$6,"低","")))</f>
        <v/>
      </c>
    </row>
    <row r="410">
      <c r="A410">
        <f>IF(原始資料!A410="","",原始資料!A410)</f>
        <v/>
      </c>
      <c r="B410">
        <f>IF(原始資料!B410="","",IF(反向題設定!$C$5="是",反向題設定!$B$2+1-原始資料!B410,原始資料!B410))</f>
        <v/>
      </c>
      <c r="C410">
        <f>IF(原始資料!C410="","",IF(反向題設定!$C$6="是",反向題設定!$B$2+1-原始資料!C410,原始資料!C410))</f>
        <v/>
      </c>
      <c r="D410">
        <f>IF(原始資料!D410="","",IF(反向題設定!$C$7="是",反向題設定!$B$2+1-原始資料!D410,原始資料!D410))</f>
        <v/>
      </c>
      <c r="E410">
        <f>IF(原始資料!E410="","",IF(反向題設定!$C$8="是",反向題設定!$B$2+1-原始資料!E410,原始資料!E410))</f>
        <v/>
      </c>
      <c r="F410">
        <f>IF(原始資料!F410="","",IF(反向題設定!$C$9="是",反向題設定!$B$2+1-原始資料!F410,原始資料!F410))</f>
        <v/>
      </c>
      <c r="G410">
        <f>IF(原始資料!G410="","",IF(反向題設定!$C$10="是",反向題設定!$B$2+1-原始資料!G410,原始資料!G410))</f>
        <v/>
      </c>
      <c r="H410">
        <f>IF(原始資料!H410="","",IF(反向題設定!$C$11="是",反向題設定!$B$2+1-原始資料!H410,原始資料!H410))</f>
        <v/>
      </c>
      <c r="I410">
        <f>IF(原始資料!I410="","",IF(反向題設定!$C$12="是",反向題設定!$B$2+1-原始資料!I410,原始資料!I410))</f>
        <v/>
      </c>
      <c r="J410">
        <f>IF(原始資料!J410="","",IF(反向題設定!$C$13="是",反向題設定!$B$2+1-原始資料!J410,原始資料!J410))</f>
        <v/>
      </c>
      <c r="K410">
        <f>IF(原始資料!K410="","",IF(反向題設定!$C$14="是",反向題設定!$B$2+1-原始資料!K410,原始資料!K410))</f>
        <v/>
      </c>
      <c r="L410">
        <f>IF(原始資料!L410="","",IF(反向題設定!$C$15="是",反向題設定!$B$2+1-原始資料!L410,原始資料!L410))</f>
        <v/>
      </c>
      <c r="M410">
        <f>IF(原始資料!M410="","",IF(反向題設定!$C$16="是",反向題設定!$B$2+1-原始資料!M410,原始資料!M410))</f>
        <v/>
      </c>
      <c r="N410">
        <f>IF(原始資料!N410="","",IF(反向題設定!$C$17="是",反向題設定!$B$2+1-原始資料!N410,原始資料!N410))</f>
        <v/>
      </c>
      <c r="O410">
        <f>IF(原始資料!O410="","",IF(反向題設定!$C$18="是",反向題設定!$B$2+1-原始資料!O410,原始資料!O410))</f>
        <v/>
      </c>
      <c r="P410">
        <f>IF(原始資料!P410="","",IF(反向題設定!$C$19="是",反向題設定!$B$2+1-原始資料!P410,原始資料!P410))</f>
        <v/>
      </c>
      <c r="Q410">
        <f>IF(原始資料!Q410="","",IF(反向題設定!$C$20="是",反向題設定!$B$2+1-原始資料!Q410,原始資料!Q410))</f>
        <v/>
      </c>
      <c r="R410">
        <f>IF(原始資料!R410="","",IF(反向題設定!$C$21="是",反向題設定!$B$2+1-原始資料!R410,原始資料!R410))</f>
        <v/>
      </c>
      <c r="S410">
        <f>IF(原始資料!S410="","",IF(反向題設定!$C$22="是",反向題設定!$B$2+1-原始資料!S410,原始資料!S410))</f>
        <v/>
      </c>
      <c r="T410">
        <f>IF(原始資料!T410="","",IF(反向題設定!$C$23="是",反向題設定!$B$2+1-原始資料!T410,原始資料!T410))</f>
        <v/>
      </c>
      <c r="U410">
        <f>IF(原始資料!U410="","",IF(反向題設定!$C$24="是",反向題設定!$B$2+1-原始資料!U410,原始資料!U410))</f>
        <v/>
      </c>
      <c r="V410">
        <f>IF(原始資料!V410="","",IF(反向題設定!$C$25="是",反向題設定!$B$2+1-原始資料!V410,原始資料!V410))</f>
        <v/>
      </c>
      <c r="W410">
        <f>IF(原始資料!W410="","",IF(反向題設定!$C$26="是",反向題設定!$B$2+1-原始資料!W410,原始資料!W410))</f>
        <v/>
      </c>
      <c r="X410">
        <f>IF(原始資料!X410="","",IF(反向題設定!$C$27="是",反向題設定!$B$2+1-原始資料!X410,原始資料!X410))</f>
        <v/>
      </c>
      <c r="Y410">
        <f>IF(原始資料!Y410="","",IF(反向題設定!$C$28="是",反向題設定!$B$2+1-原始資料!Y410,原始資料!Y410))</f>
        <v/>
      </c>
      <c r="Z410">
        <f>IF(原始資料!Z410="","",IF(反向題設定!$C$29="是",反向題設定!$B$2+1-原始資料!Z410,原始資料!Z410))</f>
        <v/>
      </c>
      <c r="AA410">
        <f>IF(原始資料!AA410="","",IF(反向題設定!$C$30="是",反向題設定!$B$2+1-原始資料!AA410,原始資料!AA410))</f>
        <v/>
      </c>
      <c r="AB410">
        <f>IF(原始資料!AB410="","",IF(反向題設定!$C$31="是",反向題設定!$B$2+1-原始資料!AB410,原始資料!AB410))</f>
        <v/>
      </c>
      <c r="AC410">
        <f>IF(原始資料!AC410="","",IF(反向題設定!$C$32="是",反向題設定!$B$2+1-原始資料!AC410,原始資料!AC410))</f>
        <v/>
      </c>
      <c r="AD410">
        <f>IF(原始資料!AD410="","",IF(反向題設定!$C$33="是",反向題設定!$B$2+1-原始資料!AD410,原始資料!AD410))</f>
        <v/>
      </c>
      <c r="AE410">
        <f>IF(原始資料!AE410="","",IF(反向題設定!$C$34="是",反向題設定!$B$2+1-原始資料!AE410,原始資料!AE410))</f>
        <v/>
      </c>
      <c r="AF410">
        <f>IF(原始資料!AF410="","",IF(反向題設定!$C$35="是",反向題設定!$B$2+1-原始資料!AF410,原始資料!AF410))</f>
        <v/>
      </c>
      <c r="AG410">
        <f>IF(原始資料!AG410="","",IF(反向題設定!$C$36="是",反向題設定!$B$2+1-原始資料!AG410,原始資料!AG410))</f>
        <v/>
      </c>
      <c r="AH410">
        <f>IF(原始資料!AH410="","",IF(反向題設定!$C$37="是",反向題設定!$B$2+1-原始資料!AH410,原始資料!AH410))</f>
        <v/>
      </c>
      <c r="AI410">
        <f>IF(原始資料!AI410="","",IF(反向題設定!$C$38="是",反向題設定!$B$2+1-原始資料!AI410,原始資料!AI410))</f>
        <v/>
      </c>
      <c r="AJ410">
        <f>IF(原始資料!AJ410="","",IF(反向題設定!$C$39="是",反向題設定!$B$2+1-原始資料!AJ410,原始資料!AJ410))</f>
        <v/>
      </c>
      <c r="AK410">
        <f>IF(原始資料!AK410="","",IF(反向題設定!$C$40="是",反向題設定!$B$2+1-原始資料!AK410,原始資料!AK410))</f>
        <v/>
      </c>
      <c r="AL410">
        <f>IF(原始資料!AL410="","",IF(反向題設定!$C$41="是",反向題設定!$B$2+1-原始資料!AL410,原始資料!AL410))</f>
        <v/>
      </c>
      <c r="AM410">
        <f>IF(原始資料!AM410="","",IF(反向題設定!$C$42="是",反向題設定!$B$2+1-原始資料!AM410,原始資料!AM410))</f>
        <v/>
      </c>
      <c r="AN410">
        <f>IF(原始資料!AN410="","",IF(反向題設定!$C$43="是",反向題設定!$B$2+1-原始資料!AN410,原始資料!AN410))</f>
        <v/>
      </c>
      <c r="AO410">
        <f>IF(原始資料!AO410="","",IF(反向題設定!$C$44="是",反向題設定!$B$2+1-原始資料!AO410,原始資料!AO410))</f>
        <v/>
      </c>
      <c r="AP410">
        <f>IF(COUNT(B410:AO410)=0,"",SUM(B410:AO410))</f>
        <v/>
      </c>
      <c r="AQ410">
        <f>IF(AP410="","",IF(AP410&gt;=項目分析!$C$5,"高",IF(AP410&lt;=項目分析!$C$6,"低","")))</f>
        <v/>
      </c>
    </row>
    <row r="411">
      <c r="A411">
        <f>IF(原始資料!A411="","",原始資料!A411)</f>
        <v/>
      </c>
      <c r="B411">
        <f>IF(原始資料!B411="","",IF(反向題設定!$C$5="是",反向題設定!$B$2+1-原始資料!B411,原始資料!B411))</f>
        <v/>
      </c>
      <c r="C411">
        <f>IF(原始資料!C411="","",IF(反向題設定!$C$6="是",反向題設定!$B$2+1-原始資料!C411,原始資料!C411))</f>
        <v/>
      </c>
      <c r="D411">
        <f>IF(原始資料!D411="","",IF(反向題設定!$C$7="是",反向題設定!$B$2+1-原始資料!D411,原始資料!D411))</f>
        <v/>
      </c>
      <c r="E411">
        <f>IF(原始資料!E411="","",IF(反向題設定!$C$8="是",反向題設定!$B$2+1-原始資料!E411,原始資料!E411))</f>
        <v/>
      </c>
      <c r="F411">
        <f>IF(原始資料!F411="","",IF(反向題設定!$C$9="是",反向題設定!$B$2+1-原始資料!F411,原始資料!F411))</f>
        <v/>
      </c>
      <c r="G411">
        <f>IF(原始資料!G411="","",IF(反向題設定!$C$10="是",反向題設定!$B$2+1-原始資料!G411,原始資料!G411))</f>
        <v/>
      </c>
      <c r="H411">
        <f>IF(原始資料!H411="","",IF(反向題設定!$C$11="是",反向題設定!$B$2+1-原始資料!H411,原始資料!H411))</f>
        <v/>
      </c>
      <c r="I411">
        <f>IF(原始資料!I411="","",IF(反向題設定!$C$12="是",反向題設定!$B$2+1-原始資料!I411,原始資料!I411))</f>
        <v/>
      </c>
      <c r="J411">
        <f>IF(原始資料!J411="","",IF(反向題設定!$C$13="是",反向題設定!$B$2+1-原始資料!J411,原始資料!J411))</f>
        <v/>
      </c>
      <c r="K411">
        <f>IF(原始資料!K411="","",IF(反向題設定!$C$14="是",反向題設定!$B$2+1-原始資料!K411,原始資料!K411))</f>
        <v/>
      </c>
      <c r="L411">
        <f>IF(原始資料!L411="","",IF(反向題設定!$C$15="是",反向題設定!$B$2+1-原始資料!L411,原始資料!L411))</f>
        <v/>
      </c>
      <c r="M411">
        <f>IF(原始資料!M411="","",IF(反向題設定!$C$16="是",反向題設定!$B$2+1-原始資料!M411,原始資料!M411))</f>
        <v/>
      </c>
      <c r="N411">
        <f>IF(原始資料!N411="","",IF(反向題設定!$C$17="是",反向題設定!$B$2+1-原始資料!N411,原始資料!N411))</f>
        <v/>
      </c>
      <c r="O411">
        <f>IF(原始資料!O411="","",IF(反向題設定!$C$18="是",反向題設定!$B$2+1-原始資料!O411,原始資料!O411))</f>
        <v/>
      </c>
      <c r="P411">
        <f>IF(原始資料!P411="","",IF(反向題設定!$C$19="是",反向題設定!$B$2+1-原始資料!P411,原始資料!P411))</f>
        <v/>
      </c>
      <c r="Q411">
        <f>IF(原始資料!Q411="","",IF(反向題設定!$C$20="是",反向題設定!$B$2+1-原始資料!Q411,原始資料!Q411))</f>
        <v/>
      </c>
      <c r="R411">
        <f>IF(原始資料!R411="","",IF(反向題設定!$C$21="是",反向題設定!$B$2+1-原始資料!R411,原始資料!R411))</f>
        <v/>
      </c>
      <c r="S411">
        <f>IF(原始資料!S411="","",IF(反向題設定!$C$22="是",反向題設定!$B$2+1-原始資料!S411,原始資料!S411))</f>
        <v/>
      </c>
      <c r="T411">
        <f>IF(原始資料!T411="","",IF(反向題設定!$C$23="是",反向題設定!$B$2+1-原始資料!T411,原始資料!T411))</f>
        <v/>
      </c>
      <c r="U411">
        <f>IF(原始資料!U411="","",IF(反向題設定!$C$24="是",反向題設定!$B$2+1-原始資料!U411,原始資料!U411))</f>
        <v/>
      </c>
      <c r="V411">
        <f>IF(原始資料!V411="","",IF(反向題設定!$C$25="是",反向題設定!$B$2+1-原始資料!V411,原始資料!V411))</f>
        <v/>
      </c>
      <c r="W411">
        <f>IF(原始資料!W411="","",IF(反向題設定!$C$26="是",反向題設定!$B$2+1-原始資料!W411,原始資料!W411))</f>
        <v/>
      </c>
      <c r="X411">
        <f>IF(原始資料!X411="","",IF(反向題設定!$C$27="是",反向題設定!$B$2+1-原始資料!X411,原始資料!X411))</f>
        <v/>
      </c>
      <c r="Y411">
        <f>IF(原始資料!Y411="","",IF(反向題設定!$C$28="是",反向題設定!$B$2+1-原始資料!Y411,原始資料!Y411))</f>
        <v/>
      </c>
      <c r="Z411">
        <f>IF(原始資料!Z411="","",IF(反向題設定!$C$29="是",反向題設定!$B$2+1-原始資料!Z411,原始資料!Z411))</f>
        <v/>
      </c>
      <c r="AA411">
        <f>IF(原始資料!AA411="","",IF(反向題設定!$C$30="是",反向題設定!$B$2+1-原始資料!AA411,原始資料!AA411))</f>
        <v/>
      </c>
      <c r="AB411">
        <f>IF(原始資料!AB411="","",IF(反向題設定!$C$31="是",反向題設定!$B$2+1-原始資料!AB411,原始資料!AB411))</f>
        <v/>
      </c>
      <c r="AC411">
        <f>IF(原始資料!AC411="","",IF(反向題設定!$C$32="是",反向題設定!$B$2+1-原始資料!AC411,原始資料!AC411))</f>
        <v/>
      </c>
      <c r="AD411">
        <f>IF(原始資料!AD411="","",IF(反向題設定!$C$33="是",反向題設定!$B$2+1-原始資料!AD411,原始資料!AD411))</f>
        <v/>
      </c>
      <c r="AE411">
        <f>IF(原始資料!AE411="","",IF(反向題設定!$C$34="是",反向題設定!$B$2+1-原始資料!AE411,原始資料!AE411))</f>
        <v/>
      </c>
      <c r="AF411">
        <f>IF(原始資料!AF411="","",IF(反向題設定!$C$35="是",反向題設定!$B$2+1-原始資料!AF411,原始資料!AF411))</f>
        <v/>
      </c>
      <c r="AG411">
        <f>IF(原始資料!AG411="","",IF(反向題設定!$C$36="是",反向題設定!$B$2+1-原始資料!AG411,原始資料!AG411))</f>
        <v/>
      </c>
      <c r="AH411">
        <f>IF(原始資料!AH411="","",IF(反向題設定!$C$37="是",反向題設定!$B$2+1-原始資料!AH411,原始資料!AH411))</f>
        <v/>
      </c>
      <c r="AI411">
        <f>IF(原始資料!AI411="","",IF(反向題設定!$C$38="是",反向題設定!$B$2+1-原始資料!AI411,原始資料!AI411))</f>
        <v/>
      </c>
      <c r="AJ411">
        <f>IF(原始資料!AJ411="","",IF(反向題設定!$C$39="是",反向題設定!$B$2+1-原始資料!AJ411,原始資料!AJ411))</f>
        <v/>
      </c>
      <c r="AK411">
        <f>IF(原始資料!AK411="","",IF(反向題設定!$C$40="是",反向題設定!$B$2+1-原始資料!AK411,原始資料!AK411))</f>
        <v/>
      </c>
      <c r="AL411">
        <f>IF(原始資料!AL411="","",IF(反向題設定!$C$41="是",反向題設定!$B$2+1-原始資料!AL411,原始資料!AL411))</f>
        <v/>
      </c>
      <c r="AM411">
        <f>IF(原始資料!AM411="","",IF(反向題設定!$C$42="是",反向題設定!$B$2+1-原始資料!AM411,原始資料!AM411))</f>
        <v/>
      </c>
      <c r="AN411">
        <f>IF(原始資料!AN411="","",IF(反向題設定!$C$43="是",反向題設定!$B$2+1-原始資料!AN411,原始資料!AN411))</f>
        <v/>
      </c>
      <c r="AO411">
        <f>IF(原始資料!AO411="","",IF(反向題設定!$C$44="是",反向題設定!$B$2+1-原始資料!AO411,原始資料!AO411))</f>
        <v/>
      </c>
      <c r="AP411">
        <f>IF(COUNT(B411:AO411)=0,"",SUM(B411:AO411))</f>
        <v/>
      </c>
      <c r="AQ411">
        <f>IF(AP411="","",IF(AP411&gt;=項目分析!$C$5,"高",IF(AP411&lt;=項目分析!$C$6,"低","")))</f>
        <v/>
      </c>
    </row>
    <row r="412">
      <c r="A412">
        <f>IF(原始資料!A412="","",原始資料!A412)</f>
        <v/>
      </c>
      <c r="B412">
        <f>IF(原始資料!B412="","",IF(反向題設定!$C$5="是",反向題設定!$B$2+1-原始資料!B412,原始資料!B412))</f>
        <v/>
      </c>
      <c r="C412">
        <f>IF(原始資料!C412="","",IF(反向題設定!$C$6="是",反向題設定!$B$2+1-原始資料!C412,原始資料!C412))</f>
        <v/>
      </c>
      <c r="D412">
        <f>IF(原始資料!D412="","",IF(反向題設定!$C$7="是",反向題設定!$B$2+1-原始資料!D412,原始資料!D412))</f>
        <v/>
      </c>
      <c r="E412">
        <f>IF(原始資料!E412="","",IF(反向題設定!$C$8="是",反向題設定!$B$2+1-原始資料!E412,原始資料!E412))</f>
        <v/>
      </c>
      <c r="F412">
        <f>IF(原始資料!F412="","",IF(反向題設定!$C$9="是",反向題設定!$B$2+1-原始資料!F412,原始資料!F412))</f>
        <v/>
      </c>
      <c r="G412">
        <f>IF(原始資料!G412="","",IF(反向題設定!$C$10="是",反向題設定!$B$2+1-原始資料!G412,原始資料!G412))</f>
        <v/>
      </c>
      <c r="H412">
        <f>IF(原始資料!H412="","",IF(反向題設定!$C$11="是",反向題設定!$B$2+1-原始資料!H412,原始資料!H412))</f>
        <v/>
      </c>
      <c r="I412">
        <f>IF(原始資料!I412="","",IF(反向題設定!$C$12="是",反向題設定!$B$2+1-原始資料!I412,原始資料!I412))</f>
        <v/>
      </c>
      <c r="J412">
        <f>IF(原始資料!J412="","",IF(反向題設定!$C$13="是",反向題設定!$B$2+1-原始資料!J412,原始資料!J412))</f>
        <v/>
      </c>
      <c r="K412">
        <f>IF(原始資料!K412="","",IF(反向題設定!$C$14="是",反向題設定!$B$2+1-原始資料!K412,原始資料!K412))</f>
        <v/>
      </c>
      <c r="L412">
        <f>IF(原始資料!L412="","",IF(反向題設定!$C$15="是",反向題設定!$B$2+1-原始資料!L412,原始資料!L412))</f>
        <v/>
      </c>
      <c r="M412">
        <f>IF(原始資料!M412="","",IF(反向題設定!$C$16="是",反向題設定!$B$2+1-原始資料!M412,原始資料!M412))</f>
        <v/>
      </c>
      <c r="N412">
        <f>IF(原始資料!N412="","",IF(反向題設定!$C$17="是",反向題設定!$B$2+1-原始資料!N412,原始資料!N412))</f>
        <v/>
      </c>
      <c r="O412">
        <f>IF(原始資料!O412="","",IF(反向題設定!$C$18="是",反向題設定!$B$2+1-原始資料!O412,原始資料!O412))</f>
        <v/>
      </c>
      <c r="P412">
        <f>IF(原始資料!P412="","",IF(反向題設定!$C$19="是",反向題設定!$B$2+1-原始資料!P412,原始資料!P412))</f>
        <v/>
      </c>
      <c r="Q412">
        <f>IF(原始資料!Q412="","",IF(反向題設定!$C$20="是",反向題設定!$B$2+1-原始資料!Q412,原始資料!Q412))</f>
        <v/>
      </c>
      <c r="R412">
        <f>IF(原始資料!R412="","",IF(反向題設定!$C$21="是",反向題設定!$B$2+1-原始資料!R412,原始資料!R412))</f>
        <v/>
      </c>
      <c r="S412">
        <f>IF(原始資料!S412="","",IF(反向題設定!$C$22="是",反向題設定!$B$2+1-原始資料!S412,原始資料!S412))</f>
        <v/>
      </c>
      <c r="T412">
        <f>IF(原始資料!T412="","",IF(反向題設定!$C$23="是",反向題設定!$B$2+1-原始資料!T412,原始資料!T412))</f>
        <v/>
      </c>
      <c r="U412">
        <f>IF(原始資料!U412="","",IF(反向題設定!$C$24="是",反向題設定!$B$2+1-原始資料!U412,原始資料!U412))</f>
        <v/>
      </c>
      <c r="V412">
        <f>IF(原始資料!V412="","",IF(反向題設定!$C$25="是",反向題設定!$B$2+1-原始資料!V412,原始資料!V412))</f>
        <v/>
      </c>
      <c r="W412">
        <f>IF(原始資料!W412="","",IF(反向題設定!$C$26="是",反向題設定!$B$2+1-原始資料!W412,原始資料!W412))</f>
        <v/>
      </c>
      <c r="X412">
        <f>IF(原始資料!X412="","",IF(反向題設定!$C$27="是",反向題設定!$B$2+1-原始資料!X412,原始資料!X412))</f>
        <v/>
      </c>
      <c r="Y412">
        <f>IF(原始資料!Y412="","",IF(反向題設定!$C$28="是",反向題設定!$B$2+1-原始資料!Y412,原始資料!Y412))</f>
        <v/>
      </c>
      <c r="Z412">
        <f>IF(原始資料!Z412="","",IF(反向題設定!$C$29="是",反向題設定!$B$2+1-原始資料!Z412,原始資料!Z412))</f>
        <v/>
      </c>
      <c r="AA412">
        <f>IF(原始資料!AA412="","",IF(反向題設定!$C$30="是",反向題設定!$B$2+1-原始資料!AA412,原始資料!AA412))</f>
        <v/>
      </c>
      <c r="AB412">
        <f>IF(原始資料!AB412="","",IF(反向題設定!$C$31="是",反向題設定!$B$2+1-原始資料!AB412,原始資料!AB412))</f>
        <v/>
      </c>
      <c r="AC412">
        <f>IF(原始資料!AC412="","",IF(反向題設定!$C$32="是",反向題設定!$B$2+1-原始資料!AC412,原始資料!AC412))</f>
        <v/>
      </c>
      <c r="AD412">
        <f>IF(原始資料!AD412="","",IF(反向題設定!$C$33="是",反向題設定!$B$2+1-原始資料!AD412,原始資料!AD412))</f>
        <v/>
      </c>
      <c r="AE412">
        <f>IF(原始資料!AE412="","",IF(反向題設定!$C$34="是",反向題設定!$B$2+1-原始資料!AE412,原始資料!AE412))</f>
        <v/>
      </c>
      <c r="AF412">
        <f>IF(原始資料!AF412="","",IF(反向題設定!$C$35="是",反向題設定!$B$2+1-原始資料!AF412,原始資料!AF412))</f>
        <v/>
      </c>
      <c r="AG412">
        <f>IF(原始資料!AG412="","",IF(反向題設定!$C$36="是",反向題設定!$B$2+1-原始資料!AG412,原始資料!AG412))</f>
        <v/>
      </c>
      <c r="AH412">
        <f>IF(原始資料!AH412="","",IF(反向題設定!$C$37="是",反向題設定!$B$2+1-原始資料!AH412,原始資料!AH412))</f>
        <v/>
      </c>
      <c r="AI412">
        <f>IF(原始資料!AI412="","",IF(反向題設定!$C$38="是",反向題設定!$B$2+1-原始資料!AI412,原始資料!AI412))</f>
        <v/>
      </c>
      <c r="AJ412">
        <f>IF(原始資料!AJ412="","",IF(反向題設定!$C$39="是",反向題設定!$B$2+1-原始資料!AJ412,原始資料!AJ412))</f>
        <v/>
      </c>
      <c r="AK412">
        <f>IF(原始資料!AK412="","",IF(反向題設定!$C$40="是",反向題設定!$B$2+1-原始資料!AK412,原始資料!AK412))</f>
        <v/>
      </c>
      <c r="AL412">
        <f>IF(原始資料!AL412="","",IF(反向題設定!$C$41="是",反向題設定!$B$2+1-原始資料!AL412,原始資料!AL412))</f>
        <v/>
      </c>
      <c r="AM412">
        <f>IF(原始資料!AM412="","",IF(反向題設定!$C$42="是",反向題設定!$B$2+1-原始資料!AM412,原始資料!AM412))</f>
        <v/>
      </c>
      <c r="AN412">
        <f>IF(原始資料!AN412="","",IF(反向題設定!$C$43="是",反向題設定!$B$2+1-原始資料!AN412,原始資料!AN412))</f>
        <v/>
      </c>
      <c r="AO412">
        <f>IF(原始資料!AO412="","",IF(反向題設定!$C$44="是",反向題設定!$B$2+1-原始資料!AO412,原始資料!AO412))</f>
        <v/>
      </c>
      <c r="AP412">
        <f>IF(COUNT(B412:AO412)=0,"",SUM(B412:AO412))</f>
        <v/>
      </c>
      <c r="AQ412">
        <f>IF(AP412="","",IF(AP412&gt;=項目分析!$C$5,"高",IF(AP412&lt;=項目分析!$C$6,"低","")))</f>
        <v/>
      </c>
    </row>
    <row r="413">
      <c r="A413">
        <f>IF(原始資料!A413="","",原始資料!A413)</f>
        <v/>
      </c>
      <c r="B413">
        <f>IF(原始資料!B413="","",IF(反向題設定!$C$5="是",反向題設定!$B$2+1-原始資料!B413,原始資料!B413))</f>
        <v/>
      </c>
      <c r="C413">
        <f>IF(原始資料!C413="","",IF(反向題設定!$C$6="是",反向題設定!$B$2+1-原始資料!C413,原始資料!C413))</f>
        <v/>
      </c>
      <c r="D413">
        <f>IF(原始資料!D413="","",IF(反向題設定!$C$7="是",反向題設定!$B$2+1-原始資料!D413,原始資料!D413))</f>
        <v/>
      </c>
      <c r="E413">
        <f>IF(原始資料!E413="","",IF(反向題設定!$C$8="是",反向題設定!$B$2+1-原始資料!E413,原始資料!E413))</f>
        <v/>
      </c>
      <c r="F413">
        <f>IF(原始資料!F413="","",IF(反向題設定!$C$9="是",反向題設定!$B$2+1-原始資料!F413,原始資料!F413))</f>
        <v/>
      </c>
      <c r="G413">
        <f>IF(原始資料!G413="","",IF(反向題設定!$C$10="是",反向題設定!$B$2+1-原始資料!G413,原始資料!G413))</f>
        <v/>
      </c>
      <c r="H413">
        <f>IF(原始資料!H413="","",IF(反向題設定!$C$11="是",反向題設定!$B$2+1-原始資料!H413,原始資料!H413))</f>
        <v/>
      </c>
      <c r="I413">
        <f>IF(原始資料!I413="","",IF(反向題設定!$C$12="是",反向題設定!$B$2+1-原始資料!I413,原始資料!I413))</f>
        <v/>
      </c>
      <c r="J413">
        <f>IF(原始資料!J413="","",IF(反向題設定!$C$13="是",反向題設定!$B$2+1-原始資料!J413,原始資料!J413))</f>
        <v/>
      </c>
      <c r="K413">
        <f>IF(原始資料!K413="","",IF(反向題設定!$C$14="是",反向題設定!$B$2+1-原始資料!K413,原始資料!K413))</f>
        <v/>
      </c>
      <c r="L413">
        <f>IF(原始資料!L413="","",IF(反向題設定!$C$15="是",反向題設定!$B$2+1-原始資料!L413,原始資料!L413))</f>
        <v/>
      </c>
      <c r="M413">
        <f>IF(原始資料!M413="","",IF(反向題設定!$C$16="是",反向題設定!$B$2+1-原始資料!M413,原始資料!M413))</f>
        <v/>
      </c>
      <c r="N413">
        <f>IF(原始資料!N413="","",IF(反向題設定!$C$17="是",反向題設定!$B$2+1-原始資料!N413,原始資料!N413))</f>
        <v/>
      </c>
      <c r="O413">
        <f>IF(原始資料!O413="","",IF(反向題設定!$C$18="是",反向題設定!$B$2+1-原始資料!O413,原始資料!O413))</f>
        <v/>
      </c>
      <c r="P413">
        <f>IF(原始資料!P413="","",IF(反向題設定!$C$19="是",反向題設定!$B$2+1-原始資料!P413,原始資料!P413))</f>
        <v/>
      </c>
      <c r="Q413">
        <f>IF(原始資料!Q413="","",IF(反向題設定!$C$20="是",反向題設定!$B$2+1-原始資料!Q413,原始資料!Q413))</f>
        <v/>
      </c>
      <c r="R413">
        <f>IF(原始資料!R413="","",IF(反向題設定!$C$21="是",反向題設定!$B$2+1-原始資料!R413,原始資料!R413))</f>
        <v/>
      </c>
      <c r="S413">
        <f>IF(原始資料!S413="","",IF(反向題設定!$C$22="是",反向題設定!$B$2+1-原始資料!S413,原始資料!S413))</f>
        <v/>
      </c>
      <c r="T413">
        <f>IF(原始資料!T413="","",IF(反向題設定!$C$23="是",反向題設定!$B$2+1-原始資料!T413,原始資料!T413))</f>
        <v/>
      </c>
      <c r="U413">
        <f>IF(原始資料!U413="","",IF(反向題設定!$C$24="是",反向題設定!$B$2+1-原始資料!U413,原始資料!U413))</f>
        <v/>
      </c>
      <c r="V413">
        <f>IF(原始資料!V413="","",IF(反向題設定!$C$25="是",反向題設定!$B$2+1-原始資料!V413,原始資料!V413))</f>
        <v/>
      </c>
      <c r="W413">
        <f>IF(原始資料!W413="","",IF(反向題設定!$C$26="是",反向題設定!$B$2+1-原始資料!W413,原始資料!W413))</f>
        <v/>
      </c>
      <c r="X413">
        <f>IF(原始資料!X413="","",IF(反向題設定!$C$27="是",反向題設定!$B$2+1-原始資料!X413,原始資料!X413))</f>
        <v/>
      </c>
      <c r="Y413">
        <f>IF(原始資料!Y413="","",IF(反向題設定!$C$28="是",反向題設定!$B$2+1-原始資料!Y413,原始資料!Y413))</f>
        <v/>
      </c>
      <c r="Z413">
        <f>IF(原始資料!Z413="","",IF(反向題設定!$C$29="是",反向題設定!$B$2+1-原始資料!Z413,原始資料!Z413))</f>
        <v/>
      </c>
      <c r="AA413">
        <f>IF(原始資料!AA413="","",IF(反向題設定!$C$30="是",反向題設定!$B$2+1-原始資料!AA413,原始資料!AA413))</f>
        <v/>
      </c>
      <c r="AB413">
        <f>IF(原始資料!AB413="","",IF(反向題設定!$C$31="是",反向題設定!$B$2+1-原始資料!AB413,原始資料!AB413))</f>
        <v/>
      </c>
      <c r="AC413">
        <f>IF(原始資料!AC413="","",IF(反向題設定!$C$32="是",反向題設定!$B$2+1-原始資料!AC413,原始資料!AC413))</f>
        <v/>
      </c>
      <c r="AD413">
        <f>IF(原始資料!AD413="","",IF(反向題設定!$C$33="是",反向題設定!$B$2+1-原始資料!AD413,原始資料!AD413))</f>
        <v/>
      </c>
      <c r="AE413">
        <f>IF(原始資料!AE413="","",IF(反向題設定!$C$34="是",反向題設定!$B$2+1-原始資料!AE413,原始資料!AE413))</f>
        <v/>
      </c>
      <c r="AF413">
        <f>IF(原始資料!AF413="","",IF(反向題設定!$C$35="是",反向題設定!$B$2+1-原始資料!AF413,原始資料!AF413))</f>
        <v/>
      </c>
      <c r="AG413">
        <f>IF(原始資料!AG413="","",IF(反向題設定!$C$36="是",反向題設定!$B$2+1-原始資料!AG413,原始資料!AG413))</f>
        <v/>
      </c>
      <c r="AH413">
        <f>IF(原始資料!AH413="","",IF(反向題設定!$C$37="是",反向題設定!$B$2+1-原始資料!AH413,原始資料!AH413))</f>
        <v/>
      </c>
      <c r="AI413">
        <f>IF(原始資料!AI413="","",IF(反向題設定!$C$38="是",反向題設定!$B$2+1-原始資料!AI413,原始資料!AI413))</f>
        <v/>
      </c>
      <c r="AJ413">
        <f>IF(原始資料!AJ413="","",IF(反向題設定!$C$39="是",反向題設定!$B$2+1-原始資料!AJ413,原始資料!AJ413))</f>
        <v/>
      </c>
      <c r="AK413">
        <f>IF(原始資料!AK413="","",IF(反向題設定!$C$40="是",反向題設定!$B$2+1-原始資料!AK413,原始資料!AK413))</f>
        <v/>
      </c>
      <c r="AL413">
        <f>IF(原始資料!AL413="","",IF(反向題設定!$C$41="是",反向題設定!$B$2+1-原始資料!AL413,原始資料!AL413))</f>
        <v/>
      </c>
      <c r="AM413">
        <f>IF(原始資料!AM413="","",IF(反向題設定!$C$42="是",反向題設定!$B$2+1-原始資料!AM413,原始資料!AM413))</f>
        <v/>
      </c>
      <c r="AN413">
        <f>IF(原始資料!AN413="","",IF(反向題設定!$C$43="是",反向題設定!$B$2+1-原始資料!AN413,原始資料!AN413))</f>
        <v/>
      </c>
      <c r="AO413">
        <f>IF(原始資料!AO413="","",IF(反向題設定!$C$44="是",反向題設定!$B$2+1-原始資料!AO413,原始資料!AO413))</f>
        <v/>
      </c>
      <c r="AP413">
        <f>IF(COUNT(B413:AO413)=0,"",SUM(B413:AO413))</f>
        <v/>
      </c>
      <c r="AQ413">
        <f>IF(AP413="","",IF(AP413&gt;=項目分析!$C$5,"高",IF(AP413&lt;=項目分析!$C$6,"低","")))</f>
        <v/>
      </c>
    </row>
    <row r="414">
      <c r="A414">
        <f>IF(原始資料!A414="","",原始資料!A414)</f>
        <v/>
      </c>
      <c r="B414">
        <f>IF(原始資料!B414="","",IF(反向題設定!$C$5="是",反向題設定!$B$2+1-原始資料!B414,原始資料!B414))</f>
        <v/>
      </c>
      <c r="C414">
        <f>IF(原始資料!C414="","",IF(反向題設定!$C$6="是",反向題設定!$B$2+1-原始資料!C414,原始資料!C414))</f>
        <v/>
      </c>
      <c r="D414">
        <f>IF(原始資料!D414="","",IF(反向題設定!$C$7="是",反向題設定!$B$2+1-原始資料!D414,原始資料!D414))</f>
        <v/>
      </c>
      <c r="E414">
        <f>IF(原始資料!E414="","",IF(反向題設定!$C$8="是",反向題設定!$B$2+1-原始資料!E414,原始資料!E414))</f>
        <v/>
      </c>
      <c r="F414">
        <f>IF(原始資料!F414="","",IF(反向題設定!$C$9="是",反向題設定!$B$2+1-原始資料!F414,原始資料!F414))</f>
        <v/>
      </c>
      <c r="G414">
        <f>IF(原始資料!G414="","",IF(反向題設定!$C$10="是",反向題設定!$B$2+1-原始資料!G414,原始資料!G414))</f>
        <v/>
      </c>
      <c r="H414">
        <f>IF(原始資料!H414="","",IF(反向題設定!$C$11="是",反向題設定!$B$2+1-原始資料!H414,原始資料!H414))</f>
        <v/>
      </c>
      <c r="I414">
        <f>IF(原始資料!I414="","",IF(反向題設定!$C$12="是",反向題設定!$B$2+1-原始資料!I414,原始資料!I414))</f>
        <v/>
      </c>
      <c r="J414">
        <f>IF(原始資料!J414="","",IF(反向題設定!$C$13="是",反向題設定!$B$2+1-原始資料!J414,原始資料!J414))</f>
        <v/>
      </c>
      <c r="K414">
        <f>IF(原始資料!K414="","",IF(反向題設定!$C$14="是",反向題設定!$B$2+1-原始資料!K414,原始資料!K414))</f>
        <v/>
      </c>
      <c r="L414">
        <f>IF(原始資料!L414="","",IF(反向題設定!$C$15="是",反向題設定!$B$2+1-原始資料!L414,原始資料!L414))</f>
        <v/>
      </c>
      <c r="M414">
        <f>IF(原始資料!M414="","",IF(反向題設定!$C$16="是",反向題設定!$B$2+1-原始資料!M414,原始資料!M414))</f>
        <v/>
      </c>
      <c r="N414">
        <f>IF(原始資料!N414="","",IF(反向題設定!$C$17="是",反向題設定!$B$2+1-原始資料!N414,原始資料!N414))</f>
        <v/>
      </c>
      <c r="O414">
        <f>IF(原始資料!O414="","",IF(反向題設定!$C$18="是",反向題設定!$B$2+1-原始資料!O414,原始資料!O414))</f>
        <v/>
      </c>
      <c r="P414">
        <f>IF(原始資料!P414="","",IF(反向題設定!$C$19="是",反向題設定!$B$2+1-原始資料!P414,原始資料!P414))</f>
        <v/>
      </c>
      <c r="Q414">
        <f>IF(原始資料!Q414="","",IF(反向題設定!$C$20="是",反向題設定!$B$2+1-原始資料!Q414,原始資料!Q414))</f>
        <v/>
      </c>
      <c r="R414">
        <f>IF(原始資料!R414="","",IF(反向題設定!$C$21="是",反向題設定!$B$2+1-原始資料!R414,原始資料!R414))</f>
        <v/>
      </c>
      <c r="S414">
        <f>IF(原始資料!S414="","",IF(反向題設定!$C$22="是",反向題設定!$B$2+1-原始資料!S414,原始資料!S414))</f>
        <v/>
      </c>
      <c r="T414">
        <f>IF(原始資料!T414="","",IF(反向題設定!$C$23="是",反向題設定!$B$2+1-原始資料!T414,原始資料!T414))</f>
        <v/>
      </c>
      <c r="U414">
        <f>IF(原始資料!U414="","",IF(反向題設定!$C$24="是",反向題設定!$B$2+1-原始資料!U414,原始資料!U414))</f>
        <v/>
      </c>
      <c r="V414">
        <f>IF(原始資料!V414="","",IF(反向題設定!$C$25="是",反向題設定!$B$2+1-原始資料!V414,原始資料!V414))</f>
        <v/>
      </c>
      <c r="W414">
        <f>IF(原始資料!W414="","",IF(反向題設定!$C$26="是",反向題設定!$B$2+1-原始資料!W414,原始資料!W414))</f>
        <v/>
      </c>
      <c r="X414">
        <f>IF(原始資料!X414="","",IF(反向題設定!$C$27="是",反向題設定!$B$2+1-原始資料!X414,原始資料!X414))</f>
        <v/>
      </c>
      <c r="Y414">
        <f>IF(原始資料!Y414="","",IF(反向題設定!$C$28="是",反向題設定!$B$2+1-原始資料!Y414,原始資料!Y414))</f>
        <v/>
      </c>
      <c r="Z414">
        <f>IF(原始資料!Z414="","",IF(反向題設定!$C$29="是",反向題設定!$B$2+1-原始資料!Z414,原始資料!Z414))</f>
        <v/>
      </c>
      <c r="AA414">
        <f>IF(原始資料!AA414="","",IF(反向題設定!$C$30="是",反向題設定!$B$2+1-原始資料!AA414,原始資料!AA414))</f>
        <v/>
      </c>
      <c r="AB414">
        <f>IF(原始資料!AB414="","",IF(反向題設定!$C$31="是",反向題設定!$B$2+1-原始資料!AB414,原始資料!AB414))</f>
        <v/>
      </c>
      <c r="AC414">
        <f>IF(原始資料!AC414="","",IF(反向題設定!$C$32="是",反向題設定!$B$2+1-原始資料!AC414,原始資料!AC414))</f>
        <v/>
      </c>
      <c r="AD414">
        <f>IF(原始資料!AD414="","",IF(反向題設定!$C$33="是",反向題設定!$B$2+1-原始資料!AD414,原始資料!AD414))</f>
        <v/>
      </c>
      <c r="AE414">
        <f>IF(原始資料!AE414="","",IF(反向題設定!$C$34="是",反向題設定!$B$2+1-原始資料!AE414,原始資料!AE414))</f>
        <v/>
      </c>
      <c r="AF414">
        <f>IF(原始資料!AF414="","",IF(反向題設定!$C$35="是",反向題設定!$B$2+1-原始資料!AF414,原始資料!AF414))</f>
        <v/>
      </c>
      <c r="AG414">
        <f>IF(原始資料!AG414="","",IF(反向題設定!$C$36="是",反向題設定!$B$2+1-原始資料!AG414,原始資料!AG414))</f>
        <v/>
      </c>
      <c r="AH414">
        <f>IF(原始資料!AH414="","",IF(反向題設定!$C$37="是",反向題設定!$B$2+1-原始資料!AH414,原始資料!AH414))</f>
        <v/>
      </c>
      <c r="AI414">
        <f>IF(原始資料!AI414="","",IF(反向題設定!$C$38="是",反向題設定!$B$2+1-原始資料!AI414,原始資料!AI414))</f>
        <v/>
      </c>
      <c r="AJ414">
        <f>IF(原始資料!AJ414="","",IF(反向題設定!$C$39="是",反向題設定!$B$2+1-原始資料!AJ414,原始資料!AJ414))</f>
        <v/>
      </c>
      <c r="AK414">
        <f>IF(原始資料!AK414="","",IF(反向題設定!$C$40="是",反向題設定!$B$2+1-原始資料!AK414,原始資料!AK414))</f>
        <v/>
      </c>
      <c r="AL414">
        <f>IF(原始資料!AL414="","",IF(反向題設定!$C$41="是",反向題設定!$B$2+1-原始資料!AL414,原始資料!AL414))</f>
        <v/>
      </c>
      <c r="AM414">
        <f>IF(原始資料!AM414="","",IF(反向題設定!$C$42="是",反向題設定!$B$2+1-原始資料!AM414,原始資料!AM414))</f>
        <v/>
      </c>
      <c r="AN414">
        <f>IF(原始資料!AN414="","",IF(反向題設定!$C$43="是",反向題設定!$B$2+1-原始資料!AN414,原始資料!AN414))</f>
        <v/>
      </c>
      <c r="AO414">
        <f>IF(原始資料!AO414="","",IF(反向題設定!$C$44="是",反向題設定!$B$2+1-原始資料!AO414,原始資料!AO414))</f>
        <v/>
      </c>
      <c r="AP414">
        <f>IF(COUNT(B414:AO414)=0,"",SUM(B414:AO414))</f>
        <v/>
      </c>
      <c r="AQ414">
        <f>IF(AP414="","",IF(AP414&gt;=項目分析!$C$5,"高",IF(AP414&lt;=項目分析!$C$6,"低","")))</f>
        <v/>
      </c>
    </row>
    <row r="415">
      <c r="A415">
        <f>IF(原始資料!A415="","",原始資料!A415)</f>
        <v/>
      </c>
      <c r="B415">
        <f>IF(原始資料!B415="","",IF(反向題設定!$C$5="是",反向題設定!$B$2+1-原始資料!B415,原始資料!B415))</f>
        <v/>
      </c>
      <c r="C415">
        <f>IF(原始資料!C415="","",IF(反向題設定!$C$6="是",反向題設定!$B$2+1-原始資料!C415,原始資料!C415))</f>
        <v/>
      </c>
      <c r="D415">
        <f>IF(原始資料!D415="","",IF(反向題設定!$C$7="是",反向題設定!$B$2+1-原始資料!D415,原始資料!D415))</f>
        <v/>
      </c>
      <c r="E415">
        <f>IF(原始資料!E415="","",IF(反向題設定!$C$8="是",反向題設定!$B$2+1-原始資料!E415,原始資料!E415))</f>
        <v/>
      </c>
      <c r="F415">
        <f>IF(原始資料!F415="","",IF(反向題設定!$C$9="是",反向題設定!$B$2+1-原始資料!F415,原始資料!F415))</f>
        <v/>
      </c>
      <c r="G415">
        <f>IF(原始資料!G415="","",IF(反向題設定!$C$10="是",反向題設定!$B$2+1-原始資料!G415,原始資料!G415))</f>
        <v/>
      </c>
      <c r="H415">
        <f>IF(原始資料!H415="","",IF(反向題設定!$C$11="是",反向題設定!$B$2+1-原始資料!H415,原始資料!H415))</f>
        <v/>
      </c>
      <c r="I415">
        <f>IF(原始資料!I415="","",IF(反向題設定!$C$12="是",反向題設定!$B$2+1-原始資料!I415,原始資料!I415))</f>
        <v/>
      </c>
      <c r="J415">
        <f>IF(原始資料!J415="","",IF(反向題設定!$C$13="是",反向題設定!$B$2+1-原始資料!J415,原始資料!J415))</f>
        <v/>
      </c>
      <c r="K415">
        <f>IF(原始資料!K415="","",IF(反向題設定!$C$14="是",反向題設定!$B$2+1-原始資料!K415,原始資料!K415))</f>
        <v/>
      </c>
      <c r="L415">
        <f>IF(原始資料!L415="","",IF(反向題設定!$C$15="是",反向題設定!$B$2+1-原始資料!L415,原始資料!L415))</f>
        <v/>
      </c>
      <c r="M415">
        <f>IF(原始資料!M415="","",IF(反向題設定!$C$16="是",反向題設定!$B$2+1-原始資料!M415,原始資料!M415))</f>
        <v/>
      </c>
      <c r="N415">
        <f>IF(原始資料!N415="","",IF(反向題設定!$C$17="是",反向題設定!$B$2+1-原始資料!N415,原始資料!N415))</f>
        <v/>
      </c>
      <c r="O415">
        <f>IF(原始資料!O415="","",IF(反向題設定!$C$18="是",反向題設定!$B$2+1-原始資料!O415,原始資料!O415))</f>
        <v/>
      </c>
      <c r="P415">
        <f>IF(原始資料!P415="","",IF(反向題設定!$C$19="是",反向題設定!$B$2+1-原始資料!P415,原始資料!P415))</f>
        <v/>
      </c>
      <c r="Q415">
        <f>IF(原始資料!Q415="","",IF(反向題設定!$C$20="是",反向題設定!$B$2+1-原始資料!Q415,原始資料!Q415))</f>
        <v/>
      </c>
      <c r="R415">
        <f>IF(原始資料!R415="","",IF(反向題設定!$C$21="是",反向題設定!$B$2+1-原始資料!R415,原始資料!R415))</f>
        <v/>
      </c>
      <c r="S415">
        <f>IF(原始資料!S415="","",IF(反向題設定!$C$22="是",反向題設定!$B$2+1-原始資料!S415,原始資料!S415))</f>
        <v/>
      </c>
      <c r="T415">
        <f>IF(原始資料!T415="","",IF(反向題設定!$C$23="是",反向題設定!$B$2+1-原始資料!T415,原始資料!T415))</f>
        <v/>
      </c>
      <c r="U415">
        <f>IF(原始資料!U415="","",IF(反向題設定!$C$24="是",反向題設定!$B$2+1-原始資料!U415,原始資料!U415))</f>
        <v/>
      </c>
      <c r="V415">
        <f>IF(原始資料!V415="","",IF(反向題設定!$C$25="是",反向題設定!$B$2+1-原始資料!V415,原始資料!V415))</f>
        <v/>
      </c>
      <c r="W415">
        <f>IF(原始資料!W415="","",IF(反向題設定!$C$26="是",反向題設定!$B$2+1-原始資料!W415,原始資料!W415))</f>
        <v/>
      </c>
      <c r="X415">
        <f>IF(原始資料!X415="","",IF(反向題設定!$C$27="是",反向題設定!$B$2+1-原始資料!X415,原始資料!X415))</f>
        <v/>
      </c>
      <c r="Y415">
        <f>IF(原始資料!Y415="","",IF(反向題設定!$C$28="是",反向題設定!$B$2+1-原始資料!Y415,原始資料!Y415))</f>
        <v/>
      </c>
      <c r="Z415">
        <f>IF(原始資料!Z415="","",IF(反向題設定!$C$29="是",反向題設定!$B$2+1-原始資料!Z415,原始資料!Z415))</f>
        <v/>
      </c>
      <c r="AA415">
        <f>IF(原始資料!AA415="","",IF(反向題設定!$C$30="是",反向題設定!$B$2+1-原始資料!AA415,原始資料!AA415))</f>
        <v/>
      </c>
      <c r="AB415">
        <f>IF(原始資料!AB415="","",IF(反向題設定!$C$31="是",反向題設定!$B$2+1-原始資料!AB415,原始資料!AB415))</f>
        <v/>
      </c>
      <c r="AC415">
        <f>IF(原始資料!AC415="","",IF(反向題設定!$C$32="是",反向題設定!$B$2+1-原始資料!AC415,原始資料!AC415))</f>
        <v/>
      </c>
      <c r="AD415">
        <f>IF(原始資料!AD415="","",IF(反向題設定!$C$33="是",反向題設定!$B$2+1-原始資料!AD415,原始資料!AD415))</f>
        <v/>
      </c>
      <c r="AE415">
        <f>IF(原始資料!AE415="","",IF(反向題設定!$C$34="是",反向題設定!$B$2+1-原始資料!AE415,原始資料!AE415))</f>
        <v/>
      </c>
      <c r="AF415">
        <f>IF(原始資料!AF415="","",IF(反向題設定!$C$35="是",反向題設定!$B$2+1-原始資料!AF415,原始資料!AF415))</f>
        <v/>
      </c>
      <c r="AG415">
        <f>IF(原始資料!AG415="","",IF(反向題設定!$C$36="是",反向題設定!$B$2+1-原始資料!AG415,原始資料!AG415))</f>
        <v/>
      </c>
      <c r="AH415">
        <f>IF(原始資料!AH415="","",IF(反向題設定!$C$37="是",反向題設定!$B$2+1-原始資料!AH415,原始資料!AH415))</f>
        <v/>
      </c>
      <c r="AI415">
        <f>IF(原始資料!AI415="","",IF(反向題設定!$C$38="是",反向題設定!$B$2+1-原始資料!AI415,原始資料!AI415))</f>
        <v/>
      </c>
      <c r="AJ415">
        <f>IF(原始資料!AJ415="","",IF(反向題設定!$C$39="是",反向題設定!$B$2+1-原始資料!AJ415,原始資料!AJ415))</f>
        <v/>
      </c>
      <c r="AK415">
        <f>IF(原始資料!AK415="","",IF(反向題設定!$C$40="是",反向題設定!$B$2+1-原始資料!AK415,原始資料!AK415))</f>
        <v/>
      </c>
      <c r="AL415">
        <f>IF(原始資料!AL415="","",IF(反向題設定!$C$41="是",反向題設定!$B$2+1-原始資料!AL415,原始資料!AL415))</f>
        <v/>
      </c>
      <c r="AM415">
        <f>IF(原始資料!AM415="","",IF(反向題設定!$C$42="是",反向題設定!$B$2+1-原始資料!AM415,原始資料!AM415))</f>
        <v/>
      </c>
      <c r="AN415">
        <f>IF(原始資料!AN415="","",IF(反向題設定!$C$43="是",反向題設定!$B$2+1-原始資料!AN415,原始資料!AN415))</f>
        <v/>
      </c>
      <c r="AO415">
        <f>IF(原始資料!AO415="","",IF(反向題設定!$C$44="是",反向題設定!$B$2+1-原始資料!AO415,原始資料!AO415))</f>
        <v/>
      </c>
      <c r="AP415">
        <f>IF(COUNT(B415:AO415)=0,"",SUM(B415:AO415))</f>
        <v/>
      </c>
      <c r="AQ415">
        <f>IF(AP415="","",IF(AP415&gt;=項目分析!$C$5,"高",IF(AP415&lt;=項目分析!$C$6,"低","")))</f>
        <v/>
      </c>
    </row>
    <row r="416">
      <c r="A416">
        <f>IF(原始資料!A416="","",原始資料!A416)</f>
        <v/>
      </c>
      <c r="B416">
        <f>IF(原始資料!B416="","",IF(反向題設定!$C$5="是",反向題設定!$B$2+1-原始資料!B416,原始資料!B416))</f>
        <v/>
      </c>
      <c r="C416">
        <f>IF(原始資料!C416="","",IF(反向題設定!$C$6="是",反向題設定!$B$2+1-原始資料!C416,原始資料!C416))</f>
        <v/>
      </c>
      <c r="D416">
        <f>IF(原始資料!D416="","",IF(反向題設定!$C$7="是",反向題設定!$B$2+1-原始資料!D416,原始資料!D416))</f>
        <v/>
      </c>
      <c r="E416">
        <f>IF(原始資料!E416="","",IF(反向題設定!$C$8="是",反向題設定!$B$2+1-原始資料!E416,原始資料!E416))</f>
        <v/>
      </c>
      <c r="F416">
        <f>IF(原始資料!F416="","",IF(反向題設定!$C$9="是",反向題設定!$B$2+1-原始資料!F416,原始資料!F416))</f>
        <v/>
      </c>
      <c r="G416">
        <f>IF(原始資料!G416="","",IF(反向題設定!$C$10="是",反向題設定!$B$2+1-原始資料!G416,原始資料!G416))</f>
        <v/>
      </c>
      <c r="H416">
        <f>IF(原始資料!H416="","",IF(反向題設定!$C$11="是",反向題設定!$B$2+1-原始資料!H416,原始資料!H416))</f>
        <v/>
      </c>
      <c r="I416">
        <f>IF(原始資料!I416="","",IF(反向題設定!$C$12="是",反向題設定!$B$2+1-原始資料!I416,原始資料!I416))</f>
        <v/>
      </c>
      <c r="J416">
        <f>IF(原始資料!J416="","",IF(反向題設定!$C$13="是",反向題設定!$B$2+1-原始資料!J416,原始資料!J416))</f>
        <v/>
      </c>
      <c r="K416">
        <f>IF(原始資料!K416="","",IF(反向題設定!$C$14="是",反向題設定!$B$2+1-原始資料!K416,原始資料!K416))</f>
        <v/>
      </c>
      <c r="L416">
        <f>IF(原始資料!L416="","",IF(反向題設定!$C$15="是",反向題設定!$B$2+1-原始資料!L416,原始資料!L416))</f>
        <v/>
      </c>
      <c r="M416">
        <f>IF(原始資料!M416="","",IF(反向題設定!$C$16="是",反向題設定!$B$2+1-原始資料!M416,原始資料!M416))</f>
        <v/>
      </c>
      <c r="N416">
        <f>IF(原始資料!N416="","",IF(反向題設定!$C$17="是",反向題設定!$B$2+1-原始資料!N416,原始資料!N416))</f>
        <v/>
      </c>
      <c r="O416">
        <f>IF(原始資料!O416="","",IF(反向題設定!$C$18="是",反向題設定!$B$2+1-原始資料!O416,原始資料!O416))</f>
        <v/>
      </c>
      <c r="P416">
        <f>IF(原始資料!P416="","",IF(反向題設定!$C$19="是",反向題設定!$B$2+1-原始資料!P416,原始資料!P416))</f>
        <v/>
      </c>
      <c r="Q416">
        <f>IF(原始資料!Q416="","",IF(反向題設定!$C$20="是",反向題設定!$B$2+1-原始資料!Q416,原始資料!Q416))</f>
        <v/>
      </c>
      <c r="R416">
        <f>IF(原始資料!R416="","",IF(反向題設定!$C$21="是",反向題設定!$B$2+1-原始資料!R416,原始資料!R416))</f>
        <v/>
      </c>
      <c r="S416">
        <f>IF(原始資料!S416="","",IF(反向題設定!$C$22="是",反向題設定!$B$2+1-原始資料!S416,原始資料!S416))</f>
        <v/>
      </c>
      <c r="T416">
        <f>IF(原始資料!T416="","",IF(反向題設定!$C$23="是",反向題設定!$B$2+1-原始資料!T416,原始資料!T416))</f>
        <v/>
      </c>
      <c r="U416">
        <f>IF(原始資料!U416="","",IF(反向題設定!$C$24="是",反向題設定!$B$2+1-原始資料!U416,原始資料!U416))</f>
        <v/>
      </c>
      <c r="V416">
        <f>IF(原始資料!V416="","",IF(反向題設定!$C$25="是",反向題設定!$B$2+1-原始資料!V416,原始資料!V416))</f>
        <v/>
      </c>
      <c r="W416">
        <f>IF(原始資料!W416="","",IF(反向題設定!$C$26="是",反向題設定!$B$2+1-原始資料!W416,原始資料!W416))</f>
        <v/>
      </c>
      <c r="X416">
        <f>IF(原始資料!X416="","",IF(反向題設定!$C$27="是",反向題設定!$B$2+1-原始資料!X416,原始資料!X416))</f>
        <v/>
      </c>
      <c r="Y416">
        <f>IF(原始資料!Y416="","",IF(反向題設定!$C$28="是",反向題設定!$B$2+1-原始資料!Y416,原始資料!Y416))</f>
        <v/>
      </c>
      <c r="Z416">
        <f>IF(原始資料!Z416="","",IF(反向題設定!$C$29="是",反向題設定!$B$2+1-原始資料!Z416,原始資料!Z416))</f>
        <v/>
      </c>
      <c r="AA416">
        <f>IF(原始資料!AA416="","",IF(反向題設定!$C$30="是",反向題設定!$B$2+1-原始資料!AA416,原始資料!AA416))</f>
        <v/>
      </c>
      <c r="AB416">
        <f>IF(原始資料!AB416="","",IF(反向題設定!$C$31="是",反向題設定!$B$2+1-原始資料!AB416,原始資料!AB416))</f>
        <v/>
      </c>
      <c r="AC416">
        <f>IF(原始資料!AC416="","",IF(反向題設定!$C$32="是",反向題設定!$B$2+1-原始資料!AC416,原始資料!AC416))</f>
        <v/>
      </c>
      <c r="AD416">
        <f>IF(原始資料!AD416="","",IF(反向題設定!$C$33="是",反向題設定!$B$2+1-原始資料!AD416,原始資料!AD416))</f>
        <v/>
      </c>
      <c r="AE416">
        <f>IF(原始資料!AE416="","",IF(反向題設定!$C$34="是",反向題設定!$B$2+1-原始資料!AE416,原始資料!AE416))</f>
        <v/>
      </c>
      <c r="AF416">
        <f>IF(原始資料!AF416="","",IF(反向題設定!$C$35="是",反向題設定!$B$2+1-原始資料!AF416,原始資料!AF416))</f>
        <v/>
      </c>
      <c r="AG416">
        <f>IF(原始資料!AG416="","",IF(反向題設定!$C$36="是",反向題設定!$B$2+1-原始資料!AG416,原始資料!AG416))</f>
        <v/>
      </c>
      <c r="AH416">
        <f>IF(原始資料!AH416="","",IF(反向題設定!$C$37="是",反向題設定!$B$2+1-原始資料!AH416,原始資料!AH416))</f>
        <v/>
      </c>
      <c r="AI416">
        <f>IF(原始資料!AI416="","",IF(反向題設定!$C$38="是",反向題設定!$B$2+1-原始資料!AI416,原始資料!AI416))</f>
        <v/>
      </c>
      <c r="AJ416">
        <f>IF(原始資料!AJ416="","",IF(反向題設定!$C$39="是",反向題設定!$B$2+1-原始資料!AJ416,原始資料!AJ416))</f>
        <v/>
      </c>
      <c r="AK416">
        <f>IF(原始資料!AK416="","",IF(反向題設定!$C$40="是",反向題設定!$B$2+1-原始資料!AK416,原始資料!AK416))</f>
        <v/>
      </c>
      <c r="AL416">
        <f>IF(原始資料!AL416="","",IF(反向題設定!$C$41="是",反向題設定!$B$2+1-原始資料!AL416,原始資料!AL416))</f>
        <v/>
      </c>
      <c r="AM416">
        <f>IF(原始資料!AM416="","",IF(反向題設定!$C$42="是",反向題設定!$B$2+1-原始資料!AM416,原始資料!AM416))</f>
        <v/>
      </c>
      <c r="AN416">
        <f>IF(原始資料!AN416="","",IF(反向題設定!$C$43="是",反向題設定!$B$2+1-原始資料!AN416,原始資料!AN416))</f>
        <v/>
      </c>
      <c r="AO416">
        <f>IF(原始資料!AO416="","",IF(反向題設定!$C$44="是",反向題設定!$B$2+1-原始資料!AO416,原始資料!AO416))</f>
        <v/>
      </c>
      <c r="AP416">
        <f>IF(COUNT(B416:AO416)=0,"",SUM(B416:AO416))</f>
        <v/>
      </c>
      <c r="AQ416">
        <f>IF(AP416="","",IF(AP416&gt;=項目分析!$C$5,"高",IF(AP416&lt;=項目分析!$C$6,"低","")))</f>
        <v/>
      </c>
    </row>
    <row r="417">
      <c r="A417">
        <f>IF(原始資料!A417="","",原始資料!A417)</f>
        <v/>
      </c>
      <c r="B417">
        <f>IF(原始資料!B417="","",IF(反向題設定!$C$5="是",反向題設定!$B$2+1-原始資料!B417,原始資料!B417))</f>
        <v/>
      </c>
      <c r="C417">
        <f>IF(原始資料!C417="","",IF(反向題設定!$C$6="是",反向題設定!$B$2+1-原始資料!C417,原始資料!C417))</f>
        <v/>
      </c>
      <c r="D417">
        <f>IF(原始資料!D417="","",IF(反向題設定!$C$7="是",反向題設定!$B$2+1-原始資料!D417,原始資料!D417))</f>
        <v/>
      </c>
      <c r="E417">
        <f>IF(原始資料!E417="","",IF(反向題設定!$C$8="是",反向題設定!$B$2+1-原始資料!E417,原始資料!E417))</f>
        <v/>
      </c>
      <c r="F417">
        <f>IF(原始資料!F417="","",IF(反向題設定!$C$9="是",反向題設定!$B$2+1-原始資料!F417,原始資料!F417))</f>
        <v/>
      </c>
      <c r="G417">
        <f>IF(原始資料!G417="","",IF(反向題設定!$C$10="是",反向題設定!$B$2+1-原始資料!G417,原始資料!G417))</f>
        <v/>
      </c>
      <c r="H417">
        <f>IF(原始資料!H417="","",IF(反向題設定!$C$11="是",反向題設定!$B$2+1-原始資料!H417,原始資料!H417))</f>
        <v/>
      </c>
      <c r="I417">
        <f>IF(原始資料!I417="","",IF(反向題設定!$C$12="是",反向題設定!$B$2+1-原始資料!I417,原始資料!I417))</f>
        <v/>
      </c>
      <c r="J417">
        <f>IF(原始資料!J417="","",IF(反向題設定!$C$13="是",反向題設定!$B$2+1-原始資料!J417,原始資料!J417))</f>
        <v/>
      </c>
      <c r="K417">
        <f>IF(原始資料!K417="","",IF(反向題設定!$C$14="是",反向題設定!$B$2+1-原始資料!K417,原始資料!K417))</f>
        <v/>
      </c>
      <c r="L417">
        <f>IF(原始資料!L417="","",IF(反向題設定!$C$15="是",反向題設定!$B$2+1-原始資料!L417,原始資料!L417))</f>
        <v/>
      </c>
      <c r="M417">
        <f>IF(原始資料!M417="","",IF(反向題設定!$C$16="是",反向題設定!$B$2+1-原始資料!M417,原始資料!M417))</f>
        <v/>
      </c>
      <c r="N417">
        <f>IF(原始資料!N417="","",IF(反向題設定!$C$17="是",反向題設定!$B$2+1-原始資料!N417,原始資料!N417))</f>
        <v/>
      </c>
      <c r="O417">
        <f>IF(原始資料!O417="","",IF(反向題設定!$C$18="是",反向題設定!$B$2+1-原始資料!O417,原始資料!O417))</f>
        <v/>
      </c>
      <c r="P417">
        <f>IF(原始資料!P417="","",IF(反向題設定!$C$19="是",反向題設定!$B$2+1-原始資料!P417,原始資料!P417))</f>
        <v/>
      </c>
      <c r="Q417">
        <f>IF(原始資料!Q417="","",IF(反向題設定!$C$20="是",反向題設定!$B$2+1-原始資料!Q417,原始資料!Q417))</f>
        <v/>
      </c>
      <c r="R417">
        <f>IF(原始資料!R417="","",IF(反向題設定!$C$21="是",反向題設定!$B$2+1-原始資料!R417,原始資料!R417))</f>
        <v/>
      </c>
      <c r="S417">
        <f>IF(原始資料!S417="","",IF(反向題設定!$C$22="是",反向題設定!$B$2+1-原始資料!S417,原始資料!S417))</f>
        <v/>
      </c>
      <c r="T417">
        <f>IF(原始資料!T417="","",IF(反向題設定!$C$23="是",反向題設定!$B$2+1-原始資料!T417,原始資料!T417))</f>
        <v/>
      </c>
      <c r="U417">
        <f>IF(原始資料!U417="","",IF(反向題設定!$C$24="是",反向題設定!$B$2+1-原始資料!U417,原始資料!U417))</f>
        <v/>
      </c>
      <c r="V417">
        <f>IF(原始資料!V417="","",IF(反向題設定!$C$25="是",反向題設定!$B$2+1-原始資料!V417,原始資料!V417))</f>
        <v/>
      </c>
      <c r="W417">
        <f>IF(原始資料!W417="","",IF(反向題設定!$C$26="是",反向題設定!$B$2+1-原始資料!W417,原始資料!W417))</f>
        <v/>
      </c>
      <c r="X417">
        <f>IF(原始資料!X417="","",IF(反向題設定!$C$27="是",反向題設定!$B$2+1-原始資料!X417,原始資料!X417))</f>
        <v/>
      </c>
      <c r="Y417">
        <f>IF(原始資料!Y417="","",IF(反向題設定!$C$28="是",反向題設定!$B$2+1-原始資料!Y417,原始資料!Y417))</f>
        <v/>
      </c>
      <c r="Z417">
        <f>IF(原始資料!Z417="","",IF(反向題設定!$C$29="是",反向題設定!$B$2+1-原始資料!Z417,原始資料!Z417))</f>
        <v/>
      </c>
      <c r="AA417">
        <f>IF(原始資料!AA417="","",IF(反向題設定!$C$30="是",反向題設定!$B$2+1-原始資料!AA417,原始資料!AA417))</f>
        <v/>
      </c>
      <c r="AB417">
        <f>IF(原始資料!AB417="","",IF(反向題設定!$C$31="是",反向題設定!$B$2+1-原始資料!AB417,原始資料!AB417))</f>
        <v/>
      </c>
      <c r="AC417">
        <f>IF(原始資料!AC417="","",IF(反向題設定!$C$32="是",反向題設定!$B$2+1-原始資料!AC417,原始資料!AC417))</f>
        <v/>
      </c>
      <c r="AD417">
        <f>IF(原始資料!AD417="","",IF(反向題設定!$C$33="是",反向題設定!$B$2+1-原始資料!AD417,原始資料!AD417))</f>
        <v/>
      </c>
      <c r="AE417">
        <f>IF(原始資料!AE417="","",IF(反向題設定!$C$34="是",反向題設定!$B$2+1-原始資料!AE417,原始資料!AE417))</f>
        <v/>
      </c>
      <c r="AF417">
        <f>IF(原始資料!AF417="","",IF(反向題設定!$C$35="是",反向題設定!$B$2+1-原始資料!AF417,原始資料!AF417))</f>
        <v/>
      </c>
      <c r="AG417">
        <f>IF(原始資料!AG417="","",IF(反向題設定!$C$36="是",反向題設定!$B$2+1-原始資料!AG417,原始資料!AG417))</f>
        <v/>
      </c>
      <c r="AH417">
        <f>IF(原始資料!AH417="","",IF(反向題設定!$C$37="是",反向題設定!$B$2+1-原始資料!AH417,原始資料!AH417))</f>
        <v/>
      </c>
      <c r="AI417">
        <f>IF(原始資料!AI417="","",IF(反向題設定!$C$38="是",反向題設定!$B$2+1-原始資料!AI417,原始資料!AI417))</f>
        <v/>
      </c>
      <c r="AJ417">
        <f>IF(原始資料!AJ417="","",IF(反向題設定!$C$39="是",反向題設定!$B$2+1-原始資料!AJ417,原始資料!AJ417))</f>
        <v/>
      </c>
      <c r="AK417">
        <f>IF(原始資料!AK417="","",IF(反向題設定!$C$40="是",反向題設定!$B$2+1-原始資料!AK417,原始資料!AK417))</f>
        <v/>
      </c>
      <c r="AL417">
        <f>IF(原始資料!AL417="","",IF(反向題設定!$C$41="是",反向題設定!$B$2+1-原始資料!AL417,原始資料!AL417))</f>
        <v/>
      </c>
      <c r="AM417">
        <f>IF(原始資料!AM417="","",IF(反向題設定!$C$42="是",反向題設定!$B$2+1-原始資料!AM417,原始資料!AM417))</f>
        <v/>
      </c>
      <c r="AN417">
        <f>IF(原始資料!AN417="","",IF(反向題設定!$C$43="是",反向題設定!$B$2+1-原始資料!AN417,原始資料!AN417))</f>
        <v/>
      </c>
      <c r="AO417">
        <f>IF(原始資料!AO417="","",IF(反向題設定!$C$44="是",反向題設定!$B$2+1-原始資料!AO417,原始資料!AO417))</f>
        <v/>
      </c>
      <c r="AP417">
        <f>IF(COUNT(B417:AO417)=0,"",SUM(B417:AO417))</f>
        <v/>
      </c>
      <c r="AQ417">
        <f>IF(AP417="","",IF(AP417&gt;=項目分析!$C$5,"高",IF(AP417&lt;=項目分析!$C$6,"低","")))</f>
        <v/>
      </c>
    </row>
    <row r="418">
      <c r="A418">
        <f>IF(原始資料!A418="","",原始資料!A418)</f>
        <v/>
      </c>
      <c r="B418">
        <f>IF(原始資料!B418="","",IF(反向題設定!$C$5="是",反向題設定!$B$2+1-原始資料!B418,原始資料!B418))</f>
        <v/>
      </c>
      <c r="C418">
        <f>IF(原始資料!C418="","",IF(反向題設定!$C$6="是",反向題設定!$B$2+1-原始資料!C418,原始資料!C418))</f>
        <v/>
      </c>
      <c r="D418">
        <f>IF(原始資料!D418="","",IF(反向題設定!$C$7="是",反向題設定!$B$2+1-原始資料!D418,原始資料!D418))</f>
        <v/>
      </c>
      <c r="E418">
        <f>IF(原始資料!E418="","",IF(反向題設定!$C$8="是",反向題設定!$B$2+1-原始資料!E418,原始資料!E418))</f>
        <v/>
      </c>
      <c r="F418">
        <f>IF(原始資料!F418="","",IF(反向題設定!$C$9="是",反向題設定!$B$2+1-原始資料!F418,原始資料!F418))</f>
        <v/>
      </c>
      <c r="G418">
        <f>IF(原始資料!G418="","",IF(反向題設定!$C$10="是",反向題設定!$B$2+1-原始資料!G418,原始資料!G418))</f>
        <v/>
      </c>
      <c r="H418">
        <f>IF(原始資料!H418="","",IF(反向題設定!$C$11="是",反向題設定!$B$2+1-原始資料!H418,原始資料!H418))</f>
        <v/>
      </c>
      <c r="I418">
        <f>IF(原始資料!I418="","",IF(反向題設定!$C$12="是",反向題設定!$B$2+1-原始資料!I418,原始資料!I418))</f>
        <v/>
      </c>
      <c r="J418">
        <f>IF(原始資料!J418="","",IF(反向題設定!$C$13="是",反向題設定!$B$2+1-原始資料!J418,原始資料!J418))</f>
        <v/>
      </c>
      <c r="K418">
        <f>IF(原始資料!K418="","",IF(反向題設定!$C$14="是",反向題設定!$B$2+1-原始資料!K418,原始資料!K418))</f>
        <v/>
      </c>
      <c r="L418">
        <f>IF(原始資料!L418="","",IF(反向題設定!$C$15="是",反向題設定!$B$2+1-原始資料!L418,原始資料!L418))</f>
        <v/>
      </c>
      <c r="M418">
        <f>IF(原始資料!M418="","",IF(反向題設定!$C$16="是",反向題設定!$B$2+1-原始資料!M418,原始資料!M418))</f>
        <v/>
      </c>
      <c r="N418">
        <f>IF(原始資料!N418="","",IF(反向題設定!$C$17="是",反向題設定!$B$2+1-原始資料!N418,原始資料!N418))</f>
        <v/>
      </c>
      <c r="O418">
        <f>IF(原始資料!O418="","",IF(反向題設定!$C$18="是",反向題設定!$B$2+1-原始資料!O418,原始資料!O418))</f>
        <v/>
      </c>
      <c r="P418">
        <f>IF(原始資料!P418="","",IF(反向題設定!$C$19="是",反向題設定!$B$2+1-原始資料!P418,原始資料!P418))</f>
        <v/>
      </c>
      <c r="Q418">
        <f>IF(原始資料!Q418="","",IF(反向題設定!$C$20="是",反向題設定!$B$2+1-原始資料!Q418,原始資料!Q418))</f>
        <v/>
      </c>
      <c r="R418">
        <f>IF(原始資料!R418="","",IF(反向題設定!$C$21="是",反向題設定!$B$2+1-原始資料!R418,原始資料!R418))</f>
        <v/>
      </c>
      <c r="S418">
        <f>IF(原始資料!S418="","",IF(反向題設定!$C$22="是",反向題設定!$B$2+1-原始資料!S418,原始資料!S418))</f>
        <v/>
      </c>
      <c r="T418">
        <f>IF(原始資料!T418="","",IF(反向題設定!$C$23="是",反向題設定!$B$2+1-原始資料!T418,原始資料!T418))</f>
        <v/>
      </c>
      <c r="U418">
        <f>IF(原始資料!U418="","",IF(反向題設定!$C$24="是",反向題設定!$B$2+1-原始資料!U418,原始資料!U418))</f>
        <v/>
      </c>
      <c r="V418">
        <f>IF(原始資料!V418="","",IF(反向題設定!$C$25="是",反向題設定!$B$2+1-原始資料!V418,原始資料!V418))</f>
        <v/>
      </c>
      <c r="W418">
        <f>IF(原始資料!W418="","",IF(反向題設定!$C$26="是",反向題設定!$B$2+1-原始資料!W418,原始資料!W418))</f>
        <v/>
      </c>
      <c r="X418">
        <f>IF(原始資料!X418="","",IF(反向題設定!$C$27="是",反向題設定!$B$2+1-原始資料!X418,原始資料!X418))</f>
        <v/>
      </c>
      <c r="Y418">
        <f>IF(原始資料!Y418="","",IF(反向題設定!$C$28="是",反向題設定!$B$2+1-原始資料!Y418,原始資料!Y418))</f>
        <v/>
      </c>
      <c r="Z418">
        <f>IF(原始資料!Z418="","",IF(反向題設定!$C$29="是",反向題設定!$B$2+1-原始資料!Z418,原始資料!Z418))</f>
        <v/>
      </c>
      <c r="AA418">
        <f>IF(原始資料!AA418="","",IF(反向題設定!$C$30="是",反向題設定!$B$2+1-原始資料!AA418,原始資料!AA418))</f>
        <v/>
      </c>
      <c r="AB418">
        <f>IF(原始資料!AB418="","",IF(反向題設定!$C$31="是",反向題設定!$B$2+1-原始資料!AB418,原始資料!AB418))</f>
        <v/>
      </c>
      <c r="AC418">
        <f>IF(原始資料!AC418="","",IF(反向題設定!$C$32="是",反向題設定!$B$2+1-原始資料!AC418,原始資料!AC418))</f>
        <v/>
      </c>
      <c r="AD418">
        <f>IF(原始資料!AD418="","",IF(反向題設定!$C$33="是",反向題設定!$B$2+1-原始資料!AD418,原始資料!AD418))</f>
        <v/>
      </c>
      <c r="AE418">
        <f>IF(原始資料!AE418="","",IF(反向題設定!$C$34="是",反向題設定!$B$2+1-原始資料!AE418,原始資料!AE418))</f>
        <v/>
      </c>
      <c r="AF418">
        <f>IF(原始資料!AF418="","",IF(反向題設定!$C$35="是",反向題設定!$B$2+1-原始資料!AF418,原始資料!AF418))</f>
        <v/>
      </c>
      <c r="AG418">
        <f>IF(原始資料!AG418="","",IF(反向題設定!$C$36="是",反向題設定!$B$2+1-原始資料!AG418,原始資料!AG418))</f>
        <v/>
      </c>
      <c r="AH418">
        <f>IF(原始資料!AH418="","",IF(反向題設定!$C$37="是",反向題設定!$B$2+1-原始資料!AH418,原始資料!AH418))</f>
        <v/>
      </c>
      <c r="AI418">
        <f>IF(原始資料!AI418="","",IF(反向題設定!$C$38="是",反向題設定!$B$2+1-原始資料!AI418,原始資料!AI418))</f>
        <v/>
      </c>
      <c r="AJ418">
        <f>IF(原始資料!AJ418="","",IF(反向題設定!$C$39="是",反向題設定!$B$2+1-原始資料!AJ418,原始資料!AJ418))</f>
        <v/>
      </c>
      <c r="AK418">
        <f>IF(原始資料!AK418="","",IF(反向題設定!$C$40="是",反向題設定!$B$2+1-原始資料!AK418,原始資料!AK418))</f>
        <v/>
      </c>
      <c r="AL418">
        <f>IF(原始資料!AL418="","",IF(反向題設定!$C$41="是",反向題設定!$B$2+1-原始資料!AL418,原始資料!AL418))</f>
        <v/>
      </c>
      <c r="AM418">
        <f>IF(原始資料!AM418="","",IF(反向題設定!$C$42="是",反向題設定!$B$2+1-原始資料!AM418,原始資料!AM418))</f>
        <v/>
      </c>
      <c r="AN418">
        <f>IF(原始資料!AN418="","",IF(反向題設定!$C$43="是",反向題設定!$B$2+1-原始資料!AN418,原始資料!AN418))</f>
        <v/>
      </c>
      <c r="AO418">
        <f>IF(原始資料!AO418="","",IF(反向題設定!$C$44="是",反向題設定!$B$2+1-原始資料!AO418,原始資料!AO418))</f>
        <v/>
      </c>
      <c r="AP418">
        <f>IF(COUNT(B418:AO418)=0,"",SUM(B418:AO418))</f>
        <v/>
      </c>
      <c r="AQ418">
        <f>IF(AP418="","",IF(AP418&gt;=項目分析!$C$5,"高",IF(AP418&lt;=項目分析!$C$6,"低","")))</f>
        <v/>
      </c>
    </row>
    <row r="419">
      <c r="A419">
        <f>IF(原始資料!A419="","",原始資料!A419)</f>
        <v/>
      </c>
      <c r="B419">
        <f>IF(原始資料!B419="","",IF(反向題設定!$C$5="是",反向題設定!$B$2+1-原始資料!B419,原始資料!B419))</f>
        <v/>
      </c>
      <c r="C419">
        <f>IF(原始資料!C419="","",IF(反向題設定!$C$6="是",反向題設定!$B$2+1-原始資料!C419,原始資料!C419))</f>
        <v/>
      </c>
      <c r="D419">
        <f>IF(原始資料!D419="","",IF(反向題設定!$C$7="是",反向題設定!$B$2+1-原始資料!D419,原始資料!D419))</f>
        <v/>
      </c>
      <c r="E419">
        <f>IF(原始資料!E419="","",IF(反向題設定!$C$8="是",反向題設定!$B$2+1-原始資料!E419,原始資料!E419))</f>
        <v/>
      </c>
      <c r="F419">
        <f>IF(原始資料!F419="","",IF(反向題設定!$C$9="是",反向題設定!$B$2+1-原始資料!F419,原始資料!F419))</f>
        <v/>
      </c>
      <c r="G419">
        <f>IF(原始資料!G419="","",IF(反向題設定!$C$10="是",反向題設定!$B$2+1-原始資料!G419,原始資料!G419))</f>
        <v/>
      </c>
      <c r="H419">
        <f>IF(原始資料!H419="","",IF(反向題設定!$C$11="是",反向題設定!$B$2+1-原始資料!H419,原始資料!H419))</f>
        <v/>
      </c>
      <c r="I419">
        <f>IF(原始資料!I419="","",IF(反向題設定!$C$12="是",反向題設定!$B$2+1-原始資料!I419,原始資料!I419))</f>
        <v/>
      </c>
      <c r="J419">
        <f>IF(原始資料!J419="","",IF(反向題設定!$C$13="是",反向題設定!$B$2+1-原始資料!J419,原始資料!J419))</f>
        <v/>
      </c>
      <c r="K419">
        <f>IF(原始資料!K419="","",IF(反向題設定!$C$14="是",反向題設定!$B$2+1-原始資料!K419,原始資料!K419))</f>
        <v/>
      </c>
      <c r="L419">
        <f>IF(原始資料!L419="","",IF(反向題設定!$C$15="是",反向題設定!$B$2+1-原始資料!L419,原始資料!L419))</f>
        <v/>
      </c>
      <c r="M419">
        <f>IF(原始資料!M419="","",IF(反向題設定!$C$16="是",反向題設定!$B$2+1-原始資料!M419,原始資料!M419))</f>
        <v/>
      </c>
      <c r="N419">
        <f>IF(原始資料!N419="","",IF(反向題設定!$C$17="是",反向題設定!$B$2+1-原始資料!N419,原始資料!N419))</f>
        <v/>
      </c>
      <c r="O419">
        <f>IF(原始資料!O419="","",IF(反向題設定!$C$18="是",反向題設定!$B$2+1-原始資料!O419,原始資料!O419))</f>
        <v/>
      </c>
      <c r="P419">
        <f>IF(原始資料!P419="","",IF(反向題設定!$C$19="是",反向題設定!$B$2+1-原始資料!P419,原始資料!P419))</f>
        <v/>
      </c>
      <c r="Q419">
        <f>IF(原始資料!Q419="","",IF(反向題設定!$C$20="是",反向題設定!$B$2+1-原始資料!Q419,原始資料!Q419))</f>
        <v/>
      </c>
      <c r="R419">
        <f>IF(原始資料!R419="","",IF(反向題設定!$C$21="是",反向題設定!$B$2+1-原始資料!R419,原始資料!R419))</f>
        <v/>
      </c>
      <c r="S419">
        <f>IF(原始資料!S419="","",IF(反向題設定!$C$22="是",反向題設定!$B$2+1-原始資料!S419,原始資料!S419))</f>
        <v/>
      </c>
      <c r="T419">
        <f>IF(原始資料!T419="","",IF(反向題設定!$C$23="是",反向題設定!$B$2+1-原始資料!T419,原始資料!T419))</f>
        <v/>
      </c>
      <c r="U419">
        <f>IF(原始資料!U419="","",IF(反向題設定!$C$24="是",反向題設定!$B$2+1-原始資料!U419,原始資料!U419))</f>
        <v/>
      </c>
      <c r="V419">
        <f>IF(原始資料!V419="","",IF(反向題設定!$C$25="是",反向題設定!$B$2+1-原始資料!V419,原始資料!V419))</f>
        <v/>
      </c>
      <c r="W419">
        <f>IF(原始資料!W419="","",IF(反向題設定!$C$26="是",反向題設定!$B$2+1-原始資料!W419,原始資料!W419))</f>
        <v/>
      </c>
      <c r="X419">
        <f>IF(原始資料!X419="","",IF(反向題設定!$C$27="是",反向題設定!$B$2+1-原始資料!X419,原始資料!X419))</f>
        <v/>
      </c>
      <c r="Y419">
        <f>IF(原始資料!Y419="","",IF(反向題設定!$C$28="是",反向題設定!$B$2+1-原始資料!Y419,原始資料!Y419))</f>
        <v/>
      </c>
      <c r="Z419">
        <f>IF(原始資料!Z419="","",IF(反向題設定!$C$29="是",反向題設定!$B$2+1-原始資料!Z419,原始資料!Z419))</f>
        <v/>
      </c>
      <c r="AA419">
        <f>IF(原始資料!AA419="","",IF(反向題設定!$C$30="是",反向題設定!$B$2+1-原始資料!AA419,原始資料!AA419))</f>
        <v/>
      </c>
      <c r="AB419">
        <f>IF(原始資料!AB419="","",IF(反向題設定!$C$31="是",反向題設定!$B$2+1-原始資料!AB419,原始資料!AB419))</f>
        <v/>
      </c>
      <c r="AC419">
        <f>IF(原始資料!AC419="","",IF(反向題設定!$C$32="是",反向題設定!$B$2+1-原始資料!AC419,原始資料!AC419))</f>
        <v/>
      </c>
      <c r="AD419">
        <f>IF(原始資料!AD419="","",IF(反向題設定!$C$33="是",反向題設定!$B$2+1-原始資料!AD419,原始資料!AD419))</f>
        <v/>
      </c>
      <c r="AE419">
        <f>IF(原始資料!AE419="","",IF(反向題設定!$C$34="是",反向題設定!$B$2+1-原始資料!AE419,原始資料!AE419))</f>
        <v/>
      </c>
      <c r="AF419">
        <f>IF(原始資料!AF419="","",IF(反向題設定!$C$35="是",反向題設定!$B$2+1-原始資料!AF419,原始資料!AF419))</f>
        <v/>
      </c>
      <c r="AG419">
        <f>IF(原始資料!AG419="","",IF(反向題設定!$C$36="是",反向題設定!$B$2+1-原始資料!AG419,原始資料!AG419))</f>
        <v/>
      </c>
      <c r="AH419">
        <f>IF(原始資料!AH419="","",IF(反向題設定!$C$37="是",反向題設定!$B$2+1-原始資料!AH419,原始資料!AH419))</f>
        <v/>
      </c>
      <c r="AI419">
        <f>IF(原始資料!AI419="","",IF(反向題設定!$C$38="是",反向題設定!$B$2+1-原始資料!AI419,原始資料!AI419))</f>
        <v/>
      </c>
      <c r="AJ419">
        <f>IF(原始資料!AJ419="","",IF(反向題設定!$C$39="是",反向題設定!$B$2+1-原始資料!AJ419,原始資料!AJ419))</f>
        <v/>
      </c>
      <c r="AK419">
        <f>IF(原始資料!AK419="","",IF(反向題設定!$C$40="是",反向題設定!$B$2+1-原始資料!AK419,原始資料!AK419))</f>
        <v/>
      </c>
      <c r="AL419">
        <f>IF(原始資料!AL419="","",IF(反向題設定!$C$41="是",反向題設定!$B$2+1-原始資料!AL419,原始資料!AL419))</f>
        <v/>
      </c>
      <c r="AM419">
        <f>IF(原始資料!AM419="","",IF(反向題設定!$C$42="是",反向題設定!$B$2+1-原始資料!AM419,原始資料!AM419))</f>
        <v/>
      </c>
      <c r="AN419">
        <f>IF(原始資料!AN419="","",IF(反向題設定!$C$43="是",反向題設定!$B$2+1-原始資料!AN419,原始資料!AN419))</f>
        <v/>
      </c>
      <c r="AO419">
        <f>IF(原始資料!AO419="","",IF(反向題設定!$C$44="是",反向題設定!$B$2+1-原始資料!AO419,原始資料!AO419))</f>
        <v/>
      </c>
      <c r="AP419">
        <f>IF(COUNT(B419:AO419)=0,"",SUM(B419:AO419))</f>
        <v/>
      </c>
      <c r="AQ419">
        <f>IF(AP419="","",IF(AP419&gt;=項目分析!$C$5,"高",IF(AP419&lt;=項目分析!$C$6,"低","")))</f>
        <v/>
      </c>
    </row>
    <row r="420">
      <c r="A420">
        <f>IF(原始資料!A420="","",原始資料!A420)</f>
        <v/>
      </c>
      <c r="B420">
        <f>IF(原始資料!B420="","",IF(反向題設定!$C$5="是",反向題設定!$B$2+1-原始資料!B420,原始資料!B420))</f>
        <v/>
      </c>
      <c r="C420">
        <f>IF(原始資料!C420="","",IF(反向題設定!$C$6="是",反向題設定!$B$2+1-原始資料!C420,原始資料!C420))</f>
        <v/>
      </c>
      <c r="D420">
        <f>IF(原始資料!D420="","",IF(反向題設定!$C$7="是",反向題設定!$B$2+1-原始資料!D420,原始資料!D420))</f>
        <v/>
      </c>
      <c r="E420">
        <f>IF(原始資料!E420="","",IF(反向題設定!$C$8="是",反向題設定!$B$2+1-原始資料!E420,原始資料!E420))</f>
        <v/>
      </c>
      <c r="F420">
        <f>IF(原始資料!F420="","",IF(反向題設定!$C$9="是",反向題設定!$B$2+1-原始資料!F420,原始資料!F420))</f>
        <v/>
      </c>
      <c r="G420">
        <f>IF(原始資料!G420="","",IF(反向題設定!$C$10="是",反向題設定!$B$2+1-原始資料!G420,原始資料!G420))</f>
        <v/>
      </c>
      <c r="H420">
        <f>IF(原始資料!H420="","",IF(反向題設定!$C$11="是",反向題設定!$B$2+1-原始資料!H420,原始資料!H420))</f>
        <v/>
      </c>
      <c r="I420">
        <f>IF(原始資料!I420="","",IF(反向題設定!$C$12="是",反向題設定!$B$2+1-原始資料!I420,原始資料!I420))</f>
        <v/>
      </c>
      <c r="J420">
        <f>IF(原始資料!J420="","",IF(反向題設定!$C$13="是",反向題設定!$B$2+1-原始資料!J420,原始資料!J420))</f>
        <v/>
      </c>
      <c r="K420">
        <f>IF(原始資料!K420="","",IF(反向題設定!$C$14="是",反向題設定!$B$2+1-原始資料!K420,原始資料!K420))</f>
        <v/>
      </c>
      <c r="L420">
        <f>IF(原始資料!L420="","",IF(反向題設定!$C$15="是",反向題設定!$B$2+1-原始資料!L420,原始資料!L420))</f>
        <v/>
      </c>
      <c r="M420">
        <f>IF(原始資料!M420="","",IF(反向題設定!$C$16="是",反向題設定!$B$2+1-原始資料!M420,原始資料!M420))</f>
        <v/>
      </c>
      <c r="N420">
        <f>IF(原始資料!N420="","",IF(反向題設定!$C$17="是",反向題設定!$B$2+1-原始資料!N420,原始資料!N420))</f>
        <v/>
      </c>
      <c r="O420">
        <f>IF(原始資料!O420="","",IF(反向題設定!$C$18="是",反向題設定!$B$2+1-原始資料!O420,原始資料!O420))</f>
        <v/>
      </c>
      <c r="P420">
        <f>IF(原始資料!P420="","",IF(反向題設定!$C$19="是",反向題設定!$B$2+1-原始資料!P420,原始資料!P420))</f>
        <v/>
      </c>
      <c r="Q420">
        <f>IF(原始資料!Q420="","",IF(反向題設定!$C$20="是",反向題設定!$B$2+1-原始資料!Q420,原始資料!Q420))</f>
        <v/>
      </c>
      <c r="R420">
        <f>IF(原始資料!R420="","",IF(反向題設定!$C$21="是",反向題設定!$B$2+1-原始資料!R420,原始資料!R420))</f>
        <v/>
      </c>
      <c r="S420">
        <f>IF(原始資料!S420="","",IF(反向題設定!$C$22="是",反向題設定!$B$2+1-原始資料!S420,原始資料!S420))</f>
        <v/>
      </c>
      <c r="T420">
        <f>IF(原始資料!T420="","",IF(反向題設定!$C$23="是",反向題設定!$B$2+1-原始資料!T420,原始資料!T420))</f>
        <v/>
      </c>
      <c r="U420">
        <f>IF(原始資料!U420="","",IF(反向題設定!$C$24="是",反向題設定!$B$2+1-原始資料!U420,原始資料!U420))</f>
        <v/>
      </c>
      <c r="V420">
        <f>IF(原始資料!V420="","",IF(反向題設定!$C$25="是",反向題設定!$B$2+1-原始資料!V420,原始資料!V420))</f>
        <v/>
      </c>
      <c r="W420">
        <f>IF(原始資料!W420="","",IF(反向題設定!$C$26="是",反向題設定!$B$2+1-原始資料!W420,原始資料!W420))</f>
        <v/>
      </c>
      <c r="X420">
        <f>IF(原始資料!X420="","",IF(反向題設定!$C$27="是",反向題設定!$B$2+1-原始資料!X420,原始資料!X420))</f>
        <v/>
      </c>
      <c r="Y420">
        <f>IF(原始資料!Y420="","",IF(反向題設定!$C$28="是",反向題設定!$B$2+1-原始資料!Y420,原始資料!Y420))</f>
        <v/>
      </c>
      <c r="Z420">
        <f>IF(原始資料!Z420="","",IF(反向題設定!$C$29="是",反向題設定!$B$2+1-原始資料!Z420,原始資料!Z420))</f>
        <v/>
      </c>
      <c r="AA420">
        <f>IF(原始資料!AA420="","",IF(反向題設定!$C$30="是",反向題設定!$B$2+1-原始資料!AA420,原始資料!AA420))</f>
        <v/>
      </c>
      <c r="AB420">
        <f>IF(原始資料!AB420="","",IF(反向題設定!$C$31="是",反向題設定!$B$2+1-原始資料!AB420,原始資料!AB420))</f>
        <v/>
      </c>
      <c r="AC420">
        <f>IF(原始資料!AC420="","",IF(反向題設定!$C$32="是",反向題設定!$B$2+1-原始資料!AC420,原始資料!AC420))</f>
        <v/>
      </c>
      <c r="AD420">
        <f>IF(原始資料!AD420="","",IF(反向題設定!$C$33="是",反向題設定!$B$2+1-原始資料!AD420,原始資料!AD420))</f>
        <v/>
      </c>
      <c r="AE420">
        <f>IF(原始資料!AE420="","",IF(反向題設定!$C$34="是",反向題設定!$B$2+1-原始資料!AE420,原始資料!AE420))</f>
        <v/>
      </c>
      <c r="AF420">
        <f>IF(原始資料!AF420="","",IF(反向題設定!$C$35="是",反向題設定!$B$2+1-原始資料!AF420,原始資料!AF420))</f>
        <v/>
      </c>
      <c r="AG420">
        <f>IF(原始資料!AG420="","",IF(反向題設定!$C$36="是",反向題設定!$B$2+1-原始資料!AG420,原始資料!AG420))</f>
        <v/>
      </c>
      <c r="AH420">
        <f>IF(原始資料!AH420="","",IF(反向題設定!$C$37="是",反向題設定!$B$2+1-原始資料!AH420,原始資料!AH420))</f>
        <v/>
      </c>
      <c r="AI420">
        <f>IF(原始資料!AI420="","",IF(反向題設定!$C$38="是",反向題設定!$B$2+1-原始資料!AI420,原始資料!AI420))</f>
        <v/>
      </c>
      <c r="AJ420">
        <f>IF(原始資料!AJ420="","",IF(反向題設定!$C$39="是",反向題設定!$B$2+1-原始資料!AJ420,原始資料!AJ420))</f>
        <v/>
      </c>
      <c r="AK420">
        <f>IF(原始資料!AK420="","",IF(反向題設定!$C$40="是",反向題設定!$B$2+1-原始資料!AK420,原始資料!AK420))</f>
        <v/>
      </c>
      <c r="AL420">
        <f>IF(原始資料!AL420="","",IF(反向題設定!$C$41="是",反向題設定!$B$2+1-原始資料!AL420,原始資料!AL420))</f>
        <v/>
      </c>
      <c r="AM420">
        <f>IF(原始資料!AM420="","",IF(反向題設定!$C$42="是",反向題設定!$B$2+1-原始資料!AM420,原始資料!AM420))</f>
        <v/>
      </c>
      <c r="AN420">
        <f>IF(原始資料!AN420="","",IF(反向題設定!$C$43="是",反向題設定!$B$2+1-原始資料!AN420,原始資料!AN420))</f>
        <v/>
      </c>
      <c r="AO420">
        <f>IF(原始資料!AO420="","",IF(反向題設定!$C$44="是",反向題設定!$B$2+1-原始資料!AO420,原始資料!AO420))</f>
        <v/>
      </c>
      <c r="AP420">
        <f>IF(COUNT(B420:AO420)=0,"",SUM(B420:AO420))</f>
        <v/>
      </c>
      <c r="AQ420">
        <f>IF(AP420="","",IF(AP420&gt;=項目分析!$C$5,"高",IF(AP420&lt;=項目分析!$C$6,"低","")))</f>
        <v/>
      </c>
    </row>
    <row r="421">
      <c r="A421">
        <f>IF(原始資料!A421="","",原始資料!A421)</f>
        <v/>
      </c>
      <c r="B421">
        <f>IF(原始資料!B421="","",IF(反向題設定!$C$5="是",反向題設定!$B$2+1-原始資料!B421,原始資料!B421))</f>
        <v/>
      </c>
      <c r="C421">
        <f>IF(原始資料!C421="","",IF(反向題設定!$C$6="是",反向題設定!$B$2+1-原始資料!C421,原始資料!C421))</f>
        <v/>
      </c>
      <c r="D421">
        <f>IF(原始資料!D421="","",IF(反向題設定!$C$7="是",反向題設定!$B$2+1-原始資料!D421,原始資料!D421))</f>
        <v/>
      </c>
      <c r="E421">
        <f>IF(原始資料!E421="","",IF(反向題設定!$C$8="是",反向題設定!$B$2+1-原始資料!E421,原始資料!E421))</f>
        <v/>
      </c>
      <c r="F421">
        <f>IF(原始資料!F421="","",IF(反向題設定!$C$9="是",反向題設定!$B$2+1-原始資料!F421,原始資料!F421))</f>
        <v/>
      </c>
      <c r="G421">
        <f>IF(原始資料!G421="","",IF(反向題設定!$C$10="是",反向題設定!$B$2+1-原始資料!G421,原始資料!G421))</f>
        <v/>
      </c>
      <c r="H421">
        <f>IF(原始資料!H421="","",IF(反向題設定!$C$11="是",反向題設定!$B$2+1-原始資料!H421,原始資料!H421))</f>
        <v/>
      </c>
      <c r="I421">
        <f>IF(原始資料!I421="","",IF(反向題設定!$C$12="是",反向題設定!$B$2+1-原始資料!I421,原始資料!I421))</f>
        <v/>
      </c>
      <c r="J421">
        <f>IF(原始資料!J421="","",IF(反向題設定!$C$13="是",反向題設定!$B$2+1-原始資料!J421,原始資料!J421))</f>
        <v/>
      </c>
      <c r="K421">
        <f>IF(原始資料!K421="","",IF(反向題設定!$C$14="是",反向題設定!$B$2+1-原始資料!K421,原始資料!K421))</f>
        <v/>
      </c>
      <c r="L421">
        <f>IF(原始資料!L421="","",IF(反向題設定!$C$15="是",反向題設定!$B$2+1-原始資料!L421,原始資料!L421))</f>
        <v/>
      </c>
      <c r="M421">
        <f>IF(原始資料!M421="","",IF(反向題設定!$C$16="是",反向題設定!$B$2+1-原始資料!M421,原始資料!M421))</f>
        <v/>
      </c>
      <c r="N421">
        <f>IF(原始資料!N421="","",IF(反向題設定!$C$17="是",反向題設定!$B$2+1-原始資料!N421,原始資料!N421))</f>
        <v/>
      </c>
      <c r="O421">
        <f>IF(原始資料!O421="","",IF(反向題設定!$C$18="是",反向題設定!$B$2+1-原始資料!O421,原始資料!O421))</f>
        <v/>
      </c>
      <c r="P421">
        <f>IF(原始資料!P421="","",IF(反向題設定!$C$19="是",反向題設定!$B$2+1-原始資料!P421,原始資料!P421))</f>
        <v/>
      </c>
      <c r="Q421">
        <f>IF(原始資料!Q421="","",IF(反向題設定!$C$20="是",反向題設定!$B$2+1-原始資料!Q421,原始資料!Q421))</f>
        <v/>
      </c>
      <c r="R421">
        <f>IF(原始資料!R421="","",IF(反向題設定!$C$21="是",反向題設定!$B$2+1-原始資料!R421,原始資料!R421))</f>
        <v/>
      </c>
      <c r="S421">
        <f>IF(原始資料!S421="","",IF(反向題設定!$C$22="是",反向題設定!$B$2+1-原始資料!S421,原始資料!S421))</f>
        <v/>
      </c>
      <c r="T421">
        <f>IF(原始資料!T421="","",IF(反向題設定!$C$23="是",反向題設定!$B$2+1-原始資料!T421,原始資料!T421))</f>
        <v/>
      </c>
      <c r="U421">
        <f>IF(原始資料!U421="","",IF(反向題設定!$C$24="是",反向題設定!$B$2+1-原始資料!U421,原始資料!U421))</f>
        <v/>
      </c>
      <c r="V421">
        <f>IF(原始資料!V421="","",IF(反向題設定!$C$25="是",反向題設定!$B$2+1-原始資料!V421,原始資料!V421))</f>
        <v/>
      </c>
      <c r="W421">
        <f>IF(原始資料!W421="","",IF(反向題設定!$C$26="是",反向題設定!$B$2+1-原始資料!W421,原始資料!W421))</f>
        <v/>
      </c>
      <c r="X421">
        <f>IF(原始資料!X421="","",IF(反向題設定!$C$27="是",反向題設定!$B$2+1-原始資料!X421,原始資料!X421))</f>
        <v/>
      </c>
      <c r="Y421">
        <f>IF(原始資料!Y421="","",IF(反向題設定!$C$28="是",反向題設定!$B$2+1-原始資料!Y421,原始資料!Y421))</f>
        <v/>
      </c>
      <c r="Z421">
        <f>IF(原始資料!Z421="","",IF(反向題設定!$C$29="是",反向題設定!$B$2+1-原始資料!Z421,原始資料!Z421))</f>
        <v/>
      </c>
      <c r="AA421">
        <f>IF(原始資料!AA421="","",IF(反向題設定!$C$30="是",反向題設定!$B$2+1-原始資料!AA421,原始資料!AA421))</f>
        <v/>
      </c>
      <c r="AB421">
        <f>IF(原始資料!AB421="","",IF(反向題設定!$C$31="是",反向題設定!$B$2+1-原始資料!AB421,原始資料!AB421))</f>
        <v/>
      </c>
      <c r="AC421">
        <f>IF(原始資料!AC421="","",IF(反向題設定!$C$32="是",反向題設定!$B$2+1-原始資料!AC421,原始資料!AC421))</f>
        <v/>
      </c>
      <c r="AD421">
        <f>IF(原始資料!AD421="","",IF(反向題設定!$C$33="是",反向題設定!$B$2+1-原始資料!AD421,原始資料!AD421))</f>
        <v/>
      </c>
      <c r="AE421">
        <f>IF(原始資料!AE421="","",IF(反向題設定!$C$34="是",反向題設定!$B$2+1-原始資料!AE421,原始資料!AE421))</f>
        <v/>
      </c>
      <c r="AF421">
        <f>IF(原始資料!AF421="","",IF(反向題設定!$C$35="是",反向題設定!$B$2+1-原始資料!AF421,原始資料!AF421))</f>
        <v/>
      </c>
      <c r="AG421">
        <f>IF(原始資料!AG421="","",IF(反向題設定!$C$36="是",反向題設定!$B$2+1-原始資料!AG421,原始資料!AG421))</f>
        <v/>
      </c>
      <c r="AH421">
        <f>IF(原始資料!AH421="","",IF(反向題設定!$C$37="是",反向題設定!$B$2+1-原始資料!AH421,原始資料!AH421))</f>
        <v/>
      </c>
      <c r="AI421">
        <f>IF(原始資料!AI421="","",IF(反向題設定!$C$38="是",反向題設定!$B$2+1-原始資料!AI421,原始資料!AI421))</f>
        <v/>
      </c>
      <c r="AJ421">
        <f>IF(原始資料!AJ421="","",IF(反向題設定!$C$39="是",反向題設定!$B$2+1-原始資料!AJ421,原始資料!AJ421))</f>
        <v/>
      </c>
      <c r="AK421">
        <f>IF(原始資料!AK421="","",IF(反向題設定!$C$40="是",反向題設定!$B$2+1-原始資料!AK421,原始資料!AK421))</f>
        <v/>
      </c>
      <c r="AL421">
        <f>IF(原始資料!AL421="","",IF(反向題設定!$C$41="是",反向題設定!$B$2+1-原始資料!AL421,原始資料!AL421))</f>
        <v/>
      </c>
      <c r="AM421">
        <f>IF(原始資料!AM421="","",IF(反向題設定!$C$42="是",反向題設定!$B$2+1-原始資料!AM421,原始資料!AM421))</f>
        <v/>
      </c>
      <c r="AN421">
        <f>IF(原始資料!AN421="","",IF(反向題設定!$C$43="是",反向題設定!$B$2+1-原始資料!AN421,原始資料!AN421))</f>
        <v/>
      </c>
      <c r="AO421">
        <f>IF(原始資料!AO421="","",IF(反向題設定!$C$44="是",反向題設定!$B$2+1-原始資料!AO421,原始資料!AO421))</f>
        <v/>
      </c>
      <c r="AP421">
        <f>IF(COUNT(B421:AO421)=0,"",SUM(B421:AO421))</f>
        <v/>
      </c>
      <c r="AQ421">
        <f>IF(AP421="","",IF(AP421&gt;=項目分析!$C$5,"高",IF(AP421&lt;=項目分析!$C$6,"低","")))</f>
        <v/>
      </c>
    </row>
    <row r="422">
      <c r="A422">
        <f>IF(原始資料!A422="","",原始資料!A422)</f>
        <v/>
      </c>
      <c r="B422">
        <f>IF(原始資料!B422="","",IF(反向題設定!$C$5="是",反向題設定!$B$2+1-原始資料!B422,原始資料!B422))</f>
        <v/>
      </c>
      <c r="C422">
        <f>IF(原始資料!C422="","",IF(反向題設定!$C$6="是",反向題設定!$B$2+1-原始資料!C422,原始資料!C422))</f>
        <v/>
      </c>
      <c r="D422">
        <f>IF(原始資料!D422="","",IF(反向題設定!$C$7="是",反向題設定!$B$2+1-原始資料!D422,原始資料!D422))</f>
        <v/>
      </c>
      <c r="E422">
        <f>IF(原始資料!E422="","",IF(反向題設定!$C$8="是",反向題設定!$B$2+1-原始資料!E422,原始資料!E422))</f>
        <v/>
      </c>
      <c r="F422">
        <f>IF(原始資料!F422="","",IF(反向題設定!$C$9="是",反向題設定!$B$2+1-原始資料!F422,原始資料!F422))</f>
        <v/>
      </c>
      <c r="G422">
        <f>IF(原始資料!G422="","",IF(反向題設定!$C$10="是",反向題設定!$B$2+1-原始資料!G422,原始資料!G422))</f>
        <v/>
      </c>
      <c r="H422">
        <f>IF(原始資料!H422="","",IF(反向題設定!$C$11="是",反向題設定!$B$2+1-原始資料!H422,原始資料!H422))</f>
        <v/>
      </c>
      <c r="I422">
        <f>IF(原始資料!I422="","",IF(反向題設定!$C$12="是",反向題設定!$B$2+1-原始資料!I422,原始資料!I422))</f>
        <v/>
      </c>
      <c r="J422">
        <f>IF(原始資料!J422="","",IF(反向題設定!$C$13="是",反向題設定!$B$2+1-原始資料!J422,原始資料!J422))</f>
        <v/>
      </c>
      <c r="K422">
        <f>IF(原始資料!K422="","",IF(反向題設定!$C$14="是",反向題設定!$B$2+1-原始資料!K422,原始資料!K422))</f>
        <v/>
      </c>
      <c r="L422">
        <f>IF(原始資料!L422="","",IF(反向題設定!$C$15="是",反向題設定!$B$2+1-原始資料!L422,原始資料!L422))</f>
        <v/>
      </c>
      <c r="M422">
        <f>IF(原始資料!M422="","",IF(反向題設定!$C$16="是",反向題設定!$B$2+1-原始資料!M422,原始資料!M422))</f>
        <v/>
      </c>
      <c r="N422">
        <f>IF(原始資料!N422="","",IF(反向題設定!$C$17="是",反向題設定!$B$2+1-原始資料!N422,原始資料!N422))</f>
        <v/>
      </c>
      <c r="O422">
        <f>IF(原始資料!O422="","",IF(反向題設定!$C$18="是",反向題設定!$B$2+1-原始資料!O422,原始資料!O422))</f>
        <v/>
      </c>
      <c r="P422">
        <f>IF(原始資料!P422="","",IF(反向題設定!$C$19="是",反向題設定!$B$2+1-原始資料!P422,原始資料!P422))</f>
        <v/>
      </c>
      <c r="Q422">
        <f>IF(原始資料!Q422="","",IF(反向題設定!$C$20="是",反向題設定!$B$2+1-原始資料!Q422,原始資料!Q422))</f>
        <v/>
      </c>
      <c r="R422">
        <f>IF(原始資料!R422="","",IF(反向題設定!$C$21="是",反向題設定!$B$2+1-原始資料!R422,原始資料!R422))</f>
        <v/>
      </c>
      <c r="S422">
        <f>IF(原始資料!S422="","",IF(反向題設定!$C$22="是",反向題設定!$B$2+1-原始資料!S422,原始資料!S422))</f>
        <v/>
      </c>
      <c r="T422">
        <f>IF(原始資料!T422="","",IF(反向題設定!$C$23="是",反向題設定!$B$2+1-原始資料!T422,原始資料!T422))</f>
        <v/>
      </c>
      <c r="U422">
        <f>IF(原始資料!U422="","",IF(反向題設定!$C$24="是",反向題設定!$B$2+1-原始資料!U422,原始資料!U422))</f>
        <v/>
      </c>
      <c r="V422">
        <f>IF(原始資料!V422="","",IF(反向題設定!$C$25="是",反向題設定!$B$2+1-原始資料!V422,原始資料!V422))</f>
        <v/>
      </c>
      <c r="W422">
        <f>IF(原始資料!W422="","",IF(反向題設定!$C$26="是",反向題設定!$B$2+1-原始資料!W422,原始資料!W422))</f>
        <v/>
      </c>
      <c r="X422">
        <f>IF(原始資料!X422="","",IF(反向題設定!$C$27="是",反向題設定!$B$2+1-原始資料!X422,原始資料!X422))</f>
        <v/>
      </c>
      <c r="Y422">
        <f>IF(原始資料!Y422="","",IF(反向題設定!$C$28="是",反向題設定!$B$2+1-原始資料!Y422,原始資料!Y422))</f>
        <v/>
      </c>
      <c r="Z422">
        <f>IF(原始資料!Z422="","",IF(反向題設定!$C$29="是",反向題設定!$B$2+1-原始資料!Z422,原始資料!Z422))</f>
        <v/>
      </c>
      <c r="AA422">
        <f>IF(原始資料!AA422="","",IF(反向題設定!$C$30="是",反向題設定!$B$2+1-原始資料!AA422,原始資料!AA422))</f>
        <v/>
      </c>
      <c r="AB422">
        <f>IF(原始資料!AB422="","",IF(反向題設定!$C$31="是",反向題設定!$B$2+1-原始資料!AB422,原始資料!AB422))</f>
        <v/>
      </c>
      <c r="AC422">
        <f>IF(原始資料!AC422="","",IF(反向題設定!$C$32="是",反向題設定!$B$2+1-原始資料!AC422,原始資料!AC422))</f>
        <v/>
      </c>
      <c r="AD422">
        <f>IF(原始資料!AD422="","",IF(反向題設定!$C$33="是",反向題設定!$B$2+1-原始資料!AD422,原始資料!AD422))</f>
        <v/>
      </c>
      <c r="AE422">
        <f>IF(原始資料!AE422="","",IF(反向題設定!$C$34="是",反向題設定!$B$2+1-原始資料!AE422,原始資料!AE422))</f>
        <v/>
      </c>
      <c r="AF422">
        <f>IF(原始資料!AF422="","",IF(反向題設定!$C$35="是",反向題設定!$B$2+1-原始資料!AF422,原始資料!AF422))</f>
        <v/>
      </c>
      <c r="AG422">
        <f>IF(原始資料!AG422="","",IF(反向題設定!$C$36="是",反向題設定!$B$2+1-原始資料!AG422,原始資料!AG422))</f>
        <v/>
      </c>
      <c r="AH422">
        <f>IF(原始資料!AH422="","",IF(反向題設定!$C$37="是",反向題設定!$B$2+1-原始資料!AH422,原始資料!AH422))</f>
        <v/>
      </c>
      <c r="AI422">
        <f>IF(原始資料!AI422="","",IF(反向題設定!$C$38="是",反向題設定!$B$2+1-原始資料!AI422,原始資料!AI422))</f>
        <v/>
      </c>
      <c r="AJ422">
        <f>IF(原始資料!AJ422="","",IF(反向題設定!$C$39="是",反向題設定!$B$2+1-原始資料!AJ422,原始資料!AJ422))</f>
        <v/>
      </c>
      <c r="AK422">
        <f>IF(原始資料!AK422="","",IF(反向題設定!$C$40="是",反向題設定!$B$2+1-原始資料!AK422,原始資料!AK422))</f>
        <v/>
      </c>
      <c r="AL422">
        <f>IF(原始資料!AL422="","",IF(反向題設定!$C$41="是",反向題設定!$B$2+1-原始資料!AL422,原始資料!AL422))</f>
        <v/>
      </c>
      <c r="AM422">
        <f>IF(原始資料!AM422="","",IF(反向題設定!$C$42="是",反向題設定!$B$2+1-原始資料!AM422,原始資料!AM422))</f>
        <v/>
      </c>
      <c r="AN422">
        <f>IF(原始資料!AN422="","",IF(反向題設定!$C$43="是",反向題設定!$B$2+1-原始資料!AN422,原始資料!AN422))</f>
        <v/>
      </c>
      <c r="AO422">
        <f>IF(原始資料!AO422="","",IF(反向題設定!$C$44="是",反向題設定!$B$2+1-原始資料!AO422,原始資料!AO422))</f>
        <v/>
      </c>
      <c r="AP422">
        <f>IF(COUNT(B422:AO422)=0,"",SUM(B422:AO422))</f>
        <v/>
      </c>
      <c r="AQ422">
        <f>IF(AP422="","",IF(AP422&gt;=項目分析!$C$5,"高",IF(AP422&lt;=項目分析!$C$6,"低","")))</f>
        <v/>
      </c>
    </row>
    <row r="423">
      <c r="A423">
        <f>IF(原始資料!A423="","",原始資料!A423)</f>
        <v/>
      </c>
      <c r="B423">
        <f>IF(原始資料!B423="","",IF(反向題設定!$C$5="是",反向題設定!$B$2+1-原始資料!B423,原始資料!B423))</f>
        <v/>
      </c>
      <c r="C423">
        <f>IF(原始資料!C423="","",IF(反向題設定!$C$6="是",反向題設定!$B$2+1-原始資料!C423,原始資料!C423))</f>
        <v/>
      </c>
      <c r="D423">
        <f>IF(原始資料!D423="","",IF(反向題設定!$C$7="是",反向題設定!$B$2+1-原始資料!D423,原始資料!D423))</f>
        <v/>
      </c>
      <c r="E423">
        <f>IF(原始資料!E423="","",IF(反向題設定!$C$8="是",反向題設定!$B$2+1-原始資料!E423,原始資料!E423))</f>
        <v/>
      </c>
      <c r="F423">
        <f>IF(原始資料!F423="","",IF(反向題設定!$C$9="是",反向題設定!$B$2+1-原始資料!F423,原始資料!F423))</f>
        <v/>
      </c>
      <c r="G423">
        <f>IF(原始資料!G423="","",IF(反向題設定!$C$10="是",反向題設定!$B$2+1-原始資料!G423,原始資料!G423))</f>
        <v/>
      </c>
      <c r="H423">
        <f>IF(原始資料!H423="","",IF(反向題設定!$C$11="是",反向題設定!$B$2+1-原始資料!H423,原始資料!H423))</f>
        <v/>
      </c>
      <c r="I423">
        <f>IF(原始資料!I423="","",IF(反向題設定!$C$12="是",反向題設定!$B$2+1-原始資料!I423,原始資料!I423))</f>
        <v/>
      </c>
      <c r="J423">
        <f>IF(原始資料!J423="","",IF(反向題設定!$C$13="是",反向題設定!$B$2+1-原始資料!J423,原始資料!J423))</f>
        <v/>
      </c>
      <c r="K423">
        <f>IF(原始資料!K423="","",IF(反向題設定!$C$14="是",反向題設定!$B$2+1-原始資料!K423,原始資料!K423))</f>
        <v/>
      </c>
      <c r="L423">
        <f>IF(原始資料!L423="","",IF(反向題設定!$C$15="是",反向題設定!$B$2+1-原始資料!L423,原始資料!L423))</f>
        <v/>
      </c>
      <c r="M423">
        <f>IF(原始資料!M423="","",IF(反向題設定!$C$16="是",反向題設定!$B$2+1-原始資料!M423,原始資料!M423))</f>
        <v/>
      </c>
      <c r="N423">
        <f>IF(原始資料!N423="","",IF(反向題設定!$C$17="是",反向題設定!$B$2+1-原始資料!N423,原始資料!N423))</f>
        <v/>
      </c>
      <c r="O423">
        <f>IF(原始資料!O423="","",IF(反向題設定!$C$18="是",反向題設定!$B$2+1-原始資料!O423,原始資料!O423))</f>
        <v/>
      </c>
      <c r="P423">
        <f>IF(原始資料!P423="","",IF(反向題設定!$C$19="是",反向題設定!$B$2+1-原始資料!P423,原始資料!P423))</f>
        <v/>
      </c>
      <c r="Q423">
        <f>IF(原始資料!Q423="","",IF(反向題設定!$C$20="是",反向題設定!$B$2+1-原始資料!Q423,原始資料!Q423))</f>
        <v/>
      </c>
      <c r="R423">
        <f>IF(原始資料!R423="","",IF(反向題設定!$C$21="是",反向題設定!$B$2+1-原始資料!R423,原始資料!R423))</f>
        <v/>
      </c>
      <c r="S423">
        <f>IF(原始資料!S423="","",IF(反向題設定!$C$22="是",反向題設定!$B$2+1-原始資料!S423,原始資料!S423))</f>
        <v/>
      </c>
      <c r="T423">
        <f>IF(原始資料!T423="","",IF(反向題設定!$C$23="是",反向題設定!$B$2+1-原始資料!T423,原始資料!T423))</f>
        <v/>
      </c>
      <c r="U423">
        <f>IF(原始資料!U423="","",IF(反向題設定!$C$24="是",反向題設定!$B$2+1-原始資料!U423,原始資料!U423))</f>
        <v/>
      </c>
      <c r="V423">
        <f>IF(原始資料!V423="","",IF(反向題設定!$C$25="是",反向題設定!$B$2+1-原始資料!V423,原始資料!V423))</f>
        <v/>
      </c>
      <c r="W423">
        <f>IF(原始資料!W423="","",IF(反向題設定!$C$26="是",反向題設定!$B$2+1-原始資料!W423,原始資料!W423))</f>
        <v/>
      </c>
      <c r="X423">
        <f>IF(原始資料!X423="","",IF(反向題設定!$C$27="是",反向題設定!$B$2+1-原始資料!X423,原始資料!X423))</f>
        <v/>
      </c>
      <c r="Y423">
        <f>IF(原始資料!Y423="","",IF(反向題設定!$C$28="是",反向題設定!$B$2+1-原始資料!Y423,原始資料!Y423))</f>
        <v/>
      </c>
      <c r="Z423">
        <f>IF(原始資料!Z423="","",IF(反向題設定!$C$29="是",反向題設定!$B$2+1-原始資料!Z423,原始資料!Z423))</f>
        <v/>
      </c>
      <c r="AA423">
        <f>IF(原始資料!AA423="","",IF(反向題設定!$C$30="是",反向題設定!$B$2+1-原始資料!AA423,原始資料!AA423))</f>
        <v/>
      </c>
      <c r="AB423">
        <f>IF(原始資料!AB423="","",IF(反向題設定!$C$31="是",反向題設定!$B$2+1-原始資料!AB423,原始資料!AB423))</f>
        <v/>
      </c>
      <c r="AC423">
        <f>IF(原始資料!AC423="","",IF(反向題設定!$C$32="是",反向題設定!$B$2+1-原始資料!AC423,原始資料!AC423))</f>
        <v/>
      </c>
      <c r="AD423">
        <f>IF(原始資料!AD423="","",IF(反向題設定!$C$33="是",反向題設定!$B$2+1-原始資料!AD423,原始資料!AD423))</f>
        <v/>
      </c>
      <c r="AE423">
        <f>IF(原始資料!AE423="","",IF(反向題設定!$C$34="是",反向題設定!$B$2+1-原始資料!AE423,原始資料!AE423))</f>
        <v/>
      </c>
      <c r="AF423">
        <f>IF(原始資料!AF423="","",IF(反向題設定!$C$35="是",反向題設定!$B$2+1-原始資料!AF423,原始資料!AF423))</f>
        <v/>
      </c>
      <c r="AG423">
        <f>IF(原始資料!AG423="","",IF(反向題設定!$C$36="是",反向題設定!$B$2+1-原始資料!AG423,原始資料!AG423))</f>
        <v/>
      </c>
      <c r="AH423">
        <f>IF(原始資料!AH423="","",IF(反向題設定!$C$37="是",反向題設定!$B$2+1-原始資料!AH423,原始資料!AH423))</f>
        <v/>
      </c>
      <c r="AI423">
        <f>IF(原始資料!AI423="","",IF(反向題設定!$C$38="是",反向題設定!$B$2+1-原始資料!AI423,原始資料!AI423))</f>
        <v/>
      </c>
      <c r="AJ423">
        <f>IF(原始資料!AJ423="","",IF(反向題設定!$C$39="是",反向題設定!$B$2+1-原始資料!AJ423,原始資料!AJ423))</f>
        <v/>
      </c>
      <c r="AK423">
        <f>IF(原始資料!AK423="","",IF(反向題設定!$C$40="是",反向題設定!$B$2+1-原始資料!AK423,原始資料!AK423))</f>
        <v/>
      </c>
      <c r="AL423">
        <f>IF(原始資料!AL423="","",IF(反向題設定!$C$41="是",反向題設定!$B$2+1-原始資料!AL423,原始資料!AL423))</f>
        <v/>
      </c>
      <c r="AM423">
        <f>IF(原始資料!AM423="","",IF(反向題設定!$C$42="是",反向題設定!$B$2+1-原始資料!AM423,原始資料!AM423))</f>
        <v/>
      </c>
      <c r="AN423">
        <f>IF(原始資料!AN423="","",IF(反向題設定!$C$43="是",反向題設定!$B$2+1-原始資料!AN423,原始資料!AN423))</f>
        <v/>
      </c>
      <c r="AO423">
        <f>IF(原始資料!AO423="","",IF(反向題設定!$C$44="是",反向題設定!$B$2+1-原始資料!AO423,原始資料!AO423))</f>
        <v/>
      </c>
      <c r="AP423">
        <f>IF(COUNT(B423:AO423)=0,"",SUM(B423:AO423))</f>
        <v/>
      </c>
      <c r="AQ423">
        <f>IF(AP423="","",IF(AP423&gt;=項目分析!$C$5,"高",IF(AP423&lt;=項目分析!$C$6,"低","")))</f>
        <v/>
      </c>
    </row>
    <row r="424">
      <c r="A424">
        <f>IF(原始資料!A424="","",原始資料!A424)</f>
        <v/>
      </c>
      <c r="B424">
        <f>IF(原始資料!B424="","",IF(反向題設定!$C$5="是",反向題設定!$B$2+1-原始資料!B424,原始資料!B424))</f>
        <v/>
      </c>
      <c r="C424">
        <f>IF(原始資料!C424="","",IF(反向題設定!$C$6="是",反向題設定!$B$2+1-原始資料!C424,原始資料!C424))</f>
        <v/>
      </c>
      <c r="D424">
        <f>IF(原始資料!D424="","",IF(反向題設定!$C$7="是",反向題設定!$B$2+1-原始資料!D424,原始資料!D424))</f>
        <v/>
      </c>
      <c r="E424">
        <f>IF(原始資料!E424="","",IF(反向題設定!$C$8="是",反向題設定!$B$2+1-原始資料!E424,原始資料!E424))</f>
        <v/>
      </c>
      <c r="F424">
        <f>IF(原始資料!F424="","",IF(反向題設定!$C$9="是",反向題設定!$B$2+1-原始資料!F424,原始資料!F424))</f>
        <v/>
      </c>
      <c r="G424">
        <f>IF(原始資料!G424="","",IF(反向題設定!$C$10="是",反向題設定!$B$2+1-原始資料!G424,原始資料!G424))</f>
        <v/>
      </c>
      <c r="H424">
        <f>IF(原始資料!H424="","",IF(反向題設定!$C$11="是",反向題設定!$B$2+1-原始資料!H424,原始資料!H424))</f>
        <v/>
      </c>
      <c r="I424">
        <f>IF(原始資料!I424="","",IF(反向題設定!$C$12="是",反向題設定!$B$2+1-原始資料!I424,原始資料!I424))</f>
        <v/>
      </c>
      <c r="J424">
        <f>IF(原始資料!J424="","",IF(反向題設定!$C$13="是",反向題設定!$B$2+1-原始資料!J424,原始資料!J424))</f>
        <v/>
      </c>
      <c r="K424">
        <f>IF(原始資料!K424="","",IF(反向題設定!$C$14="是",反向題設定!$B$2+1-原始資料!K424,原始資料!K424))</f>
        <v/>
      </c>
      <c r="L424">
        <f>IF(原始資料!L424="","",IF(反向題設定!$C$15="是",反向題設定!$B$2+1-原始資料!L424,原始資料!L424))</f>
        <v/>
      </c>
      <c r="M424">
        <f>IF(原始資料!M424="","",IF(反向題設定!$C$16="是",反向題設定!$B$2+1-原始資料!M424,原始資料!M424))</f>
        <v/>
      </c>
      <c r="N424">
        <f>IF(原始資料!N424="","",IF(反向題設定!$C$17="是",反向題設定!$B$2+1-原始資料!N424,原始資料!N424))</f>
        <v/>
      </c>
      <c r="O424">
        <f>IF(原始資料!O424="","",IF(反向題設定!$C$18="是",反向題設定!$B$2+1-原始資料!O424,原始資料!O424))</f>
        <v/>
      </c>
      <c r="P424">
        <f>IF(原始資料!P424="","",IF(反向題設定!$C$19="是",反向題設定!$B$2+1-原始資料!P424,原始資料!P424))</f>
        <v/>
      </c>
      <c r="Q424">
        <f>IF(原始資料!Q424="","",IF(反向題設定!$C$20="是",反向題設定!$B$2+1-原始資料!Q424,原始資料!Q424))</f>
        <v/>
      </c>
      <c r="R424">
        <f>IF(原始資料!R424="","",IF(反向題設定!$C$21="是",反向題設定!$B$2+1-原始資料!R424,原始資料!R424))</f>
        <v/>
      </c>
      <c r="S424">
        <f>IF(原始資料!S424="","",IF(反向題設定!$C$22="是",反向題設定!$B$2+1-原始資料!S424,原始資料!S424))</f>
        <v/>
      </c>
      <c r="T424">
        <f>IF(原始資料!T424="","",IF(反向題設定!$C$23="是",反向題設定!$B$2+1-原始資料!T424,原始資料!T424))</f>
        <v/>
      </c>
      <c r="U424">
        <f>IF(原始資料!U424="","",IF(反向題設定!$C$24="是",反向題設定!$B$2+1-原始資料!U424,原始資料!U424))</f>
        <v/>
      </c>
      <c r="V424">
        <f>IF(原始資料!V424="","",IF(反向題設定!$C$25="是",反向題設定!$B$2+1-原始資料!V424,原始資料!V424))</f>
        <v/>
      </c>
      <c r="W424">
        <f>IF(原始資料!W424="","",IF(反向題設定!$C$26="是",反向題設定!$B$2+1-原始資料!W424,原始資料!W424))</f>
        <v/>
      </c>
      <c r="X424">
        <f>IF(原始資料!X424="","",IF(反向題設定!$C$27="是",反向題設定!$B$2+1-原始資料!X424,原始資料!X424))</f>
        <v/>
      </c>
      <c r="Y424">
        <f>IF(原始資料!Y424="","",IF(反向題設定!$C$28="是",反向題設定!$B$2+1-原始資料!Y424,原始資料!Y424))</f>
        <v/>
      </c>
      <c r="Z424">
        <f>IF(原始資料!Z424="","",IF(反向題設定!$C$29="是",反向題設定!$B$2+1-原始資料!Z424,原始資料!Z424))</f>
        <v/>
      </c>
      <c r="AA424">
        <f>IF(原始資料!AA424="","",IF(反向題設定!$C$30="是",反向題設定!$B$2+1-原始資料!AA424,原始資料!AA424))</f>
        <v/>
      </c>
      <c r="AB424">
        <f>IF(原始資料!AB424="","",IF(反向題設定!$C$31="是",反向題設定!$B$2+1-原始資料!AB424,原始資料!AB424))</f>
        <v/>
      </c>
      <c r="AC424">
        <f>IF(原始資料!AC424="","",IF(反向題設定!$C$32="是",反向題設定!$B$2+1-原始資料!AC424,原始資料!AC424))</f>
        <v/>
      </c>
      <c r="AD424">
        <f>IF(原始資料!AD424="","",IF(反向題設定!$C$33="是",反向題設定!$B$2+1-原始資料!AD424,原始資料!AD424))</f>
        <v/>
      </c>
      <c r="AE424">
        <f>IF(原始資料!AE424="","",IF(反向題設定!$C$34="是",反向題設定!$B$2+1-原始資料!AE424,原始資料!AE424))</f>
        <v/>
      </c>
      <c r="AF424">
        <f>IF(原始資料!AF424="","",IF(反向題設定!$C$35="是",反向題設定!$B$2+1-原始資料!AF424,原始資料!AF424))</f>
        <v/>
      </c>
      <c r="AG424">
        <f>IF(原始資料!AG424="","",IF(反向題設定!$C$36="是",反向題設定!$B$2+1-原始資料!AG424,原始資料!AG424))</f>
        <v/>
      </c>
      <c r="AH424">
        <f>IF(原始資料!AH424="","",IF(反向題設定!$C$37="是",反向題設定!$B$2+1-原始資料!AH424,原始資料!AH424))</f>
        <v/>
      </c>
      <c r="AI424">
        <f>IF(原始資料!AI424="","",IF(反向題設定!$C$38="是",反向題設定!$B$2+1-原始資料!AI424,原始資料!AI424))</f>
        <v/>
      </c>
      <c r="AJ424">
        <f>IF(原始資料!AJ424="","",IF(反向題設定!$C$39="是",反向題設定!$B$2+1-原始資料!AJ424,原始資料!AJ424))</f>
        <v/>
      </c>
      <c r="AK424">
        <f>IF(原始資料!AK424="","",IF(反向題設定!$C$40="是",反向題設定!$B$2+1-原始資料!AK424,原始資料!AK424))</f>
        <v/>
      </c>
      <c r="AL424">
        <f>IF(原始資料!AL424="","",IF(反向題設定!$C$41="是",反向題設定!$B$2+1-原始資料!AL424,原始資料!AL424))</f>
        <v/>
      </c>
      <c r="AM424">
        <f>IF(原始資料!AM424="","",IF(反向題設定!$C$42="是",反向題設定!$B$2+1-原始資料!AM424,原始資料!AM424))</f>
        <v/>
      </c>
      <c r="AN424">
        <f>IF(原始資料!AN424="","",IF(反向題設定!$C$43="是",反向題設定!$B$2+1-原始資料!AN424,原始資料!AN424))</f>
        <v/>
      </c>
      <c r="AO424">
        <f>IF(原始資料!AO424="","",IF(反向題設定!$C$44="是",反向題設定!$B$2+1-原始資料!AO424,原始資料!AO424))</f>
        <v/>
      </c>
      <c r="AP424">
        <f>IF(COUNT(B424:AO424)=0,"",SUM(B424:AO424))</f>
        <v/>
      </c>
      <c r="AQ424">
        <f>IF(AP424="","",IF(AP424&gt;=項目分析!$C$5,"高",IF(AP424&lt;=項目分析!$C$6,"低","")))</f>
        <v/>
      </c>
    </row>
    <row r="425">
      <c r="A425">
        <f>IF(原始資料!A425="","",原始資料!A425)</f>
        <v/>
      </c>
      <c r="B425">
        <f>IF(原始資料!B425="","",IF(反向題設定!$C$5="是",反向題設定!$B$2+1-原始資料!B425,原始資料!B425))</f>
        <v/>
      </c>
      <c r="C425">
        <f>IF(原始資料!C425="","",IF(反向題設定!$C$6="是",反向題設定!$B$2+1-原始資料!C425,原始資料!C425))</f>
        <v/>
      </c>
      <c r="D425">
        <f>IF(原始資料!D425="","",IF(反向題設定!$C$7="是",反向題設定!$B$2+1-原始資料!D425,原始資料!D425))</f>
        <v/>
      </c>
      <c r="E425">
        <f>IF(原始資料!E425="","",IF(反向題設定!$C$8="是",反向題設定!$B$2+1-原始資料!E425,原始資料!E425))</f>
        <v/>
      </c>
      <c r="F425">
        <f>IF(原始資料!F425="","",IF(反向題設定!$C$9="是",反向題設定!$B$2+1-原始資料!F425,原始資料!F425))</f>
        <v/>
      </c>
      <c r="G425">
        <f>IF(原始資料!G425="","",IF(反向題設定!$C$10="是",反向題設定!$B$2+1-原始資料!G425,原始資料!G425))</f>
        <v/>
      </c>
      <c r="H425">
        <f>IF(原始資料!H425="","",IF(反向題設定!$C$11="是",反向題設定!$B$2+1-原始資料!H425,原始資料!H425))</f>
        <v/>
      </c>
      <c r="I425">
        <f>IF(原始資料!I425="","",IF(反向題設定!$C$12="是",反向題設定!$B$2+1-原始資料!I425,原始資料!I425))</f>
        <v/>
      </c>
      <c r="J425">
        <f>IF(原始資料!J425="","",IF(反向題設定!$C$13="是",反向題設定!$B$2+1-原始資料!J425,原始資料!J425))</f>
        <v/>
      </c>
      <c r="K425">
        <f>IF(原始資料!K425="","",IF(反向題設定!$C$14="是",反向題設定!$B$2+1-原始資料!K425,原始資料!K425))</f>
        <v/>
      </c>
      <c r="L425">
        <f>IF(原始資料!L425="","",IF(反向題設定!$C$15="是",反向題設定!$B$2+1-原始資料!L425,原始資料!L425))</f>
        <v/>
      </c>
      <c r="M425">
        <f>IF(原始資料!M425="","",IF(反向題設定!$C$16="是",反向題設定!$B$2+1-原始資料!M425,原始資料!M425))</f>
        <v/>
      </c>
      <c r="N425">
        <f>IF(原始資料!N425="","",IF(反向題設定!$C$17="是",反向題設定!$B$2+1-原始資料!N425,原始資料!N425))</f>
        <v/>
      </c>
      <c r="O425">
        <f>IF(原始資料!O425="","",IF(反向題設定!$C$18="是",反向題設定!$B$2+1-原始資料!O425,原始資料!O425))</f>
        <v/>
      </c>
      <c r="P425">
        <f>IF(原始資料!P425="","",IF(反向題設定!$C$19="是",反向題設定!$B$2+1-原始資料!P425,原始資料!P425))</f>
        <v/>
      </c>
      <c r="Q425">
        <f>IF(原始資料!Q425="","",IF(反向題設定!$C$20="是",反向題設定!$B$2+1-原始資料!Q425,原始資料!Q425))</f>
        <v/>
      </c>
      <c r="R425">
        <f>IF(原始資料!R425="","",IF(反向題設定!$C$21="是",反向題設定!$B$2+1-原始資料!R425,原始資料!R425))</f>
        <v/>
      </c>
      <c r="S425">
        <f>IF(原始資料!S425="","",IF(反向題設定!$C$22="是",反向題設定!$B$2+1-原始資料!S425,原始資料!S425))</f>
        <v/>
      </c>
      <c r="T425">
        <f>IF(原始資料!T425="","",IF(反向題設定!$C$23="是",反向題設定!$B$2+1-原始資料!T425,原始資料!T425))</f>
        <v/>
      </c>
      <c r="U425">
        <f>IF(原始資料!U425="","",IF(反向題設定!$C$24="是",反向題設定!$B$2+1-原始資料!U425,原始資料!U425))</f>
        <v/>
      </c>
      <c r="V425">
        <f>IF(原始資料!V425="","",IF(反向題設定!$C$25="是",反向題設定!$B$2+1-原始資料!V425,原始資料!V425))</f>
        <v/>
      </c>
      <c r="W425">
        <f>IF(原始資料!W425="","",IF(反向題設定!$C$26="是",反向題設定!$B$2+1-原始資料!W425,原始資料!W425))</f>
        <v/>
      </c>
      <c r="X425">
        <f>IF(原始資料!X425="","",IF(反向題設定!$C$27="是",反向題設定!$B$2+1-原始資料!X425,原始資料!X425))</f>
        <v/>
      </c>
      <c r="Y425">
        <f>IF(原始資料!Y425="","",IF(反向題設定!$C$28="是",反向題設定!$B$2+1-原始資料!Y425,原始資料!Y425))</f>
        <v/>
      </c>
      <c r="Z425">
        <f>IF(原始資料!Z425="","",IF(反向題設定!$C$29="是",反向題設定!$B$2+1-原始資料!Z425,原始資料!Z425))</f>
        <v/>
      </c>
      <c r="AA425">
        <f>IF(原始資料!AA425="","",IF(反向題設定!$C$30="是",反向題設定!$B$2+1-原始資料!AA425,原始資料!AA425))</f>
        <v/>
      </c>
      <c r="AB425">
        <f>IF(原始資料!AB425="","",IF(反向題設定!$C$31="是",反向題設定!$B$2+1-原始資料!AB425,原始資料!AB425))</f>
        <v/>
      </c>
      <c r="AC425">
        <f>IF(原始資料!AC425="","",IF(反向題設定!$C$32="是",反向題設定!$B$2+1-原始資料!AC425,原始資料!AC425))</f>
        <v/>
      </c>
      <c r="AD425">
        <f>IF(原始資料!AD425="","",IF(反向題設定!$C$33="是",反向題設定!$B$2+1-原始資料!AD425,原始資料!AD425))</f>
        <v/>
      </c>
      <c r="AE425">
        <f>IF(原始資料!AE425="","",IF(反向題設定!$C$34="是",反向題設定!$B$2+1-原始資料!AE425,原始資料!AE425))</f>
        <v/>
      </c>
      <c r="AF425">
        <f>IF(原始資料!AF425="","",IF(反向題設定!$C$35="是",反向題設定!$B$2+1-原始資料!AF425,原始資料!AF425))</f>
        <v/>
      </c>
      <c r="AG425">
        <f>IF(原始資料!AG425="","",IF(反向題設定!$C$36="是",反向題設定!$B$2+1-原始資料!AG425,原始資料!AG425))</f>
        <v/>
      </c>
      <c r="AH425">
        <f>IF(原始資料!AH425="","",IF(反向題設定!$C$37="是",反向題設定!$B$2+1-原始資料!AH425,原始資料!AH425))</f>
        <v/>
      </c>
      <c r="AI425">
        <f>IF(原始資料!AI425="","",IF(反向題設定!$C$38="是",反向題設定!$B$2+1-原始資料!AI425,原始資料!AI425))</f>
        <v/>
      </c>
      <c r="AJ425">
        <f>IF(原始資料!AJ425="","",IF(反向題設定!$C$39="是",反向題設定!$B$2+1-原始資料!AJ425,原始資料!AJ425))</f>
        <v/>
      </c>
      <c r="AK425">
        <f>IF(原始資料!AK425="","",IF(反向題設定!$C$40="是",反向題設定!$B$2+1-原始資料!AK425,原始資料!AK425))</f>
        <v/>
      </c>
      <c r="AL425">
        <f>IF(原始資料!AL425="","",IF(反向題設定!$C$41="是",反向題設定!$B$2+1-原始資料!AL425,原始資料!AL425))</f>
        <v/>
      </c>
      <c r="AM425">
        <f>IF(原始資料!AM425="","",IF(反向題設定!$C$42="是",反向題設定!$B$2+1-原始資料!AM425,原始資料!AM425))</f>
        <v/>
      </c>
      <c r="AN425">
        <f>IF(原始資料!AN425="","",IF(反向題設定!$C$43="是",反向題設定!$B$2+1-原始資料!AN425,原始資料!AN425))</f>
        <v/>
      </c>
      <c r="AO425">
        <f>IF(原始資料!AO425="","",IF(反向題設定!$C$44="是",反向題設定!$B$2+1-原始資料!AO425,原始資料!AO425))</f>
        <v/>
      </c>
      <c r="AP425">
        <f>IF(COUNT(B425:AO425)=0,"",SUM(B425:AO425))</f>
        <v/>
      </c>
      <c r="AQ425">
        <f>IF(AP425="","",IF(AP425&gt;=項目分析!$C$5,"高",IF(AP425&lt;=項目分析!$C$6,"低","")))</f>
        <v/>
      </c>
    </row>
    <row r="426">
      <c r="A426">
        <f>IF(原始資料!A426="","",原始資料!A426)</f>
        <v/>
      </c>
      <c r="B426">
        <f>IF(原始資料!B426="","",IF(反向題設定!$C$5="是",反向題設定!$B$2+1-原始資料!B426,原始資料!B426))</f>
        <v/>
      </c>
      <c r="C426">
        <f>IF(原始資料!C426="","",IF(反向題設定!$C$6="是",反向題設定!$B$2+1-原始資料!C426,原始資料!C426))</f>
        <v/>
      </c>
      <c r="D426">
        <f>IF(原始資料!D426="","",IF(反向題設定!$C$7="是",反向題設定!$B$2+1-原始資料!D426,原始資料!D426))</f>
        <v/>
      </c>
      <c r="E426">
        <f>IF(原始資料!E426="","",IF(反向題設定!$C$8="是",反向題設定!$B$2+1-原始資料!E426,原始資料!E426))</f>
        <v/>
      </c>
      <c r="F426">
        <f>IF(原始資料!F426="","",IF(反向題設定!$C$9="是",反向題設定!$B$2+1-原始資料!F426,原始資料!F426))</f>
        <v/>
      </c>
      <c r="G426">
        <f>IF(原始資料!G426="","",IF(反向題設定!$C$10="是",反向題設定!$B$2+1-原始資料!G426,原始資料!G426))</f>
        <v/>
      </c>
      <c r="H426">
        <f>IF(原始資料!H426="","",IF(反向題設定!$C$11="是",反向題設定!$B$2+1-原始資料!H426,原始資料!H426))</f>
        <v/>
      </c>
      <c r="I426">
        <f>IF(原始資料!I426="","",IF(反向題設定!$C$12="是",反向題設定!$B$2+1-原始資料!I426,原始資料!I426))</f>
        <v/>
      </c>
      <c r="J426">
        <f>IF(原始資料!J426="","",IF(反向題設定!$C$13="是",反向題設定!$B$2+1-原始資料!J426,原始資料!J426))</f>
        <v/>
      </c>
      <c r="K426">
        <f>IF(原始資料!K426="","",IF(反向題設定!$C$14="是",反向題設定!$B$2+1-原始資料!K426,原始資料!K426))</f>
        <v/>
      </c>
      <c r="L426">
        <f>IF(原始資料!L426="","",IF(反向題設定!$C$15="是",反向題設定!$B$2+1-原始資料!L426,原始資料!L426))</f>
        <v/>
      </c>
      <c r="M426">
        <f>IF(原始資料!M426="","",IF(反向題設定!$C$16="是",反向題設定!$B$2+1-原始資料!M426,原始資料!M426))</f>
        <v/>
      </c>
      <c r="N426">
        <f>IF(原始資料!N426="","",IF(反向題設定!$C$17="是",反向題設定!$B$2+1-原始資料!N426,原始資料!N426))</f>
        <v/>
      </c>
      <c r="O426">
        <f>IF(原始資料!O426="","",IF(反向題設定!$C$18="是",反向題設定!$B$2+1-原始資料!O426,原始資料!O426))</f>
        <v/>
      </c>
      <c r="P426">
        <f>IF(原始資料!P426="","",IF(反向題設定!$C$19="是",反向題設定!$B$2+1-原始資料!P426,原始資料!P426))</f>
        <v/>
      </c>
      <c r="Q426">
        <f>IF(原始資料!Q426="","",IF(反向題設定!$C$20="是",反向題設定!$B$2+1-原始資料!Q426,原始資料!Q426))</f>
        <v/>
      </c>
      <c r="R426">
        <f>IF(原始資料!R426="","",IF(反向題設定!$C$21="是",反向題設定!$B$2+1-原始資料!R426,原始資料!R426))</f>
        <v/>
      </c>
      <c r="S426">
        <f>IF(原始資料!S426="","",IF(反向題設定!$C$22="是",反向題設定!$B$2+1-原始資料!S426,原始資料!S426))</f>
        <v/>
      </c>
      <c r="T426">
        <f>IF(原始資料!T426="","",IF(反向題設定!$C$23="是",反向題設定!$B$2+1-原始資料!T426,原始資料!T426))</f>
        <v/>
      </c>
      <c r="U426">
        <f>IF(原始資料!U426="","",IF(反向題設定!$C$24="是",反向題設定!$B$2+1-原始資料!U426,原始資料!U426))</f>
        <v/>
      </c>
      <c r="V426">
        <f>IF(原始資料!V426="","",IF(反向題設定!$C$25="是",反向題設定!$B$2+1-原始資料!V426,原始資料!V426))</f>
        <v/>
      </c>
      <c r="W426">
        <f>IF(原始資料!W426="","",IF(反向題設定!$C$26="是",反向題設定!$B$2+1-原始資料!W426,原始資料!W426))</f>
        <v/>
      </c>
      <c r="X426">
        <f>IF(原始資料!X426="","",IF(反向題設定!$C$27="是",反向題設定!$B$2+1-原始資料!X426,原始資料!X426))</f>
        <v/>
      </c>
      <c r="Y426">
        <f>IF(原始資料!Y426="","",IF(反向題設定!$C$28="是",反向題設定!$B$2+1-原始資料!Y426,原始資料!Y426))</f>
        <v/>
      </c>
      <c r="Z426">
        <f>IF(原始資料!Z426="","",IF(反向題設定!$C$29="是",反向題設定!$B$2+1-原始資料!Z426,原始資料!Z426))</f>
        <v/>
      </c>
      <c r="AA426">
        <f>IF(原始資料!AA426="","",IF(反向題設定!$C$30="是",反向題設定!$B$2+1-原始資料!AA426,原始資料!AA426))</f>
        <v/>
      </c>
      <c r="AB426">
        <f>IF(原始資料!AB426="","",IF(反向題設定!$C$31="是",反向題設定!$B$2+1-原始資料!AB426,原始資料!AB426))</f>
        <v/>
      </c>
      <c r="AC426">
        <f>IF(原始資料!AC426="","",IF(反向題設定!$C$32="是",反向題設定!$B$2+1-原始資料!AC426,原始資料!AC426))</f>
        <v/>
      </c>
      <c r="AD426">
        <f>IF(原始資料!AD426="","",IF(反向題設定!$C$33="是",反向題設定!$B$2+1-原始資料!AD426,原始資料!AD426))</f>
        <v/>
      </c>
      <c r="AE426">
        <f>IF(原始資料!AE426="","",IF(反向題設定!$C$34="是",反向題設定!$B$2+1-原始資料!AE426,原始資料!AE426))</f>
        <v/>
      </c>
      <c r="AF426">
        <f>IF(原始資料!AF426="","",IF(反向題設定!$C$35="是",反向題設定!$B$2+1-原始資料!AF426,原始資料!AF426))</f>
        <v/>
      </c>
      <c r="AG426">
        <f>IF(原始資料!AG426="","",IF(反向題設定!$C$36="是",反向題設定!$B$2+1-原始資料!AG426,原始資料!AG426))</f>
        <v/>
      </c>
      <c r="AH426">
        <f>IF(原始資料!AH426="","",IF(反向題設定!$C$37="是",反向題設定!$B$2+1-原始資料!AH426,原始資料!AH426))</f>
        <v/>
      </c>
      <c r="AI426">
        <f>IF(原始資料!AI426="","",IF(反向題設定!$C$38="是",反向題設定!$B$2+1-原始資料!AI426,原始資料!AI426))</f>
        <v/>
      </c>
      <c r="AJ426">
        <f>IF(原始資料!AJ426="","",IF(反向題設定!$C$39="是",反向題設定!$B$2+1-原始資料!AJ426,原始資料!AJ426))</f>
        <v/>
      </c>
      <c r="AK426">
        <f>IF(原始資料!AK426="","",IF(反向題設定!$C$40="是",反向題設定!$B$2+1-原始資料!AK426,原始資料!AK426))</f>
        <v/>
      </c>
      <c r="AL426">
        <f>IF(原始資料!AL426="","",IF(反向題設定!$C$41="是",反向題設定!$B$2+1-原始資料!AL426,原始資料!AL426))</f>
        <v/>
      </c>
      <c r="AM426">
        <f>IF(原始資料!AM426="","",IF(反向題設定!$C$42="是",反向題設定!$B$2+1-原始資料!AM426,原始資料!AM426))</f>
        <v/>
      </c>
      <c r="AN426">
        <f>IF(原始資料!AN426="","",IF(反向題設定!$C$43="是",反向題設定!$B$2+1-原始資料!AN426,原始資料!AN426))</f>
        <v/>
      </c>
      <c r="AO426">
        <f>IF(原始資料!AO426="","",IF(反向題設定!$C$44="是",反向題設定!$B$2+1-原始資料!AO426,原始資料!AO426))</f>
        <v/>
      </c>
      <c r="AP426">
        <f>IF(COUNT(B426:AO426)=0,"",SUM(B426:AO426))</f>
        <v/>
      </c>
      <c r="AQ426">
        <f>IF(AP426="","",IF(AP426&gt;=項目分析!$C$5,"高",IF(AP426&lt;=項目分析!$C$6,"低","")))</f>
        <v/>
      </c>
    </row>
    <row r="427">
      <c r="A427">
        <f>IF(原始資料!A427="","",原始資料!A427)</f>
        <v/>
      </c>
      <c r="B427">
        <f>IF(原始資料!B427="","",IF(反向題設定!$C$5="是",反向題設定!$B$2+1-原始資料!B427,原始資料!B427))</f>
        <v/>
      </c>
      <c r="C427">
        <f>IF(原始資料!C427="","",IF(反向題設定!$C$6="是",反向題設定!$B$2+1-原始資料!C427,原始資料!C427))</f>
        <v/>
      </c>
      <c r="D427">
        <f>IF(原始資料!D427="","",IF(反向題設定!$C$7="是",反向題設定!$B$2+1-原始資料!D427,原始資料!D427))</f>
        <v/>
      </c>
      <c r="E427">
        <f>IF(原始資料!E427="","",IF(反向題設定!$C$8="是",反向題設定!$B$2+1-原始資料!E427,原始資料!E427))</f>
        <v/>
      </c>
      <c r="F427">
        <f>IF(原始資料!F427="","",IF(反向題設定!$C$9="是",反向題設定!$B$2+1-原始資料!F427,原始資料!F427))</f>
        <v/>
      </c>
      <c r="G427">
        <f>IF(原始資料!G427="","",IF(反向題設定!$C$10="是",反向題設定!$B$2+1-原始資料!G427,原始資料!G427))</f>
        <v/>
      </c>
      <c r="H427">
        <f>IF(原始資料!H427="","",IF(反向題設定!$C$11="是",反向題設定!$B$2+1-原始資料!H427,原始資料!H427))</f>
        <v/>
      </c>
      <c r="I427">
        <f>IF(原始資料!I427="","",IF(反向題設定!$C$12="是",反向題設定!$B$2+1-原始資料!I427,原始資料!I427))</f>
        <v/>
      </c>
      <c r="J427">
        <f>IF(原始資料!J427="","",IF(反向題設定!$C$13="是",反向題設定!$B$2+1-原始資料!J427,原始資料!J427))</f>
        <v/>
      </c>
      <c r="K427">
        <f>IF(原始資料!K427="","",IF(反向題設定!$C$14="是",反向題設定!$B$2+1-原始資料!K427,原始資料!K427))</f>
        <v/>
      </c>
      <c r="L427">
        <f>IF(原始資料!L427="","",IF(反向題設定!$C$15="是",反向題設定!$B$2+1-原始資料!L427,原始資料!L427))</f>
        <v/>
      </c>
      <c r="M427">
        <f>IF(原始資料!M427="","",IF(反向題設定!$C$16="是",反向題設定!$B$2+1-原始資料!M427,原始資料!M427))</f>
        <v/>
      </c>
      <c r="N427">
        <f>IF(原始資料!N427="","",IF(反向題設定!$C$17="是",反向題設定!$B$2+1-原始資料!N427,原始資料!N427))</f>
        <v/>
      </c>
      <c r="O427">
        <f>IF(原始資料!O427="","",IF(反向題設定!$C$18="是",反向題設定!$B$2+1-原始資料!O427,原始資料!O427))</f>
        <v/>
      </c>
      <c r="P427">
        <f>IF(原始資料!P427="","",IF(反向題設定!$C$19="是",反向題設定!$B$2+1-原始資料!P427,原始資料!P427))</f>
        <v/>
      </c>
      <c r="Q427">
        <f>IF(原始資料!Q427="","",IF(反向題設定!$C$20="是",反向題設定!$B$2+1-原始資料!Q427,原始資料!Q427))</f>
        <v/>
      </c>
      <c r="R427">
        <f>IF(原始資料!R427="","",IF(反向題設定!$C$21="是",反向題設定!$B$2+1-原始資料!R427,原始資料!R427))</f>
        <v/>
      </c>
      <c r="S427">
        <f>IF(原始資料!S427="","",IF(反向題設定!$C$22="是",反向題設定!$B$2+1-原始資料!S427,原始資料!S427))</f>
        <v/>
      </c>
      <c r="T427">
        <f>IF(原始資料!T427="","",IF(反向題設定!$C$23="是",反向題設定!$B$2+1-原始資料!T427,原始資料!T427))</f>
        <v/>
      </c>
      <c r="U427">
        <f>IF(原始資料!U427="","",IF(反向題設定!$C$24="是",反向題設定!$B$2+1-原始資料!U427,原始資料!U427))</f>
        <v/>
      </c>
      <c r="V427">
        <f>IF(原始資料!V427="","",IF(反向題設定!$C$25="是",反向題設定!$B$2+1-原始資料!V427,原始資料!V427))</f>
        <v/>
      </c>
      <c r="W427">
        <f>IF(原始資料!W427="","",IF(反向題設定!$C$26="是",反向題設定!$B$2+1-原始資料!W427,原始資料!W427))</f>
        <v/>
      </c>
      <c r="X427">
        <f>IF(原始資料!X427="","",IF(反向題設定!$C$27="是",反向題設定!$B$2+1-原始資料!X427,原始資料!X427))</f>
        <v/>
      </c>
      <c r="Y427">
        <f>IF(原始資料!Y427="","",IF(反向題設定!$C$28="是",反向題設定!$B$2+1-原始資料!Y427,原始資料!Y427))</f>
        <v/>
      </c>
      <c r="Z427">
        <f>IF(原始資料!Z427="","",IF(反向題設定!$C$29="是",反向題設定!$B$2+1-原始資料!Z427,原始資料!Z427))</f>
        <v/>
      </c>
      <c r="AA427">
        <f>IF(原始資料!AA427="","",IF(反向題設定!$C$30="是",反向題設定!$B$2+1-原始資料!AA427,原始資料!AA427))</f>
        <v/>
      </c>
      <c r="AB427">
        <f>IF(原始資料!AB427="","",IF(反向題設定!$C$31="是",反向題設定!$B$2+1-原始資料!AB427,原始資料!AB427))</f>
        <v/>
      </c>
      <c r="AC427">
        <f>IF(原始資料!AC427="","",IF(反向題設定!$C$32="是",反向題設定!$B$2+1-原始資料!AC427,原始資料!AC427))</f>
        <v/>
      </c>
      <c r="AD427">
        <f>IF(原始資料!AD427="","",IF(反向題設定!$C$33="是",反向題設定!$B$2+1-原始資料!AD427,原始資料!AD427))</f>
        <v/>
      </c>
      <c r="AE427">
        <f>IF(原始資料!AE427="","",IF(反向題設定!$C$34="是",反向題設定!$B$2+1-原始資料!AE427,原始資料!AE427))</f>
        <v/>
      </c>
      <c r="AF427">
        <f>IF(原始資料!AF427="","",IF(反向題設定!$C$35="是",反向題設定!$B$2+1-原始資料!AF427,原始資料!AF427))</f>
        <v/>
      </c>
      <c r="AG427">
        <f>IF(原始資料!AG427="","",IF(反向題設定!$C$36="是",反向題設定!$B$2+1-原始資料!AG427,原始資料!AG427))</f>
        <v/>
      </c>
      <c r="AH427">
        <f>IF(原始資料!AH427="","",IF(反向題設定!$C$37="是",反向題設定!$B$2+1-原始資料!AH427,原始資料!AH427))</f>
        <v/>
      </c>
      <c r="AI427">
        <f>IF(原始資料!AI427="","",IF(反向題設定!$C$38="是",反向題設定!$B$2+1-原始資料!AI427,原始資料!AI427))</f>
        <v/>
      </c>
      <c r="AJ427">
        <f>IF(原始資料!AJ427="","",IF(反向題設定!$C$39="是",反向題設定!$B$2+1-原始資料!AJ427,原始資料!AJ427))</f>
        <v/>
      </c>
      <c r="AK427">
        <f>IF(原始資料!AK427="","",IF(反向題設定!$C$40="是",反向題設定!$B$2+1-原始資料!AK427,原始資料!AK427))</f>
        <v/>
      </c>
      <c r="AL427">
        <f>IF(原始資料!AL427="","",IF(反向題設定!$C$41="是",反向題設定!$B$2+1-原始資料!AL427,原始資料!AL427))</f>
        <v/>
      </c>
      <c r="AM427">
        <f>IF(原始資料!AM427="","",IF(反向題設定!$C$42="是",反向題設定!$B$2+1-原始資料!AM427,原始資料!AM427))</f>
        <v/>
      </c>
      <c r="AN427">
        <f>IF(原始資料!AN427="","",IF(反向題設定!$C$43="是",反向題設定!$B$2+1-原始資料!AN427,原始資料!AN427))</f>
        <v/>
      </c>
      <c r="AO427">
        <f>IF(原始資料!AO427="","",IF(反向題設定!$C$44="是",反向題設定!$B$2+1-原始資料!AO427,原始資料!AO427))</f>
        <v/>
      </c>
      <c r="AP427">
        <f>IF(COUNT(B427:AO427)=0,"",SUM(B427:AO427))</f>
        <v/>
      </c>
      <c r="AQ427">
        <f>IF(AP427="","",IF(AP427&gt;=項目分析!$C$5,"高",IF(AP427&lt;=項目分析!$C$6,"低","")))</f>
        <v/>
      </c>
    </row>
    <row r="428">
      <c r="A428">
        <f>IF(原始資料!A428="","",原始資料!A428)</f>
        <v/>
      </c>
      <c r="B428">
        <f>IF(原始資料!B428="","",IF(反向題設定!$C$5="是",反向題設定!$B$2+1-原始資料!B428,原始資料!B428))</f>
        <v/>
      </c>
      <c r="C428">
        <f>IF(原始資料!C428="","",IF(反向題設定!$C$6="是",反向題設定!$B$2+1-原始資料!C428,原始資料!C428))</f>
        <v/>
      </c>
      <c r="D428">
        <f>IF(原始資料!D428="","",IF(反向題設定!$C$7="是",反向題設定!$B$2+1-原始資料!D428,原始資料!D428))</f>
        <v/>
      </c>
      <c r="E428">
        <f>IF(原始資料!E428="","",IF(反向題設定!$C$8="是",反向題設定!$B$2+1-原始資料!E428,原始資料!E428))</f>
        <v/>
      </c>
      <c r="F428">
        <f>IF(原始資料!F428="","",IF(反向題設定!$C$9="是",反向題設定!$B$2+1-原始資料!F428,原始資料!F428))</f>
        <v/>
      </c>
      <c r="G428">
        <f>IF(原始資料!G428="","",IF(反向題設定!$C$10="是",反向題設定!$B$2+1-原始資料!G428,原始資料!G428))</f>
        <v/>
      </c>
      <c r="H428">
        <f>IF(原始資料!H428="","",IF(反向題設定!$C$11="是",反向題設定!$B$2+1-原始資料!H428,原始資料!H428))</f>
        <v/>
      </c>
      <c r="I428">
        <f>IF(原始資料!I428="","",IF(反向題設定!$C$12="是",反向題設定!$B$2+1-原始資料!I428,原始資料!I428))</f>
        <v/>
      </c>
      <c r="J428">
        <f>IF(原始資料!J428="","",IF(反向題設定!$C$13="是",反向題設定!$B$2+1-原始資料!J428,原始資料!J428))</f>
        <v/>
      </c>
      <c r="K428">
        <f>IF(原始資料!K428="","",IF(反向題設定!$C$14="是",反向題設定!$B$2+1-原始資料!K428,原始資料!K428))</f>
        <v/>
      </c>
      <c r="L428">
        <f>IF(原始資料!L428="","",IF(反向題設定!$C$15="是",反向題設定!$B$2+1-原始資料!L428,原始資料!L428))</f>
        <v/>
      </c>
      <c r="M428">
        <f>IF(原始資料!M428="","",IF(反向題設定!$C$16="是",反向題設定!$B$2+1-原始資料!M428,原始資料!M428))</f>
        <v/>
      </c>
      <c r="N428">
        <f>IF(原始資料!N428="","",IF(反向題設定!$C$17="是",反向題設定!$B$2+1-原始資料!N428,原始資料!N428))</f>
        <v/>
      </c>
      <c r="O428">
        <f>IF(原始資料!O428="","",IF(反向題設定!$C$18="是",反向題設定!$B$2+1-原始資料!O428,原始資料!O428))</f>
        <v/>
      </c>
      <c r="P428">
        <f>IF(原始資料!P428="","",IF(反向題設定!$C$19="是",反向題設定!$B$2+1-原始資料!P428,原始資料!P428))</f>
        <v/>
      </c>
      <c r="Q428">
        <f>IF(原始資料!Q428="","",IF(反向題設定!$C$20="是",反向題設定!$B$2+1-原始資料!Q428,原始資料!Q428))</f>
        <v/>
      </c>
      <c r="R428">
        <f>IF(原始資料!R428="","",IF(反向題設定!$C$21="是",反向題設定!$B$2+1-原始資料!R428,原始資料!R428))</f>
        <v/>
      </c>
      <c r="S428">
        <f>IF(原始資料!S428="","",IF(反向題設定!$C$22="是",反向題設定!$B$2+1-原始資料!S428,原始資料!S428))</f>
        <v/>
      </c>
      <c r="T428">
        <f>IF(原始資料!T428="","",IF(反向題設定!$C$23="是",反向題設定!$B$2+1-原始資料!T428,原始資料!T428))</f>
        <v/>
      </c>
      <c r="U428">
        <f>IF(原始資料!U428="","",IF(反向題設定!$C$24="是",反向題設定!$B$2+1-原始資料!U428,原始資料!U428))</f>
        <v/>
      </c>
      <c r="V428">
        <f>IF(原始資料!V428="","",IF(反向題設定!$C$25="是",反向題設定!$B$2+1-原始資料!V428,原始資料!V428))</f>
        <v/>
      </c>
      <c r="W428">
        <f>IF(原始資料!W428="","",IF(反向題設定!$C$26="是",反向題設定!$B$2+1-原始資料!W428,原始資料!W428))</f>
        <v/>
      </c>
      <c r="X428">
        <f>IF(原始資料!X428="","",IF(反向題設定!$C$27="是",反向題設定!$B$2+1-原始資料!X428,原始資料!X428))</f>
        <v/>
      </c>
      <c r="Y428">
        <f>IF(原始資料!Y428="","",IF(反向題設定!$C$28="是",反向題設定!$B$2+1-原始資料!Y428,原始資料!Y428))</f>
        <v/>
      </c>
      <c r="Z428">
        <f>IF(原始資料!Z428="","",IF(反向題設定!$C$29="是",反向題設定!$B$2+1-原始資料!Z428,原始資料!Z428))</f>
        <v/>
      </c>
      <c r="AA428">
        <f>IF(原始資料!AA428="","",IF(反向題設定!$C$30="是",反向題設定!$B$2+1-原始資料!AA428,原始資料!AA428))</f>
        <v/>
      </c>
      <c r="AB428">
        <f>IF(原始資料!AB428="","",IF(反向題設定!$C$31="是",反向題設定!$B$2+1-原始資料!AB428,原始資料!AB428))</f>
        <v/>
      </c>
      <c r="AC428">
        <f>IF(原始資料!AC428="","",IF(反向題設定!$C$32="是",反向題設定!$B$2+1-原始資料!AC428,原始資料!AC428))</f>
        <v/>
      </c>
      <c r="AD428">
        <f>IF(原始資料!AD428="","",IF(反向題設定!$C$33="是",反向題設定!$B$2+1-原始資料!AD428,原始資料!AD428))</f>
        <v/>
      </c>
      <c r="AE428">
        <f>IF(原始資料!AE428="","",IF(反向題設定!$C$34="是",反向題設定!$B$2+1-原始資料!AE428,原始資料!AE428))</f>
        <v/>
      </c>
      <c r="AF428">
        <f>IF(原始資料!AF428="","",IF(反向題設定!$C$35="是",反向題設定!$B$2+1-原始資料!AF428,原始資料!AF428))</f>
        <v/>
      </c>
      <c r="AG428">
        <f>IF(原始資料!AG428="","",IF(反向題設定!$C$36="是",反向題設定!$B$2+1-原始資料!AG428,原始資料!AG428))</f>
        <v/>
      </c>
      <c r="AH428">
        <f>IF(原始資料!AH428="","",IF(反向題設定!$C$37="是",反向題設定!$B$2+1-原始資料!AH428,原始資料!AH428))</f>
        <v/>
      </c>
      <c r="AI428">
        <f>IF(原始資料!AI428="","",IF(反向題設定!$C$38="是",反向題設定!$B$2+1-原始資料!AI428,原始資料!AI428))</f>
        <v/>
      </c>
      <c r="AJ428">
        <f>IF(原始資料!AJ428="","",IF(反向題設定!$C$39="是",反向題設定!$B$2+1-原始資料!AJ428,原始資料!AJ428))</f>
        <v/>
      </c>
      <c r="AK428">
        <f>IF(原始資料!AK428="","",IF(反向題設定!$C$40="是",反向題設定!$B$2+1-原始資料!AK428,原始資料!AK428))</f>
        <v/>
      </c>
      <c r="AL428">
        <f>IF(原始資料!AL428="","",IF(反向題設定!$C$41="是",反向題設定!$B$2+1-原始資料!AL428,原始資料!AL428))</f>
        <v/>
      </c>
      <c r="AM428">
        <f>IF(原始資料!AM428="","",IF(反向題設定!$C$42="是",反向題設定!$B$2+1-原始資料!AM428,原始資料!AM428))</f>
        <v/>
      </c>
      <c r="AN428">
        <f>IF(原始資料!AN428="","",IF(反向題設定!$C$43="是",反向題設定!$B$2+1-原始資料!AN428,原始資料!AN428))</f>
        <v/>
      </c>
      <c r="AO428">
        <f>IF(原始資料!AO428="","",IF(反向題設定!$C$44="是",反向題設定!$B$2+1-原始資料!AO428,原始資料!AO428))</f>
        <v/>
      </c>
      <c r="AP428">
        <f>IF(COUNT(B428:AO428)=0,"",SUM(B428:AO428))</f>
        <v/>
      </c>
      <c r="AQ428">
        <f>IF(AP428="","",IF(AP428&gt;=項目分析!$C$5,"高",IF(AP428&lt;=項目分析!$C$6,"低","")))</f>
        <v/>
      </c>
    </row>
    <row r="429">
      <c r="A429">
        <f>IF(原始資料!A429="","",原始資料!A429)</f>
        <v/>
      </c>
      <c r="B429">
        <f>IF(原始資料!B429="","",IF(反向題設定!$C$5="是",反向題設定!$B$2+1-原始資料!B429,原始資料!B429))</f>
        <v/>
      </c>
      <c r="C429">
        <f>IF(原始資料!C429="","",IF(反向題設定!$C$6="是",反向題設定!$B$2+1-原始資料!C429,原始資料!C429))</f>
        <v/>
      </c>
      <c r="D429">
        <f>IF(原始資料!D429="","",IF(反向題設定!$C$7="是",反向題設定!$B$2+1-原始資料!D429,原始資料!D429))</f>
        <v/>
      </c>
      <c r="E429">
        <f>IF(原始資料!E429="","",IF(反向題設定!$C$8="是",反向題設定!$B$2+1-原始資料!E429,原始資料!E429))</f>
        <v/>
      </c>
      <c r="F429">
        <f>IF(原始資料!F429="","",IF(反向題設定!$C$9="是",反向題設定!$B$2+1-原始資料!F429,原始資料!F429))</f>
        <v/>
      </c>
      <c r="G429">
        <f>IF(原始資料!G429="","",IF(反向題設定!$C$10="是",反向題設定!$B$2+1-原始資料!G429,原始資料!G429))</f>
        <v/>
      </c>
      <c r="H429">
        <f>IF(原始資料!H429="","",IF(反向題設定!$C$11="是",反向題設定!$B$2+1-原始資料!H429,原始資料!H429))</f>
        <v/>
      </c>
      <c r="I429">
        <f>IF(原始資料!I429="","",IF(反向題設定!$C$12="是",反向題設定!$B$2+1-原始資料!I429,原始資料!I429))</f>
        <v/>
      </c>
      <c r="J429">
        <f>IF(原始資料!J429="","",IF(反向題設定!$C$13="是",反向題設定!$B$2+1-原始資料!J429,原始資料!J429))</f>
        <v/>
      </c>
      <c r="K429">
        <f>IF(原始資料!K429="","",IF(反向題設定!$C$14="是",反向題設定!$B$2+1-原始資料!K429,原始資料!K429))</f>
        <v/>
      </c>
      <c r="L429">
        <f>IF(原始資料!L429="","",IF(反向題設定!$C$15="是",反向題設定!$B$2+1-原始資料!L429,原始資料!L429))</f>
        <v/>
      </c>
      <c r="M429">
        <f>IF(原始資料!M429="","",IF(反向題設定!$C$16="是",反向題設定!$B$2+1-原始資料!M429,原始資料!M429))</f>
        <v/>
      </c>
      <c r="N429">
        <f>IF(原始資料!N429="","",IF(反向題設定!$C$17="是",反向題設定!$B$2+1-原始資料!N429,原始資料!N429))</f>
        <v/>
      </c>
      <c r="O429">
        <f>IF(原始資料!O429="","",IF(反向題設定!$C$18="是",反向題設定!$B$2+1-原始資料!O429,原始資料!O429))</f>
        <v/>
      </c>
      <c r="P429">
        <f>IF(原始資料!P429="","",IF(反向題設定!$C$19="是",反向題設定!$B$2+1-原始資料!P429,原始資料!P429))</f>
        <v/>
      </c>
      <c r="Q429">
        <f>IF(原始資料!Q429="","",IF(反向題設定!$C$20="是",反向題設定!$B$2+1-原始資料!Q429,原始資料!Q429))</f>
        <v/>
      </c>
      <c r="R429">
        <f>IF(原始資料!R429="","",IF(反向題設定!$C$21="是",反向題設定!$B$2+1-原始資料!R429,原始資料!R429))</f>
        <v/>
      </c>
      <c r="S429">
        <f>IF(原始資料!S429="","",IF(反向題設定!$C$22="是",反向題設定!$B$2+1-原始資料!S429,原始資料!S429))</f>
        <v/>
      </c>
      <c r="T429">
        <f>IF(原始資料!T429="","",IF(反向題設定!$C$23="是",反向題設定!$B$2+1-原始資料!T429,原始資料!T429))</f>
        <v/>
      </c>
      <c r="U429">
        <f>IF(原始資料!U429="","",IF(反向題設定!$C$24="是",反向題設定!$B$2+1-原始資料!U429,原始資料!U429))</f>
        <v/>
      </c>
      <c r="V429">
        <f>IF(原始資料!V429="","",IF(反向題設定!$C$25="是",反向題設定!$B$2+1-原始資料!V429,原始資料!V429))</f>
        <v/>
      </c>
      <c r="W429">
        <f>IF(原始資料!W429="","",IF(反向題設定!$C$26="是",反向題設定!$B$2+1-原始資料!W429,原始資料!W429))</f>
        <v/>
      </c>
      <c r="X429">
        <f>IF(原始資料!X429="","",IF(反向題設定!$C$27="是",反向題設定!$B$2+1-原始資料!X429,原始資料!X429))</f>
        <v/>
      </c>
      <c r="Y429">
        <f>IF(原始資料!Y429="","",IF(反向題設定!$C$28="是",反向題設定!$B$2+1-原始資料!Y429,原始資料!Y429))</f>
        <v/>
      </c>
      <c r="Z429">
        <f>IF(原始資料!Z429="","",IF(反向題設定!$C$29="是",反向題設定!$B$2+1-原始資料!Z429,原始資料!Z429))</f>
        <v/>
      </c>
      <c r="AA429">
        <f>IF(原始資料!AA429="","",IF(反向題設定!$C$30="是",反向題設定!$B$2+1-原始資料!AA429,原始資料!AA429))</f>
        <v/>
      </c>
      <c r="AB429">
        <f>IF(原始資料!AB429="","",IF(反向題設定!$C$31="是",反向題設定!$B$2+1-原始資料!AB429,原始資料!AB429))</f>
        <v/>
      </c>
      <c r="AC429">
        <f>IF(原始資料!AC429="","",IF(反向題設定!$C$32="是",反向題設定!$B$2+1-原始資料!AC429,原始資料!AC429))</f>
        <v/>
      </c>
      <c r="AD429">
        <f>IF(原始資料!AD429="","",IF(反向題設定!$C$33="是",反向題設定!$B$2+1-原始資料!AD429,原始資料!AD429))</f>
        <v/>
      </c>
      <c r="AE429">
        <f>IF(原始資料!AE429="","",IF(反向題設定!$C$34="是",反向題設定!$B$2+1-原始資料!AE429,原始資料!AE429))</f>
        <v/>
      </c>
      <c r="AF429">
        <f>IF(原始資料!AF429="","",IF(反向題設定!$C$35="是",反向題設定!$B$2+1-原始資料!AF429,原始資料!AF429))</f>
        <v/>
      </c>
      <c r="AG429">
        <f>IF(原始資料!AG429="","",IF(反向題設定!$C$36="是",反向題設定!$B$2+1-原始資料!AG429,原始資料!AG429))</f>
        <v/>
      </c>
      <c r="AH429">
        <f>IF(原始資料!AH429="","",IF(反向題設定!$C$37="是",反向題設定!$B$2+1-原始資料!AH429,原始資料!AH429))</f>
        <v/>
      </c>
      <c r="AI429">
        <f>IF(原始資料!AI429="","",IF(反向題設定!$C$38="是",反向題設定!$B$2+1-原始資料!AI429,原始資料!AI429))</f>
        <v/>
      </c>
      <c r="AJ429">
        <f>IF(原始資料!AJ429="","",IF(反向題設定!$C$39="是",反向題設定!$B$2+1-原始資料!AJ429,原始資料!AJ429))</f>
        <v/>
      </c>
      <c r="AK429">
        <f>IF(原始資料!AK429="","",IF(反向題設定!$C$40="是",反向題設定!$B$2+1-原始資料!AK429,原始資料!AK429))</f>
        <v/>
      </c>
      <c r="AL429">
        <f>IF(原始資料!AL429="","",IF(反向題設定!$C$41="是",反向題設定!$B$2+1-原始資料!AL429,原始資料!AL429))</f>
        <v/>
      </c>
      <c r="AM429">
        <f>IF(原始資料!AM429="","",IF(反向題設定!$C$42="是",反向題設定!$B$2+1-原始資料!AM429,原始資料!AM429))</f>
        <v/>
      </c>
      <c r="AN429">
        <f>IF(原始資料!AN429="","",IF(反向題設定!$C$43="是",反向題設定!$B$2+1-原始資料!AN429,原始資料!AN429))</f>
        <v/>
      </c>
      <c r="AO429">
        <f>IF(原始資料!AO429="","",IF(反向題設定!$C$44="是",反向題設定!$B$2+1-原始資料!AO429,原始資料!AO429))</f>
        <v/>
      </c>
      <c r="AP429">
        <f>IF(COUNT(B429:AO429)=0,"",SUM(B429:AO429))</f>
        <v/>
      </c>
      <c r="AQ429">
        <f>IF(AP429="","",IF(AP429&gt;=項目分析!$C$5,"高",IF(AP429&lt;=項目分析!$C$6,"低","")))</f>
        <v/>
      </c>
    </row>
    <row r="430">
      <c r="A430">
        <f>IF(原始資料!A430="","",原始資料!A430)</f>
        <v/>
      </c>
      <c r="B430">
        <f>IF(原始資料!B430="","",IF(反向題設定!$C$5="是",反向題設定!$B$2+1-原始資料!B430,原始資料!B430))</f>
        <v/>
      </c>
      <c r="C430">
        <f>IF(原始資料!C430="","",IF(反向題設定!$C$6="是",反向題設定!$B$2+1-原始資料!C430,原始資料!C430))</f>
        <v/>
      </c>
      <c r="D430">
        <f>IF(原始資料!D430="","",IF(反向題設定!$C$7="是",反向題設定!$B$2+1-原始資料!D430,原始資料!D430))</f>
        <v/>
      </c>
      <c r="E430">
        <f>IF(原始資料!E430="","",IF(反向題設定!$C$8="是",反向題設定!$B$2+1-原始資料!E430,原始資料!E430))</f>
        <v/>
      </c>
      <c r="F430">
        <f>IF(原始資料!F430="","",IF(反向題設定!$C$9="是",反向題設定!$B$2+1-原始資料!F430,原始資料!F430))</f>
        <v/>
      </c>
      <c r="G430">
        <f>IF(原始資料!G430="","",IF(反向題設定!$C$10="是",反向題設定!$B$2+1-原始資料!G430,原始資料!G430))</f>
        <v/>
      </c>
      <c r="H430">
        <f>IF(原始資料!H430="","",IF(反向題設定!$C$11="是",反向題設定!$B$2+1-原始資料!H430,原始資料!H430))</f>
        <v/>
      </c>
      <c r="I430">
        <f>IF(原始資料!I430="","",IF(反向題設定!$C$12="是",反向題設定!$B$2+1-原始資料!I430,原始資料!I430))</f>
        <v/>
      </c>
      <c r="J430">
        <f>IF(原始資料!J430="","",IF(反向題設定!$C$13="是",反向題設定!$B$2+1-原始資料!J430,原始資料!J430))</f>
        <v/>
      </c>
      <c r="K430">
        <f>IF(原始資料!K430="","",IF(反向題設定!$C$14="是",反向題設定!$B$2+1-原始資料!K430,原始資料!K430))</f>
        <v/>
      </c>
      <c r="L430">
        <f>IF(原始資料!L430="","",IF(反向題設定!$C$15="是",反向題設定!$B$2+1-原始資料!L430,原始資料!L430))</f>
        <v/>
      </c>
      <c r="M430">
        <f>IF(原始資料!M430="","",IF(反向題設定!$C$16="是",反向題設定!$B$2+1-原始資料!M430,原始資料!M430))</f>
        <v/>
      </c>
      <c r="N430">
        <f>IF(原始資料!N430="","",IF(反向題設定!$C$17="是",反向題設定!$B$2+1-原始資料!N430,原始資料!N430))</f>
        <v/>
      </c>
      <c r="O430">
        <f>IF(原始資料!O430="","",IF(反向題設定!$C$18="是",反向題設定!$B$2+1-原始資料!O430,原始資料!O430))</f>
        <v/>
      </c>
      <c r="P430">
        <f>IF(原始資料!P430="","",IF(反向題設定!$C$19="是",反向題設定!$B$2+1-原始資料!P430,原始資料!P430))</f>
        <v/>
      </c>
      <c r="Q430">
        <f>IF(原始資料!Q430="","",IF(反向題設定!$C$20="是",反向題設定!$B$2+1-原始資料!Q430,原始資料!Q430))</f>
        <v/>
      </c>
      <c r="R430">
        <f>IF(原始資料!R430="","",IF(反向題設定!$C$21="是",反向題設定!$B$2+1-原始資料!R430,原始資料!R430))</f>
        <v/>
      </c>
      <c r="S430">
        <f>IF(原始資料!S430="","",IF(反向題設定!$C$22="是",反向題設定!$B$2+1-原始資料!S430,原始資料!S430))</f>
        <v/>
      </c>
      <c r="T430">
        <f>IF(原始資料!T430="","",IF(反向題設定!$C$23="是",反向題設定!$B$2+1-原始資料!T430,原始資料!T430))</f>
        <v/>
      </c>
      <c r="U430">
        <f>IF(原始資料!U430="","",IF(反向題設定!$C$24="是",反向題設定!$B$2+1-原始資料!U430,原始資料!U430))</f>
        <v/>
      </c>
      <c r="V430">
        <f>IF(原始資料!V430="","",IF(反向題設定!$C$25="是",反向題設定!$B$2+1-原始資料!V430,原始資料!V430))</f>
        <v/>
      </c>
      <c r="W430">
        <f>IF(原始資料!W430="","",IF(反向題設定!$C$26="是",反向題設定!$B$2+1-原始資料!W430,原始資料!W430))</f>
        <v/>
      </c>
      <c r="X430">
        <f>IF(原始資料!X430="","",IF(反向題設定!$C$27="是",反向題設定!$B$2+1-原始資料!X430,原始資料!X430))</f>
        <v/>
      </c>
      <c r="Y430">
        <f>IF(原始資料!Y430="","",IF(反向題設定!$C$28="是",反向題設定!$B$2+1-原始資料!Y430,原始資料!Y430))</f>
        <v/>
      </c>
      <c r="Z430">
        <f>IF(原始資料!Z430="","",IF(反向題設定!$C$29="是",反向題設定!$B$2+1-原始資料!Z430,原始資料!Z430))</f>
        <v/>
      </c>
      <c r="AA430">
        <f>IF(原始資料!AA430="","",IF(反向題設定!$C$30="是",反向題設定!$B$2+1-原始資料!AA430,原始資料!AA430))</f>
        <v/>
      </c>
      <c r="AB430">
        <f>IF(原始資料!AB430="","",IF(反向題設定!$C$31="是",反向題設定!$B$2+1-原始資料!AB430,原始資料!AB430))</f>
        <v/>
      </c>
      <c r="AC430">
        <f>IF(原始資料!AC430="","",IF(反向題設定!$C$32="是",反向題設定!$B$2+1-原始資料!AC430,原始資料!AC430))</f>
        <v/>
      </c>
      <c r="AD430">
        <f>IF(原始資料!AD430="","",IF(反向題設定!$C$33="是",反向題設定!$B$2+1-原始資料!AD430,原始資料!AD430))</f>
        <v/>
      </c>
      <c r="AE430">
        <f>IF(原始資料!AE430="","",IF(反向題設定!$C$34="是",反向題設定!$B$2+1-原始資料!AE430,原始資料!AE430))</f>
        <v/>
      </c>
      <c r="AF430">
        <f>IF(原始資料!AF430="","",IF(反向題設定!$C$35="是",反向題設定!$B$2+1-原始資料!AF430,原始資料!AF430))</f>
        <v/>
      </c>
      <c r="AG430">
        <f>IF(原始資料!AG430="","",IF(反向題設定!$C$36="是",反向題設定!$B$2+1-原始資料!AG430,原始資料!AG430))</f>
        <v/>
      </c>
      <c r="AH430">
        <f>IF(原始資料!AH430="","",IF(反向題設定!$C$37="是",反向題設定!$B$2+1-原始資料!AH430,原始資料!AH430))</f>
        <v/>
      </c>
      <c r="AI430">
        <f>IF(原始資料!AI430="","",IF(反向題設定!$C$38="是",反向題設定!$B$2+1-原始資料!AI430,原始資料!AI430))</f>
        <v/>
      </c>
      <c r="AJ430">
        <f>IF(原始資料!AJ430="","",IF(反向題設定!$C$39="是",反向題設定!$B$2+1-原始資料!AJ430,原始資料!AJ430))</f>
        <v/>
      </c>
      <c r="AK430">
        <f>IF(原始資料!AK430="","",IF(反向題設定!$C$40="是",反向題設定!$B$2+1-原始資料!AK430,原始資料!AK430))</f>
        <v/>
      </c>
      <c r="AL430">
        <f>IF(原始資料!AL430="","",IF(反向題設定!$C$41="是",反向題設定!$B$2+1-原始資料!AL430,原始資料!AL430))</f>
        <v/>
      </c>
      <c r="AM430">
        <f>IF(原始資料!AM430="","",IF(反向題設定!$C$42="是",反向題設定!$B$2+1-原始資料!AM430,原始資料!AM430))</f>
        <v/>
      </c>
      <c r="AN430">
        <f>IF(原始資料!AN430="","",IF(反向題設定!$C$43="是",反向題設定!$B$2+1-原始資料!AN430,原始資料!AN430))</f>
        <v/>
      </c>
      <c r="AO430">
        <f>IF(原始資料!AO430="","",IF(反向題設定!$C$44="是",反向題設定!$B$2+1-原始資料!AO430,原始資料!AO430))</f>
        <v/>
      </c>
      <c r="AP430">
        <f>IF(COUNT(B430:AO430)=0,"",SUM(B430:AO430))</f>
        <v/>
      </c>
      <c r="AQ430">
        <f>IF(AP430="","",IF(AP430&gt;=項目分析!$C$5,"高",IF(AP430&lt;=項目分析!$C$6,"低","")))</f>
        <v/>
      </c>
    </row>
    <row r="431">
      <c r="A431">
        <f>IF(原始資料!A431="","",原始資料!A431)</f>
        <v/>
      </c>
      <c r="B431">
        <f>IF(原始資料!B431="","",IF(反向題設定!$C$5="是",反向題設定!$B$2+1-原始資料!B431,原始資料!B431))</f>
        <v/>
      </c>
      <c r="C431">
        <f>IF(原始資料!C431="","",IF(反向題設定!$C$6="是",反向題設定!$B$2+1-原始資料!C431,原始資料!C431))</f>
        <v/>
      </c>
      <c r="D431">
        <f>IF(原始資料!D431="","",IF(反向題設定!$C$7="是",反向題設定!$B$2+1-原始資料!D431,原始資料!D431))</f>
        <v/>
      </c>
      <c r="E431">
        <f>IF(原始資料!E431="","",IF(反向題設定!$C$8="是",反向題設定!$B$2+1-原始資料!E431,原始資料!E431))</f>
        <v/>
      </c>
      <c r="F431">
        <f>IF(原始資料!F431="","",IF(反向題設定!$C$9="是",反向題設定!$B$2+1-原始資料!F431,原始資料!F431))</f>
        <v/>
      </c>
      <c r="G431">
        <f>IF(原始資料!G431="","",IF(反向題設定!$C$10="是",反向題設定!$B$2+1-原始資料!G431,原始資料!G431))</f>
        <v/>
      </c>
      <c r="H431">
        <f>IF(原始資料!H431="","",IF(反向題設定!$C$11="是",反向題設定!$B$2+1-原始資料!H431,原始資料!H431))</f>
        <v/>
      </c>
      <c r="I431">
        <f>IF(原始資料!I431="","",IF(反向題設定!$C$12="是",反向題設定!$B$2+1-原始資料!I431,原始資料!I431))</f>
        <v/>
      </c>
      <c r="J431">
        <f>IF(原始資料!J431="","",IF(反向題設定!$C$13="是",反向題設定!$B$2+1-原始資料!J431,原始資料!J431))</f>
        <v/>
      </c>
      <c r="K431">
        <f>IF(原始資料!K431="","",IF(反向題設定!$C$14="是",反向題設定!$B$2+1-原始資料!K431,原始資料!K431))</f>
        <v/>
      </c>
      <c r="L431">
        <f>IF(原始資料!L431="","",IF(反向題設定!$C$15="是",反向題設定!$B$2+1-原始資料!L431,原始資料!L431))</f>
        <v/>
      </c>
      <c r="M431">
        <f>IF(原始資料!M431="","",IF(反向題設定!$C$16="是",反向題設定!$B$2+1-原始資料!M431,原始資料!M431))</f>
        <v/>
      </c>
      <c r="N431">
        <f>IF(原始資料!N431="","",IF(反向題設定!$C$17="是",反向題設定!$B$2+1-原始資料!N431,原始資料!N431))</f>
        <v/>
      </c>
      <c r="O431">
        <f>IF(原始資料!O431="","",IF(反向題設定!$C$18="是",反向題設定!$B$2+1-原始資料!O431,原始資料!O431))</f>
        <v/>
      </c>
      <c r="P431">
        <f>IF(原始資料!P431="","",IF(反向題設定!$C$19="是",反向題設定!$B$2+1-原始資料!P431,原始資料!P431))</f>
        <v/>
      </c>
      <c r="Q431">
        <f>IF(原始資料!Q431="","",IF(反向題設定!$C$20="是",反向題設定!$B$2+1-原始資料!Q431,原始資料!Q431))</f>
        <v/>
      </c>
      <c r="R431">
        <f>IF(原始資料!R431="","",IF(反向題設定!$C$21="是",反向題設定!$B$2+1-原始資料!R431,原始資料!R431))</f>
        <v/>
      </c>
      <c r="S431">
        <f>IF(原始資料!S431="","",IF(反向題設定!$C$22="是",反向題設定!$B$2+1-原始資料!S431,原始資料!S431))</f>
        <v/>
      </c>
      <c r="T431">
        <f>IF(原始資料!T431="","",IF(反向題設定!$C$23="是",反向題設定!$B$2+1-原始資料!T431,原始資料!T431))</f>
        <v/>
      </c>
      <c r="U431">
        <f>IF(原始資料!U431="","",IF(反向題設定!$C$24="是",反向題設定!$B$2+1-原始資料!U431,原始資料!U431))</f>
        <v/>
      </c>
      <c r="V431">
        <f>IF(原始資料!V431="","",IF(反向題設定!$C$25="是",反向題設定!$B$2+1-原始資料!V431,原始資料!V431))</f>
        <v/>
      </c>
      <c r="W431">
        <f>IF(原始資料!W431="","",IF(反向題設定!$C$26="是",反向題設定!$B$2+1-原始資料!W431,原始資料!W431))</f>
        <v/>
      </c>
      <c r="X431">
        <f>IF(原始資料!X431="","",IF(反向題設定!$C$27="是",反向題設定!$B$2+1-原始資料!X431,原始資料!X431))</f>
        <v/>
      </c>
      <c r="Y431">
        <f>IF(原始資料!Y431="","",IF(反向題設定!$C$28="是",反向題設定!$B$2+1-原始資料!Y431,原始資料!Y431))</f>
        <v/>
      </c>
      <c r="Z431">
        <f>IF(原始資料!Z431="","",IF(反向題設定!$C$29="是",反向題設定!$B$2+1-原始資料!Z431,原始資料!Z431))</f>
        <v/>
      </c>
      <c r="AA431">
        <f>IF(原始資料!AA431="","",IF(反向題設定!$C$30="是",反向題設定!$B$2+1-原始資料!AA431,原始資料!AA431))</f>
        <v/>
      </c>
      <c r="AB431">
        <f>IF(原始資料!AB431="","",IF(反向題設定!$C$31="是",反向題設定!$B$2+1-原始資料!AB431,原始資料!AB431))</f>
        <v/>
      </c>
      <c r="AC431">
        <f>IF(原始資料!AC431="","",IF(反向題設定!$C$32="是",反向題設定!$B$2+1-原始資料!AC431,原始資料!AC431))</f>
        <v/>
      </c>
      <c r="AD431">
        <f>IF(原始資料!AD431="","",IF(反向題設定!$C$33="是",反向題設定!$B$2+1-原始資料!AD431,原始資料!AD431))</f>
        <v/>
      </c>
      <c r="AE431">
        <f>IF(原始資料!AE431="","",IF(反向題設定!$C$34="是",反向題設定!$B$2+1-原始資料!AE431,原始資料!AE431))</f>
        <v/>
      </c>
      <c r="AF431">
        <f>IF(原始資料!AF431="","",IF(反向題設定!$C$35="是",反向題設定!$B$2+1-原始資料!AF431,原始資料!AF431))</f>
        <v/>
      </c>
      <c r="AG431">
        <f>IF(原始資料!AG431="","",IF(反向題設定!$C$36="是",反向題設定!$B$2+1-原始資料!AG431,原始資料!AG431))</f>
        <v/>
      </c>
      <c r="AH431">
        <f>IF(原始資料!AH431="","",IF(反向題設定!$C$37="是",反向題設定!$B$2+1-原始資料!AH431,原始資料!AH431))</f>
        <v/>
      </c>
      <c r="AI431">
        <f>IF(原始資料!AI431="","",IF(反向題設定!$C$38="是",反向題設定!$B$2+1-原始資料!AI431,原始資料!AI431))</f>
        <v/>
      </c>
      <c r="AJ431">
        <f>IF(原始資料!AJ431="","",IF(反向題設定!$C$39="是",反向題設定!$B$2+1-原始資料!AJ431,原始資料!AJ431))</f>
        <v/>
      </c>
      <c r="AK431">
        <f>IF(原始資料!AK431="","",IF(反向題設定!$C$40="是",反向題設定!$B$2+1-原始資料!AK431,原始資料!AK431))</f>
        <v/>
      </c>
      <c r="AL431">
        <f>IF(原始資料!AL431="","",IF(反向題設定!$C$41="是",反向題設定!$B$2+1-原始資料!AL431,原始資料!AL431))</f>
        <v/>
      </c>
      <c r="AM431">
        <f>IF(原始資料!AM431="","",IF(反向題設定!$C$42="是",反向題設定!$B$2+1-原始資料!AM431,原始資料!AM431))</f>
        <v/>
      </c>
      <c r="AN431">
        <f>IF(原始資料!AN431="","",IF(反向題設定!$C$43="是",反向題設定!$B$2+1-原始資料!AN431,原始資料!AN431))</f>
        <v/>
      </c>
      <c r="AO431">
        <f>IF(原始資料!AO431="","",IF(反向題設定!$C$44="是",反向題設定!$B$2+1-原始資料!AO431,原始資料!AO431))</f>
        <v/>
      </c>
      <c r="AP431">
        <f>IF(COUNT(B431:AO431)=0,"",SUM(B431:AO431))</f>
        <v/>
      </c>
      <c r="AQ431">
        <f>IF(AP431="","",IF(AP431&gt;=項目分析!$C$5,"高",IF(AP431&lt;=項目分析!$C$6,"低","")))</f>
        <v/>
      </c>
    </row>
    <row r="432">
      <c r="A432">
        <f>IF(原始資料!A432="","",原始資料!A432)</f>
        <v/>
      </c>
      <c r="B432">
        <f>IF(原始資料!B432="","",IF(反向題設定!$C$5="是",反向題設定!$B$2+1-原始資料!B432,原始資料!B432))</f>
        <v/>
      </c>
      <c r="C432">
        <f>IF(原始資料!C432="","",IF(反向題設定!$C$6="是",反向題設定!$B$2+1-原始資料!C432,原始資料!C432))</f>
        <v/>
      </c>
      <c r="D432">
        <f>IF(原始資料!D432="","",IF(反向題設定!$C$7="是",反向題設定!$B$2+1-原始資料!D432,原始資料!D432))</f>
        <v/>
      </c>
      <c r="E432">
        <f>IF(原始資料!E432="","",IF(反向題設定!$C$8="是",反向題設定!$B$2+1-原始資料!E432,原始資料!E432))</f>
        <v/>
      </c>
      <c r="F432">
        <f>IF(原始資料!F432="","",IF(反向題設定!$C$9="是",反向題設定!$B$2+1-原始資料!F432,原始資料!F432))</f>
        <v/>
      </c>
      <c r="G432">
        <f>IF(原始資料!G432="","",IF(反向題設定!$C$10="是",反向題設定!$B$2+1-原始資料!G432,原始資料!G432))</f>
        <v/>
      </c>
      <c r="H432">
        <f>IF(原始資料!H432="","",IF(反向題設定!$C$11="是",反向題設定!$B$2+1-原始資料!H432,原始資料!H432))</f>
        <v/>
      </c>
      <c r="I432">
        <f>IF(原始資料!I432="","",IF(反向題設定!$C$12="是",反向題設定!$B$2+1-原始資料!I432,原始資料!I432))</f>
        <v/>
      </c>
      <c r="J432">
        <f>IF(原始資料!J432="","",IF(反向題設定!$C$13="是",反向題設定!$B$2+1-原始資料!J432,原始資料!J432))</f>
        <v/>
      </c>
      <c r="K432">
        <f>IF(原始資料!K432="","",IF(反向題設定!$C$14="是",反向題設定!$B$2+1-原始資料!K432,原始資料!K432))</f>
        <v/>
      </c>
      <c r="L432">
        <f>IF(原始資料!L432="","",IF(反向題設定!$C$15="是",反向題設定!$B$2+1-原始資料!L432,原始資料!L432))</f>
        <v/>
      </c>
      <c r="M432">
        <f>IF(原始資料!M432="","",IF(反向題設定!$C$16="是",反向題設定!$B$2+1-原始資料!M432,原始資料!M432))</f>
        <v/>
      </c>
      <c r="N432">
        <f>IF(原始資料!N432="","",IF(反向題設定!$C$17="是",反向題設定!$B$2+1-原始資料!N432,原始資料!N432))</f>
        <v/>
      </c>
      <c r="O432">
        <f>IF(原始資料!O432="","",IF(反向題設定!$C$18="是",反向題設定!$B$2+1-原始資料!O432,原始資料!O432))</f>
        <v/>
      </c>
      <c r="P432">
        <f>IF(原始資料!P432="","",IF(反向題設定!$C$19="是",反向題設定!$B$2+1-原始資料!P432,原始資料!P432))</f>
        <v/>
      </c>
      <c r="Q432">
        <f>IF(原始資料!Q432="","",IF(反向題設定!$C$20="是",反向題設定!$B$2+1-原始資料!Q432,原始資料!Q432))</f>
        <v/>
      </c>
      <c r="R432">
        <f>IF(原始資料!R432="","",IF(反向題設定!$C$21="是",反向題設定!$B$2+1-原始資料!R432,原始資料!R432))</f>
        <v/>
      </c>
      <c r="S432">
        <f>IF(原始資料!S432="","",IF(反向題設定!$C$22="是",反向題設定!$B$2+1-原始資料!S432,原始資料!S432))</f>
        <v/>
      </c>
      <c r="T432">
        <f>IF(原始資料!T432="","",IF(反向題設定!$C$23="是",反向題設定!$B$2+1-原始資料!T432,原始資料!T432))</f>
        <v/>
      </c>
      <c r="U432">
        <f>IF(原始資料!U432="","",IF(反向題設定!$C$24="是",反向題設定!$B$2+1-原始資料!U432,原始資料!U432))</f>
        <v/>
      </c>
      <c r="V432">
        <f>IF(原始資料!V432="","",IF(反向題設定!$C$25="是",反向題設定!$B$2+1-原始資料!V432,原始資料!V432))</f>
        <v/>
      </c>
      <c r="W432">
        <f>IF(原始資料!W432="","",IF(反向題設定!$C$26="是",反向題設定!$B$2+1-原始資料!W432,原始資料!W432))</f>
        <v/>
      </c>
      <c r="X432">
        <f>IF(原始資料!X432="","",IF(反向題設定!$C$27="是",反向題設定!$B$2+1-原始資料!X432,原始資料!X432))</f>
        <v/>
      </c>
      <c r="Y432">
        <f>IF(原始資料!Y432="","",IF(反向題設定!$C$28="是",反向題設定!$B$2+1-原始資料!Y432,原始資料!Y432))</f>
        <v/>
      </c>
      <c r="Z432">
        <f>IF(原始資料!Z432="","",IF(反向題設定!$C$29="是",反向題設定!$B$2+1-原始資料!Z432,原始資料!Z432))</f>
        <v/>
      </c>
      <c r="AA432">
        <f>IF(原始資料!AA432="","",IF(反向題設定!$C$30="是",反向題設定!$B$2+1-原始資料!AA432,原始資料!AA432))</f>
        <v/>
      </c>
      <c r="AB432">
        <f>IF(原始資料!AB432="","",IF(反向題設定!$C$31="是",反向題設定!$B$2+1-原始資料!AB432,原始資料!AB432))</f>
        <v/>
      </c>
      <c r="AC432">
        <f>IF(原始資料!AC432="","",IF(反向題設定!$C$32="是",反向題設定!$B$2+1-原始資料!AC432,原始資料!AC432))</f>
        <v/>
      </c>
      <c r="AD432">
        <f>IF(原始資料!AD432="","",IF(反向題設定!$C$33="是",反向題設定!$B$2+1-原始資料!AD432,原始資料!AD432))</f>
        <v/>
      </c>
      <c r="AE432">
        <f>IF(原始資料!AE432="","",IF(反向題設定!$C$34="是",反向題設定!$B$2+1-原始資料!AE432,原始資料!AE432))</f>
        <v/>
      </c>
      <c r="AF432">
        <f>IF(原始資料!AF432="","",IF(反向題設定!$C$35="是",反向題設定!$B$2+1-原始資料!AF432,原始資料!AF432))</f>
        <v/>
      </c>
      <c r="AG432">
        <f>IF(原始資料!AG432="","",IF(反向題設定!$C$36="是",反向題設定!$B$2+1-原始資料!AG432,原始資料!AG432))</f>
        <v/>
      </c>
      <c r="AH432">
        <f>IF(原始資料!AH432="","",IF(反向題設定!$C$37="是",反向題設定!$B$2+1-原始資料!AH432,原始資料!AH432))</f>
        <v/>
      </c>
      <c r="AI432">
        <f>IF(原始資料!AI432="","",IF(反向題設定!$C$38="是",反向題設定!$B$2+1-原始資料!AI432,原始資料!AI432))</f>
        <v/>
      </c>
      <c r="AJ432">
        <f>IF(原始資料!AJ432="","",IF(反向題設定!$C$39="是",反向題設定!$B$2+1-原始資料!AJ432,原始資料!AJ432))</f>
        <v/>
      </c>
      <c r="AK432">
        <f>IF(原始資料!AK432="","",IF(反向題設定!$C$40="是",反向題設定!$B$2+1-原始資料!AK432,原始資料!AK432))</f>
        <v/>
      </c>
      <c r="AL432">
        <f>IF(原始資料!AL432="","",IF(反向題設定!$C$41="是",反向題設定!$B$2+1-原始資料!AL432,原始資料!AL432))</f>
        <v/>
      </c>
      <c r="AM432">
        <f>IF(原始資料!AM432="","",IF(反向題設定!$C$42="是",反向題設定!$B$2+1-原始資料!AM432,原始資料!AM432))</f>
        <v/>
      </c>
      <c r="AN432">
        <f>IF(原始資料!AN432="","",IF(反向題設定!$C$43="是",反向題設定!$B$2+1-原始資料!AN432,原始資料!AN432))</f>
        <v/>
      </c>
      <c r="AO432">
        <f>IF(原始資料!AO432="","",IF(反向題設定!$C$44="是",反向題設定!$B$2+1-原始資料!AO432,原始資料!AO432))</f>
        <v/>
      </c>
      <c r="AP432">
        <f>IF(COUNT(B432:AO432)=0,"",SUM(B432:AO432))</f>
        <v/>
      </c>
      <c r="AQ432">
        <f>IF(AP432="","",IF(AP432&gt;=項目分析!$C$5,"高",IF(AP432&lt;=項目分析!$C$6,"低","")))</f>
        <v/>
      </c>
    </row>
    <row r="433">
      <c r="A433">
        <f>IF(原始資料!A433="","",原始資料!A433)</f>
        <v/>
      </c>
      <c r="B433">
        <f>IF(原始資料!B433="","",IF(反向題設定!$C$5="是",反向題設定!$B$2+1-原始資料!B433,原始資料!B433))</f>
        <v/>
      </c>
      <c r="C433">
        <f>IF(原始資料!C433="","",IF(反向題設定!$C$6="是",反向題設定!$B$2+1-原始資料!C433,原始資料!C433))</f>
        <v/>
      </c>
      <c r="D433">
        <f>IF(原始資料!D433="","",IF(反向題設定!$C$7="是",反向題設定!$B$2+1-原始資料!D433,原始資料!D433))</f>
        <v/>
      </c>
      <c r="E433">
        <f>IF(原始資料!E433="","",IF(反向題設定!$C$8="是",反向題設定!$B$2+1-原始資料!E433,原始資料!E433))</f>
        <v/>
      </c>
      <c r="F433">
        <f>IF(原始資料!F433="","",IF(反向題設定!$C$9="是",反向題設定!$B$2+1-原始資料!F433,原始資料!F433))</f>
        <v/>
      </c>
      <c r="G433">
        <f>IF(原始資料!G433="","",IF(反向題設定!$C$10="是",反向題設定!$B$2+1-原始資料!G433,原始資料!G433))</f>
        <v/>
      </c>
      <c r="H433">
        <f>IF(原始資料!H433="","",IF(反向題設定!$C$11="是",反向題設定!$B$2+1-原始資料!H433,原始資料!H433))</f>
        <v/>
      </c>
      <c r="I433">
        <f>IF(原始資料!I433="","",IF(反向題設定!$C$12="是",反向題設定!$B$2+1-原始資料!I433,原始資料!I433))</f>
        <v/>
      </c>
      <c r="J433">
        <f>IF(原始資料!J433="","",IF(反向題設定!$C$13="是",反向題設定!$B$2+1-原始資料!J433,原始資料!J433))</f>
        <v/>
      </c>
      <c r="K433">
        <f>IF(原始資料!K433="","",IF(反向題設定!$C$14="是",反向題設定!$B$2+1-原始資料!K433,原始資料!K433))</f>
        <v/>
      </c>
      <c r="L433">
        <f>IF(原始資料!L433="","",IF(反向題設定!$C$15="是",反向題設定!$B$2+1-原始資料!L433,原始資料!L433))</f>
        <v/>
      </c>
      <c r="M433">
        <f>IF(原始資料!M433="","",IF(反向題設定!$C$16="是",反向題設定!$B$2+1-原始資料!M433,原始資料!M433))</f>
        <v/>
      </c>
      <c r="N433">
        <f>IF(原始資料!N433="","",IF(反向題設定!$C$17="是",反向題設定!$B$2+1-原始資料!N433,原始資料!N433))</f>
        <v/>
      </c>
      <c r="O433">
        <f>IF(原始資料!O433="","",IF(反向題設定!$C$18="是",反向題設定!$B$2+1-原始資料!O433,原始資料!O433))</f>
        <v/>
      </c>
      <c r="P433">
        <f>IF(原始資料!P433="","",IF(反向題設定!$C$19="是",反向題設定!$B$2+1-原始資料!P433,原始資料!P433))</f>
        <v/>
      </c>
      <c r="Q433">
        <f>IF(原始資料!Q433="","",IF(反向題設定!$C$20="是",反向題設定!$B$2+1-原始資料!Q433,原始資料!Q433))</f>
        <v/>
      </c>
      <c r="R433">
        <f>IF(原始資料!R433="","",IF(反向題設定!$C$21="是",反向題設定!$B$2+1-原始資料!R433,原始資料!R433))</f>
        <v/>
      </c>
      <c r="S433">
        <f>IF(原始資料!S433="","",IF(反向題設定!$C$22="是",反向題設定!$B$2+1-原始資料!S433,原始資料!S433))</f>
        <v/>
      </c>
      <c r="T433">
        <f>IF(原始資料!T433="","",IF(反向題設定!$C$23="是",反向題設定!$B$2+1-原始資料!T433,原始資料!T433))</f>
        <v/>
      </c>
      <c r="U433">
        <f>IF(原始資料!U433="","",IF(反向題設定!$C$24="是",反向題設定!$B$2+1-原始資料!U433,原始資料!U433))</f>
        <v/>
      </c>
      <c r="V433">
        <f>IF(原始資料!V433="","",IF(反向題設定!$C$25="是",反向題設定!$B$2+1-原始資料!V433,原始資料!V433))</f>
        <v/>
      </c>
      <c r="W433">
        <f>IF(原始資料!W433="","",IF(反向題設定!$C$26="是",反向題設定!$B$2+1-原始資料!W433,原始資料!W433))</f>
        <v/>
      </c>
      <c r="X433">
        <f>IF(原始資料!X433="","",IF(反向題設定!$C$27="是",反向題設定!$B$2+1-原始資料!X433,原始資料!X433))</f>
        <v/>
      </c>
      <c r="Y433">
        <f>IF(原始資料!Y433="","",IF(反向題設定!$C$28="是",反向題設定!$B$2+1-原始資料!Y433,原始資料!Y433))</f>
        <v/>
      </c>
      <c r="Z433">
        <f>IF(原始資料!Z433="","",IF(反向題設定!$C$29="是",反向題設定!$B$2+1-原始資料!Z433,原始資料!Z433))</f>
        <v/>
      </c>
      <c r="AA433">
        <f>IF(原始資料!AA433="","",IF(反向題設定!$C$30="是",反向題設定!$B$2+1-原始資料!AA433,原始資料!AA433))</f>
        <v/>
      </c>
      <c r="AB433">
        <f>IF(原始資料!AB433="","",IF(反向題設定!$C$31="是",反向題設定!$B$2+1-原始資料!AB433,原始資料!AB433))</f>
        <v/>
      </c>
      <c r="AC433">
        <f>IF(原始資料!AC433="","",IF(反向題設定!$C$32="是",反向題設定!$B$2+1-原始資料!AC433,原始資料!AC433))</f>
        <v/>
      </c>
      <c r="AD433">
        <f>IF(原始資料!AD433="","",IF(反向題設定!$C$33="是",反向題設定!$B$2+1-原始資料!AD433,原始資料!AD433))</f>
        <v/>
      </c>
      <c r="AE433">
        <f>IF(原始資料!AE433="","",IF(反向題設定!$C$34="是",反向題設定!$B$2+1-原始資料!AE433,原始資料!AE433))</f>
        <v/>
      </c>
      <c r="AF433">
        <f>IF(原始資料!AF433="","",IF(反向題設定!$C$35="是",反向題設定!$B$2+1-原始資料!AF433,原始資料!AF433))</f>
        <v/>
      </c>
      <c r="AG433">
        <f>IF(原始資料!AG433="","",IF(反向題設定!$C$36="是",反向題設定!$B$2+1-原始資料!AG433,原始資料!AG433))</f>
        <v/>
      </c>
      <c r="AH433">
        <f>IF(原始資料!AH433="","",IF(反向題設定!$C$37="是",反向題設定!$B$2+1-原始資料!AH433,原始資料!AH433))</f>
        <v/>
      </c>
      <c r="AI433">
        <f>IF(原始資料!AI433="","",IF(反向題設定!$C$38="是",反向題設定!$B$2+1-原始資料!AI433,原始資料!AI433))</f>
        <v/>
      </c>
      <c r="AJ433">
        <f>IF(原始資料!AJ433="","",IF(反向題設定!$C$39="是",反向題設定!$B$2+1-原始資料!AJ433,原始資料!AJ433))</f>
        <v/>
      </c>
      <c r="AK433">
        <f>IF(原始資料!AK433="","",IF(反向題設定!$C$40="是",反向題設定!$B$2+1-原始資料!AK433,原始資料!AK433))</f>
        <v/>
      </c>
      <c r="AL433">
        <f>IF(原始資料!AL433="","",IF(反向題設定!$C$41="是",反向題設定!$B$2+1-原始資料!AL433,原始資料!AL433))</f>
        <v/>
      </c>
      <c r="AM433">
        <f>IF(原始資料!AM433="","",IF(反向題設定!$C$42="是",反向題設定!$B$2+1-原始資料!AM433,原始資料!AM433))</f>
        <v/>
      </c>
      <c r="AN433">
        <f>IF(原始資料!AN433="","",IF(反向題設定!$C$43="是",反向題設定!$B$2+1-原始資料!AN433,原始資料!AN433))</f>
        <v/>
      </c>
      <c r="AO433">
        <f>IF(原始資料!AO433="","",IF(反向題設定!$C$44="是",反向題設定!$B$2+1-原始資料!AO433,原始資料!AO433))</f>
        <v/>
      </c>
      <c r="AP433">
        <f>IF(COUNT(B433:AO433)=0,"",SUM(B433:AO433))</f>
        <v/>
      </c>
      <c r="AQ433">
        <f>IF(AP433="","",IF(AP433&gt;=項目分析!$C$5,"高",IF(AP433&lt;=項目分析!$C$6,"低","")))</f>
        <v/>
      </c>
    </row>
    <row r="434">
      <c r="A434">
        <f>IF(原始資料!A434="","",原始資料!A434)</f>
        <v/>
      </c>
      <c r="B434">
        <f>IF(原始資料!B434="","",IF(反向題設定!$C$5="是",反向題設定!$B$2+1-原始資料!B434,原始資料!B434))</f>
        <v/>
      </c>
      <c r="C434">
        <f>IF(原始資料!C434="","",IF(反向題設定!$C$6="是",反向題設定!$B$2+1-原始資料!C434,原始資料!C434))</f>
        <v/>
      </c>
      <c r="D434">
        <f>IF(原始資料!D434="","",IF(反向題設定!$C$7="是",反向題設定!$B$2+1-原始資料!D434,原始資料!D434))</f>
        <v/>
      </c>
      <c r="E434">
        <f>IF(原始資料!E434="","",IF(反向題設定!$C$8="是",反向題設定!$B$2+1-原始資料!E434,原始資料!E434))</f>
        <v/>
      </c>
      <c r="F434">
        <f>IF(原始資料!F434="","",IF(反向題設定!$C$9="是",反向題設定!$B$2+1-原始資料!F434,原始資料!F434))</f>
        <v/>
      </c>
      <c r="G434">
        <f>IF(原始資料!G434="","",IF(反向題設定!$C$10="是",反向題設定!$B$2+1-原始資料!G434,原始資料!G434))</f>
        <v/>
      </c>
      <c r="H434">
        <f>IF(原始資料!H434="","",IF(反向題設定!$C$11="是",反向題設定!$B$2+1-原始資料!H434,原始資料!H434))</f>
        <v/>
      </c>
      <c r="I434">
        <f>IF(原始資料!I434="","",IF(反向題設定!$C$12="是",反向題設定!$B$2+1-原始資料!I434,原始資料!I434))</f>
        <v/>
      </c>
      <c r="J434">
        <f>IF(原始資料!J434="","",IF(反向題設定!$C$13="是",反向題設定!$B$2+1-原始資料!J434,原始資料!J434))</f>
        <v/>
      </c>
      <c r="K434">
        <f>IF(原始資料!K434="","",IF(反向題設定!$C$14="是",反向題設定!$B$2+1-原始資料!K434,原始資料!K434))</f>
        <v/>
      </c>
      <c r="L434">
        <f>IF(原始資料!L434="","",IF(反向題設定!$C$15="是",反向題設定!$B$2+1-原始資料!L434,原始資料!L434))</f>
        <v/>
      </c>
      <c r="M434">
        <f>IF(原始資料!M434="","",IF(反向題設定!$C$16="是",反向題設定!$B$2+1-原始資料!M434,原始資料!M434))</f>
        <v/>
      </c>
      <c r="N434">
        <f>IF(原始資料!N434="","",IF(反向題設定!$C$17="是",反向題設定!$B$2+1-原始資料!N434,原始資料!N434))</f>
        <v/>
      </c>
      <c r="O434">
        <f>IF(原始資料!O434="","",IF(反向題設定!$C$18="是",反向題設定!$B$2+1-原始資料!O434,原始資料!O434))</f>
        <v/>
      </c>
      <c r="P434">
        <f>IF(原始資料!P434="","",IF(反向題設定!$C$19="是",反向題設定!$B$2+1-原始資料!P434,原始資料!P434))</f>
        <v/>
      </c>
      <c r="Q434">
        <f>IF(原始資料!Q434="","",IF(反向題設定!$C$20="是",反向題設定!$B$2+1-原始資料!Q434,原始資料!Q434))</f>
        <v/>
      </c>
      <c r="R434">
        <f>IF(原始資料!R434="","",IF(反向題設定!$C$21="是",反向題設定!$B$2+1-原始資料!R434,原始資料!R434))</f>
        <v/>
      </c>
      <c r="S434">
        <f>IF(原始資料!S434="","",IF(反向題設定!$C$22="是",反向題設定!$B$2+1-原始資料!S434,原始資料!S434))</f>
        <v/>
      </c>
      <c r="T434">
        <f>IF(原始資料!T434="","",IF(反向題設定!$C$23="是",反向題設定!$B$2+1-原始資料!T434,原始資料!T434))</f>
        <v/>
      </c>
      <c r="U434">
        <f>IF(原始資料!U434="","",IF(反向題設定!$C$24="是",反向題設定!$B$2+1-原始資料!U434,原始資料!U434))</f>
        <v/>
      </c>
      <c r="V434">
        <f>IF(原始資料!V434="","",IF(反向題設定!$C$25="是",反向題設定!$B$2+1-原始資料!V434,原始資料!V434))</f>
        <v/>
      </c>
      <c r="W434">
        <f>IF(原始資料!W434="","",IF(反向題設定!$C$26="是",反向題設定!$B$2+1-原始資料!W434,原始資料!W434))</f>
        <v/>
      </c>
      <c r="X434">
        <f>IF(原始資料!X434="","",IF(反向題設定!$C$27="是",反向題設定!$B$2+1-原始資料!X434,原始資料!X434))</f>
        <v/>
      </c>
      <c r="Y434">
        <f>IF(原始資料!Y434="","",IF(反向題設定!$C$28="是",反向題設定!$B$2+1-原始資料!Y434,原始資料!Y434))</f>
        <v/>
      </c>
      <c r="Z434">
        <f>IF(原始資料!Z434="","",IF(反向題設定!$C$29="是",反向題設定!$B$2+1-原始資料!Z434,原始資料!Z434))</f>
        <v/>
      </c>
      <c r="AA434">
        <f>IF(原始資料!AA434="","",IF(反向題設定!$C$30="是",反向題設定!$B$2+1-原始資料!AA434,原始資料!AA434))</f>
        <v/>
      </c>
      <c r="AB434">
        <f>IF(原始資料!AB434="","",IF(反向題設定!$C$31="是",反向題設定!$B$2+1-原始資料!AB434,原始資料!AB434))</f>
        <v/>
      </c>
      <c r="AC434">
        <f>IF(原始資料!AC434="","",IF(反向題設定!$C$32="是",反向題設定!$B$2+1-原始資料!AC434,原始資料!AC434))</f>
        <v/>
      </c>
      <c r="AD434">
        <f>IF(原始資料!AD434="","",IF(反向題設定!$C$33="是",反向題設定!$B$2+1-原始資料!AD434,原始資料!AD434))</f>
        <v/>
      </c>
      <c r="AE434">
        <f>IF(原始資料!AE434="","",IF(反向題設定!$C$34="是",反向題設定!$B$2+1-原始資料!AE434,原始資料!AE434))</f>
        <v/>
      </c>
      <c r="AF434">
        <f>IF(原始資料!AF434="","",IF(反向題設定!$C$35="是",反向題設定!$B$2+1-原始資料!AF434,原始資料!AF434))</f>
        <v/>
      </c>
      <c r="AG434">
        <f>IF(原始資料!AG434="","",IF(反向題設定!$C$36="是",反向題設定!$B$2+1-原始資料!AG434,原始資料!AG434))</f>
        <v/>
      </c>
      <c r="AH434">
        <f>IF(原始資料!AH434="","",IF(反向題設定!$C$37="是",反向題設定!$B$2+1-原始資料!AH434,原始資料!AH434))</f>
        <v/>
      </c>
      <c r="AI434">
        <f>IF(原始資料!AI434="","",IF(反向題設定!$C$38="是",反向題設定!$B$2+1-原始資料!AI434,原始資料!AI434))</f>
        <v/>
      </c>
      <c r="AJ434">
        <f>IF(原始資料!AJ434="","",IF(反向題設定!$C$39="是",反向題設定!$B$2+1-原始資料!AJ434,原始資料!AJ434))</f>
        <v/>
      </c>
      <c r="AK434">
        <f>IF(原始資料!AK434="","",IF(反向題設定!$C$40="是",反向題設定!$B$2+1-原始資料!AK434,原始資料!AK434))</f>
        <v/>
      </c>
      <c r="AL434">
        <f>IF(原始資料!AL434="","",IF(反向題設定!$C$41="是",反向題設定!$B$2+1-原始資料!AL434,原始資料!AL434))</f>
        <v/>
      </c>
      <c r="AM434">
        <f>IF(原始資料!AM434="","",IF(反向題設定!$C$42="是",反向題設定!$B$2+1-原始資料!AM434,原始資料!AM434))</f>
        <v/>
      </c>
      <c r="AN434">
        <f>IF(原始資料!AN434="","",IF(反向題設定!$C$43="是",反向題設定!$B$2+1-原始資料!AN434,原始資料!AN434))</f>
        <v/>
      </c>
      <c r="AO434">
        <f>IF(原始資料!AO434="","",IF(反向題設定!$C$44="是",反向題設定!$B$2+1-原始資料!AO434,原始資料!AO434))</f>
        <v/>
      </c>
      <c r="AP434">
        <f>IF(COUNT(B434:AO434)=0,"",SUM(B434:AO434))</f>
        <v/>
      </c>
      <c r="AQ434">
        <f>IF(AP434="","",IF(AP434&gt;=項目分析!$C$5,"高",IF(AP434&lt;=項目分析!$C$6,"低","")))</f>
        <v/>
      </c>
    </row>
    <row r="435">
      <c r="A435">
        <f>IF(原始資料!A435="","",原始資料!A435)</f>
        <v/>
      </c>
      <c r="B435">
        <f>IF(原始資料!B435="","",IF(反向題設定!$C$5="是",反向題設定!$B$2+1-原始資料!B435,原始資料!B435))</f>
        <v/>
      </c>
      <c r="C435">
        <f>IF(原始資料!C435="","",IF(反向題設定!$C$6="是",反向題設定!$B$2+1-原始資料!C435,原始資料!C435))</f>
        <v/>
      </c>
      <c r="D435">
        <f>IF(原始資料!D435="","",IF(反向題設定!$C$7="是",反向題設定!$B$2+1-原始資料!D435,原始資料!D435))</f>
        <v/>
      </c>
      <c r="E435">
        <f>IF(原始資料!E435="","",IF(反向題設定!$C$8="是",反向題設定!$B$2+1-原始資料!E435,原始資料!E435))</f>
        <v/>
      </c>
      <c r="F435">
        <f>IF(原始資料!F435="","",IF(反向題設定!$C$9="是",反向題設定!$B$2+1-原始資料!F435,原始資料!F435))</f>
        <v/>
      </c>
      <c r="G435">
        <f>IF(原始資料!G435="","",IF(反向題設定!$C$10="是",反向題設定!$B$2+1-原始資料!G435,原始資料!G435))</f>
        <v/>
      </c>
      <c r="H435">
        <f>IF(原始資料!H435="","",IF(反向題設定!$C$11="是",反向題設定!$B$2+1-原始資料!H435,原始資料!H435))</f>
        <v/>
      </c>
      <c r="I435">
        <f>IF(原始資料!I435="","",IF(反向題設定!$C$12="是",反向題設定!$B$2+1-原始資料!I435,原始資料!I435))</f>
        <v/>
      </c>
      <c r="J435">
        <f>IF(原始資料!J435="","",IF(反向題設定!$C$13="是",反向題設定!$B$2+1-原始資料!J435,原始資料!J435))</f>
        <v/>
      </c>
      <c r="K435">
        <f>IF(原始資料!K435="","",IF(反向題設定!$C$14="是",反向題設定!$B$2+1-原始資料!K435,原始資料!K435))</f>
        <v/>
      </c>
      <c r="L435">
        <f>IF(原始資料!L435="","",IF(反向題設定!$C$15="是",反向題設定!$B$2+1-原始資料!L435,原始資料!L435))</f>
        <v/>
      </c>
      <c r="M435">
        <f>IF(原始資料!M435="","",IF(反向題設定!$C$16="是",反向題設定!$B$2+1-原始資料!M435,原始資料!M435))</f>
        <v/>
      </c>
      <c r="N435">
        <f>IF(原始資料!N435="","",IF(反向題設定!$C$17="是",反向題設定!$B$2+1-原始資料!N435,原始資料!N435))</f>
        <v/>
      </c>
      <c r="O435">
        <f>IF(原始資料!O435="","",IF(反向題設定!$C$18="是",反向題設定!$B$2+1-原始資料!O435,原始資料!O435))</f>
        <v/>
      </c>
      <c r="P435">
        <f>IF(原始資料!P435="","",IF(反向題設定!$C$19="是",反向題設定!$B$2+1-原始資料!P435,原始資料!P435))</f>
        <v/>
      </c>
      <c r="Q435">
        <f>IF(原始資料!Q435="","",IF(反向題設定!$C$20="是",反向題設定!$B$2+1-原始資料!Q435,原始資料!Q435))</f>
        <v/>
      </c>
      <c r="R435">
        <f>IF(原始資料!R435="","",IF(反向題設定!$C$21="是",反向題設定!$B$2+1-原始資料!R435,原始資料!R435))</f>
        <v/>
      </c>
      <c r="S435">
        <f>IF(原始資料!S435="","",IF(反向題設定!$C$22="是",反向題設定!$B$2+1-原始資料!S435,原始資料!S435))</f>
        <v/>
      </c>
      <c r="T435">
        <f>IF(原始資料!T435="","",IF(反向題設定!$C$23="是",反向題設定!$B$2+1-原始資料!T435,原始資料!T435))</f>
        <v/>
      </c>
      <c r="U435">
        <f>IF(原始資料!U435="","",IF(反向題設定!$C$24="是",反向題設定!$B$2+1-原始資料!U435,原始資料!U435))</f>
        <v/>
      </c>
      <c r="V435">
        <f>IF(原始資料!V435="","",IF(反向題設定!$C$25="是",反向題設定!$B$2+1-原始資料!V435,原始資料!V435))</f>
        <v/>
      </c>
      <c r="W435">
        <f>IF(原始資料!W435="","",IF(反向題設定!$C$26="是",反向題設定!$B$2+1-原始資料!W435,原始資料!W435))</f>
        <v/>
      </c>
      <c r="X435">
        <f>IF(原始資料!X435="","",IF(反向題設定!$C$27="是",反向題設定!$B$2+1-原始資料!X435,原始資料!X435))</f>
        <v/>
      </c>
      <c r="Y435">
        <f>IF(原始資料!Y435="","",IF(反向題設定!$C$28="是",反向題設定!$B$2+1-原始資料!Y435,原始資料!Y435))</f>
        <v/>
      </c>
      <c r="Z435">
        <f>IF(原始資料!Z435="","",IF(反向題設定!$C$29="是",反向題設定!$B$2+1-原始資料!Z435,原始資料!Z435))</f>
        <v/>
      </c>
      <c r="AA435">
        <f>IF(原始資料!AA435="","",IF(反向題設定!$C$30="是",反向題設定!$B$2+1-原始資料!AA435,原始資料!AA435))</f>
        <v/>
      </c>
      <c r="AB435">
        <f>IF(原始資料!AB435="","",IF(反向題設定!$C$31="是",反向題設定!$B$2+1-原始資料!AB435,原始資料!AB435))</f>
        <v/>
      </c>
      <c r="AC435">
        <f>IF(原始資料!AC435="","",IF(反向題設定!$C$32="是",反向題設定!$B$2+1-原始資料!AC435,原始資料!AC435))</f>
        <v/>
      </c>
      <c r="AD435">
        <f>IF(原始資料!AD435="","",IF(反向題設定!$C$33="是",反向題設定!$B$2+1-原始資料!AD435,原始資料!AD435))</f>
        <v/>
      </c>
      <c r="AE435">
        <f>IF(原始資料!AE435="","",IF(反向題設定!$C$34="是",反向題設定!$B$2+1-原始資料!AE435,原始資料!AE435))</f>
        <v/>
      </c>
      <c r="AF435">
        <f>IF(原始資料!AF435="","",IF(反向題設定!$C$35="是",反向題設定!$B$2+1-原始資料!AF435,原始資料!AF435))</f>
        <v/>
      </c>
      <c r="AG435">
        <f>IF(原始資料!AG435="","",IF(反向題設定!$C$36="是",反向題設定!$B$2+1-原始資料!AG435,原始資料!AG435))</f>
        <v/>
      </c>
      <c r="AH435">
        <f>IF(原始資料!AH435="","",IF(反向題設定!$C$37="是",反向題設定!$B$2+1-原始資料!AH435,原始資料!AH435))</f>
        <v/>
      </c>
      <c r="AI435">
        <f>IF(原始資料!AI435="","",IF(反向題設定!$C$38="是",反向題設定!$B$2+1-原始資料!AI435,原始資料!AI435))</f>
        <v/>
      </c>
      <c r="AJ435">
        <f>IF(原始資料!AJ435="","",IF(反向題設定!$C$39="是",反向題設定!$B$2+1-原始資料!AJ435,原始資料!AJ435))</f>
        <v/>
      </c>
      <c r="AK435">
        <f>IF(原始資料!AK435="","",IF(反向題設定!$C$40="是",反向題設定!$B$2+1-原始資料!AK435,原始資料!AK435))</f>
        <v/>
      </c>
      <c r="AL435">
        <f>IF(原始資料!AL435="","",IF(反向題設定!$C$41="是",反向題設定!$B$2+1-原始資料!AL435,原始資料!AL435))</f>
        <v/>
      </c>
      <c r="AM435">
        <f>IF(原始資料!AM435="","",IF(反向題設定!$C$42="是",反向題設定!$B$2+1-原始資料!AM435,原始資料!AM435))</f>
        <v/>
      </c>
      <c r="AN435">
        <f>IF(原始資料!AN435="","",IF(反向題設定!$C$43="是",反向題設定!$B$2+1-原始資料!AN435,原始資料!AN435))</f>
        <v/>
      </c>
      <c r="AO435">
        <f>IF(原始資料!AO435="","",IF(反向題設定!$C$44="是",反向題設定!$B$2+1-原始資料!AO435,原始資料!AO435))</f>
        <v/>
      </c>
      <c r="AP435">
        <f>IF(COUNT(B435:AO435)=0,"",SUM(B435:AO435))</f>
        <v/>
      </c>
      <c r="AQ435">
        <f>IF(AP435="","",IF(AP435&gt;=項目分析!$C$5,"高",IF(AP435&lt;=項目分析!$C$6,"低","")))</f>
        <v/>
      </c>
    </row>
    <row r="436">
      <c r="A436">
        <f>IF(原始資料!A436="","",原始資料!A436)</f>
        <v/>
      </c>
      <c r="B436">
        <f>IF(原始資料!B436="","",IF(反向題設定!$C$5="是",反向題設定!$B$2+1-原始資料!B436,原始資料!B436))</f>
        <v/>
      </c>
      <c r="C436">
        <f>IF(原始資料!C436="","",IF(反向題設定!$C$6="是",反向題設定!$B$2+1-原始資料!C436,原始資料!C436))</f>
        <v/>
      </c>
      <c r="D436">
        <f>IF(原始資料!D436="","",IF(反向題設定!$C$7="是",反向題設定!$B$2+1-原始資料!D436,原始資料!D436))</f>
        <v/>
      </c>
      <c r="E436">
        <f>IF(原始資料!E436="","",IF(反向題設定!$C$8="是",反向題設定!$B$2+1-原始資料!E436,原始資料!E436))</f>
        <v/>
      </c>
      <c r="F436">
        <f>IF(原始資料!F436="","",IF(反向題設定!$C$9="是",反向題設定!$B$2+1-原始資料!F436,原始資料!F436))</f>
        <v/>
      </c>
      <c r="G436">
        <f>IF(原始資料!G436="","",IF(反向題設定!$C$10="是",反向題設定!$B$2+1-原始資料!G436,原始資料!G436))</f>
        <v/>
      </c>
      <c r="H436">
        <f>IF(原始資料!H436="","",IF(反向題設定!$C$11="是",反向題設定!$B$2+1-原始資料!H436,原始資料!H436))</f>
        <v/>
      </c>
      <c r="I436">
        <f>IF(原始資料!I436="","",IF(反向題設定!$C$12="是",反向題設定!$B$2+1-原始資料!I436,原始資料!I436))</f>
        <v/>
      </c>
      <c r="J436">
        <f>IF(原始資料!J436="","",IF(反向題設定!$C$13="是",反向題設定!$B$2+1-原始資料!J436,原始資料!J436))</f>
        <v/>
      </c>
      <c r="K436">
        <f>IF(原始資料!K436="","",IF(反向題設定!$C$14="是",反向題設定!$B$2+1-原始資料!K436,原始資料!K436))</f>
        <v/>
      </c>
      <c r="L436">
        <f>IF(原始資料!L436="","",IF(反向題設定!$C$15="是",反向題設定!$B$2+1-原始資料!L436,原始資料!L436))</f>
        <v/>
      </c>
      <c r="M436">
        <f>IF(原始資料!M436="","",IF(反向題設定!$C$16="是",反向題設定!$B$2+1-原始資料!M436,原始資料!M436))</f>
        <v/>
      </c>
      <c r="N436">
        <f>IF(原始資料!N436="","",IF(反向題設定!$C$17="是",反向題設定!$B$2+1-原始資料!N436,原始資料!N436))</f>
        <v/>
      </c>
      <c r="O436">
        <f>IF(原始資料!O436="","",IF(反向題設定!$C$18="是",反向題設定!$B$2+1-原始資料!O436,原始資料!O436))</f>
        <v/>
      </c>
      <c r="P436">
        <f>IF(原始資料!P436="","",IF(反向題設定!$C$19="是",反向題設定!$B$2+1-原始資料!P436,原始資料!P436))</f>
        <v/>
      </c>
      <c r="Q436">
        <f>IF(原始資料!Q436="","",IF(反向題設定!$C$20="是",反向題設定!$B$2+1-原始資料!Q436,原始資料!Q436))</f>
        <v/>
      </c>
      <c r="R436">
        <f>IF(原始資料!R436="","",IF(反向題設定!$C$21="是",反向題設定!$B$2+1-原始資料!R436,原始資料!R436))</f>
        <v/>
      </c>
      <c r="S436">
        <f>IF(原始資料!S436="","",IF(反向題設定!$C$22="是",反向題設定!$B$2+1-原始資料!S436,原始資料!S436))</f>
        <v/>
      </c>
      <c r="T436">
        <f>IF(原始資料!T436="","",IF(反向題設定!$C$23="是",反向題設定!$B$2+1-原始資料!T436,原始資料!T436))</f>
        <v/>
      </c>
      <c r="U436">
        <f>IF(原始資料!U436="","",IF(反向題設定!$C$24="是",反向題設定!$B$2+1-原始資料!U436,原始資料!U436))</f>
        <v/>
      </c>
      <c r="V436">
        <f>IF(原始資料!V436="","",IF(反向題設定!$C$25="是",反向題設定!$B$2+1-原始資料!V436,原始資料!V436))</f>
        <v/>
      </c>
      <c r="W436">
        <f>IF(原始資料!W436="","",IF(反向題設定!$C$26="是",反向題設定!$B$2+1-原始資料!W436,原始資料!W436))</f>
        <v/>
      </c>
      <c r="X436">
        <f>IF(原始資料!X436="","",IF(反向題設定!$C$27="是",反向題設定!$B$2+1-原始資料!X436,原始資料!X436))</f>
        <v/>
      </c>
      <c r="Y436">
        <f>IF(原始資料!Y436="","",IF(反向題設定!$C$28="是",反向題設定!$B$2+1-原始資料!Y436,原始資料!Y436))</f>
        <v/>
      </c>
      <c r="Z436">
        <f>IF(原始資料!Z436="","",IF(反向題設定!$C$29="是",反向題設定!$B$2+1-原始資料!Z436,原始資料!Z436))</f>
        <v/>
      </c>
      <c r="AA436">
        <f>IF(原始資料!AA436="","",IF(反向題設定!$C$30="是",反向題設定!$B$2+1-原始資料!AA436,原始資料!AA436))</f>
        <v/>
      </c>
      <c r="AB436">
        <f>IF(原始資料!AB436="","",IF(反向題設定!$C$31="是",反向題設定!$B$2+1-原始資料!AB436,原始資料!AB436))</f>
        <v/>
      </c>
      <c r="AC436">
        <f>IF(原始資料!AC436="","",IF(反向題設定!$C$32="是",反向題設定!$B$2+1-原始資料!AC436,原始資料!AC436))</f>
        <v/>
      </c>
      <c r="AD436">
        <f>IF(原始資料!AD436="","",IF(反向題設定!$C$33="是",反向題設定!$B$2+1-原始資料!AD436,原始資料!AD436))</f>
        <v/>
      </c>
      <c r="AE436">
        <f>IF(原始資料!AE436="","",IF(反向題設定!$C$34="是",反向題設定!$B$2+1-原始資料!AE436,原始資料!AE436))</f>
        <v/>
      </c>
      <c r="AF436">
        <f>IF(原始資料!AF436="","",IF(反向題設定!$C$35="是",反向題設定!$B$2+1-原始資料!AF436,原始資料!AF436))</f>
        <v/>
      </c>
      <c r="AG436">
        <f>IF(原始資料!AG436="","",IF(反向題設定!$C$36="是",反向題設定!$B$2+1-原始資料!AG436,原始資料!AG436))</f>
        <v/>
      </c>
      <c r="AH436">
        <f>IF(原始資料!AH436="","",IF(反向題設定!$C$37="是",反向題設定!$B$2+1-原始資料!AH436,原始資料!AH436))</f>
        <v/>
      </c>
      <c r="AI436">
        <f>IF(原始資料!AI436="","",IF(反向題設定!$C$38="是",反向題設定!$B$2+1-原始資料!AI436,原始資料!AI436))</f>
        <v/>
      </c>
      <c r="AJ436">
        <f>IF(原始資料!AJ436="","",IF(反向題設定!$C$39="是",反向題設定!$B$2+1-原始資料!AJ436,原始資料!AJ436))</f>
        <v/>
      </c>
      <c r="AK436">
        <f>IF(原始資料!AK436="","",IF(反向題設定!$C$40="是",反向題設定!$B$2+1-原始資料!AK436,原始資料!AK436))</f>
        <v/>
      </c>
      <c r="AL436">
        <f>IF(原始資料!AL436="","",IF(反向題設定!$C$41="是",反向題設定!$B$2+1-原始資料!AL436,原始資料!AL436))</f>
        <v/>
      </c>
      <c r="AM436">
        <f>IF(原始資料!AM436="","",IF(反向題設定!$C$42="是",反向題設定!$B$2+1-原始資料!AM436,原始資料!AM436))</f>
        <v/>
      </c>
      <c r="AN436">
        <f>IF(原始資料!AN436="","",IF(反向題設定!$C$43="是",反向題設定!$B$2+1-原始資料!AN436,原始資料!AN436))</f>
        <v/>
      </c>
      <c r="AO436">
        <f>IF(原始資料!AO436="","",IF(反向題設定!$C$44="是",反向題設定!$B$2+1-原始資料!AO436,原始資料!AO436))</f>
        <v/>
      </c>
      <c r="AP436">
        <f>IF(COUNT(B436:AO436)=0,"",SUM(B436:AO436))</f>
        <v/>
      </c>
      <c r="AQ436">
        <f>IF(AP436="","",IF(AP436&gt;=項目分析!$C$5,"高",IF(AP436&lt;=項目分析!$C$6,"低","")))</f>
        <v/>
      </c>
    </row>
    <row r="437">
      <c r="A437">
        <f>IF(原始資料!A437="","",原始資料!A437)</f>
        <v/>
      </c>
      <c r="B437">
        <f>IF(原始資料!B437="","",IF(反向題設定!$C$5="是",反向題設定!$B$2+1-原始資料!B437,原始資料!B437))</f>
        <v/>
      </c>
      <c r="C437">
        <f>IF(原始資料!C437="","",IF(反向題設定!$C$6="是",反向題設定!$B$2+1-原始資料!C437,原始資料!C437))</f>
        <v/>
      </c>
      <c r="D437">
        <f>IF(原始資料!D437="","",IF(反向題設定!$C$7="是",反向題設定!$B$2+1-原始資料!D437,原始資料!D437))</f>
        <v/>
      </c>
      <c r="E437">
        <f>IF(原始資料!E437="","",IF(反向題設定!$C$8="是",反向題設定!$B$2+1-原始資料!E437,原始資料!E437))</f>
        <v/>
      </c>
      <c r="F437">
        <f>IF(原始資料!F437="","",IF(反向題設定!$C$9="是",反向題設定!$B$2+1-原始資料!F437,原始資料!F437))</f>
        <v/>
      </c>
      <c r="G437">
        <f>IF(原始資料!G437="","",IF(反向題設定!$C$10="是",反向題設定!$B$2+1-原始資料!G437,原始資料!G437))</f>
        <v/>
      </c>
      <c r="H437">
        <f>IF(原始資料!H437="","",IF(反向題設定!$C$11="是",反向題設定!$B$2+1-原始資料!H437,原始資料!H437))</f>
        <v/>
      </c>
      <c r="I437">
        <f>IF(原始資料!I437="","",IF(反向題設定!$C$12="是",反向題設定!$B$2+1-原始資料!I437,原始資料!I437))</f>
        <v/>
      </c>
      <c r="J437">
        <f>IF(原始資料!J437="","",IF(反向題設定!$C$13="是",反向題設定!$B$2+1-原始資料!J437,原始資料!J437))</f>
        <v/>
      </c>
      <c r="K437">
        <f>IF(原始資料!K437="","",IF(反向題設定!$C$14="是",反向題設定!$B$2+1-原始資料!K437,原始資料!K437))</f>
        <v/>
      </c>
      <c r="L437">
        <f>IF(原始資料!L437="","",IF(反向題設定!$C$15="是",反向題設定!$B$2+1-原始資料!L437,原始資料!L437))</f>
        <v/>
      </c>
      <c r="M437">
        <f>IF(原始資料!M437="","",IF(反向題設定!$C$16="是",反向題設定!$B$2+1-原始資料!M437,原始資料!M437))</f>
        <v/>
      </c>
      <c r="N437">
        <f>IF(原始資料!N437="","",IF(反向題設定!$C$17="是",反向題設定!$B$2+1-原始資料!N437,原始資料!N437))</f>
        <v/>
      </c>
      <c r="O437">
        <f>IF(原始資料!O437="","",IF(反向題設定!$C$18="是",反向題設定!$B$2+1-原始資料!O437,原始資料!O437))</f>
        <v/>
      </c>
      <c r="P437">
        <f>IF(原始資料!P437="","",IF(反向題設定!$C$19="是",反向題設定!$B$2+1-原始資料!P437,原始資料!P437))</f>
        <v/>
      </c>
      <c r="Q437">
        <f>IF(原始資料!Q437="","",IF(反向題設定!$C$20="是",反向題設定!$B$2+1-原始資料!Q437,原始資料!Q437))</f>
        <v/>
      </c>
      <c r="R437">
        <f>IF(原始資料!R437="","",IF(反向題設定!$C$21="是",反向題設定!$B$2+1-原始資料!R437,原始資料!R437))</f>
        <v/>
      </c>
      <c r="S437">
        <f>IF(原始資料!S437="","",IF(反向題設定!$C$22="是",反向題設定!$B$2+1-原始資料!S437,原始資料!S437))</f>
        <v/>
      </c>
      <c r="T437">
        <f>IF(原始資料!T437="","",IF(反向題設定!$C$23="是",反向題設定!$B$2+1-原始資料!T437,原始資料!T437))</f>
        <v/>
      </c>
      <c r="U437">
        <f>IF(原始資料!U437="","",IF(反向題設定!$C$24="是",反向題設定!$B$2+1-原始資料!U437,原始資料!U437))</f>
        <v/>
      </c>
      <c r="V437">
        <f>IF(原始資料!V437="","",IF(反向題設定!$C$25="是",反向題設定!$B$2+1-原始資料!V437,原始資料!V437))</f>
        <v/>
      </c>
      <c r="W437">
        <f>IF(原始資料!W437="","",IF(反向題設定!$C$26="是",反向題設定!$B$2+1-原始資料!W437,原始資料!W437))</f>
        <v/>
      </c>
      <c r="X437">
        <f>IF(原始資料!X437="","",IF(反向題設定!$C$27="是",反向題設定!$B$2+1-原始資料!X437,原始資料!X437))</f>
        <v/>
      </c>
      <c r="Y437">
        <f>IF(原始資料!Y437="","",IF(反向題設定!$C$28="是",反向題設定!$B$2+1-原始資料!Y437,原始資料!Y437))</f>
        <v/>
      </c>
      <c r="Z437">
        <f>IF(原始資料!Z437="","",IF(反向題設定!$C$29="是",反向題設定!$B$2+1-原始資料!Z437,原始資料!Z437))</f>
        <v/>
      </c>
      <c r="AA437">
        <f>IF(原始資料!AA437="","",IF(反向題設定!$C$30="是",反向題設定!$B$2+1-原始資料!AA437,原始資料!AA437))</f>
        <v/>
      </c>
      <c r="AB437">
        <f>IF(原始資料!AB437="","",IF(反向題設定!$C$31="是",反向題設定!$B$2+1-原始資料!AB437,原始資料!AB437))</f>
        <v/>
      </c>
      <c r="AC437">
        <f>IF(原始資料!AC437="","",IF(反向題設定!$C$32="是",反向題設定!$B$2+1-原始資料!AC437,原始資料!AC437))</f>
        <v/>
      </c>
      <c r="AD437">
        <f>IF(原始資料!AD437="","",IF(反向題設定!$C$33="是",反向題設定!$B$2+1-原始資料!AD437,原始資料!AD437))</f>
        <v/>
      </c>
      <c r="AE437">
        <f>IF(原始資料!AE437="","",IF(反向題設定!$C$34="是",反向題設定!$B$2+1-原始資料!AE437,原始資料!AE437))</f>
        <v/>
      </c>
      <c r="AF437">
        <f>IF(原始資料!AF437="","",IF(反向題設定!$C$35="是",反向題設定!$B$2+1-原始資料!AF437,原始資料!AF437))</f>
        <v/>
      </c>
      <c r="AG437">
        <f>IF(原始資料!AG437="","",IF(反向題設定!$C$36="是",反向題設定!$B$2+1-原始資料!AG437,原始資料!AG437))</f>
        <v/>
      </c>
      <c r="AH437">
        <f>IF(原始資料!AH437="","",IF(反向題設定!$C$37="是",反向題設定!$B$2+1-原始資料!AH437,原始資料!AH437))</f>
        <v/>
      </c>
      <c r="AI437">
        <f>IF(原始資料!AI437="","",IF(反向題設定!$C$38="是",反向題設定!$B$2+1-原始資料!AI437,原始資料!AI437))</f>
        <v/>
      </c>
      <c r="AJ437">
        <f>IF(原始資料!AJ437="","",IF(反向題設定!$C$39="是",反向題設定!$B$2+1-原始資料!AJ437,原始資料!AJ437))</f>
        <v/>
      </c>
      <c r="AK437">
        <f>IF(原始資料!AK437="","",IF(反向題設定!$C$40="是",反向題設定!$B$2+1-原始資料!AK437,原始資料!AK437))</f>
        <v/>
      </c>
      <c r="AL437">
        <f>IF(原始資料!AL437="","",IF(反向題設定!$C$41="是",反向題設定!$B$2+1-原始資料!AL437,原始資料!AL437))</f>
        <v/>
      </c>
      <c r="AM437">
        <f>IF(原始資料!AM437="","",IF(反向題設定!$C$42="是",反向題設定!$B$2+1-原始資料!AM437,原始資料!AM437))</f>
        <v/>
      </c>
      <c r="AN437">
        <f>IF(原始資料!AN437="","",IF(反向題設定!$C$43="是",反向題設定!$B$2+1-原始資料!AN437,原始資料!AN437))</f>
        <v/>
      </c>
      <c r="AO437">
        <f>IF(原始資料!AO437="","",IF(反向題設定!$C$44="是",反向題設定!$B$2+1-原始資料!AO437,原始資料!AO437))</f>
        <v/>
      </c>
      <c r="AP437">
        <f>IF(COUNT(B437:AO437)=0,"",SUM(B437:AO437))</f>
        <v/>
      </c>
      <c r="AQ437">
        <f>IF(AP437="","",IF(AP437&gt;=項目分析!$C$5,"高",IF(AP437&lt;=項目分析!$C$6,"低","")))</f>
        <v/>
      </c>
    </row>
    <row r="438">
      <c r="A438">
        <f>IF(原始資料!A438="","",原始資料!A438)</f>
        <v/>
      </c>
      <c r="B438">
        <f>IF(原始資料!B438="","",IF(反向題設定!$C$5="是",反向題設定!$B$2+1-原始資料!B438,原始資料!B438))</f>
        <v/>
      </c>
      <c r="C438">
        <f>IF(原始資料!C438="","",IF(反向題設定!$C$6="是",反向題設定!$B$2+1-原始資料!C438,原始資料!C438))</f>
        <v/>
      </c>
      <c r="D438">
        <f>IF(原始資料!D438="","",IF(反向題設定!$C$7="是",反向題設定!$B$2+1-原始資料!D438,原始資料!D438))</f>
        <v/>
      </c>
      <c r="E438">
        <f>IF(原始資料!E438="","",IF(反向題設定!$C$8="是",反向題設定!$B$2+1-原始資料!E438,原始資料!E438))</f>
        <v/>
      </c>
      <c r="F438">
        <f>IF(原始資料!F438="","",IF(反向題設定!$C$9="是",反向題設定!$B$2+1-原始資料!F438,原始資料!F438))</f>
        <v/>
      </c>
      <c r="G438">
        <f>IF(原始資料!G438="","",IF(反向題設定!$C$10="是",反向題設定!$B$2+1-原始資料!G438,原始資料!G438))</f>
        <v/>
      </c>
      <c r="H438">
        <f>IF(原始資料!H438="","",IF(反向題設定!$C$11="是",反向題設定!$B$2+1-原始資料!H438,原始資料!H438))</f>
        <v/>
      </c>
      <c r="I438">
        <f>IF(原始資料!I438="","",IF(反向題設定!$C$12="是",反向題設定!$B$2+1-原始資料!I438,原始資料!I438))</f>
        <v/>
      </c>
      <c r="J438">
        <f>IF(原始資料!J438="","",IF(反向題設定!$C$13="是",反向題設定!$B$2+1-原始資料!J438,原始資料!J438))</f>
        <v/>
      </c>
      <c r="K438">
        <f>IF(原始資料!K438="","",IF(反向題設定!$C$14="是",反向題設定!$B$2+1-原始資料!K438,原始資料!K438))</f>
        <v/>
      </c>
      <c r="L438">
        <f>IF(原始資料!L438="","",IF(反向題設定!$C$15="是",反向題設定!$B$2+1-原始資料!L438,原始資料!L438))</f>
        <v/>
      </c>
      <c r="M438">
        <f>IF(原始資料!M438="","",IF(反向題設定!$C$16="是",反向題設定!$B$2+1-原始資料!M438,原始資料!M438))</f>
        <v/>
      </c>
      <c r="N438">
        <f>IF(原始資料!N438="","",IF(反向題設定!$C$17="是",反向題設定!$B$2+1-原始資料!N438,原始資料!N438))</f>
        <v/>
      </c>
      <c r="O438">
        <f>IF(原始資料!O438="","",IF(反向題設定!$C$18="是",反向題設定!$B$2+1-原始資料!O438,原始資料!O438))</f>
        <v/>
      </c>
      <c r="P438">
        <f>IF(原始資料!P438="","",IF(反向題設定!$C$19="是",反向題設定!$B$2+1-原始資料!P438,原始資料!P438))</f>
        <v/>
      </c>
      <c r="Q438">
        <f>IF(原始資料!Q438="","",IF(反向題設定!$C$20="是",反向題設定!$B$2+1-原始資料!Q438,原始資料!Q438))</f>
        <v/>
      </c>
      <c r="R438">
        <f>IF(原始資料!R438="","",IF(反向題設定!$C$21="是",反向題設定!$B$2+1-原始資料!R438,原始資料!R438))</f>
        <v/>
      </c>
      <c r="S438">
        <f>IF(原始資料!S438="","",IF(反向題設定!$C$22="是",反向題設定!$B$2+1-原始資料!S438,原始資料!S438))</f>
        <v/>
      </c>
      <c r="T438">
        <f>IF(原始資料!T438="","",IF(反向題設定!$C$23="是",反向題設定!$B$2+1-原始資料!T438,原始資料!T438))</f>
        <v/>
      </c>
      <c r="U438">
        <f>IF(原始資料!U438="","",IF(反向題設定!$C$24="是",反向題設定!$B$2+1-原始資料!U438,原始資料!U438))</f>
        <v/>
      </c>
      <c r="V438">
        <f>IF(原始資料!V438="","",IF(反向題設定!$C$25="是",反向題設定!$B$2+1-原始資料!V438,原始資料!V438))</f>
        <v/>
      </c>
      <c r="W438">
        <f>IF(原始資料!W438="","",IF(反向題設定!$C$26="是",反向題設定!$B$2+1-原始資料!W438,原始資料!W438))</f>
        <v/>
      </c>
      <c r="X438">
        <f>IF(原始資料!X438="","",IF(反向題設定!$C$27="是",反向題設定!$B$2+1-原始資料!X438,原始資料!X438))</f>
        <v/>
      </c>
      <c r="Y438">
        <f>IF(原始資料!Y438="","",IF(反向題設定!$C$28="是",反向題設定!$B$2+1-原始資料!Y438,原始資料!Y438))</f>
        <v/>
      </c>
      <c r="Z438">
        <f>IF(原始資料!Z438="","",IF(反向題設定!$C$29="是",反向題設定!$B$2+1-原始資料!Z438,原始資料!Z438))</f>
        <v/>
      </c>
      <c r="AA438">
        <f>IF(原始資料!AA438="","",IF(反向題設定!$C$30="是",反向題設定!$B$2+1-原始資料!AA438,原始資料!AA438))</f>
        <v/>
      </c>
      <c r="AB438">
        <f>IF(原始資料!AB438="","",IF(反向題設定!$C$31="是",反向題設定!$B$2+1-原始資料!AB438,原始資料!AB438))</f>
        <v/>
      </c>
      <c r="AC438">
        <f>IF(原始資料!AC438="","",IF(反向題設定!$C$32="是",反向題設定!$B$2+1-原始資料!AC438,原始資料!AC438))</f>
        <v/>
      </c>
      <c r="AD438">
        <f>IF(原始資料!AD438="","",IF(反向題設定!$C$33="是",反向題設定!$B$2+1-原始資料!AD438,原始資料!AD438))</f>
        <v/>
      </c>
      <c r="AE438">
        <f>IF(原始資料!AE438="","",IF(反向題設定!$C$34="是",反向題設定!$B$2+1-原始資料!AE438,原始資料!AE438))</f>
        <v/>
      </c>
      <c r="AF438">
        <f>IF(原始資料!AF438="","",IF(反向題設定!$C$35="是",反向題設定!$B$2+1-原始資料!AF438,原始資料!AF438))</f>
        <v/>
      </c>
      <c r="AG438">
        <f>IF(原始資料!AG438="","",IF(反向題設定!$C$36="是",反向題設定!$B$2+1-原始資料!AG438,原始資料!AG438))</f>
        <v/>
      </c>
      <c r="AH438">
        <f>IF(原始資料!AH438="","",IF(反向題設定!$C$37="是",反向題設定!$B$2+1-原始資料!AH438,原始資料!AH438))</f>
        <v/>
      </c>
      <c r="AI438">
        <f>IF(原始資料!AI438="","",IF(反向題設定!$C$38="是",反向題設定!$B$2+1-原始資料!AI438,原始資料!AI438))</f>
        <v/>
      </c>
      <c r="AJ438">
        <f>IF(原始資料!AJ438="","",IF(反向題設定!$C$39="是",反向題設定!$B$2+1-原始資料!AJ438,原始資料!AJ438))</f>
        <v/>
      </c>
      <c r="AK438">
        <f>IF(原始資料!AK438="","",IF(反向題設定!$C$40="是",反向題設定!$B$2+1-原始資料!AK438,原始資料!AK438))</f>
        <v/>
      </c>
      <c r="AL438">
        <f>IF(原始資料!AL438="","",IF(反向題設定!$C$41="是",反向題設定!$B$2+1-原始資料!AL438,原始資料!AL438))</f>
        <v/>
      </c>
      <c r="AM438">
        <f>IF(原始資料!AM438="","",IF(反向題設定!$C$42="是",反向題設定!$B$2+1-原始資料!AM438,原始資料!AM438))</f>
        <v/>
      </c>
      <c r="AN438">
        <f>IF(原始資料!AN438="","",IF(反向題設定!$C$43="是",反向題設定!$B$2+1-原始資料!AN438,原始資料!AN438))</f>
        <v/>
      </c>
      <c r="AO438">
        <f>IF(原始資料!AO438="","",IF(反向題設定!$C$44="是",反向題設定!$B$2+1-原始資料!AO438,原始資料!AO438))</f>
        <v/>
      </c>
      <c r="AP438">
        <f>IF(COUNT(B438:AO438)=0,"",SUM(B438:AO438))</f>
        <v/>
      </c>
      <c r="AQ438">
        <f>IF(AP438="","",IF(AP438&gt;=項目分析!$C$5,"高",IF(AP438&lt;=項目分析!$C$6,"低","")))</f>
        <v/>
      </c>
    </row>
    <row r="439">
      <c r="A439">
        <f>IF(原始資料!A439="","",原始資料!A439)</f>
        <v/>
      </c>
      <c r="B439">
        <f>IF(原始資料!B439="","",IF(反向題設定!$C$5="是",反向題設定!$B$2+1-原始資料!B439,原始資料!B439))</f>
        <v/>
      </c>
      <c r="C439">
        <f>IF(原始資料!C439="","",IF(反向題設定!$C$6="是",反向題設定!$B$2+1-原始資料!C439,原始資料!C439))</f>
        <v/>
      </c>
      <c r="D439">
        <f>IF(原始資料!D439="","",IF(反向題設定!$C$7="是",反向題設定!$B$2+1-原始資料!D439,原始資料!D439))</f>
        <v/>
      </c>
      <c r="E439">
        <f>IF(原始資料!E439="","",IF(反向題設定!$C$8="是",反向題設定!$B$2+1-原始資料!E439,原始資料!E439))</f>
        <v/>
      </c>
      <c r="F439">
        <f>IF(原始資料!F439="","",IF(反向題設定!$C$9="是",反向題設定!$B$2+1-原始資料!F439,原始資料!F439))</f>
        <v/>
      </c>
      <c r="G439">
        <f>IF(原始資料!G439="","",IF(反向題設定!$C$10="是",反向題設定!$B$2+1-原始資料!G439,原始資料!G439))</f>
        <v/>
      </c>
      <c r="H439">
        <f>IF(原始資料!H439="","",IF(反向題設定!$C$11="是",反向題設定!$B$2+1-原始資料!H439,原始資料!H439))</f>
        <v/>
      </c>
      <c r="I439">
        <f>IF(原始資料!I439="","",IF(反向題設定!$C$12="是",反向題設定!$B$2+1-原始資料!I439,原始資料!I439))</f>
        <v/>
      </c>
      <c r="J439">
        <f>IF(原始資料!J439="","",IF(反向題設定!$C$13="是",反向題設定!$B$2+1-原始資料!J439,原始資料!J439))</f>
        <v/>
      </c>
      <c r="K439">
        <f>IF(原始資料!K439="","",IF(反向題設定!$C$14="是",反向題設定!$B$2+1-原始資料!K439,原始資料!K439))</f>
        <v/>
      </c>
      <c r="L439">
        <f>IF(原始資料!L439="","",IF(反向題設定!$C$15="是",反向題設定!$B$2+1-原始資料!L439,原始資料!L439))</f>
        <v/>
      </c>
      <c r="M439">
        <f>IF(原始資料!M439="","",IF(反向題設定!$C$16="是",反向題設定!$B$2+1-原始資料!M439,原始資料!M439))</f>
        <v/>
      </c>
      <c r="N439">
        <f>IF(原始資料!N439="","",IF(反向題設定!$C$17="是",反向題設定!$B$2+1-原始資料!N439,原始資料!N439))</f>
        <v/>
      </c>
      <c r="O439">
        <f>IF(原始資料!O439="","",IF(反向題設定!$C$18="是",反向題設定!$B$2+1-原始資料!O439,原始資料!O439))</f>
        <v/>
      </c>
      <c r="P439">
        <f>IF(原始資料!P439="","",IF(反向題設定!$C$19="是",反向題設定!$B$2+1-原始資料!P439,原始資料!P439))</f>
        <v/>
      </c>
      <c r="Q439">
        <f>IF(原始資料!Q439="","",IF(反向題設定!$C$20="是",反向題設定!$B$2+1-原始資料!Q439,原始資料!Q439))</f>
        <v/>
      </c>
      <c r="R439">
        <f>IF(原始資料!R439="","",IF(反向題設定!$C$21="是",反向題設定!$B$2+1-原始資料!R439,原始資料!R439))</f>
        <v/>
      </c>
      <c r="S439">
        <f>IF(原始資料!S439="","",IF(反向題設定!$C$22="是",反向題設定!$B$2+1-原始資料!S439,原始資料!S439))</f>
        <v/>
      </c>
      <c r="T439">
        <f>IF(原始資料!T439="","",IF(反向題設定!$C$23="是",反向題設定!$B$2+1-原始資料!T439,原始資料!T439))</f>
        <v/>
      </c>
      <c r="U439">
        <f>IF(原始資料!U439="","",IF(反向題設定!$C$24="是",反向題設定!$B$2+1-原始資料!U439,原始資料!U439))</f>
        <v/>
      </c>
      <c r="V439">
        <f>IF(原始資料!V439="","",IF(反向題設定!$C$25="是",反向題設定!$B$2+1-原始資料!V439,原始資料!V439))</f>
        <v/>
      </c>
      <c r="W439">
        <f>IF(原始資料!W439="","",IF(反向題設定!$C$26="是",反向題設定!$B$2+1-原始資料!W439,原始資料!W439))</f>
        <v/>
      </c>
      <c r="X439">
        <f>IF(原始資料!X439="","",IF(反向題設定!$C$27="是",反向題設定!$B$2+1-原始資料!X439,原始資料!X439))</f>
        <v/>
      </c>
      <c r="Y439">
        <f>IF(原始資料!Y439="","",IF(反向題設定!$C$28="是",反向題設定!$B$2+1-原始資料!Y439,原始資料!Y439))</f>
        <v/>
      </c>
      <c r="Z439">
        <f>IF(原始資料!Z439="","",IF(反向題設定!$C$29="是",反向題設定!$B$2+1-原始資料!Z439,原始資料!Z439))</f>
        <v/>
      </c>
      <c r="AA439">
        <f>IF(原始資料!AA439="","",IF(反向題設定!$C$30="是",反向題設定!$B$2+1-原始資料!AA439,原始資料!AA439))</f>
        <v/>
      </c>
      <c r="AB439">
        <f>IF(原始資料!AB439="","",IF(反向題設定!$C$31="是",反向題設定!$B$2+1-原始資料!AB439,原始資料!AB439))</f>
        <v/>
      </c>
      <c r="AC439">
        <f>IF(原始資料!AC439="","",IF(反向題設定!$C$32="是",反向題設定!$B$2+1-原始資料!AC439,原始資料!AC439))</f>
        <v/>
      </c>
      <c r="AD439">
        <f>IF(原始資料!AD439="","",IF(反向題設定!$C$33="是",反向題設定!$B$2+1-原始資料!AD439,原始資料!AD439))</f>
        <v/>
      </c>
      <c r="AE439">
        <f>IF(原始資料!AE439="","",IF(反向題設定!$C$34="是",反向題設定!$B$2+1-原始資料!AE439,原始資料!AE439))</f>
        <v/>
      </c>
      <c r="AF439">
        <f>IF(原始資料!AF439="","",IF(反向題設定!$C$35="是",反向題設定!$B$2+1-原始資料!AF439,原始資料!AF439))</f>
        <v/>
      </c>
      <c r="AG439">
        <f>IF(原始資料!AG439="","",IF(反向題設定!$C$36="是",反向題設定!$B$2+1-原始資料!AG439,原始資料!AG439))</f>
        <v/>
      </c>
      <c r="AH439">
        <f>IF(原始資料!AH439="","",IF(反向題設定!$C$37="是",反向題設定!$B$2+1-原始資料!AH439,原始資料!AH439))</f>
        <v/>
      </c>
      <c r="AI439">
        <f>IF(原始資料!AI439="","",IF(反向題設定!$C$38="是",反向題設定!$B$2+1-原始資料!AI439,原始資料!AI439))</f>
        <v/>
      </c>
      <c r="AJ439">
        <f>IF(原始資料!AJ439="","",IF(反向題設定!$C$39="是",反向題設定!$B$2+1-原始資料!AJ439,原始資料!AJ439))</f>
        <v/>
      </c>
      <c r="AK439">
        <f>IF(原始資料!AK439="","",IF(反向題設定!$C$40="是",反向題設定!$B$2+1-原始資料!AK439,原始資料!AK439))</f>
        <v/>
      </c>
      <c r="AL439">
        <f>IF(原始資料!AL439="","",IF(反向題設定!$C$41="是",反向題設定!$B$2+1-原始資料!AL439,原始資料!AL439))</f>
        <v/>
      </c>
      <c r="AM439">
        <f>IF(原始資料!AM439="","",IF(反向題設定!$C$42="是",反向題設定!$B$2+1-原始資料!AM439,原始資料!AM439))</f>
        <v/>
      </c>
      <c r="AN439">
        <f>IF(原始資料!AN439="","",IF(反向題設定!$C$43="是",反向題設定!$B$2+1-原始資料!AN439,原始資料!AN439))</f>
        <v/>
      </c>
      <c r="AO439">
        <f>IF(原始資料!AO439="","",IF(反向題設定!$C$44="是",反向題設定!$B$2+1-原始資料!AO439,原始資料!AO439))</f>
        <v/>
      </c>
      <c r="AP439">
        <f>IF(COUNT(B439:AO439)=0,"",SUM(B439:AO439))</f>
        <v/>
      </c>
      <c r="AQ439">
        <f>IF(AP439="","",IF(AP439&gt;=項目分析!$C$5,"高",IF(AP439&lt;=項目分析!$C$6,"低","")))</f>
        <v/>
      </c>
    </row>
    <row r="440">
      <c r="A440">
        <f>IF(原始資料!A440="","",原始資料!A440)</f>
        <v/>
      </c>
      <c r="B440">
        <f>IF(原始資料!B440="","",IF(反向題設定!$C$5="是",反向題設定!$B$2+1-原始資料!B440,原始資料!B440))</f>
        <v/>
      </c>
      <c r="C440">
        <f>IF(原始資料!C440="","",IF(反向題設定!$C$6="是",反向題設定!$B$2+1-原始資料!C440,原始資料!C440))</f>
        <v/>
      </c>
      <c r="D440">
        <f>IF(原始資料!D440="","",IF(反向題設定!$C$7="是",反向題設定!$B$2+1-原始資料!D440,原始資料!D440))</f>
        <v/>
      </c>
      <c r="E440">
        <f>IF(原始資料!E440="","",IF(反向題設定!$C$8="是",反向題設定!$B$2+1-原始資料!E440,原始資料!E440))</f>
        <v/>
      </c>
      <c r="F440">
        <f>IF(原始資料!F440="","",IF(反向題設定!$C$9="是",反向題設定!$B$2+1-原始資料!F440,原始資料!F440))</f>
        <v/>
      </c>
      <c r="G440">
        <f>IF(原始資料!G440="","",IF(反向題設定!$C$10="是",反向題設定!$B$2+1-原始資料!G440,原始資料!G440))</f>
        <v/>
      </c>
      <c r="H440">
        <f>IF(原始資料!H440="","",IF(反向題設定!$C$11="是",反向題設定!$B$2+1-原始資料!H440,原始資料!H440))</f>
        <v/>
      </c>
      <c r="I440">
        <f>IF(原始資料!I440="","",IF(反向題設定!$C$12="是",反向題設定!$B$2+1-原始資料!I440,原始資料!I440))</f>
        <v/>
      </c>
      <c r="J440">
        <f>IF(原始資料!J440="","",IF(反向題設定!$C$13="是",反向題設定!$B$2+1-原始資料!J440,原始資料!J440))</f>
        <v/>
      </c>
      <c r="K440">
        <f>IF(原始資料!K440="","",IF(反向題設定!$C$14="是",反向題設定!$B$2+1-原始資料!K440,原始資料!K440))</f>
        <v/>
      </c>
      <c r="L440">
        <f>IF(原始資料!L440="","",IF(反向題設定!$C$15="是",反向題設定!$B$2+1-原始資料!L440,原始資料!L440))</f>
        <v/>
      </c>
      <c r="M440">
        <f>IF(原始資料!M440="","",IF(反向題設定!$C$16="是",反向題設定!$B$2+1-原始資料!M440,原始資料!M440))</f>
        <v/>
      </c>
      <c r="N440">
        <f>IF(原始資料!N440="","",IF(反向題設定!$C$17="是",反向題設定!$B$2+1-原始資料!N440,原始資料!N440))</f>
        <v/>
      </c>
      <c r="O440">
        <f>IF(原始資料!O440="","",IF(反向題設定!$C$18="是",反向題設定!$B$2+1-原始資料!O440,原始資料!O440))</f>
        <v/>
      </c>
      <c r="P440">
        <f>IF(原始資料!P440="","",IF(反向題設定!$C$19="是",反向題設定!$B$2+1-原始資料!P440,原始資料!P440))</f>
        <v/>
      </c>
      <c r="Q440">
        <f>IF(原始資料!Q440="","",IF(反向題設定!$C$20="是",反向題設定!$B$2+1-原始資料!Q440,原始資料!Q440))</f>
        <v/>
      </c>
      <c r="R440">
        <f>IF(原始資料!R440="","",IF(反向題設定!$C$21="是",反向題設定!$B$2+1-原始資料!R440,原始資料!R440))</f>
        <v/>
      </c>
      <c r="S440">
        <f>IF(原始資料!S440="","",IF(反向題設定!$C$22="是",反向題設定!$B$2+1-原始資料!S440,原始資料!S440))</f>
        <v/>
      </c>
      <c r="T440">
        <f>IF(原始資料!T440="","",IF(反向題設定!$C$23="是",反向題設定!$B$2+1-原始資料!T440,原始資料!T440))</f>
        <v/>
      </c>
      <c r="U440">
        <f>IF(原始資料!U440="","",IF(反向題設定!$C$24="是",反向題設定!$B$2+1-原始資料!U440,原始資料!U440))</f>
        <v/>
      </c>
      <c r="V440">
        <f>IF(原始資料!V440="","",IF(反向題設定!$C$25="是",反向題設定!$B$2+1-原始資料!V440,原始資料!V440))</f>
        <v/>
      </c>
      <c r="W440">
        <f>IF(原始資料!W440="","",IF(反向題設定!$C$26="是",反向題設定!$B$2+1-原始資料!W440,原始資料!W440))</f>
        <v/>
      </c>
      <c r="X440">
        <f>IF(原始資料!X440="","",IF(反向題設定!$C$27="是",反向題設定!$B$2+1-原始資料!X440,原始資料!X440))</f>
        <v/>
      </c>
      <c r="Y440">
        <f>IF(原始資料!Y440="","",IF(反向題設定!$C$28="是",反向題設定!$B$2+1-原始資料!Y440,原始資料!Y440))</f>
        <v/>
      </c>
      <c r="Z440">
        <f>IF(原始資料!Z440="","",IF(反向題設定!$C$29="是",反向題設定!$B$2+1-原始資料!Z440,原始資料!Z440))</f>
        <v/>
      </c>
      <c r="AA440">
        <f>IF(原始資料!AA440="","",IF(反向題設定!$C$30="是",反向題設定!$B$2+1-原始資料!AA440,原始資料!AA440))</f>
        <v/>
      </c>
      <c r="AB440">
        <f>IF(原始資料!AB440="","",IF(反向題設定!$C$31="是",反向題設定!$B$2+1-原始資料!AB440,原始資料!AB440))</f>
        <v/>
      </c>
      <c r="AC440">
        <f>IF(原始資料!AC440="","",IF(反向題設定!$C$32="是",反向題設定!$B$2+1-原始資料!AC440,原始資料!AC440))</f>
        <v/>
      </c>
      <c r="AD440">
        <f>IF(原始資料!AD440="","",IF(反向題設定!$C$33="是",反向題設定!$B$2+1-原始資料!AD440,原始資料!AD440))</f>
        <v/>
      </c>
      <c r="AE440">
        <f>IF(原始資料!AE440="","",IF(反向題設定!$C$34="是",反向題設定!$B$2+1-原始資料!AE440,原始資料!AE440))</f>
        <v/>
      </c>
      <c r="AF440">
        <f>IF(原始資料!AF440="","",IF(反向題設定!$C$35="是",反向題設定!$B$2+1-原始資料!AF440,原始資料!AF440))</f>
        <v/>
      </c>
      <c r="AG440">
        <f>IF(原始資料!AG440="","",IF(反向題設定!$C$36="是",反向題設定!$B$2+1-原始資料!AG440,原始資料!AG440))</f>
        <v/>
      </c>
      <c r="AH440">
        <f>IF(原始資料!AH440="","",IF(反向題設定!$C$37="是",反向題設定!$B$2+1-原始資料!AH440,原始資料!AH440))</f>
        <v/>
      </c>
      <c r="AI440">
        <f>IF(原始資料!AI440="","",IF(反向題設定!$C$38="是",反向題設定!$B$2+1-原始資料!AI440,原始資料!AI440))</f>
        <v/>
      </c>
      <c r="AJ440">
        <f>IF(原始資料!AJ440="","",IF(反向題設定!$C$39="是",反向題設定!$B$2+1-原始資料!AJ440,原始資料!AJ440))</f>
        <v/>
      </c>
      <c r="AK440">
        <f>IF(原始資料!AK440="","",IF(反向題設定!$C$40="是",反向題設定!$B$2+1-原始資料!AK440,原始資料!AK440))</f>
        <v/>
      </c>
      <c r="AL440">
        <f>IF(原始資料!AL440="","",IF(反向題設定!$C$41="是",反向題設定!$B$2+1-原始資料!AL440,原始資料!AL440))</f>
        <v/>
      </c>
      <c r="AM440">
        <f>IF(原始資料!AM440="","",IF(反向題設定!$C$42="是",反向題設定!$B$2+1-原始資料!AM440,原始資料!AM440))</f>
        <v/>
      </c>
      <c r="AN440">
        <f>IF(原始資料!AN440="","",IF(反向題設定!$C$43="是",反向題設定!$B$2+1-原始資料!AN440,原始資料!AN440))</f>
        <v/>
      </c>
      <c r="AO440">
        <f>IF(原始資料!AO440="","",IF(反向題設定!$C$44="是",反向題設定!$B$2+1-原始資料!AO440,原始資料!AO440))</f>
        <v/>
      </c>
      <c r="AP440">
        <f>IF(COUNT(B440:AO440)=0,"",SUM(B440:AO440))</f>
        <v/>
      </c>
      <c r="AQ440">
        <f>IF(AP440="","",IF(AP440&gt;=項目分析!$C$5,"高",IF(AP440&lt;=項目分析!$C$6,"低","")))</f>
        <v/>
      </c>
    </row>
    <row r="441">
      <c r="A441">
        <f>IF(原始資料!A441="","",原始資料!A441)</f>
        <v/>
      </c>
      <c r="B441">
        <f>IF(原始資料!B441="","",IF(反向題設定!$C$5="是",反向題設定!$B$2+1-原始資料!B441,原始資料!B441))</f>
        <v/>
      </c>
      <c r="C441">
        <f>IF(原始資料!C441="","",IF(反向題設定!$C$6="是",反向題設定!$B$2+1-原始資料!C441,原始資料!C441))</f>
        <v/>
      </c>
      <c r="D441">
        <f>IF(原始資料!D441="","",IF(反向題設定!$C$7="是",反向題設定!$B$2+1-原始資料!D441,原始資料!D441))</f>
        <v/>
      </c>
      <c r="E441">
        <f>IF(原始資料!E441="","",IF(反向題設定!$C$8="是",反向題設定!$B$2+1-原始資料!E441,原始資料!E441))</f>
        <v/>
      </c>
      <c r="F441">
        <f>IF(原始資料!F441="","",IF(反向題設定!$C$9="是",反向題設定!$B$2+1-原始資料!F441,原始資料!F441))</f>
        <v/>
      </c>
      <c r="G441">
        <f>IF(原始資料!G441="","",IF(反向題設定!$C$10="是",反向題設定!$B$2+1-原始資料!G441,原始資料!G441))</f>
        <v/>
      </c>
      <c r="H441">
        <f>IF(原始資料!H441="","",IF(反向題設定!$C$11="是",反向題設定!$B$2+1-原始資料!H441,原始資料!H441))</f>
        <v/>
      </c>
      <c r="I441">
        <f>IF(原始資料!I441="","",IF(反向題設定!$C$12="是",反向題設定!$B$2+1-原始資料!I441,原始資料!I441))</f>
        <v/>
      </c>
      <c r="J441">
        <f>IF(原始資料!J441="","",IF(反向題設定!$C$13="是",反向題設定!$B$2+1-原始資料!J441,原始資料!J441))</f>
        <v/>
      </c>
      <c r="K441">
        <f>IF(原始資料!K441="","",IF(反向題設定!$C$14="是",反向題設定!$B$2+1-原始資料!K441,原始資料!K441))</f>
        <v/>
      </c>
      <c r="L441">
        <f>IF(原始資料!L441="","",IF(反向題設定!$C$15="是",反向題設定!$B$2+1-原始資料!L441,原始資料!L441))</f>
        <v/>
      </c>
      <c r="M441">
        <f>IF(原始資料!M441="","",IF(反向題設定!$C$16="是",反向題設定!$B$2+1-原始資料!M441,原始資料!M441))</f>
        <v/>
      </c>
      <c r="N441">
        <f>IF(原始資料!N441="","",IF(反向題設定!$C$17="是",反向題設定!$B$2+1-原始資料!N441,原始資料!N441))</f>
        <v/>
      </c>
      <c r="O441">
        <f>IF(原始資料!O441="","",IF(反向題設定!$C$18="是",反向題設定!$B$2+1-原始資料!O441,原始資料!O441))</f>
        <v/>
      </c>
      <c r="P441">
        <f>IF(原始資料!P441="","",IF(反向題設定!$C$19="是",反向題設定!$B$2+1-原始資料!P441,原始資料!P441))</f>
        <v/>
      </c>
      <c r="Q441">
        <f>IF(原始資料!Q441="","",IF(反向題設定!$C$20="是",反向題設定!$B$2+1-原始資料!Q441,原始資料!Q441))</f>
        <v/>
      </c>
      <c r="R441">
        <f>IF(原始資料!R441="","",IF(反向題設定!$C$21="是",反向題設定!$B$2+1-原始資料!R441,原始資料!R441))</f>
        <v/>
      </c>
      <c r="S441">
        <f>IF(原始資料!S441="","",IF(反向題設定!$C$22="是",反向題設定!$B$2+1-原始資料!S441,原始資料!S441))</f>
        <v/>
      </c>
      <c r="T441">
        <f>IF(原始資料!T441="","",IF(反向題設定!$C$23="是",反向題設定!$B$2+1-原始資料!T441,原始資料!T441))</f>
        <v/>
      </c>
      <c r="U441">
        <f>IF(原始資料!U441="","",IF(反向題設定!$C$24="是",反向題設定!$B$2+1-原始資料!U441,原始資料!U441))</f>
        <v/>
      </c>
      <c r="V441">
        <f>IF(原始資料!V441="","",IF(反向題設定!$C$25="是",反向題設定!$B$2+1-原始資料!V441,原始資料!V441))</f>
        <v/>
      </c>
      <c r="W441">
        <f>IF(原始資料!W441="","",IF(反向題設定!$C$26="是",反向題設定!$B$2+1-原始資料!W441,原始資料!W441))</f>
        <v/>
      </c>
      <c r="X441">
        <f>IF(原始資料!X441="","",IF(反向題設定!$C$27="是",反向題設定!$B$2+1-原始資料!X441,原始資料!X441))</f>
        <v/>
      </c>
      <c r="Y441">
        <f>IF(原始資料!Y441="","",IF(反向題設定!$C$28="是",反向題設定!$B$2+1-原始資料!Y441,原始資料!Y441))</f>
        <v/>
      </c>
      <c r="Z441">
        <f>IF(原始資料!Z441="","",IF(反向題設定!$C$29="是",反向題設定!$B$2+1-原始資料!Z441,原始資料!Z441))</f>
        <v/>
      </c>
      <c r="AA441">
        <f>IF(原始資料!AA441="","",IF(反向題設定!$C$30="是",反向題設定!$B$2+1-原始資料!AA441,原始資料!AA441))</f>
        <v/>
      </c>
      <c r="AB441">
        <f>IF(原始資料!AB441="","",IF(反向題設定!$C$31="是",反向題設定!$B$2+1-原始資料!AB441,原始資料!AB441))</f>
        <v/>
      </c>
      <c r="AC441">
        <f>IF(原始資料!AC441="","",IF(反向題設定!$C$32="是",反向題設定!$B$2+1-原始資料!AC441,原始資料!AC441))</f>
        <v/>
      </c>
      <c r="AD441">
        <f>IF(原始資料!AD441="","",IF(反向題設定!$C$33="是",反向題設定!$B$2+1-原始資料!AD441,原始資料!AD441))</f>
        <v/>
      </c>
      <c r="AE441">
        <f>IF(原始資料!AE441="","",IF(反向題設定!$C$34="是",反向題設定!$B$2+1-原始資料!AE441,原始資料!AE441))</f>
        <v/>
      </c>
      <c r="AF441">
        <f>IF(原始資料!AF441="","",IF(反向題設定!$C$35="是",反向題設定!$B$2+1-原始資料!AF441,原始資料!AF441))</f>
        <v/>
      </c>
      <c r="AG441">
        <f>IF(原始資料!AG441="","",IF(反向題設定!$C$36="是",反向題設定!$B$2+1-原始資料!AG441,原始資料!AG441))</f>
        <v/>
      </c>
      <c r="AH441">
        <f>IF(原始資料!AH441="","",IF(反向題設定!$C$37="是",反向題設定!$B$2+1-原始資料!AH441,原始資料!AH441))</f>
        <v/>
      </c>
      <c r="AI441">
        <f>IF(原始資料!AI441="","",IF(反向題設定!$C$38="是",反向題設定!$B$2+1-原始資料!AI441,原始資料!AI441))</f>
        <v/>
      </c>
      <c r="AJ441">
        <f>IF(原始資料!AJ441="","",IF(反向題設定!$C$39="是",反向題設定!$B$2+1-原始資料!AJ441,原始資料!AJ441))</f>
        <v/>
      </c>
      <c r="AK441">
        <f>IF(原始資料!AK441="","",IF(反向題設定!$C$40="是",反向題設定!$B$2+1-原始資料!AK441,原始資料!AK441))</f>
        <v/>
      </c>
      <c r="AL441">
        <f>IF(原始資料!AL441="","",IF(反向題設定!$C$41="是",反向題設定!$B$2+1-原始資料!AL441,原始資料!AL441))</f>
        <v/>
      </c>
      <c r="AM441">
        <f>IF(原始資料!AM441="","",IF(反向題設定!$C$42="是",反向題設定!$B$2+1-原始資料!AM441,原始資料!AM441))</f>
        <v/>
      </c>
      <c r="AN441">
        <f>IF(原始資料!AN441="","",IF(反向題設定!$C$43="是",反向題設定!$B$2+1-原始資料!AN441,原始資料!AN441))</f>
        <v/>
      </c>
      <c r="AO441">
        <f>IF(原始資料!AO441="","",IF(反向題設定!$C$44="是",反向題設定!$B$2+1-原始資料!AO441,原始資料!AO441))</f>
        <v/>
      </c>
      <c r="AP441">
        <f>IF(COUNT(B441:AO441)=0,"",SUM(B441:AO441))</f>
        <v/>
      </c>
      <c r="AQ441">
        <f>IF(AP441="","",IF(AP441&gt;=項目分析!$C$5,"高",IF(AP441&lt;=項目分析!$C$6,"低","")))</f>
        <v/>
      </c>
    </row>
    <row r="442">
      <c r="A442">
        <f>IF(原始資料!A442="","",原始資料!A442)</f>
        <v/>
      </c>
      <c r="B442">
        <f>IF(原始資料!B442="","",IF(反向題設定!$C$5="是",反向題設定!$B$2+1-原始資料!B442,原始資料!B442))</f>
        <v/>
      </c>
      <c r="C442">
        <f>IF(原始資料!C442="","",IF(反向題設定!$C$6="是",反向題設定!$B$2+1-原始資料!C442,原始資料!C442))</f>
        <v/>
      </c>
      <c r="D442">
        <f>IF(原始資料!D442="","",IF(反向題設定!$C$7="是",反向題設定!$B$2+1-原始資料!D442,原始資料!D442))</f>
        <v/>
      </c>
      <c r="E442">
        <f>IF(原始資料!E442="","",IF(反向題設定!$C$8="是",反向題設定!$B$2+1-原始資料!E442,原始資料!E442))</f>
        <v/>
      </c>
      <c r="F442">
        <f>IF(原始資料!F442="","",IF(反向題設定!$C$9="是",反向題設定!$B$2+1-原始資料!F442,原始資料!F442))</f>
        <v/>
      </c>
      <c r="G442">
        <f>IF(原始資料!G442="","",IF(反向題設定!$C$10="是",反向題設定!$B$2+1-原始資料!G442,原始資料!G442))</f>
        <v/>
      </c>
      <c r="H442">
        <f>IF(原始資料!H442="","",IF(反向題設定!$C$11="是",反向題設定!$B$2+1-原始資料!H442,原始資料!H442))</f>
        <v/>
      </c>
      <c r="I442">
        <f>IF(原始資料!I442="","",IF(反向題設定!$C$12="是",反向題設定!$B$2+1-原始資料!I442,原始資料!I442))</f>
        <v/>
      </c>
      <c r="J442">
        <f>IF(原始資料!J442="","",IF(反向題設定!$C$13="是",反向題設定!$B$2+1-原始資料!J442,原始資料!J442))</f>
        <v/>
      </c>
      <c r="K442">
        <f>IF(原始資料!K442="","",IF(反向題設定!$C$14="是",反向題設定!$B$2+1-原始資料!K442,原始資料!K442))</f>
        <v/>
      </c>
      <c r="L442">
        <f>IF(原始資料!L442="","",IF(反向題設定!$C$15="是",反向題設定!$B$2+1-原始資料!L442,原始資料!L442))</f>
        <v/>
      </c>
      <c r="M442">
        <f>IF(原始資料!M442="","",IF(反向題設定!$C$16="是",反向題設定!$B$2+1-原始資料!M442,原始資料!M442))</f>
        <v/>
      </c>
      <c r="N442">
        <f>IF(原始資料!N442="","",IF(反向題設定!$C$17="是",反向題設定!$B$2+1-原始資料!N442,原始資料!N442))</f>
        <v/>
      </c>
      <c r="O442">
        <f>IF(原始資料!O442="","",IF(反向題設定!$C$18="是",反向題設定!$B$2+1-原始資料!O442,原始資料!O442))</f>
        <v/>
      </c>
      <c r="P442">
        <f>IF(原始資料!P442="","",IF(反向題設定!$C$19="是",反向題設定!$B$2+1-原始資料!P442,原始資料!P442))</f>
        <v/>
      </c>
      <c r="Q442">
        <f>IF(原始資料!Q442="","",IF(反向題設定!$C$20="是",反向題設定!$B$2+1-原始資料!Q442,原始資料!Q442))</f>
        <v/>
      </c>
      <c r="R442">
        <f>IF(原始資料!R442="","",IF(反向題設定!$C$21="是",反向題設定!$B$2+1-原始資料!R442,原始資料!R442))</f>
        <v/>
      </c>
      <c r="S442">
        <f>IF(原始資料!S442="","",IF(反向題設定!$C$22="是",反向題設定!$B$2+1-原始資料!S442,原始資料!S442))</f>
        <v/>
      </c>
      <c r="T442">
        <f>IF(原始資料!T442="","",IF(反向題設定!$C$23="是",反向題設定!$B$2+1-原始資料!T442,原始資料!T442))</f>
        <v/>
      </c>
      <c r="U442">
        <f>IF(原始資料!U442="","",IF(反向題設定!$C$24="是",反向題設定!$B$2+1-原始資料!U442,原始資料!U442))</f>
        <v/>
      </c>
      <c r="V442">
        <f>IF(原始資料!V442="","",IF(反向題設定!$C$25="是",反向題設定!$B$2+1-原始資料!V442,原始資料!V442))</f>
        <v/>
      </c>
      <c r="W442">
        <f>IF(原始資料!W442="","",IF(反向題設定!$C$26="是",反向題設定!$B$2+1-原始資料!W442,原始資料!W442))</f>
        <v/>
      </c>
      <c r="X442">
        <f>IF(原始資料!X442="","",IF(反向題設定!$C$27="是",反向題設定!$B$2+1-原始資料!X442,原始資料!X442))</f>
        <v/>
      </c>
      <c r="Y442">
        <f>IF(原始資料!Y442="","",IF(反向題設定!$C$28="是",反向題設定!$B$2+1-原始資料!Y442,原始資料!Y442))</f>
        <v/>
      </c>
      <c r="Z442">
        <f>IF(原始資料!Z442="","",IF(反向題設定!$C$29="是",反向題設定!$B$2+1-原始資料!Z442,原始資料!Z442))</f>
        <v/>
      </c>
      <c r="AA442">
        <f>IF(原始資料!AA442="","",IF(反向題設定!$C$30="是",反向題設定!$B$2+1-原始資料!AA442,原始資料!AA442))</f>
        <v/>
      </c>
      <c r="AB442">
        <f>IF(原始資料!AB442="","",IF(反向題設定!$C$31="是",反向題設定!$B$2+1-原始資料!AB442,原始資料!AB442))</f>
        <v/>
      </c>
      <c r="AC442">
        <f>IF(原始資料!AC442="","",IF(反向題設定!$C$32="是",反向題設定!$B$2+1-原始資料!AC442,原始資料!AC442))</f>
        <v/>
      </c>
      <c r="AD442">
        <f>IF(原始資料!AD442="","",IF(反向題設定!$C$33="是",反向題設定!$B$2+1-原始資料!AD442,原始資料!AD442))</f>
        <v/>
      </c>
      <c r="AE442">
        <f>IF(原始資料!AE442="","",IF(反向題設定!$C$34="是",反向題設定!$B$2+1-原始資料!AE442,原始資料!AE442))</f>
        <v/>
      </c>
      <c r="AF442">
        <f>IF(原始資料!AF442="","",IF(反向題設定!$C$35="是",反向題設定!$B$2+1-原始資料!AF442,原始資料!AF442))</f>
        <v/>
      </c>
      <c r="AG442">
        <f>IF(原始資料!AG442="","",IF(反向題設定!$C$36="是",反向題設定!$B$2+1-原始資料!AG442,原始資料!AG442))</f>
        <v/>
      </c>
      <c r="AH442">
        <f>IF(原始資料!AH442="","",IF(反向題設定!$C$37="是",反向題設定!$B$2+1-原始資料!AH442,原始資料!AH442))</f>
        <v/>
      </c>
      <c r="AI442">
        <f>IF(原始資料!AI442="","",IF(反向題設定!$C$38="是",反向題設定!$B$2+1-原始資料!AI442,原始資料!AI442))</f>
        <v/>
      </c>
      <c r="AJ442">
        <f>IF(原始資料!AJ442="","",IF(反向題設定!$C$39="是",反向題設定!$B$2+1-原始資料!AJ442,原始資料!AJ442))</f>
        <v/>
      </c>
      <c r="AK442">
        <f>IF(原始資料!AK442="","",IF(反向題設定!$C$40="是",反向題設定!$B$2+1-原始資料!AK442,原始資料!AK442))</f>
        <v/>
      </c>
      <c r="AL442">
        <f>IF(原始資料!AL442="","",IF(反向題設定!$C$41="是",反向題設定!$B$2+1-原始資料!AL442,原始資料!AL442))</f>
        <v/>
      </c>
      <c r="AM442">
        <f>IF(原始資料!AM442="","",IF(反向題設定!$C$42="是",反向題設定!$B$2+1-原始資料!AM442,原始資料!AM442))</f>
        <v/>
      </c>
      <c r="AN442">
        <f>IF(原始資料!AN442="","",IF(反向題設定!$C$43="是",反向題設定!$B$2+1-原始資料!AN442,原始資料!AN442))</f>
        <v/>
      </c>
      <c r="AO442">
        <f>IF(原始資料!AO442="","",IF(反向題設定!$C$44="是",反向題設定!$B$2+1-原始資料!AO442,原始資料!AO442))</f>
        <v/>
      </c>
      <c r="AP442">
        <f>IF(COUNT(B442:AO442)=0,"",SUM(B442:AO442))</f>
        <v/>
      </c>
      <c r="AQ442">
        <f>IF(AP442="","",IF(AP442&gt;=項目分析!$C$5,"高",IF(AP442&lt;=項目分析!$C$6,"低","")))</f>
        <v/>
      </c>
    </row>
    <row r="443">
      <c r="A443">
        <f>IF(原始資料!A443="","",原始資料!A443)</f>
        <v/>
      </c>
      <c r="B443">
        <f>IF(原始資料!B443="","",IF(反向題設定!$C$5="是",反向題設定!$B$2+1-原始資料!B443,原始資料!B443))</f>
        <v/>
      </c>
      <c r="C443">
        <f>IF(原始資料!C443="","",IF(反向題設定!$C$6="是",反向題設定!$B$2+1-原始資料!C443,原始資料!C443))</f>
        <v/>
      </c>
      <c r="D443">
        <f>IF(原始資料!D443="","",IF(反向題設定!$C$7="是",反向題設定!$B$2+1-原始資料!D443,原始資料!D443))</f>
        <v/>
      </c>
      <c r="E443">
        <f>IF(原始資料!E443="","",IF(反向題設定!$C$8="是",反向題設定!$B$2+1-原始資料!E443,原始資料!E443))</f>
        <v/>
      </c>
      <c r="F443">
        <f>IF(原始資料!F443="","",IF(反向題設定!$C$9="是",反向題設定!$B$2+1-原始資料!F443,原始資料!F443))</f>
        <v/>
      </c>
      <c r="G443">
        <f>IF(原始資料!G443="","",IF(反向題設定!$C$10="是",反向題設定!$B$2+1-原始資料!G443,原始資料!G443))</f>
        <v/>
      </c>
      <c r="H443">
        <f>IF(原始資料!H443="","",IF(反向題設定!$C$11="是",反向題設定!$B$2+1-原始資料!H443,原始資料!H443))</f>
        <v/>
      </c>
      <c r="I443">
        <f>IF(原始資料!I443="","",IF(反向題設定!$C$12="是",反向題設定!$B$2+1-原始資料!I443,原始資料!I443))</f>
        <v/>
      </c>
      <c r="J443">
        <f>IF(原始資料!J443="","",IF(反向題設定!$C$13="是",反向題設定!$B$2+1-原始資料!J443,原始資料!J443))</f>
        <v/>
      </c>
      <c r="K443">
        <f>IF(原始資料!K443="","",IF(反向題設定!$C$14="是",反向題設定!$B$2+1-原始資料!K443,原始資料!K443))</f>
        <v/>
      </c>
      <c r="L443">
        <f>IF(原始資料!L443="","",IF(反向題設定!$C$15="是",反向題設定!$B$2+1-原始資料!L443,原始資料!L443))</f>
        <v/>
      </c>
      <c r="M443">
        <f>IF(原始資料!M443="","",IF(反向題設定!$C$16="是",反向題設定!$B$2+1-原始資料!M443,原始資料!M443))</f>
        <v/>
      </c>
      <c r="N443">
        <f>IF(原始資料!N443="","",IF(反向題設定!$C$17="是",反向題設定!$B$2+1-原始資料!N443,原始資料!N443))</f>
        <v/>
      </c>
      <c r="O443">
        <f>IF(原始資料!O443="","",IF(反向題設定!$C$18="是",反向題設定!$B$2+1-原始資料!O443,原始資料!O443))</f>
        <v/>
      </c>
      <c r="P443">
        <f>IF(原始資料!P443="","",IF(反向題設定!$C$19="是",反向題設定!$B$2+1-原始資料!P443,原始資料!P443))</f>
        <v/>
      </c>
      <c r="Q443">
        <f>IF(原始資料!Q443="","",IF(反向題設定!$C$20="是",反向題設定!$B$2+1-原始資料!Q443,原始資料!Q443))</f>
        <v/>
      </c>
      <c r="R443">
        <f>IF(原始資料!R443="","",IF(反向題設定!$C$21="是",反向題設定!$B$2+1-原始資料!R443,原始資料!R443))</f>
        <v/>
      </c>
      <c r="S443">
        <f>IF(原始資料!S443="","",IF(反向題設定!$C$22="是",反向題設定!$B$2+1-原始資料!S443,原始資料!S443))</f>
        <v/>
      </c>
      <c r="T443">
        <f>IF(原始資料!T443="","",IF(反向題設定!$C$23="是",反向題設定!$B$2+1-原始資料!T443,原始資料!T443))</f>
        <v/>
      </c>
      <c r="U443">
        <f>IF(原始資料!U443="","",IF(反向題設定!$C$24="是",反向題設定!$B$2+1-原始資料!U443,原始資料!U443))</f>
        <v/>
      </c>
      <c r="V443">
        <f>IF(原始資料!V443="","",IF(反向題設定!$C$25="是",反向題設定!$B$2+1-原始資料!V443,原始資料!V443))</f>
        <v/>
      </c>
      <c r="W443">
        <f>IF(原始資料!W443="","",IF(反向題設定!$C$26="是",反向題設定!$B$2+1-原始資料!W443,原始資料!W443))</f>
        <v/>
      </c>
      <c r="X443">
        <f>IF(原始資料!X443="","",IF(反向題設定!$C$27="是",反向題設定!$B$2+1-原始資料!X443,原始資料!X443))</f>
        <v/>
      </c>
      <c r="Y443">
        <f>IF(原始資料!Y443="","",IF(反向題設定!$C$28="是",反向題設定!$B$2+1-原始資料!Y443,原始資料!Y443))</f>
        <v/>
      </c>
      <c r="Z443">
        <f>IF(原始資料!Z443="","",IF(反向題設定!$C$29="是",反向題設定!$B$2+1-原始資料!Z443,原始資料!Z443))</f>
        <v/>
      </c>
      <c r="AA443">
        <f>IF(原始資料!AA443="","",IF(反向題設定!$C$30="是",反向題設定!$B$2+1-原始資料!AA443,原始資料!AA443))</f>
        <v/>
      </c>
      <c r="AB443">
        <f>IF(原始資料!AB443="","",IF(反向題設定!$C$31="是",反向題設定!$B$2+1-原始資料!AB443,原始資料!AB443))</f>
        <v/>
      </c>
      <c r="AC443">
        <f>IF(原始資料!AC443="","",IF(反向題設定!$C$32="是",反向題設定!$B$2+1-原始資料!AC443,原始資料!AC443))</f>
        <v/>
      </c>
      <c r="AD443">
        <f>IF(原始資料!AD443="","",IF(反向題設定!$C$33="是",反向題設定!$B$2+1-原始資料!AD443,原始資料!AD443))</f>
        <v/>
      </c>
      <c r="AE443">
        <f>IF(原始資料!AE443="","",IF(反向題設定!$C$34="是",反向題設定!$B$2+1-原始資料!AE443,原始資料!AE443))</f>
        <v/>
      </c>
      <c r="AF443">
        <f>IF(原始資料!AF443="","",IF(反向題設定!$C$35="是",反向題設定!$B$2+1-原始資料!AF443,原始資料!AF443))</f>
        <v/>
      </c>
      <c r="AG443">
        <f>IF(原始資料!AG443="","",IF(反向題設定!$C$36="是",反向題設定!$B$2+1-原始資料!AG443,原始資料!AG443))</f>
        <v/>
      </c>
      <c r="AH443">
        <f>IF(原始資料!AH443="","",IF(反向題設定!$C$37="是",反向題設定!$B$2+1-原始資料!AH443,原始資料!AH443))</f>
        <v/>
      </c>
      <c r="AI443">
        <f>IF(原始資料!AI443="","",IF(反向題設定!$C$38="是",反向題設定!$B$2+1-原始資料!AI443,原始資料!AI443))</f>
        <v/>
      </c>
      <c r="AJ443">
        <f>IF(原始資料!AJ443="","",IF(反向題設定!$C$39="是",反向題設定!$B$2+1-原始資料!AJ443,原始資料!AJ443))</f>
        <v/>
      </c>
      <c r="AK443">
        <f>IF(原始資料!AK443="","",IF(反向題設定!$C$40="是",反向題設定!$B$2+1-原始資料!AK443,原始資料!AK443))</f>
        <v/>
      </c>
      <c r="AL443">
        <f>IF(原始資料!AL443="","",IF(反向題設定!$C$41="是",反向題設定!$B$2+1-原始資料!AL443,原始資料!AL443))</f>
        <v/>
      </c>
      <c r="AM443">
        <f>IF(原始資料!AM443="","",IF(反向題設定!$C$42="是",反向題設定!$B$2+1-原始資料!AM443,原始資料!AM443))</f>
        <v/>
      </c>
      <c r="AN443">
        <f>IF(原始資料!AN443="","",IF(反向題設定!$C$43="是",反向題設定!$B$2+1-原始資料!AN443,原始資料!AN443))</f>
        <v/>
      </c>
      <c r="AO443">
        <f>IF(原始資料!AO443="","",IF(反向題設定!$C$44="是",反向題設定!$B$2+1-原始資料!AO443,原始資料!AO443))</f>
        <v/>
      </c>
      <c r="AP443">
        <f>IF(COUNT(B443:AO443)=0,"",SUM(B443:AO443))</f>
        <v/>
      </c>
      <c r="AQ443">
        <f>IF(AP443="","",IF(AP443&gt;=項目分析!$C$5,"高",IF(AP443&lt;=項目分析!$C$6,"低","")))</f>
        <v/>
      </c>
    </row>
    <row r="444">
      <c r="A444">
        <f>IF(原始資料!A444="","",原始資料!A444)</f>
        <v/>
      </c>
      <c r="B444">
        <f>IF(原始資料!B444="","",IF(反向題設定!$C$5="是",反向題設定!$B$2+1-原始資料!B444,原始資料!B444))</f>
        <v/>
      </c>
      <c r="C444">
        <f>IF(原始資料!C444="","",IF(反向題設定!$C$6="是",反向題設定!$B$2+1-原始資料!C444,原始資料!C444))</f>
        <v/>
      </c>
      <c r="D444">
        <f>IF(原始資料!D444="","",IF(反向題設定!$C$7="是",反向題設定!$B$2+1-原始資料!D444,原始資料!D444))</f>
        <v/>
      </c>
      <c r="E444">
        <f>IF(原始資料!E444="","",IF(反向題設定!$C$8="是",反向題設定!$B$2+1-原始資料!E444,原始資料!E444))</f>
        <v/>
      </c>
      <c r="F444">
        <f>IF(原始資料!F444="","",IF(反向題設定!$C$9="是",反向題設定!$B$2+1-原始資料!F444,原始資料!F444))</f>
        <v/>
      </c>
      <c r="G444">
        <f>IF(原始資料!G444="","",IF(反向題設定!$C$10="是",反向題設定!$B$2+1-原始資料!G444,原始資料!G444))</f>
        <v/>
      </c>
      <c r="H444">
        <f>IF(原始資料!H444="","",IF(反向題設定!$C$11="是",反向題設定!$B$2+1-原始資料!H444,原始資料!H444))</f>
        <v/>
      </c>
      <c r="I444">
        <f>IF(原始資料!I444="","",IF(反向題設定!$C$12="是",反向題設定!$B$2+1-原始資料!I444,原始資料!I444))</f>
        <v/>
      </c>
      <c r="J444">
        <f>IF(原始資料!J444="","",IF(反向題設定!$C$13="是",反向題設定!$B$2+1-原始資料!J444,原始資料!J444))</f>
        <v/>
      </c>
      <c r="K444">
        <f>IF(原始資料!K444="","",IF(反向題設定!$C$14="是",反向題設定!$B$2+1-原始資料!K444,原始資料!K444))</f>
        <v/>
      </c>
      <c r="L444">
        <f>IF(原始資料!L444="","",IF(反向題設定!$C$15="是",反向題設定!$B$2+1-原始資料!L444,原始資料!L444))</f>
        <v/>
      </c>
      <c r="M444">
        <f>IF(原始資料!M444="","",IF(反向題設定!$C$16="是",反向題設定!$B$2+1-原始資料!M444,原始資料!M444))</f>
        <v/>
      </c>
      <c r="N444">
        <f>IF(原始資料!N444="","",IF(反向題設定!$C$17="是",反向題設定!$B$2+1-原始資料!N444,原始資料!N444))</f>
        <v/>
      </c>
      <c r="O444">
        <f>IF(原始資料!O444="","",IF(反向題設定!$C$18="是",反向題設定!$B$2+1-原始資料!O444,原始資料!O444))</f>
        <v/>
      </c>
      <c r="P444">
        <f>IF(原始資料!P444="","",IF(反向題設定!$C$19="是",反向題設定!$B$2+1-原始資料!P444,原始資料!P444))</f>
        <v/>
      </c>
      <c r="Q444">
        <f>IF(原始資料!Q444="","",IF(反向題設定!$C$20="是",反向題設定!$B$2+1-原始資料!Q444,原始資料!Q444))</f>
        <v/>
      </c>
      <c r="R444">
        <f>IF(原始資料!R444="","",IF(反向題設定!$C$21="是",反向題設定!$B$2+1-原始資料!R444,原始資料!R444))</f>
        <v/>
      </c>
      <c r="S444">
        <f>IF(原始資料!S444="","",IF(反向題設定!$C$22="是",反向題設定!$B$2+1-原始資料!S444,原始資料!S444))</f>
        <v/>
      </c>
      <c r="T444">
        <f>IF(原始資料!T444="","",IF(反向題設定!$C$23="是",反向題設定!$B$2+1-原始資料!T444,原始資料!T444))</f>
        <v/>
      </c>
      <c r="U444">
        <f>IF(原始資料!U444="","",IF(反向題設定!$C$24="是",反向題設定!$B$2+1-原始資料!U444,原始資料!U444))</f>
        <v/>
      </c>
      <c r="V444">
        <f>IF(原始資料!V444="","",IF(反向題設定!$C$25="是",反向題設定!$B$2+1-原始資料!V444,原始資料!V444))</f>
        <v/>
      </c>
      <c r="W444">
        <f>IF(原始資料!W444="","",IF(反向題設定!$C$26="是",反向題設定!$B$2+1-原始資料!W444,原始資料!W444))</f>
        <v/>
      </c>
      <c r="X444">
        <f>IF(原始資料!X444="","",IF(反向題設定!$C$27="是",反向題設定!$B$2+1-原始資料!X444,原始資料!X444))</f>
        <v/>
      </c>
      <c r="Y444">
        <f>IF(原始資料!Y444="","",IF(反向題設定!$C$28="是",反向題設定!$B$2+1-原始資料!Y444,原始資料!Y444))</f>
        <v/>
      </c>
      <c r="Z444">
        <f>IF(原始資料!Z444="","",IF(反向題設定!$C$29="是",反向題設定!$B$2+1-原始資料!Z444,原始資料!Z444))</f>
        <v/>
      </c>
      <c r="AA444">
        <f>IF(原始資料!AA444="","",IF(反向題設定!$C$30="是",反向題設定!$B$2+1-原始資料!AA444,原始資料!AA444))</f>
        <v/>
      </c>
      <c r="AB444">
        <f>IF(原始資料!AB444="","",IF(反向題設定!$C$31="是",反向題設定!$B$2+1-原始資料!AB444,原始資料!AB444))</f>
        <v/>
      </c>
      <c r="AC444">
        <f>IF(原始資料!AC444="","",IF(反向題設定!$C$32="是",反向題設定!$B$2+1-原始資料!AC444,原始資料!AC444))</f>
        <v/>
      </c>
      <c r="AD444">
        <f>IF(原始資料!AD444="","",IF(反向題設定!$C$33="是",反向題設定!$B$2+1-原始資料!AD444,原始資料!AD444))</f>
        <v/>
      </c>
      <c r="AE444">
        <f>IF(原始資料!AE444="","",IF(反向題設定!$C$34="是",反向題設定!$B$2+1-原始資料!AE444,原始資料!AE444))</f>
        <v/>
      </c>
      <c r="AF444">
        <f>IF(原始資料!AF444="","",IF(反向題設定!$C$35="是",反向題設定!$B$2+1-原始資料!AF444,原始資料!AF444))</f>
        <v/>
      </c>
      <c r="AG444">
        <f>IF(原始資料!AG444="","",IF(反向題設定!$C$36="是",反向題設定!$B$2+1-原始資料!AG444,原始資料!AG444))</f>
        <v/>
      </c>
      <c r="AH444">
        <f>IF(原始資料!AH444="","",IF(反向題設定!$C$37="是",反向題設定!$B$2+1-原始資料!AH444,原始資料!AH444))</f>
        <v/>
      </c>
      <c r="AI444">
        <f>IF(原始資料!AI444="","",IF(反向題設定!$C$38="是",反向題設定!$B$2+1-原始資料!AI444,原始資料!AI444))</f>
        <v/>
      </c>
      <c r="AJ444">
        <f>IF(原始資料!AJ444="","",IF(反向題設定!$C$39="是",反向題設定!$B$2+1-原始資料!AJ444,原始資料!AJ444))</f>
        <v/>
      </c>
      <c r="AK444">
        <f>IF(原始資料!AK444="","",IF(反向題設定!$C$40="是",反向題設定!$B$2+1-原始資料!AK444,原始資料!AK444))</f>
        <v/>
      </c>
      <c r="AL444">
        <f>IF(原始資料!AL444="","",IF(反向題設定!$C$41="是",反向題設定!$B$2+1-原始資料!AL444,原始資料!AL444))</f>
        <v/>
      </c>
      <c r="AM444">
        <f>IF(原始資料!AM444="","",IF(反向題設定!$C$42="是",反向題設定!$B$2+1-原始資料!AM444,原始資料!AM444))</f>
        <v/>
      </c>
      <c r="AN444">
        <f>IF(原始資料!AN444="","",IF(反向題設定!$C$43="是",反向題設定!$B$2+1-原始資料!AN444,原始資料!AN444))</f>
        <v/>
      </c>
      <c r="AO444">
        <f>IF(原始資料!AO444="","",IF(反向題設定!$C$44="是",反向題設定!$B$2+1-原始資料!AO444,原始資料!AO444))</f>
        <v/>
      </c>
      <c r="AP444">
        <f>IF(COUNT(B444:AO444)=0,"",SUM(B444:AO444))</f>
        <v/>
      </c>
      <c r="AQ444">
        <f>IF(AP444="","",IF(AP444&gt;=項目分析!$C$5,"高",IF(AP444&lt;=項目分析!$C$6,"低","")))</f>
        <v/>
      </c>
    </row>
    <row r="445">
      <c r="A445">
        <f>IF(原始資料!A445="","",原始資料!A445)</f>
        <v/>
      </c>
      <c r="B445">
        <f>IF(原始資料!B445="","",IF(反向題設定!$C$5="是",反向題設定!$B$2+1-原始資料!B445,原始資料!B445))</f>
        <v/>
      </c>
      <c r="C445">
        <f>IF(原始資料!C445="","",IF(反向題設定!$C$6="是",反向題設定!$B$2+1-原始資料!C445,原始資料!C445))</f>
        <v/>
      </c>
      <c r="D445">
        <f>IF(原始資料!D445="","",IF(反向題設定!$C$7="是",反向題設定!$B$2+1-原始資料!D445,原始資料!D445))</f>
        <v/>
      </c>
      <c r="E445">
        <f>IF(原始資料!E445="","",IF(反向題設定!$C$8="是",反向題設定!$B$2+1-原始資料!E445,原始資料!E445))</f>
        <v/>
      </c>
      <c r="F445">
        <f>IF(原始資料!F445="","",IF(反向題設定!$C$9="是",反向題設定!$B$2+1-原始資料!F445,原始資料!F445))</f>
        <v/>
      </c>
      <c r="G445">
        <f>IF(原始資料!G445="","",IF(反向題設定!$C$10="是",反向題設定!$B$2+1-原始資料!G445,原始資料!G445))</f>
        <v/>
      </c>
      <c r="H445">
        <f>IF(原始資料!H445="","",IF(反向題設定!$C$11="是",反向題設定!$B$2+1-原始資料!H445,原始資料!H445))</f>
        <v/>
      </c>
      <c r="I445">
        <f>IF(原始資料!I445="","",IF(反向題設定!$C$12="是",反向題設定!$B$2+1-原始資料!I445,原始資料!I445))</f>
        <v/>
      </c>
      <c r="J445">
        <f>IF(原始資料!J445="","",IF(反向題設定!$C$13="是",反向題設定!$B$2+1-原始資料!J445,原始資料!J445))</f>
        <v/>
      </c>
      <c r="K445">
        <f>IF(原始資料!K445="","",IF(反向題設定!$C$14="是",反向題設定!$B$2+1-原始資料!K445,原始資料!K445))</f>
        <v/>
      </c>
      <c r="L445">
        <f>IF(原始資料!L445="","",IF(反向題設定!$C$15="是",反向題設定!$B$2+1-原始資料!L445,原始資料!L445))</f>
        <v/>
      </c>
      <c r="M445">
        <f>IF(原始資料!M445="","",IF(反向題設定!$C$16="是",反向題設定!$B$2+1-原始資料!M445,原始資料!M445))</f>
        <v/>
      </c>
      <c r="N445">
        <f>IF(原始資料!N445="","",IF(反向題設定!$C$17="是",反向題設定!$B$2+1-原始資料!N445,原始資料!N445))</f>
        <v/>
      </c>
      <c r="O445">
        <f>IF(原始資料!O445="","",IF(反向題設定!$C$18="是",反向題設定!$B$2+1-原始資料!O445,原始資料!O445))</f>
        <v/>
      </c>
      <c r="P445">
        <f>IF(原始資料!P445="","",IF(反向題設定!$C$19="是",反向題設定!$B$2+1-原始資料!P445,原始資料!P445))</f>
        <v/>
      </c>
      <c r="Q445">
        <f>IF(原始資料!Q445="","",IF(反向題設定!$C$20="是",反向題設定!$B$2+1-原始資料!Q445,原始資料!Q445))</f>
        <v/>
      </c>
      <c r="R445">
        <f>IF(原始資料!R445="","",IF(反向題設定!$C$21="是",反向題設定!$B$2+1-原始資料!R445,原始資料!R445))</f>
        <v/>
      </c>
      <c r="S445">
        <f>IF(原始資料!S445="","",IF(反向題設定!$C$22="是",反向題設定!$B$2+1-原始資料!S445,原始資料!S445))</f>
        <v/>
      </c>
      <c r="T445">
        <f>IF(原始資料!T445="","",IF(反向題設定!$C$23="是",反向題設定!$B$2+1-原始資料!T445,原始資料!T445))</f>
        <v/>
      </c>
      <c r="U445">
        <f>IF(原始資料!U445="","",IF(反向題設定!$C$24="是",反向題設定!$B$2+1-原始資料!U445,原始資料!U445))</f>
        <v/>
      </c>
      <c r="V445">
        <f>IF(原始資料!V445="","",IF(反向題設定!$C$25="是",反向題設定!$B$2+1-原始資料!V445,原始資料!V445))</f>
        <v/>
      </c>
      <c r="W445">
        <f>IF(原始資料!W445="","",IF(反向題設定!$C$26="是",反向題設定!$B$2+1-原始資料!W445,原始資料!W445))</f>
        <v/>
      </c>
      <c r="X445">
        <f>IF(原始資料!X445="","",IF(反向題設定!$C$27="是",反向題設定!$B$2+1-原始資料!X445,原始資料!X445))</f>
        <v/>
      </c>
      <c r="Y445">
        <f>IF(原始資料!Y445="","",IF(反向題設定!$C$28="是",反向題設定!$B$2+1-原始資料!Y445,原始資料!Y445))</f>
        <v/>
      </c>
      <c r="Z445">
        <f>IF(原始資料!Z445="","",IF(反向題設定!$C$29="是",反向題設定!$B$2+1-原始資料!Z445,原始資料!Z445))</f>
        <v/>
      </c>
      <c r="AA445">
        <f>IF(原始資料!AA445="","",IF(反向題設定!$C$30="是",反向題設定!$B$2+1-原始資料!AA445,原始資料!AA445))</f>
        <v/>
      </c>
      <c r="AB445">
        <f>IF(原始資料!AB445="","",IF(反向題設定!$C$31="是",反向題設定!$B$2+1-原始資料!AB445,原始資料!AB445))</f>
        <v/>
      </c>
      <c r="AC445">
        <f>IF(原始資料!AC445="","",IF(反向題設定!$C$32="是",反向題設定!$B$2+1-原始資料!AC445,原始資料!AC445))</f>
        <v/>
      </c>
      <c r="AD445">
        <f>IF(原始資料!AD445="","",IF(反向題設定!$C$33="是",反向題設定!$B$2+1-原始資料!AD445,原始資料!AD445))</f>
        <v/>
      </c>
      <c r="AE445">
        <f>IF(原始資料!AE445="","",IF(反向題設定!$C$34="是",反向題設定!$B$2+1-原始資料!AE445,原始資料!AE445))</f>
        <v/>
      </c>
      <c r="AF445">
        <f>IF(原始資料!AF445="","",IF(反向題設定!$C$35="是",反向題設定!$B$2+1-原始資料!AF445,原始資料!AF445))</f>
        <v/>
      </c>
      <c r="AG445">
        <f>IF(原始資料!AG445="","",IF(反向題設定!$C$36="是",反向題設定!$B$2+1-原始資料!AG445,原始資料!AG445))</f>
        <v/>
      </c>
      <c r="AH445">
        <f>IF(原始資料!AH445="","",IF(反向題設定!$C$37="是",反向題設定!$B$2+1-原始資料!AH445,原始資料!AH445))</f>
        <v/>
      </c>
      <c r="AI445">
        <f>IF(原始資料!AI445="","",IF(反向題設定!$C$38="是",反向題設定!$B$2+1-原始資料!AI445,原始資料!AI445))</f>
        <v/>
      </c>
      <c r="AJ445">
        <f>IF(原始資料!AJ445="","",IF(反向題設定!$C$39="是",反向題設定!$B$2+1-原始資料!AJ445,原始資料!AJ445))</f>
        <v/>
      </c>
      <c r="AK445">
        <f>IF(原始資料!AK445="","",IF(反向題設定!$C$40="是",反向題設定!$B$2+1-原始資料!AK445,原始資料!AK445))</f>
        <v/>
      </c>
      <c r="AL445">
        <f>IF(原始資料!AL445="","",IF(反向題設定!$C$41="是",反向題設定!$B$2+1-原始資料!AL445,原始資料!AL445))</f>
        <v/>
      </c>
      <c r="AM445">
        <f>IF(原始資料!AM445="","",IF(反向題設定!$C$42="是",反向題設定!$B$2+1-原始資料!AM445,原始資料!AM445))</f>
        <v/>
      </c>
      <c r="AN445">
        <f>IF(原始資料!AN445="","",IF(反向題設定!$C$43="是",反向題設定!$B$2+1-原始資料!AN445,原始資料!AN445))</f>
        <v/>
      </c>
      <c r="AO445">
        <f>IF(原始資料!AO445="","",IF(反向題設定!$C$44="是",反向題設定!$B$2+1-原始資料!AO445,原始資料!AO445))</f>
        <v/>
      </c>
      <c r="AP445">
        <f>IF(COUNT(B445:AO445)=0,"",SUM(B445:AO445))</f>
        <v/>
      </c>
      <c r="AQ445">
        <f>IF(AP445="","",IF(AP445&gt;=項目分析!$C$5,"高",IF(AP445&lt;=項目分析!$C$6,"低","")))</f>
        <v/>
      </c>
    </row>
    <row r="446">
      <c r="A446">
        <f>IF(原始資料!A446="","",原始資料!A446)</f>
        <v/>
      </c>
      <c r="B446">
        <f>IF(原始資料!B446="","",IF(反向題設定!$C$5="是",反向題設定!$B$2+1-原始資料!B446,原始資料!B446))</f>
        <v/>
      </c>
      <c r="C446">
        <f>IF(原始資料!C446="","",IF(反向題設定!$C$6="是",反向題設定!$B$2+1-原始資料!C446,原始資料!C446))</f>
        <v/>
      </c>
      <c r="D446">
        <f>IF(原始資料!D446="","",IF(反向題設定!$C$7="是",反向題設定!$B$2+1-原始資料!D446,原始資料!D446))</f>
        <v/>
      </c>
      <c r="E446">
        <f>IF(原始資料!E446="","",IF(反向題設定!$C$8="是",反向題設定!$B$2+1-原始資料!E446,原始資料!E446))</f>
        <v/>
      </c>
      <c r="F446">
        <f>IF(原始資料!F446="","",IF(反向題設定!$C$9="是",反向題設定!$B$2+1-原始資料!F446,原始資料!F446))</f>
        <v/>
      </c>
      <c r="G446">
        <f>IF(原始資料!G446="","",IF(反向題設定!$C$10="是",反向題設定!$B$2+1-原始資料!G446,原始資料!G446))</f>
        <v/>
      </c>
      <c r="H446">
        <f>IF(原始資料!H446="","",IF(反向題設定!$C$11="是",反向題設定!$B$2+1-原始資料!H446,原始資料!H446))</f>
        <v/>
      </c>
      <c r="I446">
        <f>IF(原始資料!I446="","",IF(反向題設定!$C$12="是",反向題設定!$B$2+1-原始資料!I446,原始資料!I446))</f>
        <v/>
      </c>
      <c r="J446">
        <f>IF(原始資料!J446="","",IF(反向題設定!$C$13="是",反向題設定!$B$2+1-原始資料!J446,原始資料!J446))</f>
        <v/>
      </c>
      <c r="K446">
        <f>IF(原始資料!K446="","",IF(反向題設定!$C$14="是",反向題設定!$B$2+1-原始資料!K446,原始資料!K446))</f>
        <v/>
      </c>
      <c r="L446">
        <f>IF(原始資料!L446="","",IF(反向題設定!$C$15="是",反向題設定!$B$2+1-原始資料!L446,原始資料!L446))</f>
        <v/>
      </c>
      <c r="M446">
        <f>IF(原始資料!M446="","",IF(反向題設定!$C$16="是",反向題設定!$B$2+1-原始資料!M446,原始資料!M446))</f>
        <v/>
      </c>
      <c r="N446">
        <f>IF(原始資料!N446="","",IF(反向題設定!$C$17="是",反向題設定!$B$2+1-原始資料!N446,原始資料!N446))</f>
        <v/>
      </c>
      <c r="O446">
        <f>IF(原始資料!O446="","",IF(反向題設定!$C$18="是",反向題設定!$B$2+1-原始資料!O446,原始資料!O446))</f>
        <v/>
      </c>
      <c r="P446">
        <f>IF(原始資料!P446="","",IF(反向題設定!$C$19="是",反向題設定!$B$2+1-原始資料!P446,原始資料!P446))</f>
        <v/>
      </c>
      <c r="Q446">
        <f>IF(原始資料!Q446="","",IF(反向題設定!$C$20="是",反向題設定!$B$2+1-原始資料!Q446,原始資料!Q446))</f>
        <v/>
      </c>
      <c r="R446">
        <f>IF(原始資料!R446="","",IF(反向題設定!$C$21="是",反向題設定!$B$2+1-原始資料!R446,原始資料!R446))</f>
        <v/>
      </c>
      <c r="S446">
        <f>IF(原始資料!S446="","",IF(反向題設定!$C$22="是",反向題設定!$B$2+1-原始資料!S446,原始資料!S446))</f>
        <v/>
      </c>
      <c r="T446">
        <f>IF(原始資料!T446="","",IF(反向題設定!$C$23="是",反向題設定!$B$2+1-原始資料!T446,原始資料!T446))</f>
        <v/>
      </c>
      <c r="U446">
        <f>IF(原始資料!U446="","",IF(反向題設定!$C$24="是",反向題設定!$B$2+1-原始資料!U446,原始資料!U446))</f>
        <v/>
      </c>
      <c r="V446">
        <f>IF(原始資料!V446="","",IF(反向題設定!$C$25="是",反向題設定!$B$2+1-原始資料!V446,原始資料!V446))</f>
        <v/>
      </c>
      <c r="W446">
        <f>IF(原始資料!W446="","",IF(反向題設定!$C$26="是",反向題設定!$B$2+1-原始資料!W446,原始資料!W446))</f>
        <v/>
      </c>
      <c r="X446">
        <f>IF(原始資料!X446="","",IF(反向題設定!$C$27="是",反向題設定!$B$2+1-原始資料!X446,原始資料!X446))</f>
        <v/>
      </c>
      <c r="Y446">
        <f>IF(原始資料!Y446="","",IF(反向題設定!$C$28="是",反向題設定!$B$2+1-原始資料!Y446,原始資料!Y446))</f>
        <v/>
      </c>
      <c r="Z446">
        <f>IF(原始資料!Z446="","",IF(反向題設定!$C$29="是",反向題設定!$B$2+1-原始資料!Z446,原始資料!Z446))</f>
        <v/>
      </c>
      <c r="AA446">
        <f>IF(原始資料!AA446="","",IF(反向題設定!$C$30="是",反向題設定!$B$2+1-原始資料!AA446,原始資料!AA446))</f>
        <v/>
      </c>
      <c r="AB446">
        <f>IF(原始資料!AB446="","",IF(反向題設定!$C$31="是",反向題設定!$B$2+1-原始資料!AB446,原始資料!AB446))</f>
        <v/>
      </c>
      <c r="AC446">
        <f>IF(原始資料!AC446="","",IF(反向題設定!$C$32="是",反向題設定!$B$2+1-原始資料!AC446,原始資料!AC446))</f>
        <v/>
      </c>
      <c r="AD446">
        <f>IF(原始資料!AD446="","",IF(反向題設定!$C$33="是",反向題設定!$B$2+1-原始資料!AD446,原始資料!AD446))</f>
        <v/>
      </c>
      <c r="AE446">
        <f>IF(原始資料!AE446="","",IF(反向題設定!$C$34="是",反向題設定!$B$2+1-原始資料!AE446,原始資料!AE446))</f>
        <v/>
      </c>
      <c r="AF446">
        <f>IF(原始資料!AF446="","",IF(反向題設定!$C$35="是",反向題設定!$B$2+1-原始資料!AF446,原始資料!AF446))</f>
        <v/>
      </c>
      <c r="AG446">
        <f>IF(原始資料!AG446="","",IF(反向題設定!$C$36="是",反向題設定!$B$2+1-原始資料!AG446,原始資料!AG446))</f>
        <v/>
      </c>
      <c r="AH446">
        <f>IF(原始資料!AH446="","",IF(反向題設定!$C$37="是",反向題設定!$B$2+1-原始資料!AH446,原始資料!AH446))</f>
        <v/>
      </c>
      <c r="AI446">
        <f>IF(原始資料!AI446="","",IF(反向題設定!$C$38="是",反向題設定!$B$2+1-原始資料!AI446,原始資料!AI446))</f>
        <v/>
      </c>
      <c r="AJ446">
        <f>IF(原始資料!AJ446="","",IF(反向題設定!$C$39="是",反向題設定!$B$2+1-原始資料!AJ446,原始資料!AJ446))</f>
        <v/>
      </c>
      <c r="AK446">
        <f>IF(原始資料!AK446="","",IF(反向題設定!$C$40="是",反向題設定!$B$2+1-原始資料!AK446,原始資料!AK446))</f>
        <v/>
      </c>
      <c r="AL446">
        <f>IF(原始資料!AL446="","",IF(反向題設定!$C$41="是",反向題設定!$B$2+1-原始資料!AL446,原始資料!AL446))</f>
        <v/>
      </c>
      <c r="AM446">
        <f>IF(原始資料!AM446="","",IF(反向題設定!$C$42="是",反向題設定!$B$2+1-原始資料!AM446,原始資料!AM446))</f>
        <v/>
      </c>
      <c r="AN446">
        <f>IF(原始資料!AN446="","",IF(反向題設定!$C$43="是",反向題設定!$B$2+1-原始資料!AN446,原始資料!AN446))</f>
        <v/>
      </c>
      <c r="AO446">
        <f>IF(原始資料!AO446="","",IF(反向題設定!$C$44="是",反向題設定!$B$2+1-原始資料!AO446,原始資料!AO446))</f>
        <v/>
      </c>
      <c r="AP446">
        <f>IF(COUNT(B446:AO446)=0,"",SUM(B446:AO446))</f>
        <v/>
      </c>
      <c r="AQ446">
        <f>IF(AP446="","",IF(AP446&gt;=項目分析!$C$5,"高",IF(AP446&lt;=項目分析!$C$6,"低","")))</f>
        <v/>
      </c>
    </row>
    <row r="447">
      <c r="A447">
        <f>IF(原始資料!A447="","",原始資料!A447)</f>
        <v/>
      </c>
      <c r="B447">
        <f>IF(原始資料!B447="","",IF(反向題設定!$C$5="是",反向題設定!$B$2+1-原始資料!B447,原始資料!B447))</f>
        <v/>
      </c>
      <c r="C447">
        <f>IF(原始資料!C447="","",IF(反向題設定!$C$6="是",反向題設定!$B$2+1-原始資料!C447,原始資料!C447))</f>
        <v/>
      </c>
      <c r="D447">
        <f>IF(原始資料!D447="","",IF(反向題設定!$C$7="是",反向題設定!$B$2+1-原始資料!D447,原始資料!D447))</f>
        <v/>
      </c>
      <c r="E447">
        <f>IF(原始資料!E447="","",IF(反向題設定!$C$8="是",反向題設定!$B$2+1-原始資料!E447,原始資料!E447))</f>
        <v/>
      </c>
      <c r="F447">
        <f>IF(原始資料!F447="","",IF(反向題設定!$C$9="是",反向題設定!$B$2+1-原始資料!F447,原始資料!F447))</f>
        <v/>
      </c>
      <c r="G447">
        <f>IF(原始資料!G447="","",IF(反向題設定!$C$10="是",反向題設定!$B$2+1-原始資料!G447,原始資料!G447))</f>
        <v/>
      </c>
      <c r="H447">
        <f>IF(原始資料!H447="","",IF(反向題設定!$C$11="是",反向題設定!$B$2+1-原始資料!H447,原始資料!H447))</f>
        <v/>
      </c>
      <c r="I447">
        <f>IF(原始資料!I447="","",IF(反向題設定!$C$12="是",反向題設定!$B$2+1-原始資料!I447,原始資料!I447))</f>
        <v/>
      </c>
      <c r="J447">
        <f>IF(原始資料!J447="","",IF(反向題設定!$C$13="是",反向題設定!$B$2+1-原始資料!J447,原始資料!J447))</f>
        <v/>
      </c>
      <c r="K447">
        <f>IF(原始資料!K447="","",IF(反向題設定!$C$14="是",反向題設定!$B$2+1-原始資料!K447,原始資料!K447))</f>
        <v/>
      </c>
      <c r="L447">
        <f>IF(原始資料!L447="","",IF(反向題設定!$C$15="是",反向題設定!$B$2+1-原始資料!L447,原始資料!L447))</f>
        <v/>
      </c>
      <c r="M447">
        <f>IF(原始資料!M447="","",IF(反向題設定!$C$16="是",反向題設定!$B$2+1-原始資料!M447,原始資料!M447))</f>
        <v/>
      </c>
      <c r="N447">
        <f>IF(原始資料!N447="","",IF(反向題設定!$C$17="是",反向題設定!$B$2+1-原始資料!N447,原始資料!N447))</f>
        <v/>
      </c>
      <c r="O447">
        <f>IF(原始資料!O447="","",IF(反向題設定!$C$18="是",反向題設定!$B$2+1-原始資料!O447,原始資料!O447))</f>
        <v/>
      </c>
      <c r="P447">
        <f>IF(原始資料!P447="","",IF(反向題設定!$C$19="是",反向題設定!$B$2+1-原始資料!P447,原始資料!P447))</f>
        <v/>
      </c>
      <c r="Q447">
        <f>IF(原始資料!Q447="","",IF(反向題設定!$C$20="是",反向題設定!$B$2+1-原始資料!Q447,原始資料!Q447))</f>
        <v/>
      </c>
      <c r="R447">
        <f>IF(原始資料!R447="","",IF(反向題設定!$C$21="是",反向題設定!$B$2+1-原始資料!R447,原始資料!R447))</f>
        <v/>
      </c>
      <c r="S447">
        <f>IF(原始資料!S447="","",IF(反向題設定!$C$22="是",反向題設定!$B$2+1-原始資料!S447,原始資料!S447))</f>
        <v/>
      </c>
      <c r="T447">
        <f>IF(原始資料!T447="","",IF(反向題設定!$C$23="是",反向題設定!$B$2+1-原始資料!T447,原始資料!T447))</f>
        <v/>
      </c>
      <c r="U447">
        <f>IF(原始資料!U447="","",IF(反向題設定!$C$24="是",反向題設定!$B$2+1-原始資料!U447,原始資料!U447))</f>
        <v/>
      </c>
      <c r="V447">
        <f>IF(原始資料!V447="","",IF(反向題設定!$C$25="是",反向題設定!$B$2+1-原始資料!V447,原始資料!V447))</f>
        <v/>
      </c>
      <c r="W447">
        <f>IF(原始資料!W447="","",IF(反向題設定!$C$26="是",反向題設定!$B$2+1-原始資料!W447,原始資料!W447))</f>
        <v/>
      </c>
      <c r="X447">
        <f>IF(原始資料!X447="","",IF(反向題設定!$C$27="是",反向題設定!$B$2+1-原始資料!X447,原始資料!X447))</f>
        <v/>
      </c>
      <c r="Y447">
        <f>IF(原始資料!Y447="","",IF(反向題設定!$C$28="是",反向題設定!$B$2+1-原始資料!Y447,原始資料!Y447))</f>
        <v/>
      </c>
      <c r="Z447">
        <f>IF(原始資料!Z447="","",IF(反向題設定!$C$29="是",反向題設定!$B$2+1-原始資料!Z447,原始資料!Z447))</f>
        <v/>
      </c>
      <c r="AA447">
        <f>IF(原始資料!AA447="","",IF(反向題設定!$C$30="是",反向題設定!$B$2+1-原始資料!AA447,原始資料!AA447))</f>
        <v/>
      </c>
      <c r="AB447">
        <f>IF(原始資料!AB447="","",IF(反向題設定!$C$31="是",反向題設定!$B$2+1-原始資料!AB447,原始資料!AB447))</f>
        <v/>
      </c>
      <c r="AC447">
        <f>IF(原始資料!AC447="","",IF(反向題設定!$C$32="是",反向題設定!$B$2+1-原始資料!AC447,原始資料!AC447))</f>
        <v/>
      </c>
      <c r="AD447">
        <f>IF(原始資料!AD447="","",IF(反向題設定!$C$33="是",反向題設定!$B$2+1-原始資料!AD447,原始資料!AD447))</f>
        <v/>
      </c>
      <c r="AE447">
        <f>IF(原始資料!AE447="","",IF(反向題設定!$C$34="是",反向題設定!$B$2+1-原始資料!AE447,原始資料!AE447))</f>
        <v/>
      </c>
      <c r="AF447">
        <f>IF(原始資料!AF447="","",IF(反向題設定!$C$35="是",反向題設定!$B$2+1-原始資料!AF447,原始資料!AF447))</f>
        <v/>
      </c>
      <c r="AG447">
        <f>IF(原始資料!AG447="","",IF(反向題設定!$C$36="是",反向題設定!$B$2+1-原始資料!AG447,原始資料!AG447))</f>
        <v/>
      </c>
      <c r="AH447">
        <f>IF(原始資料!AH447="","",IF(反向題設定!$C$37="是",反向題設定!$B$2+1-原始資料!AH447,原始資料!AH447))</f>
        <v/>
      </c>
      <c r="AI447">
        <f>IF(原始資料!AI447="","",IF(反向題設定!$C$38="是",反向題設定!$B$2+1-原始資料!AI447,原始資料!AI447))</f>
        <v/>
      </c>
      <c r="AJ447">
        <f>IF(原始資料!AJ447="","",IF(反向題設定!$C$39="是",反向題設定!$B$2+1-原始資料!AJ447,原始資料!AJ447))</f>
        <v/>
      </c>
      <c r="AK447">
        <f>IF(原始資料!AK447="","",IF(反向題設定!$C$40="是",反向題設定!$B$2+1-原始資料!AK447,原始資料!AK447))</f>
        <v/>
      </c>
      <c r="AL447">
        <f>IF(原始資料!AL447="","",IF(反向題設定!$C$41="是",反向題設定!$B$2+1-原始資料!AL447,原始資料!AL447))</f>
        <v/>
      </c>
      <c r="AM447">
        <f>IF(原始資料!AM447="","",IF(反向題設定!$C$42="是",反向題設定!$B$2+1-原始資料!AM447,原始資料!AM447))</f>
        <v/>
      </c>
      <c r="AN447">
        <f>IF(原始資料!AN447="","",IF(反向題設定!$C$43="是",反向題設定!$B$2+1-原始資料!AN447,原始資料!AN447))</f>
        <v/>
      </c>
      <c r="AO447">
        <f>IF(原始資料!AO447="","",IF(反向題設定!$C$44="是",反向題設定!$B$2+1-原始資料!AO447,原始資料!AO447))</f>
        <v/>
      </c>
      <c r="AP447">
        <f>IF(COUNT(B447:AO447)=0,"",SUM(B447:AO447))</f>
        <v/>
      </c>
      <c r="AQ447">
        <f>IF(AP447="","",IF(AP447&gt;=項目分析!$C$5,"高",IF(AP447&lt;=項目分析!$C$6,"低","")))</f>
        <v/>
      </c>
    </row>
    <row r="448">
      <c r="A448">
        <f>IF(原始資料!A448="","",原始資料!A448)</f>
        <v/>
      </c>
      <c r="B448">
        <f>IF(原始資料!B448="","",IF(反向題設定!$C$5="是",反向題設定!$B$2+1-原始資料!B448,原始資料!B448))</f>
        <v/>
      </c>
      <c r="C448">
        <f>IF(原始資料!C448="","",IF(反向題設定!$C$6="是",反向題設定!$B$2+1-原始資料!C448,原始資料!C448))</f>
        <v/>
      </c>
      <c r="D448">
        <f>IF(原始資料!D448="","",IF(反向題設定!$C$7="是",反向題設定!$B$2+1-原始資料!D448,原始資料!D448))</f>
        <v/>
      </c>
      <c r="E448">
        <f>IF(原始資料!E448="","",IF(反向題設定!$C$8="是",反向題設定!$B$2+1-原始資料!E448,原始資料!E448))</f>
        <v/>
      </c>
      <c r="F448">
        <f>IF(原始資料!F448="","",IF(反向題設定!$C$9="是",反向題設定!$B$2+1-原始資料!F448,原始資料!F448))</f>
        <v/>
      </c>
      <c r="G448">
        <f>IF(原始資料!G448="","",IF(反向題設定!$C$10="是",反向題設定!$B$2+1-原始資料!G448,原始資料!G448))</f>
        <v/>
      </c>
      <c r="H448">
        <f>IF(原始資料!H448="","",IF(反向題設定!$C$11="是",反向題設定!$B$2+1-原始資料!H448,原始資料!H448))</f>
        <v/>
      </c>
      <c r="I448">
        <f>IF(原始資料!I448="","",IF(反向題設定!$C$12="是",反向題設定!$B$2+1-原始資料!I448,原始資料!I448))</f>
        <v/>
      </c>
      <c r="J448">
        <f>IF(原始資料!J448="","",IF(反向題設定!$C$13="是",反向題設定!$B$2+1-原始資料!J448,原始資料!J448))</f>
        <v/>
      </c>
      <c r="K448">
        <f>IF(原始資料!K448="","",IF(反向題設定!$C$14="是",反向題設定!$B$2+1-原始資料!K448,原始資料!K448))</f>
        <v/>
      </c>
      <c r="L448">
        <f>IF(原始資料!L448="","",IF(反向題設定!$C$15="是",反向題設定!$B$2+1-原始資料!L448,原始資料!L448))</f>
        <v/>
      </c>
      <c r="M448">
        <f>IF(原始資料!M448="","",IF(反向題設定!$C$16="是",反向題設定!$B$2+1-原始資料!M448,原始資料!M448))</f>
        <v/>
      </c>
      <c r="N448">
        <f>IF(原始資料!N448="","",IF(反向題設定!$C$17="是",反向題設定!$B$2+1-原始資料!N448,原始資料!N448))</f>
        <v/>
      </c>
      <c r="O448">
        <f>IF(原始資料!O448="","",IF(反向題設定!$C$18="是",反向題設定!$B$2+1-原始資料!O448,原始資料!O448))</f>
        <v/>
      </c>
      <c r="P448">
        <f>IF(原始資料!P448="","",IF(反向題設定!$C$19="是",反向題設定!$B$2+1-原始資料!P448,原始資料!P448))</f>
        <v/>
      </c>
      <c r="Q448">
        <f>IF(原始資料!Q448="","",IF(反向題設定!$C$20="是",反向題設定!$B$2+1-原始資料!Q448,原始資料!Q448))</f>
        <v/>
      </c>
      <c r="R448">
        <f>IF(原始資料!R448="","",IF(反向題設定!$C$21="是",反向題設定!$B$2+1-原始資料!R448,原始資料!R448))</f>
        <v/>
      </c>
      <c r="S448">
        <f>IF(原始資料!S448="","",IF(反向題設定!$C$22="是",反向題設定!$B$2+1-原始資料!S448,原始資料!S448))</f>
        <v/>
      </c>
      <c r="T448">
        <f>IF(原始資料!T448="","",IF(反向題設定!$C$23="是",反向題設定!$B$2+1-原始資料!T448,原始資料!T448))</f>
        <v/>
      </c>
      <c r="U448">
        <f>IF(原始資料!U448="","",IF(反向題設定!$C$24="是",反向題設定!$B$2+1-原始資料!U448,原始資料!U448))</f>
        <v/>
      </c>
      <c r="V448">
        <f>IF(原始資料!V448="","",IF(反向題設定!$C$25="是",反向題設定!$B$2+1-原始資料!V448,原始資料!V448))</f>
        <v/>
      </c>
      <c r="W448">
        <f>IF(原始資料!W448="","",IF(反向題設定!$C$26="是",反向題設定!$B$2+1-原始資料!W448,原始資料!W448))</f>
        <v/>
      </c>
      <c r="X448">
        <f>IF(原始資料!X448="","",IF(反向題設定!$C$27="是",反向題設定!$B$2+1-原始資料!X448,原始資料!X448))</f>
        <v/>
      </c>
      <c r="Y448">
        <f>IF(原始資料!Y448="","",IF(反向題設定!$C$28="是",反向題設定!$B$2+1-原始資料!Y448,原始資料!Y448))</f>
        <v/>
      </c>
      <c r="Z448">
        <f>IF(原始資料!Z448="","",IF(反向題設定!$C$29="是",反向題設定!$B$2+1-原始資料!Z448,原始資料!Z448))</f>
        <v/>
      </c>
      <c r="AA448">
        <f>IF(原始資料!AA448="","",IF(反向題設定!$C$30="是",反向題設定!$B$2+1-原始資料!AA448,原始資料!AA448))</f>
        <v/>
      </c>
      <c r="AB448">
        <f>IF(原始資料!AB448="","",IF(反向題設定!$C$31="是",反向題設定!$B$2+1-原始資料!AB448,原始資料!AB448))</f>
        <v/>
      </c>
      <c r="AC448">
        <f>IF(原始資料!AC448="","",IF(反向題設定!$C$32="是",反向題設定!$B$2+1-原始資料!AC448,原始資料!AC448))</f>
        <v/>
      </c>
      <c r="AD448">
        <f>IF(原始資料!AD448="","",IF(反向題設定!$C$33="是",反向題設定!$B$2+1-原始資料!AD448,原始資料!AD448))</f>
        <v/>
      </c>
      <c r="AE448">
        <f>IF(原始資料!AE448="","",IF(反向題設定!$C$34="是",反向題設定!$B$2+1-原始資料!AE448,原始資料!AE448))</f>
        <v/>
      </c>
      <c r="AF448">
        <f>IF(原始資料!AF448="","",IF(反向題設定!$C$35="是",反向題設定!$B$2+1-原始資料!AF448,原始資料!AF448))</f>
        <v/>
      </c>
      <c r="AG448">
        <f>IF(原始資料!AG448="","",IF(反向題設定!$C$36="是",反向題設定!$B$2+1-原始資料!AG448,原始資料!AG448))</f>
        <v/>
      </c>
      <c r="AH448">
        <f>IF(原始資料!AH448="","",IF(反向題設定!$C$37="是",反向題設定!$B$2+1-原始資料!AH448,原始資料!AH448))</f>
        <v/>
      </c>
      <c r="AI448">
        <f>IF(原始資料!AI448="","",IF(反向題設定!$C$38="是",反向題設定!$B$2+1-原始資料!AI448,原始資料!AI448))</f>
        <v/>
      </c>
      <c r="AJ448">
        <f>IF(原始資料!AJ448="","",IF(反向題設定!$C$39="是",反向題設定!$B$2+1-原始資料!AJ448,原始資料!AJ448))</f>
        <v/>
      </c>
      <c r="AK448">
        <f>IF(原始資料!AK448="","",IF(反向題設定!$C$40="是",反向題設定!$B$2+1-原始資料!AK448,原始資料!AK448))</f>
        <v/>
      </c>
      <c r="AL448">
        <f>IF(原始資料!AL448="","",IF(反向題設定!$C$41="是",反向題設定!$B$2+1-原始資料!AL448,原始資料!AL448))</f>
        <v/>
      </c>
      <c r="AM448">
        <f>IF(原始資料!AM448="","",IF(反向題設定!$C$42="是",反向題設定!$B$2+1-原始資料!AM448,原始資料!AM448))</f>
        <v/>
      </c>
      <c r="AN448">
        <f>IF(原始資料!AN448="","",IF(反向題設定!$C$43="是",反向題設定!$B$2+1-原始資料!AN448,原始資料!AN448))</f>
        <v/>
      </c>
      <c r="AO448">
        <f>IF(原始資料!AO448="","",IF(反向題設定!$C$44="是",反向題設定!$B$2+1-原始資料!AO448,原始資料!AO448))</f>
        <v/>
      </c>
      <c r="AP448">
        <f>IF(COUNT(B448:AO448)=0,"",SUM(B448:AO448))</f>
        <v/>
      </c>
      <c r="AQ448">
        <f>IF(AP448="","",IF(AP448&gt;=項目分析!$C$5,"高",IF(AP448&lt;=項目分析!$C$6,"低","")))</f>
        <v/>
      </c>
    </row>
    <row r="449">
      <c r="A449">
        <f>IF(原始資料!A449="","",原始資料!A449)</f>
        <v/>
      </c>
      <c r="B449">
        <f>IF(原始資料!B449="","",IF(反向題設定!$C$5="是",反向題設定!$B$2+1-原始資料!B449,原始資料!B449))</f>
        <v/>
      </c>
      <c r="C449">
        <f>IF(原始資料!C449="","",IF(反向題設定!$C$6="是",反向題設定!$B$2+1-原始資料!C449,原始資料!C449))</f>
        <v/>
      </c>
      <c r="D449">
        <f>IF(原始資料!D449="","",IF(反向題設定!$C$7="是",反向題設定!$B$2+1-原始資料!D449,原始資料!D449))</f>
        <v/>
      </c>
      <c r="E449">
        <f>IF(原始資料!E449="","",IF(反向題設定!$C$8="是",反向題設定!$B$2+1-原始資料!E449,原始資料!E449))</f>
        <v/>
      </c>
      <c r="F449">
        <f>IF(原始資料!F449="","",IF(反向題設定!$C$9="是",反向題設定!$B$2+1-原始資料!F449,原始資料!F449))</f>
        <v/>
      </c>
      <c r="G449">
        <f>IF(原始資料!G449="","",IF(反向題設定!$C$10="是",反向題設定!$B$2+1-原始資料!G449,原始資料!G449))</f>
        <v/>
      </c>
      <c r="H449">
        <f>IF(原始資料!H449="","",IF(反向題設定!$C$11="是",反向題設定!$B$2+1-原始資料!H449,原始資料!H449))</f>
        <v/>
      </c>
      <c r="I449">
        <f>IF(原始資料!I449="","",IF(反向題設定!$C$12="是",反向題設定!$B$2+1-原始資料!I449,原始資料!I449))</f>
        <v/>
      </c>
      <c r="J449">
        <f>IF(原始資料!J449="","",IF(反向題設定!$C$13="是",反向題設定!$B$2+1-原始資料!J449,原始資料!J449))</f>
        <v/>
      </c>
      <c r="K449">
        <f>IF(原始資料!K449="","",IF(反向題設定!$C$14="是",反向題設定!$B$2+1-原始資料!K449,原始資料!K449))</f>
        <v/>
      </c>
      <c r="L449">
        <f>IF(原始資料!L449="","",IF(反向題設定!$C$15="是",反向題設定!$B$2+1-原始資料!L449,原始資料!L449))</f>
        <v/>
      </c>
      <c r="M449">
        <f>IF(原始資料!M449="","",IF(反向題設定!$C$16="是",反向題設定!$B$2+1-原始資料!M449,原始資料!M449))</f>
        <v/>
      </c>
      <c r="N449">
        <f>IF(原始資料!N449="","",IF(反向題設定!$C$17="是",反向題設定!$B$2+1-原始資料!N449,原始資料!N449))</f>
        <v/>
      </c>
      <c r="O449">
        <f>IF(原始資料!O449="","",IF(反向題設定!$C$18="是",反向題設定!$B$2+1-原始資料!O449,原始資料!O449))</f>
        <v/>
      </c>
      <c r="P449">
        <f>IF(原始資料!P449="","",IF(反向題設定!$C$19="是",反向題設定!$B$2+1-原始資料!P449,原始資料!P449))</f>
        <v/>
      </c>
      <c r="Q449">
        <f>IF(原始資料!Q449="","",IF(反向題設定!$C$20="是",反向題設定!$B$2+1-原始資料!Q449,原始資料!Q449))</f>
        <v/>
      </c>
      <c r="R449">
        <f>IF(原始資料!R449="","",IF(反向題設定!$C$21="是",反向題設定!$B$2+1-原始資料!R449,原始資料!R449))</f>
        <v/>
      </c>
      <c r="S449">
        <f>IF(原始資料!S449="","",IF(反向題設定!$C$22="是",反向題設定!$B$2+1-原始資料!S449,原始資料!S449))</f>
        <v/>
      </c>
      <c r="T449">
        <f>IF(原始資料!T449="","",IF(反向題設定!$C$23="是",反向題設定!$B$2+1-原始資料!T449,原始資料!T449))</f>
        <v/>
      </c>
      <c r="U449">
        <f>IF(原始資料!U449="","",IF(反向題設定!$C$24="是",反向題設定!$B$2+1-原始資料!U449,原始資料!U449))</f>
        <v/>
      </c>
      <c r="V449">
        <f>IF(原始資料!V449="","",IF(反向題設定!$C$25="是",反向題設定!$B$2+1-原始資料!V449,原始資料!V449))</f>
        <v/>
      </c>
      <c r="W449">
        <f>IF(原始資料!W449="","",IF(反向題設定!$C$26="是",反向題設定!$B$2+1-原始資料!W449,原始資料!W449))</f>
        <v/>
      </c>
      <c r="X449">
        <f>IF(原始資料!X449="","",IF(反向題設定!$C$27="是",反向題設定!$B$2+1-原始資料!X449,原始資料!X449))</f>
        <v/>
      </c>
      <c r="Y449">
        <f>IF(原始資料!Y449="","",IF(反向題設定!$C$28="是",反向題設定!$B$2+1-原始資料!Y449,原始資料!Y449))</f>
        <v/>
      </c>
      <c r="Z449">
        <f>IF(原始資料!Z449="","",IF(反向題設定!$C$29="是",反向題設定!$B$2+1-原始資料!Z449,原始資料!Z449))</f>
        <v/>
      </c>
      <c r="AA449">
        <f>IF(原始資料!AA449="","",IF(反向題設定!$C$30="是",反向題設定!$B$2+1-原始資料!AA449,原始資料!AA449))</f>
        <v/>
      </c>
      <c r="AB449">
        <f>IF(原始資料!AB449="","",IF(反向題設定!$C$31="是",反向題設定!$B$2+1-原始資料!AB449,原始資料!AB449))</f>
        <v/>
      </c>
      <c r="AC449">
        <f>IF(原始資料!AC449="","",IF(反向題設定!$C$32="是",反向題設定!$B$2+1-原始資料!AC449,原始資料!AC449))</f>
        <v/>
      </c>
      <c r="AD449">
        <f>IF(原始資料!AD449="","",IF(反向題設定!$C$33="是",反向題設定!$B$2+1-原始資料!AD449,原始資料!AD449))</f>
        <v/>
      </c>
      <c r="AE449">
        <f>IF(原始資料!AE449="","",IF(反向題設定!$C$34="是",反向題設定!$B$2+1-原始資料!AE449,原始資料!AE449))</f>
        <v/>
      </c>
      <c r="AF449">
        <f>IF(原始資料!AF449="","",IF(反向題設定!$C$35="是",反向題設定!$B$2+1-原始資料!AF449,原始資料!AF449))</f>
        <v/>
      </c>
      <c r="AG449">
        <f>IF(原始資料!AG449="","",IF(反向題設定!$C$36="是",反向題設定!$B$2+1-原始資料!AG449,原始資料!AG449))</f>
        <v/>
      </c>
      <c r="AH449">
        <f>IF(原始資料!AH449="","",IF(反向題設定!$C$37="是",反向題設定!$B$2+1-原始資料!AH449,原始資料!AH449))</f>
        <v/>
      </c>
      <c r="AI449">
        <f>IF(原始資料!AI449="","",IF(反向題設定!$C$38="是",反向題設定!$B$2+1-原始資料!AI449,原始資料!AI449))</f>
        <v/>
      </c>
      <c r="AJ449">
        <f>IF(原始資料!AJ449="","",IF(反向題設定!$C$39="是",反向題設定!$B$2+1-原始資料!AJ449,原始資料!AJ449))</f>
        <v/>
      </c>
      <c r="AK449">
        <f>IF(原始資料!AK449="","",IF(反向題設定!$C$40="是",反向題設定!$B$2+1-原始資料!AK449,原始資料!AK449))</f>
        <v/>
      </c>
      <c r="AL449">
        <f>IF(原始資料!AL449="","",IF(反向題設定!$C$41="是",反向題設定!$B$2+1-原始資料!AL449,原始資料!AL449))</f>
        <v/>
      </c>
      <c r="AM449">
        <f>IF(原始資料!AM449="","",IF(反向題設定!$C$42="是",反向題設定!$B$2+1-原始資料!AM449,原始資料!AM449))</f>
        <v/>
      </c>
      <c r="AN449">
        <f>IF(原始資料!AN449="","",IF(反向題設定!$C$43="是",反向題設定!$B$2+1-原始資料!AN449,原始資料!AN449))</f>
        <v/>
      </c>
      <c r="AO449">
        <f>IF(原始資料!AO449="","",IF(反向題設定!$C$44="是",反向題設定!$B$2+1-原始資料!AO449,原始資料!AO449))</f>
        <v/>
      </c>
      <c r="AP449">
        <f>IF(COUNT(B449:AO449)=0,"",SUM(B449:AO449))</f>
        <v/>
      </c>
      <c r="AQ449">
        <f>IF(AP449="","",IF(AP449&gt;=項目分析!$C$5,"高",IF(AP449&lt;=項目分析!$C$6,"低","")))</f>
        <v/>
      </c>
    </row>
    <row r="450">
      <c r="A450">
        <f>IF(原始資料!A450="","",原始資料!A450)</f>
        <v/>
      </c>
      <c r="B450">
        <f>IF(原始資料!B450="","",IF(反向題設定!$C$5="是",反向題設定!$B$2+1-原始資料!B450,原始資料!B450))</f>
        <v/>
      </c>
      <c r="C450">
        <f>IF(原始資料!C450="","",IF(反向題設定!$C$6="是",反向題設定!$B$2+1-原始資料!C450,原始資料!C450))</f>
        <v/>
      </c>
      <c r="D450">
        <f>IF(原始資料!D450="","",IF(反向題設定!$C$7="是",反向題設定!$B$2+1-原始資料!D450,原始資料!D450))</f>
        <v/>
      </c>
      <c r="E450">
        <f>IF(原始資料!E450="","",IF(反向題設定!$C$8="是",反向題設定!$B$2+1-原始資料!E450,原始資料!E450))</f>
        <v/>
      </c>
      <c r="F450">
        <f>IF(原始資料!F450="","",IF(反向題設定!$C$9="是",反向題設定!$B$2+1-原始資料!F450,原始資料!F450))</f>
        <v/>
      </c>
      <c r="G450">
        <f>IF(原始資料!G450="","",IF(反向題設定!$C$10="是",反向題設定!$B$2+1-原始資料!G450,原始資料!G450))</f>
        <v/>
      </c>
      <c r="H450">
        <f>IF(原始資料!H450="","",IF(反向題設定!$C$11="是",反向題設定!$B$2+1-原始資料!H450,原始資料!H450))</f>
        <v/>
      </c>
      <c r="I450">
        <f>IF(原始資料!I450="","",IF(反向題設定!$C$12="是",反向題設定!$B$2+1-原始資料!I450,原始資料!I450))</f>
        <v/>
      </c>
      <c r="J450">
        <f>IF(原始資料!J450="","",IF(反向題設定!$C$13="是",反向題設定!$B$2+1-原始資料!J450,原始資料!J450))</f>
        <v/>
      </c>
      <c r="K450">
        <f>IF(原始資料!K450="","",IF(反向題設定!$C$14="是",反向題設定!$B$2+1-原始資料!K450,原始資料!K450))</f>
        <v/>
      </c>
      <c r="L450">
        <f>IF(原始資料!L450="","",IF(反向題設定!$C$15="是",反向題設定!$B$2+1-原始資料!L450,原始資料!L450))</f>
        <v/>
      </c>
      <c r="M450">
        <f>IF(原始資料!M450="","",IF(反向題設定!$C$16="是",反向題設定!$B$2+1-原始資料!M450,原始資料!M450))</f>
        <v/>
      </c>
      <c r="N450">
        <f>IF(原始資料!N450="","",IF(反向題設定!$C$17="是",反向題設定!$B$2+1-原始資料!N450,原始資料!N450))</f>
        <v/>
      </c>
      <c r="O450">
        <f>IF(原始資料!O450="","",IF(反向題設定!$C$18="是",反向題設定!$B$2+1-原始資料!O450,原始資料!O450))</f>
        <v/>
      </c>
      <c r="P450">
        <f>IF(原始資料!P450="","",IF(反向題設定!$C$19="是",反向題設定!$B$2+1-原始資料!P450,原始資料!P450))</f>
        <v/>
      </c>
      <c r="Q450">
        <f>IF(原始資料!Q450="","",IF(反向題設定!$C$20="是",反向題設定!$B$2+1-原始資料!Q450,原始資料!Q450))</f>
        <v/>
      </c>
      <c r="R450">
        <f>IF(原始資料!R450="","",IF(反向題設定!$C$21="是",反向題設定!$B$2+1-原始資料!R450,原始資料!R450))</f>
        <v/>
      </c>
      <c r="S450">
        <f>IF(原始資料!S450="","",IF(反向題設定!$C$22="是",反向題設定!$B$2+1-原始資料!S450,原始資料!S450))</f>
        <v/>
      </c>
      <c r="T450">
        <f>IF(原始資料!T450="","",IF(反向題設定!$C$23="是",反向題設定!$B$2+1-原始資料!T450,原始資料!T450))</f>
        <v/>
      </c>
      <c r="U450">
        <f>IF(原始資料!U450="","",IF(反向題設定!$C$24="是",反向題設定!$B$2+1-原始資料!U450,原始資料!U450))</f>
        <v/>
      </c>
      <c r="V450">
        <f>IF(原始資料!V450="","",IF(反向題設定!$C$25="是",反向題設定!$B$2+1-原始資料!V450,原始資料!V450))</f>
        <v/>
      </c>
      <c r="W450">
        <f>IF(原始資料!W450="","",IF(反向題設定!$C$26="是",反向題設定!$B$2+1-原始資料!W450,原始資料!W450))</f>
        <v/>
      </c>
      <c r="X450">
        <f>IF(原始資料!X450="","",IF(反向題設定!$C$27="是",反向題設定!$B$2+1-原始資料!X450,原始資料!X450))</f>
        <v/>
      </c>
      <c r="Y450">
        <f>IF(原始資料!Y450="","",IF(反向題設定!$C$28="是",反向題設定!$B$2+1-原始資料!Y450,原始資料!Y450))</f>
        <v/>
      </c>
      <c r="Z450">
        <f>IF(原始資料!Z450="","",IF(反向題設定!$C$29="是",反向題設定!$B$2+1-原始資料!Z450,原始資料!Z450))</f>
        <v/>
      </c>
      <c r="AA450">
        <f>IF(原始資料!AA450="","",IF(反向題設定!$C$30="是",反向題設定!$B$2+1-原始資料!AA450,原始資料!AA450))</f>
        <v/>
      </c>
      <c r="AB450">
        <f>IF(原始資料!AB450="","",IF(反向題設定!$C$31="是",反向題設定!$B$2+1-原始資料!AB450,原始資料!AB450))</f>
        <v/>
      </c>
      <c r="AC450">
        <f>IF(原始資料!AC450="","",IF(反向題設定!$C$32="是",反向題設定!$B$2+1-原始資料!AC450,原始資料!AC450))</f>
        <v/>
      </c>
      <c r="AD450">
        <f>IF(原始資料!AD450="","",IF(反向題設定!$C$33="是",反向題設定!$B$2+1-原始資料!AD450,原始資料!AD450))</f>
        <v/>
      </c>
      <c r="AE450">
        <f>IF(原始資料!AE450="","",IF(反向題設定!$C$34="是",反向題設定!$B$2+1-原始資料!AE450,原始資料!AE450))</f>
        <v/>
      </c>
      <c r="AF450">
        <f>IF(原始資料!AF450="","",IF(反向題設定!$C$35="是",反向題設定!$B$2+1-原始資料!AF450,原始資料!AF450))</f>
        <v/>
      </c>
      <c r="AG450">
        <f>IF(原始資料!AG450="","",IF(反向題設定!$C$36="是",反向題設定!$B$2+1-原始資料!AG450,原始資料!AG450))</f>
        <v/>
      </c>
      <c r="AH450">
        <f>IF(原始資料!AH450="","",IF(反向題設定!$C$37="是",反向題設定!$B$2+1-原始資料!AH450,原始資料!AH450))</f>
        <v/>
      </c>
      <c r="AI450">
        <f>IF(原始資料!AI450="","",IF(反向題設定!$C$38="是",反向題設定!$B$2+1-原始資料!AI450,原始資料!AI450))</f>
        <v/>
      </c>
      <c r="AJ450">
        <f>IF(原始資料!AJ450="","",IF(反向題設定!$C$39="是",反向題設定!$B$2+1-原始資料!AJ450,原始資料!AJ450))</f>
        <v/>
      </c>
      <c r="AK450">
        <f>IF(原始資料!AK450="","",IF(反向題設定!$C$40="是",反向題設定!$B$2+1-原始資料!AK450,原始資料!AK450))</f>
        <v/>
      </c>
      <c r="AL450">
        <f>IF(原始資料!AL450="","",IF(反向題設定!$C$41="是",反向題設定!$B$2+1-原始資料!AL450,原始資料!AL450))</f>
        <v/>
      </c>
      <c r="AM450">
        <f>IF(原始資料!AM450="","",IF(反向題設定!$C$42="是",反向題設定!$B$2+1-原始資料!AM450,原始資料!AM450))</f>
        <v/>
      </c>
      <c r="AN450">
        <f>IF(原始資料!AN450="","",IF(反向題設定!$C$43="是",反向題設定!$B$2+1-原始資料!AN450,原始資料!AN450))</f>
        <v/>
      </c>
      <c r="AO450">
        <f>IF(原始資料!AO450="","",IF(反向題設定!$C$44="是",反向題設定!$B$2+1-原始資料!AO450,原始資料!AO450))</f>
        <v/>
      </c>
      <c r="AP450">
        <f>IF(COUNT(B450:AO450)=0,"",SUM(B450:AO450))</f>
        <v/>
      </c>
      <c r="AQ450">
        <f>IF(AP450="","",IF(AP450&gt;=項目分析!$C$5,"高",IF(AP450&lt;=項目分析!$C$6,"低","")))</f>
        <v/>
      </c>
    </row>
    <row r="451">
      <c r="A451">
        <f>IF(原始資料!A451="","",原始資料!A451)</f>
        <v/>
      </c>
      <c r="B451">
        <f>IF(原始資料!B451="","",IF(反向題設定!$C$5="是",反向題設定!$B$2+1-原始資料!B451,原始資料!B451))</f>
        <v/>
      </c>
      <c r="C451">
        <f>IF(原始資料!C451="","",IF(反向題設定!$C$6="是",反向題設定!$B$2+1-原始資料!C451,原始資料!C451))</f>
        <v/>
      </c>
      <c r="D451">
        <f>IF(原始資料!D451="","",IF(反向題設定!$C$7="是",反向題設定!$B$2+1-原始資料!D451,原始資料!D451))</f>
        <v/>
      </c>
      <c r="E451">
        <f>IF(原始資料!E451="","",IF(反向題設定!$C$8="是",反向題設定!$B$2+1-原始資料!E451,原始資料!E451))</f>
        <v/>
      </c>
      <c r="F451">
        <f>IF(原始資料!F451="","",IF(反向題設定!$C$9="是",反向題設定!$B$2+1-原始資料!F451,原始資料!F451))</f>
        <v/>
      </c>
      <c r="G451">
        <f>IF(原始資料!G451="","",IF(反向題設定!$C$10="是",反向題設定!$B$2+1-原始資料!G451,原始資料!G451))</f>
        <v/>
      </c>
      <c r="H451">
        <f>IF(原始資料!H451="","",IF(反向題設定!$C$11="是",反向題設定!$B$2+1-原始資料!H451,原始資料!H451))</f>
        <v/>
      </c>
      <c r="I451">
        <f>IF(原始資料!I451="","",IF(反向題設定!$C$12="是",反向題設定!$B$2+1-原始資料!I451,原始資料!I451))</f>
        <v/>
      </c>
      <c r="J451">
        <f>IF(原始資料!J451="","",IF(反向題設定!$C$13="是",反向題設定!$B$2+1-原始資料!J451,原始資料!J451))</f>
        <v/>
      </c>
      <c r="K451">
        <f>IF(原始資料!K451="","",IF(反向題設定!$C$14="是",反向題設定!$B$2+1-原始資料!K451,原始資料!K451))</f>
        <v/>
      </c>
      <c r="L451">
        <f>IF(原始資料!L451="","",IF(反向題設定!$C$15="是",反向題設定!$B$2+1-原始資料!L451,原始資料!L451))</f>
        <v/>
      </c>
      <c r="M451">
        <f>IF(原始資料!M451="","",IF(反向題設定!$C$16="是",反向題設定!$B$2+1-原始資料!M451,原始資料!M451))</f>
        <v/>
      </c>
      <c r="N451">
        <f>IF(原始資料!N451="","",IF(反向題設定!$C$17="是",反向題設定!$B$2+1-原始資料!N451,原始資料!N451))</f>
        <v/>
      </c>
      <c r="O451">
        <f>IF(原始資料!O451="","",IF(反向題設定!$C$18="是",反向題設定!$B$2+1-原始資料!O451,原始資料!O451))</f>
        <v/>
      </c>
      <c r="P451">
        <f>IF(原始資料!P451="","",IF(反向題設定!$C$19="是",反向題設定!$B$2+1-原始資料!P451,原始資料!P451))</f>
        <v/>
      </c>
      <c r="Q451">
        <f>IF(原始資料!Q451="","",IF(反向題設定!$C$20="是",反向題設定!$B$2+1-原始資料!Q451,原始資料!Q451))</f>
        <v/>
      </c>
      <c r="R451">
        <f>IF(原始資料!R451="","",IF(反向題設定!$C$21="是",反向題設定!$B$2+1-原始資料!R451,原始資料!R451))</f>
        <v/>
      </c>
      <c r="S451">
        <f>IF(原始資料!S451="","",IF(反向題設定!$C$22="是",反向題設定!$B$2+1-原始資料!S451,原始資料!S451))</f>
        <v/>
      </c>
      <c r="T451">
        <f>IF(原始資料!T451="","",IF(反向題設定!$C$23="是",反向題設定!$B$2+1-原始資料!T451,原始資料!T451))</f>
        <v/>
      </c>
      <c r="U451">
        <f>IF(原始資料!U451="","",IF(反向題設定!$C$24="是",反向題設定!$B$2+1-原始資料!U451,原始資料!U451))</f>
        <v/>
      </c>
      <c r="V451">
        <f>IF(原始資料!V451="","",IF(反向題設定!$C$25="是",反向題設定!$B$2+1-原始資料!V451,原始資料!V451))</f>
        <v/>
      </c>
      <c r="W451">
        <f>IF(原始資料!W451="","",IF(反向題設定!$C$26="是",反向題設定!$B$2+1-原始資料!W451,原始資料!W451))</f>
        <v/>
      </c>
      <c r="X451">
        <f>IF(原始資料!X451="","",IF(反向題設定!$C$27="是",反向題設定!$B$2+1-原始資料!X451,原始資料!X451))</f>
        <v/>
      </c>
      <c r="Y451">
        <f>IF(原始資料!Y451="","",IF(反向題設定!$C$28="是",反向題設定!$B$2+1-原始資料!Y451,原始資料!Y451))</f>
        <v/>
      </c>
      <c r="Z451">
        <f>IF(原始資料!Z451="","",IF(反向題設定!$C$29="是",反向題設定!$B$2+1-原始資料!Z451,原始資料!Z451))</f>
        <v/>
      </c>
      <c r="AA451">
        <f>IF(原始資料!AA451="","",IF(反向題設定!$C$30="是",反向題設定!$B$2+1-原始資料!AA451,原始資料!AA451))</f>
        <v/>
      </c>
      <c r="AB451">
        <f>IF(原始資料!AB451="","",IF(反向題設定!$C$31="是",反向題設定!$B$2+1-原始資料!AB451,原始資料!AB451))</f>
        <v/>
      </c>
      <c r="AC451">
        <f>IF(原始資料!AC451="","",IF(反向題設定!$C$32="是",反向題設定!$B$2+1-原始資料!AC451,原始資料!AC451))</f>
        <v/>
      </c>
      <c r="AD451">
        <f>IF(原始資料!AD451="","",IF(反向題設定!$C$33="是",反向題設定!$B$2+1-原始資料!AD451,原始資料!AD451))</f>
        <v/>
      </c>
      <c r="AE451">
        <f>IF(原始資料!AE451="","",IF(反向題設定!$C$34="是",反向題設定!$B$2+1-原始資料!AE451,原始資料!AE451))</f>
        <v/>
      </c>
      <c r="AF451">
        <f>IF(原始資料!AF451="","",IF(反向題設定!$C$35="是",反向題設定!$B$2+1-原始資料!AF451,原始資料!AF451))</f>
        <v/>
      </c>
      <c r="AG451">
        <f>IF(原始資料!AG451="","",IF(反向題設定!$C$36="是",反向題設定!$B$2+1-原始資料!AG451,原始資料!AG451))</f>
        <v/>
      </c>
      <c r="AH451">
        <f>IF(原始資料!AH451="","",IF(反向題設定!$C$37="是",反向題設定!$B$2+1-原始資料!AH451,原始資料!AH451))</f>
        <v/>
      </c>
      <c r="AI451">
        <f>IF(原始資料!AI451="","",IF(反向題設定!$C$38="是",反向題設定!$B$2+1-原始資料!AI451,原始資料!AI451))</f>
        <v/>
      </c>
      <c r="AJ451">
        <f>IF(原始資料!AJ451="","",IF(反向題設定!$C$39="是",反向題設定!$B$2+1-原始資料!AJ451,原始資料!AJ451))</f>
        <v/>
      </c>
      <c r="AK451">
        <f>IF(原始資料!AK451="","",IF(反向題設定!$C$40="是",反向題設定!$B$2+1-原始資料!AK451,原始資料!AK451))</f>
        <v/>
      </c>
      <c r="AL451">
        <f>IF(原始資料!AL451="","",IF(反向題設定!$C$41="是",反向題設定!$B$2+1-原始資料!AL451,原始資料!AL451))</f>
        <v/>
      </c>
      <c r="AM451">
        <f>IF(原始資料!AM451="","",IF(反向題設定!$C$42="是",反向題設定!$B$2+1-原始資料!AM451,原始資料!AM451))</f>
        <v/>
      </c>
      <c r="AN451">
        <f>IF(原始資料!AN451="","",IF(反向題設定!$C$43="是",反向題設定!$B$2+1-原始資料!AN451,原始資料!AN451))</f>
        <v/>
      </c>
      <c r="AO451">
        <f>IF(原始資料!AO451="","",IF(反向題設定!$C$44="是",反向題設定!$B$2+1-原始資料!AO451,原始資料!AO451))</f>
        <v/>
      </c>
      <c r="AP451">
        <f>IF(COUNT(B451:AO451)=0,"",SUM(B451:AO451))</f>
        <v/>
      </c>
      <c r="AQ451">
        <f>IF(AP451="","",IF(AP451&gt;=項目分析!$C$5,"高",IF(AP451&lt;=項目分析!$C$6,"低","")))</f>
        <v/>
      </c>
    </row>
    <row r="452">
      <c r="A452">
        <f>IF(原始資料!A452="","",原始資料!A452)</f>
        <v/>
      </c>
      <c r="B452">
        <f>IF(原始資料!B452="","",IF(反向題設定!$C$5="是",反向題設定!$B$2+1-原始資料!B452,原始資料!B452))</f>
        <v/>
      </c>
      <c r="C452">
        <f>IF(原始資料!C452="","",IF(反向題設定!$C$6="是",反向題設定!$B$2+1-原始資料!C452,原始資料!C452))</f>
        <v/>
      </c>
      <c r="D452">
        <f>IF(原始資料!D452="","",IF(反向題設定!$C$7="是",反向題設定!$B$2+1-原始資料!D452,原始資料!D452))</f>
        <v/>
      </c>
      <c r="E452">
        <f>IF(原始資料!E452="","",IF(反向題設定!$C$8="是",反向題設定!$B$2+1-原始資料!E452,原始資料!E452))</f>
        <v/>
      </c>
      <c r="F452">
        <f>IF(原始資料!F452="","",IF(反向題設定!$C$9="是",反向題設定!$B$2+1-原始資料!F452,原始資料!F452))</f>
        <v/>
      </c>
      <c r="G452">
        <f>IF(原始資料!G452="","",IF(反向題設定!$C$10="是",反向題設定!$B$2+1-原始資料!G452,原始資料!G452))</f>
        <v/>
      </c>
      <c r="H452">
        <f>IF(原始資料!H452="","",IF(反向題設定!$C$11="是",反向題設定!$B$2+1-原始資料!H452,原始資料!H452))</f>
        <v/>
      </c>
      <c r="I452">
        <f>IF(原始資料!I452="","",IF(反向題設定!$C$12="是",反向題設定!$B$2+1-原始資料!I452,原始資料!I452))</f>
        <v/>
      </c>
      <c r="J452">
        <f>IF(原始資料!J452="","",IF(反向題設定!$C$13="是",反向題設定!$B$2+1-原始資料!J452,原始資料!J452))</f>
        <v/>
      </c>
      <c r="K452">
        <f>IF(原始資料!K452="","",IF(反向題設定!$C$14="是",反向題設定!$B$2+1-原始資料!K452,原始資料!K452))</f>
        <v/>
      </c>
      <c r="L452">
        <f>IF(原始資料!L452="","",IF(反向題設定!$C$15="是",反向題設定!$B$2+1-原始資料!L452,原始資料!L452))</f>
        <v/>
      </c>
      <c r="M452">
        <f>IF(原始資料!M452="","",IF(反向題設定!$C$16="是",反向題設定!$B$2+1-原始資料!M452,原始資料!M452))</f>
        <v/>
      </c>
      <c r="N452">
        <f>IF(原始資料!N452="","",IF(反向題設定!$C$17="是",反向題設定!$B$2+1-原始資料!N452,原始資料!N452))</f>
        <v/>
      </c>
      <c r="O452">
        <f>IF(原始資料!O452="","",IF(反向題設定!$C$18="是",反向題設定!$B$2+1-原始資料!O452,原始資料!O452))</f>
        <v/>
      </c>
      <c r="P452">
        <f>IF(原始資料!P452="","",IF(反向題設定!$C$19="是",反向題設定!$B$2+1-原始資料!P452,原始資料!P452))</f>
        <v/>
      </c>
      <c r="Q452">
        <f>IF(原始資料!Q452="","",IF(反向題設定!$C$20="是",反向題設定!$B$2+1-原始資料!Q452,原始資料!Q452))</f>
        <v/>
      </c>
      <c r="R452">
        <f>IF(原始資料!R452="","",IF(反向題設定!$C$21="是",反向題設定!$B$2+1-原始資料!R452,原始資料!R452))</f>
        <v/>
      </c>
      <c r="S452">
        <f>IF(原始資料!S452="","",IF(反向題設定!$C$22="是",反向題設定!$B$2+1-原始資料!S452,原始資料!S452))</f>
        <v/>
      </c>
      <c r="T452">
        <f>IF(原始資料!T452="","",IF(反向題設定!$C$23="是",反向題設定!$B$2+1-原始資料!T452,原始資料!T452))</f>
        <v/>
      </c>
      <c r="U452">
        <f>IF(原始資料!U452="","",IF(反向題設定!$C$24="是",反向題設定!$B$2+1-原始資料!U452,原始資料!U452))</f>
        <v/>
      </c>
      <c r="V452">
        <f>IF(原始資料!V452="","",IF(反向題設定!$C$25="是",反向題設定!$B$2+1-原始資料!V452,原始資料!V452))</f>
        <v/>
      </c>
      <c r="W452">
        <f>IF(原始資料!W452="","",IF(反向題設定!$C$26="是",反向題設定!$B$2+1-原始資料!W452,原始資料!W452))</f>
        <v/>
      </c>
      <c r="X452">
        <f>IF(原始資料!X452="","",IF(反向題設定!$C$27="是",反向題設定!$B$2+1-原始資料!X452,原始資料!X452))</f>
        <v/>
      </c>
      <c r="Y452">
        <f>IF(原始資料!Y452="","",IF(反向題設定!$C$28="是",反向題設定!$B$2+1-原始資料!Y452,原始資料!Y452))</f>
        <v/>
      </c>
      <c r="Z452">
        <f>IF(原始資料!Z452="","",IF(反向題設定!$C$29="是",反向題設定!$B$2+1-原始資料!Z452,原始資料!Z452))</f>
        <v/>
      </c>
      <c r="AA452">
        <f>IF(原始資料!AA452="","",IF(反向題設定!$C$30="是",反向題設定!$B$2+1-原始資料!AA452,原始資料!AA452))</f>
        <v/>
      </c>
      <c r="AB452">
        <f>IF(原始資料!AB452="","",IF(反向題設定!$C$31="是",反向題設定!$B$2+1-原始資料!AB452,原始資料!AB452))</f>
        <v/>
      </c>
      <c r="AC452">
        <f>IF(原始資料!AC452="","",IF(反向題設定!$C$32="是",反向題設定!$B$2+1-原始資料!AC452,原始資料!AC452))</f>
        <v/>
      </c>
      <c r="AD452">
        <f>IF(原始資料!AD452="","",IF(反向題設定!$C$33="是",反向題設定!$B$2+1-原始資料!AD452,原始資料!AD452))</f>
        <v/>
      </c>
      <c r="AE452">
        <f>IF(原始資料!AE452="","",IF(反向題設定!$C$34="是",反向題設定!$B$2+1-原始資料!AE452,原始資料!AE452))</f>
        <v/>
      </c>
      <c r="AF452">
        <f>IF(原始資料!AF452="","",IF(反向題設定!$C$35="是",反向題設定!$B$2+1-原始資料!AF452,原始資料!AF452))</f>
        <v/>
      </c>
      <c r="AG452">
        <f>IF(原始資料!AG452="","",IF(反向題設定!$C$36="是",反向題設定!$B$2+1-原始資料!AG452,原始資料!AG452))</f>
        <v/>
      </c>
      <c r="AH452">
        <f>IF(原始資料!AH452="","",IF(反向題設定!$C$37="是",反向題設定!$B$2+1-原始資料!AH452,原始資料!AH452))</f>
        <v/>
      </c>
      <c r="AI452">
        <f>IF(原始資料!AI452="","",IF(反向題設定!$C$38="是",反向題設定!$B$2+1-原始資料!AI452,原始資料!AI452))</f>
        <v/>
      </c>
      <c r="AJ452">
        <f>IF(原始資料!AJ452="","",IF(反向題設定!$C$39="是",反向題設定!$B$2+1-原始資料!AJ452,原始資料!AJ452))</f>
        <v/>
      </c>
      <c r="AK452">
        <f>IF(原始資料!AK452="","",IF(反向題設定!$C$40="是",反向題設定!$B$2+1-原始資料!AK452,原始資料!AK452))</f>
        <v/>
      </c>
      <c r="AL452">
        <f>IF(原始資料!AL452="","",IF(反向題設定!$C$41="是",反向題設定!$B$2+1-原始資料!AL452,原始資料!AL452))</f>
        <v/>
      </c>
      <c r="AM452">
        <f>IF(原始資料!AM452="","",IF(反向題設定!$C$42="是",反向題設定!$B$2+1-原始資料!AM452,原始資料!AM452))</f>
        <v/>
      </c>
      <c r="AN452">
        <f>IF(原始資料!AN452="","",IF(反向題設定!$C$43="是",反向題設定!$B$2+1-原始資料!AN452,原始資料!AN452))</f>
        <v/>
      </c>
      <c r="AO452">
        <f>IF(原始資料!AO452="","",IF(反向題設定!$C$44="是",反向題設定!$B$2+1-原始資料!AO452,原始資料!AO452))</f>
        <v/>
      </c>
      <c r="AP452">
        <f>IF(COUNT(B452:AO452)=0,"",SUM(B452:AO452))</f>
        <v/>
      </c>
      <c r="AQ452">
        <f>IF(AP452="","",IF(AP452&gt;=項目分析!$C$5,"高",IF(AP452&lt;=項目分析!$C$6,"低","")))</f>
        <v/>
      </c>
    </row>
    <row r="453">
      <c r="A453">
        <f>IF(原始資料!A453="","",原始資料!A453)</f>
        <v/>
      </c>
      <c r="B453">
        <f>IF(原始資料!B453="","",IF(反向題設定!$C$5="是",反向題設定!$B$2+1-原始資料!B453,原始資料!B453))</f>
        <v/>
      </c>
      <c r="C453">
        <f>IF(原始資料!C453="","",IF(反向題設定!$C$6="是",反向題設定!$B$2+1-原始資料!C453,原始資料!C453))</f>
        <v/>
      </c>
      <c r="D453">
        <f>IF(原始資料!D453="","",IF(反向題設定!$C$7="是",反向題設定!$B$2+1-原始資料!D453,原始資料!D453))</f>
        <v/>
      </c>
      <c r="E453">
        <f>IF(原始資料!E453="","",IF(反向題設定!$C$8="是",反向題設定!$B$2+1-原始資料!E453,原始資料!E453))</f>
        <v/>
      </c>
      <c r="F453">
        <f>IF(原始資料!F453="","",IF(反向題設定!$C$9="是",反向題設定!$B$2+1-原始資料!F453,原始資料!F453))</f>
        <v/>
      </c>
      <c r="G453">
        <f>IF(原始資料!G453="","",IF(反向題設定!$C$10="是",反向題設定!$B$2+1-原始資料!G453,原始資料!G453))</f>
        <v/>
      </c>
      <c r="H453">
        <f>IF(原始資料!H453="","",IF(反向題設定!$C$11="是",反向題設定!$B$2+1-原始資料!H453,原始資料!H453))</f>
        <v/>
      </c>
      <c r="I453">
        <f>IF(原始資料!I453="","",IF(反向題設定!$C$12="是",反向題設定!$B$2+1-原始資料!I453,原始資料!I453))</f>
        <v/>
      </c>
      <c r="J453">
        <f>IF(原始資料!J453="","",IF(反向題設定!$C$13="是",反向題設定!$B$2+1-原始資料!J453,原始資料!J453))</f>
        <v/>
      </c>
      <c r="K453">
        <f>IF(原始資料!K453="","",IF(反向題設定!$C$14="是",反向題設定!$B$2+1-原始資料!K453,原始資料!K453))</f>
        <v/>
      </c>
      <c r="L453">
        <f>IF(原始資料!L453="","",IF(反向題設定!$C$15="是",反向題設定!$B$2+1-原始資料!L453,原始資料!L453))</f>
        <v/>
      </c>
      <c r="M453">
        <f>IF(原始資料!M453="","",IF(反向題設定!$C$16="是",反向題設定!$B$2+1-原始資料!M453,原始資料!M453))</f>
        <v/>
      </c>
      <c r="N453">
        <f>IF(原始資料!N453="","",IF(反向題設定!$C$17="是",反向題設定!$B$2+1-原始資料!N453,原始資料!N453))</f>
        <v/>
      </c>
      <c r="O453">
        <f>IF(原始資料!O453="","",IF(反向題設定!$C$18="是",反向題設定!$B$2+1-原始資料!O453,原始資料!O453))</f>
        <v/>
      </c>
      <c r="P453">
        <f>IF(原始資料!P453="","",IF(反向題設定!$C$19="是",反向題設定!$B$2+1-原始資料!P453,原始資料!P453))</f>
        <v/>
      </c>
      <c r="Q453">
        <f>IF(原始資料!Q453="","",IF(反向題設定!$C$20="是",反向題設定!$B$2+1-原始資料!Q453,原始資料!Q453))</f>
        <v/>
      </c>
      <c r="R453">
        <f>IF(原始資料!R453="","",IF(反向題設定!$C$21="是",反向題設定!$B$2+1-原始資料!R453,原始資料!R453))</f>
        <v/>
      </c>
      <c r="S453">
        <f>IF(原始資料!S453="","",IF(反向題設定!$C$22="是",反向題設定!$B$2+1-原始資料!S453,原始資料!S453))</f>
        <v/>
      </c>
      <c r="T453">
        <f>IF(原始資料!T453="","",IF(反向題設定!$C$23="是",反向題設定!$B$2+1-原始資料!T453,原始資料!T453))</f>
        <v/>
      </c>
      <c r="U453">
        <f>IF(原始資料!U453="","",IF(反向題設定!$C$24="是",反向題設定!$B$2+1-原始資料!U453,原始資料!U453))</f>
        <v/>
      </c>
      <c r="V453">
        <f>IF(原始資料!V453="","",IF(反向題設定!$C$25="是",反向題設定!$B$2+1-原始資料!V453,原始資料!V453))</f>
        <v/>
      </c>
      <c r="W453">
        <f>IF(原始資料!W453="","",IF(反向題設定!$C$26="是",反向題設定!$B$2+1-原始資料!W453,原始資料!W453))</f>
        <v/>
      </c>
      <c r="X453">
        <f>IF(原始資料!X453="","",IF(反向題設定!$C$27="是",反向題設定!$B$2+1-原始資料!X453,原始資料!X453))</f>
        <v/>
      </c>
      <c r="Y453">
        <f>IF(原始資料!Y453="","",IF(反向題設定!$C$28="是",反向題設定!$B$2+1-原始資料!Y453,原始資料!Y453))</f>
        <v/>
      </c>
      <c r="Z453">
        <f>IF(原始資料!Z453="","",IF(反向題設定!$C$29="是",反向題設定!$B$2+1-原始資料!Z453,原始資料!Z453))</f>
        <v/>
      </c>
      <c r="AA453">
        <f>IF(原始資料!AA453="","",IF(反向題設定!$C$30="是",反向題設定!$B$2+1-原始資料!AA453,原始資料!AA453))</f>
        <v/>
      </c>
      <c r="AB453">
        <f>IF(原始資料!AB453="","",IF(反向題設定!$C$31="是",反向題設定!$B$2+1-原始資料!AB453,原始資料!AB453))</f>
        <v/>
      </c>
      <c r="AC453">
        <f>IF(原始資料!AC453="","",IF(反向題設定!$C$32="是",反向題設定!$B$2+1-原始資料!AC453,原始資料!AC453))</f>
        <v/>
      </c>
      <c r="AD453">
        <f>IF(原始資料!AD453="","",IF(反向題設定!$C$33="是",反向題設定!$B$2+1-原始資料!AD453,原始資料!AD453))</f>
        <v/>
      </c>
      <c r="AE453">
        <f>IF(原始資料!AE453="","",IF(反向題設定!$C$34="是",反向題設定!$B$2+1-原始資料!AE453,原始資料!AE453))</f>
        <v/>
      </c>
      <c r="AF453">
        <f>IF(原始資料!AF453="","",IF(反向題設定!$C$35="是",反向題設定!$B$2+1-原始資料!AF453,原始資料!AF453))</f>
        <v/>
      </c>
      <c r="AG453">
        <f>IF(原始資料!AG453="","",IF(反向題設定!$C$36="是",反向題設定!$B$2+1-原始資料!AG453,原始資料!AG453))</f>
        <v/>
      </c>
      <c r="AH453">
        <f>IF(原始資料!AH453="","",IF(反向題設定!$C$37="是",反向題設定!$B$2+1-原始資料!AH453,原始資料!AH453))</f>
        <v/>
      </c>
      <c r="AI453">
        <f>IF(原始資料!AI453="","",IF(反向題設定!$C$38="是",反向題設定!$B$2+1-原始資料!AI453,原始資料!AI453))</f>
        <v/>
      </c>
      <c r="AJ453">
        <f>IF(原始資料!AJ453="","",IF(反向題設定!$C$39="是",反向題設定!$B$2+1-原始資料!AJ453,原始資料!AJ453))</f>
        <v/>
      </c>
      <c r="AK453">
        <f>IF(原始資料!AK453="","",IF(反向題設定!$C$40="是",反向題設定!$B$2+1-原始資料!AK453,原始資料!AK453))</f>
        <v/>
      </c>
      <c r="AL453">
        <f>IF(原始資料!AL453="","",IF(反向題設定!$C$41="是",反向題設定!$B$2+1-原始資料!AL453,原始資料!AL453))</f>
        <v/>
      </c>
      <c r="AM453">
        <f>IF(原始資料!AM453="","",IF(反向題設定!$C$42="是",反向題設定!$B$2+1-原始資料!AM453,原始資料!AM453))</f>
        <v/>
      </c>
      <c r="AN453">
        <f>IF(原始資料!AN453="","",IF(反向題設定!$C$43="是",反向題設定!$B$2+1-原始資料!AN453,原始資料!AN453))</f>
        <v/>
      </c>
      <c r="AO453">
        <f>IF(原始資料!AO453="","",IF(反向題設定!$C$44="是",反向題設定!$B$2+1-原始資料!AO453,原始資料!AO453))</f>
        <v/>
      </c>
      <c r="AP453">
        <f>IF(COUNT(B453:AO453)=0,"",SUM(B453:AO453))</f>
        <v/>
      </c>
      <c r="AQ453">
        <f>IF(AP453="","",IF(AP453&gt;=項目分析!$C$5,"高",IF(AP453&lt;=項目分析!$C$6,"低","")))</f>
        <v/>
      </c>
    </row>
    <row r="454">
      <c r="A454">
        <f>IF(原始資料!A454="","",原始資料!A454)</f>
        <v/>
      </c>
      <c r="B454">
        <f>IF(原始資料!B454="","",IF(反向題設定!$C$5="是",反向題設定!$B$2+1-原始資料!B454,原始資料!B454))</f>
        <v/>
      </c>
      <c r="C454">
        <f>IF(原始資料!C454="","",IF(反向題設定!$C$6="是",反向題設定!$B$2+1-原始資料!C454,原始資料!C454))</f>
        <v/>
      </c>
      <c r="D454">
        <f>IF(原始資料!D454="","",IF(反向題設定!$C$7="是",反向題設定!$B$2+1-原始資料!D454,原始資料!D454))</f>
        <v/>
      </c>
      <c r="E454">
        <f>IF(原始資料!E454="","",IF(反向題設定!$C$8="是",反向題設定!$B$2+1-原始資料!E454,原始資料!E454))</f>
        <v/>
      </c>
      <c r="F454">
        <f>IF(原始資料!F454="","",IF(反向題設定!$C$9="是",反向題設定!$B$2+1-原始資料!F454,原始資料!F454))</f>
        <v/>
      </c>
      <c r="G454">
        <f>IF(原始資料!G454="","",IF(反向題設定!$C$10="是",反向題設定!$B$2+1-原始資料!G454,原始資料!G454))</f>
        <v/>
      </c>
      <c r="H454">
        <f>IF(原始資料!H454="","",IF(反向題設定!$C$11="是",反向題設定!$B$2+1-原始資料!H454,原始資料!H454))</f>
        <v/>
      </c>
      <c r="I454">
        <f>IF(原始資料!I454="","",IF(反向題設定!$C$12="是",反向題設定!$B$2+1-原始資料!I454,原始資料!I454))</f>
        <v/>
      </c>
      <c r="J454">
        <f>IF(原始資料!J454="","",IF(反向題設定!$C$13="是",反向題設定!$B$2+1-原始資料!J454,原始資料!J454))</f>
        <v/>
      </c>
      <c r="K454">
        <f>IF(原始資料!K454="","",IF(反向題設定!$C$14="是",反向題設定!$B$2+1-原始資料!K454,原始資料!K454))</f>
        <v/>
      </c>
      <c r="L454">
        <f>IF(原始資料!L454="","",IF(反向題設定!$C$15="是",反向題設定!$B$2+1-原始資料!L454,原始資料!L454))</f>
        <v/>
      </c>
      <c r="M454">
        <f>IF(原始資料!M454="","",IF(反向題設定!$C$16="是",反向題設定!$B$2+1-原始資料!M454,原始資料!M454))</f>
        <v/>
      </c>
      <c r="N454">
        <f>IF(原始資料!N454="","",IF(反向題設定!$C$17="是",反向題設定!$B$2+1-原始資料!N454,原始資料!N454))</f>
        <v/>
      </c>
      <c r="O454">
        <f>IF(原始資料!O454="","",IF(反向題設定!$C$18="是",反向題設定!$B$2+1-原始資料!O454,原始資料!O454))</f>
        <v/>
      </c>
      <c r="P454">
        <f>IF(原始資料!P454="","",IF(反向題設定!$C$19="是",反向題設定!$B$2+1-原始資料!P454,原始資料!P454))</f>
        <v/>
      </c>
      <c r="Q454">
        <f>IF(原始資料!Q454="","",IF(反向題設定!$C$20="是",反向題設定!$B$2+1-原始資料!Q454,原始資料!Q454))</f>
        <v/>
      </c>
      <c r="R454">
        <f>IF(原始資料!R454="","",IF(反向題設定!$C$21="是",反向題設定!$B$2+1-原始資料!R454,原始資料!R454))</f>
        <v/>
      </c>
      <c r="S454">
        <f>IF(原始資料!S454="","",IF(反向題設定!$C$22="是",反向題設定!$B$2+1-原始資料!S454,原始資料!S454))</f>
        <v/>
      </c>
      <c r="T454">
        <f>IF(原始資料!T454="","",IF(反向題設定!$C$23="是",反向題設定!$B$2+1-原始資料!T454,原始資料!T454))</f>
        <v/>
      </c>
      <c r="U454">
        <f>IF(原始資料!U454="","",IF(反向題設定!$C$24="是",反向題設定!$B$2+1-原始資料!U454,原始資料!U454))</f>
        <v/>
      </c>
      <c r="V454">
        <f>IF(原始資料!V454="","",IF(反向題設定!$C$25="是",反向題設定!$B$2+1-原始資料!V454,原始資料!V454))</f>
        <v/>
      </c>
      <c r="W454">
        <f>IF(原始資料!W454="","",IF(反向題設定!$C$26="是",反向題設定!$B$2+1-原始資料!W454,原始資料!W454))</f>
        <v/>
      </c>
      <c r="X454">
        <f>IF(原始資料!X454="","",IF(反向題設定!$C$27="是",反向題設定!$B$2+1-原始資料!X454,原始資料!X454))</f>
        <v/>
      </c>
      <c r="Y454">
        <f>IF(原始資料!Y454="","",IF(反向題設定!$C$28="是",反向題設定!$B$2+1-原始資料!Y454,原始資料!Y454))</f>
        <v/>
      </c>
      <c r="Z454">
        <f>IF(原始資料!Z454="","",IF(反向題設定!$C$29="是",反向題設定!$B$2+1-原始資料!Z454,原始資料!Z454))</f>
        <v/>
      </c>
      <c r="AA454">
        <f>IF(原始資料!AA454="","",IF(反向題設定!$C$30="是",反向題設定!$B$2+1-原始資料!AA454,原始資料!AA454))</f>
        <v/>
      </c>
      <c r="AB454">
        <f>IF(原始資料!AB454="","",IF(反向題設定!$C$31="是",反向題設定!$B$2+1-原始資料!AB454,原始資料!AB454))</f>
        <v/>
      </c>
      <c r="AC454">
        <f>IF(原始資料!AC454="","",IF(反向題設定!$C$32="是",反向題設定!$B$2+1-原始資料!AC454,原始資料!AC454))</f>
        <v/>
      </c>
      <c r="AD454">
        <f>IF(原始資料!AD454="","",IF(反向題設定!$C$33="是",反向題設定!$B$2+1-原始資料!AD454,原始資料!AD454))</f>
        <v/>
      </c>
      <c r="AE454">
        <f>IF(原始資料!AE454="","",IF(反向題設定!$C$34="是",反向題設定!$B$2+1-原始資料!AE454,原始資料!AE454))</f>
        <v/>
      </c>
      <c r="AF454">
        <f>IF(原始資料!AF454="","",IF(反向題設定!$C$35="是",反向題設定!$B$2+1-原始資料!AF454,原始資料!AF454))</f>
        <v/>
      </c>
      <c r="AG454">
        <f>IF(原始資料!AG454="","",IF(反向題設定!$C$36="是",反向題設定!$B$2+1-原始資料!AG454,原始資料!AG454))</f>
        <v/>
      </c>
      <c r="AH454">
        <f>IF(原始資料!AH454="","",IF(反向題設定!$C$37="是",反向題設定!$B$2+1-原始資料!AH454,原始資料!AH454))</f>
        <v/>
      </c>
      <c r="AI454">
        <f>IF(原始資料!AI454="","",IF(反向題設定!$C$38="是",反向題設定!$B$2+1-原始資料!AI454,原始資料!AI454))</f>
        <v/>
      </c>
      <c r="AJ454">
        <f>IF(原始資料!AJ454="","",IF(反向題設定!$C$39="是",反向題設定!$B$2+1-原始資料!AJ454,原始資料!AJ454))</f>
        <v/>
      </c>
      <c r="AK454">
        <f>IF(原始資料!AK454="","",IF(反向題設定!$C$40="是",反向題設定!$B$2+1-原始資料!AK454,原始資料!AK454))</f>
        <v/>
      </c>
      <c r="AL454">
        <f>IF(原始資料!AL454="","",IF(反向題設定!$C$41="是",反向題設定!$B$2+1-原始資料!AL454,原始資料!AL454))</f>
        <v/>
      </c>
      <c r="AM454">
        <f>IF(原始資料!AM454="","",IF(反向題設定!$C$42="是",反向題設定!$B$2+1-原始資料!AM454,原始資料!AM454))</f>
        <v/>
      </c>
      <c r="AN454">
        <f>IF(原始資料!AN454="","",IF(反向題設定!$C$43="是",反向題設定!$B$2+1-原始資料!AN454,原始資料!AN454))</f>
        <v/>
      </c>
      <c r="AO454">
        <f>IF(原始資料!AO454="","",IF(反向題設定!$C$44="是",反向題設定!$B$2+1-原始資料!AO454,原始資料!AO454))</f>
        <v/>
      </c>
      <c r="AP454">
        <f>IF(COUNT(B454:AO454)=0,"",SUM(B454:AO454))</f>
        <v/>
      </c>
      <c r="AQ454">
        <f>IF(AP454="","",IF(AP454&gt;=項目分析!$C$5,"高",IF(AP454&lt;=項目分析!$C$6,"低","")))</f>
        <v/>
      </c>
    </row>
    <row r="455">
      <c r="A455">
        <f>IF(原始資料!A455="","",原始資料!A455)</f>
        <v/>
      </c>
      <c r="B455">
        <f>IF(原始資料!B455="","",IF(反向題設定!$C$5="是",反向題設定!$B$2+1-原始資料!B455,原始資料!B455))</f>
        <v/>
      </c>
      <c r="C455">
        <f>IF(原始資料!C455="","",IF(反向題設定!$C$6="是",反向題設定!$B$2+1-原始資料!C455,原始資料!C455))</f>
        <v/>
      </c>
      <c r="D455">
        <f>IF(原始資料!D455="","",IF(反向題設定!$C$7="是",反向題設定!$B$2+1-原始資料!D455,原始資料!D455))</f>
        <v/>
      </c>
      <c r="E455">
        <f>IF(原始資料!E455="","",IF(反向題設定!$C$8="是",反向題設定!$B$2+1-原始資料!E455,原始資料!E455))</f>
        <v/>
      </c>
      <c r="F455">
        <f>IF(原始資料!F455="","",IF(反向題設定!$C$9="是",反向題設定!$B$2+1-原始資料!F455,原始資料!F455))</f>
        <v/>
      </c>
      <c r="G455">
        <f>IF(原始資料!G455="","",IF(反向題設定!$C$10="是",反向題設定!$B$2+1-原始資料!G455,原始資料!G455))</f>
        <v/>
      </c>
      <c r="H455">
        <f>IF(原始資料!H455="","",IF(反向題設定!$C$11="是",反向題設定!$B$2+1-原始資料!H455,原始資料!H455))</f>
        <v/>
      </c>
      <c r="I455">
        <f>IF(原始資料!I455="","",IF(反向題設定!$C$12="是",反向題設定!$B$2+1-原始資料!I455,原始資料!I455))</f>
        <v/>
      </c>
      <c r="J455">
        <f>IF(原始資料!J455="","",IF(反向題設定!$C$13="是",反向題設定!$B$2+1-原始資料!J455,原始資料!J455))</f>
        <v/>
      </c>
      <c r="K455">
        <f>IF(原始資料!K455="","",IF(反向題設定!$C$14="是",反向題設定!$B$2+1-原始資料!K455,原始資料!K455))</f>
        <v/>
      </c>
      <c r="L455">
        <f>IF(原始資料!L455="","",IF(反向題設定!$C$15="是",反向題設定!$B$2+1-原始資料!L455,原始資料!L455))</f>
        <v/>
      </c>
      <c r="M455">
        <f>IF(原始資料!M455="","",IF(反向題設定!$C$16="是",反向題設定!$B$2+1-原始資料!M455,原始資料!M455))</f>
        <v/>
      </c>
      <c r="N455">
        <f>IF(原始資料!N455="","",IF(反向題設定!$C$17="是",反向題設定!$B$2+1-原始資料!N455,原始資料!N455))</f>
        <v/>
      </c>
      <c r="O455">
        <f>IF(原始資料!O455="","",IF(反向題設定!$C$18="是",反向題設定!$B$2+1-原始資料!O455,原始資料!O455))</f>
        <v/>
      </c>
      <c r="P455">
        <f>IF(原始資料!P455="","",IF(反向題設定!$C$19="是",反向題設定!$B$2+1-原始資料!P455,原始資料!P455))</f>
        <v/>
      </c>
      <c r="Q455">
        <f>IF(原始資料!Q455="","",IF(反向題設定!$C$20="是",反向題設定!$B$2+1-原始資料!Q455,原始資料!Q455))</f>
        <v/>
      </c>
      <c r="R455">
        <f>IF(原始資料!R455="","",IF(反向題設定!$C$21="是",反向題設定!$B$2+1-原始資料!R455,原始資料!R455))</f>
        <v/>
      </c>
      <c r="S455">
        <f>IF(原始資料!S455="","",IF(反向題設定!$C$22="是",反向題設定!$B$2+1-原始資料!S455,原始資料!S455))</f>
        <v/>
      </c>
      <c r="T455">
        <f>IF(原始資料!T455="","",IF(反向題設定!$C$23="是",反向題設定!$B$2+1-原始資料!T455,原始資料!T455))</f>
        <v/>
      </c>
      <c r="U455">
        <f>IF(原始資料!U455="","",IF(反向題設定!$C$24="是",反向題設定!$B$2+1-原始資料!U455,原始資料!U455))</f>
        <v/>
      </c>
      <c r="V455">
        <f>IF(原始資料!V455="","",IF(反向題設定!$C$25="是",反向題設定!$B$2+1-原始資料!V455,原始資料!V455))</f>
        <v/>
      </c>
      <c r="W455">
        <f>IF(原始資料!W455="","",IF(反向題設定!$C$26="是",反向題設定!$B$2+1-原始資料!W455,原始資料!W455))</f>
        <v/>
      </c>
      <c r="X455">
        <f>IF(原始資料!X455="","",IF(反向題設定!$C$27="是",反向題設定!$B$2+1-原始資料!X455,原始資料!X455))</f>
        <v/>
      </c>
      <c r="Y455">
        <f>IF(原始資料!Y455="","",IF(反向題設定!$C$28="是",反向題設定!$B$2+1-原始資料!Y455,原始資料!Y455))</f>
        <v/>
      </c>
      <c r="Z455">
        <f>IF(原始資料!Z455="","",IF(反向題設定!$C$29="是",反向題設定!$B$2+1-原始資料!Z455,原始資料!Z455))</f>
        <v/>
      </c>
      <c r="AA455">
        <f>IF(原始資料!AA455="","",IF(反向題設定!$C$30="是",反向題設定!$B$2+1-原始資料!AA455,原始資料!AA455))</f>
        <v/>
      </c>
      <c r="AB455">
        <f>IF(原始資料!AB455="","",IF(反向題設定!$C$31="是",反向題設定!$B$2+1-原始資料!AB455,原始資料!AB455))</f>
        <v/>
      </c>
      <c r="AC455">
        <f>IF(原始資料!AC455="","",IF(反向題設定!$C$32="是",反向題設定!$B$2+1-原始資料!AC455,原始資料!AC455))</f>
        <v/>
      </c>
      <c r="AD455">
        <f>IF(原始資料!AD455="","",IF(反向題設定!$C$33="是",反向題設定!$B$2+1-原始資料!AD455,原始資料!AD455))</f>
        <v/>
      </c>
      <c r="AE455">
        <f>IF(原始資料!AE455="","",IF(反向題設定!$C$34="是",反向題設定!$B$2+1-原始資料!AE455,原始資料!AE455))</f>
        <v/>
      </c>
      <c r="AF455">
        <f>IF(原始資料!AF455="","",IF(反向題設定!$C$35="是",反向題設定!$B$2+1-原始資料!AF455,原始資料!AF455))</f>
        <v/>
      </c>
      <c r="AG455">
        <f>IF(原始資料!AG455="","",IF(反向題設定!$C$36="是",反向題設定!$B$2+1-原始資料!AG455,原始資料!AG455))</f>
        <v/>
      </c>
      <c r="AH455">
        <f>IF(原始資料!AH455="","",IF(反向題設定!$C$37="是",反向題設定!$B$2+1-原始資料!AH455,原始資料!AH455))</f>
        <v/>
      </c>
      <c r="AI455">
        <f>IF(原始資料!AI455="","",IF(反向題設定!$C$38="是",反向題設定!$B$2+1-原始資料!AI455,原始資料!AI455))</f>
        <v/>
      </c>
      <c r="AJ455">
        <f>IF(原始資料!AJ455="","",IF(反向題設定!$C$39="是",反向題設定!$B$2+1-原始資料!AJ455,原始資料!AJ455))</f>
        <v/>
      </c>
      <c r="AK455">
        <f>IF(原始資料!AK455="","",IF(反向題設定!$C$40="是",反向題設定!$B$2+1-原始資料!AK455,原始資料!AK455))</f>
        <v/>
      </c>
      <c r="AL455">
        <f>IF(原始資料!AL455="","",IF(反向題設定!$C$41="是",反向題設定!$B$2+1-原始資料!AL455,原始資料!AL455))</f>
        <v/>
      </c>
      <c r="AM455">
        <f>IF(原始資料!AM455="","",IF(反向題設定!$C$42="是",反向題設定!$B$2+1-原始資料!AM455,原始資料!AM455))</f>
        <v/>
      </c>
      <c r="AN455">
        <f>IF(原始資料!AN455="","",IF(反向題設定!$C$43="是",反向題設定!$B$2+1-原始資料!AN455,原始資料!AN455))</f>
        <v/>
      </c>
      <c r="AO455">
        <f>IF(原始資料!AO455="","",IF(反向題設定!$C$44="是",反向題設定!$B$2+1-原始資料!AO455,原始資料!AO455))</f>
        <v/>
      </c>
      <c r="AP455">
        <f>IF(COUNT(B455:AO455)=0,"",SUM(B455:AO455))</f>
        <v/>
      </c>
      <c r="AQ455">
        <f>IF(AP455="","",IF(AP455&gt;=項目分析!$C$5,"高",IF(AP455&lt;=項目分析!$C$6,"低","")))</f>
        <v/>
      </c>
    </row>
    <row r="456">
      <c r="A456">
        <f>IF(原始資料!A456="","",原始資料!A456)</f>
        <v/>
      </c>
      <c r="B456">
        <f>IF(原始資料!B456="","",IF(反向題設定!$C$5="是",反向題設定!$B$2+1-原始資料!B456,原始資料!B456))</f>
        <v/>
      </c>
      <c r="C456">
        <f>IF(原始資料!C456="","",IF(反向題設定!$C$6="是",反向題設定!$B$2+1-原始資料!C456,原始資料!C456))</f>
        <v/>
      </c>
      <c r="D456">
        <f>IF(原始資料!D456="","",IF(反向題設定!$C$7="是",反向題設定!$B$2+1-原始資料!D456,原始資料!D456))</f>
        <v/>
      </c>
      <c r="E456">
        <f>IF(原始資料!E456="","",IF(反向題設定!$C$8="是",反向題設定!$B$2+1-原始資料!E456,原始資料!E456))</f>
        <v/>
      </c>
      <c r="F456">
        <f>IF(原始資料!F456="","",IF(反向題設定!$C$9="是",反向題設定!$B$2+1-原始資料!F456,原始資料!F456))</f>
        <v/>
      </c>
      <c r="G456">
        <f>IF(原始資料!G456="","",IF(反向題設定!$C$10="是",反向題設定!$B$2+1-原始資料!G456,原始資料!G456))</f>
        <v/>
      </c>
      <c r="H456">
        <f>IF(原始資料!H456="","",IF(反向題設定!$C$11="是",反向題設定!$B$2+1-原始資料!H456,原始資料!H456))</f>
        <v/>
      </c>
      <c r="I456">
        <f>IF(原始資料!I456="","",IF(反向題設定!$C$12="是",反向題設定!$B$2+1-原始資料!I456,原始資料!I456))</f>
        <v/>
      </c>
      <c r="J456">
        <f>IF(原始資料!J456="","",IF(反向題設定!$C$13="是",反向題設定!$B$2+1-原始資料!J456,原始資料!J456))</f>
        <v/>
      </c>
      <c r="K456">
        <f>IF(原始資料!K456="","",IF(反向題設定!$C$14="是",反向題設定!$B$2+1-原始資料!K456,原始資料!K456))</f>
        <v/>
      </c>
      <c r="L456">
        <f>IF(原始資料!L456="","",IF(反向題設定!$C$15="是",反向題設定!$B$2+1-原始資料!L456,原始資料!L456))</f>
        <v/>
      </c>
      <c r="M456">
        <f>IF(原始資料!M456="","",IF(反向題設定!$C$16="是",反向題設定!$B$2+1-原始資料!M456,原始資料!M456))</f>
        <v/>
      </c>
      <c r="N456">
        <f>IF(原始資料!N456="","",IF(反向題設定!$C$17="是",反向題設定!$B$2+1-原始資料!N456,原始資料!N456))</f>
        <v/>
      </c>
      <c r="O456">
        <f>IF(原始資料!O456="","",IF(反向題設定!$C$18="是",反向題設定!$B$2+1-原始資料!O456,原始資料!O456))</f>
        <v/>
      </c>
      <c r="P456">
        <f>IF(原始資料!P456="","",IF(反向題設定!$C$19="是",反向題設定!$B$2+1-原始資料!P456,原始資料!P456))</f>
        <v/>
      </c>
      <c r="Q456">
        <f>IF(原始資料!Q456="","",IF(反向題設定!$C$20="是",反向題設定!$B$2+1-原始資料!Q456,原始資料!Q456))</f>
        <v/>
      </c>
      <c r="R456">
        <f>IF(原始資料!R456="","",IF(反向題設定!$C$21="是",反向題設定!$B$2+1-原始資料!R456,原始資料!R456))</f>
        <v/>
      </c>
      <c r="S456">
        <f>IF(原始資料!S456="","",IF(反向題設定!$C$22="是",反向題設定!$B$2+1-原始資料!S456,原始資料!S456))</f>
        <v/>
      </c>
      <c r="T456">
        <f>IF(原始資料!T456="","",IF(反向題設定!$C$23="是",反向題設定!$B$2+1-原始資料!T456,原始資料!T456))</f>
        <v/>
      </c>
      <c r="U456">
        <f>IF(原始資料!U456="","",IF(反向題設定!$C$24="是",反向題設定!$B$2+1-原始資料!U456,原始資料!U456))</f>
        <v/>
      </c>
      <c r="V456">
        <f>IF(原始資料!V456="","",IF(反向題設定!$C$25="是",反向題設定!$B$2+1-原始資料!V456,原始資料!V456))</f>
        <v/>
      </c>
      <c r="W456">
        <f>IF(原始資料!W456="","",IF(反向題設定!$C$26="是",反向題設定!$B$2+1-原始資料!W456,原始資料!W456))</f>
        <v/>
      </c>
      <c r="X456">
        <f>IF(原始資料!X456="","",IF(反向題設定!$C$27="是",反向題設定!$B$2+1-原始資料!X456,原始資料!X456))</f>
        <v/>
      </c>
      <c r="Y456">
        <f>IF(原始資料!Y456="","",IF(反向題設定!$C$28="是",反向題設定!$B$2+1-原始資料!Y456,原始資料!Y456))</f>
        <v/>
      </c>
      <c r="Z456">
        <f>IF(原始資料!Z456="","",IF(反向題設定!$C$29="是",反向題設定!$B$2+1-原始資料!Z456,原始資料!Z456))</f>
        <v/>
      </c>
      <c r="AA456">
        <f>IF(原始資料!AA456="","",IF(反向題設定!$C$30="是",反向題設定!$B$2+1-原始資料!AA456,原始資料!AA456))</f>
        <v/>
      </c>
      <c r="AB456">
        <f>IF(原始資料!AB456="","",IF(反向題設定!$C$31="是",反向題設定!$B$2+1-原始資料!AB456,原始資料!AB456))</f>
        <v/>
      </c>
      <c r="AC456">
        <f>IF(原始資料!AC456="","",IF(反向題設定!$C$32="是",反向題設定!$B$2+1-原始資料!AC456,原始資料!AC456))</f>
        <v/>
      </c>
      <c r="AD456">
        <f>IF(原始資料!AD456="","",IF(反向題設定!$C$33="是",反向題設定!$B$2+1-原始資料!AD456,原始資料!AD456))</f>
        <v/>
      </c>
      <c r="AE456">
        <f>IF(原始資料!AE456="","",IF(反向題設定!$C$34="是",反向題設定!$B$2+1-原始資料!AE456,原始資料!AE456))</f>
        <v/>
      </c>
      <c r="AF456">
        <f>IF(原始資料!AF456="","",IF(反向題設定!$C$35="是",反向題設定!$B$2+1-原始資料!AF456,原始資料!AF456))</f>
        <v/>
      </c>
      <c r="AG456">
        <f>IF(原始資料!AG456="","",IF(反向題設定!$C$36="是",反向題設定!$B$2+1-原始資料!AG456,原始資料!AG456))</f>
        <v/>
      </c>
      <c r="AH456">
        <f>IF(原始資料!AH456="","",IF(反向題設定!$C$37="是",反向題設定!$B$2+1-原始資料!AH456,原始資料!AH456))</f>
        <v/>
      </c>
      <c r="AI456">
        <f>IF(原始資料!AI456="","",IF(反向題設定!$C$38="是",反向題設定!$B$2+1-原始資料!AI456,原始資料!AI456))</f>
        <v/>
      </c>
      <c r="AJ456">
        <f>IF(原始資料!AJ456="","",IF(反向題設定!$C$39="是",反向題設定!$B$2+1-原始資料!AJ456,原始資料!AJ456))</f>
        <v/>
      </c>
      <c r="AK456">
        <f>IF(原始資料!AK456="","",IF(反向題設定!$C$40="是",反向題設定!$B$2+1-原始資料!AK456,原始資料!AK456))</f>
        <v/>
      </c>
      <c r="AL456">
        <f>IF(原始資料!AL456="","",IF(反向題設定!$C$41="是",反向題設定!$B$2+1-原始資料!AL456,原始資料!AL456))</f>
        <v/>
      </c>
      <c r="AM456">
        <f>IF(原始資料!AM456="","",IF(反向題設定!$C$42="是",反向題設定!$B$2+1-原始資料!AM456,原始資料!AM456))</f>
        <v/>
      </c>
      <c r="AN456">
        <f>IF(原始資料!AN456="","",IF(反向題設定!$C$43="是",反向題設定!$B$2+1-原始資料!AN456,原始資料!AN456))</f>
        <v/>
      </c>
      <c r="AO456">
        <f>IF(原始資料!AO456="","",IF(反向題設定!$C$44="是",反向題設定!$B$2+1-原始資料!AO456,原始資料!AO456))</f>
        <v/>
      </c>
      <c r="AP456">
        <f>IF(COUNT(B456:AO456)=0,"",SUM(B456:AO456))</f>
        <v/>
      </c>
      <c r="AQ456">
        <f>IF(AP456="","",IF(AP456&gt;=項目分析!$C$5,"高",IF(AP456&lt;=項目分析!$C$6,"低","")))</f>
        <v/>
      </c>
    </row>
    <row r="457">
      <c r="A457">
        <f>IF(原始資料!A457="","",原始資料!A457)</f>
        <v/>
      </c>
      <c r="B457">
        <f>IF(原始資料!B457="","",IF(反向題設定!$C$5="是",反向題設定!$B$2+1-原始資料!B457,原始資料!B457))</f>
        <v/>
      </c>
      <c r="C457">
        <f>IF(原始資料!C457="","",IF(反向題設定!$C$6="是",反向題設定!$B$2+1-原始資料!C457,原始資料!C457))</f>
        <v/>
      </c>
      <c r="D457">
        <f>IF(原始資料!D457="","",IF(反向題設定!$C$7="是",反向題設定!$B$2+1-原始資料!D457,原始資料!D457))</f>
        <v/>
      </c>
      <c r="E457">
        <f>IF(原始資料!E457="","",IF(反向題設定!$C$8="是",反向題設定!$B$2+1-原始資料!E457,原始資料!E457))</f>
        <v/>
      </c>
      <c r="F457">
        <f>IF(原始資料!F457="","",IF(反向題設定!$C$9="是",反向題設定!$B$2+1-原始資料!F457,原始資料!F457))</f>
        <v/>
      </c>
      <c r="G457">
        <f>IF(原始資料!G457="","",IF(反向題設定!$C$10="是",反向題設定!$B$2+1-原始資料!G457,原始資料!G457))</f>
        <v/>
      </c>
      <c r="H457">
        <f>IF(原始資料!H457="","",IF(反向題設定!$C$11="是",反向題設定!$B$2+1-原始資料!H457,原始資料!H457))</f>
        <v/>
      </c>
      <c r="I457">
        <f>IF(原始資料!I457="","",IF(反向題設定!$C$12="是",反向題設定!$B$2+1-原始資料!I457,原始資料!I457))</f>
        <v/>
      </c>
      <c r="J457">
        <f>IF(原始資料!J457="","",IF(反向題設定!$C$13="是",反向題設定!$B$2+1-原始資料!J457,原始資料!J457))</f>
        <v/>
      </c>
      <c r="K457">
        <f>IF(原始資料!K457="","",IF(反向題設定!$C$14="是",反向題設定!$B$2+1-原始資料!K457,原始資料!K457))</f>
        <v/>
      </c>
      <c r="L457">
        <f>IF(原始資料!L457="","",IF(反向題設定!$C$15="是",反向題設定!$B$2+1-原始資料!L457,原始資料!L457))</f>
        <v/>
      </c>
      <c r="M457">
        <f>IF(原始資料!M457="","",IF(反向題設定!$C$16="是",反向題設定!$B$2+1-原始資料!M457,原始資料!M457))</f>
        <v/>
      </c>
      <c r="N457">
        <f>IF(原始資料!N457="","",IF(反向題設定!$C$17="是",反向題設定!$B$2+1-原始資料!N457,原始資料!N457))</f>
        <v/>
      </c>
      <c r="O457">
        <f>IF(原始資料!O457="","",IF(反向題設定!$C$18="是",反向題設定!$B$2+1-原始資料!O457,原始資料!O457))</f>
        <v/>
      </c>
      <c r="P457">
        <f>IF(原始資料!P457="","",IF(反向題設定!$C$19="是",反向題設定!$B$2+1-原始資料!P457,原始資料!P457))</f>
        <v/>
      </c>
      <c r="Q457">
        <f>IF(原始資料!Q457="","",IF(反向題設定!$C$20="是",反向題設定!$B$2+1-原始資料!Q457,原始資料!Q457))</f>
        <v/>
      </c>
      <c r="R457">
        <f>IF(原始資料!R457="","",IF(反向題設定!$C$21="是",反向題設定!$B$2+1-原始資料!R457,原始資料!R457))</f>
        <v/>
      </c>
      <c r="S457">
        <f>IF(原始資料!S457="","",IF(反向題設定!$C$22="是",反向題設定!$B$2+1-原始資料!S457,原始資料!S457))</f>
        <v/>
      </c>
      <c r="T457">
        <f>IF(原始資料!T457="","",IF(反向題設定!$C$23="是",反向題設定!$B$2+1-原始資料!T457,原始資料!T457))</f>
        <v/>
      </c>
      <c r="U457">
        <f>IF(原始資料!U457="","",IF(反向題設定!$C$24="是",反向題設定!$B$2+1-原始資料!U457,原始資料!U457))</f>
        <v/>
      </c>
      <c r="V457">
        <f>IF(原始資料!V457="","",IF(反向題設定!$C$25="是",反向題設定!$B$2+1-原始資料!V457,原始資料!V457))</f>
        <v/>
      </c>
      <c r="W457">
        <f>IF(原始資料!W457="","",IF(反向題設定!$C$26="是",反向題設定!$B$2+1-原始資料!W457,原始資料!W457))</f>
        <v/>
      </c>
      <c r="X457">
        <f>IF(原始資料!X457="","",IF(反向題設定!$C$27="是",反向題設定!$B$2+1-原始資料!X457,原始資料!X457))</f>
        <v/>
      </c>
      <c r="Y457">
        <f>IF(原始資料!Y457="","",IF(反向題設定!$C$28="是",反向題設定!$B$2+1-原始資料!Y457,原始資料!Y457))</f>
        <v/>
      </c>
      <c r="Z457">
        <f>IF(原始資料!Z457="","",IF(反向題設定!$C$29="是",反向題設定!$B$2+1-原始資料!Z457,原始資料!Z457))</f>
        <v/>
      </c>
      <c r="AA457">
        <f>IF(原始資料!AA457="","",IF(反向題設定!$C$30="是",反向題設定!$B$2+1-原始資料!AA457,原始資料!AA457))</f>
        <v/>
      </c>
      <c r="AB457">
        <f>IF(原始資料!AB457="","",IF(反向題設定!$C$31="是",反向題設定!$B$2+1-原始資料!AB457,原始資料!AB457))</f>
        <v/>
      </c>
      <c r="AC457">
        <f>IF(原始資料!AC457="","",IF(反向題設定!$C$32="是",反向題設定!$B$2+1-原始資料!AC457,原始資料!AC457))</f>
        <v/>
      </c>
      <c r="AD457">
        <f>IF(原始資料!AD457="","",IF(反向題設定!$C$33="是",反向題設定!$B$2+1-原始資料!AD457,原始資料!AD457))</f>
        <v/>
      </c>
      <c r="AE457">
        <f>IF(原始資料!AE457="","",IF(反向題設定!$C$34="是",反向題設定!$B$2+1-原始資料!AE457,原始資料!AE457))</f>
        <v/>
      </c>
      <c r="AF457">
        <f>IF(原始資料!AF457="","",IF(反向題設定!$C$35="是",反向題設定!$B$2+1-原始資料!AF457,原始資料!AF457))</f>
        <v/>
      </c>
      <c r="AG457">
        <f>IF(原始資料!AG457="","",IF(反向題設定!$C$36="是",反向題設定!$B$2+1-原始資料!AG457,原始資料!AG457))</f>
        <v/>
      </c>
      <c r="AH457">
        <f>IF(原始資料!AH457="","",IF(反向題設定!$C$37="是",反向題設定!$B$2+1-原始資料!AH457,原始資料!AH457))</f>
        <v/>
      </c>
      <c r="AI457">
        <f>IF(原始資料!AI457="","",IF(反向題設定!$C$38="是",反向題設定!$B$2+1-原始資料!AI457,原始資料!AI457))</f>
        <v/>
      </c>
      <c r="AJ457">
        <f>IF(原始資料!AJ457="","",IF(反向題設定!$C$39="是",反向題設定!$B$2+1-原始資料!AJ457,原始資料!AJ457))</f>
        <v/>
      </c>
      <c r="AK457">
        <f>IF(原始資料!AK457="","",IF(反向題設定!$C$40="是",反向題設定!$B$2+1-原始資料!AK457,原始資料!AK457))</f>
        <v/>
      </c>
      <c r="AL457">
        <f>IF(原始資料!AL457="","",IF(反向題設定!$C$41="是",反向題設定!$B$2+1-原始資料!AL457,原始資料!AL457))</f>
        <v/>
      </c>
      <c r="AM457">
        <f>IF(原始資料!AM457="","",IF(反向題設定!$C$42="是",反向題設定!$B$2+1-原始資料!AM457,原始資料!AM457))</f>
        <v/>
      </c>
      <c r="AN457">
        <f>IF(原始資料!AN457="","",IF(反向題設定!$C$43="是",反向題設定!$B$2+1-原始資料!AN457,原始資料!AN457))</f>
        <v/>
      </c>
      <c r="AO457">
        <f>IF(原始資料!AO457="","",IF(反向題設定!$C$44="是",反向題設定!$B$2+1-原始資料!AO457,原始資料!AO457))</f>
        <v/>
      </c>
      <c r="AP457">
        <f>IF(COUNT(B457:AO457)=0,"",SUM(B457:AO457))</f>
        <v/>
      </c>
      <c r="AQ457">
        <f>IF(AP457="","",IF(AP457&gt;=項目分析!$C$5,"高",IF(AP457&lt;=項目分析!$C$6,"低","")))</f>
        <v/>
      </c>
    </row>
    <row r="458">
      <c r="A458">
        <f>IF(原始資料!A458="","",原始資料!A458)</f>
        <v/>
      </c>
      <c r="B458">
        <f>IF(原始資料!B458="","",IF(反向題設定!$C$5="是",反向題設定!$B$2+1-原始資料!B458,原始資料!B458))</f>
        <v/>
      </c>
      <c r="C458">
        <f>IF(原始資料!C458="","",IF(反向題設定!$C$6="是",反向題設定!$B$2+1-原始資料!C458,原始資料!C458))</f>
        <v/>
      </c>
      <c r="D458">
        <f>IF(原始資料!D458="","",IF(反向題設定!$C$7="是",反向題設定!$B$2+1-原始資料!D458,原始資料!D458))</f>
        <v/>
      </c>
      <c r="E458">
        <f>IF(原始資料!E458="","",IF(反向題設定!$C$8="是",反向題設定!$B$2+1-原始資料!E458,原始資料!E458))</f>
        <v/>
      </c>
      <c r="F458">
        <f>IF(原始資料!F458="","",IF(反向題設定!$C$9="是",反向題設定!$B$2+1-原始資料!F458,原始資料!F458))</f>
        <v/>
      </c>
      <c r="G458">
        <f>IF(原始資料!G458="","",IF(反向題設定!$C$10="是",反向題設定!$B$2+1-原始資料!G458,原始資料!G458))</f>
        <v/>
      </c>
      <c r="H458">
        <f>IF(原始資料!H458="","",IF(反向題設定!$C$11="是",反向題設定!$B$2+1-原始資料!H458,原始資料!H458))</f>
        <v/>
      </c>
      <c r="I458">
        <f>IF(原始資料!I458="","",IF(反向題設定!$C$12="是",反向題設定!$B$2+1-原始資料!I458,原始資料!I458))</f>
        <v/>
      </c>
      <c r="J458">
        <f>IF(原始資料!J458="","",IF(反向題設定!$C$13="是",反向題設定!$B$2+1-原始資料!J458,原始資料!J458))</f>
        <v/>
      </c>
      <c r="K458">
        <f>IF(原始資料!K458="","",IF(反向題設定!$C$14="是",反向題設定!$B$2+1-原始資料!K458,原始資料!K458))</f>
        <v/>
      </c>
      <c r="L458">
        <f>IF(原始資料!L458="","",IF(反向題設定!$C$15="是",反向題設定!$B$2+1-原始資料!L458,原始資料!L458))</f>
        <v/>
      </c>
      <c r="M458">
        <f>IF(原始資料!M458="","",IF(反向題設定!$C$16="是",反向題設定!$B$2+1-原始資料!M458,原始資料!M458))</f>
        <v/>
      </c>
      <c r="N458">
        <f>IF(原始資料!N458="","",IF(反向題設定!$C$17="是",反向題設定!$B$2+1-原始資料!N458,原始資料!N458))</f>
        <v/>
      </c>
      <c r="O458">
        <f>IF(原始資料!O458="","",IF(反向題設定!$C$18="是",反向題設定!$B$2+1-原始資料!O458,原始資料!O458))</f>
        <v/>
      </c>
      <c r="P458">
        <f>IF(原始資料!P458="","",IF(反向題設定!$C$19="是",反向題設定!$B$2+1-原始資料!P458,原始資料!P458))</f>
        <v/>
      </c>
      <c r="Q458">
        <f>IF(原始資料!Q458="","",IF(反向題設定!$C$20="是",反向題設定!$B$2+1-原始資料!Q458,原始資料!Q458))</f>
        <v/>
      </c>
      <c r="R458">
        <f>IF(原始資料!R458="","",IF(反向題設定!$C$21="是",反向題設定!$B$2+1-原始資料!R458,原始資料!R458))</f>
        <v/>
      </c>
      <c r="S458">
        <f>IF(原始資料!S458="","",IF(反向題設定!$C$22="是",反向題設定!$B$2+1-原始資料!S458,原始資料!S458))</f>
        <v/>
      </c>
      <c r="T458">
        <f>IF(原始資料!T458="","",IF(反向題設定!$C$23="是",反向題設定!$B$2+1-原始資料!T458,原始資料!T458))</f>
        <v/>
      </c>
      <c r="U458">
        <f>IF(原始資料!U458="","",IF(反向題設定!$C$24="是",反向題設定!$B$2+1-原始資料!U458,原始資料!U458))</f>
        <v/>
      </c>
      <c r="V458">
        <f>IF(原始資料!V458="","",IF(反向題設定!$C$25="是",反向題設定!$B$2+1-原始資料!V458,原始資料!V458))</f>
        <v/>
      </c>
      <c r="W458">
        <f>IF(原始資料!W458="","",IF(反向題設定!$C$26="是",反向題設定!$B$2+1-原始資料!W458,原始資料!W458))</f>
        <v/>
      </c>
      <c r="X458">
        <f>IF(原始資料!X458="","",IF(反向題設定!$C$27="是",反向題設定!$B$2+1-原始資料!X458,原始資料!X458))</f>
        <v/>
      </c>
      <c r="Y458">
        <f>IF(原始資料!Y458="","",IF(反向題設定!$C$28="是",反向題設定!$B$2+1-原始資料!Y458,原始資料!Y458))</f>
        <v/>
      </c>
      <c r="Z458">
        <f>IF(原始資料!Z458="","",IF(反向題設定!$C$29="是",反向題設定!$B$2+1-原始資料!Z458,原始資料!Z458))</f>
        <v/>
      </c>
      <c r="AA458">
        <f>IF(原始資料!AA458="","",IF(反向題設定!$C$30="是",反向題設定!$B$2+1-原始資料!AA458,原始資料!AA458))</f>
        <v/>
      </c>
      <c r="AB458">
        <f>IF(原始資料!AB458="","",IF(反向題設定!$C$31="是",反向題設定!$B$2+1-原始資料!AB458,原始資料!AB458))</f>
        <v/>
      </c>
      <c r="AC458">
        <f>IF(原始資料!AC458="","",IF(反向題設定!$C$32="是",反向題設定!$B$2+1-原始資料!AC458,原始資料!AC458))</f>
        <v/>
      </c>
      <c r="AD458">
        <f>IF(原始資料!AD458="","",IF(反向題設定!$C$33="是",反向題設定!$B$2+1-原始資料!AD458,原始資料!AD458))</f>
        <v/>
      </c>
      <c r="AE458">
        <f>IF(原始資料!AE458="","",IF(反向題設定!$C$34="是",反向題設定!$B$2+1-原始資料!AE458,原始資料!AE458))</f>
        <v/>
      </c>
      <c r="AF458">
        <f>IF(原始資料!AF458="","",IF(反向題設定!$C$35="是",反向題設定!$B$2+1-原始資料!AF458,原始資料!AF458))</f>
        <v/>
      </c>
      <c r="AG458">
        <f>IF(原始資料!AG458="","",IF(反向題設定!$C$36="是",反向題設定!$B$2+1-原始資料!AG458,原始資料!AG458))</f>
        <v/>
      </c>
      <c r="AH458">
        <f>IF(原始資料!AH458="","",IF(反向題設定!$C$37="是",反向題設定!$B$2+1-原始資料!AH458,原始資料!AH458))</f>
        <v/>
      </c>
      <c r="AI458">
        <f>IF(原始資料!AI458="","",IF(反向題設定!$C$38="是",反向題設定!$B$2+1-原始資料!AI458,原始資料!AI458))</f>
        <v/>
      </c>
      <c r="AJ458">
        <f>IF(原始資料!AJ458="","",IF(反向題設定!$C$39="是",反向題設定!$B$2+1-原始資料!AJ458,原始資料!AJ458))</f>
        <v/>
      </c>
      <c r="AK458">
        <f>IF(原始資料!AK458="","",IF(反向題設定!$C$40="是",反向題設定!$B$2+1-原始資料!AK458,原始資料!AK458))</f>
        <v/>
      </c>
      <c r="AL458">
        <f>IF(原始資料!AL458="","",IF(反向題設定!$C$41="是",反向題設定!$B$2+1-原始資料!AL458,原始資料!AL458))</f>
        <v/>
      </c>
      <c r="AM458">
        <f>IF(原始資料!AM458="","",IF(反向題設定!$C$42="是",反向題設定!$B$2+1-原始資料!AM458,原始資料!AM458))</f>
        <v/>
      </c>
      <c r="AN458">
        <f>IF(原始資料!AN458="","",IF(反向題設定!$C$43="是",反向題設定!$B$2+1-原始資料!AN458,原始資料!AN458))</f>
        <v/>
      </c>
      <c r="AO458">
        <f>IF(原始資料!AO458="","",IF(反向題設定!$C$44="是",反向題設定!$B$2+1-原始資料!AO458,原始資料!AO458))</f>
        <v/>
      </c>
      <c r="AP458">
        <f>IF(COUNT(B458:AO458)=0,"",SUM(B458:AO458))</f>
        <v/>
      </c>
      <c r="AQ458">
        <f>IF(AP458="","",IF(AP458&gt;=項目分析!$C$5,"高",IF(AP458&lt;=項目分析!$C$6,"低","")))</f>
        <v/>
      </c>
    </row>
    <row r="459">
      <c r="A459">
        <f>IF(原始資料!A459="","",原始資料!A459)</f>
        <v/>
      </c>
      <c r="B459">
        <f>IF(原始資料!B459="","",IF(反向題設定!$C$5="是",反向題設定!$B$2+1-原始資料!B459,原始資料!B459))</f>
        <v/>
      </c>
      <c r="C459">
        <f>IF(原始資料!C459="","",IF(反向題設定!$C$6="是",反向題設定!$B$2+1-原始資料!C459,原始資料!C459))</f>
        <v/>
      </c>
      <c r="D459">
        <f>IF(原始資料!D459="","",IF(反向題設定!$C$7="是",反向題設定!$B$2+1-原始資料!D459,原始資料!D459))</f>
        <v/>
      </c>
      <c r="E459">
        <f>IF(原始資料!E459="","",IF(反向題設定!$C$8="是",反向題設定!$B$2+1-原始資料!E459,原始資料!E459))</f>
        <v/>
      </c>
      <c r="F459">
        <f>IF(原始資料!F459="","",IF(反向題設定!$C$9="是",反向題設定!$B$2+1-原始資料!F459,原始資料!F459))</f>
        <v/>
      </c>
      <c r="G459">
        <f>IF(原始資料!G459="","",IF(反向題設定!$C$10="是",反向題設定!$B$2+1-原始資料!G459,原始資料!G459))</f>
        <v/>
      </c>
      <c r="H459">
        <f>IF(原始資料!H459="","",IF(反向題設定!$C$11="是",反向題設定!$B$2+1-原始資料!H459,原始資料!H459))</f>
        <v/>
      </c>
      <c r="I459">
        <f>IF(原始資料!I459="","",IF(反向題設定!$C$12="是",反向題設定!$B$2+1-原始資料!I459,原始資料!I459))</f>
        <v/>
      </c>
      <c r="J459">
        <f>IF(原始資料!J459="","",IF(反向題設定!$C$13="是",反向題設定!$B$2+1-原始資料!J459,原始資料!J459))</f>
        <v/>
      </c>
      <c r="K459">
        <f>IF(原始資料!K459="","",IF(反向題設定!$C$14="是",反向題設定!$B$2+1-原始資料!K459,原始資料!K459))</f>
        <v/>
      </c>
      <c r="L459">
        <f>IF(原始資料!L459="","",IF(反向題設定!$C$15="是",反向題設定!$B$2+1-原始資料!L459,原始資料!L459))</f>
        <v/>
      </c>
      <c r="M459">
        <f>IF(原始資料!M459="","",IF(反向題設定!$C$16="是",反向題設定!$B$2+1-原始資料!M459,原始資料!M459))</f>
        <v/>
      </c>
      <c r="N459">
        <f>IF(原始資料!N459="","",IF(反向題設定!$C$17="是",反向題設定!$B$2+1-原始資料!N459,原始資料!N459))</f>
        <v/>
      </c>
      <c r="O459">
        <f>IF(原始資料!O459="","",IF(反向題設定!$C$18="是",反向題設定!$B$2+1-原始資料!O459,原始資料!O459))</f>
        <v/>
      </c>
      <c r="P459">
        <f>IF(原始資料!P459="","",IF(反向題設定!$C$19="是",反向題設定!$B$2+1-原始資料!P459,原始資料!P459))</f>
        <v/>
      </c>
      <c r="Q459">
        <f>IF(原始資料!Q459="","",IF(反向題設定!$C$20="是",反向題設定!$B$2+1-原始資料!Q459,原始資料!Q459))</f>
        <v/>
      </c>
      <c r="R459">
        <f>IF(原始資料!R459="","",IF(反向題設定!$C$21="是",反向題設定!$B$2+1-原始資料!R459,原始資料!R459))</f>
        <v/>
      </c>
      <c r="S459">
        <f>IF(原始資料!S459="","",IF(反向題設定!$C$22="是",反向題設定!$B$2+1-原始資料!S459,原始資料!S459))</f>
        <v/>
      </c>
      <c r="T459">
        <f>IF(原始資料!T459="","",IF(反向題設定!$C$23="是",反向題設定!$B$2+1-原始資料!T459,原始資料!T459))</f>
        <v/>
      </c>
      <c r="U459">
        <f>IF(原始資料!U459="","",IF(反向題設定!$C$24="是",反向題設定!$B$2+1-原始資料!U459,原始資料!U459))</f>
        <v/>
      </c>
      <c r="V459">
        <f>IF(原始資料!V459="","",IF(反向題設定!$C$25="是",反向題設定!$B$2+1-原始資料!V459,原始資料!V459))</f>
        <v/>
      </c>
      <c r="W459">
        <f>IF(原始資料!W459="","",IF(反向題設定!$C$26="是",反向題設定!$B$2+1-原始資料!W459,原始資料!W459))</f>
        <v/>
      </c>
      <c r="X459">
        <f>IF(原始資料!X459="","",IF(反向題設定!$C$27="是",反向題設定!$B$2+1-原始資料!X459,原始資料!X459))</f>
        <v/>
      </c>
      <c r="Y459">
        <f>IF(原始資料!Y459="","",IF(反向題設定!$C$28="是",反向題設定!$B$2+1-原始資料!Y459,原始資料!Y459))</f>
        <v/>
      </c>
      <c r="Z459">
        <f>IF(原始資料!Z459="","",IF(反向題設定!$C$29="是",反向題設定!$B$2+1-原始資料!Z459,原始資料!Z459))</f>
        <v/>
      </c>
      <c r="AA459">
        <f>IF(原始資料!AA459="","",IF(反向題設定!$C$30="是",反向題設定!$B$2+1-原始資料!AA459,原始資料!AA459))</f>
        <v/>
      </c>
      <c r="AB459">
        <f>IF(原始資料!AB459="","",IF(反向題設定!$C$31="是",反向題設定!$B$2+1-原始資料!AB459,原始資料!AB459))</f>
        <v/>
      </c>
      <c r="AC459">
        <f>IF(原始資料!AC459="","",IF(反向題設定!$C$32="是",反向題設定!$B$2+1-原始資料!AC459,原始資料!AC459))</f>
        <v/>
      </c>
      <c r="AD459">
        <f>IF(原始資料!AD459="","",IF(反向題設定!$C$33="是",反向題設定!$B$2+1-原始資料!AD459,原始資料!AD459))</f>
        <v/>
      </c>
      <c r="AE459">
        <f>IF(原始資料!AE459="","",IF(反向題設定!$C$34="是",反向題設定!$B$2+1-原始資料!AE459,原始資料!AE459))</f>
        <v/>
      </c>
      <c r="AF459">
        <f>IF(原始資料!AF459="","",IF(反向題設定!$C$35="是",反向題設定!$B$2+1-原始資料!AF459,原始資料!AF459))</f>
        <v/>
      </c>
      <c r="AG459">
        <f>IF(原始資料!AG459="","",IF(反向題設定!$C$36="是",反向題設定!$B$2+1-原始資料!AG459,原始資料!AG459))</f>
        <v/>
      </c>
      <c r="AH459">
        <f>IF(原始資料!AH459="","",IF(反向題設定!$C$37="是",反向題設定!$B$2+1-原始資料!AH459,原始資料!AH459))</f>
        <v/>
      </c>
      <c r="AI459">
        <f>IF(原始資料!AI459="","",IF(反向題設定!$C$38="是",反向題設定!$B$2+1-原始資料!AI459,原始資料!AI459))</f>
        <v/>
      </c>
      <c r="AJ459">
        <f>IF(原始資料!AJ459="","",IF(反向題設定!$C$39="是",反向題設定!$B$2+1-原始資料!AJ459,原始資料!AJ459))</f>
        <v/>
      </c>
      <c r="AK459">
        <f>IF(原始資料!AK459="","",IF(反向題設定!$C$40="是",反向題設定!$B$2+1-原始資料!AK459,原始資料!AK459))</f>
        <v/>
      </c>
      <c r="AL459">
        <f>IF(原始資料!AL459="","",IF(反向題設定!$C$41="是",反向題設定!$B$2+1-原始資料!AL459,原始資料!AL459))</f>
        <v/>
      </c>
      <c r="AM459">
        <f>IF(原始資料!AM459="","",IF(反向題設定!$C$42="是",反向題設定!$B$2+1-原始資料!AM459,原始資料!AM459))</f>
        <v/>
      </c>
      <c r="AN459">
        <f>IF(原始資料!AN459="","",IF(反向題設定!$C$43="是",反向題設定!$B$2+1-原始資料!AN459,原始資料!AN459))</f>
        <v/>
      </c>
      <c r="AO459">
        <f>IF(原始資料!AO459="","",IF(反向題設定!$C$44="是",反向題設定!$B$2+1-原始資料!AO459,原始資料!AO459))</f>
        <v/>
      </c>
      <c r="AP459">
        <f>IF(COUNT(B459:AO459)=0,"",SUM(B459:AO459))</f>
        <v/>
      </c>
      <c r="AQ459">
        <f>IF(AP459="","",IF(AP459&gt;=項目分析!$C$5,"高",IF(AP459&lt;=項目分析!$C$6,"低","")))</f>
        <v/>
      </c>
    </row>
    <row r="460">
      <c r="A460">
        <f>IF(原始資料!A460="","",原始資料!A460)</f>
        <v/>
      </c>
      <c r="B460">
        <f>IF(原始資料!B460="","",IF(反向題設定!$C$5="是",反向題設定!$B$2+1-原始資料!B460,原始資料!B460))</f>
        <v/>
      </c>
      <c r="C460">
        <f>IF(原始資料!C460="","",IF(反向題設定!$C$6="是",反向題設定!$B$2+1-原始資料!C460,原始資料!C460))</f>
        <v/>
      </c>
      <c r="D460">
        <f>IF(原始資料!D460="","",IF(反向題設定!$C$7="是",反向題設定!$B$2+1-原始資料!D460,原始資料!D460))</f>
        <v/>
      </c>
      <c r="E460">
        <f>IF(原始資料!E460="","",IF(反向題設定!$C$8="是",反向題設定!$B$2+1-原始資料!E460,原始資料!E460))</f>
        <v/>
      </c>
      <c r="F460">
        <f>IF(原始資料!F460="","",IF(反向題設定!$C$9="是",反向題設定!$B$2+1-原始資料!F460,原始資料!F460))</f>
        <v/>
      </c>
      <c r="G460">
        <f>IF(原始資料!G460="","",IF(反向題設定!$C$10="是",反向題設定!$B$2+1-原始資料!G460,原始資料!G460))</f>
        <v/>
      </c>
      <c r="H460">
        <f>IF(原始資料!H460="","",IF(反向題設定!$C$11="是",反向題設定!$B$2+1-原始資料!H460,原始資料!H460))</f>
        <v/>
      </c>
      <c r="I460">
        <f>IF(原始資料!I460="","",IF(反向題設定!$C$12="是",反向題設定!$B$2+1-原始資料!I460,原始資料!I460))</f>
        <v/>
      </c>
      <c r="J460">
        <f>IF(原始資料!J460="","",IF(反向題設定!$C$13="是",反向題設定!$B$2+1-原始資料!J460,原始資料!J460))</f>
        <v/>
      </c>
      <c r="K460">
        <f>IF(原始資料!K460="","",IF(反向題設定!$C$14="是",反向題設定!$B$2+1-原始資料!K460,原始資料!K460))</f>
        <v/>
      </c>
      <c r="L460">
        <f>IF(原始資料!L460="","",IF(反向題設定!$C$15="是",反向題設定!$B$2+1-原始資料!L460,原始資料!L460))</f>
        <v/>
      </c>
      <c r="M460">
        <f>IF(原始資料!M460="","",IF(反向題設定!$C$16="是",反向題設定!$B$2+1-原始資料!M460,原始資料!M460))</f>
        <v/>
      </c>
      <c r="N460">
        <f>IF(原始資料!N460="","",IF(反向題設定!$C$17="是",反向題設定!$B$2+1-原始資料!N460,原始資料!N460))</f>
        <v/>
      </c>
      <c r="O460">
        <f>IF(原始資料!O460="","",IF(反向題設定!$C$18="是",反向題設定!$B$2+1-原始資料!O460,原始資料!O460))</f>
        <v/>
      </c>
      <c r="P460">
        <f>IF(原始資料!P460="","",IF(反向題設定!$C$19="是",反向題設定!$B$2+1-原始資料!P460,原始資料!P460))</f>
        <v/>
      </c>
      <c r="Q460">
        <f>IF(原始資料!Q460="","",IF(反向題設定!$C$20="是",反向題設定!$B$2+1-原始資料!Q460,原始資料!Q460))</f>
        <v/>
      </c>
      <c r="R460">
        <f>IF(原始資料!R460="","",IF(反向題設定!$C$21="是",反向題設定!$B$2+1-原始資料!R460,原始資料!R460))</f>
        <v/>
      </c>
      <c r="S460">
        <f>IF(原始資料!S460="","",IF(反向題設定!$C$22="是",反向題設定!$B$2+1-原始資料!S460,原始資料!S460))</f>
        <v/>
      </c>
      <c r="T460">
        <f>IF(原始資料!T460="","",IF(反向題設定!$C$23="是",反向題設定!$B$2+1-原始資料!T460,原始資料!T460))</f>
        <v/>
      </c>
      <c r="U460">
        <f>IF(原始資料!U460="","",IF(反向題設定!$C$24="是",反向題設定!$B$2+1-原始資料!U460,原始資料!U460))</f>
        <v/>
      </c>
      <c r="V460">
        <f>IF(原始資料!V460="","",IF(反向題設定!$C$25="是",反向題設定!$B$2+1-原始資料!V460,原始資料!V460))</f>
        <v/>
      </c>
      <c r="W460">
        <f>IF(原始資料!W460="","",IF(反向題設定!$C$26="是",反向題設定!$B$2+1-原始資料!W460,原始資料!W460))</f>
        <v/>
      </c>
      <c r="X460">
        <f>IF(原始資料!X460="","",IF(反向題設定!$C$27="是",反向題設定!$B$2+1-原始資料!X460,原始資料!X460))</f>
        <v/>
      </c>
      <c r="Y460">
        <f>IF(原始資料!Y460="","",IF(反向題設定!$C$28="是",反向題設定!$B$2+1-原始資料!Y460,原始資料!Y460))</f>
        <v/>
      </c>
      <c r="Z460">
        <f>IF(原始資料!Z460="","",IF(反向題設定!$C$29="是",反向題設定!$B$2+1-原始資料!Z460,原始資料!Z460))</f>
        <v/>
      </c>
      <c r="AA460">
        <f>IF(原始資料!AA460="","",IF(反向題設定!$C$30="是",反向題設定!$B$2+1-原始資料!AA460,原始資料!AA460))</f>
        <v/>
      </c>
      <c r="AB460">
        <f>IF(原始資料!AB460="","",IF(反向題設定!$C$31="是",反向題設定!$B$2+1-原始資料!AB460,原始資料!AB460))</f>
        <v/>
      </c>
      <c r="AC460">
        <f>IF(原始資料!AC460="","",IF(反向題設定!$C$32="是",反向題設定!$B$2+1-原始資料!AC460,原始資料!AC460))</f>
        <v/>
      </c>
      <c r="AD460">
        <f>IF(原始資料!AD460="","",IF(反向題設定!$C$33="是",反向題設定!$B$2+1-原始資料!AD460,原始資料!AD460))</f>
        <v/>
      </c>
      <c r="AE460">
        <f>IF(原始資料!AE460="","",IF(反向題設定!$C$34="是",反向題設定!$B$2+1-原始資料!AE460,原始資料!AE460))</f>
        <v/>
      </c>
      <c r="AF460">
        <f>IF(原始資料!AF460="","",IF(反向題設定!$C$35="是",反向題設定!$B$2+1-原始資料!AF460,原始資料!AF460))</f>
        <v/>
      </c>
      <c r="AG460">
        <f>IF(原始資料!AG460="","",IF(反向題設定!$C$36="是",反向題設定!$B$2+1-原始資料!AG460,原始資料!AG460))</f>
        <v/>
      </c>
      <c r="AH460">
        <f>IF(原始資料!AH460="","",IF(反向題設定!$C$37="是",反向題設定!$B$2+1-原始資料!AH460,原始資料!AH460))</f>
        <v/>
      </c>
      <c r="AI460">
        <f>IF(原始資料!AI460="","",IF(反向題設定!$C$38="是",反向題設定!$B$2+1-原始資料!AI460,原始資料!AI460))</f>
        <v/>
      </c>
      <c r="AJ460">
        <f>IF(原始資料!AJ460="","",IF(反向題設定!$C$39="是",反向題設定!$B$2+1-原始資料!AJ460,原始資料!AJ460))</f>
        <v/>
      </c>
      <c r="AK460">
        <f>IF(原始資料!AK460="","",IF(反向題設定!$C$40="是",反向題設定!$B$2+1-原始資料!AK460,原始資料!AK460))</f>
        <v/>
      </c>
      <c r="AL460">
        <f>IF(原始資料!AL460="","",IF(反向題設定!$C$41="是",反向題設定!$B$2+1-原始資料!AL460,原始資料!AL460))</f>
        <v/>
      </c>
      <c r="AM460">
        <f>IF(原始資料!AM460="","",IF(反向題設定!$C$42="是",反向題設定!$B$2+1-原始資料!AM460,原始資料!AM460))</f>
        <v/>
      </c>
      <c r="AN460">
        <f>IF(原始資料!AN460="","",IF(反向題設定!$C$43="是",反向題設定!$B$2+1-原始資料!AN460,原始資料!AN460))</f>
        <v/>
      </c>
      <c r="AO460">
        <f>IF(原始資料!AO460="","",IF(反向題設定!$C$44="是",反向題設定!$B$2+1-原始資料!AO460,原始資料!AO460))</f>
        <v/>
      </c>
      <c r="AP460">
        <f>IF(COUNT(B460:AO460)=0,"",SUM(B460:AO460))</f>
        <v/>
      </c>
      <c r="AQ460">
        <f>IF(AP460="","",IF(AP460&gt;=項目分析!$C$5,"高",IF(AP460&lt;=項目分析!$C$6,"低","")))</f>
        <v/>
      </c>
    </row>
    <row r="461">
      <c r="A461">
        <f>IF(原始資料!A461="","",原始資料!A461)</f>
        <v/>
      </c>
      <c r="B461">
        <f>IF(原始資料!B461="","",IF(反向題設定!$C$5="是",反向題設定!$B$2+1-原始資料!B461,原始資料!B461))</f>
        <v/>
      </c>
      <c r="C461">
        <f>IF(原始資料!C461="","",IF(反向題設定!$C$6="是",反向題設定!$B$2+1-原始資料!C461,原始資料!C461))</f>
        <v/>
      </c>
      <c r="D461">
        <f>IF(原始資料!D461="","",IF(反向題設定!$C$7="是",反向題設定!$B$2+1-原始資料!D461,原始資料!D461))</f>
        <v/>
      </c>
      <c r="E461">
        <f>IF(原始資料!E461="","",IF(反向題設定!$C$8="是",反向題設定!$B$2+1-原始資料!E461,原始資料!E461))</f>
        <v/>
      </c>
      <c r="F461">
        <f>IF(原始資料!F461="","",IF(反向題設定!$C$9="是",反向題設定!$B$2+1-原始資料!F461,原始資料!F461))</f>
        <v/>
      </c>
      <c r="G461">
        <f>IF(原始資料!G461="","",IF(反向題設定!$C$10="是",反向題設定!$B$2+1-原始資料!G461,原始資料!G461))</f>
        <v/>
      </c>
      <c r="H461">
        <f>IF(原始資料!H461="","",IF(反向題設定!$C$11="是",反向題設定!$B$2+1-原始資料!H461,原始資料!H461))</f>
        <v/>
      </c>
      <c r="I461">
        <f>IF(原始資料!I461="","",IF(反向題設定!$C$12="是",反向題設定!$B$2+1-原始資料!I461,原始資料!I461))</f>
        <v/>
      </c>
      <c r="J461">
        <f>IF(原始資料!J461="","",IF(反向題設定!$C$13="是",反向題設定!$B$2+1-原始資料!J461,原始資料!J461))</f>
        <v/>
      </c>
      <c r="K461">
        <f>IF(原始資料!K461="","",IF(反向題設定!$C$14="是",反向題設定!$B$2+1-原始資料!K461,原始資料!K461))</f>
        <v/>
      </c>
      <c r="L461">
        <f>IF(原始資料!L461="","",IF(反向題設定!$C$15="是",反向題設定!$B$2+1-原始資料!L461,原始資料!L461))</f>
        <v/>
      </c>
      <c r="M461">
        <f>IF(原始資料!M461="","",IF(反向題設定!$C$16="是",反向題設定!$B$2+1-原始資料!M461,原始資料!M461))</f>
        <v/>
      </c>
      <c r="N461">
        <f>IF(原始資料!N461="","",IF(反向題設定!$C$17="是",反向題設定!$B$2+1-原始資料!N461,原始資料!N461))</f>
        <v/>
      </c>
      <c r="O461">
        <f>IF(原始資料!O461="","",IF(反向題設定!$C$18="是",反向題設定!$B$2+1-原始資料!O461,原始資料!O461))</f>
        <v/>
      </c>
      <c r="P461">
        <f>IF(原始資料!P461="","",IF(反向題設定!$C$19="是",反向題設定!$B$2+1-原始資料!P461,原始資料!P461))</f>
        <v/>
      </c>
      <c r="Q461">
        <f>IF(原始資料!Q461="","",IF(反向題設定!$C$20="是",反向題設定!$B$2+1-原始資料!Q461,原始資料!Q461))</f>
        <v/>
      </c>
      <c r="R461">
        <f>IF(原始資料!R461="","",IF(反向題設定!$C$21="是",反向題設定!$B$2+1-原始資料!R461,原始資料!R461))</f>
        <v/>
      </c>
      <c r="S461">
        <f>IF(原始資料!S461="","",IF(反向題設定!$C$22="是",反向題設定!$B$2+1-原始資料!S461,原始資料!S461))</f>
        <v/>
      </c>
      <c r="T461">
        <f>IF(原始資料!T461="","",IF(反向題設定!$C$23="是",反向題設定!$B$2+1-原始資料!T461,原始資料!T461))</f>
        <v/>
      </c>
      <c r="U461">
        <f>IF(原始資料!U461="","",IF(反向題設定!$C$24="是",反向題設定!$B$2+1-原始資料!U461,原始資料!U461))</f>
        <v/>
      </c>
      <c r="V461">
        <f>IF(原始資料!V461="","",IF(反向題設定!$C$25="是",反向題設定!$B$2+1-原始資料!V461,原始資料!V461))</f>
        <v/>
      </c>
      <c r="W461">
        <f>IF(原始資料!W461="","",IF(反向題設定!$C$26="是",反向題設定!$B$2+1-原始資料!W461,原始資料!W461))</f>
        <v/>
      </c>
      <c r="X461">
        <f>IF(原始資料!X461="","",IF(反向題設定!$C$27="是",反向題設定!$B$2+1-原始資料!X461,原始資料!X461))</f>
        <v/>
      </c>
      <c r="Y461">
        <f>IF(原始資料!Y461="","",IF(反向題設定!$C$28="是",反向題設定!$B$2+1-原始資料!Y461,原始資料!Y461))</f>
        <v/>
      </c>
      <c r="Z461">
        <f>IF(原始資料!Z461="","",IF(反向題設定!$C$29="是",反向題設定!$B$2+1-原始資料!Z461,原始資料!Z461))</f>
        <v/>
      </c>
      <c r="AA461">
        <f>IF(原始資料!AA461="","",IF(反向題設定!$C$30="是",反向題設定!$B$2+1-原始資料!AA461,原始資料!AA461))</f>
        <v/>
      </c>
      <c r="AB461">
        <f>IF(原始資料!AB461="","",IF(反向題設定!$C$31="是",反向題設定!$B$2+1-原始資料!AB461,原始資料!AB461))</f>
        <v/>
      </c>
      <c r="AC461">
        <f>IF(原始資料!AC461="","",IF(反向題設定!$C$32="是",反向題設定!$B$2+1-原始資料!AC461,原始資料!AC461))</f>
        <v/>
      </c>
      <c r="AD461">
        <f>IF(原始資料!AD461="","",IF(反向題設定!$C$33="是",反向題設定!$B$2+1-原始資料!AD461,原始資料!AD461))</f>
        <v/>
      </c>
      <c r="AE461">
        <f>IF(原始資料!AE461="","",IF(反向題設定!$C$34="是",反向題設定!$B$2+1-原始資料!AE461,原始資料!AE461))</f>
        <v/>
      </c>
      <c r="AF461">
        <f>IF(原始資料!AF461="","",IF(反向題設定!$C$35="是",反向題設定!$B$2+1-原始資料!AF461,原始資料!AF461))</f>
        <v/>
      </c>
      <c r="AG461">
        <f>IF(原始資料!AG461="","",IF(反向題設定!$C$36="是",反向題設定!$B$2+1-原始資料!AG461,原始資料!AG461))</f>
        <v/>
      </c>
      <c r="AH461">
        <f>IF(原始資料!AH461="","",IF(反向題設定!$C$37="是",反向題設定!$B$2+1-原始資料!AH461,原始資料!AH461))</f>
        <v/>
      </c>
      <c r="AI461">
        <f>IF(原始資料!AI461="","",IF(反向題設定!$C$38="是",反向題設定!$B$2+1-原始資料!AI461,原始資料!AI461))</f>
        <v/>
      </c>
      <c r="AJ461">
        <f>IF(原始資料!AJ461="","",IF(反向題設定!$C$39="是",反向題設定!$B$2+1-原始資料!AJ461,原始資料!AJ461))</f>
        <v/>
      </c>
      <c r="AK461">
        <f>IF(原始資料!AK461="","",IF(反向題設定!$C$40="是",反向題設定!$B$2+1-原始資料!AK461,原始資料!AK461))</f>
        <v/>
      </c>
      <c r="AL461">
        <f>IF(原始資料!AL461="","",IF(反向題設定!$C$41="是",反向題設定!$B$2+1-原始資料!AL461,原始資料!AL461))</f>
        <v/>
      </c>
      <c r="AM461">
        <f>IF(原始資料!AM461="","",IF(反向題設定!$C$42="是",反向題設定!$B$2+1-原始資料!AM461,原始資料!AM461))</f>
        <v/>
      </c>
      <c r="AN461">
        <f>IF(原始資料!AN461="","",IF(反向題設定!$C$43="是",反向題設定!$B$2+1-原始資料!AN461,原始資料!AN461))</f>
        <v/>
      </c>
      <c r="AO461">
        <f>IF(原始資料!AO461="","",IF(反向題設定!$C$44="是",反向題設定!$B$2+1-原始資料!AO461,原始資料!AO461))</f>
        <v/>
      </c>
      <c r="AP461">
        <f>IF(COUNT(B461:AO461)=0,"",SUM(B461:AO461))</f>
        <v/>
      </c>
      <c r="AQ461">
        <f>IF(AP461="","",IF(AP461&gt;=項目分析!$C$5,"高",IF(AP461&lt;=項目分析!$C$6,"低","")))</f>
        <v/>
      </c>
    </row>
    <row r="462">
      <c r="A462">
        <f>IF(原始資料!A462="","",原始資料!A462)</f>
        <v/>
      </c>
      <c r="B462">
        <f>IF(原始資料!B462="","",IF(反向題設定!$C$5="是",反向題設定!$B$2+1-原始資料!B462,原始資料!B462))</f>
        <v/>
      </c>
      <c r="C462">
        <f>IF(原始資料!C462="","",IF(反向題設定!$C$6="是",反向題設定!$B$2+1-原始資料!C462,原始資料!C462))</f>
        <v/>
      </c>
      <c r="D462">
        <f>IF(原始資料!D462="","",IF(反向題設定!$C$7="是",反向題設定!$B$2+1-原始資料!D462,原始資料!D462))</f>
        <v/>
      </c>
      <c r="E462">
        <f>IF(原始資料!E462="","",IF(反向題設定!$C$8="是",反向題設定!$B$2+1-原始資料!E462,原始資料!E462))</f>
        <v/>
      </c>
      <c r="F462">
        <f>IF(原始資料!F462="","",IF(反向題設定!$C$9="是",反向題設定!$B$2+1-原始資料!F462,原始資料!F462))</f>
        <v/>
      </c>
      <c r="G462">
        <f>IF(原始資料!G462="","",IF(反向題設定!$C$10="是",反向題設定!$B$2+1-原始資料!G462,原始資料!G462))</f>
        <v/>
      </c>
      <c r="H462">
        <f>IF(原始資料!H462="","",IF(反向題設定!$C$11="是",反向題設定!$B$2+1-原始資料!H462,原始資料!H462))</f>
        <v/>
      </c>
      <c r="I462">
        <f>IF(原始資料!I462="","",IF(反向題設定!$C$12="是",反向題設定!$B$2+1-原始資料!I462,原始資料!I462))</f>
        <v/>
      </c>
      <c r="J462">
        <f>IF(原始資料!J462="","",IF(反向題設定!$C$13="是",反向題設定!$B$2+1-原始資料!J462,原始資料!J462))</f>
        <v/>
      </c>
      <c r="K462">
        <f>IF(原始資料!K462="","",IF(反向題設定!$C$14="是",反向題設定!$B$2+1-原始資料!K462,原始資料!K462))</f>
        <v/>
      </c>
      <c r="L462">
        <f>IF(原始資料!L462="","",IF(反向題設定!$C$15="是",反向題設定!$B$2+1-原始資料!L462,原始資料!L462))</f>
        <v/>
      </c>
      <c r="M462">
        <f>IF(原始資料!M462="","",IF(反向題設定!$C$16="是",反向題設定!$B$2+1-原始資料!M462,原始資料!M462))</f>
        <v/>
      </c>
      <c r="N462">
        <f>IF(原始資料!N462="","",IF(反向題設定!$C$17="是",反向題設定!$B$2+1-原始資料!N462,原始資料!N462))</f>
        <v/>
      </c>
      <c r="O462">
        <f>IF(原始資料!O462="","",IF(反向題設定!$C$18="是",反向題設定!$B$2+1-原始資料!O462,原始資料!O462))</f>
        <v/>
      </c>
      <c r="P462">
        <f>IF(原始資料!P462="","",IF(反向題設定!$C$19="是",反向題設定!$B$2+1-原始資料!P462,原始資料!P462))</f>
        <v/>
      </c>
      <c r="Q462">
        <f>IF(原始資料!Q462="","",IF(反向題設定!$C$20="是",反向題設定!$B$2+1-原始資料!Q462,原始資料!Q462))</f>
        <v/>
      </c>
      <c r="R462">
        <f>IF(原始資料!R462="","",IF(反向題設定!$C$21="是",反向題設定!$B$2+1-原始資料!R462,原始資料!R462))</f>
        <v/>
      </c>
      <c r="S462">
        <f>IF(原始資料!S462="","",IF(反向題設定!$C$22="是",反向題設定!$B$2+1-原始資料!S462,原始資料!S462))</f>
        <v/>
      </c>
      <c r="T462">
        <f>IF(原始資料!T462="","",IF(反向題設定!$C$23="是",反向題設定!$B$2+1-原始資料!T462,原始資料!T462))</f>
        <v/>
      </c>
      <c r="U462">
        <f>IF(原始資料!U462="","",IF(反向題設定!$C$24="是",反向題設定!$B$2+1-原始資料!U462,原始資料!U462))</f>
        <v/>
      </c>
      <c r="V462">
        <f>IF(原始資料!V462="","",IF(反向題設定!$C$25="是",反向題設定!$B$2+1-原始資料!V462,原始資料!V462))</f>
        <v/>
      </c>
      <c r="W462">
        <f>IF(原始資料!W462="","",IF(反向題設定!$C$26="是",反向題設定!$B$2+1-原始資料!W462,原始資料!W462))</f>
        <v/>
      </c>
      <c r="X462">
        <f>IF(原始資料!X462="","",IF(反向題設定!$C$27="是",反向題設定!$B$2+1-原始資料!X462,原始資料!X462))</f>
        <v/>
      </c>
      <c r="Y462">
        <f>IF(原始資料!Y462="","",IF(反向題設定!$C$28="是",反向題設定!$B$2+1-原始資料!Y462,原始資料!Y462))</f>
        <v/>
      </c>
      <c r="Z462">
        <f>IF(原始資料!Z462="","",IF(反向題設定!$C$29="是",反向題設定!$B$2+1-原始資料!Z462,原始資料!Z462))</f>
        <v/>
      </c>
      <c r="AA462">
        <f>IF(原始資料!AA462="","",IF(反向題設定!$C$30="是",反向題設定!$B$2+1-原始資料!AA462,原始資料!AA462))</f>
        <v/>
      </c>
      <c r="AB462">
        <f>IF(原始資料!AB462="","",IF(反向題設定!$C$31="是",反向題設定!$B$2+1-原始資料!AB462,原始資料!AB462))</f>
        <v/>
      </c>
      <c r="AC462">
        <f>IF(原始資料!AC462="","",IF(反向題設定!$C$32="是",反向題設定!$B$2+1-原始資料!AC462,原始資料!AC462))</f>
        <v/>
      </c>
      <c r="AD462">
        <f>IF(原始資料!AD462="","",IF(反向題設定!$C$33="是",反向題設定!$B$2+1-原始資料!AD462,原始資料!AD462))</f>
        <v/>
      </c>
      <c r="AE462">
        <f>IF(原始資料!AE462="","",IF(反向題設定!$C$34="是",反向題設定!$B$2+1-原始資料!AE462,原始資料!AE462))</f>
        <v/>
      </c>
      <c r="AF462">
        <f>IF(原始資料!AF462="","",IF(反向題設定!$C$35="是",反向題設定!$B$2+1-原始資料!AF462,原始資料!AF462))</f>
        <v/>
      </c>
      <c r="AG462">
        <f>IF(原始資料!AG462="","",IF(反向題設定!$C$36="是",反向題設定!$B$2+1-原始資料!AG462,原始資料!AG462))</f>
        <v/>
      </c>
      <c r="AH462">
        <f>IF(原始資料!AH462="","",IF(反向題設定!$C$37="是",反向題設定!$B$2+1-原始資料!AH462,原始資料!AH462))</f>
        <v/>
      </c>
      <c r="AI462">
        <f>IF(原始資料!AI462="","",IF(反向題設定!$C$38="是",反向題設定!$B$2+1-原始資料!AI462,原始資料!AI462))</f>
        <v/>
      </c>
      <c r="AJ462">
        <f>IF(原始資料!AJ462="","",IF(反向題設定!$C$39="是",反向題設定!$B$2+1-原始資料!AJ462,原始資料!AJ462))</f>
        <v/>
      </c>
      <c r="AK462">
        <f>IF(原始資料!AK462="","",IF(反向題設定!$C$40="是",反向題設定!$B$2+1-原始資料!AK462,原始資料!AK462))</f>
        <v/>
      </c>
      <c r="AL462">
        <f>IF(原始資料!AL462="","",IF(反向題設定!$C$41="是",反向題設定!$B$2+1-原始資料!AL462,原始資料!AL462))</f>
        <v/>
      </c>
      <c r="AM462">
        <f>IF(原始資料!AM462="","",IF(反向題設定!$C$42="是",反向題設定!$B$2+1-原始資料!AM462,原始資料!AM462))</f>
        <v/>
      </c>
      <c r="AN462">
        <f>IF(原始資料!AN462="","",IF(反向題設定!$C$43="是",反向題設定!$B$2+1-原始資料!AN462,原始資料!AN462))</f>
        <v/>
      </c>
      <c r="AO462">
        <f>IF(原始資料!AO462="","",IF(反向題設定!$C$44="是",反向題設定!$B$2+1-原始資料!AO462,原始資料!AO462))</f>
        <v/>
      </c>
      <c r="AP462">
        <f>IF(COUNT(B462:AO462)=0,"",SUM(B462:AO462))</f>
        <v/>
      </c>
      <c r="AQ462">
        <f>IF(AP462="","",IF(AP462&gt;=項目分析!$C$5,"高",IF(AP462&lt;=項目分析!$C$6,"低","")))</f>
        <v/>
      </c>
    </row>
    <row r="463">
      <c r="A463">
        <f>IF(原始資料!A463="","",原始資料!A463)</f>
        <v/>
      </c>
      <c r="B463">
        <f>IF(原始資料!B463="","",IF(反向題設定!$C$5="是",反向題設定!$B$2+1-原始資料!B463,原始資料!B463))</f>
        <v/>
      </c>
      <c r="C463">
        <f>IF(原始資料!C463="","",IF(反向題設定!$C$6="是",反向題設定!$B$2+1-原始資料!C463,原始資料!C463))</f>
        <v/>
      </c>
      <c r="D463">
        <f>IF(原始資料!D463="","",IF(反向題設定!$C$7="是",反向題設定!$B$2+1-原始資料!D463,原始資料!D463))</f>
        <v/>
      </c>
      <c r="E463">
        <f>IF(原始資料!E463="","",IF(反向題設定!$C$8="是",反向題設定!$B$2+1-原始資料!E463,原始資料!E463))</f>
        <v/>
      </c>
      <c r="F463">
        <f>IF(原始資料!F463="","",IF(反向題設定!$C$9="是",反向題設定!$B$2+1-原始資料!F463,原始資料!F463))</f>
        <v/>
      </c>
      <c r="G463">
        <f>IF(原始資料!G463="","",IF(反向題設定!$C$10="是",反向題設定!$B$2+1-原始資料!G463,原始資料!G463))</f>
        <v/>
      </c>
      <c r="H463">
        <f>IF(原始資料!H463="","",IF(反向題設定!$C$11="是",反向題設定!$B$2+1-原始資料!H463,原始資料!H463))</f>
        <v/>
      </c>
      <c r="I463">
        <f>IF(原始資料!I463="","",IF(反向題設定!$C$12="是",反向題設定!$B$2+1-原始資料!I463,原始資料!I463))</f>
        <v/>
      </c>
      <c r="J463">
        <f>IF(原始資料!J463="","",IF(反向題設定!$C$13="是",反向題設定!$B$2+1-原始資料!J463,原始資料!J463))</f>
        <v/>
      </c>
      <c r="K463">
        <f>IF(原始資料!K463="","",IF(反向題設定!$C$14="是",反向題設定!$B$2+1-原始資料!K463,原始資料!K463))</f>
        <v/>
      </c>
      <c r="L463">
        <f>IF(原始資料!L463="","",IF(反向題設定!$C$15="是",反向題設定!$B$2+1-原始資料!L463,原始資料!L463))</f>
        <v/>
      </c>
      <c r="M463">
        <f>IF(原始資料!M463="","",IF(反向題設定!$C$16="是",反向題設定!$B$2+1-原始資料!M463,原始資料!M463))</f>
        <v/>
      </c>
      <c r="N463">
        <f>IF(原始資料!N463="","",IF(反向題設定!$C$17="是",反向題設定!$B$2+1-原始資料!N463,原始資料!N463))</f>
        <v/>
      </c>
      <c r="O463">
        <f>IF(原始資料!O463="","",IF(反向題設定!$C$18="是",反向題設定!$B$2+1-原始資料!O463,原始資料!O463))</f>
        <v/>
      </c>
      <c r="P463">
        <f>IF(原始資料!P463="","",IF(反向題設定!$C$19="是",反向題設定!$B$2+1-原始資料!P463,原始資料!P463))</f>
        <v/>
      </c>
      <c r="Q463">
        <f>IF(原始資料!Q463="","",IF(反向題設定!$C$20="是",反向題設定!$B$2+1-原始資料!Q463,原始資料!Q463))</f>
        <v/>
      </c>
      <c r="R463">
        <f>IF(原始資料!R463="","",IF(反向題設定!$C$21="是",反向題設定!$B$2+1-原始資料!R463,原始資料!R463))</f>
        <v/>
      </c>
      <c r="S463">
        <f>IF(原始資料!S463="","",IF(反向題設定!$C$22="是",反向題設定!$B$2+1-原始資料!S463,原始資料!S463))</f>
        <v/>
      </c>
      <c r="T463">
        <f>IF(原始資料!T463="","",IF(反向題設定!$C$23="是",反向題設定!$B$2+1-原始資料!T463,原始資料!T463))</f>
        <v/>
      </c>
      <c r="U463">
        <f>IF(原始資料!U463="","",IF(反向題設定!$C$24="是",反向題設定!$B$2+1-原始資料!U463,原始資料!U463))</f>
        <v/>
      </c>
      <c r="V463">
        <f>IF(原始資料!V463="","",IF(反向題設定!$C$25="是",反向題設定!$B$2+1-原始資料!V463,原始資料!V463))</f>
        <v/>
      </c>
      <c r="W463">
        <f>IF(原始資料!W463="","",IF(反向題設定!$C$26="是",反向題設定!$B$2+1-原始資料!W463,原始資料!W463))</f>
        <v/>
      </c>
      <c r="X463">
        <f>IF(原始資料!X463="","",IF(反向題設定!$C$27="是",反向題設定!$B$2+1-原始資料!X463,原始資料!X463))</f>
        <v/>
      </c>
      <c r="Y463">
        <f>IF(原始資料!Y463="","",IF(反向題設定!$C$28="是",反向題設定!$B$2+1-原始資料!Y463,原始資料!Y463))</f>
        <v/>
      </c>
      <c r="Z463">
        <f>IF(原始資料!Z463="","",IF(反向題設定!$C$29="是",反向題設定!$B$2+1-原始資料!Z463,原始資料!Z463))</f>
        <v/>
      </c>
      <c r="AA463">
        <f>IF(原始資料!AA463="","",IF(反向題設定!$C$30="是",反向題設定!$B$2+1-原始資料!AA463,原始資料!AA463))</f>
        <v/>
      </c>
      <c r="AB463">
        <f>IF(原始資料!AB463="","",IF(反向題設定!$C$31="是",反向題設定!$B$2+1-原始資料!AB463,原始資料!AB463))</f>
        <v/>
      </c>
      <c r="AC463">
        <f>IF(原始資料!AC463="","",IF(反向題設定!$C$32="是",反向題設定!$B$2+1-原始資料!AC463,原始資料!AC463))</f>
        <v/>
      </c>
      <c r="AD463">
        <f>IF(原始資料!AD463="","",IF(反向題設定!$C$33="是",反向題設定!$B$2+1-原始資料!AD463,原始資料!AD463))</f>
        <v/>
      </c>
      <c r="AE463">
        <f>IF(原始資料!AE463="","",IF(反向題設定!$C$34="是",反向題設定!$B$2+1-原始資料!AE463,原始資料!AE463))</f>
        <v/>
      </c>
      <c r="AF463">
        <f>IF(原始資料!AF463="","",IF(反向題設定!$C$35="是",反向題設定!$B$2+1-原始資料!AF463,原始資料!AF463))</f>
        <v/>
      </c>
      <c r="AG463">
        <f>IF(原始資料!AG463="","",IF(反向題設定!$C$36="是",反向題設定!$B$2+1-原始資料!AG463,原始資料!AG463))</f>
        <v/>
      </c>
      <c r="AH463">
        <f>IF(原始資料!AH463="","",IF(反向題設定!$C$37="是",反向題設定!$B$2+1-原始資料!AH463,原始資料!AH463))</f>
        <v/>
      </c>
      <c r="AI463">
        <f>IF(原始資料!AI463="","",IF(反向題設定!$C$38="是",反向題設定!$B$2+1-原始資料!AI463,原始資料!AI463))</f>
        <v/>
      </c>
      <c r="AJ463">
        <f>IF(原始資料!AJ463="","",IF(反向題設定!$C$39="是",反向題設定!$B$2+1-原始資料!AJ463,原始資料!AJ463))</f>
        <v/>
      </c>
      <c r="AK463">
        <f>IF(原始資料!AK463="","",IF(反向題設定!$C$40="是",反向題設定!$B$2+1-原始資料!AK463,原始資料!AK463))</f>
        <v/>
      </c>
      <c r="AL463">
        <f>IF(原始資料!AL463="","",IF(反向題設定!$C$41="是",反向題設定!$B$2+1-原始資料!AL463,原始資料!AL463))</f>
        <v/>
      </c>
      <c r="AM463">
        <f>IF(原始資料!AM463="","",IF(反向題設定!$C$42="是",反向題設定!$B$2+1-原始資料!AM463,原始資料!AM463))</f>
        <v/>
      </c>
      <c r="AN463">
        <f>IF(原始資料!AN463="","",IF(反向題設定!$C$43="是",反向題設定!$B$2+1-原始資料!AN463,原始資料!AN463))</f>
        <v/>
      </c>
      <c r="AO463">
        <f>IF(原始資料!AO463="","",IF(反向題設定!$C$44="是",反向題設定!$B$2+1-原始資料!AO463,原始資料!AO463))</f>
        <v/>
      </c>
      <c r="AP463">
        <f>IF(COUNT(B463:AO463)=0,"",SUM(B463:AO463))</f>
        <v/>
      </c>
      <c r="AQ463">
        <f>IF(AP463="","",IF(AP463&gt;=項目分析!$C$5,"高",IF(AP463&lt;=項目分析!$C$6,"低","")))</f>
        <v/>
      </c>
    </row>
    <row r="464">
      <c r="A464">
        <f>IF(原始資料!A464="","",原始資料!A464)</f>
        <v/>
      </c>
      <c r="B464">
        <f>IF(原始資料!B464="","",IF(反向題設定!$C$5="是",反向題設定!$B$2+1-原始資料!B464,原始資料!B464))</f>
        <v/>
      </c>
      <c r="C464">
        <f>IF(原始資料!C464="","",IF(反向題設定!$C$6="是",反向題設定!$B$2+1-原始資料!C464,原始資料!C464))</f>
        <v/>
      </c>
      <c r="D464">
        <f>IF(原始資料!D464="","",IF(反向題設定!$C$7="是",反向題設定!$B$2+1-原始資料!D464,原始資料!D464))</f>
        <v/>
      </c>
      <c r="E464">
        <f>IF(原始資料!E464="","",IF(反向題設定!$C$8="是",反向題設定!$B$2+1-原始資料!E464,原始資料!E464))</f>
        <v/>
      </c>
      <c r="F464">
        <f>IF(原始資料!F464="","",IF(反向題設定!$C$9="是",反向題設定!$B$2+1-原始資料!F464,原始資料!F464))</f>
        <v/>
      </c>
      <c r="G464">
        <f>IF(原始資料!G464="","",IF(反向題設定!$C$10="是",反向題設定!$B$2+1-原始資料!G464,原始資料!G464))</f>
        <v/>
      </c>
      <c r="H464">
        <f>IF(原始資料!H464="","",IF(反向題設定!$C$11="是",反向題設定!$B$2+1-原始資料!H464,原始資料!H464))</f>
        <v/>
      </c>
      <c r="I464">
        <f>IF(原始資料!I464="","",IF(反向題設定!$C$12="是",反向題設定!$B$2+1-原始資料!I464,原始資料!I464))</f>
        <v/>
      </c>
      <c r="J464">
        <f>IF(原始資料!J464="","",IF(反向題設定!$C$13="是",反向題設定!$B$2+1-原始資料!J464,原始資料!J464))</f>
        <v/>
      </c>
      <c r="K464">
        <f>IF(原始資料!K464="","",IF(反向題設定!$C$14="是",反向題設定!$B$2+1-原始資料!K464,原始資料!K464))</f>
        <v/>
      </c>
      <c r="L464">
        <f>IF(原始資料!L464="","",IF(反向題設定!$C$15="是",反向題設定!$B$2+1-原始資料!L464,原始資料!L464))</f>
        <v/>
      </c>
      <c r="M464">
        <f>IF(原始資料!M464="","",IF(反向題設定!$C$16="是",反向題設定!$B$2+1-原始資料!M464,原始資料!M464))</f>
        <v/>
      </c>
      <c r="N464">
        <f>IF(原始資料!N464="","",IF(反向題設定!$C$17="是",反向題設定!$B$2+1-原始資料!N464,原始資料!N464))</f>
        <v/>
      </c>
      <c r="O464">
        <f>IF(原始資料!O464="","",IF(反向題設定!$C$18="是",反向題設定!$B$2+1-原始資料!O464,原始資料!O464))</f>
        <v/>
      </c>
      <c r="P464">
        <f>IF(原始資料!P464="","",IF(反向題設定!$C$19="是",反向題設定!$B$2+1-原始資料!P464,原始資料!P464))</f>
        <v/>
      </c>
      <c r="Q464">
        <f>IF(原始資料!Q464="","",IF(反向題設定!$C$20="是",反向題設定!$B$2+1-原始資料!Q464,原始資料!Q464))</f>
        <v/>
      </c>
      <c r="R464">
        <f>IF(原始資料!R464="","",IF(反向題設定!$C$21="是",反向題設定!$B$2+1-原始資料!R464,原始資料!R464))</f>
        <v/>
      </c>
      <c r="S464">
        <f>IF(原始資料!S464="","",IF(反向題設定!$C$22="是",反向題設定!$B$2+1-原始資料!S464,原始資料!S464))</f>
        <v/>
      </c>
      <c r="T464">
        <f>IF(原始資料!T464="","",IF(反向題設定!$C$23="是",反向題設定!$B$2+1-原始資料!T464,原始資料!T464))</f>
        <v/>
      </c>
      <c r="U464">
        <f>IF(原始資料!U464="","",IF(反向題設定!$C$24="是",反向題設定!$B$2+1-原始資料!U464,原始資料!U464))</f>
        <v/>
      </c>
      <c r="V464">
        <f>IF(原始資料!V464="","",IF(反向題設定!$C$25="是",反向題設定!$B$2+1-原始資料!V464,原始資料!V464))</f>
        <v/>
      </c>
      <c r="W464">
        <f>IF(原始資料!W464="","",IF(反向題設定!$C$26="是",反向題設定!$B$2+1-原始資料!W464,原始資料!W464))</f>
        <v/>
      </c>
      <c r="X464">
        <f>IF(原始資料!X464="","",IF(反向題設定!$C$27="是",反向題設定!$B$2+1-原始資料!X464,原始資料!X464))</f>
        <v/>
      </c>
      <c r="Y464">
        <f>IF(原始資料!Y464="","",IF(反向題設定!$C$28="是",反向題設定!$B$2+1-原始資料!Y464,原始資料!Y464))</f>
        <v/>
      </c>
      <c r="Z464">
        <f>IF(原始資料!Z464="","",IF(反向題設定!$C$29="是",反向題設定!$B$2+1-原始資料!Z464,原始資料!Z464))</f>
        <v/>
      </c>
      <c r="AA464">
        <f>IF(原始資料!AA464="","",IF(反向題設定!$C$30="是",反向題設定!$B$2+1-原始資料!AA464,原始資料!AA464))</f>
        <v/>
      </c>
      <c r="AB464">
        <f>IF(原始資料!AB464="","",IF(反向題設定!$C$31="是",反向題設定!$B$2+1-原始資料!AB464,原始資料!AB464))</f>
        <v/>
      </c>
      <c r="AC464">
        <f>IF(原始資料!AC464="","",IF(反向題設定!$C$32="是",反向題設定!$B$2+1-原始資料!AC464,原始資料!AC464))</f>
        <v/>
      </c>
      <c r="AD464">
        <f>IF(原始資料!AD464="","",IF(反向題設定!$C$33="是",反向題設定!$B$2+1-原始資料!AD464,原始資料!AD464))</f>
        <v/>
      </c>
      <c r="AE464">
        <f>IF(原始資料!AE464="","",IF(反向題設定!$C$34="是",反向題設定!$B$2+1-原始資料!AE464,原始資料!AE464))</f>
        <v/>
      </c>
      <c r="AF464">
        <f>IF(原始資料!AF464="","",IF(反向題設定!$C$35="是",反向題設定!$B$2+1-原始資料!AF464,原始資料!AF464))</f>
        <v/>
      </c>
      <c r="AG464">
        <f>IF(原始資料!AG464="","",IF(反向題設定!$C$36="是",反向題設定!$B$2+1-原始資料!AG464,原始資料!AG464))</f>
        <v/>
      </c>
      <c r="AH464">
        <f>IF(原始資料!AH464="","",IF(反向題設定!$C$37="是",反向題設定!$B$2+1-原始資料!AH464,原始資料!AH464))</f>
        <v/>
      </c>
      <c r="AI464">
        <f>IF(原始資料!AI464="","",IF(反向題設定!$C$38="是",反向題設定!$B$2+1-原始資料!AI464,原始資料!AI464))</f>
        <v/>
      </c>
      <c r="AJ464">
        <f>IF(原始資料!AJ464="","",IF(反向題設定!$C$39="是",反向題設定!$B$2+1-原始資料!AJ464,原始資料!AJ464))</f>
        <v/>
      </c>
      <c r="AK464">
        <f>IF(原始資料!AK464="","",IF(反向題設定!$C$40="是",反向題設定!$B$2+1-原始資料!AK464,原始資料!AK464))</f>
        <v/>
      </c>
      <c r="AL464">
        <f>IF(原始資料!AL464="","",IF(反向題設定!$C$41="是",反向題設定!$B$2+1-原始資料!AL464,原始資料!AL464))</f>
        <v/>
      </c>
      <c r="AM464">
        <f>IF(原始資料!AM464="","",IF(反向題設定!$C$42="是",反向題設定!$B$2+1-原始資料!AM464,原始資料!AM464))</f>
        <v/>
      </c>
      <c r="AN464">
        <f>IF(原始資料!AN464="","",IF(反向題設定!$C$43="是",反向題設定!$B$2+1-原始資料!AN464,原始資料!AN464))</f>
        <v/>
      </c>
      <c r="AO464">
        <f>IF(原始資料!AO464="","",IF(反向題設定!$C$44="是",反向題設定!$B$2+1-原始資料!AO464,原始資料!AO464))</f>
        <v/>
      </c>
      <c r="AP464">
        <f>IF(COUNT(B464:AO464)=0,"",SUM(B464:AO464))</f>
        <v/>
      </c>
      <c r="AQ464">
        <f>IF(AP464="","",IF(AP464&gt;=項目分析!$C$5,"高",IF(AP464&lt;=項目分析!$C$6,"低","")))</f>
        <v/>
      </c>
    </row>
    <row r="465">
      <c r="A465">
        <f>IF(原始資料!A465="","",原始資料!A465)</f>
        <v/>
      </c>
      <c r="B465">
        <f>IF(原始資料!B465="","",IF(反向題設定!$C$5="是",反向題設定!$B$2+1-原始資料!B465,原始資料!B465))</f>
        <v/>
      </c>
      <c r="C465">
        <f>IF(原始資料!C465="","",IF(反向題設定!$C$6="是",反向題設定!$B$2+1-原始資料!C465,原始資料!C465))</f>
        <v/>
      </c>
      <c r="D465">
        <f>IF(原始資料!D465="","",IF(反向題設定!$C$7="是",反向題設定!$B$2+1-原始資料!D465,原始資料!D465))</f>
        <v/>
      </c>
      <c r="E465">
        <f>IF(原始資料!E465="","",IF(反向題設定!$C$8="是",反向題設定!$B$2+1-原始資料!E465,原始資料!E465))</f>
        <v/>
      </c>
      <c r="F465">
        <f>IF(原始資料!F465="","",IF(反向題設定!$C$9="是",反向題設定!$B$2+1-原始資料!F465,原始資料!F465))</f>
        <v/>
      </c>
      <c r="G465">
        <f>IF(原始資料!G465="","",IF(反向題設定!$C$10="是",反向題設定!$B$2+1-原始資料!G465,原始資料!G465))</f>
        <v/>
      </c>
      <c r="H465">
        <f>IF(原始資料!H465="","",IF(反向題設定!$C$11="是",反向題設定!$B$2+1-原始資料!H465,原始資料!H465))</f>
        <v/>
      </c>
      <c r="I465">
        <f>IF(原始資料!I465="","",IF(反向題設定!$C$12="是",反向題設定!$B$2+1-原始資料!I465,原始資料!I465))</f>
        <v/>
      </c>
      <c r="J465">
        <f>IF(原始資料!J465="","",IF(反向題設定!$C$13="是",反向題設定!$B$2+1-原始資料!J465,原始資料!J465))</f>
        <v/>
      </c>
      <c r="K465">
        <f>IF(原始資料!K465="","",IF(反向題設定!$C$14="是",反向題設定!$B$2+1-原始資料!K465,原始資料!K465))</f>
        <v/>
      </c>
      <c r="L465">
        <f>IF(原始資料!L465="","",IF(反向題設定!$C$15="是",反向題設定!$B$2+1-原始資料!L465,原始資料!L465))</f>
        <v/>
      </c>
      <c r="M465">
        <f>IF(原始資料!M465="","",IF(反向題設定!$C$16="是",反向題設定!$B$2+1-原始資料!M465,原始資料!M465))</f>
        <v/>
      </c>
      <c r="N465">
        <f>IF(原始資料!N465="","",IF(反向題設定!$C$17="是",反向題設定!$B$2+1-原始資料!N465,原始資料!N465))</f>
        <v/>
      </c>
      <c r="O465">
        <f>IF(原始資料!O465="","",IF(反向題設定!$C$18="是",反向題設定!$B$2+1-原始資料!O465,原始資料!O465))</f>
        <v/>
      </c>
      <c r="P465">
        <f>IF(原始資料!P465="","",IF(反向題設定!$C$19="是",反向題設定!$B$2+1-原始資料!P465,原始資料!P465))</f>
        <v/>
      </c>
      <c r="Q465">
        <f>IF(原始資料!Q465="","",IF(反向題設定!$C$20="是",反向題設定!$B$2+1-原始資料!Q465,原始資料!Q465))</f>
        <v/>
      </c>
      <c r="R465">
        <f>IF(原始資料!R465="","",IF(反向題設定!$C$21="是",反向題設定!$B$2+1-原始資料!R465,原始資料!R465))</f>
        <v/>
      </c>
      <c r="S465">
        <f>IF(原始資料!S465="","",IF(反向題設定!$C$22="是",反向題設定!$B$2+1-原始資料!S465,原始資料!S465))</f>
        <v/>
      </c>
      <c r="T465">
        <f>IF(原始資料!T465="","",IF(反向題設定!$C$23="是",反向題設定!$B$2+1-原始資料!T465,原始資料!T465))</f>
        <v/>
      </c>
      <c r="U465">
        <f>IF(原始資料!U465="","",IF(反向題設定!$C$24="是",反向題設定!$B$2+1-原始資料!U465,原始資料!U465))</f>
        <v/>
      </c>
      <c r="V465">
        <f>IF(原始資料!V465="","",IF(反向題設定!$C$25="是",反向題設定!$B$2+1-原始資料!V465,原始資料!V465))</f>
        <v/>
      </c>
      <c r="W465">
        <f>IF(原始資料!W465="","",IF(反向題設定!$C$26="是",反向題設定!$B$2+1-原始資料!W465,原始資料!W465))</f>
        <v/>
      </c>
      <c r="X465">
        <f>IF(原始資料!X465="","",IF(反向題設定!$C$27="是",反向題設定!$B$2+1-原始資料!X465,原始資料!X465))</f>
        <v/>
      </c>
      <c r="Y465">
        <f>IF(原始資料!Y465="","",IF(反向題設定!$C$28="是",反向題設定!$B$2+1-原始資料!Y465,原始資料!Y465))</f>
        <v/>
      </c>
      <c r="Z465">
        <f>IF(原始資料!Z465="","",IF(反向題設定!$C$29="是",反向題設定!$B$2+1-原始資料!Z465,原始資料!Z465))</f>
        <v/>
      </c>
      <c r="AA465">
        <f>IF(原始資料!AA465="","",IF(反向題設定!$C$30="是",反向題設定!$B$2+1-原始資料!AA465,原始資料!AA465))</f>
        <v/>
      </c>
      <c r="AB465">
        <f>IF(原始資料!AB465="","",IF(反向題設定!$C$31="是",反向題設定!$B$2+1-原始資料!AB465,原始資料!AB465))</f>
        <v/>
      </c>
      <c r="AC465">
        <f>IF(原始資料!AC465="","",IF(反向題設定!$C$32="是",反向題設定!$B$2+1-原始資料!AC465,原始資料!AC465))</f>
        <v/>
      </c>
      <c r="AD465">
        <f>IF(原始資料!AD465="","",IF(反向題設定!$C$33="是",反向題設定!$B$2+1-原始資料!AD465,原始資料!AD465))</f>
        <v/>
      </c>
      <c r="AE465">
        <f>IF(原始資料!AE465="","",IF(反向題設定!$C$34="是",反向題設定!$B$2+1-原始資料!AE465,原始資料!AE465))</f>
        <v/>
      </c>
      <c r="AF465">
        <f>IF(原始資料!AF465="","",IF(反向題設定!$C$35="是",反向題設定!$B$2+1-原始資料!AF465,原始資料!AF465))</f>
        <v/>
      </c>
      <c r="AG465">
        <f>IF(原始資料!AG465="","",IF(反向題設定!$C$36="是",反向題設定!$B$2+1-原始資料!AG465,原始資料!AG465))</f>
        <v/>
      </c>
      <c r="AH465">
        <f>IF(原始資料!AH465="","",IF(反向題設定!$C$37="是",反向題設定!$B$2+1-原始資料!AH465,原始資料!AH465))</f>
        <v/>
      </c>
      <c r="AI465">
        <f>IF(原始資料!AI465="","",IF(反向題設定!$C$38="是",反向題設定!$B$2+1-原始資料!AI465,原始資料!AI465))</f>
        <v/>
      </c>
      <c r="AJ465">
        <f>IF(原始資料!AJ465="","",IF(反向題設定!$C$39="是",反向題設定!$B$2+1-原始資料!AJ465,原始資料!AJ465))</f>
        <v/>
      </c>
      <c r="AK465">
        <f>IF(原始資料!AK465="","",IF(反向題設定!$C$40="是",反向題設定!$B$2+1-原始資料!AK465,原始資料!AK465))</f>
        <v/>
      </c>
      <c r="AL465">
        <f>IF(原始資料!AL465="","",IF(反向題設定!$C$41="是",反向題設定!$B$2+1-原始資料!AL465,原始資料!AL465))</f>
        <v/>
      </c>
      <c r="AM465">
        <f>IF(原始資料!AM465="","",IF(反向題設定!$C$42="是",反向題設定!$B$2+1-原始資料!AM465,原始資料!AM465))</f>
        <v/>
      </c>
      <c r="AN465">
        <f>IF(原始資料!AN465="","",IF(反向題設定!$C$43="是",反向題設定!$B$2+1-原始資料!AN465,原始資料!AN465))</f>
        <v/>
      </c>
      <c r="AO465">
        <f>IF(原始資料!AO465="","",IF(反向題設定!$C$44="是",反向題設定!$B$2+1-原始資料!AO465,原始資料!AO465))</f>
        <v/>
      </c>
      <c r="AP465">
        <f>IF(COUNT(B465:AO465)=0,"",SUM(B465:AO465))</f>
        <v/>
      </c>
      <c r="AQ465">
        <f>IF(AP465="","",IF(AP465&gt;=項目分析!$C$5,"高",IF(AP465&lt;=項目分析!$C$6,"低","")))</f>
        <v/>
      </c>
    </row>
    <row r="466">
      <c r="A466">
        <f>IF(原始資料!A466="","",原始資料!A466)</f>
        <v/>
      </c>
      <c r="B466">
        <f>IF(原始資料!B466="","",IF(反向題設定!$C$5="是",反向題設定!$B$2+1-原始資料!B466,原始資料!B466))</f>
        <v/>
      </c>
      <c r="C466">
        <f>IF(原始資料!C466="","",IF(反向題設定!$C$6="是",反向題設定!$B$2+1-原始資料!C466,原始資料!C466))</f>
        <v/>
      </c>
      <c r="D466">
        <f>IF(原始資料!D466="","",IF(反向題設定!$C$7="是",反向題設定!$B$2+1-原始資料!D466,原始資料!D466))</f>
        <v/>
      </c>
      <c r="E466">
        <f>IF(原始資料!E466="","",IF(反向題設定!$C$8="是",反向題設定!$B$2+1-原始資料!E466,原始資料!E466))</f>
        <v/>
      </c>
      <c r="F466">
        <f>IF(原始資料!F466="","",IF(反向題設定!$C$9="是",反向題設定!$B$2+1-原始資料!F466,原始資料!F466))</f>
        <v/>
      </c>
      <c r="G466">
        <f>IF(原始資料!G466="","",IF(反向題設定!$C$10="是",反向題設定!$B$2+1-原始資料!G466,原始資料!G466))</f>
        <v/>
      </c>
      <c r="H466">
        <f>IF(原始資料!H466="","",IF(反向題設定!$C$11="是",反向題設定!$B$2+1-原始資料!H466,原始資料!H466))</f>
        <v/>
      </c>
      <c r="I466">
        <f>IF(原始資料!I466="","",IF(反向題設定!$C$12="是",反向題設定!$B$2+1-原始資料!I466,原始資料!I466))</f>
        <v/>
      </c>
      <c r="J466">
        <f>IF(原始資料!J466="","",IF(反向題設定!$C$13="是",反向題設定!$B$2+1-原始資料!J466,原始資料!J466))</f>
        <v/>
      </c>
      <c r="K466">
        <f>IF(原始資料!K466="","",IF(反向題設定!$C$14="是",反向題設定!$B$2+1-原始資料!K466,原始資料!K466))</f>
        <v/>
      </c>
      <c r="L466">
        <f>IF(原始資料!L466="","",IF(反向題設定!$C$15="是",反向題設定!$B$2+1-原始資料!L466,原始資料!L466))</f>
        <v/>
      </c>
      <c r="M466">
        <f>IF(原始資料!M466="","",IF(反向題設定!$C$16="是",反向題設定!$B$2+1-原始資料!M466,原始資料!M466))</f>
        <v/>
      </c>
      <c r="N466">
        <f>IF(原始資料!N466="","",IF(反向題設定!$C$17="是",反向題設定!$B$2+1-原始資料!N466,原始資料!N466))</f>
        <v/>
      </c>
      <c r="O466">
        <f>IF(原始資料!O466="","",IF(反向題設定!$C$18="是",反向題設定!$B$2+1-原始資料!O466,原始資料!O466))</f>
        <v/>
      </c>
      <c r="P466">
        <f>IF(原始資料!P466="","",IF(反向題設定!$C$19="是",反向題設定!$B$2+1-原始資料!P466,原始資料!P466))</f>
        <v/>
      </c>
      <c r="Q466">
        <f>IF(原始資料!Q466="","",IF(反向題設定!$C$20="是",反向題設定!$B$2+1-原始資料!Q466,原始資料!Q466))</f>
        <v/>
      </c>
      <c r="R466">
        <f>IF(原始資料!R466="","",IF(反向題設定!$C$21="是",反向題設定!$B$2+1-原始資料!R466,原始資料!R466))</f>
        <v/>
      </c>
      <c r="S466">
        <f>IF(原始資料!S466="","",IF(反向題設定!$C$22="是",反向題設定!$B$2+1-原始資料!S466,原始資料!S466))</f>
        <v/>
      </c>
      <c r="T466">
        <f>IF(原始資料!T466="","",IF(反向題設定!$C$23="是",反向題設定!$B$2+1-原始資料!T466,原始資料!T466))</f>
        <v/>
      </c>
      <c r="U466">
        <f>IF(原始資料!U466="","",IF(反向題設定!$C$24="是",反向題設定!$B$2+1-原始資料!U466,原始資料!U466))</f>
        <v/>
      </c>
      <c r="V466">
        <f>IF(原始資料!V466="","",IF(反向題設定!$C$25="是",反向題設定!$B$2+1-原始資料!V466,原始資料!V466))</f>
        <v/>
      </c>
      <c r="W466">
        <f>IF(原始資料!W466="","",IF(反向題設定!$C$26="是",反向題設定!$B$2+1-原始資料!W466,原始資料!W466))</f>
        <v/>
      </c>
      <c r="X466">
        <f>IF(原始資料!X466="","",IF(反向題設定!$C$27="是",反向題設定!$B$2+1-原始資料!X466,原始資料!X466))</f>
        <v/>
      </c>
      <c r="Y466">
        <f>IF(原始資料!Y466="","",IF(反向題設定!$C$28="是",反向題設定!$B$2+1-原始資料!Y466,原始資料!Y466))</f>
        <v/>
      </c>
      <c r="Z466">
        <f>IF(原始資料!Z466="","",IF(反向題設定!$C$29="是",反向題設定!$B$2+1-原始資料!Z466,原始資料!Z466))</f>
        <v/>
      </c>
      <c r="AA466">
        <f>IF(原始資料!AA466="","",IF(反向題設定!$C$30="是",反向題設定!$B$2+1-原始資料!AA466,原始資料!AA466))</f>
        <v/>
      </c>
      <c r="AB466">
        <f>IF(原始資料!AB466="","",IF(反向題設定!$C$31="是",反向題設定!$B$2+1-原始資料!AB466,原始資料!AB466))</f>
        <v/>
      </c>
      <c r="AC466">
        <f>IF(原始資料!AC466="","",IF(反向題設定!$C$32="是",反向題設定!$B$2+1-原始資料!AC466,原始資料!AC466))</f>
        <v/>
      </c>
      <c r="AD466">
        <f>IF(原始資料!AD466="","",IF(反向題設定!$C$33="是",反向題設定!$B$2+1-原始資料!AD466,原始資料!AD466))</f>
        <v/>
      </c>
      <c r="AE466">
        <f>IF(原始資料!AE466="","",IF(反向題設定!$C$34="是",反向題設定!$B$2+1-原始資料!AE466,原始資料!AE466))</f>
        <v/>
      </c>
      <c r="AF466">
        <f>IF(原始資料!AF466="","",IF(反向題設定!$C$35="是",反向題設定!$B$2+1-原始資料!AF466,原始資料!AF466))</f>
        <v/>
      </c>
      <c r="AG466">
        <f>IF(原始資料!AG466="","",IF(反向題設定!$C$36="是",反向題設定!$B$2+1-原始資料!AG466,原始資料!AG466))</f>
        <v/>
      </c>
      <c r="AH466">
        <f>IF(原始資料!AH466="","",IF(反向題設定!$C$37="是",反向題設定!$B$2+1-原始資料!AH466,原始資料!AH466))</f>
        <v/>
      </c>
      <c r="AI466">
        <f>IF(原始資料!AI466="","",IF(反向題設定!$C$38="是",反向題設定!$B$2+1-原始資料!AI466,原始資料!AI466))</f>
        <v/>
      </c>
      <c r="AJ466">
        <f>IF(原始資料!AJ466="","",IF(反向題設定!$C$39="是",反向題設定!$B$2+1-原始資料!AJ466,原始資料!AJ466))</f>
        <v/>
      </c>
      <c r="AK466">
        <f>IF(原始資料!AK466="","",IF(反向題設定!$C$40="是",反向題設定!$B$2+1-原始資料!AK466,原始資料!AK466))</f>
        <v/>
      </c>
      <c r="AL466">
        <f>IF(原始資料!AL466="","",IF(反向題設定!$C$41="是",反向題設定!$B$2+1-原始資料!AL466,原始資料!AL466))</f>
        <v/>
      </c>
      <c r="AM466">
        <f>IF(原始資料!AM466="","",IF(反向題設定!$C$42="是",反向題設定!$B$2+1-原始資料!AM466,原始資料!AM466))</f>
        <v/>
      </c>
      <c r="AN466">
        <f>IF(原始資料!AN466="","",IF(反向題設定!$C$43="是",反向題設定!$B$2+1-原始資料!AN466,原始資料!AN466))</f>
        <v/>
      </c>
      <c r="AO466">
        <f>IF(原始資料!AO466="","",IF(反向題設定!$C$44="是",反向題設定!$B$2+1-原始資料!AO466,原始資料!AO466))</f>
        <v/>
      </c>
      <c r="AP466">
        <f>IF(COUNT(B466:AO466)=0,"",SUM(B466:AO466))</f>
        <v/>
      </c>
      <c r="AQ466">
        <f>IF(AP466="","",IF(AP466&gt;=項目分析!$C$5,"高",IF(AP466&lt;=項目分析!$C$6,"低","")))</f>
        <v/>
      </c>
    </row>
    <row r="467">
      <c r="A467">
        <f>IF(原始資料!A467="","",原始資料!A467)</f>
        <v/>
      </c>
      <c r="B467">
        <f>IF(原始資料!B467="","",IF(反向題設定!$C$5="是",反向題設定!$B$2+1-原始資料!B467,原始資料!B467))</f>
        <v/>
      </c>
      <c r="C467">
        <f>IF(原始資料!C467="","",IF(反向題設定!$C$6="是",反向題設定!$B$2+1-原始資料!C467,原始資料!C467))</f>
        <v/>
      </c>
      <c r="D467">
        <f>IF(原始資料!D467="","",IF(反向題設定!$C$7="是",反向題設定!$B$2+1-原始資料!D467,原始資料!D467))</f>
        <v/>
      </c>
      <c r="E467">
        <f>IF(原始資料!E467="","",IF(反向題設定!$C$8="是",反向題設定!$B$2+1-原始資料!E467,原始資料!E467))</f>
        <v/>
      </c>
      <c r="F467">
        <f>IF(原始資料!F467="","",IF(反向題設定!$C$9="是",反向題設定!$B$2+1-原始資料!F467,原始資料!F467))</f>
        <v/>
      </c>
      <c r="G467">
        <f>IF(原始資料!G467="","",IF(反向題設定!$C$10="是",反向題設定!$B$2+1-原始資料!G467,原始資料!G467))</f>
        <v/>
      </c>
      <c r="H467">
        <f>IF(原始資料!H467="","",IF(反向題設定!$C$11="是",反向題設定!$B$2+1-原始資料!H467,原始資料!H467))</f>
        <v/>
      </c>
      <c r="I467">
        <f>IF(原始資料!I467="","",IF(反向題設定!$C$12="是",反向題設定!$B$2+1-原始資料!I467,原始資料!I467))</f>
        <v/>
      </c>
      <c r="J467">
        <f>IF(原始資料!J467="","",IF(反向題設定!$C$13="是",反向題設定!$B$2+1-原始資料!J467,原始資料!J467))</f>
        <v/>
      </c>
      <c r="K467">
        <f>IF(原始資料!K467="","",IF(反向題設定!$C$14="是",反向題設定!$B$2+1-原始資料!K467,原始資料!K467))</f>
        <v/>
      </c>
      <c r="L467">
        <f>IF(原始資料!L467="","",IF(反向題設定!$C$15="是",反向題設定!$B$2+1-原始資料!L467,原始資料!L467))</f>
        <v/>
      </c>
      <c r="M467">
        <f>IF(原始資料!M467="","",IF(反向題設定!$C$16="是",反向題設定!$B$2+1-原始資料!M467,原始資料!M467))</f>
        <v/>
      </c>
      <c r="N467">
        <f>IF(原始資料!N467="","",IF(反向題設定!$C$17="是",反向題設定!$B$2+1-原始資料!N467,原始資料!N467))</f>
        <v/>
      </c>
      <c r="O467">
        <f>IF(原始資料!O467="","",IF(反向題設定!$C$18="是",反向題設定!$B$2+1-原始資料!O467,原始資料!O467))</f>
        <v/>
      </c>
      <c r="P467">
        <f>IF(原始資料!P467="","",IF(反向題設定!$C$19="是",反向題設定!$B$2+1-原始資料!P467,原始資料!P467))</f>
        <v/>
      </c>
      <c r="Q467">
        <f>IF(原始資料!Q467="","",IF(反向題設定!$C$20="是",反向題設定!$B$2+1-原始資料!Q467,原始資料!Q467))</f>
        <v/>
      </c>
      <c r="R467">
        <f>IF(原始資料!R467="","",IF(反向題設定!$C$21="是",反向題設定!$B$2+1-原始資料!R467,原始資料!R467))</f>
        <v/>
      </c>
      <c r="S467">
        <f>IF(原始資料!S467="","",IF(反向題設定!$C$22="是",反向題設定!$B$2+1-原始資料!S467,原始資料!S467))</f>
        <v/>
      </c>
      <c r="T467">
        <f>IF(原始資料!T467="","",IF(反向題設定!$C$23="是",反向題設定!$B$2+1-原始資料!T467,原始資料!T467))</f>
        <v/>
      </c>
      <c r="U467">
        <f>IF(原始資料!U467="","",IF(反向題設定!$C$24="是",反向題設定!$B$2+1-原始資料!U467,原始資料!U467))</f>
        <v/>
      </c>
      <c r="V467">
        <f>IF(原始資料!V467="","",IF(反向題設定!$C$25="是",反向題設定!$B$2+1-原始資料!V467,原始資料!V467))</f>
        <v/>
      </c>
      <c r="W467">
        <f>IF(原始資料!W467="","",IF(反向題設定!$C$26="是",反向題設定!$B$2+1-原始資料!W467,原始資料!W467))</f>
        <v/>
      </c>
      <c r="X467">
        <f>IF(原始資料!X467="","",IF(反向題設定!$C$27="是",反向題設定!$B$2+1-原始資料!X467,原始資料!X467))</f>
        <v/>
      </c>
      <c r="Y467">
        <f>IF(原始資料!Y467="","",IF(反向題設定!$C$28="是",反向題設定!$B$2+1-原始資料!Y467,原始資料!Y467))</f>
        <v/>
      </c>
      <c r="Z467">
        <f>IF(原始資料!Z467="","",IF(反向題設定!$C$29="是",反向題設定!$B$2+1-原始資料!Z467,原始資料!Z467))</f>
        <v/>
      </c>
      <c r="AA467">
        <f>IF(原始資料!AA467="","",IF(反向題設定!$C$30="是",反向題設定!$B$2+1-原始資料!AA467,原始資料!AA467))</f>
        <v/>
      </c>
      <c r="AB467">
        <f>IF(原始資料!AB467="","",IF(反向題設定!$C$31="是",反向題設定!$B$2+1-原始資料!AB467,原始資料!AB467))</f>
        <v/>
      </c>
      <c r="AC467">
        <f>IF(原始資料!AC467="","",IF(反向題設定!$C$32="是",反向題設定!$B$2+1-原始資料!AC467,原始資料!AC467))</f>
        <v/>
      </c>
      <c r="AD467">
        <f>IF(原始資料!AD467="","",IF(反向題設定!$C$33="是",反向題設定!$B$2+1-原始資料!AD467,原始資料!AD467))</f>
        <v/>
      </c>
      <c r="AE467">
        <f>IF(原始資料!AE467="","",IF(反向題設定!$C$34="是",反向題設定!$B$2+1-原始資料!AE467,原始資料!AE467))</f>
        <v/>
      </c>
      <c r="AF467">
        <f>IF(原始資料!AF467="","",IF(反向題設定!$C$35="是",反向題設定!$B$2+1-原始資料!AF467,原始資料!AF467))</f>
        <v/>
      </c>
      <c r="AG467">
        <f>IF(原始資料!AG467="","",IF(反向題設定!$C$36="是",反向題設定!$B$2+1-原始資料!AG467,原始資料!AG467))</f>
        <v/>
      </c>
      <c r="AH467">
        <f>IF(原始資料!AH467="","",IF(反向題設定!$C$37="是",反向題設定!$B$2+1-原始資料!AH467,原始資料!AH467))</f>
        <v/>
      </c>
      <c r="AI467">
        <f>IF(原始資料!AI467="","",IF(反向題設定!$C$38="是",反向題設定!$B$2+1-原始資料!AI467,原始資料!AI467))</f>
        <v/>
      </c>
      <c r="AJ467">
        <f>IF(原始資料!AJ467="","",IF(反向題設定!$C$39="是",反向題設定!$B$2+1-原始資料!AJ467,原始資料!AJ467))</f>
        <v/>
      </c>
      <c r="AK467">
        <f>IF(原始資料!AK467="","",IF(反向題設定!$C$40="是",反向題設定!$B$2+1-原始資料!AK467,原始資料!AK467))</f>
        <v/>
      </c>
      <c r="AL467">
        <f>IF(原始資料!AL467="","",IF(反向題設定!$C$41="是",反向題設定!$B$2+1-原始資料!AL467,原始資料!AL467))</f>
        <v/>
      </c>
      <c r="AM467">
        <f>IF(原始資料!AM467="","",IF(反向題設定!$C$42="是",反向題設定!$B$2+1-原始資料!AM467,原始資料!AM467))</f>
        <v/>
      </c>
      <c r="AN467">
        <f>IF(原始資料!AN467="","",IF(反向題設定!$C$43="是",反向題設定!$B$2+1-原始資料!AN467,原始資料!AN467))</f>
        <v/>
      </c>
      <c r="AO467">
        <f>IF(原始資料!AO467="","",IF(反向題設定!$C$44="是",反向題設定!$B$2+1-原始資料!AO467,原始資料!AO467))</f>
        <v/>
      </c>
      <c r="AP467">
        <f>IF(COUNT(B467:AO467)=0,"",SUM(B467:AO467))</f>
        <v/>
      </c>
      <c r="AQ467">
        <f>IF(AP467="","",IF(AP467&gt;=項目分析!$C$5,"高",IF(AP467&lt;=項目分析!$C$6,"低","")))</f>
        <v/>
      </c>
    </row>
    <row r="468">
      <c r="A468">
        <f>IF(原始資料!A468="","",原始資料!A468)</f>
        <v/>
      </c>
      <c r="B468">
        <f>IF(原始資料!B468="","",IF(反向題設定!$C$5="是",反向題設定!$B$2+1-原始資料!B468,原始資料!B468))</f>
        <v/>
      </c>
      <c r="C468">
        <f>IF(原始資料!C468="","",IF(反向題設定!$C$6="是",反向題設定!$B$2+1-原始資料!C468,原始資料!C468))</f>
        <v/>
      </c>
      <c r="D468">
        <f>IF(原始資料!D468="","",IF(反向題設定!$C$7="是",反向題設定!$B$2+1-原始資料!D468,原始資料!D468))</f>
        <v/>
      </c>
      <c r="E468">
        <f>IF(原始資料!E468="","",IF(反向題設定!$C$8="是",反向題設定!$B$2+1-原始資料!E468,原始資料!E468))</f>
        <v/>
      </c>
      <c r="F468">
        <f>IF(原始資料!F468="","",IF(反向題設定!$C$9="是",反向題設定!$B$2+1-原始資料!F468,原始資料!F468))</f>
        <v/>
      </c>
      <c r="G468">
        <f>IF(原始資料!G468="","",IF(反向題設定!$C$10="是",反向題設定!$B$2+1-原始資料!G468,原始資料!G468))</f>
        <v/>
      </c>
      <c r="H468">
        <f>IF(原始資料!H468="","",IF(反向題設定!$C$11="是",反向題設定!$B$2+1-原始資料!H468,原始資料!H468))</f>
        <v/>
      </c>
      <c r="I468">
        <f>IF(原始資料!I468="","",IF(反向題設定!$C$12="是",反向題設定!$B$2+1-原始資料!I468,原始資料!I468))</f>
        <v/>
      </c>
      <c r="J468">
        <f>IF(原始資料!J468="","",IF(反向題設定!$C$13="是",反向題設定!$B$2+1-原始資料!J468,原始資料!J468))</f>
        <v/>
      </c>
      <c r="K468">
        <f>IF(原始資料!K468="","",IF(反向題設定!$C$14="是",反向題設定!$B$2+1-原始資料!K468,原始資料!K468))</f>
        <v/>
      </c>
      <c r="L468">
        <f>IF(原始資料!L468="","",IF(反向題設定!$C$15="是",反向題設定!$B$2+1-原始資料!L468,原始資料!L468))</f>
        <v/>
      </c>
      <c r="M468">
        <f>IF(原始資料!M468="","",IF(反向題設定!$C$16="是",反向題設定!$B$2+1-原始資料!M468,原始資料!M468))</f>
        <v/>
      </c>
      <c r="N468">
        <f>IF(原始資料!N468="","",IF(反向題設定!$C$17="是",反向題設定!$B$2+1-原始資料!N468,原始資料!N468))</f>
        <v/>
      </c>
      <c r="O468">
        <f>IF(原始資料!O468="","",IF(反向題設定!$C$18="是",反向題設定!$B$2+1-原始資料!O468,原始資料!O468))</f>
        <v/>
      </c>
      <c r="P468">
        <f>IF(原始資料!P468="","",IF(反向題設定!$C$19="是",反向題設定!$B$2+1-原始資料!P468,原始資料!P468))</f>
        <v/>
      </c>
      <c r="Q468">
        <f>IF(原始資料!Q468="","",IF(反向題設定!$C$20="是",反向題設定!$B$2+1-原始資料!Q468,原始資料!Q468))</f>
        <v/>
      </c>
      <c r="R468">
        <f>IF(原始資料!R468="","",IF(反向題設定!$C$21="是",反向題設定!$B$2+1-原始資料!R468,原始資料!R468))</f>
        <v/>
      </c>
      <c r="S468">
        <f>IF(原始資料!S468="","",IF(反向題設定!$C$22="是",反向題設定!$B$2+1-原始資料!S468,原始資料!S468))</f>
        <v/>
      </c>
      <c r="T468">
        <f>IF(原始資料!T468="","",IF(反向題設定!$C$23="是",反向題設定!$B$2+1-原始資料!T468,原始資料!T468))</f>
        <v/>
      </c>
      <c r="U468">
        <f>IF(原始資料!U468="","",IF(反向題設定!$C$24="是",反向題設定!$B$2+1-原始資料!U468,原始資料!U468))</f>
        <v/>
      </c>
      <c r="V468">
        <f>IF(原始資料!V468="","",IF(反向題設定!$C$25="是",反向題設定!$B$2+1-原始資料!V468,原始資料!V468))</f>
        <v/>
      </c>
      <c r="W468">
        <f>IF(原始資料!W468="","",IF(反向題設定!$C$26="是",反向題設定!$B$2+1-原始資料!W468,原始資料!W468))</f>
        <v/>
      </c>
      <c r="X468">
        <f>IF(原始資料!X468="","",IF(反向題設定!$C$27="是",反向題設定!$B$2+1-原始資料!X468,原始資料!X468))</f>
        <v/>
      </c>
      <c r="Y468">
        <f>IF(原始資料!Y468="","",IF(反向題設定!$C$28="是",反向題設定!$B$2+1-原始資料!Y468,原始資料!Y468))</f>
        <v/>
      </c>
      <c r="Z468">
        <f>IF(原始資料!Z468="","",IF(反向題設定!$C$29="是",反向題設定!$B$2+1-原始資料!Z468,原始資料!Z468))</f>
        <v/>
      </c>
      <c r="AA468">
        <f>IF(原始資料!AA468="","",IF(反向題設定!$C$30="是",反向題設定!$B$2+1-原始資料!AA468,原始資料!AA468))</f>
        <v/>
      </c>
      <c r="AB468">
        <f>IF(原始資料!AB468="","",IF(反向題設定!$C$31="是",反向題設定!$B$2+1-原始資料!AB468,原始資料!AB468))</f>
        <v/>
      </c>
      <c r="AC468">
        <f>IF(原始資料!AC468="","",IF(反向題設定!$C$32="是",反向題設定!$B$2+1-原始資料!AC468,原始資料!AC468))</f>
        <v/>
      </c>
      <c r="AD468">
        <f>IF(原始資料!AD468="","",IF(反向題設定!$C$33="是",反向題設定!$B$2+1-原始資料!AD468,原始資料!AD468))</f>
        <v/>
      </c>
      <c r="AE468">
        <f>IF(原始資料!AE468="","",IF(反向題設定!$C$34="是",反向題設定!$B$2+1-原始資料!AE468,原始資料!AE468))</f>
        <v/>
      </c>
      <c r="AF468">
        <f>IF(原始資料!AF468="","",IF(反向題設定!$C$35="是",反向題設定!$B$2+1-原始資料!AF468,原始資料!AF468))</f>
        <v/>
      </c>
      <c r="AG468">
        <f>IF(原始資料!AG468="","",IF(反向題設定!$C$36="是",反向題設定!$B$2+1-原始資料!AG468,原始資料!AG468))</f>
        <v/>
      </c>
      <c r="AH468">
        <f>IF(原始資料!AH468="","",IF(反向題設定!$C$37="是",反向題設定!$B$2+1-原始資料!AH468,原始資料!AH468))</f>
        <v/>
      </c>
      <c r="AI468">
        <f>IF(原始資料!AI468="","",IF(反向題設定!$C$38="是",反向題設定!$B$2+1-原始資料!AI468,原始資料!AI468))</f>
        <v/>
      </c>
      <c r="AJ468">
        <f>IF(原始資料!AJ468="","",IF(反向題設定!$C$39="是",反向題設定!$B$2+1-原始資料!AJ468,原始資料!AJ468))</f>
        <v/>
      </c>
      <c r="AK468">
        <f>IF(原始資料!AK468="","",IF(反向題設定!$C$40="是",反向題設定!$B$2+1-原始資料!AK468,原始資料!AK468))</f>
        <v/>
      </c>
      <c r="AL468">
        <f>IF(原始資料!AL468="","",IF(反向題設定!$C$41="是",反向題設定!$B$2+1-原始資料!AL468,原始資料!AL468))</f>
        <v/>
      </c>
      <c r="AM468">
        <f>IF(原始資料!AM468="","",IF(反向題設定!$C$42="是",反向題設定!$B$2+1-原始資料!AM468,原始資料!AM468))</f>
        <v/>
      </c>
      <c r="AN468">
        <f>IF(原始資料!AN468="","",IF(反向題設定!$C$43="是",反向題設定!$B$2+1-原始資料!AN468,原始資料!AN468))</f>
        <v/>
      </c>
      <c r="AO468">
        <f>IF(原始資料!AO468="","",IF(反向題設定!$C$44="是",反向題設定!$B$2+1-原始資料!AO468,原始資料!AO468))</f>
        <v/>
      </c>
      <c r="AP468">
        <f>IF(COUNT(B468:AO468)=0,"",SUM(B468:AO468))</f>
        <v/>
      </c>
      <c r="AQ468">
        <f>IF(AP468="","",IF(AP468&gt;=項目分析!$C$5,"高",IF(AP468&lt;=項目分析!$C$6,"低","")))</f>
        <v/>
      </c>
    </row>
    <row r="469">
      <c r="A469">
        <f>IF(原始資料!A469="","",原始資料!A469)</f>
        <v/>
      </c>
      <c r="B469">
        <f>IF(原始資料!B469="","",IF(反向題設定!$C$5="是",反向題設定!$B$2+1-原始資料!B469,原始資料!B469))</f>
        <v/>
      </c>
      <c r="C469">
        <f>IF(原始資料!C469="","",IF(反向題設定!$C$6="是",反向題設定!$B$2+1-原始資料!C469,原始資料!C469))</f>
        <v/>
      </c>
      <c r="D469">
        <f>IF(原始資料!D469="","",IF(反向題設定!$C$7="是",反向題設定!$B$2+1-原始資料!D469,原始資料!D469))</f>
        <v/>
      </c>
      <c r="E469">
        <f>IF(原始資料!E469="","",IF(反向題設定!$C$8="是",反向題設定!$B$2+1-原始資料!E469,原始資料!E469))</f>
        <v/>
      </c>
      <c r="F469">
        <f>IF(原始資料!F469="","",IF(反向題設定!$C$9="是",反向題設定!$B$2+1-原始資料!F469,原始資料!F469))</f>
        <v/>
      </c>
      <c r="G469">
        <f>IF(原始資料!G469="","",IF(反向題設定!$C$10="是",反向題設定!$B$2+1-原始資料!G469,原始資料!G469))</f>
        <v/>
      </c>
      <c r="H469">
        <f>IF(原始資料!H469="","",IF(反向題設定!$C$11="是",反向題設定!$B$2+1-原始資料!H469,原始資料!H469))</f>
        <v/>
      </c>
      <c r="I469">
        <f>IF(原始資料!I469="","",IF(反向題設定!$C$12="是",反向題設定!$B$2+1-原始資料!I469,原始資料!I469))</f>
        <v/>
      </c>
      <c r="J469">
        <f>IF(原始資料!J469="","",IF(反向題設定!$C$13="是",反向題設定!$B$2+1-原始資料!J469,原始資料!J469))</f>
        <v/>
      </c>
      <c r="K469">
        <f>IF(原始資料!K469="","",IF(反向題設定!$C$14="是",反向題設定!$B$2+1-原始資料!K469,原始資料!K469))</f>
        <v/>
      </c>
      <c r="L469">
        <f>IF(原始資料!L469="","",IF(反向題設定!$C$15="是",反向題設定!$B$2+1-原始資料!L469,原始資料!L469))</f>
        <v/>
      </c>
      <c r="M469">
        <f>IF(原始資料!M469="","",IF(反向題設定!$C$16="是",反向題設定!$B$2+1-原始資料!M469,原始資料!M469))</f>
        <v/>
      </c>
      <c r="N469">
        <f>IF(原始資料!N469="","",IF(反向題設定!$C$17="是",反向題設定!$B$2+1-原始資料!N469,原始資料!N469))</f>
        <v/>
      </c>
      <c r="O469">
        <f>IF(原始資料!O469="","",IF(反向題設定!$C$18="是",反向題設定!$B$2+1-原始資料!O469,原始資料!O469))</f>
        <v/>
      </c>
      <c r="P469">
        <f>IF(原始資料!P469="","",IF(反向題設定!$C$19="是",反向題設定!$B$2+1-原始資料!P469,原始資料!P469))</f>
        <v/>
      </c>
      <c r="Q469">
        <f>IF(原始資料!Q469="","",IF(反向題設定!$C$20="是",反向題設定!$B$2+1-原始資料!Q469,原始資料!Q469))</f>
        <v/>
      </c>
      <c r="R469">
        <f>IF(原始資料!R469="","",IF(反向題設定!$C$21="是",反向題設定!$B$2+1-原始資料!R469,原始資料!R469))</f>
        <v/>
      </c>
      <c r="S469">
        <f>IF(原始資料!S469="","",IF(反向題設定!$C$22="是",反向題設定!$B$2+1-原始資料!S469,原始資料!S469))</f>
        <v/>
      </c>
      <c r="T469">
        <f>IF(原始資料!T469="","",IF(反向題設定!$C$23="是",反向題設定!$B$2+1-原始資料!T469,原始資料!T469))</f>
        <v/>
      </c>
      <c r="U469">
        <f>IF(原始資料!U469="","",IF(反向題設定!$C$24="是",反向題設定!$B$2+1-原始資料!U469,原始資料!U469))</f>
        <v/>
      </c>
      <c r="V469">
        <f>IF(原始資料!V469="","",IF(反向題設定!$C$25="是",反向題設定!$B$2+1-原始資料!V469,原始資料!V469))</f>
        <v/>
      </c>
      <c r="W469">
        <f>IF(原始資料!W469="","",IF(反向題設定!$C$26="是",反向題設定!$B$2+1-原始資料!W469,原始資料!W469))</f>
        <v/>
      </c>
      <c r="X469">
        <f>IF(原始資料!X469="","",IF(反向題設定!$C$27="是",反向題設定!$B$2+1-原始資料!X469,原始資料!X469))</f>
        <v/>
      </c>
      <c r="Y469">
        <f>IF(原始資料!Y469="","",IF(反向題設定!$C$28="是",反向題設定!$B$2+1-原始資料!Y469,原始資料!Y469))</f>
        <v/>
      </c>
      <c r="Z469">
        <f>IF(原始資料!Z469="","",IF(反向題設定!$C$29="是",反向題設定!$B$2+1-原始資料!Z469,原始資料!Z469))</f>
        <v/>
      </c>
      <c r="AA469">
        <f>IF(原始資料!AA469="","",IF(反向題設定!$C$30="是",反向題設定!$B$2+1-原始資料!AA469,原始資料!AA469))</f>
        <v/>
      </c>
      <c r="AB469">
        <f>IF(原始資料!AB469="","",IF(反向題設定!$C$31="是",反向題設定!$B$2+1-原始資料!AB469,原始資料!AB469))</f>
        <v/>
      </c>
      <c r="AC469">
        <f>IF(原始資料!AC469="","",IF(反向題設定!$C$32="是",反向題設定!$B$2+1-原始資料!AC469,原始資料!AC469))</f>
        <v/>
      </c>
      <c r="AD469">
        <f>IF(原始資料!AD469="","",IF(反向題設定!$C$33="是",反向題設定!$B$2+1-原始資料!AD469,原始資料!AD469))</f>
        <v/>
      </c>
      <c r="AE469">
        <f>IF(原始資料!AE469="","",IF(反向題設定!$C$34="是",反向題設定!$B$2+1-原始資料!AE469,原始資料!AE469))</f>
        <v/>
      </c>
      <c r="AF469">
        <f>IF(原始資料!AF469="","",IF(反向題設定!$C$35="是",反向題設定!$B$2+1-原始資料!AF469,原始資料!AF469))</f>
        <v/>
      </c>
      <c r="AG469">
        <f>IF(原始資料!AG469="","",IF(反向題設定!$C$36="是",反向題設定!$B$2+1-原始資料!AG469,原始資料!AG469))</f>
        <v/>
      </c>
      <c r="AH469">
        <f>IF(原始資料!AH469="","",IF(反向題設定!$C$37="是",反向題設定!$B$2+1-原始資料!AH469,原始資料!AH469))</f>
        <v/>
      </c>
      <c r="AI469">
        <f>IF(原始資料!AI469="","",IF(反向題設定!$C$38="是",反向題設定!$B$2+1-原始資料!AI469,原始資料!AI469))</f>
        <v/>
      </c>
      <c r="AJ469">
        <f>IF(原始資料!AJ469="","",IF(反向題設定!$C$39="是",反向題設定!$B$2+1-原始資料!AJ469,原始資料!AJ469))</f>
        <v/>
      </c>
      <c r="AK469">
        <f>IF(原始資料!AK469="","",IF(反向題設定!$C$40="是",反向題設定!$B$2+1-原始資料!AK469,原始資料!AK469))</f>
        <v/>
      </c>
      <c r="AL469">
        <f>IF(原始資料!AL469="","",IF(反向題設定!$C$41="是",反向題設定!$B$2+1-原始資料!AL469,原始資料!AL469))</f>
        <v/>
      </c>
      <c r="AM469">
        <f>IF(原始資料!AM469="","",IF(反向題設定!$C$42="是",反向題設定!$B$2+1-原始資料!AM469,原始資料!AM469))</f>
        <v/>
      </c>
      <c r="AN469">
        <f>IF(原始資料!AN469="","",IF(反向題設定!$C$43="是",反向題設定!$B$2+1-原始資料!AN469,原始資料!AN469))</f>
        <v/>
      </c>
      <c r="AO469">
        <f>IF(原始資料!AO469="","",IF(反向題設定!$C$44="是",反向題設定!$B$2+1-原始資料!AO469,原始資料!AO469))</f>
        <v/>
      </c>
      <c r="AP469">
        <f>IF(COUNT(B469:AO469)=0,"",SUM(B469:AO469))</f>
        <v/>
      </c>
      <c r="AQ469">
        <f>IF(AP469="","",IF(AP469&gt;=項目分析!$C$5,"高",IF(AP469&lt;=項目分析!$C$6,"低","")))</f>
        <v/>
      </c>
    </row>
    <row r="470">
      <c r="A470">
        <f>IF(原始資料!A470="","",原始資料!A470)</f>
        <v/>
      </c>
      <c r="B470">
        <f>IF(原始資料!B470="","",IF(反向題設定!$C$5="是",反向題設定!$B$2+1-原始資料!B470,原始資料!B470))</f>
        <v/>
      </c>
      <c r="C470">
        <f>IF(原始資料!C470="","",IF(反向題設定!$C$6="是",反向題設定!$B$2+1-原始資料!C470,原始資料!C470))</f>
        <v/>
      </c>
      <c r="D470">
        <f>IF(原始資料!D470="","",IF(反向題設定!$C$7="是",反向題設定!$B$2+1-原始資料!D470,原始資料!D470))</f>
        <v/>
      </c>
      <c r="E470">
        <f>IF(原始資料!E470="","",IF(反向題設定!$C$8="是",反向題設定!$B$2+1-原始資料!E470,原始資料!E470))</f>
        <v/>
      </c>
      <c r="F470">
        <f>IF(原始資料!F470="","",IF(反向題設定!$C$9="是",反向題設定!$B$2+1-原始資料!F470,原始資料!F470))</f>
        <v/>
      </c>
      <c r="G470">
        <f>IF(原始資料!G470="","",IF(反向題設定!$C$10="是",反向題設定!$B$2+1-原始資料!G470,原始資料!G470))</f>
        <v/>
      </c>
      <c r="H470">
        <f>IF(原始資料!H470="","",IF(反向題設定!$C$11="是",反向題設定!$B$2+1-原始資料!H470,原始資料!H470))</f>
        <v/>
      </c>
      <c r="I470">
        <f>IF(原始資料!I470="","",IF(反向題設定!$C$12="是",反向題設定!$B$2+1-原始資料!I470,原始資料!I470))</f>
        <v/>
      </c>
      <c r="J470">
        <f>IF(原始資料!J470="","",IF(反向題設定!$C$13="是",反向題設定!$B$2+1-原始資料!J470,原始資料!J470))</f>
        <v/>
      </c>
      <c r="K470">
        <f>IF(原始資料!K470="","",IF(反向題設定!$C$14="是",反向題設定!$B$2+1-原始資料!K470,原始資料!K470))</f>
        <v/>
      </c>
      <c r="L470">
        <f>IF(原始資料!L470="","",IF(反向題設定!$C$15="是",反向題設定!$B$2+1-原始資料!L470,原始資料!L470))</f>
        <v/>
      </c>
      <c r="M470">
        <f>IF(原始資料!M470="","",IF(反向題設定!$C$16="是",反向題設定!$B$2+1-原始資料!M470,原始資料!M470))</f>
        <v/>
      </c>
      <c r="N470">
        <f>IF(原始資料!N470="","",IF(反向題設定!$C$17="是",反向題設定!$B$2+1-原始資料!N470,原始資料!N470))</f>
        <v/>
      </c>
      <c r="O470">
        <f>IF(原始資料!O470="","",IF(反向題設定!$C$18="是",反向題設定!$B$2+1-原始資料!O470,原始資料!O470))</f>
        <v/>
      </c>
      <c r="P470">
        <f>IF(原始資料!P470="","",IF(反向題設定!$C$19="是",反向題設定!$B$2+1-原始資料!P470,原始資料!P470))</f>
        <v/>
      </c>
      <c r="Q470">
        <f>IF(原始資料!Q470="","",IF(反向題設定!$C$20="是",反向題設定!$B$2+1-原始資料!Q470,原始資料!Q470))</f>
        <v/>
      </c>
      <c r="R470">
        <f>IF(原始資料!R470="","",IF(反向題設定!$C$21="是",反向題設定!$B$2+1-原始資料!R470,原始資料!R470))</f>
        <v/>
      </c>
      <c r="S470">
        <f>IF(原始資料!S470="","",IF(反向題設定!$C$22="是",反向題設定!$B$2+1-原始資料!S470,原始資料!S470))</f>
        <v/>
      </c>
      <c r="T470">
        <f>IF(原始資料!T470="","",IF(反向題設定!$C$23="是",反向題設定!$B$2+1-原始資料!T470,原始資料!T470))</f>
        <v/>
      </c>
      <c r="U470">
        <f>IF(原始資料!U470="","",IF(反向題設定!$C$24="是",反向題設定!$B$2+1-原始資料!U470,原始資料!U470))</f>
        <v/>
      </c>
      <c r="V470">
        <f>IF(原始資料!V470="","",IF(反向題設定!$C$25="是",反向題設定!$B$2+1-原始資料!V470,原始資料!V470))</f>
        <v/>
      </c>
      <c r="W470">
        <f>IF(原始資料!W470="","",IF(反向題設定!$C$26="是",反向題設定!$B$2+1-原始資料!W470,原始資料!W470))</f>
        <v/>
      </c>
      <c r="X470">
        <f>IF(原始資料!X470="","",IF(反向題設定!$C$27="是",反向題設定!$B$2+1-原始資料!X470,原始資料!X470))</f>
        <v/>
      </c>
      <c r="Y470">
        <f>IF(原始資料!Y470="","",IF(反向題設定!$C$28="是",反向題設定!$B$2+1-原始資料!Y470,原始資料!Y470))</f>
        <v/>
      </c>
      <c r="Z470">
        <f>IF(原始資料!Z470="","",IF(反向題設定!$C$29="是",反向題設定!$B$2+1-原始資料!Z470,原始資料!Z470))</f>
        <v/>
      </c>
      <c r="AA470">
        <f>IF(原始資料!AA470="","",IF(反向題設定!$C$30="是",反向題設定!$B$2+1-原始資料!AA470,原始資料!AA470))</f>
        <v/>
      </c>
      <c r="AB470">
        <f>IF(原始資料!AB470="","",IF(反向題設定!$C$31="是",反向題設定!$B$2+1-原始資料!AB470,原始資料!AB470))</f>
        <v/>
      </c>
      <c r="AC470">
        <f>IF(原始資料!AC470="","",IF(反向題設定!$C$32="是",反向題設定!$B$2+1-原始資料!AC470,原始資料!AC470))</f>
        <v/>
      </c>
      <c r="AD470">
        <f>IF(原始資料!AD470="","",IF(反向題設定!$C$33="是",反向題設定!$B$2+1-原始資料!AD470,原始資料!AD470))</f>
        <v/>
      </c>
      <c r="AE470">
        <f>IF(原始資料!AE470="","",IF(反向題設定!$C$34="是",反向題設定!$B$2+1-原始資料!AE470,原始資料!AE470))</f>
        <v/>
      </c>
      <c r="AF470">
        <f>IF(原始資料!AF470="","",IF(反向題設定!$C$35="是",反向題設定!$B$2+1-原始資料!AF470,原始資料!AF470))</f>
        <v/>
      </c>
      <c r="AG470">
        <f>IF(原始資料!AG470="","",IF(反向題設定!$C$36="是",反向題設定!$B$2+1-原始資料!AG470,原始資料!AG470))</f>
        <v/>
      </c>
      <c r="AH470">
        <f>IF(原始資料!AH470="","",IF(反向題設定!$C$37="是",反向題設定!$B$2+1-原始資料!AH470,原始資料!AH470))</f>
        <v/>
      </c>
      <c r="AI470">
        <f>IF(原始資料!AI470="","",IF(反向題設定!$C$38="是",反向題設定!$B$2+1-原始資料!AI470,原始資料!AI470))</f>
        <v/>
      </c>
      <c r="AJ470">
        <f>IF(原始資料!AJ470="","",IF(反向題設定!$C$39="是",反向題設定!$B$2+1-原始資料!AJ470,原始資料!AJ470))</f>
        <v/>
      </c>
      <c r="AK470">
        <f>IF(原始資料!AK470="","",IF(反向題設定!$C$40="是",反向題設定!$B$2+1-原始資料!AK470,原始資料!AK470))</f>
        <v/>
      </c>
      <c r="AL470">
        <f>IF(原始資料!AL470="","",IF(反向題設定!$C$41="是",反向題設定!$B$2+1-原始資料!AL470,原始資料!AL470))</f>
        <v/>
      </c>
      <c r="AM470">
        <f>IF(原始資料!AM470="","",IF(反向題設定!$C$42="是",反向題設定!$B$2+1-原始資料!AM470,原始資料!AM470))</f>
        <v/>
      </c>
      <c r="AN470">
        <f>IF(原始資料!AN470="","",IF(反向題設定!$C$43="是",反向題設定!$B$2+1-原始資料!AN470,原始資料!AN470))</f>
        <v/>
      </c>
      <c r="AO470">
        <f>IF(原始資料!AO470="","",IF(反向題設定!$C$44="是",反向題設定!$B$2+1-原始資料!AO470,原始資料!AO470))</f>
        <v/>
      </c>
      <c r="AP470">
        <f>IF(COUNT(B470:AO470)=0,"",SUM(B470:AO470))</f>
        <v/>
      </c>
      <c r="AQ470">
        <f>IF(AP470="","",IF(AP470&gt;=項目分析!$C$5,"高",IF(AP470&lt;=項目分析!$C$6,"低","")))</f>
        <v/>
      </c>
    </row>
    <row r="471">
      <c r="A471">
        <f>IF(原始資料!A471="","",原始資料!A471)</f>
        <v/>
      </c>
      <c r="B471">
        <f>IF(原始資料!B471="","",IF(反向題設定!$C$5="是",反向題設定!$B$2+1-原始資料!B471,原始資料!B471))</f>
        <v/>
      </c>
      <c r="C471">
        <f>IF(原始資料!C471="","",IF(反向題設定!$C$6="是",反向題設定!$B$2+1-原始資料!C471,原始資料!C471))</f>
        <v/>
      </c>
      <c r="D471">
        <f>IF(原始資料!D471="","",IF(反向題設定!$C$7="是",反向題設定!$B$2+1-原始資料!D471,原始資料!D471))</f>
        <v/>
      </c>
      <c r="E471">
        <f>IF(原始資料!E471="","",IF(反向題設定!$C$8="是",反向題設定!$B$2+1-原始資料!E471,原始資料!E471))</f>
        <v/>
      </c>
      <c r="F471">
        <f>IF(原始資料!F471="","",IF(反向題設定!$C$9="是",反向題設定!$B$2+1-原始資料!F471,原始資料!F471))</f>
        <v/>
      </c>
      <c r="G471">
        <f>IF(原始資料!G471="","",IF(反向題設定!$C$10="是",反向題設定!$B$2+1-原始資料!G471,原始資料!G471))</f>
        <v/>
      </c>
      <c r="H471">
        <f>IF(原始資料!H471="","",IF(反向題設定!$C$11="是",反向題設定!$B$2+1-原始資料!H471,原始資料!H471))</f>
        <v/>
      </c>
      <c r="I471">
        <f>IF(原始資料!I471="","",IF(反向題設定!$C$12="是",反向題設定!$B$2+1-原始資料!I471,原始資料!I471))</f>
        <v/>
      </c>
      <c r="J471">
        <f>IF(原始資料!J471="","",IF(反向題設定!$C$13="是",反向題設定!$B$2+1-原始資料!J471,原始資料!J471))</f>
        <v/>
      </c>
      <c r="K471">
        <f>IF(原始資料!K471="","",IF(反向題設定!$C$14="是",反向題設定!$B$2+1-原始資料!K471,原始資料!K471))</f>
        <v/>
      </c>
      <c r="L471">
        <f>IF(原始資料!L471="","",IF(反向題設定!$C$15="是",反向題設定!$B$2+1-原始資料!L471,原始資料!L471))</f>
        <v/>
      </c>
      <c r="M471">
        <f>IF(原始資料!M471="","",IF(反向題設定!$C$16="是",反向題設定!$B$2+1-原始資料!M471,原始資料!M471))</f>
        <v/>
      </c>
      <c r="N471">
        <f>IF(原始資料!N471="","",IF(反向題設定!$C$17="是",反向題設定!$B$2+1-原始資料!N471,原始資料!N471))</f>
        <v/>
      </c>
      <c r="O471">
        <f>IF(原始資料!O471="","",IF(反向題設定!$C$18="是",反向題設定!$B$2+1-原始資料!O471,原始資料!O471))</f>
        <v/>
      </c>
      <c r="P471">
        <f>IF(原始資料!P471="","",IF(反向題設定!$C$19="是",反向題設定!$B$2+1-原始資料!P471,原始資料!P471))</f>
        <v/>
      </c>
      <c r="Q471">
        <f>IF(原始資料!Q471="","",IF(反向題設定!$C$20="是",反向題設定!$B$2+1-原始資料!Q471,原始資料!Q471))</f>
        <v/>
      </c>
      <c r="R471">
        <f>IF(原始資料!R471="","",IF(反向題設定!$C$21="是",反向題設定!$B$2+1-原始資料!R471,原始資料!R471))</f>
        <v/>
      </c>
      <c r="S471">
        <f>IF(原始資料!S471="","",IF(反向題設定!$C$22="是",反向題設定!$B$2+1-原始資料!S471,原始資料!S471))</f>
        <v/>
      </c>
      <c r="T471">
        <f>IF(原始資料!T471="","",IF(反向題設定!$C$23="是",反向題設定!$B$2+1-原始資料!T471,原始資料!T471))</f>
        <v/>
      </c>
      <c r="U471">
        <f>IF(原始資料!U471="","",IF(反向題設定!$C$24="是",反向題設定!$B$2+1-原始資料!U471,原始資料!U471))</f>
        <v/>
      </c>
      <c r="V471">
        <f>IF(原始資料!V471="","",IF(反向題設定!$C$25="是",反向題設定!$B$2+1-原始資料!V471,原始資料!V471))</f>
        <v/>
      </c>
      <c r="W471">
        <f>IF(原始資料!W471="","",IF(反向題設定!$C$26="是",反向題設定!$B$2+1-原始資料!W471,原始資料!W471))</f>
        <v/>
      </c>
      <c r="X471">
        <f>IF(原始資料!X471="","",IF(反向題設定!$C$27="是",反向題設定!$B$2+1-原始資料!X471,原始資料!X471))</f>
        <v/>
      </c>
      <c r="Y471">
        <f>IF(原始資料!Y471="","",IF(反向題設定!$C$28="是",反向題設定!$B$2+1-原始資料!Y471,原始資料!Y471))</f>
        <v/>
      </c>
      <c r="Z471">
        <f>IF(原始資料!Z471="","",IF(反向題設定!$C$29="是",反向題設定!$B$2+1-原始資料!Z471,原始資料!Z471))</f>
        <v/>
      </c>
      <c r="AA471">
        <f>IF(原始資料!AA471="","",IF(反向題設定!$C$30="是",反向題設定!$B$2+1-原始資料!AA471,原始資料!AA471))</f>
        <v/>
      </c>
      <c r="AB471">
        <f>IF(原始資料!AB471="","",IF(反向題設定!$C$31="是",反向題設定!$B$2+1-原始資料!AB471,原始資料!AB471))</f>
        <v/>
      </c>
      <c r="AC471">
        <f>IF(原始資料!AC471="","",IF(反向題設定!$C$32="是",反向題設定!$B$2+1-原始資料!AC471,原始資料!AC471))</f>
        <v/>
      </c>
      <c r="AD471">
        <f>IF(原始資料!AD471="","",IF(反向題設定!$C$33="是",反向題設定!$B$2+1-原始資料!AD471,原始資料!AD471))</f>
        <v/>
      </c>
      <c r="AE471">
        <f>IF(原始資料!AE471="","",IF(反向題設定!$C$34="是",反向題設定!$B$2+1-原始資料!AE471,原始資料!AE471))</f>
        <v/>
      </c>
      <c r="AF471">
        <f>IF(原始資料!AF471="","",IF(反向題設定!$C$35="是",反向題設定!$B$2+1-原始資料!AF471,原始資料!AF471))</f>
        <v/>
      </c>
      <c r="AG471">
        <f>IF(原始資料!AG471="","",IF(反向題設定!$C$36="是",反向題設定!$B$2+1-原始資料!AG471,原始資料!AG471))</f>
        <v/>
      </c>
      <c r="AH471">
        <f>IF(原始資料!AH471="","",IF(反向題設定!$C$37="是",反向題設定!$B$2+1-原始資料!AH471,原始資料!AH471))</f>
        <v/>
      </c>
      <c r="AI471">
        <f>IF(原始資料!AI471="","",IF(反向題設定!$C$38="是",反向題設定!$B$2+1-原始資料!AI471,原始資料!AI471))</f>
        <v/>
      </c>
      <c r="AJ471">
        <f>IF(原始資料!AJ471="","",IF(反向題設定!$C$39="是",反向題設定!$B$2+1-原始資料!AJ471,原始資料!AJ471))</f>
        <v/>
      </c>
      <c r="AK471">
        <f>IF(原始資料!AK471="","",IF(反向題設定!$C$40="是",反向題設定!$B$2+1-原始資料!AK471,原始資料!AK471))</f>
        <v/>
      </c>
      <c r="AL471">
        <f>IF(原始資料!AL471="","",IF(反向題設定!$C$41="是",反向題設定!$B$2+1-原始資料!AL471,原始資料!AL471))</f>
        <v/>
      </c>
      <c r="AM471">
        <f>IF(原始資料!AM471="","",IF(反向題設定!$C$42="是",反向題設定!$B$2+1-原始資料!AM471,原始資料!AM471))</f>
        <v/>
      </c>
      <c r="AN471">
        <f>IF(原始資料!AN471="","",IF(反向題設定!$C$43="是",反向題設定!$B$2+1-原始資料!AN471,原始資料!AN471))</f>
        <v/>
      </c>
      <c r="AO471">
        <f>IF(原始資料!AO471="","",IF(反向題設定!$C$44="是",反向題設定!$B$2+1-原始資料!AO471,原始資料!AO471))</f>
        <v/>
      </c>
      <c r="AP471">
        <f>IF(COUNT(B471:AO471)=0,"",SUM(B471:AO471))</f>
        <v/>
      </c>
      <c r="AQ471">
        <f>IF(AP471="","",IF(AP471&gt;=項目分析!$C$5,"高",IF(AP471&lt;=項目分析!$C$6,"低","")))</f>
        <v/>
      </c>
    </row>
    <row r="472">
      <c r="A472">
        <f>IF(原始資料!A472="","",原始資料!A472)</f>
        <v/>
      </c>
      <c r="B472">
        <f>IF(原始資料!B472="","",IF(反向題設定!$C$5="是",反向題設定!$B$2+1-原始資料!B472,原始資料!B472))</f>
        <v/>
      </c>
      <c r="C472">
        <f>IF(原始資料!C472="","",IF(反向題設定!$C$6="是",反向題設定!$B$2+1-原始資料!C472,原始資料!C472))</f>
        <v/>
      </c>
      <c r="D472">
        <f>IF(原始資料!D472="","",IF(反向題設定!$C$7="是",反向題設定!$B$2+1-原始資料!D472,原始資料!D472))</f>
        <v/>
      </c>
      <c r="E472">
        <f>IF(原始資料!E472="","",IF(反向題設定!$C$8="是",反向題設定!$B$2+1-原始資料!E472,原始資料!E472))</f>
        <v/>
      </c>
      <c r="F472">
        <f>IF(原始資料!F472="","",IF(反向題設定!$C$9="是",反向題設定!$B$2+1-原始資料!F472,原始資料!F472))</f>
        <v/>
      </c>
      <c r="G472">
        <f>IF(原始資料!G472="","",IF(反向題設定!$C$10="是",反向題設定!$B$2+1-原始資料!G472,原始資料!G472))</f>
        <v/>
      </c>
      <c r="H472">
        <f>IF(原始資料!H472="","",IF(反向題設定!$C$11="是",反向題設定!$B$2+1-原始資料!H472,原始資料!H472))</f>
        <v/>
      </c>
      <c r="I472">
        <f>IF(原始資料!I472="","",IF(反向題設定!$C$12="是",反向題設定!$B$2+1-原始資料!I472,原始資料!I472))</f>
        <v/>
      </c>
      <c r="J472">
        <f>IF(原始資料!J472="","",IF(反向題設定!$C$13="是",反向題設定!$B$2+1-原始資料!J472,原始資料!J472))</f>
        <v/>
      </c>
      <c r="K472">
        <f>IF(原始資料!K472="","",IF(反向題設定!$C$14="是",反向題設定!$B$2+1-原始資料!K472,原始資料!K472))</f>
        <v/>
      </c>
      <c r="L472">
        <f>IF(原始資料!L472="","",IF(反向題設定!$C$15="是",反向題設定!$B$2+1-原始資料!L472,原始資料!L472))</f>
        <v/>
      </c>
      <c r="M472">
        <f>IF(原始資料!M472="","",IF(反向題設定!$C$16="是",反向題設定!$B$2+1-原始資料!M472,原始資料!M472))</f>
        <v/>
      </c>
      <c r="N472">
        <f>IF(原始資料!N472="","",IF(反向題設定!$C$17="是",反向題設定!$B$2+1-原始資料!N472,原始資料!N472))</f>
        <v/>
      </c>
      <c r="O472">
        <f>IF(原始資料!O472="","",IF(反向題設定!$C$18="是",反向題設定!$B$2+1-原始資料!O472,原始資料!O472))</f>
        <v/>
      </c>
      <c r="P472">
        <f>IF(原始資料!P472="","",IF(反向題設定!$C$19="是",反向題設定!$B$2+1-原始資料!P472,原始資料!P472))</f>
        <v/>
      </c>
      <c r="Q472">
        <f>IF(原始資料!Q472="","",IF(反向題設定!$C$20="是",反向題設定!$B$2+1-原始資料!Q472,原始資料!Q472))</f>
        <v/>
      </c>
      <c r="R472">
        <f>IF(原始資料!R472="","",IF(反向題設定!$C$21="是",反向題設定!$B$2+1-原始資料!R472,原始資料!R472))</f>
        <v/>
      </c>
      <c r="S472">
        <f>IF(原始資料!S472="","",IF(反向題設定!$C$22="是",反向題設定!$B$2+1-原始資料!S472,原始資料!S472))</f>
        <v/>
      </c>
      <c r="T472">
        <f>IF(原始資料!T472="","",IF(反向題設定!$C$23="是",反向題設定!$B$2+1-原始資料!T472,原始資料!T472))</f>
        <v/>
      </c>
      <c r="U472">
        <f>IF(原始資料!U472="","",IF(反向題設定!$C$24="是",反向題設定!$B$2+1-原始資料!U472,原始資料!U472))</f>
        <v/>
      </c>
      <c r="V472">
        <f>IF(原始資料!V472="","",IF(反向題設定!$C$25="是",反向題設定!$B$2+1-原始資料!V472,原始資料!V472))</f>
        <v/>
      </c>
      <c r="W472">
        <f>IF(原始資料!W472="","",IF(反向題設定!$C$26="是",反向題設定!$B$2+1-原始資料!W472,原始資料!W472))</f>
        <v/>
      </c>
      <c r="X472">
        <f>IF(原始資料!X472="","",IF(反向題設定!$C$27="是",反向題設定!$B$2+1-原始資料!X472,原始資料!X472))</f>
        <v/>
      </c>
      <c r="Y472">
        <f>IF(原始資料!Y472="","",IF(反向題設定!$C$28="是",反向題設定!$B$2+1-原始資料!Y472,原始資料!Y472))</f>
        <v/>
      </c>
      <c r="Z472">
        <f>IF(原始資料!Z472="","",IF(反向題設定!$C$29="是",反向題設定!$B$2+1-原始資料!Z472,原始資料!Z472))</f>
        <v/>
      </c>
      <c r="AA472">
        <f>IF(原始資料!AA472="","",IF(反向題設定!$C$30="是",反向題設定!$B$2+1-原始資料!AA472,原始資料!AA472))</f>
        <v/>
      </c>
      <c r="AB472">
        <f>IF(原始資料!AB472="","",IF(反向題設定!$C$31="是",反向題設定!$B$2+1-原始資料!AB472,原始資料!AB472))</f>
        <v/>
      </c>
      <c r="AC472">
        <f>IF(原始資料!AC472="","",IF(反向題設定!$C$32="是",反向題設定!$B$2+1-原始資料!AC472,原始資料!AC472))</f>
        <v/>
      </c>
      <c r="AD472">
        <f>IF(原始資料!AD472="","",IF(反向題設定!$C$33="是",反向題設定!$B$2+1-原始資料!AD472,原始資料!AD472))</f>
        <v/>
      </c>
      <c r="AE472">
        <f>IF(原始資料!AE472="","",IF(反向題設定!$C$34="是",反向題設定!$B$2+1-原始資料!AE472,原始資料!AE472))</f>
        <v/>
      </c>
      <c r="AF472">
        <f>IF(原始資料!AF472="","",IF(反向題設定!$C$35="是",反向題設定!$B$2+1-原始資料!AF472,原始資料!AF472))</f>
        <v/>
      </c>
      <c r="AG472">
        <f>IF(原始資料!AG472="","",IF(反向題設定!$C$36="是",反向題設定!$B$2+1-原始資料!AG472,原始資料!AG472))</f>
        <v/>
      </c>
      <c r="AH472">
        <f>IF(原始資料!AH472="","",IF(反向題設定!$C$37="是",反向題設定!$B$2+1-原始資料!AH472,原始資料!AH472))</f>
        <v/>
      </c>
      <c r="AI472">
        <f>IF(原始資料!AI472="","",IF(反向題設定!$C$38="是",反向題設定!$B$2+1-原始資料!AI472,原始資料!AI472))</f>
        <v/>
      </c>
      <c r="AJ472">
        <f>IF(原始資料!AJ472="","",IF(反向題設定!$C$39="是",反向題設定!$B$2+1-原始資料!AJ472,原始資料!AJ472))</f>
        <v/>
      </c>
      <c r="AK472">
        <f>IF(原始資料!AK472="","",IF(反向題設定!$C$40="是",反向題設定!$B$2+1-原始資料!AK472,原始資料!AK472))</f>
        <v/>
      </c>
      <c r="AL472">
        <f>IF(原始資料!AL472="","",IF(反向題設定!$C$41="是",反向題設定!$B$2+1-原始資料!AL472,原始資料!AL472))</f>
        <v/>
      </c>
      <c r="AM472">
        <f>IF(原始資料!AM472="","",IF(反向題設定!$C$42="是",反向題設定!$B$2+1-原始資料!AM472,原始資料!AM472))</f>
        <v/>
      </c>
      <c r="AN472">
        <f>IF(原始資料!AN472="","",IF(反向題設定!$C$43="是",反向題設定!$B$2+1-原始資料!AN472,原始資料!AN472))</f>
        <v/>
      </c>
      <c r="AO472">
        <f>IF(原始資料!AO472="","",IF(反向題設定!$C$44="是",反向題設定!$B$2+1-原始資料!AO472,原始資料!AO472))</f>
        <v/>
      </c>
      <c r="AP472">
        <f>IF(COUNT(B472:AO472)=0,"",SUM(B472:AO472))</f>
        <v/>
      </c>
      <c r="AQ472">
        <f>IF(AP472="","",IF(AP472&gt;=項目分析!$C$5,"高",IF(AP472&lt;=項目分析!$C$6,"低","")))</f>
        <v/>
      </c>
    </row>
    <row r="473">
      <c r="A473">
        <f>IF(原始資料!A473="","",原始資料!A473)</f>
        <v/>
      </c>
      <c r="B473">
        <f>IF(原始資料!B473="","",IF(反向題設定!$C$5="是",反向題設定!$B$2+1-原始資料!B473,原始資料!B473))</f>
        <v/>
      </c>
      <c r="C473">
        <f>IF(原始資料!C473="","",IF(反向題設定!$C$6="是",反向題設定!$B$2+1-原始資料!C473,原始資料!C473))</f>
        <v/>
      </c>
      <c r="D473">
        <f>IF(原始資料!D473="","",IF(反向題設定!$C$7="是",反向題設定!$B$2+1-原始資料!D473,原始資料!D473))</f>
        <v/>
      </c>
      <c r="E473">
        <f>IF(原始資料!E473="","",IF(反向題設定!$C$8="是",反向題設定!$B$2+1-原始資料!E473,原始資料!E473))</f>
        <v/>
      </c>
      <c r="F473">
        <f>IF(原始資料!F473="","",IF(反向題設定!$C$9="是",反向題設定!$B$2+1-原始資料!F473,原始資料!F473))</f>
        <v/>
      </c>
      <c r="G473">
        <f>IF(原始資料!G473="","",IF(反向題設定!$C$10="是",反向題設定!$B$2+1-原始資料!G473,原始資料!G473))</f>
        <v/>
      </c>
      <c r="H473">
        <f>IF(原始資料!H473="","",IF(反向題設定!$C$11="是",反向題設定!$B$2+1-原始資料!H473,原始資料!H473))</f>
        <v/>
      </c>
      <c r="I473">
        <f>IF(原始資料!I473="","",IF(反向題設定!$C$12="是",反向題設定!$B$2+1-原始資料!I473,原始資料!I473))</f>
        <v/>
      </c>
      <c r="J473">
        <f>IF(原始資料!J473="","",IF(反向題設定!$C$13="是",反向題設定!$B$2+1-原始資料!J473,原始資料!J473))</f>
        <v/>
      </c>
      <c r="K473">
        <f>IF(原始資料!K473="","",IF(反向題設定!$C$14="是",反向題設定!$B$2+1-原始資料!K473,原始資料!K473))</f>
        <v/>
      </c>
      <c r="L473">
        <f>IF(原始資料!L473="","",IF(反向題設定!$C$15="是",反向題設定!$B$2+1-原始資料!L473,原始資料!L473))</f>
        <v/>
      </c>
      <c r="M473">
        <f>IF(原始資料!M473="","",IF(反向題設定!$C$16="是",反向題設定!$B$2+1-原始資料!M473,原始資料!M473))</f>
        <v/>
      </c>
      <c r="N473">
        <f>IF(原始資料!N473="","",IF(反向題設定!$C$17="是",反向題設定!$B$2+1-原始資料!N473,原始資料!N473))</f>
        <v/>
      </c>
      <c r="O473">
        <f>IF(原始資料!O473="","",IF(反向題設定!$C$18="是",反向題設定!$B$2+1-原始資料!O473,原始資料!O473))</f>
        <v/>
      </c>
      <c r="P473">
        <f>IF(原始資料!P473="","",IF(反向題設定!$C$19="是",反向題設定!$B$2+1-原始資料!P473,原始資料!P473))</f>
        <v/>
      </c>
      <c r="Q473">
        <f>IF(原始資料!Q473="","",IF(反向題設定!$C$20="是",反向題設定!$B$2+1-原始資料!Q473,原始資料!Q473))</f>
        <v/>
      </c>
      <c r="R473">
        <f>IF(原始資料!R473="","",IF(反向題設定!$C$21="是",反向題設定!$B$2+1-原始資料!R473,原始資料!R473))</f>
        <v/>
      </c>
      <c r="S473">
        <f>IF(原始資料!S473="","",IF(反向題設定!$C$22="是",反向題設定!$B$2+1-原始資料!S473,原始資料!S473))</f>
        <v/>
      </c>
      <c r="T473">
        <f>IF(原始資料!T473="","",IF(反向題設定!$C$23="是",反向題設定!$B$2+1-原始資料!T473,原始資料!T473))</f>
        <v/>
      </c>
      <c r="U473">
        <f>IF(原始資料!U473="","",IF(反向題設定!$C$24="是",反向題設定!$B$2+1-原始資料!U473,原始資料!U473))</f>
        <v/>
      </c>
      <c r="V473">
        <f>IF(原始資料!V473="","",IF(反向題設定!$C$25="是",反向題設定!$B$2+1-原始資料!V473,原始資料!V473))</f>
        <v/>
      </c>
      <c r="W473">
        <f>IF(原始資料!W473="","",IF(反向題設定!$C$26="是",反向題設定!$B$2+1-原始資料!W473,原始資料!W473))</f>
        <v/>
      </c>
      <c r="X473">
        <f>IF(原始資料!X473="","",IF(反向題設定!$C$27="是",反向題設定!$B$2+1-原始資料!X473,原始資料!X473))</f>
        <v/>
      </c>
      <c r="Y473">
        <f>IF(原始資料!Y473="","",IF(反向題設定!$C$28="是",反向題設定!$B$2+1-原始資料!Y473,原始資料!Y473))</f>
        <v/>
      </c>
      <c r="Z473">
        <f>IF(原始資料!Z473="","",IF(反向題設定!$C$29="是",反向題設定!$B$2+1-原始資料!Z473,原始資料!Z473))</f>
        <v/>
      </c>
      <c r="AA473">
        <f>IF(原始資料!AA473="","",IF(反向題設定!$C$30="是",反向題設定!$B$2+1-原始資料!AA473,原始資料!AA473))</f>
        <v/>
      </c>
      <c r="AB473">
        <f>IF(原始資料!AB473="","",IF(反向題設定!$C$31="是",反向題設定!$B$2+1-原始資料!AB473,原始資料!AB473))</f>
        <v/>
      </c>
      <c r="AC473">
        <f>IF(原始資料!AC473="","",IF(反向題設定!$C$32="是",反向題設定!$B$2+1-原始資料!AC473,原始資料!AC473))</f>
        <v/>
      </c>
      <c r="AD473">
        <f>IF(原始資料!AD473="","",IF(反向題設定!$C$33="是",反向題設定!$B$2+1-原始資料!AD473,原始資料!AD473))</f>
        <v/>
      </c>
      <c r="AE473">
        <f>IF(原始資料!AE473="","",IF(反向題設定!$C$34="是",反向題設定!$B$2+1-原始資料!AE473,原始資料!AE473))</f>
        <v/>
      </c>
      <c r="AF473">
        <f>IF(原始資料!AF473="","",IF(反向題設定!$C$35="是",反向題設定!$B$2+1-原始資料!AF473,原始資料!AF473))</f>
        <v/>
      </c>
      <c r="AG473">
        <f>IF(原始資料!AG473="","",IF(反向題設定!$C$36="是",反向題設定!$B$2+1-原始資料!AG473,原始資料!AG473))</f>
        <v/>
      </c>
      <c r="AH473">
        <f>IF(原始資料!AH473="","",IF(反向題設定!$C$37="是",反向題設定!$B$2+1-原始資料!AH473,原始資料!AH473))</f>
        <v/>
      </c>
      <c r="AI473">
        <f>IF(原始資料!AI473="","",IF(反向題設定!$C$38="是",反向題設定!$B$2+1-原始資料!AI473,原始資料!AI473))</f>
        <v/>
      </c>
      <c r="AJ473">
        <f>IF(原始資料!AJ473="","",IF(反向題設定!$C$39="是",反向題設定!$B$2+1-原始資料!AJ473,原始資料!AJ473))</f>
        <v/>
      </c>
      <c r="AK473">
        <f>IF(原始資料!AK473="","",IF(反向題設定!$C$40="是",反向題設定!$B$2+1-原始資料!AK473,原始資料!AK473))</f>
        <v/>
      </c>
      <c r="AL473">
        <f>IF(原始資料!AL473="","",IF(反向題設定!$C$41="是",反向題設定!$B$2+1-原始資料!AL473,原始資料!AL473))</f>
        <v/>
      </c>
      <c r="AM473">
        <f>IF(原始資料!AM473="","",IF(反向題設定!$C$42="是",反向題設定!$B$2+1-原始資料!AM473,原始資料!AM473))</f>
        <v/>
      </c>
      <c r="AN473">
        <f>IF(原始資料!AN473="","",IF(反向題設定!$C$43="是",反向題設定!$B$2+1-原始資料!AN473,原始資料!AN473))</f>
        <v/>
      </c>
      <c r="AO473">
        <f>IF(原始資料!AO473="","",IF(反向題設定!$C$44="是",反向題設定!$B$2+1-原始資料!AO473,原始資料!AO473))</f>
        <v/>
      </c>
      <c r="AP473">
        <f>IF(COUNT(B473:AO473)=0,"",SUM(B473:AO473))</f>
        <v/>
      </c>
      <c r="AQ473">
        <f>IF(AP473="","",IF(AP473&gt;=項目分析!$C$5,"高",IF(AP473&lt;=項目分析!$C$6,"低","")))</f>
        <v/>
      </c>
    </row>
    <row r="474">
      <c r="A474">
        <f>IF(原始資料!A474="","",原始資料!A474)</f>
        <v/>
      </c>
      <c r="B474">
        <f>IF(原始資料!B474="","",IF(反向題設定!$C$5="是",反向題設定!$B$2+1-原始資料!B474,原始資料!B474))</f>
        <v/>
      </c>
      <c r="C474">
        <f>IF(原始資料!C474="","",IF(反向題設定!$C$6="是",反向題設定!$B$2+1-原始資料!C474,原始資料!C474))</f>
        <v/>
      </c>
      <c r="D474">
        <f>IF(原始資料!D474="","",IF(反向題設定!$C$7="是",反向題設定!$B$2+1-原始資料!D474,原始資料!D474))</f>
        <v/>
      </c>
      <c r="E474">
        <f>IF(原始資料!E474="","",IF(反向題設定!$C$8="是",反向題設定!$B$2+1-原始資料!E474,原始資料!E474))</f>
        <v/>
      </c>
      <c r="F474">
        <f>IF(原始資料!F474="","",IF(反向題設定!$C$9="是",反向題設定!$B$2+1-原始資料!F474,原始資料!F474))</f>
        <v/>
      </c>
      <c r="G474">
        <f>IF(原始資料!G474="","",IF(反向題設定!$C$10="是",反向題設定!$B$2+1-原始資料!G474,原始資料!G474))</f>
        <v/>
      </c>
      <c r="H474">
        <f>IF(原始資料!H474="","",IF(反向題設定!$C$11="是",反向題設定!$B$2+1-原始資料!H474,原始資料!H474))</f>
        <v/>
      </c>
      <c r="I474">
        <f>IF(原始資料!I474="","",IF(反向題設定!$C$12="是",反向題設定!$B$2+1-原始資料!I474,原始資料!I474))</f>
        <v/>
      </c>
      <c r="J474">
        <f>IF(原始資料!J474="","",IF(反向題設定!$C$13="是",反向題設定!$B$2+1-原始資料!J474,原始資料!J474))</f>
        <v/>
      </c>
      <c r="K474">
        <f>IF(原始資料!K474="","",IF(反向題設定!$C$14="是",反向題設定!$B$2+1-原始資料!K474,原始資料!K474))</f>
        <v/>
      </c>
      <c r="L474">
        <f>IF(原始資料!L474="","",IF(反向題設定!$C$15="是",反向題設定!$B$2+1-原始資料!L474,原始資料!L474))</f>
        <v/>
      </c>
      <c r="M474">
        <f>IF(原始資料!M474="","",IF(反向題設定!$C$16="是",反向題設定!$B$2+1-原始資料!M474,原始資料!M474))</f>
        <v/>
      </c>
      <c r="N474">
        <f>IF(原始資料!N474="","",IF(反向題設定!$C$17="是",反向題設定!$B$2+1-原始資料!N474,原始資料!N474))</f>
        <v/>
      </c>
      <c r="O474">
        <f>IF(原始資料!O474="","",IF(反向題設定!$C$18="是",反向題設定!$B$2+1-原始資料!O474,原始資料!O474))</f>
        <v/>
      </c>
      <c r="P474">
        <f>IF(原始資料!P474="","",IF(反向題設定!$C$19="是",反向題設定!$B$2+1-原始資料!P474,原始資料!P474))</f>
        <v/>
      </c>
      <c r="Q474">
        <f>IF(原始資料!Q474="","",IF(反向題設定!$C$20="是",反向題設定!$B$2+1-原始資料!Q474,原始資料!Q474))</f>
        <v/>
      </c>
      <c r="R474">
        <f>IF(原始資料!R474="","",IF(反向題設定!$C$21="是",反向題設定!$B$2+1-原始資料!R474,原始資料!R474))</f>
        <v/>
      </c>
      <c r="S474">
        <f>IF(原始資料!S474="","",IF(反向題設定!$C$22="是",反向題設定!$B$2+1-原始資料!S474,原始資料!S474))</f>
        <v/>
      </c>
      <c r="T474">
        <f>IF(原始資料!T474="","",IF(反向題設定!$C$23="是",反向題設定!$B$2+1-原始資料!T474,原始資料!T474))</f>
        <v/>
      </c>
      <c r="U474">
        <f>IF(原始資料!U474="","",IF(反向題設定!$C$24="是",反向題設定!$B$2+1-原始資料!U474,原始資料!U474))</f>
        <v/>
      </c>
      <c r="V474">
        <f>IF(原始資料!V474="","",IF(反向題設定!$C$25="是",反向題設定!$B$2+1-原始資料!V474,原始資料!V474))</f>
        <v/>
      </c>
      <c r="W474">
        <f>IF(原始資料!W474="","",IF(反向題設定!$C$26="是",反向題設定!$B$2+1-原始資料!W474,原始資料!W474))</f>
        <v/>
      </c>
      <c r="X474">
        <f>IF(原始資料!X474="","",IF(反向題設定!$C$27="是",反向題設定!$B$2+1-原始資料!X474,原始資料!X474))</f>
        <v/>
      </c>
      <c r="Y474">
        <f>IF(原始資料!Y474="","",IF(反向題設定!$C$28="是",反向題設定!$B$2+1-原始資料!Y474,原始資料!Y474))</f>
        <v/>
      </c>
      <c r="Z474">
        <f>IF(原始資料!Z474="","",IF(反向題設定!$C$29="是",反向題設定!$B$2+1-原始資料!Z474,原始資料!Z474))</f>
        <v/>
      </c>
      <c r="AA474">
        <f>IF(原始資料!AA474="","",IF(反向題設定!$C$30="是",反向題設定!$B$2+1-原始資料!AA474,原始資料!AA474))</f>
        <v/>
      </c>
      <c r="AB474">
        <f>IF(原始資料!AB474="","",IF(反向題設定!$C$31="是",反向題設定!$B$2+1-原始資料!AB474,原始資料!AB474))</f>
        <v/>
      </c>
      <c r="AC474">
        <f>IF(原始資料!AC474="","",IF(反向題設定!$C$32="是",反向題設定!$B$2+1-原始資料!AC474,原始資料!AC474))</f>
        <v/>
      </c>
      <c r="AD474">
        <f>IF(原始資料!AD474="","",IF(反向題設定!$C$33="是",反向題設定!$B$2+1-原始資料!AD474,原始資料!AD474))</f>
        <v/>
      </c>
      <c r="AE474">
        <f>IF(原始資料!AE474="","",IF(反向題設定!$C$34="是",反向題設定!$B$2+1-原始資料!AE474,原始資料!AE474))</f>
        <v/>
      </c>
      <c r="AF474">
        <f>IF(原始資料!AF474="","",IF(反向題設定!$C$35="是",反向題設定!$B$2+1-原始資料!AF474,原始資料!AF474))</f>
        <v/>
      </c>
      <c r="AG474">
        <f>IF(原始資料!AG474="","",IF(反向題設定!$C$36="是",反向題設定!$B$2+1-原始資料!AG474,原始資料!AG474))</f>
        <v/>
      </c>
      <c r="AH474">
        <f>IF(原始資料!AH474="","",IF(反向題設定!$C$37="是",反向題設定!$B$2+1-原始資料!AH474,原始資料!AH474))</f>
        <v/>
      </c>
      <c r="AI474">
        <f>IF(原始資料!AI474="","",IF(反向題設定!$C$38="是",反向題設定!$B$2+1-原始資料!AI474,原始資料!AI474))</f>
        <v/>
      </c>
      <c r="AJ474">
        <f>IF(原始資料!AJ474="","",IF(反向題設定!$C$39="是",反向題設定!$B$2+1-原始資料!AJ474,原始資料!AJ474))</f>
        <v/>
      </c>
      <c r="AK474">
        <f>IF(原始資料!AK474="","",IF(反向題設定!$C$40="是",反向題設定!$B$2+1-原始資料!AK474,原始資料!AK474))</f>
        <v/>
      </c>
      <c r="AL474">
        <f>IF(原始資料!AL474="","",IF(反向題設定!$C$41="是",反向題設定!$B$2+1-原始資料!AL474,原始資料!AL474))</f>
        <v/>
      </c>
      <c r="AM474">
        <f>IF(原始資料!AM474="","",IF(反向題設定!$C$42="是",反向題設定!$B$2+1-原始資料!AM474,原始資料!AM474))</f>
        <v/>
      </c>
      <c r="AN474">
        <f>IF(原始資料!AN474="","",IF(反向題設定!$C$43="是",反向題設定!$B$2+1-原始資料!AN474,原始資料!AN474))</f>
        <v/>
      </c>
      <c r="AO474">
        <f>IF(原始資料!AO474="","",IF(反向題設定!$C$44="是",反向題設定!$B$2+1-原始資料!AO474,原始資料!AO474))</f>
        <v/>
      </c>
      <c r="AP474">
        <f>IF(COUNT(B474:AO474)=0,"",SUM(B474:AO474))</f>
        <v/>
      </c>
      <c r="AQ474">
        <f>IF(AP474="","",IF(AP474&gt;=項目分析!$C$5,"高",IF(AP474&lt;=項目分析!$C$6,"低","")))</f>
        <v/>
      </c>
    </row>
    <row r="475">
      <c r="A475">
        <f>IF(原始資料!A475="","",原始資料!A475)</f>
        <v/>
      </c>
      <c r="B475">
        <f>IF(原始資料!B475="","",IF(反向題設定!$C$5="是",反向題設定!$B$2+1-原始資料!B475,原始資料!B475))</f>
        <v/>
      </c>
      <c r="C475">
        <f>IF(原始資料!C475="","",IF(反向題設定!$C$6="是",反向題設定!$B$2+1-原始資料!C475,原始資料!C475))</f>
        <v/>
      </c>
      <c r="D475">
        <f>IF(原始資料!D475="","",IF(反向題設定!$C$7="是",反向題設定!$B$2+1-原始資料!D475,原始資料!D475))</f>
        <v/>
      </c>
      <c r="E475">
        <f>IF(原始資料!E475="","",IF(反向題設定!$C$8="是",反向題設定!$B$2+1-原始資料!E475,原始資料!E475))</f>
        <v/>
      </c>
      <c r="F475">
        <f>IF(原始資料!F475="","",IF(反向題設定!$C$9="是",反向題設定!$B$2+1-原始資料!F475,原始資料!F475))</f>
        <v/>
      </c>
      <c r="G475">
        <f>IF(原始資料!G475="","",IF(反向題設定!$C$10="是",反向題設定!$B$2+1-原始資料!G475,原始資料!G475))</f>
        <v/>
      </c>
      <c r="H475">
        <f>IF(原始資料!H475="","",IF(反向題設定!$C$11="是",反向題設定!$B$2+1-原始資料!H475,原始資料!H475))</f>
        <v/>
      </c>
      <c r="I475">
        <f>IF(原始資料!I475="","",IF(反向題設定!$C$12="是",反向題設定!$B$2+1-原始資料!I475,原始資料!I475))</f>
        <v/>
      </c>
      <c r="J475">
        <f>IF(原始資料!J475="","",IF(反向題設定!$C$13="是",反向題設定!$B$2+1-原始資料!J475,原始資料!J475))</f>
        <v/>
      </c>
      <c r="K475">
        <f>IF(原始資料!K475="","",IF(反向題設定!$C$14="是",反向題設定!$B$2+1-原始資料!K475,原始資料!K475))</f>
        <v/>
      </c>
      <c r="L475">
        <f>IF(原始資料!L475="","",IF(反向題設定!$C$15="是",反向題設定!$B$2+1-原始資料!L475,原始資料!L475))</f>
        <v/>
      </c>
      <c r="M475">
        <f>IF(原始資料!M475="","",IF(反向題設定!$C$16="是",反向題設定!$B$2+1-原始資料!M475,原始資料!M475))</f>
        <v/>
      </c>
      <c r="N475">
        <f>IF(原始資料!N475="","",IF(反向題設定!$C$17="是",反向題設定!$B$2+1-原始資料!N475,原始資料!N475))</f>
        <v/>
      </c>
      <c r="O475">
        <f>IF(原始資料!O475="","",IF(反向題設定!$C$18="是",反向題設定!$B$2+1-原始資料!O475,原始資料!O475))</f>
        <v/>
      </c>
      <c r="P475">
        <f>IF(原始資料!P475="","",IF(反向題設定!$C$19="是",反向題設定!$B$2+1-原始資料!P475,原始資料!P475))</f>
        <v/>
      </c>
      <c r="Q475">
        <f>IF(原始資料!Q475="","",IF(反向題設定!$C$20="是",反向題設定!$B$2+1-原始資料!Q475,原始資料!Q475))</f>
        <v/>
      </c>
      <c r="R475">
        <f>IF(原始資料!R475="","",IF(反向題設定!$C$21="是",反向題設定!$B$2+1-原始資料!R475,原始資料!R475))</f>
        <v/>
      </c>
      <c r="S475">
        <f>IF(原始資料!S475="","",IF(反向題設定!$C$22="是",反向題設定!$B$2+1-原始資料!S475,原始資料!S475))</f>
        <v/>
      </c>
      <c r="T475">
        <f>IF(原始資料!T475="","",IF(反向題設定!$C$23="是",反向題設定!$B$2+1-原始資料!T475,原始資料!T475))</f>
        <v/>
      </c>
      <c r="U475">
        <f>IF(原始資料!U475="","",IF(反向題設定!$C$24="是",反向題設定!$B$2+1-原始資料!U475,原始資料!U475))</f>
        <v/>
      </c>
      <c r="V475">
        <f>IF(原始資料!V475="","",IF(反向題設定!$C$25="是",反向題設定!$B$2+1-原始資料!V475,原始資料!V475))</f>
        <v/>
      </c>
      <c r="W475">
        <f>IF(原始資料!W475="","",IF(反向題設定!$C$26="是",反向題設定!$B$2+1-原始資料!W475,原始資料!W475))</f>
        <v/>
      </c>
      <c r="X475">
        <f>IF(原始資料!X475="","",IF(反向題設定!$C$27="是",反向題設定!$B$2+1-原始資料!X475,原始資料!X475))</f>
        <v/>
      </c>
      <c r="Y475">
        <f>IF(原始資料!Y475="","",IF(反向題設定!$C$28="是",反向題設定!$B$2+1-原始資料!Y475,原始資料!Y475))</f>
        <v/>
      </c>
      <c r="Z475">
        <f>IF(原始資料!Z475="","",IF(反向題設定!$C$29="是",反向題設定!$B$2+1-原始資料!Z475,原始資料!Z475))</f>
        <v/>
      </c>
      <c r="AA475">
        <f>IF(原始資料!AA475="","",IF(反向題設定!$C$30="是",反向題設定!$B$2+1-原始資料!AA475,原始資料!AA475))</f>
        <v/>
      </c>
      <c r="AB475">
        <f>IF(原始資料!AB475="","",IF(反向題設定!$C$31="是",反向題設定!$B$2+1-原始資料!AB475,原始資料!AB475))</f>
        <v/>
      </c>
      <c r="AC475">
        <f>IF(原始資料!AC475="","",IF(反向題設定!$C$32="是",反向題設定!$B$2+1-原始資料!AC475,原始資料!AC475))</f>
        <v/>
      </c>
      <c r="AD475">
        <f>IF(原始資料!AD475="","",IF(反向題設定!$C$33="是",反向題設定!$B$2+1-原始資料!AD475,原始資料!AD475))</f>
        <v/>
      </c>
      <c r="AE475">
        <f>IF(原始資料!AE475="","",IF(反向題設定!$C$34="是",反向題設定!$B$2+1-原始資料!AE475,原始資料!AE475))</f>
        <v/>
      </c>
      <c r="AF475">
        <f>IF(原始資料!AF475="","",IF(反向題設定!$C$35="是",反向題設定!$B$2+1-原始資料!AF475,原始資料!AF475))</f>
        <v/>
      </c>
      <c r="AG475">
        <f>IF(原始資料!AG475="","",IF(反向題設定!$C$36="是",反向題設定!$B$2+1-原始資料!AG475,原始資料!AG475))</f>
        <v/>
      </c>
      <c r="AH475">
        <f>IF(原始資料!AH475="","",IF(反向題設定!$C$37="是",反向題設定!$B$2+1-原始資料!AH475,原始資料!AH475))</f>
        <v/>
      </c>
      <c r="AI475">
        <f>IF(原始資料!AI475="","",IF(反向題設定!$C$38="是",反向題設定!$B$2+1-原始資料!AI475,原始資料!AI475))</f>
        <v/>
      </c>
      <c r="AJ475">
        <f>IF(原始資料!AJ475="","",IF(反向題設定!$C$39="是",反向題設定!$B$2+1-原始資料!AJ475,原始資料!AJ475))</f>
        <v/>
      </c>
      <c r="AK475">
        <f>IF(原始資料!AK475="","",IF(反向題設定!$C$40="是",反向題設定!$B$2+1-原始資料!AK475,原始資料!AK475))</f>
        <v/>
      </c>
      <c r="AL475">
        <f>IF(原始資料!AL475="","",IF(反向題設定!$C$41="是",反向題設定!$B$2+1-原始資料!AL475,原始資料!AL475))</f>
        <v/>
      </c>
      <c r="AM475">
        <f>IF(原始資料!AM475="","",IF(反向題設定!$C$42="是",反向題設定!$B$2+1-原始資料!AM475,原始資料!AM475))</f>
        <v/>
      </c>
      <c r="AN475">
        <f>IF(原始資料!AN475="","",IF(反向題設定!$C$43="是",反向題設定!$B$2+1-原始資料!AN475,原始資料!AN475))</f>
        <v/>
      </c>
      <c r="AO475">
        <f>IF(原始資料!AO475="","",IF(反向題設定!$C$44="是",反向題設定!$B$2+1-原始資料!AO475,原始資料!AO475))</f>
        <v/>
      </c>
      <c r="AP475">
        <f>IF(COUNT(B475:AO475)=0,"",SUM(B475:AO475))</f>
        <v/>
      </c>
      <c r="AQ475">
        <f>IF(AP475="","",IF(AP475&gt;=項目分析!$C$5,"高",IF(AP475&lt;=項目分析!$C$6,"低","")))</f>
        <v/>
      </c>
    </row>
    <row r="476">
      <c r="A476">
        <f>IF(原始資料!A476="","",原始資料!A476)</f>
        <v/>
      </c>
      <c r="B476">
        <f>IF(原始資料!B476="","",IF(反向題設定!$C$5="是",反向題設定!$B$2+1-原始資料!B476,原始資料!B476))</f>
        <v/>
      </c>
      <c r="C476">
        <f>IF(原始資料!C476="","",IF(反向題設定!$C$6="是",反向題設定!$B$2+1-原始資料!C476,原始資料!C476))</f>
        <v/>
      </c>
      <c r="D476">
        <f>IF(原始資料!D476="","",IF(反向題設定!$C$7="是",反向題設定!$B$2+1-原始資料!D476,原始資料!D476))</f>
        <v/>
      </c>
      <c r="E476">
        <f>IF(原始資料!E476="","",IF(反向題設定!$C$8="是",反向題設定!$B$2+1-原始資料!E476,原始資料!E476))</f>
        <v/>
      </c>
      <c r="F476">
        <f>IF(原始資料!F476="","",IF(反向題設定!$C$9="是",反向題設定!$B$2+1-原始資料!F476,原始資料!F476))</f>
        <v/>
      </c>
      <c r="G476">
        <f>IF(原始資料!G476="","",IF(反向題設定!$C$10="是",反向題設定!$B$2+1-原始資料!G476,原始資料!G476))</f>
        <v/>
      </c>
      <c r="H476">
        <f>IF(原始資料!H476="","",IF(反向題設定!$C$11="是",反向題設定!$B$2+1-原始資料!H476,原始資料!H476))</f>
        <v/>
      </c>
      <c r="I476">
        <f>IF(原始資料!I476="","",IF(反向題設定!$C$12="是",反向題設定!$B$2+1-原始資料!I476,原始資料!I476))</f>
        <v/>
      </c>
      <c r="J476">
        <f>IF(原始資料!J476="","",IF(反向題設定!$C$13="是",反向題設定!$B$2+1-原始資料!J476,原始資料!J476))</f>
        <v/>
      </c>
      <c r="K476">
        <f>IF(原始資料!K476="","",IF(反向題設定!$C$14="是",反向題設定!$B$2+1-原始資料!K476,原始資料!K476))</f>
        <v/>
      </c>
      <c r="L476">
        <f>IF(原始資料!L476="","",IF(反向題設定!$C$15="是",反向題設定!$B$2+1-原始資料!L476,原始資料!L476))</f>
        <v/>
      </c>
      <c r="M476">
        <f>IF(原始資料!M476="","",IF(反向題設定!$C$16="是",反向題設定!$B$2+1-原始資料!M476,原始資料!M476))</f>
        <v/>
      </c>
      <c r="N476">
        <f>IF(原始資料!N476="","",IF(反向題設定!$C$17="是",反向題設定!$B$2+1-原始資料!N476,原始資料!N476))</f>
        <v/>
      </c>
      <c r="O476">
        <f>IF(原始資料!O476="","",IF(反向題設定!$C$18="是",反向題設定!$B$2+1-原始資料!O476,原始資料!O476))</f>
        <v/>
      </c>
      <c r="P476">
        <f>IF(原始資料!P476="","",IF(反向題設定!$C$19="是",反向題設定!$B$2+1-原始資料!P476,原始資料!P476))</f>
        <v/>
      </c>
      <c r="Q476">
        <f>IF(原始資料!Q476="","",IF(反向題設定!$C$20="是",反向題設定!$B$2+1-原始資料!Q476,原始資料!Q476))</f>
        <v/>
      </c>
      <c r="R476">
        <f>IF(原始資料!R476="","",IF(反向題設定!$C$21="是",反向題設定!$B$2+1-原始資料!R476,原始資料!R476))</f>
        <v/>
      </c>
      <c r="S476">
        <f>IF(原始資料!S476="","",IF(反向題設定!$C$22="是",反向題設定!$B$2+1-原始資料!S476,原始資料!S476))</f>
        <v/>
      </c>
      <c r="T476">
        <f>IF(原始資料!T476="","",IF(反向題設定!$C$23="是",反向題設定!$B$2+1-原始資料!T476,原始資料!T476))</f>
        <v/>
      </c>
      <c r="U476">
        <f>IF(原始資料!U476="","",IF(反向題設定!$C$24="是",反向題設定!$B$2+1-原始資料!U476,原始資料!U476))</f>
        <v/>
      </c>
      <c r="V476">
        <f>IF(原始資料!V476="","",IF(反向題設定!$C$25="是",反向題設定!$B$2+1-原始資料!V476,原始資料!V476))</f>
        <v/>
      </c>
      <c r="W476">
        <f>IF(原始資料!W476="","",IF(反向題設定!$C$26="是",反向題設定!$B$2+1-原始資料!W476,原始資料!W476))</f>
        <v/>
      </c>
      <c r="X476">
        <f>IF(原始資料!X476="","",IF(反向題設定!$C$27="是",反向題設定!$B$2+1-原始資料!X476,原始資料!X476))</f>
        <v/>
      </c>
      <c r="Y476">
        <f>IF(原始資料!Y476="","",IF(反向題設定!$C$28="是",反向題設定!$B$2+1-原始資料!Y476,原始資料!Y476))</f>
        <v/>
      </c>
      <c r="Z476">
        <f>IF(原始資料!Z476="","",IF(反向題設定!$C$29="是",反向題設定!$B$2+1-原始資料!Z476,原始資料!Z476))</f>
        <v/>
      </c>
      <c r="AA476">
        <f>IF(原始資料!AA476="","",IF(反向題設定!$C$30="是",反向題設定!$B$2+1-原始資料!AA476,原始資料!AA476))</f>
        <v/>
      </c>
      <c r="AB476">
        <f>IF(原始資料!AB476="","",IF(反向題設定!$C$31="是",反向題設定!$B$2+1-原始資料!AB476,原始資料!AB476))</f>
        <v/>
      </c>
      <c r="AC476">
        <f>IF(原始資料!AC476="","",IF(反向題設定!$C$32="是",反向題設定!$B$2+1-原始資料!AC476,原始資料!AC476))</f>
        <v/>
      </c>
      <c r="AD476">
        <f>IF(原始資料!AD476="","",IF(反向題設定!$C$33="是",反向題設定!$B$2+1-原始資料!AD476,原始資料!AD476))</f>
        <v/>
      </c>
      <c r="AE476">
        <f>IF(原始資料!AE476="","",IF(反向題設定!$C$34="是",反向題設定!$B$2+1-原始資料!AE476,原始資料!AE476))</f>
        <v/>
      </c>
      <c r="AF476">
        <f>IF(原始資料!AF476="","",IF(反向題設定!$C$35="是",反向題設定!$B$2+1-原始資料!AF476,原始資料!AF476))</f>
        <v/>
      </c>
      <c r="AG476">
        <f>IF(原始資料!AG476="","",IF(反向題設定!$C$36="是",反向題設定!$B$2+1-原始資料!AG476,原始資料!AG476))</f>
        <v/>
      </c>
      <c r="AH476">
        <f>IF(原始資料!AH476="","",IF(反向題設定!$C$37="是",反向題設定!$B$2+1-原始資料!AH476,原始資料!AH476))</f>
        <v/>
      </c>
      <c r="AI476">
        <f>IF(原始資料!AI476="","",IF(反向題設定!$C$38="是",反向題設定!$B$2+1-原始資料!AI476,原始資料!AI476))</f>
        <v/>
      </c>
      <c r="AJ476">
        <f>IF(原始資料!AJ476="","",IF(反向題設定!$C$39="是",反向題設定!$B$2+1-原始資料!AJ476,原始資料!AJ476))</f>
        <v/>
      </c>
      <c r="AK476">
        <f>IF(原始資料!AK476="","",IF(反向題設定!$C$40="是",反向題設定!$B$2+1-原始資料!AK476,原始資料!AK476))</f>
        <v/>
      </c>
      <c r="AL476">
        <f>IF(原始資料!AL476="","",IF(反向題設定!$C$41="是",反向題設定!$B$2+1-原始資料!AL476,原始資料!AL476))</f>
        <v/>
      </c>
      <c r="AM476">
        <f>IF(原始資料!AM476="","",IF(反向題設定!$C$42="是",反向題設定!$B$2+1-原始資料!AM476,原始資料!AM476))</f>
        <v/>
      </c>
      <c r="AN476">
        <f>IF(原始資料!AN476="","",IF(反向題設定!$C$43="是",反向題設定!$B$2+1-原始資料!AN476,原始資料!AN476))</f>
        <v/>
      </c>
      <c r="AO476">
        <f>IF(原始資料!AO476="","",IF(反向題設定!$C$44="是",反向題設定!$B$2+1-原始資料!AO476,原始資料!AO476))</f>
        <v/>
      </c>
      <c r="AP476">
        <f>IF(COUNT(B476:AO476)=0,"",SUM(B476:AO476))</f>
        <v/>
      </c>
      <c r="AQ476">
        <f>IF(AP476="","",IF(AP476&gt;=項目分析!$C$5,"高",IF(AP476&lt;=項目分析!$C$6,"低","")))</f>
        <v/>
      </c>
    </row>
    <row r="477">
      <c r="A477">
        <f>IF(原始資料!A477="","",原始資料!A477)</f>
        <v/>
      </c>
      <c r="B477">
        <f>IF(原始資料!B477="","",IF(反向題設定!$C$5="是",反向題設定!$B$2+1-原始資料!B477,原始資料!B477))</f>
        <v/>
      </c>
      <c r="C477">
        <f>IF(原始資料!C477="","",IF(反向題設定!$C$6="是",反向題設定!$B$2+1-原始資料!C477,原始資料!C477))</f>
        <v/>
      </c>
      <c r="D477">
        <f>IF(原始資料!D477="","",IF(反向題設定!$C$7="是",反向題設定!$B$2+1-原始資料!D477,原始資料!D477))</f>
        <v/>
      </c>
      <c r="E477">
        <f>IF(原始資料!E477="","",IF(反向題設定!$C$8="是",反向題設定!$B$2+1-原始資料!E477,原始資料!E477))</f>
        <v/>
      </c>
      <c r="F477">
        <f>IF(原始資料!F477="","",IF(反向題設定!$C$9="是",反向題設定!$B$2+1-原始資料!F477,原始資料!F477))</f>
        <v/>
      </c>
      <c r="G477">
        <f>IF(原始資料!G477="","",IF(反向題設定!$C$10="是",反向題設定!$B$2+1-原始資料!G477,原始資料!G477))</f>
        <v/>
      </c>
      <c r="H477">
        <f>IF(原始資料!H477="","",IF(反向題設定!$C$11="是",反向題設定!$B$2+1-原始資料!H477,原始資料!H477))</f>
        <v/>
      </c>
      <c r="I477">
        <f>IF(原始資料!I477="","",IF(反向題設定!$C$12="是",反向題設定!$B$2+1-原始資料!I477,原始資料!I477))</f>
        <v/>
      </c>
      <c r="J477">
        <f>IF(原始資料!J477="","",IF(反向題設定!$C$13="是",反向題設定!$B$2+1-原始資料!J477,原始資料!J477))</f>
        <v/>
      </c>
      <c r="K477">
        <f>IF(原始資料!K477="","",IF(反向題設定!$C$14="是",反向題設定!$B$2+1-原始資料!K477,原始資料!K477))</f>
        <v/>
      </c>
      <c r="L477">
        <f>IF(原始資料!L477="","",IF(反向題設定!$C$15="是",反向題設定!$B$2+1-原始資料!L477,原始資料!L477))</f>
        <v/>
      </c>
      <c r="M477">
        <f>IF(原始資料!M477="","",IF(反向題設定!$C$16="是",反向題設定!$B$2+1-原始資料!M477,原始資料!M477))</f>
        <v/>
      </c>
      <c r="N477">
        <f>IF(原始資料!N477="","",IF(反向題設定!$C$17="是",反向題設定!$B$2+1-原始資料!N477,原始資料!N477))</f>
        <v/>
      </c>
      <c r="O477">
        <f>IF(原始資料!O477="","",IF(反向題設定!$C$18="是",反向題設定!$B$2+1-原始資料!O477,原始資料!O477))</f>
        <v/>
      </c>
      <c r="P477">
        <f>IF(原始資料!P477="","",IF(反向題設定!$C$19="是",反向題設定!$B$2+1-原始資料!P477,原始資料!P477))</f>
        <v/>
      </c>
      <c r="Q477">
        <f>IF(原始資料!Q477="","",IF(反向題設定!$C$20="是",反向題設定!$B$2+1-原始資料!Q477,原始資料!Q477))</f>
        <v/>
      </c>
      <c r="R477">
        <f>IF(原始資料!R477="","",IF(反向題設定!$C$21="是",反向題設定!$B$2+1-原始資料!R477,原始資料!R477))</f>
        <v/>
      </c>
      <c r="S477">
        <f>IF(原始資料!S477="","",IF(反向題設定!$C$22="是",反向題設定!$B$2+1-原始資料!S477,原始資料!S477))</f>
        <v/>
      </c>
      <c r="T477">
        <f>IF(原始資料!T477="","",IF(反向題設定!$C$23="是",反向題設定!$B$2+1-原始資料!T477,原始資料!T477))</f>
        <v/>
      </c>
      <c r="U477">
        <f>IF(原始資料!U477="","",IF(反向題設定!$C$24="是",反向題設定!$B$2+1-原始資料!U477,原始資料!U477))</f>
        <v/>
      </c>
      <c r="V477">
        <f>IF(原始資料!V477="","",IF(反向題設定!$C$25="是",反向題設定!$B$2+1-原始資料!V477,原始資料!V477))</f>
        <v/>
      </c>
      <c r="W477">
        <f>IF(原始資料!W477="","",IF(反向題設定!$C$26="是",反向題設定!$B$2+1-原始資料!W477,原始資料!W477))</f>
        <v/>
      </c>
      <c r="X477">
        <f>IF(原始資料!X477="","",IF(反向題設定!$C$27="是",反向題設定!$B$2+1-原始資料!X477,原始資料!X477))</f>
        <v/>
      </c>
      <c r="Y477">
        <f>IF(原始資料!Y477="","",IF(反向題設定!$C$28="是",反向題設定!$B$2+1-原始資料!Y477,原始資料!Y477))</f>
        <v/>
      </c>
      <c r="Z477">
        <f>IF(原始資料!Z477="","",IF(反向題設定!$C$29="是",反向題設定!$B$2+1-原始資料!Z477,原始資料!Z477))</f>
        <v/>
      </c>
      <c r="AA477">
        <f>IF(原始資料!AA477="","",IF(反向題設定!$C$30="是",反向題設定!$B$2+1-原始資料!AA477,原始資料!AA477))</f>
        <v/>
      </c>
      <c r="AB477">
        <f>IF(原始資料!AB477="","",IF(反向題設定!$C$31="是",反向題設定!$B$2+1-原始資料!AB477,原始資料!AB477))</f>
        <v/>
      </c>
      <c r="AC477">
        <f>IF(原始資料!AC477="","",IF(反向題設定!$C$32="是",反向題設定!$B$2+1-原始資料!AC477,原始資料!AC477))</f>
        <v/>
      </c>
      <c r="AD477">
        <f>IF(原始資料!AD477="","",IF(反向題設定!$C$33="是",反向題設定!$B$2+1-原始資料!AD477,原始資料!AD477))</f>
        <v/>
      </c>
      <c r="AE477">
        <f>IF(原始資料!AE477="","",IF(反向題設定!$C$34="是",反向題設定!$B$2+1-原始資料!AE477,原始資料!AE477))</f>
        <v/>
      </c>
      <c r="AF477">
        <f>IF(原始資料!AF477="","",IF(反向題設定!$C$35="是",反向題設定!$B$2+1-原始資料!AF477,原始資料!AF477))</f>
        <v/>
      </c>
      <c r="AG477">
        <f>IF(原始資料!AG477="","",IF(反向題設定!$C$36="是",反向題設定!$B$2+1-原始資料!AG477,原始資料!AG477))</f>
        <v/>
      </c>
      <c r="AH477">
        <f>IF(原始資料!AH477="","",IF(反向題設定!$C$37="是",反向題設定!$B$2+1-原始資料!AH477,原始資料!AH477))</f>
        <v/>
      </c>
      <c r="AI477">
        <f>IF(原始資料!AI477="","",IF(反向題設定!$C$38="是",反向題設定!$B$2+1-原始資料!AI477,原始資料!AI477))</f>
        <v/>
      </c>
      <c r="AJ477">
        <f>IF(原始資料!AJ477="","",IF(反向題設定!$C$39="是",反向題設定!$B$2+1-原始資料!AJ477,原始資料!AJ477))</f>
        <v/>
      </c>
      <c r="AK477">
        <f>IF(原始資料!AK477="","",IF(反向題設定!$C$40="是",反向題設定!$B$2+1-原始資料!AK477,原始資料!AK477))</f>
        <v/>
      </c>
      <c r="AL477">
        <f>IF(原始資料!AL477="","",IF(反向題設定!$C$41="是",反向題設定!$B$2+1-原始資料!AL477,原始資料!AL477))</f>
        <v/>
      </c>
      <c r="AM477">
        <f>IF(原始資料!AM477="","",IF(反向題設定!$C$42="是",反向題設定!$B$2+1-原始資料!AM477,原始資料!AM477))</f>
        <v/>
      </c>
      <c r="AN477">
        <f>IF(原始資料!AN477="","",IF(反向題設定!$C$43="是",反向題設定!$B$2+1-原始資料!AN477,原始資料!AN477))</f>
        <v/>
      </c>
      <c r="AO477">
        <f>IF(原始資料!AO477="","",IF(反向題設定!$C$44="是",反向題設定!$B$2+1-原始資料!AO477,原始資料!AO477))</f>
        <v/>
      </c>
      <c r="AP477">
        <f>IF(COUNT(B477:AO477)=0,"",SUM(B477:AO477))</f>
        <v/>
      </c>
      <c r="AQ477">
        <f>IF(AP477="","",IF(AP477&gt;=項目分析!$C$5,"高",IF(AP477&lt;=項目分析!$C$6,"低","")))</f>
        <v/>
      </c>
    </row>
    <row r="478">
      <c r="A478">
        <f>IF(原始資料!A478="","",原始資料!A478)</f>
        <v/>
      </c>
      <c r="B478">
        <f>IF(原始資料!B478="","",IF(反向題設定!$C$5="是",反向題設定!$B$2+1-原始資料!B478,原始資料!B478))</f>
        <v/>
      </c>
      <c r="C478">
        <f>IF(原始資料!C478="","",IF(反向題設定!$C$6="是",反向題設定!$B$2+1-原始資料!C478,原始資料!C478))</f>
        <v/>
      </c>
      <c r="D478">
        <f>IF(原始資料!D478="","",IF(反向題設定!$C$7="是",反向題設定!$B$2+1-原始資料!D478,原始資料!D478))</f>
        <v/>
      </c>
      <c r="E478">
        <f>IF(原始資料!E478="","",IF(反向題設定!$C$8="是",反向題設定!$B$2+1-原始資料!E478,原始資料!E478))</f>
        <v/>
      </c>
      <c r="F478">
        <f>IF(原始資料!F478="","",IF(反向題設定!$C$9="是",反向題設定!$B$2+1-原始資料!F478,原始資料!F478))</f>
        <v/>
      </c>
      <c r="G478">
        <f>IF(原始資料!G478="","",IF(反向題設定!$C$10="是",反向題設定!$B$2+1-原始資料!G478,原始資料!G478))</f>
        <v/>
      </c>
      <c r="H478">
        <f>IF(原始資料!H478="","",IF(反向題設定!$C$11="是",反向題設定!$B$2+1-原始資料!H478,原始資料!H478))</f>
        <v/>
      </c>
      <c r="I478">
        <f>IF(原始資料!I478="","",IF(反向題設定!$C$12="是",反向題設定!$B$2+1-原始資料!I478,原始資料!I478))</f>
        <v/>
      </c>
      <c r="J478">
        <f>IF(原始資料!J478="","",IF(反向題設定!$C$13="是",反向題設定!$B$2+1-原始資料!J478,原始資料!J478))</f>
        <v/>
      </c>
      <c r="K478">
        <f>IF(原始資料!K478="","",IF(反向題設定!$C$14="是",反向題設定!$B$2+1-原始資料!K478,原始資料!K478))</f>
        <v/>
      </c>
      <c r="L478">
        <f>IF(原始資料!L478="","",IF(反向題設定!$C$15="是",反向題設定!$B$2+1-原始資料!L478,原始資料!L478))</f>
        <v/>
      </c>
      <c r="M478">
        <f>IF(原始資料!M478="","",IF(反向題設定!$C$16="是",反向題設定!$B$2+1-原始資料!M478,原始資料!M478))</f>
        <v/>
      </c>
      <c r="N478">
        <f>IF(原始資料!N478="","",IF(反向題設定!$C$17="是",反向題設定!$B$2+1-原始資料!N478,原始資料!N478))</f>
        <v/>
      </c>
      <c r="O478">
        <f>IF(原始資料!O478="","",IF(反向題設定!$C$18="是",反向題設定!$B$2+1-原始資料!O478,原始資料!O478))</f>
        <v/>
      </c>
      <c r="P478">
        <f>IF(原始資料!P478="","",IF(反向題設定!$C$19="是",反向題設定!$B$2+1-原始資料!P478,原始資料!P478))</f>
        <v/>
      </c>
      <c r="Q478">
        <f>IF(原始資料!Q478="","",IF(反向題設定!$C$20="是",反向題設定!$B$2+1-原始資料!Q478,原始資料!Q478))</f>
        <v/>
      </c>
      <c r="R478">
        <f>IF(原始資料!R478="","",IF(反向題設定!$C$21="是",反向題設定!$B$2+1-原始資料!R478,原始資料!R478))</f>
        <v/>
      </c>
      <c r="S478">
        <f>IF(原始資料!S478="","",IF(反向題設定!$C$22="是",反向題設定!$B$2+1-原始資料!S478,原始資料!S478))</f>
        <v/>
      </c>
      <c r="T478">
        <f>IF(原始資料!T478="","",IF(反向題設定!$C$23="是",反向題設定!$B$2+1-原始資料!T478,原始資料!T478))</f>
        <v/>
      </c>
      <c r="U478">
        <f>IF(原始資料!U478="","",IF(反向題設定!$C$24="是",反向題設定!$B$2+1-原始資料!U478,原始資料!U478))</f>
        <v/>
      </c>
      <c r="V478">
        <f>IF(原始資料!V478="","",IF(反向題設定!$C$25="是",反向題設定!$B$2+1-原始資料!V478,原始資料!V478))</f>
        <v/>
      </c>
      <c r="W478">
        <f>IF(原始資料!W478="","",IF(反向題設定!$C$26="是",反向題設定!$B$2+1-原始資料!W478,原始資料!W478))</f>
        <v/>
      </c>
      <c r="X478">
        <f>IF(原始資料!X478="","",IF(反向題設定!$C$27="是",反向題設定!$B$2+1-原始資料!X478,原始資料!X478))</f>
        <v/>
      </c>
      <c r="Y478">
        <f>IF(原始資料!Y478="","",IF(反向題設定!$C$28="是",反向題設定!$B$2+1-原始資料!Y478,原始資料!Y478))</f>
        <v/>
      </c>
      <c r="Z478">
        <f>IF(原始資料!Z478="","",IF(反向題設定!$C$29="是",反向題設定!$B$2+1-原始資料!Z478,原始資料!Z478))</f>
        <v/>
      </c>
      <c r="AA478">
        <f>IF(原始資料!AA478="","",IF(反向題設定!$C$30="是",反向題設定!$B$2+1-原始資料!AA478,原始資料!AA478))</f>
        <v/>
      </c>
      <c r="AB478">
        <f>IF(原始資料!AB478="","",IF(反向題設定!$C$31="是",反向題設定!$B$2+1-原始資料!AB478,原始資料!AB478))</f>
        <v/>
      </c>
      <c r="AC478">
        <f>IF(原始資料!AC478="","",IF(反向題設定!$C$32="是",反向題設定!$B$2+1-原始資料!AC478,原始資料!AC478))</f>
        <v/>
      </c>
      <c r="AD478">
        <f>IF(原始資料!AD478="","",IF(反向題設定!$C$33="是",反向題設定!$B$2+1-原始資料!AD478,原始資料!AD478))</f>
        <v/>
      </c>
      <c r="AE478">
        <f>IF(原始資料!AE478="","",IF(反向題設定!$C$34="是",反向題設定!$B$2+1-原始資料!AE478,原始資料!AE478))</f>
        <v/>
      </c>
      <c r="AF478">
        <f>IF(原始資料!AF478="","",IF(反向題設定!$C$35="是",反向題設定!$B$2+1-原始資料!AF478,原始資料!AF478))</f>
        <v/>
      </c>
      <c r="AG478">
        <f>IF(原始資料!AG478="","",IF(反向題設定!$C$36="是",反向題設定!$B$2+1-原始資料!AG478,原始資料!AG478))</f>
        <v/>
      </c>
      <c r="AH478">
        <f>IF(原始資料!AH478="","",IF(反向題設定!$C$37="是",反向題設定!$B$2+1-原始資料!AH478,原始資料!AH478))</f>
        <v/>
      </c>
      <c r="AI478">
        <f>IF(原始資料!AI478="","",IF(反向題設定!$C$38="是",反向題設定!$B$2+1-原始資料!AI478,原始資料!AI478))</f>
        <v/>
      </c>
      <c r="AJ478">
        <f>IF(原始資料!AJ478="","",IF(反向題設定!$C$39="是",反向題設定!$B$2+1-原始資料!AJ478,原始資料!AJ478))</f>
        <v/>
      </c>
      <c r="AK478">
        <f>IF(原始資料!AK478="","",IF(反向題設定!$C$40="是",反向題設定!$B$2+1-原始資料!AK478,原始資料!AK478))</f>
        <v/>
      </c>
      <c r="AL478">
        <f>IF(原始資料!AL478="","",IF(反向題設定!$C$41="是",反向題設定!$B$2+1-原始資料!AL478,原始資料!AL478))</f>
        <v/>
      </c>
      <c r="AM478">
        <f>IF(原始資料!AM478="","",IF(反向題設定!$C$42="是",反向題設定!$B$2+1-原始資料!AM478,原始資料!AM478))</f>
        <v/>
      </c>
      <c r="AN478">
        <f>IF(原始資料!AN478="","",IF(反向題設定!$C$43="是",反向題設定!$B$2+1-原始資料!AN478,原始資料!AN478))</f>
        <v/>
      </c>
      <c r="AO478">
        <f>IF(原始資料!AO478="","",IF(反向題設定!$C$44="是",反向題設定!$B$2+1-原始資料!AO478,原始資料!AO478))</f>
        <v/>
      </c>
      <c r="AP478">
        <f>IF(COUNT(B478:AO478)=0,"",SUM(B478:AO478))</f>
        <v/>
      </c>
      <c r="AQ478">
        <f>IF(AP478="","",IF(AP478&gt;=項目分析!$C$5,"高",IF(AP478&lt;=項目分析!$C$6,"低","")))</f>
        <v/>
      </c>
    </row>
    <row r="479">
      <c r="A479">
        <f>IF(原始資料!A479="","",原始資料!A479)</f>
        <v/>
      </c>
      <c r="B479">
        <f>IF(原始資料!B479="","",IF(反向題設定!$C$5="是",反向題設定!$B$2+1-原始資料!B479,原始資料!B479))</f>
        <v/>
      </c>
      <c r="C479">
        <f>IF(原始資料!C479="","",IF(反向題設定!$C$6="是",反向題設定!$B$2+1-原始資料!C479,原始資料!C479))</f>
        <v/>
      </c>
      <c r="D479">
        <f>IF(原始資料!D479="","",IF(反向題設定!$C$7="是",反向題設定!$B$2+1-原始資料!D479,原始資料!D479))</f>
        <v/>
      </c>
      <c r="E479">
        <f>IF(原始資料!E479="","",IF(反向題設定!$C$8="是",反向題設定!$B$2+1-原始資料!E479,原始資料!E479))</f>
        <v/>
      </c>
      <c r="F479">
        <f>IF(原始資料!F479="","",IF(反向題設定!$C$9="是",反向題設定!$B$2+1-原始資料!F479,原始資料!F479))</f>
        <v/>
      </c>
      <c r="G479">
        <f>IF(原始資料!G479="","",IF(反向題設定!$C$10="是",反向題設定!$B$2+1-原始資料!G479,原始資料!G479))</f>
        <v/>
      </c>
      <c r="H479">
        <f>IF(原始資料!H479="","",IF(反向題設定!$C$11="是",反向題設定!$B$2+1-原始資料!H479,原始資料!H479))</f>
        <v/>
      </c>
      <c r="I479">
        <f>IF(原始資料!I479="","",IF(反向題設定!$C$12="是",反向題設定!$B$2+1-原始資料!I479,原始資料!I479))</f>
        <v/>
      </c>
      <c r="J479">
        <f>IF(原始資料!J479="","",IF(反向題設定!$C$13="是",反向題設定!$B$2+1-原始資料!J479,原始資料!J479))</f>
        <v/>
      </c>
      <c r="K479">
        <f>IF(原始資料!K479="","",IF(反向題設定!$C$14="是",反向題設定!$B$2+1-原始資料!K479,原始資料!K479))</f>
        <v/>
      </c>
      <c r="L479">
        <f>IF(原始資料!L479="","",IF(反向題設定!$C$15="是",反向題設定!$B$2+1-原始資料!L479,原始資料!L479))</f>
        <v/>
      </c>
      <c r="M479">
        <f>IF(原始資料!M479="","",IF(反向題設定!$C$16="是",反向題設定!$B$2+1-原始資料!M479,原始資料!M479))</f>
        <v/>
      </c>
      <c r="N479">
        <f>IF(原始資料!N479="","",IF(反向題設定!$C$17="是",反向題設定!$B$2+1-原始資料!N479,原始資料!N479))</f>
        <v/>
      </c>
      <c r="O479">
        <f>IF(原始資料!O479="","",IF(反向題設定!$C$18="是",反向題設定!$B$2+1-原始資料!O479,原始資料!O479))</f>
        <v/>
      </c>
      <c r="P479">
        <f>IF(原始資料!P479="","",IF(反向題設定!$C$19="是",反向題設定!$B$2+1-原始資料!P479,原始資料!P479))</f>
        <v/>
      </c>
      <c r="Q479">
        <f>IF(原始資料!Q479="","",IF(反向題設定!$C$20="是",反向題設定!$B$2+1-原始資料!Q479,原始資料!Q479))</f>
        <v/>
      </c>
      <c r="R479">
        <f>IF(原始資料!R479="","",IF(反向題設定!$C$21="是",反向題設定!$B$2+1-原始資料!R479,原始資料!R479))</f>
        <v/>
      </c>
      <c r="S479">
        <f>IF(原始資料!S479="","",IF(反向題設定!$C$22="是",反向題設定!$B$2+1-原始資料!S479,原始資料!S479))</f>
        <v/>
      </c>
      <c r="T479">
        <f>IF(原始資料!T479="","",IF(反向題設定!$C$23="是",反向題設定!$B$2+1-原始資料!T479,原始資料!T479))</f>
        <v/>
      </c>
      <c r="U479">
        <f>IF(原始資料!U479="","",IF(反向題設定!$C$24="是",反向題設定!$B$2+1-原始資料!U479,原始資料!U479))</f>
        <v/>
      </c>
      <c r="V479">
        <f>IF(原始資料!V479="","",IF(反向題設定!$C$25="是",反向題設定!$B$2+1-原始資料!V479,原始資料!V479))</f>
        <v/>
      </c>
      <c r="W479">
        <f>IF(原始資料!W479="","",IF(反向題設定!$C$26="是",反向題設定!$B$2+1-原始資料!W479,原始資料!W479))</f>
        <v/>
      </c>
      <c r="X479">
        <f>IF(原始資料!X479="","",IF(反向題設定!$C$27="是",反向題設定!$B$2+1-原始資料!X479,原始資料!X479))</f>
        <v/>
      </c>
      <c r="Y479">
        <f>IF(原始資料!Y479="","",IF(反向題設定!$C$28="是",反向題設定!$B$2+1-原始資料!Y479,原始資料!Y479))</f>
        <v/>
      </c>
      <c r="Z479">
        <f>IF(原始資料!Z479="","",IF(反向題設定!$C$29="是",反向題設定!$B$2+1-原始資料!Z479,原始資料!Z479))</f>
        <v/>
      </c>
      <c r="AA479">
        <f>IF(原始資料!AA479="","",IF(反向題設定!$C$30="是",反向題設定!$B$2+1-原始資料!AA479,原始資料!AA479))</f>
        <v/>
      </c>
      <c r="AB479">
        <f>IF(原始資料!AB479="","",IF(反向題設定!$C$31="是",反向題設定!$B$2+1-原始資料!AB479,原始資料!AB479))</f>
        <v/>
      </c>
      <c r="AC479">
        <f>IF(原始資料!AC479="","",IF(反向題設定!$C$32="是",反向題設定!$B$2+1-原始資料!AC479,原始資料!AC479))</f>
        <v/>
      </c>
      <c r="AD479">
        <f>IF(原始資料!AD479="","",IF(反向題設定!$C$33="是",反向題設定!$B$2+1-原始資料!AD479,原始資料!AD479))</f>
        <v/>
      </c>
      <c r="AE479">
        <f>IF(原始資料!AE479="","",IF(反向題設定!$C$34="是",反向題設定!$B$2+1-原始資料!AE479,原始資料!AE479))</f>
        <v/>
      </c>
      <c r="AF479">
        <f>IF(原始資料!AF479="","",IF(反向題設定!$C$35="是",反向題設定!$B$2+1-原始資料!AF479,原始資料!AF479))</f>
        <v/>
      </c>
      <c r="AG479">
        <f>IF(原始資料!AG479="","",IF(反向題設定!$C$36="是",反向題設定!$B$2+1-原始資料!AG479,原始資料!AG479))</f>
        <v/>
      </c>
      <c r="AH479">
        <f>IF(原始資料!AH479="","",IF(反向題設定!$C$37="是",反向題設定!$B$2+1-原始資料!AH479,原始資料!AH479))</f>
        <v/>
      </c>
      <c r="AI479">
        <f>IF(原始資料!AI479="","",IF(反向題設定!$C$38="是",反向題設定!$B$2+1-原始資料!AI479,原始資料!AI479))</f>
        <v/>
      </c>
      <c r="AJ479">
        <f>IF(原始資料!AJ479="","",IF(反向題設定!$C$39="是",反向題設定!$B$2+1-原始資料!AJ479,原始資料!AJ479))</f>
        <v/>
      </c>
      <c r="AK479">
        <f>IF(原始資料!AK479="","",IF(反向題設定!$C$40="是",反向題設定!$B$2+1-原始資料!AK479,原始資料!AK479))</f>
        <v/>
      </c>
      <c r="AL479">
        <f>IF(原始資料!AL479="","",IF(反向題設定!$C$41="是",反向題設定!$B$2+1-原始資料!AL479,原始資料!AL479))</f>
        <v/>
      </c>
      <c r="AM479">
        <f>IF(原始資料!AM479="","",IF(反向題設定!$C$42="是",反向題設定!$B$2+1-原始資料!AM479,原始資料!AM479))</f>
        <v/>
      </c>
      <c r="AN479">
        <f>IF(原始資料!AN479="","",IF(反向題設定!$C$43="是",反向題設定!$B$2+1-原始資料!AN479,原始資料!AN479))</f>
        <v/>
      </c>
      <c r="AO479">
        <f>IF(原始資料!AO479="","",IF(反向題設定!$C$44="是",反向題設定!$B$2+1-原始資料!AO479,原始資料!AO479))</f>
        <v/>
      </c>
      <c r="AP479">
        <f>IF(COUNT(B479:AO479)=0,"",SUM(B479:AO479))</f>
        <v/>
      </c>
      <c r="AQ479">
        <f>IF(AP479="","",IF(AP479&gt;=項目分析!$C$5,"高",IF(AP479&lt;=項目分析!$C$6,"低","")))</f>
        <v/>
      </c>
    </row>
    <row r="480">
      <c r="A480">
        <f>IF(原始資料!A480="","",原始資料!A480)</f>
        <v/>
      </c>
      <c r="B480">
        <f>IF(原始資料!B480="","",IF(反向題設定!$C$5="是",反向題設定!$B$2+1-原始資料!B480,原始資料!B480))</f>
        <v/>
      </c>
      <c r="C480">
        <f>IF(原始資料!C480="","",IF(反向題設定!$C$6="是",反向題設定!$B$2+1-原始資料!C480,原始資料!C480))</f>
        <v/>
      </c>
      <c r="D480">
        <f>IF(原始資料!D480="","",IF(反向題設定!$C$7="是",反向題設定!$B$2+1-原始資料!D480,原始資料!D480))</f>
        <v/>
      </c>
      <c r="E480">
        <f>IF(原始資料!E480="","",IF(反向題設定!$C$8="是",反向題設定!$B$2+1-原始資料!E480,原始資料!E480))</f>
        <v/>
      </c>
      <c r="F480">
        <f>IF(原始資料!F480="","",IF(反向題設定!$C$9="是",反向題設定!$B$2+1-原始資料!F480,原始資料!F480))</f>
        <v/>
      </c>
      <c r="G480">
        <f>IF(原始資料!G480="","",IF(反向題設定!$C$10="是",反向題設定!$B$2+1-原始資料!G480,原始資料!G480))</f>
        <v/>
      </c>
      <c r="H480">
        <f>IF(原始資料!H480="","",IF(反向題設定!$C$11="是",反向題設定!$B$2+1-原始資料!H480,原始資料!H480))</f>
        <v/>
      </c>
      <c r="I480">
        <f>IF(原始資料!I480="","",IF(反向題設定!$C$12="是",反向題設定!$B$2+1-原始資料!I480,原始資料!I480))</f>
        <v/>
      </c>
      <c r="J480">
        <f>IF(原始資料!J480="","",IF(反向題設定!$C$13="是",反向題設定!$B$2+1-原始資料!J480,原始資料!J480))</f>
        <v/>
      </c>
      <c r="K480">
        <f>IF(原始資料!K480="","",IF(反向題設定!$C$14="是",反向題設定!$B$2+1-原始資料!K480,原始資料!K480))</f>
        <v/>
      </c>
      <c r="L480">
        <f>IF(原始資料!L480="","",IF(反向題設定!$C$15="是",反向題設定!$B$2+1-原始資料!L480,原始資料!L480))</f>
        <v/>
      </c>
      <c r="M480">
        <f>IF(原始資料!M480="","",IF(反向題設定!$C$16="是",反向題設定!$B$2+1-原始資料!M480,原始資料!M480))</f>
        <v/>
      </c>
      <c r="N480">
        <f>IF(原始資料!N480="","",IF(反向題設定!$C$17="是",反向題設定!$B$2+1-原始資料!N480,原始資料!N480))</f>
        <v/>
      </c>
      <c r="O480">
        <f>IF(原始資料!O480="","",IF(反向題設定!$C$18="是",反向題設定!$B$2+1-原始資料!O480,原始資料!O480))</f>
        <v/>
      </c>
      <c r="P480">
        <f>IF(原始資料!P480="","",IF(反向題設定!$C$19="是",反向題設定!$B$2+1-原始資料!P480,原始資料!P480))</f>
        <v/>
      </c>
      <c r="Q480">
        <f>IF(原始資料!Q480="","",IF(反向題設定!$C$20="是",反向題設定!$B$2+1-原始資料!Q480,原始資料!Q480))</f>
        <v/>
      </c>
      <c r="R480">
        <f>IF(原始資料!R480="","",IF(反向題設定!$C$21="是",反向題設定!$B$2+1-原始資料!R480,原始資料!R480))</f>
        <v/>
      </c>
      <c r="S480">
        <f>IF(原始資料!S480="","",IF(反向題設定!$C$22="是",反向題設定!$B$2+1-原始資料!S480,原始資料!S480))</f>
        <v/>
      </c>
      <c r="T480">
        <f>IF(原始資料!T480="","",IF(反向題設定!$C$23="是",反向題設定!$B$2+1-原始資料!T480,原始資料!T480))</f>
        <v/>
      </c>
      <c r="U480">
        <f>IF(原始資料!U480="","",IF(反向題設定!$C$24="是",反向題設定!$B$2+1-原始資料!U480,原始資料!U480))</f>
        <v/>
      </c>
      <c r="V480">
        <f>IF(原始資料!V480="","",IF(反向題設定!$C$25="是",反向題設定!$B$2+1-原始資料!V480,原始資料!V480))</f>
        <v/>
      </c>
      <c r="W480">
        <f>IF(原始資料!W480="","",IF(反向題設定!$C$26="是",反向題設定!$B$2+1-原始資料!W480,原始資料!W480))</f>
        <v/>
      </c>
      <c r="X480">
        <f>IF(原始資料!X480="","",IF(反向題設定!$C$27="是",反向題設定!$B$2+1-原始資料!X480,原始資料!X480))</f>
        <v/>
      </c>
      <c r="Y480">
        <f>IF(原始資料!Y480="","",IF(反向題設定!$C$28="是",反向題設定!$B$2+1-原始資料!Y480,原始資料!Y480))</f>
        <v/>
      </c>
      <c r="Z480">
        <f>IF(原始資料!Z480="","",IF(反向題設定!$C$29="是",反向題設定!$B$2+1-原始資料!Z480,原始資料!Z480))</f>
        <v/>
      </c>
      <c r="AA480">
        <f>IF(原始資料!AA480="","",IF(反向題設定!$C$30="是",反向題設定!$B$2+1-原始資料!AA480,原始資料!AA480))</f>
        <v/>
      </c>
      <c r="AB480">
        <f>IF(原始資料!AB480="","",IF(反向題設定!$C$31="是",反向題設定!$B$2+1-原始資料!AB480,原始資料!AB480))</f>
        <v/>
      </c>
      <c r="AC480">
        <f>IF(原始資料!AC480="","",IF(反向題設定!$C$32="是",反向題設定!$B$2+1-原始資料!AC480,原始資料!AC480))</f>
        <v/>
      </c>
      <c r="AD480">
        <f>IF(原始資料!AD480="","",IF(反向題設定!$C$33="是",反向題設定!$B$2+1-原始資料!AD480,原始資料!AD480))</f>
        <v/>
      </c>
      <c r="AE480">
        <f>IF(原始資料!AE480="","",IF(反向題設定!$C$34="是",反向題設定!$B$2+1-原始資料!AE480,原始資料!AE480))</f>
        <v/>
      </c>
      <c r="AF480">
        <f>IF(原始資料!AF480="","",IF(反向題設定!$C$35="是",反向題設定!$B$2+1-原始資料!AF480,原始資料!AF480))</f>
        <v/>
      </c>
      <c r="AG480">
        <f>IF(原始資料!AG480="","",IF(反向題設定!$C$36="是",反向題設定!$B$2+1-原始資料!AG480,原始資料!AG480))</f>
        <v/>
      </c>
      <c r="AH480">
        <f>IF(原始資料!AH480="","",IF(反向題設定!$C$37="是",反向題設定!$B$2+1-原始資料!AH480,原始資料!AH480))</f>
        <v/>
      </c>
      <c r="AI480">
        <f>IF(原始資料!AI480="","",IF(反向題設定!$C$38="是",反向題設定!$B$2+1-原始資料!AI480,原始資料!AI480))</f>
        <v/>
      </c>
      <c r="AJ480">
        <f>IF(原始資料!AJ480="","",IF(反向題設定!$C$39="是",反向題設定!$B$2+1-原始資料!AJ480,原始資料!AJ480))</f>
        <v/>
      </c>
      <c r="AK480">
        <f>IF(原始資料!AK480="","",IF(反向題設定!$C$40="是",反向題設定!$B$2+1-原始資料!AK480,原始資料!AK480))</f>
        <v/>
      </c>
      <c r="AL480">
        <f>IF(原始資料!AL480="","",IF(反向題設定!$C$41="是",反向題設定!$B$2+1-原始資料!AL480,原始資料!AL480))</f>
        <v/>
      </c>
      <c r="AM480">
        <f>IF(原始資料!AM480="","",IF(反向題設定!$C$42="是",反向題設定!$B$2+1-原始資料!AM480,原始資料!AM480))</f>
        <v/>
      </c>
      <c r="AN480">
        <f>IF(原始資料!AN480="","",IF(反向題設定!$C$43="是",反向題設定!$B$2+1-原始資料!AN480,原始資料!AN480))</f>
        <v/>
      </c>
      <c r="AO480">
        <f>IF(原始資料!AO480="","",IF(反向題設定!$C$44="是",反向題設定!$B$2+1-原始資料!AO480,原始資料!AO480))</f>
        <v/>
      </c>
      <c r="AP480">
        <f>IF(COUNT(B480:AO480)=0,"",SUM(B480:AO480))</f>
        <v/>
      </c>
      <c r="AQ480">
        <f>IF(AP480="","",IF(AP480&gt;=項目分析!$C$5,"高",IF(AP480&lt;=項目分析!$C$6,"低","")))</f>
        <v/>
      </c>
    </row>
    <row r="481">
      <c r="A481">
        <f>IF(原始資料!A481="","",原始資料!A481)</f>
        <v/>
      </c>
      <c r="B481">
        <f>IF(原始資料!B481="","",IF(反向題設定!$C$5="是",反向題設定!$B$2+1-原始資料!B481,原始資料!B481))</f>
        <v/>
      </c>
      <c r="C481">
        <f>IF(原始資料!C481="","",IF(反向題設定!$C$6="是",反向題設定!$B$2+1-原始資料!C481,原始資料!C481))</f>
        <v/>
      </c>
      <c r="D481">
        <f>IF(原始資料!D481="","",IF(反向題設定!$C$7="是",反向題設定!$B$2+1-原始資料!D481,原始資料!D481))</f>
        <v/>
      </c>
      <c r="E481">
        <f>IF(原始資料!E481="","",IF(反向題設定!$C$8="是",反向題設定!$B$2+1-原始資料!E481,原始資料!E481))</f>
        <v/>
      </c>
      <c r="F481">
        <f>IF(原始資料!F481="","",IF(反向題設定!$C$9="是",反向題設定!$B$2+1-原始資料!F481,原始資料!F481))</f>
        <v/>
      </c>
      <c r="G481">
        <f>IF(原始資料!G481="","",IF(反向題設定!$C$10="是",反向題設定!$B$2+1-原始資料!G481,原始資料!G481))</f>
        <v/>
      </c>
      <c r="H481">
        <f>IF(原始資料!H481="","",IF(反向題設定!$C$11="是",反向題設定!$B$2+1-原始資料!H481,原始資料!H481))</f>
        <v/>
      </c>
      <c r="I481">
        <f>IF(原始資料!I481="","",IF(反向題設定!$C$12="是",反向題設定!$B$2+1-原始資料!I481,原始資料!I481))</f>
        <v/>
      </c>
      <c r="J481">
        <f>IF(原始資料!J481="","",IF(反向題設定!$C$13="是",反向題設定!$B$2+1-原始資料!J481,原始資料!J481))</f>
        <v/>
      </c>
      <c r="K481">
        <f>IF(原始資料!K481="","",IF(反向題設定!$C$14="是",反向題設定!$B$2+1-原始資料!K481,原始資料!K481))</f>
        <v/>
      </c>
      <c r="L481">
        <f>IF(原始資料!L481="","",IF(反向題設定!$C$15="是",反向題設定!$B$2+1-原始資料!L481,原始資料!L481))</f>
        <v/>
      </c>
      <c r="M481">
        <f>IF(原始資料!M481="","",IF(反向題設定!$C$16="是",反向題設定!$B$2+1-原始資料!M481,原始資料!M481))</f>
        <v/>
      </c>
      <c r="N481">
        <f>IF(原始資料!N481="","",IF(反向題設定!$C$17="是",反向題設定!$B$2+1-原始資料!N481,原始資料!N481))</f>
        <v/>
      </c>
      <c r="O481">
        <f>IF(原始資料!O481="","",IF(反向題設定!$C$18="是",反向題設定!$B$2+1-原始資料!O481,原始資料!O481))</f>
        <v/>
      </c>
      <c r="P481">
        <f>IF(原始資料!P481="","",IF(反向題設定!$C$19="是",反向題設定!$B$2+1-原始資料!P481,原始資料!P481))</f>
        <v/>
      </c>
      <c r="Q481">
        <f>IF(原始資料!Q481="","",IF(反向題設定!$C$20="是",反向題設定!$B$2+1-原始資料!Q481,原始資料!Q481))</f>
        <v/>
      </c>
      <c r="R481">
        <f>IF(原始資料!R481="","",IF(反向題設定!$C$21="是",反向題設定!$B$2+1-原始資料!R481,原始資料!R481))</f>
        <v/>
      </c>
      <c r="S481">
        <f>IF(原始資料!S481="","",IF(反向題設定!$C$22="是",反向題設定!$B$2+1-原始資料!S481,原始資料!S481))</f>
        <v/>
      </c>
      <c r="T481">
        <f>IF(原始資料!T481="","",IF(反向題設定!$C$23="是",反向題設定!$B$2+1-原始資料!T481,原始資料!T481))</f>
        <v/>
      </c>
      <c r="U481">
        <f>IF(原始資料!U481="","",IF(反向題設定!$C$24="是",反向題設定!$B$2+1-原始資料!U481,原始資料!U481))</f>
        <v/>
      </c>
      <c r="V481">
        <f>IF(原始資料!V481="","",IF(反向題設定!$C$25="是",反向題設定!$B$2+1-原始資料!V481,原始資料!V481))</f>
        <v/>
      </c>
      <c r="W481">
        <f>IF(原始資料!W481="","",IF(反向題設定!$C$26="是",反向題設定!$B$2+1-原始資料!W481,原始資料!W481))</f>
        <v/>
      </c>
      <c r="X481">
        <f>IF(原始資料!X481="","",IF(反向題設定!$C$27="是",反向題設定!$B$2+1-原始資料!X481,原始資料!X481))</f>
        <v/>
      </c>
      <c r="Y481">
        <f>IF(原始資料!Y481="","",IF(反向題設定!$C$28="是",反向題設定!$B$2+1-原始資料!Y481,原始資料!Y481))</f>
        <v/>
      </c>
      <c r="Z481">
        <f>IF(原始資料!Z481="","",IF(反向題設定!$C$29="是",反向題設定!$B$2+1-原始資料!Z481,原始資料!Z481))</f>
        <v/>
      </c>
      <c r="AA481">
        <f>IF(原始資料!AA481="","",IF(反向題設定!$C$30="是",反向題設定!$B$2+1-原始資料!AA481,原始資料!AA481))</f>
        <v/>
      </c>
      <c r="AB481">
        <f>IF(原始資料!AB481="","",IF(反向題設定!$C$31="是",反向題設定!$B$2+1-原始資料!AB481,原始資料!AB481))</f>
        <v/>
      </c>
      <c r="AC481">
        <f>IF(原始資料!AC481="","",IF(反向題設定!$C$32="是",反向題設定!$B$2+1-原始資料!AC481,原始資料!AC481))</f>
        <v/>
      </c>
      <c r="AD481">
        <f>IF(原始資料!AD481="","",IF(反向題設定!$C$33="是",反向題設定!$B$2+1-原始資料!AD481,原始資料!AD481))</f>
        <v/>
      </c>
      <c r="AE481">
        <f>IF(原始資料!AE481="","",IF(反向題設定!$C$34="是",反向題設定!$B$2+1-原始資料!AE481,原始資料!AE481))</f>
        <v/>
      </c>
      <c r="AF481">
        <f>IF(原始資料!AF481="","",IF(反向題設定!$C$35="是",反向題設定!$B$2+1-原始資料!AF481,原始資料!AF481))</f>
        <v/>
      </c>
      <c r="AG481">
        <f>IF(原始資料!AG481="","",IF(反向題設定!$C$36="是",反向題設定!$B$2+1-原始資料!AG481,原始資料!AG481))</f>
        <v/>
      </c>
      <c r="AH481">
        <f>IF(原始資料!AH481="","",IF(反向題設定!$C$37="是",反向題設定!$B$2+1-原始資料!AH481,原始資料!AH481))</f>
        <v/>
      </c>
      <c r="AI481">
        <f>IF(原始資料!AI481="","",IF(反向題設定!$C$38="是",反向題設定!$B$2+1-原始資料!AI481,原始資料!AI481))</f>
        <v/>
      </c>
      <c r="AJ481">
        <f>IF(原始資料!AJ481="","",IF(反向題設定!$C$39="是",反向題設定!$B$2+1-原始資料!AJ481,原始資料!AJ481))</f>
        <v/>
      </c>
      <c r="AK481">
        <f>IF(原始資料!AK481="","",IF(反向題設定!$C$40="是",反向題設定!$B$2+1-原始資料!AK481,原始資料!AK481))</f>
        <v/>
      </c>
      <c r="AL481">
        <f>IF(原始資料!AL481="","",IF(反向題設定!$C$41="是",反向題設定!$B$2+1-原始資料!AL481,原始資料!AL481))</f>
        <v/>
      </c>
      <c r="AM481">
        <f>IF(原始資料!AM481="","",IF(反向題設定!$C$42="是",反向題設定!$B$2+1-原始資料!AM481,原始資料!AM481))</f>
        <v/>
      </c>
      <c r="AN481">
        <f>IF(原始資料!AN481="","",IF(反向題設定!$C$43="是",反向題設定!$B$2+1-原始資料!AN481,原始資料!AN481))</f>
        <v/>
      </c>
      <c r="AO481">
        <f>IF(原始資料!AO481="","",IF(反向題設定!$C$44="是",反向題設定!$B$2+1-原始資料!AO481,原始資料!AO481))</f>
        <v/>
      </c>
      <c r="AP481">
        <f>IF(COUNT(B481:AO481)=0,"",SUM(B481:AO481))</f>
        <v/>
      </c>
      <c r="AQ481">
        <f>IF(AP481="","",IF(AP481&gt;=項目分析!$C$5,"高",IF(AP481&lt;=項目分析!$C$6,"低","")))</f>
        <v/>
      </c>
    </row>
    <row r="482">
      <c r="A482">
        <f>IF(原始資料!A482="","",原始資料!A482)</f>
        <v/>
      </c>
      <c r="B482">
        <f>IF(原始資料!B482="","",IF(反向題設定!$C$5="是",反向題設定!$B$2+1-原始資料!B482,原始資料!B482))</f>
        <v/>
      </c>
      <c r="C482">
        <f>IF(原始資料!C482="","",IF(反向題設定!$C$6="是",反向題設定!$B$2+1-原始資料!C482,原始資料!C482))</f>
        <v/>
      </c>
      <c r="D482">
        <f>IF(原始資料!D482="","",IF(反向題設定!$C$7="是",反向題設定!$B$2+1-原始資料!D482,原始資料!D482))</f>
        <v/>
      </c>
      <c r="E482">
        <f>IF(原始資料!E482="","",IF(反向題設定!$C$8="是",反向題設定!$B$2+1-原始資料!E482,原始資料!E482))</f>
        <v/>
      </c>
      <c r="F482">
        <f>IF(原始資料!F482="","",IF(反向題設定!$C$9="是",反向題設定!$B$2+1-原始資料!F482,原始資料!F482))</f>
        <v/>
      </c>
      <c r="G482">
        <f>IF(原始資料!G482="","",IF(反向題設定!$C$10="是",反向題設定!$B$2+1-原始資料!G482,原始資料!G482))</f>
        <v/>
      </c>
      <c r="H482">
        <f>IF(原始資料!H482="","",IF(反向題設定!$C$11="是",反向題設定!$B$2+1-原始資料!H482,原始資料!H482))</f>
        <v/>
      </c>
      <c r="I482">
        <f>IF(原始資料!I482="","",IF(反向題設定!$C$12="是",反向題設定!$B$2+1-原始資料!I482,原始資料!I482))</f>
        <v/>
      </c>
      <c r="J482">
        <f>IF(原始資料!J482="","",IF(反向題設定!$C$13="是",反向題設定!$B$2+1-原始資料!J482,原始資料!J482))</f>
        <v/>
      </c>
      <c r="K482">
        <f>IF(原始資料!K482="","",IF(反向題設定!$C$14="是",反向題設定!$B$2+1-原始資料!K482,原始資料!K482))</f>
        <v/>
      </c>
      <c r="L482">
        <f>IF(原始資料!L482="","",IF(反向題設定!$C$15="是",反向題設定!$B$2+1-原始資料!L482,原始資料!L482))</f>
        <v/>
      </c>
      <c r="M482">
        <f>IF(原始資料!M482="","",IF(反向題設定!$C$16="是",反向題設定!$B$2+1-原始資料!M482,原始資料!M482))</f>
        <v/>
      </c>
      <c r="N482">
        <f>IF(原始資料!N482="","",IF(反向題設定!$C$17="是",反向題設定!$B$2+1-原始資料!N482,原始資料!N482))</f>
        <v/>
      </c>
      <c r="O482">
        <f>IF(原始資料!O482="","",IF(反向題設定!$C$18="是",反向題設定!$B$2+1-原始資料!O482,原始資料!O482))</f>
        <v/>
      </c>
      <c r="P482">
        <f>IF(原始資料!P482="","",IF(反向題設定!$C$19="是",反向題設定!$B$2+1-原始資料!P482,原始資料!P482))</f>
        <v/>
      </c>
      <c r="Q482">
        <f>IF(原始資料!Q482="","",IF(反向題設定!$C$20="是",反向題設定!$B$2+1-原始資料!Q482,原始資料!Q482))</f>
        <v/>
      </c>
      <c r="R482">
        <f>IF(原始資料!R482="","",IF(反向題設定!$C$21="是",反向題設定!$B$2+1-原始資料!R482,原始資料!R482))</f>
        <v/>
      </c>
      <c r="S482">
        <f>IF(原始資料!S482="","",IF(反向題設定!$C$22="是",反向題設定!$B$2+1-原始資料!S482,原始資料!S482))</f>
        <v/>
      </c>
      <c r="T482">
        <f>IF(原始資料!T482="","",IF(反向題設定!$C$23="是",反向題設定!$B$2+1-原始資料!T482,原始資料!T482))</f>
        <v/>
      </c>
      <c r="U482">
        <f>IF(原始資料!U482="","",IF(反向題設定!$C$24="是",反向題設定!$B$2+1-原始資料!U482,原始資料!U482))</f>
        <v/>
      </c>
      <c r="V482">
        <f>IF(原始資料!V482="","",IF(反向題設定!$C$25="是",反向題設定!$B$2+1-原始資料!V482,原始資料!V482))</f>
        <v/>
      </c>
      <c r="W482">
        <f>IF(原始資料!W482="","",IF(反向題設定!$C$26="是",反向題設定!$B$2+1-原始資料!W482,原始資料!W482))</f>
        <v/>
      </c>
      <c r="X482">
        <f>IF(原始資料!X482="","",IF(反向題設定!$C$27="是",反向題設定!$B$2+1-原始資料!X482,原始資料!X482))</f>
        <v/>
      </c>
      <c r="Y482">
        <f>IF(原始資料!Y482="","",IF(反向題設定!$C$28="是",反向題設定!$B$2+1-原始資料!Y482,原始資料!Y482))</f>
        <v/>
      </c>
      <c r="Z482">
        <f>IF(原始資料!Z482="","",IF(反向題設定!$C$29="是",反向題設定!$B$2+1-原始資料!Z482,原始資料!Z482))</f>
        <v/>
      </c>
      <c r="AA482">
        <f>IF(原始資料!AA482="","",IF(反向題設定!$C$30="是",反向題設定!$B$2+1-原始資料!AA482,原始資料!AA482))</f>
        <v/>
      </c>
      <c r="AB482">
        <f>IF(原始資料!AB482="","",IF(反向題設定!$C$31="是",反向題設定!$B$2+1-原始資料!AB482,原始資料!AB482))</f>
        <v/>
      </c>
      <c r="AC482">
        <f>IF(原始資料!AC482="","",IF(反向題設定!$C$32="是",反向題設定!$B$2+1-原始資料!AC482,原始資料!AC482))</f>
        <v/>
      </c>
      <c r="AD482">
        <f>IF(原始資料!AD482="","",IF(反向題設定!$C$33="是",反向題設定!$B$2+1-原始資料!AD482,原始資料!AD482))</f>
        <v/>
      </c>
      <c r="AE482">
        <f>IF(原始資料!AE482="","",IF(反向題設定!$C$34="是",反向題設定!$B$2+1-原始資料!AE482,原始資料!AE482))</f>
        <v/>
      </c>
      <c r="AF482">
        <f>IF(原始資料!AF482="","",IF(反向題設定!$C$35="是",反向題設定!$B$2+1-原始資料!AF482,原始資料!AF482))</f>
        <v/>
      </c>
      <c r="AG482">
        <f>IF(原始資料!AG482="","",IF(反向題設定!$C$36="是",反向題設定!$B$2+1-原始資料!AG482,原始資料!AG482))</f>
        <v/>
      </c>
      <c r="AH482">
        <f>IF(原始資料!AH482="","",IF(反向題設定!$C$37="是",反向題設定!$B$2+1-原始資料!AH482,原始資料!AH482))</f>
        <v/>
      </c>
      <c r="AI482">
        <f>IF(原始資料!AI482="","",IF(反向題設定!$C$38="是",反向題設定!$B$2+1-原始資料!AI482,原始資料!AI482))</f>
        <v/>
      </c>
      <c r="AJ482">
        <f>IF(原始資料!AJ482="","",IF(反向題設定!$C$39="是",反向題設定!$B$2+1-原始資料!AJ482,原始資料!AJ482))</f>
        <v/>
      </c>
      <c r="AK482">
        <f>IF(原始資料!AK482="","",IF(反向題設定!$C$40="是",反向題設定!$B$2+1-原始資料!AK482,原始資料!AK482))</f>
        <v/>
      </c>
      <c r="AL482">
        <f>IF(原始資料!AL482="","",IF(反向題設定!$C$41="是",反向題設定!$B$2+1-原始資料!AL482,原始資料!AL482))</f>
        <v/>
      </c>
      <c r="AM482">
        <f>IF(原始資料!AM482="","",IF(反向題設定!$C$42="是",反向題設定!$B$2+1-原始資料!AM482,原始資料!AM482))</f>
        <v/>
      </c>
      <c r="AN482">
        <f>IF(原始資料!AN482="","",IF(反向題設定!$C$43="是",反向題設定!$B$2+1-原始資料!AN482,原始資料!AN482))</f>
        <v/>
      </c>
      <c r="AO482">
        <f>IF(原始資料!AO482="","",IF(反向題設定!$C$44="是",反向題設定!$B$2+1-原始資料!AO482,原始資料!AO482))</f>
        <v/>
      </c>
      <c r="AP482">
        <f>IF(COUNT(B482:AO482)=0,"",SUM(B482:AO482))</f>
        <v/>
      </c>
      <c r="AQ482">
        <f>IF(AP482="","",IF(AP482&gt;=項目分析!$C$5,"高",IF(AP482&lt;=項目分析!$C$6,"低","")))</f>
        <v/>
      </c>
    </row>
    <row r="483">
      <c r="A483">
        <f>IF(原始資料!A483="","",原始資料!A483)</f>
        <v/>
      </c>
      <c r="B483">
        <f>IF(原始資料!B483="","",IF(反向題設定!$C$5="是",反向題設定!$B$2+1-原始資料!B483,原始資料!B483))</f>
        <v/>
      </c>
      <c r="C483">
        <f>IF(原始資料!C483="","",IF(反向題設定!$C$6="是",反向題設定!$B$2+1-原始資料!C483,原始資料!C483))</f>
        <v/>
      </c>
      <c r="D483">
        <f>IF(原始資料!D483="","",IF(反向題設定!$C$7="是",反向題設定!$B$2+1-原始資料!D483,原始資料!D483))</f>
        <v/>
      </c>
      <c r="E483">
        <f>IF(原始資料!E483="","",IF(反向題設定!$C$8="是",反向題設定!$B$2+1-原始資料!E483,原始資料!E483))</f>
        <v/>
      </c>
      <c r="F483">
        <f>IF(原始資料!F483="","",IF(反向題設定!$C$9="是",反向題設定!$B$2+1-原始資料!F483,原始資料!F483))</f>
        <v/>
      </c>
      <c r="G483">
        <f>IF(原始資料!G483="","",IF(反向題設定!$C$10="是",反向題設定!$B$2+1-原始資料!G483,原始資料!G483))</f>
        <v/>
      </c>
      <c r="H483">
        <f>IF(原始資料!H483="","",IF(反向題設定!$C$11="是",反向題設定!$B$2+1-原始資料!H483,原始資料!H483))</f>
        <v/>
      </c>
      <c r="I483">
        <f>IF(原始資料!I483="","",IF(反向題設定!$C$12="是",反向題設定!$B$2+1-原始資料!I483,原始資料!I483))</f>
        <v/>
      </c>
      <c r="J483">
        <f>IF(原始資料!J483="","",IF(反向題設定!$C$13="是",反向題設定!$B$2+1-原始資料!J483,原始資料!J483))</f>
        <v/>
      </c>
      <c r="K483">
        <f>IF(原始資料!K483="","",IF(反向題設定!$C$14="是",反向題設定!$B$2+1-原始資料!K483,原始資料!K483))</f>
        <v/>
      </c>
      <c r="L483">
        <f>IF(原始資料!L483="","",IF(反向題設定!$C$15="是",反向題設定!$B$2+1-原始資料!L483,原始資料!L483))</f>
        <v/>
      </c>
      <c r="M483">
        <f>IF(原始資料!M483="","",IF(反向題設定!$C$16="是",反向題設定!$B$2+1-原始資料!M483,原始資料!M483))</f>
        <v/>
      </c>
      <c r="N483">
        <f>IF(原始資料!N483="","",IF(反向題設定!$C$17="是",反向題設定!$B$2+1-原始資料!N483,原始資料!N483))</f>
        <v/>
      </c>
      <c r="O483">
        <f>IF(原始資料!O483="","",IF(反向題設定!$C$18="是",反向題設定!$B$2+1-原始資料!O483,原始資料!O483))</f>
        <v/>
      </c>
      <c r="P483">
        <f>IF(原始資料!P483="","",IF(反向題設定!$C$19="是",反向題設定!$B$2+1-原始資料!P483,原始資料!P483))</f>
        <v/>
      </c>
      <c r="Q483">
        <f>IF(原始資料!Q483="","",IF(反向題設定!$C$20="是",反向題設定!$B$2+1-原始資料!Q483,原始資料!Q483))</f>
        <v/>
      </c>
      <c r="R483">
        <f>IF(原始資料!R483="","",IF(反向題設定!$C$21="是",反向題設定!$B$2+1-原始資料!R483,原始資料!R483))</f>
        <v/>
      </c>
      <c r="S483">
        <f>IF(原始資料!S483="","",IF(反向題設定!$C$22="是",反向題設定!$B$2+1-原始資料!S483,原始資料!S483))</f>
        <v/>
      </c>
      <c r="T483">
        <f>IF(原始資料!T483="","",IF(反向題設定!$C$23="是",反向題設定!$B$2+1-原始資料!T483,原始資料!T483))</f>
        <v/>
      </c>
      <c r="U483">
        <f>IF(原始資料!U483="","",IF(反向題設定!$C$24="是",反向題設定!$B$2+1-原始資料!U483,原始資料!U483))</f>
        <v/>
      </c>
      <c r="V483">
        <f>IF(原始資料!V483="","",IF(反向題設定!$C$25="是",反向題設定!$B$2+1-原始資料!V483,原始資料!V483))</f>
        <v/>
      </c>
      <c r="W483">
        <f>IF(原始資料!W483="","",IF(反向題設定!$C$26="是",反向題設定!$B$2+1-原始資料!W483,原始資料!W483))</f>
        <v/>
      </c>
      <c r="X483">
        <f>IF(原始資料!X483="","",IF(反向題設定!$C$27="是",反向題設定!$B$2+1-原始資料!X483,原始資料!X483))</f>
        <v/>
      </c>
      <c r="Y483">
        <f>IF(原始資料!Y483="","",IF(反向題設定!$C$28="是",反向題設定!$B$2+1-原始資料!Y483,原始資料!Y483))</f>
        <v/>
      </c>
      <c r="Z483">
        <f>IF(原始資料!Z483="","",IF(反向題設定!$C$29="是",反向題設定!$B$2+1-原始資料!Z483,原始資料!Z483))</f>
        <v/>
      </c>
      <c r="AA483">
        <f>IF(原始資料!AA483="","",IF(反向題設定!$C$30="是",反向題設定!$B$2+1-原始資料!AA483,原始資料!AA483))</f>
        <v/>
      </c>
      <c r="AB483">
        <f>IF(原始資料!AB483="","",IF(反向題設定!$C$31="是",反向題設定!$B$2+1-原始資料!AB483,原始資料!AB483))</f>
        <v/>
      </c>
      <c r="AC483">
        <f>IF(原始資料!AC483="","",IF(反向題設定!$C$32="是",反向題設定!$B$2+1-原始資料!AC483,原始資料!AC483))</f>
        <v/>
      </c>
      <c r="AD483">
        <f>IF(原始資料!AD483="","",IF(反向題設定!$C$33="是",反向題設定!$B$2+1-原始資料!AD483,原始資料!AD483))</f>
        <v/>
      </c>
      <c r="AE483">
        <f>IF(原始資料!AE483="","",IF(反向題設定!$C$34="是",反向題設定!$B$2+1-原始資料!AE483,原始資料!AE483))</f>
        <v/>
      </c>
      <c r="AF483">
        <f>IF(原始資料!AF483="","",IF(反向題設定!$C$35="是",反向題設定!$B$2+1-原始資料!AF483,原始資料!AF483))</f>
        <v/>
      </c>
      <c r="AG483">
        <f>IF(原始資料!AG483="","",IF(反向題設定!$C$36="是",反向題設定!$B$2+1-原始資料!AG483,原始資料!AG483))</f>
        <v/>
      </c>
      <c r="AH483">
        <f>IF(原始資料!AH483="","",IF(反向題設定!$C$37="是",反向題設定!$B$2+1-原始資料!AH483,原始資料!AH483))</f>
        <v/>
      </c>
      <c r="AI483">
        <f>IF(原始資料!AI483="","",IF(反向題設定!$C$38="是",反向題設定!$B$2+1-原始資料!AI483,原始資料!AI483))</f>
        <v/>
      </c>
      <c r="AJ483">
        <f>IF(原始資料!AJ483="","",IF(反向題設定!$C$39="是",反向題設定!$B$2+1-原始資料!AJ483,原始資料!AJ483))</f>
        <v/>
      </c>
      <c r="AK483">
        <f>IF(原始資料!AK483="","",IF(反向題設定!$C$40="是",反向題設定!$B$2+1-原始資料!AK483,原始資料!AK483))</f>
        <v/>
      </c>
      <c r="AL483">
        <f>IF(原始資料!AL483="","",IF(反向題設定!$C$41="是",反向題設定!$B$2+1-原始資料!AL483,原始資料!AL483))</f>
        <v/>
      </c>
      <c r="AM483">
        <f>IF(原始資料!AM483="","",IF(反向題設定!$C$42="是",反向題設定!$B$2+1-原始資料!AM483,原始資料!AM483))</f>
        <v/>
      </c>
      <c r="AN483">
        <f>IF(原始資料!AN483="","",IF(反向題設定!$C$43="是",反向題設定!$B$2+1-原始資料!AN483,原始資料!AN483))</f>
        <v/>
      </c>
      <c r="AO483">
        <f>IF(原始資料!AO483="","",IF(反向題設定!$C$44="是",反向題設定!$B$2+1-原始資料!AO483,原始資料!AO483))</f>
        <v/>
      </c>
      <c r="AP483">
        <f>IF(COUNT(B483:AO483)=0,"",SUM(B483:AO483))</f>
        <v/>
      </c>
      <c r="AQ483">
        <f>IF(AP483="","",IF(AP483&gt;=項目分析!$C$5,"高",IF(AP483&lt;=項目分析!$C$6,"低","")))</f>
        <v/>
      </c>
    </row>
    <row r="484">
      <c r="A484">
        <f>IF(原始資料!A484="","",原始資料!A484)</f>
        <v/>
      </c>
      <c r="B484">
        <f>IF(原始資料!B484="","",IF(反向題設定!$C$5="是",反向題設定!$B$2+1-原始資料!B484,原始資料!B484))</f>
        <v/>
      </c>
      <c r="C484">
        <f>IF(原始資料!C484="","",IF(反向題設定!$C$6="是",反向題設定!$B$2+1-原始資料!C484,原始資料!C484))</f>
        <v/>
      </c>
      <c r="D484">
        <f>IF(原始資料!D484="","",IF(反向題設定!$C$7="是",反向題設定!$B$2+1-原始資料!D484,原始資料!D484))</f>
        <v/>
      </c>
      <c r="E484">
        <f>IF(原始資料!E484="","",IF(反向題設定!$C$8="是",反向題設定!$B$2+1-原始資料!E484,原始資料!E484))</f>
        <v/>
      </c>
      <c r="F484">
        <f>IF(原始資料!F484="","",IF(反向題設定!$C$9="是",反向題設定!$B$2+1-原始資料!F484,原始資料!F484))</f>
        <v/>
      </c>
      <c r="G484">
        <f>IF(原始資料!G484="","",IF(反向題設定!$C$10="是",反向題設定!$B$2+1-原始資料!G484,原始資料!G484))</f>
        <v/>
      </c>
      <c r="H484">
        <f>IF(原始資料!H484="","",IF(反向題設定!$C$11="是",反向題設定!$B$2+1-原始資料!H484,原始資料!H484))</f>
        <v/>
      </c>
      <c r="I484">
        <f>IF(原始資料!I484="","",IF(反向題設定!$C$12="是",反向題設定!$B$2+1-原始資料!I484,原始資料!I484))</f>
        <v/>
      </c>
      <c r="J484">
        <f>IF(原始資料!J484="","",IF(反向題設定!$C$13="是",反向題設定!$B$2+1-原始資料!J484,原始資料!J484))</f>
        <v/>
      </c>
      <c r="K484">
        <f>IF(原始資料!K484="","",IF(反向題設定!$C$14="是",反向題設定!$B$2+1-原始資料!K484,原始資料!K484))</f>
        <v/>
      </c>
      <c r="L484">
        <f>IF(原始資料!L484="","",IF(反向題設定!$C$15="是",反向題設定!$B$2+1-原始資料!L484,原始資料!L484))</f>
        <v/>
      </c>
      <c r="M484">
        <f>IF(原始資料!M484="","",IF(反向題設定!$C$16="是",反向題設定!$B$2+1-原始資料!M484,原始資料!M484))</f>
        <v/>
      </c>
      <c r="N484">
        <f>IF(原始資料!N484="","",IF(反向題設定!$C$17="是",反向題設定!$B$2+1-原始資料!N484,原始資料!N484))</f>
        <v/>
      </c>
      <c r="O484">
        <f>IF(原始資料!O484="","",IF(反向題設定!$C$18="是",反向題設定!$B$2+1-原始資料!O484,原始資料!O484))</f>
        <v/>
      </c>
      <c r="P484">
        <f>IF(原始資料!P484="","",IF(反向題設定!$C$19="是",反向題設定!$B$2+1-原始資料!P484,原始資料!P484))</f>
        <v/>
      </c>
      <c r="Q484">
        <f>IF(原始資料!Q484="","",IF(反向題設定!$C$20="是",反向題設定!$B$2+1-原始資料!Q484,原始資料!Q484))</f>
        <v/>
      </c>
      <c r="R484">
        <f>IF(原始資料!R484="","",IF(反向題設定!$C$21="是",反向題設定!$B$2+1-原始資料!R484,原始資料!R484))</f>
        <v/>
      </c>
      <c r="S484">
        <f>IF(原始資料!S484="","",IF(反向題設定!$C$22="是",反向題設定!$B$2+1-原始資料!S484,原始資料!S484))</f>
        <v/>
      </c>
      <c r="T484">
        <f>IF(原始資料!T484="","",IF(反向題設定!$C$23="是",反向題設定!$B$2+1-原始資料!T484,原始資料!T484))</f>
        <v/>
      </c>
      <c r="U484">
        <f>IF(原始資料!U484="","",IF(反向題設定!$C$24="是",反向題設定!$B$2+1-原始資料!U484,原始資料!U484))</f>
        <v/>
      </c>
      <c r="V484">
        <f>IF(原始資料!V484="","",IF(反向題設定!$C$25="是",反向題設定!$B$2+1-原始資料!V484,原始資料!V484))</f>
        <v/>
      </c>
      <c r="W484">
        <f>IF(原始資料!W484="","",IF(反向題設定!$C$26="是",反向題設定!$B$2+1-原始資料!W484,原始資料!W484))</f>
        <v/>
      </c>
      <c r="X484">
        <f>IF(原始資料!X484="","",IF(反向題設定!$C$27="是",反向題設定!$B$2+1-原始資料!X484,原始資料!X484))</f>
        <v/>
      </c>
      <c r="Y484">
        <f>IF(原始資料!Y484="","",IF(反向題設定!$C$28="是",反向題設定!$B$2+1-原始資料!Y484,原始資料!Y484))</f>
        <v/>
      </c>
      <c r="Z484">
        <f>IF(原始資料!Z484="","",IF(反向題設定!$C$29="是",反向題設定!$B$2+1-原始資料!Z484,原始資料!Z484))</f>
        <v/>
      </c>
      <c r="AA484">
        <f>IF(原始資料!AA484="","",IF(反向題設定!$C$30="是",反向題設定!$B$2+1-原始資料!AA484,原始資料!AA484))</f>
        <v/>
      </c>
      <c r="AB484">
        <f>IF(原始資料!AB484="","",IF(反向題設定!$C$31="是",反向題設定!$B$2+1-原始資料!AB484,原始資料!AB484))</f>
        <v/>
      </c>
      <c r="AC484">
        <f>IF(原始資料!AC484="","",IF(反向題設定!$C$32="是",反向題設定!$B$2+1-原始資料!AC484,原始資料!AC484))</f>
        <v/>
      </c>
      <c r="AD484">
        <f>IF(原始資料!AD484="","",IF(反向題設定!$C$33="是",反向題設定!$B$2+1-原始資料!AD484,原始資料!AD484))</f>
        <v/>
      </c>
      <c r="AE484">
        <f>IF(原始資料!AE484="","",IF(反向題設定!$C$34="是",反向題設定!$B$2+1-原始資料!AE484,原始資料!AE484))</f>
        <v/>
      </c>
      <c r="AF484">
        <f>IF(原始資料!AF484="","",IF(反向題設定!$C$35="是",反向題設定!$B$2+1-原始資料!AF484,原始資料!AF484))</f>
        <v/>
      </c>
      <c r="AG484">
        <f>IF(原始資料!AG484="","",IF(反向題設定!$C$36="是",反向題設定!$B$2+1-原始資料!AG484,原始資料!AG484))</f>
        <v/>
      </c>
      <c r="AH484">
        <f>IF(原始資料!AH484="","",IF(反向題設定!$C$37="是",反向題設定!$B$2+1-原始資料!AH484,原始資料!AH484))</f>
        <v/>
      </c>
      <c r="AI484">
        <f>IF(原始資料!AI484="","",IF(反向題設定!$C$38="是",反向題設定!$B$2+1-原始資料!AI484,原始資料!AI484))</f>
        <v/>
      </c>
      <c r="AJ484">
        <f>IF(原始資料!AJ484="","",IF(反向題設定!$C$39="是",反向題設定!$B$2+1-原始資料!AJ484,原始資料!AJ484))</f>
        <v/>
      </c>
      <c r="AK484">
        <f>IF(原始資料!AK484="","",IF(反向題設定!$C$40="是",反向題設定!$B$2+1-原始資料!AK484,原始資料!AK484))</f>
        <v/>
      </c>
      <c r="AL484">
        <f>IF(原始資料!AL484="","",IF(反向題設定!$C$41="是",反向題設定!$B$2+1-原始資料!AL484,原始資料!AL484))</f>
        <v/>
      </c>
      <c r="AM484">
        <f>IF(原始資料!AM484="","",IF(反向題設定!$C$42="是",反向題設定!$B$2+1-原始資料!AM484,原始資料!AM484))</f>
        <v/>
      </c>
      <c r="AN484">
        <f>IF(原始資料!AN484="","",IF(反向題設定!$C$43="是",反向題設定!$B$2+1-原始資料!AN484,原始資料!AN484))</f>
        <v/>
      </c>
      <c r="AO484">
        <f>IF(原始資料!AO484="","",IF(反向題設定!$C$44="是",反向題設定!$B$2+1-原始資料!AO484,原始資料!AO484))</f>
        <v/>
      </c>
      <c r="AP484">
        <f>IF(COUNT(B484:AO484)=0,"",SUM(B484:AO484))</f>
        <v/>
      </c>
      <c r="AQ484">
        <f>IF(AP484="","",IF(AP484&gt;=項目分析!$C$5,"高",IF(AP484&lt;=項目分析!$C$6,"低","")))</f>
        <v/>
      </c>
    </row>
    <row r="485">
      <c r="A485">
        <f>IF(原始資料!A485="","",原始資料!A485)</f>
        <v/>
      </c>
      <c r="B485">
        <f>IF(原始資料!B485="","",IF(反向題設定!$C$5="是",反向題設定!$B$2+1-原始資料!B485,原始資料!B485))</f>
        <v/>
      </c>
      <c r="C485">
        <f>IF(原始資料!C485="","",IF(反向題設定!$C$6="是",反向題設定!$B$2+1-原始資料!C485,原始資料!C485))</f>
        <v/>
      </c>
      <c r="D485">
        <f>IF(原始資料!D485="","",IF(反向題設定!$C$7="是",反向題設定!$B$2+1-原始資料!D485,原始資料!D485))</f>
        <v/>
      </c>
      <c r="E485">
        <f>IF(原始資料!E485="","",IF(反向題設定!$C$8="是",反向題設定!$B$2+1-原始資料!E485,原始資料!E485))</f>
        <v/>
      </c>
      <c r="F485">
        <f>IF(原始資料!F485="","",IF(反向題設定!$C$9="是",反向題設定!$B$2+1-原始資料!F485,原始資料!F485))</f>
        <v/>
      </c>
      <c r="G485">
        <f>IF(原始資料!G485="","",IF(反向題設定!$C$10="是",反向題設定!$B$2+1-原始資料!G485,原始資料!G485))</f>
        <v/>
      </c>
      <c r="H485">
        <f>IF(原始資料!H485="","",IF(反向題設定!$C$11="是",反向題設定!$B$2+1-原始資料!H485,原始資料!H485))</f>
        <v/>
      </c>
      <c r="I485">
        <f>IF(原始資料!I485="","",IF(反向題設定!$C$12="是",反向題設定!$B$2+1-原始資料!I485,原始資料!I485))</f>
        <v/>
      </c>
      <c r="J485">
        <f>IF(原始資料!J485="","",IF(反向題設定!$C$13="是",反向題設定!$B$2+1-原始資料!J485,原始資料!J485))</f>
        <v/>
      </c>
      <c r="K485">
        <f>IF(原始資料!K485="","",IF(反向題設定!$C$14="是",反向題設定!$B$2+1-原始資料!K485,原始資料!K485))</f>
        <v/>
      </c>
      <c r="L485">
        <f>IF(原始資料!L485="","",IF(反向題設定!$C$15="是",反向題設定!$B$2+1-原始資料!L485,原始資料!L485))</f>
        <v/>
      </c>
      <c r="M485">
        <f>IF(原始資料!M485="","",IF(反向題設定!$C$16="是",反向題設定!$B$2+1-原始資料!M485,原始資料!M485))</f>
        <v/>
      </c>
      <c r="N485">
        <f>IF(原始資料!N485="","",IF(反向題設定!$C$17="是",反向題設定!$B$2+1-原始資料!N485,原始資料!N485))</f>
        <v/>
      </c>
      <c r="O485">
        <f>IF(原始資料!O485="","",IF(反向題設定!$C$18="是",反向題設定!$B$2+1-原始資料!O485,原始資料!O485))</f>
        <v/>
      </c>
      <c r="P485">
        <f>IF(原始資料!P485="","",IF(反向題設定!$C$19="是",反向題設定!$B$2+1-原始資料!P485,原始資料!P485))</f>
        <v/>
      </c>
      <c r="Q485">
        <f>IF(原始資料!Q485="","",IF(反向題設定!$C$20="是",反向題設定!$B$2+1-原始資料!Q485,原始資料!Q485))</f>
        <v/>
      </c>
      <c r="R485">
        <f>IF(原始資料!R485="","",IF(反向題設定!$C$21="是",反向題設定!$B$2+1-原始資料!R485,原始資料!R485))</f>
        <v/>
      </c>
      <c r="S485">
        <f>IF(原始資料!S485="","",IF(反向題設定!$C$22="是",反向題設定!$B$2+1-原始資料!S485,原始資料!S485))</f>
        <v/>
      </c>
      <c r="T485">
        <f>IF(原始資料!T485="","",IF(反向題設定!$C$23="是",反向題設定!$B$2+1-原始資料!T485,原始資料!T485))</f>
        <v/>
      </c>
      <c r="U485">
        <f>IF(原始資料!U485="","",IF(反向題設定!$C$24="是",反向題設定!$B$2+1-原始資料!U485,原始資料!U485))</f>
        <v/>
      </c>
      <c r="V485">
        <f>IF(原始資料!V485="","",IF(反向題設定!$C$25="是",反向題設定!$B$2+1-原始資料!V485,原始資料!V485))</f>
        <v/>
      </c>
      <c r="W485">
        <f>IF(原始資料!W485="","",IF(反向題設定!$C$26="是",反向題設定!$B$2+1-原始資料!W485,原始資料!W485))</f>
        <v/>
      </c>
      <c r="X485">
        <f>IF(原始資料!X485="","",IF(反向題設定!$C$27="是",反向題設定!$B$2+1-原始資料!X485,原始資料!X485))</f>
        <v/>
      </c>
      <c r="Y485">
        <f>IF(原始資料!Y485="","",IF(反向題設定!$C$28="是",反向題設定!$B$2+1-原始資料!Y485,原始資料!Y485))</f>
        <v/>
      </c>
      <c r="Z485">
        <f>IF(原始資料!Z485="","",IF(反向題設定!$C$29="是",反向題設定!$B$2+1-原始資料!Z485,原始資料!Z485))</f>
        <v/>
      </c>
      <c r="AA485">
        <f>IF(原始資料!AA485="","",IF(反向題設定!$C$30="是",反向題設定!$B$2+1-原始資料!AA485,原始資料!AA485))</f>
        <v/>
      </c>
      <c r="AB485">
        <f>IF(原始資料!AB485="","",IF(反向題設定!$C$31="是",反向題設定!$B$2+1-原始資料!AB485,原始資料!AB485))</f>
        <v/>
      </c>
      <c r="AC485">
        <f>IF(原始資料!AC485="","",IF(反向題設定!$C$32="是",反向題設定!$B$2+1-原始資料!AC485,原始資料!AC485))</f>
        <v/>
      </c>
      <c r="AD485">
        <f>IF(原始資料!AD485="","",IF(反向題設定!$C$33="是",反向題設定!$B$2+1-原始資料!AD485,原始資料!AD485))</f>
        <v/>
      </c>
      <c r="AE485">
        <f>IF(原始資料!AE485="","",IF(反向題設定!$C$34="是",反向題設定!$B$2+1-原始資料!AE485,原始資料!AE485))</f>
        <v/>
      </c>
      <c r="AF485">
        <f>IF(原始資料!AF485="","",IF(反向題設定!$C$35="是",反向題設定!$B$2+1-原始資料!AF485,原始資料!AF485))</f>
        <v/>
      </c>
      <c r="AG485">
        <f>IF(原始資料!AG485="","",IF(反向題設定!$C$36="是",反向題設定!$B$2+1-原始資料!AG485,原始資料!AG485))</f>
        <v/>
      </c>
      <c r="AH485">
        <f>IF(原始資料!AH485="","",IF(反向題設定!$C$37="是",反向題設定!$B$2+1-原始資料!AH485,原始資料!AH485))</f>
        <v/>
      </c>
      <c r="AI485">
        <f>IF(原始資料!AI485="","",IF(反向題設定!$C$38="是",反向題設定!$B$2+1-原始資料!AI485,原始資料!AI485))</f>
        <v/>
      </c>
      <c r="AJ485">
        <f>IF(原始資料!AJ485="","",IF(反向題設定!$C$39="是",反向題設定!$B$2+1-原始資料!AJ485,原始資料!AJ485))</f>
        <v/>
      </c>
      <c r="AK485">
        <f>IF(原始資料!AK485="","",IF(反向題設定!$C$40="是",反向題設定!$B$2+1-原始資料!AK485,原始資料!AK485))</f>
        <v/>
      </c>
      <c r="AL485">
        <f>IF(原始資料!AL485="","",IF(反向題設定!$C$41="是",反向題設定!$B$2+1-原始資料!AL485,原始資料!AL485))</f>
        <v/>
      </c>
      <c r="AM485">
        <f>IF(原始資料!AM485="","",IF(反向題設定!$C$42="是",反向題設定!$B$2+1-原始資料!AM485,原始資料!AM485))</f>
        <v/>
      </c>
      <c r="AN485">
        <f>IF(原始資料!AN485="","",IF(反向題設定!$C$43="是",反向題設定!$B$2+1-原始資料!AN485,原始資料!AN485))</f>
        <v/>
      </c>
      <c r="AO485">
        <f>IF(原始資料!AO485="","",IF(反向題設定!$C$44="是",反向題設定!$B$2+1-原始資料!AO485,原始資料!AO485))</f>
        <v/>
      </c>
      <c r="AP485">
        <f>IF(COUNT(B485:AO485)=0,"",SUM(B485:AO485))</f>
        <v/>
      </c>
      <c r="AQ485">
        <f>IF(AP485="","",IF(AP485&gt;=項目分析!$C$5,"高",IF(AP485&lt;=項目分析!$C$6,"低","")))</f>
        <v/>
      </c>
    </row>
    <row r="486">
      <c r="A486">
        <f>IF(原始資料!A486="","",原始資料!A486)</f>
        <v/>
      </c>
      <c r="B486">
        <f>IF(原始資料!B486="","",IF(反向題設定!$C$5="是",反向題設定!$B$2+1-原始資料!B486,原始資料!B486))</f>
        <v/>
      </c>
      <c r="C486">
        <f>IF(原始資料!C486="","",IF(反向題設定!$C$6="是",反向題設定!$B$2+1-原始資料!C486,原始資料!C486))</f>
        <v/>
      </c>
      <c r="D486">
        <f>IF(原始資料!D486="","",IF(反向題設定!$C$7="是",反向題設定!$B$2+1-原始資料!D486,原始資料!D486))</f>
        <v/>
      </c>
      <c r="E486">
        <f>IF(原始資料!E486="","",IF(反向題設定!$C$8="是",反向題設定!$B$2+1-原始資料!E486,原始資料!E486))</f>
        <v/>
      </c>
      <c r="F486">
        <f>IF(原始資料!F486="","",IF(反向題設定!$C$9="是",反向題設定!$B$2+1-原始資料!F486,原始資料!F486))</f>
        <v/>
      </c>
      <c r="G486">
        <f>IF(原始資料!G486="","",IF(反向題設定!$C$10="是",反向題設定!$B$2+1-原始資料!G486,原始資料!G486))</f>
        <v/>
      </c>
      <c r="H486">
        <f>IF(原始資料!H486="","",IF(反向題設定!$C$11="是",反向題設定!$B$2+1-原始資料!H486,原始資料!H486))</f>
        <v/>
      </c>
      <c r="I486">
        <f>IF(原始資料!I486="","",IF(反向題設定!$C$12="是",反向題設定!$B$2+1-原始資料!I486,原始資料!I486))</f>
        <v/>
      </c>
      <c r="J486">
        <f>IF(原始資料!J486="","",IF(反向題設定!$C$13="是",反向題設定!$B$2+1-原始資料!J486,原始資料!J486))</f>
        <v/>
      </c>
      <c r="K486">
        <f>IF(原始資料!K486="","",IF(反向題設定!$C$14="是",反向題設定!$B$2+1-原始資料!K486,原始資料!K486))</f>
        <v/>
      </c>
      <c r="L486">
        <f>IF(原始資料!L486="","",IF(反向題設定!$C$15="是",反向題設定!$B$2+1-原始資料!L486,原始資料!L486))</f>
        <v/>
      </c>
      <c r="M486">
        <f>IF(原始資料!M486="","",IF(反向題設定!$C$16="是",反向題設定!$B$2+1-原始資料!M486,原始資料!M486))</f>
        <v/>
      </c>
      <c r="N486">
        <f>IF(原始資料!N486="","",IF(反向題設定!$C$17="是",反向題設定!$B$2+1-原始資料!N486,原始資料!N486))</f>
        <v/>
      </c>
      <c r="O486">
        <f>IF(原始資料!O486="","",IF(反向題設定!$C$18="是",反向題設定!$B$2+1-原始資料!O486,原始資料!O486))</f>
        <v/>
      </c>
      <c r="P486">
        <f>IF(原始資料!P486="","",IF(反向題設定!$C$19="是",反向題設定!$B$2+1-原始資料!P486,原始資料!P486))</f>
        <v/>
      </c>
      <c r="Q486">
        <f>IF(原始資料!Q486="","",IF(反向題設定!$C$20="是",反向題設定!$B$2+1-原始資料!Q486,原始資料!Q486))</f>
        <v/>
      </c>
      <c r="R486">
        <f>IF(原始資料!R486="","",IF(反向題設定!$C$21="是",反向題設定!$B$2+1-原始資料!R486,原始資料!R486))</f>
        <v/>
      </c>
      <c r="S486">
        <f>IF(原始資料!S486="","",IF(反向題設定!$C$22="是",反向題設定!$B$2+1-原始資料!S486,原始資料!S486))</f>
        <v/>
      </c>
      <c r="T486">
        <f>IF(原始資料!T486="","",IF(反向題設定!$C$23="是",反向題設定!$B$2+1-原始資料!T486,原始資料!T486))</f>
        <v/>
      </c>
      <c r="U486">
        <f>IF(原始資料!U486="","",IF(反向題設定!$C$24="是",反向題設定!$B$2+1-原始資料!U486,原始資料!U486))</f>
        <v/>
      </c>
      <c r="V486">
        <f>IF(原始資料!V486="","",IF(反向題設定!$C$25="是",反向題設定!$B$2+1-原始資料!V486,原始資料!V486))</f>
        <v/>
      </c>
      <c r="W486">
        <f>IF(原始資料!W486="","",IF(反向題設定!$C$26="是",反向題設定!$B$2+1-原始資料!W486,原始資料!W486))</f>
        <v/>
      </c>
      <c r="X486">
        <f>IF(原始資料!X486="","",IF(反向題設定!$C$27="是",反向題設定!$B$2+1-原始資料!X486,原始資料!X486))</f>
        <v/>
      </c>
      <c r="Y486">
        <f>IF(原始資料!Y486="","",IF(反向題設定!$C$28="是",反向題設定!$B$2+1-原始資料!Y486,原始資料!Y486))</f>
        <v/>
      </c>
      <c r="Z486">
        <f>IF(原始資料!Z486="","",IF(反向題設定!$C$29="是",反向題設定!$B$2+1-原始資料!Z486,原始資料!Z486))</f>
        <v/>
      </c>
      <c r="AA486">
        <f>IF(原始資料!AA486="","",IF(反向題設定!$C$30="是",反向題設定!$B$2+1-原始資料!AA486,原始資料!AA486))</f>
        <v/>
      </c>
      <c r="AB486">
        <f>IF(原始資料!AB486="","",IF(反向題設定!$C$31="是",反向題設定!$B$2+1-原始資料!AB486,原始資料!AB486))</f>
        <v/>
      </c>
      <c r="AC486">
        <f>IF(原始資料!AC486="","",IF(反向題設定!$C$32="是",反向題設定!$B$2+1-原始資料!AC486,原始資料!AC486))</f>
        <v/>
      </c>
      <c r="AD486">
        <f>IF(原始資料!AD486="","",IF(反向題設定!$C$33="是",反向題設定!$B$2+1-原始資料!AD486,原始資料!AD486))</f>
        <v/>
      </c>
      <c r="AE486">
        <f>IF(原始資料!AE486="","",IF(反向題設定!$C$34="是",反向題設定!$B$2+1-原始資料!AE486,原始資料!AE486))</f>
        <v/>
      </c>
      <c r="AF486">
        <f>IF(原始資料!AF486="","",IF(反向題設定!$C$35="是",反向題設定!$B$2+1-原始資料!AF486,原始資料!AF486))</f>
        <v/>
      </c>
      <c r="AG486">
        <f>IF(原始資料!AG486="","",IF(反向題設定!$C$36="是",反向題設定!$B$2+1-原始資料!AG486,原始資料!AG486))</f>
        <v/>
      </c>
      <c r="AH486">
        <f>IF(原始資料!AH486="","",IF(反向題設定!$C$37="是",反向題設定!$B$2+1-原始資料!AH486,原始資料!AH486))</f>
        <v/>
      </c>
      <c r="AI486">
        <f>IF(原始資料!AI486="","",IF(反向題設定!$C$38="是",反向題設定!$B$2+1-原始資料!AI486,原始資料!AI486))</f>
        <v/>
      </c>
      <c r="AJ486">
        <f>IF(原始資料!AJ486="","",IF(反向題設定!$C$39="是",反向題設定!$B$2+1-原始資料!AJ486,原始資料!AJ486))</f>
        <v/>
      </c>
      <c r="AK486">
        <f>IF(原始資料!AK486="","",IF(反向題設定!$C$40="是",反向題設定!$B$2+1-原始資料!AK486,原始資料!AK486))</f>
        <v/>
      </c>
      <c r="AL486">
        <f>IF(原始資料!AL486="","",IF(反向題設定!$C$41="是",反向題設定!$B$2+1-原始資料!AL486,原始資料!AL486))</f>
        <v/>
      </c>
      <c r="AM486">
        <f>IF(原始資料!AM486="","",IF(反向題設定!$C$42="是",反向題設定!$B$2+1-原始資料!AM486,原始資料!AM486))</f>
        <v/>
      </c>
      <c r="AN486">
        <f>IF(原始資料!AN486="","",IF(反向題設定!$C$43="是",反向題設定!$B$2+1-原始資料!AN486,原始資料!AN486))</f>
        <v/>
      </c>
      <c r="AO486">
        <f>IF(原始資料!AO486="","",IF(反向題設定!$C$44="是",反向題設定!$B$2+1-原始資料!AO486,原始資料!AO486))</f>
        <v/>
      </c>
      <c r="AP486">
        <f>IF(COUNT(B486:AO486)=0,"",SUM(B486:AO486))</f>
        <v/>
      </c>
      <c r="AQ486">
        <f>IF(AP486="","",IF(AP486&gt;=項目分析!$C$5,"高",IF(AP486&lt;=項目分析!$C$6,"低","")))</f>
        <v/>
      </c>
    </row>
    <row r="487">
      <c r="A487">
        <f>IF(原始資料!A487="","",原始資料!A487)</f>
        <v/>
      </c>
      <c r="B487">
        <f>IF(原始資料!B487="","",IF(反向題設定!$C$5="是",反向題設定!$B$2+1-原始資料!B487,原始資料!B487))</f>
        <v/>
      </c>
      <c r="C487">
        <f>IF(原始資料!C487="","",IF(反向題設定!$C$6="是",反向題設定!$B$2+1-原始資料!C487,原始資料!C487))</f>
        <v/>
      </c>
      <c r="D487">
        <f>IF(原始資料!D487="","",IF(反向題設定!$C$7="是",反向題設定!$B$2+1-原始資料!D487,原始資料!D487))</f>
        <v/>
      </c>
      <c r="E487">
        <f>IF(原始資料!E487="","",IF(反向題設定!$C$8="是",反向題設定!$B$2+1-原始資料!E487,原始資料!E487))</f>
        <v/>
      </c>
      <c r="F487">
        <f>IF(原始資料!F487="","",IF(反向題設定!$C$9="是",反向題設定!$B$2+1-原始資料!F487,原始資料!F487))</f>
        <v/>
      </c>
      <c r="G487">
        <f>IF(原始資料!G487="","",IF(反向題設定!$C$10="是",反向題設定!$B$2+1-原始資料!G487,原始資料!G487))</f>
        <v/>
      </c>
      <c r="H487">
        <f>IF(原始資料!H487="","",IF(反向題設定!$C$11="是",反向題設定!$B$2+1-原始資料!H487,原始資料!H487))</f>
        <v/>
      </c>
      <c r="I487">
        <f>IF(原始資料!I487="","",IF(反向題設定!$C$12="是",反向題設定!$B$2+1-原始資料!I487,原始資料!I487))</f>
        <v/>
      </c>
      <c r="J487">
        <f>IF(原始資料!J487="","",IF(反向題設定!$C$13="是",反向題設定!$B$2+1-原始資料!J487,原始資料!J487))</f>
        <v/>
      </c>
      <c r="K487">
        <f>IF(原始資料!K487="","",IF(反向題設定!$C$14="是",反向題設定!$B$2+1-原始資料!K487,原始資料!K487))</f>
        <v/>
      </c>
      <c r="L487">
        <f>IF(原始資料!L487="","",IF(反向題設定!$C$15="是",反向題設定!$B$2+1-原始資料!L487,原始資料!L487))</f>
        <v/>
      </c>
      <c r="M487">
        <f>IF(原始資料!M487="","",IF(反向題設定!$C$16="是",反向題設定!$B$2+1-原始資料!M487,原始資料!M487))</f>
        <v/>
      </c>
      <c r="N487">
        <f>IF(原始資料!N487="","",IF(反向題設定!$C$17="是",反向題設定!$B$2+1-原始資料!N487,原始資料!N487))</f>
        <v/>
      </c>
      <c r="O487">
        <f>IF(原始資料!O487="","",IF(反向題設定!$C$18="是",反向題設定!$B$2+1-原始資料!O487,原始資料!O487))</f>
        <v/>
      </c>
      <c r="P487">
        <f>IF(原始資料!P487="","",IF(反向題設定!$C$19="是",反向題設定!$B$2+1-原始資料!P487,原始資料!P487))</f>
        <v/>
      </c>
      <c r="Q487">
        <f>IF(原始資料!Q487="","",IF(反向題設定!$C$20="是",反向題設定!$B$2+1-原始資料!Q487,原始資料!Q487))</f>
        <v/>
      </c>
      <c r="R487">
        <f>IF(原始資料!R487="","",IF(反向題設定!$C$21="是",反向題設定!$B$2+1-原始資料!R487,原始資料!R487))</f>
        <v/>
      </c>
      <c r="S487">
        <f>IF(原始資料!S487="","",IF(反向題設定!$C$22="是",反向題設定!$B$2+1-原始資料!S487,原始資料!S487))</f>
        <v/>
      </c>
      <c r="T487">
        <f>IF(原始資料!T487="","",IF(反向題設定!$C$23="是",反向題設定!$B$2+1-原始資料!T487,原始資料!T487))</f>
        <v/>
      </c>
      <c r="U487">
        <f>IF(原始資料!U487="","",IF(反向題設定!$C$24="是",反向題設定!$B$2+1-原始資料!U487,原始資料!U487))</f>
        <v/>
      </c>
      <c r="V487">
        <f>IF(原始資料!V487="","",IF(反向題設定!$C$25="是",反向題設定!$B$2+1-原始資料!V487,原始資料!V487))</f>
        <v/>
      </c>
      <c r="W487">
        <f>IF(原始資料!W487="","",IF(反向題設定!$C$26="是",反向題設定!$B$2+1-原始資料!W487,原始資料!W487))</f>
        <v/>
      </c>
      <c r="X487">
        <f>IF(原始資料!X487="","",IF(反向題設定!$C$27="是",反向題設定!$B$2+1-原始資料!X487,原始資料!X487))</f>
        <v/>
      </c>
      <c r="Y487">
        <f>IF(原始資料!Y487="","",IF(反向題設定!$C$28="是",反向題設定!$B$2+1-原始資料!Y487,原始資料!Y487))</f>
        <v/>
      </c>
      <c r="Z487">
        <f>IF(原始資料!Z487="","",IF(反向題設定!$C$29="是",反向題設定!$B$2+1-原始資料!Z487,原始資料!Z487))</f>
        <v/>
      </c>
      <c r="AA487">
        <f>IF(原始資料!AA487="","",IF(反向題設定!$C$30="是",反向題設定!$B$2+1-原始資料!AA487,原始資料!AA487))</f>
        <v/>
      </c>
      <c r="AB487">
        <f>IF(原始資料!AB487="","",IF(反向題設定!$C$31="是",反向題設定!$B$2+1-原始資料!AB487,原始資料!AB487))</f>
        <v/>
      </c>
      <c r="AC487">
        <f>IF(原始資料!AC487="","",IF(反向題設定!$C$32="是",反向題設定!$B$2+1-原始資料!AC487,原始資料!AC487))</f>
        <v/>
      </c>
      <c r="AD487">
        <f>IF(原始資料!AD487="","",IF(反向題設定!$C$33="是",反向題設定!$B$2+1-原始資料!AD487,原始資料!AD487))</f>
        <v/>
      </c>
      <c r="AE487">
        <f>IF(原始資料!AE487="","",IF(反向題設定!$C$34="是",反向題設定!$B$2+1-原始資料!AE487,原始資料!AE487))</f>
        <v/>
      </c>
      <c r="AF487">
        <f>IF(原始資料!AF487="","",IF(反向題設定!$C$35="是",反向題設定!$B$2+1-原始資料!AF487,原始資料!AF487))</f>
        <v/>
      </c>
      <c r="AG487">
        <f>IF(原始資料!AG487="","",IF(反向題設定!$C$36="是",反向題設定!$B$2+1-原始資料!AG487,原始資料!AG487))</f>
        <v/>
      </c>
      <c r="AH487">
        <f>IF(原始資料!AH487="","",IF(反向題設定!$C$37="是",反向題設定!$B$2+1-原始資料!AH487,原始資料!AH487))</f>
        <v/>
      </c>
      <c r="AI487">
        <f>IF(原始資料!AI487="","",IF(反向題設定!$C$38="是",反向題設定!$B$2+1-原始資料!AI487,原始資料!AI487))</f>
        <v/>
      </c>
      <c r="AJ487">
        <f>IF(原始資料!AJ487="","",IF(反向題設定!$C$39="是",反向題設定!$B$2+1-原始資料!AJ487,原始資料!AJ487))</f>
        <v/>
      </c>
      <c r="AK487">
        <f>IF(原始資料!AK487="","",IF(反向題設定!$C$40="是",反向題設定!$B$2+1-原始資料!AK487,原始資料!AK487))</f>
        <v/>
      </c>
      <c r="AL487">
        <f>IF(原始資料!AL487="","",IF(反向題設定!$C$41="是",反向題設定!$B$2+1-原始資料!AL487,原始資料!AL487))</f>
        <v/>
      </c>
      <c r="AM487">
        <f>IF(原始資料!AM487="","",IF(反向題設定!$C$42="是",反向題設定!$B$2+1-原始資料!AM487,原始資料!AM487))</f>
        <v/>
      </c>
      <c r="AN487">
        <f>IF(原始資料!AN487="","",IF(反向題設定!$C$43="是",反向題設定!$B$2+1-原始資料!AN487,原始資料!AN487))</f>
        <v/>
      </c>
      <c r="AO487">
        <f>IF(原始資料!AO487="","",IF(反向題設定!$C$44="是",反向題設定!$B$2+1-原始資料!AO487,原始資料!AO487))</f>
        <v/>
      </c>
      <c r="AP487">
        <f>IF(COUNT(B487:AO487)=0,"",SUM(B487:AO487))</f>
        <v/>
      </c>
      <c r="AQ487">
        <f>IF(AP487="","",IF(AP487&gt;=項目分析!$C$5,"高",IF(AP487&lt;=項目分析!$C$6,"低","")))</f>
        <v/>
      </c>
    </row>
    <row r="488">
      <c r="A488">
        <f>IF(原始資料!A488="","",原始資料!A488)</f>
        <v/>
      </c>
      <c r="B488">
        <f>IF(原始資料!B488="","",IF(反向題設定!$C$5="是",反向題設定!$B$2+1-原始資料!B488,原始資料!B488))</f>
        <v/>
      </c>
      <c r="C488">
        <f>IF(原始資料!C488="","",IF(反向題設定!$C$6="是",反向題設定!$B$2+1-原始資料!C488,原始資料!C488))</f>
        <v/>
      </c>
      <c r="D488">
        <f>IF(原始資料!D488="","",IF(反向題設定!$C$7="是",反向題設定!$B$2+1-原始資料!D488,原始資料!D488))</f>
        <v/>
      </c>
      <c r="E488">
        <f>IF(原始資料!E488="","",IF(反向題設定!$C$8="是",反向題設定!$B$2+1-原始資料!E488,原始資料!E488))</f>
        <v/>
      </c>
      <c r="F488">
        <f>IF(原始資料!F488="","",IF(反向題設定!$C$9="是",反向題設定!$B$2+1-原始資料!F488,原始資料!F488))</f>
        <v/>
      </c>
      <c r="G488">
        <f>IF(原始資料!G488="","",IF(反向題設定!$C$10="是",反向題設定!$B$2+1-原始資料!G488,原始資料!G488))</f>
        <v/>
      </c>
      <c r="H488">
        <f>IF(原始資料!H488="","",IF(反向題設定!$C$11="是",反向題設定!$B$2+1-原始資料!H488,原始資料!H488))</f>
        <v/>
      </c>
      <c r="I488">
        <f>IF(原始資料!I488="","",IF(反向題設定!$C$12="是",反向題設定!$B$2+1-原始資料!I488,原始資料!I488))</f>
        <v/>
      </c>
      <c r="J488">
        <f>IF(原始資料!J488="","",IF(反向題設定!$C$13="是",反向題設定!$B$2+1-原始資料!J488,原始資料!J488))</f>
        <v/>
      </c>
      <c r="K488">
        <f>IF(原始資料!K488="","",IF(反向題設定!$C$14="是",反向題設定!$B$2+1-原始資料!K488,原始資料!K488))</f>
        <v/>
      </c>
      <c r="L488">
        <f>IF(原始資料!L488="","",IF(反向題設定!$C$15="是",反向題設定!$B$2+1-原始資料!L488,原始資料!L488))</f>
        <v/>
      </c>
      <c r="M488">
        <f>IF(原始資料!M488="","",IF(反向題設定!$C$16="是",反向題設定!$B$2+1-原始資料!M488,原始資料!M488))</f>
        <v/>
      </c>
      <c r="N488">
        <f>IF(原始資料!N488="","",IF(反向題設定!$C$17="是",反向題設定!$B$2+1-原始資料!N488,原始資料!N488))</f>
        <v/>
      </c>
      <c r="O488">
        <f>IF(原始資料!O488="","",IF(反向題設定!$C$18="是",反向題設定!$B$2+1-原始資料!O488,原始資料!O488))</f>
        <v/>
      </c>
      <c r="P488">
        <f>IF(原始資料!P488="","",IF(反向題設定!$C$19="是",反向題設定!$B$2+1-原始資料!P488,原始資料!P488))</f>
        <v/>
      </c>
      <c r="Q488">
        <f>IF(原始資料!Q488="","",IF(反向題設定!$C$20="是",反向題設定!$B$2+1-原始資料!Q488,原始資料!Q488))</f>
        <v/>
      </c>
      <c r="R488">
        <f>IF(原始資料!R488="","",IF(反向題設定!$C$21="是",反向題設定!$B$2+1-原始資料!R488,原始資料!R488))</f>
        <v/>
      </c>
      <c r="S488">
        <f>IF(原始資料!S488="","",IF(反向題設定!$C$22="是",反向題設定!$B$2+1-原始資料!S488,原始資料!S488))</f>
        <v/>
      </c>
      <c r="T488">
        <f>IF(原始資料!T488="","",IF(反向題設定!$C$23="是",反向題設定!$B$2+1-原始資料!T488,原始資料!T488))</f>
        <v/>
      </c>
      <c r="U488">
        <f>IF(原始資料!U488="","",IF(反向題設定!$C$24="是",反向題設定!$B$2+1-原始資料!U488,原始資料!U488))</f>
        <v/>
      </c>
      <c r="V488">
        <f>IF(原始資料!V488="","",IF(反向題設定!$C$25="是",反向題設定!$B$2+1-原始資料!V488,原始資料!V488))</f>
        <v/>
      </c>
      <c r="W488">
        <f>IF(原始資料!W488="","",IF(反向題設定!$C$26="是",反向題設定!$B$2+1-原始資料!W488,原始資料!W488))</f>
        <v/>
      </c>
      <c r="X488">
        <f>IF(原始資料!X488="","",IF(反向題設定!$C$27="是",反向題設定!$B$2+1-原始資料!X488,原始資料!X488))</f>
        <v/>
      </c>
      <c r="Y488">
        <f>IF(原始資料!Y488="","",IF(反向題設定!$C$28="是",反向題設定!$B$2+1-原始資料!Y488,原始資料!Y488))</f>
        <v/>
      </c>
      <c r="Z488">
        <f>IF(原始資料!Z488="","",IF(反向題設定!$C$29="是",反向題設定!$B$2+1-原始資料!Z488,原始資料!Z488))</f>
        <v/>
      </c>
      <c r="AA488">
        <f>IF(原始資料!AA488="","",IF(反向題設定!$C$30="是",反向題設定!$B$2+1-原始資料!AA488,原始資料!AA488))</f>
        <v/>
      </c>
      <c r="AB488">
        <f>IF(原始資料!AB488="","",IF(反向題設定!$C$31="是",反向題設定!$B$2+1-原始資料!AB488,原始資料!AB488))</f>
        <v/>
      </c>
      <c r="AC488">
        <f>IF(原始資料!AC488="","",IF(反向題設定!$C$32="是",反向題設定!$B$2+1-原始資料!AC488,原始資料!AC488))</f>
        <v/>
      </c>
      <c r="AD488">
        <f>IF(原始資料!AD488="","",IF(反向題設定!$C$33="是",反向題設定!$B$2+1-原始資料!AD488,原始資料!AD488))</f>
        <v/>
      </c>
      <c r="AE488">
        <f>IF(原始資料!AE488="","",IF(反向題設定!$C$34="是",反向題設定!$B$2+1-原始資料!AE488,原始資料!AE488))</f>
        <v/>
      </c>
      <c r="AF488">
        <f>IF(原始資料!AF488="","",IF(反向題設定!$C$35="是",反向題設定!$B$2+1-原始資料!AF488,原始資料!AF488))</f>
        <v/>
      </c>
      <c r="AG488">
        <f>IF(原始資料!AG488="","",IF(反向題設定!$C$36="是",反向題設定!$B$2+1-原始資料!AG488,原始資料!AG488))</f>
        <v/>
      </c>
      <c r="AH488">
        <f>IF(原始資料!AH488="","",IF(反向題設定!$C$37="是",反向題設定!$B$2+1-原始資料!AH488,原始資料!AH488))</f>
        <v/>
      </c>
      <c r="AI488">
        <f>IF(原始資料!AI488="","",IF(反向題設定!$C$38="是",反向題設定!$B$2+1-原始資料!AI488,原始資料!AI488))</f>
        <v/>
      </c>
      <c r="AJ488">
        <f>IF(原始資料!AJ488="","",IF(反向題設定!$C$39="是",反向題設定!$B$2+1-原始資料!AJ488,原始資料!AJ488))</f>
        <v/>
      </c>
      <c r="AK488">
        <f>IF(原始資料!AK488="","",IF(反向題設定!$C$40="是",反向題設定!$B$2+1-原始資料!AK488,原始資料!AK488))</f>
        <v/>
      </c>
      <c r="AL488">
        <f>IF(原始資料!AL488="","",IF(反向題設定!$C$41="是",反向題設定!$B$2+1-原始資料!AL488,原始資料!AL488))</f>
        <v/>
      </c>
      <c r="AM488">
        <f>IF(原始資料!AM488="","",IF(反向題設定!$C$42="是",反向題設定!$B$2+1-原始資料!AM488,原始資料!AM488))</f>
        <v/>
      </c>
      <c r="AN488">
        <f>IF(原始資料!AN488="","",IF(反向題設定!$C$43="是",反向題設定!$B$2+1-原始資料!AN488,原始資料!AN488))</f>
        <v/>
      </c>
      <c r="AO488">
        <f>IF(原始資料!AO488="","",IF(反向題設定!$C$44="是",反向題設定!$B$2+1-原始資料!AO488,原始資料!AO488))</f>
        <v/>
      </c>
      <c r="AP488">
        <f>IF(COUNT(B488:AO488)=0,"",SUM(B488:AO488))</f>
        <v/>
      </c>
      <c r="AQ488">
        <f>IF(AP488="","",IF(AP488&gt;=項目分析!$C$5,"高",IF(AP488&lt;=項目分析!$C$6,"低","")))</f>
        <v/>
      </c>
    </row>
    <row r="489">
      <c r="A489">
        <f>IF(原始資料!A489="","",原始資料!A489)</f>
        <v/>
      </c>
      <c r="B489">
        <f>IF(原始資料!B489="","",IF(反向題設定!$C$5="是",反向題設定!$B$2+1-原始資料!B489,原始資料!B489))</f>
        <v/>
      </c>
      <c r="C489">
        <f>IF(原始資料!C489="","",IF(反向題設定!$C$6="是",反向題設定!$B$2+1-原始資料!C489,原始資料!C489))</f>
        <v/>
      </c>
      <c r="D489">
        <f>IF(原始資料!D489="","",IF(反向題設定!$C$7="是",反向題設定!$B$2+1-原始資料!D489,原始資料!D489))</f>
        <v/>
      </c>
      <c r="E489">
        <f>IF(原始資料!E489="","",IF(反向題設定!$C$8="是",反向題設定!$B$2+1-原始資料!E489,原始資料!E489))</f>
        <v/>
      </c>
      <c r="F489">
        <f>IF(原始資料!F489="","",IF(反向題設定!$C$9="是",反向題設定!$B$2+1-原始資料!F489,原始資料!F489))</f>
        <v/>
      </c>
      <c r="G489">
        <f>IF(原始資料!G489="","",IF(反向題設定!$C$10="是",反向題設定!$B$2+1-原始資料!G489,原始資料!G489))</f>
        <v/>
      </c>
      <c r="H489">
        <f>IF(原始資料!H489="","",IF(反向題設定!$C$11="是",反向題設定!$B$2+1-原始資料!H489,原始資料!H489))</f>
        <v/>
      </c>
      <c r="I489">
        <f>IF(原始資料!I489="","",IF(反向題設定!$C$12="是",反向題設定!$B$2+1-原始資料!I489,原始資料!I489))</f>
        <v/>
      </c>
      <c r="J489">
        <f>IF(原始資料!J489="","",IF(反向題設定!$C$13="是",反向題設定!$B$2+1-原始資料!J489,原始資料!J489))</f>
        <v/>
      </c>
      <c r="K489">
        <f>IF(原始資料!K489="","",IF(反向題設定!$C$14="是",反向題設定!$B$2+1-原始資料!K489,原始資料!K489))</f>
        <v/>
      </c>
      <c r="L489">
        <f>IF(原始資料!L489="","",IF(反向題設定!$C$15="是",反向題設定!$B$2+1-原始資料!L489,原始資料!L489))</f>
        <v/>
      </c>
      <c r="M489">
        <f>IF(原始資料!M489="","",IF(反向題設定!$C$16="是",反向題設定!$B$2+1-原始資料!M489,原始資料!M489))</f>
        <v/>
      </c>
      <c r="N489">
        <f>IF(原始資料!N489="","",IF(反向題設定!$C$17="是",反向題設定!$B$2+1-原始資料!N489,原始資料!N489))</f>
        <v/>
      </c>
      <c r="O489">
        <f>IF(原始資料!O489="","",IF(反向題設定!$C$18="是",反向題設定!$B$2+1-原始資料!O489,原始資料!O489))</f>
        <v/>
      </c>
      <c r="P489">
        <f>IF(原始資料!P489="","",IF(反向題設定!$C$19="是",反向題設定!$B$2+1-原始資料!P489,原始資料!P489))</f>
        <v/>
      </c>
      <c r="Q489">
        <f>IF(原始資料!Q489="","",IF(反向題設定!$C$20="是",反向題設定!$B$2+1-原始資料!Q489,原始資料!Q489))</f>
        <v/>
      </c>
      <c r="R489">
        <f>IF(原始資料!R489="","",IF(反向題設定!$C$21="是",反向題設定!$B$2+1-原始資料!R489,原始資料!R489))</f>
        <v/>
      </c>
      <c r="S489">
        <f>IF(原始資料!S489="","",IF(反向題設定!$C$22="是",反向題設定!$B$2+1-原始資料!S489,原始資料!S489))</f>
        <v/>
      </c>
      <c r="T489">
        <f>IF(原始資料!T489="","",IF(反向題設定!$C$23="是",反向題設定!$B$2+1-原始資料!T489,原始資料!T489))</f>
        <v/>
      </c>
      <c r="U489">
        <f>IF(原始資料!U489="","",IF(反向題設定!$C$24="是",反向題設定!$B$2+1-原始資料!U489,原始資料!U489))</f>
        <v/>
      </c>
      <c r="V489">
        <f>IF(原始資料!V489="","",IF(反向題設定!$C$25="是",反向題設定!$B$2+1-原始資料!V489,原始資料!V489))</f>
        <v/>
      </c>
      <c r="W489">
        <f>IF(原始資料!W489="","",IF(反向題設定!$C$26="是",反向題設定!$B$2+1-原始資料!W489,原始資料!W489))</f>
        <v/>
      </c>
      <c r="X489">
        <f>IF(原始資料!X489="","",IF(反向題設定!$C$27="是",反向題設定!$B$2+1-原始資料!X489,原始資料!X489))</f>
        <v/>
      </c>
      <c r="Y489">
        <f>IF(原始資料!Y489="","",IF(反向題設定!$C$28="是",反向題設定!$B$2+1-原始資料!Y489,原始資料!Y489))</f>
        <v/>
      </c>
      <c r="Z489">
        <f>IF(原始資料!Z489="","",IF(反向題設定!$C$29="是",反向題設定!$B$2+1-原始資料!Z489,原始資料!Z489))</f>
        <v/>
      </c>
      <c r="AA489">
        <f>IF(原始資料!AA489="","",IF(反向題設定!$C$30="是",反向題設定!$B$2+1-原始資料!AA489,原始資料!AA489))</f>
        <v/>
      </c>
      <c r="AB489">
        <f>IF(原始資料!AB489="","",IF(反向題設定!$C$31="是",反向題設定!$B$2+1-原始資料!AB489,原始資料!AB489))</f>
        <v/>
      </c>
      <c r="AC489">
        <f>IF(原始資料!AC489="","",IF(反向題設定!$C$32="是",反向題設定!$B$2+1-原始資料!AC489,原始資料!AC489))</f>
        <v/>
      </c>
      <c r="AD489">
        <f>IF(原始資料!AD489="","",IF(反向題設定!$C$33="是",反向題設定!$B$2+1-原始資料!AD489,原始資料!AD489))</f>
        <v/>
      </c>
      <c r="AE489">
        <f>IF(原始資料!AE489="","",IF(反向題設定!$C$34="是",反向題設定!$B$2+1-原始資料!AE489,原始資料!AE489))</f>
        <v/>
      </c>
      <c r="AF489">
        <f>IF(原始資料!AF489="","",IF(反向題設定!$C$35="是",反向題設定!$B$2+1-原始資料!AF489,原始資料!AF489))</f>
        <v/>
      </c>
      <c r="AG489">
        <f>IF(原始資料!AG489="","",IF(反向題設定!$C$36="是",反向題設定!$B$2+1-原始資料!AG489,原始資料!AG489))</f>
        <v/>
      </c>
      <c r="AH489">
        <f>IF(原始資料!AH489="","",IF(反向題設定!$C$37="是",反向題設定!$B$2+1-原始資料!AH489,原始資料!AH489))</f>
        <v/>
      </c>
      <c r="AI489">
        <f>IF(原始資料!AI489="","",IF(反向題設定!$C$38="是",反向題設定!$B$2+1-原始資料!AI489,原始資料!AI489))</f>
        <v/>
      </c>
      <c r="AJ489">
        <f>IF(原始資料!AJ489="","",IF(反向題設定!$C$39="是",反向題設定!$B$2+1-原始資料!AJ489,原始資料!AJ489))</f>
        <v/>
      </c>
      <c r="AK489">
        <f>IF(原始資料!AK489="","",IF(反向題設定!$C$40="是",反向題設定!$B$2+1-原始資料!AK489,原始資料!AK489))</f>
        <v/>
      </c>
      <c r="AL489">
        <f>IF(原始資料!AL489="","",IF(反向題設定!$C$41="是",反向題設定!$B$2+1-原始資料!AL489,原始資料!AL489))</f>
        <v/>
      </c>
      <c r="AM489">
        <f>IF(原始資料!AM489="","",IF(反向題設定!$C$42="是",反向題設定!$B$2+1-原始資料!AM489,原始資料!AM489))</f>
        <v/>
      </c>
      <c r="AN489">
        <f>IF(原始資料!AN489="","",IF(反向題設定!$C$43="是",反向題設定!$B$2+1-原始資料!AN489,原始資料!AN489))</f>
        <v/>
      </c>
      <c r="AO489">
        <f>IF(原始資料!AO489="","",IF(反向題設定!$C$44="是",反向題設定!$B$2+1-原始資料!AO489,原始資料!AO489))</f>
        <v/>
      </c>
      <c r="AP489">
        <f>IF(COUNT(B489:AO489)=0,"",SUM(B489:AO489))</f>
        <v/>
      </c>
      <c r="AQ489">
        <f>IF(AP489="","",IF(AP489&gt;=項目分析!$C$5,"高",IF(AP489&lt;=項目分析!$C$6,"低","")))</f>
        <v/>
      </c>
    </row>
    <row r="490">
      <c r="A490">
        <f>IF(原始資料!A490="","",原始資料!A490)</f>
        <v/>
      </c>
      <c r="B490">
        <f>IF(原始資料!B490="","",IF(反向題設定!$C$5="是",反向題設定!$B$2+1-原始資料!B490,原始資料!B490))</f>
        <v/>
      </c>
      <c r="C490">
        <f>IF(原始資料!C490="","",IF(反向題設定!$C$6="是",反向題設定!$B$2+1-原始資料!C490,原始資料!C490))</f>
        <v/>
      </c>
      <c r="D490">
        <f>IF(原始資料!D490="","",IF(反向題設定!$C$7="是",反向題設定!$B$2+1-原始資料!D490,原始資料!D490))</f>
        <v/>
      </c>
      <c r="E490">
        <f>IF(原始資料!E490="","",IF(反向題設定!$C$8="是",反向題設定!$B$2+1-原始資料!E490,原始資料!E490))</f>
        <v/>
      </c>
      <c r="F490">
        <f>IF(原始資料!F490="","",IF(反向題設定!$C$9="是",反向題設定!$B$2+1-原始資料!F490,原始資料!F490))</f>
        <v/>
      </c>
      <c r="G490">
        <f>IF(原始資料!G490="","",IF(反向題設定!$C$10="是",反向題設定!$B$2+1-原始資料!G490,原始資料!G490))</f>
        <v/>
      </c>
      <c r="H490">
        <f>IF(原始資料!H490="","",IF(反向題設定!$C$11="是",反向題設定!$B$2+1-原始資料!H490,原始資料!H490))</f>
        <v/>
      </c>
      <c r="I490">
        <f>IF(原始資料!I490="","",IF(反向題設定!$C$12="是",反向題設定!$B$2+1-原始資料!I490,原始資料!I490))</f>
        <v/>
      </c>
      <c r="J490">
        <f>IF(原始資料!J490="","",IF(反向題設定!$C$13="是",反向題設定!$B$2+1-原始資料!J490,原始資料!J490))</f>
        <v/>
      </c>
      <c r="K490">
        <f>IF(原始資料!K490="","",IF(反向題設定!$C$14="是",反向題設定!$B$2+1-原始資料!K490,原始資料!K490))</f>
        <v/>
      </c>
      <c r="L490">
        <f>IF(原始資料!L490="","",IF(反向題設定!$C$15="是",反向題設定!$B$2+1-原始資料!L490,原始資料!L490))</f>
        <v/>
      </c>
      <c r="M490">
        <f>IF(原始資料!M490="","",IF(反向題設定!$C$16="是",反向題設定!$B$2+1-原始資料!M490,原始資料!M490))</f>
        <v/>
      </c>
      <c r="N490">
        <f>IF(原始資料!N490="","",IF(反向題設定!$C$17="是",反向題設定!$B$2+1-原始資料!N490,原始資料!N490))</f>
        <v/>
      </c>
      <c r="O490">
        <f>IF(原始資料!O490="","",IF(反向題設定!$C$18="是",反向題設定!$B$2+1-原始資料!O490,原始資料!O490))</f>
        <v/>
      </c>
      <c r="P490">
        <f>IF(原始資料!P490="","",IF(反向題設定!$C$19="是",反向題設定!$B$2+1-原始資料!P490,原始資料!P490))</f>
        <v/>
      </c>
      <c r="Q490">
        <f>IF(原始資料!Q490="","",IF(反向題設定!$C$20="是",反向題設定!$B$2+1-原始資料!Q490,原始資料!Q490))</f>
        <v/>
      </c>
      <c r="R490">
        <f>IF(原始資料!R490="","",IF(反向題設定!$C$21="是",反向題設定!$B$2+1-原始資料!R490,原始資料!R490))</f>
        <v/>
      </c>
      <c r="S490">
        <f>IF(原始資料!S490="","",IF(反向題設定!$C$22="是",反向題設定!$B$2+1-原始資料!S490,原始資料!S490))</f>
        <v/>
      </c>
      <c r="T490">
        <f>IF(原始資料!T490="","",IF(反向題設定!$C$23="是",反向題設定!$B$2+1-原始資料!T490,原始資料!T490))</f>
        <v/>
      </c>
      <c r="U490">
        <f>IF(原始資料!U490="","",IF(反向題設定!$C$24="是",反向題設定!$B$2+1-原始資料!U490,原始資料!U490))</f>
        <v/>
      </c>
      <c r="V490">
        <f>IF(原始資料!V490="","",IF(反向題設定!$C$25="是",反向題設定!$B$2+1-原始資料!V490,原始資料!V490))</f>
        <v/>
      </c>
      <c r="W490">
        <f>IF(原始資料!W490="","",IF(反向題設定!$C$26="是",反向題設定!$B$2+1-原始資料!W490,原始資料!W490))</f>
        <v/>
      </c>
      <c r="X490">
        <f>IF(原始資料!X490="","",IF(反向題設定!$C$27="是",反向題設定!$B$2+1-原始資料!X490,原始資料!X490))</f>
        <v/>
      </c>
      <c r="Y490">
        <f>IF(原始資料!Y490="","",IF(反向題設定!$C$28="是",反向題設定!$B$2+1-原始資料!Y490,原始資料!Y490))</f>
        <v/>
      </c>
      <c r="Z490">
        <f>IF(原始資料!Z490="","",IF(反向題設定!$C$29="是",反向題設定!$B$2+1-原始資料!Z490,原始資料!Z490))</f>
        <v/>
      </c>
      <c r="AA490">
        <f>IF(原始資料!AA490="","",IF(反向題設定!$C$30="是",反向題設定!$B$2+1-原始資料!AA490,原始資料!AA490))</f>
        <v/>
      </c>
      <c r="AB490">
        <f>IF(原始資料!AB490="","",IF(反向題設定!$C$31="是",反向題設定!$B$2+1-原始資料!AB490,原始資料!AB490))</f>
        <v/>
      </c>
      <c r="AC490">
        <f>IF(原始資料!AC490="","",IF(反向題設定!$C$32="是",反向題設定!$B$2+1-原始資料!AC490,原始資料!AC490))</f>
        <v/>
      </c>
      <c r="AD490">
        <f>IF(原始資料!AD490="","",IF(反向題設定!$C$33="是",反向題設定!$B$2+1-原始資料!AD490,原始資料!AD490))</f>
        <v/>
      </c>
      <c r="AE490">
        <f>IF(原始資料!AE490="","",IF(反向題設定!$C$34="是",反向題設定!$B$2+1-原始資料!AE490,原始資料!AE490))</f>
        <v/>
      </c>
      <c r="AF490">
        <f>IF(原始資料!AF490="","",IF(反向題設定!$C$35="是",反向題設定!$B$2+1-原始資料!AF490,原始資料!AF490))</f>
        <v/>
      </c>
      <c r="AG490">
        <f>IF(原始資料!AG490="","",IF(反向題設定!$C$36="是",反向題設定!$B$2+1-原始資料!AG490,原始資料!AG490))</f>
        <v/>
      </c>
      <c r="AH490">
        <f>IF(原始資料!AH490="","",IF(反向題設定!$C$37="是",反向題設定!$B$2+1-原始資料!AH490,原始資料!AH490))</f>
        <v/>
      </c>
      <c r="AI490">
        <f>IF(原始資料!AI490="","",IF(反向題設定!$C$38="是",反向題設定!$B$2+1-原始資料!AI490,原始資料!AI490))</f>
        <v/>
      </c>
      <c r="AJ490">
        <f>IF(原始資料!AJ490="","",IF(反向題設定!$C$39="是",反向題設定!$B$2+1-原始資料!AJ490,原始資料!AJ490))</f>
        <v/>
      </c>
      <c r="AK490">
        <f>IF(原始資料!AK490="","",IF(反向題設定!$C$40="是",反向題設定!$B$2+1-原始資料!AK490,原始資料!AK490))</f>
        <v/>
      </c>
      <c r="AL490">
        <f>IF(原始資料!AL490="","",IF(反向題設定!$C$41="是",反向題設定!$B$2+1-原始資料!AL490,原始資料!AL490))</f>
        <v/>
      </c>
      <c r="AM490">
        <f>IF(原始資料!AM490="","",IF(反向題設定!$C$42="是",反向題設定!$B$2+1-原始資料!AM490,原始資料!AM490))</f>
        <v/>
      </c>
      <c r="AN490">
        <f>IF(原始資料!AN490="","",IF(反向題設定!$C$43="是",反向題設定!$B$2+1-原始資料!AN490,原始資料!AN490))</f>
        <v/>
      </c>
      <c r="AO490">
        <f>IF(原始資料!AO490="","",IF(反向題設定!$C$44="是",反向題設定!$B$2+1-原始資料!AO490,原始資料!AO490))</f>
        <v/>
      </c>
      <c r="AP490">
        <f>IF(COUNT(B490:AO490)=0,"",SUM(B490:AO490))</f>
        <v/>
      </c>
      <c r="AQ490">
        <f>IF(AP490="","",IF(AP490&gt;=項目分析!$C$5,"高",IF(AP490&lt;=項目分析!$C$6,"低","")))</f>
        <v/>
      </c>
    </row>
    <row r="491">
      <c r="A491">
        <f>IF(原始資料!A491="","",原始資料!A491)</f>
        <v/>
      </c>
      <c r="B491">
        <f>IF(原始資料!B491="","",IF(反向題設定!$C$5="是",反向題設定!$B$2+1-原始資料!B491,原始資料!B491))</f>
        <v/>
      </c>
      <c r="C491">
        <f>IF(原始資料!C491="","",IF(反向題設定!$C$6="是",反向題設定!$B$2+1-原始資料!C491,原始資料!C491))</f>
        <v/>
      </c>
      <c r="D491">
        <f>IF(原始資料!D491="","",IF(反向題設定!$C$7="是",反向題設定!$B$2+1-原始資料!D491,原始資料!D491))</f>
        <v/>
      </c>
      <c r="E491">
        <f>IF(原始資料!E491="","",IF(反向題設定!$C$8="是",反向題設定!$B$2+1-原始資料!E491,原始資料!E491))</f>
        <v/>
      </c>
      <c r="F491">
        <f>IF(原始資料!F491="","",IF(反向題設定!$C$9="是",反向題設定!$B$2+1-原始資料!F491,原始資料!F491))</f>
        <v/>
      </c>
      <c r="G491">
        <f>IF(原始資料!G491="","",IF(反向題設定!$C$10="是",反向題設定!$B$2+1-原始資料!G491,原始資料!G491))</f>
        <v/>
      </c>
      <c r="H491">
        <f>IF(原始資料!H491="","",IF(反向題設定!$C$11="是",反向題設定!$B$2+1-原始資料!H491,原始資料!H491))</f>
        <v/>
      </c>
      <c r="I491">
        <f>IF(原始資料!I491="","",IF(反向題設定!$C$12="是",反向題設定!$B$2+1-原始資料!I491,原始資料!I491))</f>
        <v/>
      </c>
      <c r="J491">
        <f>IF(原始資料!J491="","",IF(反向題設定!$C$13="是",反向題設定!$B$2+1-原始資料!J491,原始資料!J491))</f>
        <v/>
      </c>
      <c r="K491">
        <f>IF(原始資料!K491="","",IF(反向題設定!$C$14="是",反向題設定!$B$2+1-原始資料!K491,原始資料!K491))</f>
        <v/>
      </c>
      <c r="L491">
        <f>IF(原始資料!L491="","",IF(反向題設定!$C$15="是",反向題設定!$B$2+1-原始資料!L491,原始資料!L491))</f>
        <v/>
      </c>
      <c r="M491">
        <f>IF(原始資料!M491="","",IF(反向題設定!$C$16="是",反向題設定!$B$2+1-原始資料!M491,原始資料!M491))</f>
        <v/>
      </c>
      <c r="N491">
        <f>IF(原始資料!N491="","",IF(反向題設定!$C$17="是",反向題設定!$B$2+1-原始資料!N491,原始資料!N491))</f>
        <v/>
      </c>
      <c r="O491">
        <f>IF(原始資料!O491="","",IF(反向題設定!$C$18="是",反向題設定!$B$2+1-原始資料!O491,原始資料!O491))</f>
        <v/>
      </c>
      <c r="P491">
        <f>IF(原始資料!P491="","",IF(反向題設定!$C$19="是",反向題設定!$B$2+1-原始資料!P491,原始資料!P491))</f>
        <v/>
      </c>
      <c r="Q491">
        <f>IF(原始資料!Q491="","",IF(反向題設定!$C$20="是",反向題設定!$B$2+1-原始資料!Q491,原始資料!Q491))</f>
        <v/>
      </c>
      <c r="R491">
        <f>IF(原始資料!R491="","",IF(反向題設定!$C$21="是",反向題設定!$B$2+1-原始資料!R491,原始資料!R491))</f>
        <v/>
      </c>
      <c r="S491">
        <f>IF(原始資料!S491="","",IF(反向題設定!$C$22="是",反向題設定!$B$2+1-原始資料!S491,原始資料!S491))</f>
        <v/>
      </c>
      <c r="T491">
        <f>IF(原始資料!T491="","",IF(反向題設定!$C$23="是",反向題設定!$B$2+1-原始資料!T491,原始資料!T491))</f>
        <v/>
      </c>
      <c r="U491">
        <f>IF(原始資料!U491="","",IF(反向題設定!$C$24="是",反向題設定!$B$2+1-原始資料!U491,原始資料!U491))</f>
        <v/>
      </c>
      <c r="V491">
        <f>IF(原始資料!V491="","",IF(反向題設定!$C$25="是",反向題設定!$B$2+1-原始資料!V491,原始資料!V491))</f>
        <v/>
      </c>
      <c r="W491">
        <f>IF(原始資料!W491="","",IF(反向題設定!$C$26="是",反向題設定!$B$2+1-原始資料!W491,原始資料!W491))</f>
        <v/>
      </c>
      <c r="X491">
        <f>IF(原始資料!X491="","",IF(反向題設定!$C$27="是",反向題設定!$B$2+1-原始資料!X491,原始資料!X491))</f>
        <v/>
      </c>
      <c r="Y491">
        <f>IF(原始資料!Y491="","",IF(反向題設定!$C$28="是",反向題設定!$B$2+1-原始資料!Y491,原始資料!Y491))</f>
        <v/>
      </c>
      <c r="Z491">
        <f>IF(原始資料!Z491="","",IF(反向題設定!$C$29="是",反向題設定!$B$2+1-原始資料!Z491,原始資料!Z491))</f>
        <v/>
      </c>
      <c r="AA491">
        <f>IF(原始資料!AA491="","",IF(反向題設定!$C$30="是",反向題設定!$B$2+1-原始資料!AA491,原始資料!AA491))</f>
        <v/>
      </c>
      <c r="AB491">
        <f>IF(原始資料!AB491="","",IF(反向題設定!$C$31="是",反向題設定!$B$2+1-原始資料!AB491,原始資料!AB491))</f>
        <v/>
      </c>
      <c r="AC491">
        <f>IF(原始資料!AC491="","",IF(反向題設定!$C$32="是",反向題設定!$B$2+1-原始資料!AC491,原始資料!AC491))</f>
        <v/>
      </c>
      <c r="AD491">
        <f>IF(原始資料!AD491="","",IF(反向題設定!$C$33="是",反向題設定!$B$2+1-原始資料!AD491,原始資料!AD491))</f>
        <v/>
      </c>
      <c r="AE491">
        <f>IF(原始資料!AE491="","",IF(反向題設定!$C$34="是",反向題設定!$B$2+1-原始資料!AE491,原始資料!AE491))</f>
        <v/>
      </c>
      <c r="AF491">
        <f>IF(原始資料!AF491="","",IF(反向題設定!$C$35="是",反向題設定!$B$2+1-原始資料!AF491,原始資料!AF491))</f>
        <v/>
      </c>
      <c r="AG491">
        <f>IF(原始資料!AG491="","",IF(反向題設定!$C$36="是",反向題設定!$B$2+1-原始資料!AG491,原始資料!AG491))</f>
        <v/>
      </c>
      <c r="AH491">
        <f>IF(原始資料!AH491="","",IF(反向題設定!$C$37="是",反向題設定!$B$2+1-原始資料!AH491,原始資料!AH491))</f>
        <v/>
      </c>
      <c r="AI491">
        <f>IF(原始資料!AI491="","",IF(反向題設定!$C$38="是",反向題設定!$B$2+1-原始資料!AI491,原始資料!AI491))</f>
        <v/>
      </c>
      <c r="AJ491">
        <f>IF(原始資料!AJ491="","",IF(反向題設定!$C$39="是",反向題設定!$B$2+1-原始資料!AJ491,原始資料!AJ491))</f>
        <v/>
      </c>
      <c r="AK491">
        <f>IF(原始資料!AK491="","",IF(反向題設定!$C$40="是",反向題設定!$B$2+1-原始資料!AK491,原始資料!AK491))</f>
        <v/>
      </c>
      <c r="AL491">
        <f>IF(原始資料!AL491="","",IF(反向題設定!$C$41="是",反向題設定!$B$2+1-原始資料!AL491,原始資料!AL491))</f>
        <v/>
      </c>
      <c r="AM491">
        <f>IF(原始資料!AM491="","",IF(反向題設定!$C$42="是",反向題設定!$B$2+1-原始資料!AM491,原始資料!AM491))</f>
        <v/>
      </c>
      <c r="AN491">
        <f>IF(原始資料!AN491="","",IF(反向題設定!$C$43="是",反向題設定!$B$2+1-原始資料!AN491,原始資料!AN491))</f>
        <v/>
      </c>
      <c r="AO491">
        <f>IF(原始資料!AO491="","",IF(反向題設定!$C$44="是",反向題設定!$B$2+1-原始資料!AO491,原始資料!AO491))</f>
        <v/>
      </c>
      <c r="AP491">
        <f>IF(COUNT(B491:AO491)=0,"",SUM(B491:AO491))</f>
        <v/>
      </c>
      <c r="AQ491">
        <f>IF(AP491="","",IF(AP491&gt;=項目分析!$C$5,"高",IF(AP491&lt;=項目分析!$C$6,"低","")))</f>
        <v/>
      </c>
    </row>
    <row r="492">
      <c r="A492">
        <f>IF(原始資料!A492="","",原始資料!A492)</f>
        <v/>
      </c>
      <c r="B492">
        <f>IF(原始資料!B492="","",IF(反向題設定!$C$5="是",反向題設定!$B$2+1-原始資料!B492,原始資料!B492))</f>
        <v/>
      </c>
      <c r="C492">
        <f>IF(原始資料!C492="","",IF(反向題設定!$C$6="是",反向題設定!$B$2+1-原始資料!C492,原始資料!C492))</f>
        <v/>
      </c>
      <c r="D492">
        <f>IF(原始資料!D492="","",IF(反向題設定!$C$7="是",反向題設定!$B$2+1-原始資料!D492,原始資料!D492))</f>
        <v/>
      </c>
      <c r="E492">
        <f>IF(原始資料!E492="","",IF(反向題設定!$C$8="是",反向題設定!$B$2+1-原始資料!E492,原始資料!E492))</f>
        <v/>
      </c>
      <c r="F492">
        <f>IF(原始資料!F492="","",IF(反向題設定!$C$9="是",反向題設定!$B$2+1-原始資料!F492,原始資料!F492))</f>
        <v/>
      </c>
      <c r="G492">
        <f>IF(原始資料!G492="","",IF(反向題設定!$C$10="是",反向題設定!$B$2+1-原始資料!G492,原始資料!G492))</f>
        <v/>
      </c>
      <c r="H492">
        <f>IF(原始資料!H492="","",IF(反向題設定!$C$11="是",反向題設定!$B$2+1-原始資料!H492,原始資料!H492))</f>
        <v/>
      </c>
      <c r="I492">
        <f>IF(原始資料!I492="","",IF(反向題設定!$C$12="是",反向題設定!$B$2+1-原始資料!I492,原始資料!I492))</f>
        <v/>
      </c>
      <c r="J492">
        <f>IF(原始資料!J492="","",IF(反向題設定!$C$13="是",反向題設定!$B$2+1-原始資料!J492,原始資料!J492))</f>
        <v/>
      </c>
      <c r="K492">
        <f>IF(原始資料!K492="","",IF(反向題設定!$C$14="是",反向題設定!$B$2+1-原始資料!K492,原始資料!K492))</f>
        <v/>
      </c>
      <c r="L492">
        <f>IF(原始資料!L492="","",IF(反向題設定!$C$15="是",反向題設定!$B$2+1-原始資料!L492,原始資料!L492))</f>
        <v/>
      </c>
      <c r="M492">
        <f>IF(原始資料!M492="","",IF(反向題設定!$C$16="是",反向題設定!$B$2+1-原始資料!M492,原始資料!M492))</f>
        <v/>
      </c>
      <c r="N492">
        <f>IF(原始資料!N492="","",IF(反向題設定!$C$17="是",反向題設定!$B$2+1-原始資料!N492,原始資料!N492))</f>
        <v/>
      </c>
      <c r="O492">
        <f>IF(原始資料!O492="","",IF(反向題設定!$C$18="是",反向題設定!$B$2+1-原始資料!O492,原始資料!O492))</f>
        <v/>
      </c>
      <c r="P492">
        <f>IF(原始資料!P492="","",IF(反向題設定!$C$19="是",反向題設定!$B$2+1-原始資料!P492,原始資料!P492))</f>
        <v/>
      </c>
      <c r="Q492">
        <f>IF(原始資料!Q492="","",IF(反向題設定!$C$20="是",反向題設定!$B$2+1-原始資料!Q492,原始資料!Q492))</f>
        <v/>
      </c>
      <c r="R492">
        <f>IF(原始資料!R492="","",IF(反向題設定!$C$21="是",反向題設定!$B$2+1-原始資料!R492,原始資料!R492))</f>
        <v/>
      </c>
      <c r="S492">
        <f>IF(原始資料!S492="","",IF(反向題設定!$C$22="是",反向題設定!$B$2+1-原始資料!S492,原始資料!S492))</f>
        <v/>
      </c>
      <c r="T492">
        <f>IF(原始資料!T492="","",IF(反向題設定!$C$23="是",反向題設定!$B$2+1-原始資料!T492,原始資料!T492))</f>
        <v/>
      </c>
      <c r="U492">
        <f>IF(原始資料!U492="","",IF(反向題設定!$C$24="是",反向題設定!$B$2+1-原始資料!U492,原始資料!U492))</f>
        <v/>
      </c>
      <c r="V492">
        <f>IF(原始資料!V492="","",IF(反向題設定!$C$25="是",反向題設定!$B$2+1-原始資料!V492,原始資料!V492))</f>
        <v/>
      </c>
      <c r="W492">
        <f>IF(原始資料!W492="","",IF(反向題設定!$C$26="是",反向題設定!$B$2+1-原始資料!W492,原始資料!W492))</f>
        <v/>
      </c>
      <c r="X492">
        <f>IF(原始資料!X492="","",IF(反向題設定!$C$27="是",反向題設定!$B$2+1-原始資料!X492,原始資料!X492))</f>
        <v/>
      </c>
      <c r="Y492">
        <f>IF(原始資料!Y492="","",IF(反向題設定!$C$28="是",反向題設定!$B$2+1-原始資料!Y492,原始資料!Y492))</f>
        <v/>
      </c>
      <c r="Z492">
        <f>IF(原始資料!Z492="","",IF(反向題設定!$C$29="是",反向題設定!$B$2+1-原始資料!Z492,原始資料!Z492))</f>
        <v/>
      </c>
      <c r="AA492">
        <f>IF(原始資料!AA492="","",IF(反向題設定!$C$30="是",反向題設定!$B$2+1-原始資料!AA492,原始資料!AA492))</f>
        <v/>
      </c>
      <c r="AB492">
        <f>IF(原始資料!AB492="","",IF(反向題設定!$C$31="是",反向題設定!$B$2+1-原始資料!AB492,原始資料!AB492))</f>
        <v/>
      </c>
      <c r="AC492">
        <f>IF(原始資料!AC492="","",IF(反向題設定!$C$32="是",反向題設定!$B$2+1-原始資料!AC492,原始資料!AC492))</f>
        <v/>
      </c>
      <c r="AD492">
        <f>IF(原始資料!AD492="","",IF(反向題設定!$C$33="是",反向題設定!$B$2+1-原始資料!AD492,原始資料!AD492))</f>
        <v/>
      </c>
      <c r="AE492">
        <f>IF(原始資料!AE492="","",IF(反向題設定!$C$34="是",反向題設定!$B$2+1-原始資料!AE492,原始資料!AE492))</f>
        <v/>
      </c>
      <c r="AF492">
        <f>IF(原始資料!AF492="","",IF(反向題設定!$C$35="是",反向題設定!$B$2+1-原始資料!AF492,原始資料!AF492))</f>
        <v/>
      </c>
      <c r="AG492">
        <f>IF(原始資料!AG492="","",IF(反向題設定!$C$36="是",反向題設定!$B$2+1-原始資料!AG492,原始資料!AG492))</f>
        <v/>
      </c>
      <c r="AH492">
        <f>IF(原始資料!AH492="","",IF(反向題設定!$C$37="是",反向題設定!$B$2+1-原始資料!AH492,原始資料!AH492))</f>
        <v/>
      </c>
      <c r="AI492">
        <f>IF(原始資料!AI492="","",IF(反向題設定!$C$38="是",反向題設定!$B$2+1-原始資料!AI492,原始資料!AI492))</f>
        <v/>
      </c>
      <c r="AJ492">
        <f>IF(原始資料!AJ492="","",IF(反向題設定!$C$39="是",反向題設定!$B$2+1-原始資料!AJ492,原始資料!AJ492))</f>
        <v/>
      </c>
      <c r="AK492">
        <f>IF(原始資料!AK492="","",IF(反向題設定!$C$40="是",反向題設定!$B$2+1-原始資料!AK492,原始資料!AK492))</f>
        <v/>
      </c>
      <c r="AL492">
        <f>IF(原始資料!AL492="","",IF(反向題設定!$C$41="是",反向題設定!$B$2+1-原始資料!AL492,原始資料!AL492))</f>
        <v/>
      </c>
      <c r="AM492">
        <f>IF(原始資料!AM492="","",IF(反向題設定!$C$42="是",反向題設定!$B$2+1-原始資料!AM492,原始資料!AM492))</f>
        <v/>
      </c>
      <c r="AN492">
        <f>IF(原始資料!AN492="","",IF(反向題設定!$C$43="是",反向題設定!$B$2+1-原始資料!AN492,原始資料!AN492))</f>
        <v/>
      </c>
      <c r="AO492">
        <f>IF(原始資料!AO492="","",IF(反向題設定!$C$44="是",反向題設定!$B$2+1-原始資料!AO492,原始資料!AO492))</f>
        <v/>
      </c>
      <c r="AP492">
        <f>IF(COUNT(B492:AO492)=0,"",SUM(B492:AO492))</f>
        <v/>
      </c>
      <c r="AQ492">
        <f>IF(AP492="","",IF(AP492&gt;=項目分析!$C$5,"高",IF(AP492&lt;=項目分析!$C$6,"低","")))</f>
        <v/>
      </c>
    </row>
    <row r="493">
      <c r="A493">
        <f>IF(原始資料!A493="","",原始資料!A493)</f>
        <v/>
      </c>
      <c r="B493">
        <f>IF(原始資料!B493="","",IF(反向題設定!$C$5="是",反向題設定!$B$2+1-原始資料!B493,原始資料!B493))</f>
        <v/>
      </c>
      <c r="C493">
        <f>IF(原始資料!C493="","",IF(反向題設定!$C$6="是",反向題設定!$B$2+1-原始資料!C493,原始資料!C493))</f>
        <v/>
      </c>
      <c r="D493">
        <f>IF(原始資料!D493="","",IF(反向題設定!$C$7="是",反向題設定!$B$2+1-原始資料!D493,原始資料!D493))</f>
        <v/>
      </c>
      <c r="E493">
        <f>IF(原始資料!E493="","",IF(反向題設定!$C$8="是",反向題設定!$B$2+1-原始資料!E493,原始資料!E493))</f>
        <v/>
      </c>
      <c r="F493">
        <f>IF(原始資料!F493="","",IF(反向題設定!$C$9="是",反向題設定!$B$2+1-原始資料!F493,原始資料!F493))</f>
        <v/>
      </c>
      <c r="G493">
        <f>IF(原始資料!G493="","",IF(反向題設定!$C$10="是",反向題設定!$B$2+1-原始資料!G493,原始資料!G493))</f>
        <v/>
      </c>
      <c r="H493">
        <f>IF(原始資料!H493="","",IF(反向題設定!$C$11="是",反向題設定!$B$2+1-原始資料!H493,原始資料!H493))</f>
        <v/>
      </c>
      <c r="I493">
        <f>IF(原始資料!I493="","",IF(反向題設定!$C$12="是",反向題設定!$B$2+1-原始資料!I493,原始資料!I493))</f>
        <v/>
      </c>
      <c r="J493">
        <f>IF(原始資料!J493="","",IF(反向題設定!$C$13="是",反向題設定!$B$2+1-原始資料!J493,原始資料!J493))</f>
        <v/>
      </c>
      <c r="K493">
        <f>IF(原始資料!K493="","",IF(反向題設定!$C$14="是",反向題設定!$B$2+1-原始資料!K493,原始資料!K493))</f>
        <v/>
      </c>
      <c r="L493">
        <f>IF(原始資料!L493="","",IF(反向題設定!$C$15="是",反向題設定!$B$2+1-原始資料!L493,原始資料!L493))</f>
        <v/>
      </c>
      <c r="M493">
        <f>IF(原始資料!M493="","",IF(反向題設定!$C$16="是",反向題設定!$B$2+1-原始資料!M493,原始資料!M493))</f>
        <v/>
      </c>
      <c r="N493">
        <f>IF(原始資料!N493="","",IF(反向題設定!$C$17="是",反向題設定!$B$2+1-原始資料!N493,原始資料!N493))</f>
        <v/>
      </c>
      <c r="O493">
        <f>IF(原始資料!O493="","",IF(反向題設定!$C$18="是",反向題設定!$B$2+1-原始資料!O493,原始資料!O493))</f>
        <v/>
      </c>
      <c r="P493">
        <f>IF(原始資料!P493="","",IF(反向題設定!$C$19="是",反向題設定!$B$2+1-原始資料!P493,原始資料!P493))</f>
        <v/>
      </c>
      <c r="Q493">
        <f>IF(原始資料!Q493="","",IF(反向題設定!$C$20="是",反向題設定!$B$2+1-原始資料!Q493,原始資料!Q493))</f>
        <v/>
      </c>
      <c r="R493">
        <f>IF(原始資料!R493="","",IF(反向題設定!$C$21="是",反向題設定!$B$2+1-原始資料!R493,原始資料!R493))</f>
        <v/>
      </c>
      <c r="S493">
        <f>IF(原始資料!S493="","",IF(反向題設定!$C$22="是",反向題設定!$B$2+1-原始資料!S493,原始資料!S493))</f>
        <v/>
      </c>
      <c r="T493">
        <f>IF(原始資料!T493="","",IF(反向題設定!$C$23="是",反向題設定!$B$2+1-原始資料!T493,原始資料!T493))</f>
        <v/>
      </c>
      <c r="U493">
        <f>IF(原始資料!U493="","",IF(反向題設定!$C$24="是",反向題設定!$B$2+1-原始資料!U493,原始資料!U493))</f>
        <v/>
      </c>
      <c r="V493">
        <f>IF(原始資料!V493="","",IF(反向題設定!$C$25="是",反向題設定!$B$2+1-原始資料!V493,原始資料!V493))</f>
        <v/>
      </c>
      <c r="W493">
        <f>IF(原始資料!W493="","",IF(反向題設定!$C$26="是",反向題設定!$B$2+1-原始資料!W493,原始資料!W493))</f>
        <v/>
      </c>
      <c r="X493">
        <f>IF(原始資料!X493="","",IF(反向題設定!$C$27="是",反向題設定!$B$2+1-原始資料!X493,原始資料!X493))</f>
        <v/>
      </c>
      <c r="Y493">
        <f>IF(原始資料!Y493="","",IF(反向題設定!$C$28="是",反向題設定!$B$2+1-原始資料!Y493,原始資料!Y493))</f>
        <v/>
      </c>
      <c r="Z493">
        <f>IF(原始資料!Z493="","",IF(反向題設定!$C$29="是",反向題設定!$B$2+1-原始資料!Z493,原始資料!Z493))</f>
        <v/>
      </c>
      <c r="AA493">
        <f>IF(原始資料!AA493="","",IF(反向題設定!$C$30="是",反向題設定!$B$2+1-原始資料!AA493,原始資料!AA493))</f>
        <v/>
      </c>
      <c r="AB493">
        <f>IF(原始資料!AB493="","",IF(反向題設定!$C$31="是",反向題設定!$B$2+1-原始資料!AB493,原始資料!AB493))</f>
        <v/>
      </c>
      <c r="AC493">
        <f>IF(原始資料!AC493="","",IF(反向題設定!$C$32="是",反向題設定!$B$2+1-原始資料!AC493,原始資料!AC493))</f>
        <v/>
      </c>
      <c r="AD493">
        <f>IF(原始資料!AD493="","",IF(反向題設定!$C$33="是",反向題設定!$B$2+1-原始資料!AD493,原始資料!AD493))</f>
        <v/>
      </c>
      <c r="AE493">
        <f>IF(原始資料!AE493="","",IF(反向題設定!$C$34="是",反向題設定!$B$2+1-原始資料!AE493,原始資料!AE493))</f>
        <v/>
      </c>
      <c r="AF493">
        <f>IF(原始資料!AF493="","",IF(反向題設定!$C$35="是",反向題設定!$B$2+1-原始資料!AF493,原始資料!AF493))</f>
        <v/>
      </c>
      <c r="AG493">
        <f>IF(原始資料!AG493="","",IF(反向題設定!$C$36="是",反向題設定!$B$2+1-原始資料!AG493,原始資料!AG493))</f>
        <v/>
      </c>
      <c r="AH493">
        <f>IF(原始資料!AH493="","",IF(反向題設定!$C$37="是",反向題設定!$B$2+1-原始資料!AH493,原始資料!AH493))</f>
        <v/>
      </c>
      <c r="AI493">
        <f>IF(原始資料!AI493="","",IF(反向題設定!$C$38="是",反向題設定!$B$2+1-原始資料!AI493,原始資料!AI493))</f>
        <v/>
      </c>
      <c r="AJ493">
        <f>IF(原始資料!AJ493="","",IF(反向題設定!$C$39="是",反向題設定!$B$2+1-原始資料!AJ493,原始資料!AJ493))</f>
        <v/>
      </c>
      <c r="AK493">
        <f>IF(原始資料!AK493="","",IF(反向題設定!$C$40="是",反向題設定!$B$2+1-原始資料!AK493,原始資料!AK493))</f>
        <v/>
      </c>
      <c r="AL493">
        <f>IF(原始資料!AL493="","",IF(反向題設定!$C$41="是",反向題設定!$B$2+1-原始資料!AL493,原始資料!AL493))</f>
        <v/>
      </c>
      <c r="AM493">
        <f>IF(原始資料!AM493="","",IF(反向題設定!$C$42="是",反向題設定!$B$2+1-原始資料!AM493,原始資料!AM493))</f>
        <v/>
      </c>
      <c r="AN493">
        <f>IF(原始資料!AN493="","",IF(反向題設定!$C$43="是",反向題設定!$B$2+1-原始資料!AN493,原始資料!AN493))</f>
        <v/>
      </c>
      <c r="AO493">
        <f>IF(原始資料!AO493="","",IF(反向題設定!$C$44="是",反向題設定!$B$2+1-原始資料!AO493,原始資料!AO493))</f>
        <v/>
      </c>
      <c r="AP493">
        <f>IF(COUNT(B493:AO493)=0,"",SUM(B493:AO493))</f>
        <v/>
      </c>
      <c r="AQ493">
        <f>IF(AP493="","",IF(AP493&gt;=項目分析!$C$5,"高",IF(AP493&lt;=項目分析!$C$6,"低","")))</f>
        <v/>
      </c>
    </row>
    <row r="494">
      <c r="A494">
        <f>IF(原始資料!A494="","",原始資料!A494)</f>
        <v/>
      </c>
      <c r="B494">
        <f>IF(原始資料!B494="","",IF(反向題設定!$C$5="是",反向題設定!$B$2+1-原始資料!B494,原始資料!B494))</f>
        <v/>
      </c>
      <c r="C494">
        <f>IF(原始資料!C494="","",IF(反向題設定!$C$6="是",反向題設定!$B$2+1-原始資料!C494,原始資料!C494))</f>
        <v/>
      </c>
      <c r="D494">
        <f>IF(原始資料!D494="","",IF(反向題設定!$C$7="是",反向題設定!$B$2+1-原始資料!D494,原始資料!D494))</f>
        <v/>
      </c>
      <c r="E494">
        <f>IF(原始資料!E494="","",IF(反向題設定!$C$8="是",反向題設定!$B$2+1-原始資料!E494,原始資料!E494))</f>
        <v/>
      </c>
      <c r="F494">
        <f>IF(原始資料!F494="","",IF(反向題設定!$C$9="是",反向題設定!$B$2+1-原始資料!F494,原始資料!F494))</f>
        <v/>
      </c>
      <c r="G494">
        <f>IF(原始資料!G494="","",IF(反向題設定!$C$10="是",反向題設定!$B$2+1-原始資料!G494,原始資料!G494))</f>
        <v/>
      </c>
      <c r="H494">
        <f>IF(原始資料!H494="","",IF(反向題設定!$C$11="是",反向題設定!$B$2+1-原始資料!H494,原始資料!H494))</f>
        <v/>
      </c>
      <c r="I494">
        <f>IF(原始資料!I494="","",IF(反向題設定!$C$12="是",反向題設定!$B$2+1-原始資料!I494,原始資料!I494))</f>
        <v/>
      </c>
      <c r="J494">
        <f>IF(原始資料!J494="","",IF(反向題設定!$C$13="是",反向題設定!$B$2+1-原始資料!J494,原始資料!J494))</f>
        <v/>
      </c>
      <c r="K494">
        <f>IF(原始資料!K494="","",IF(反向題設定!$C$14="是",反向題設定!$B$2+1-原始資料!K494,原始資料!K494))</f>
        <v/>
      </c>
      <c r="L494">
        <f>IF(原始資料!L494="","",IF(反向題設定!$C$15="是",反向題設定!$B$2+1-原始資料!L494,原始資料!L494))</f>
        <v/>
      </c>
      <c r="M494">
        <f>IF(原始資料!M494="","",IF(反向題設定!$C$16="是",反向題設定!$B$2+1-原始資料!M494,原始資料!M494))</f>
        <v/>
      </c>
      <c r="N494">
        <f>IF(原始資料!N494="","",IF(反向題設定!$C$17="是",反向題設定!$B$2+1-原始資料!N494,原始資料!N494))</f>
        <v/>
      </c>
      <c r="O494">
        <f>IF(原始資料!O494="","",IF(反向題設定!$C$18="是",反向題設定!$B$2+1-原始資料!O494,原始資料!O494))</f>
        <v/>
      </c>
      <c r="P494">
        <f>IF(原始資料!P494="","",IF(反向題設定!$C$19="是",反向題設定!$B$2+1-原始資料!P494,原始資料!P494))</f>
        <v/>
      </c>
      <c r="Q494">
        <f>IF(原始資料!Q494="","",IF(反向題設定!$C$20="是",反向題設定!$B$2+1-原始資料!Q494,原始資料!Q494))</f>
        <v/>
      </c>
      <c r="R494">
        <f>IF(原始資料!R494="","",IF(反向題設定!$C$21="是",反向題設定!$B$2+1-原始資料!R494,原始資料!R494))</f>
        <v/>
      </c>
      <c r="S494">
        <f>IF(原始資料!S494="","",IF(反向題設定!$C$22="是",反向題設定!$B$2+1-原始資料!S494,原始資料!S494))</f>
        <v/>
      </c>
      <c r="T494">
        <f>IF(原始資料!T494="","",IF(反向題設定!$C$23="是",反向題設定!$B$2+1-原始資料!T494,原始資料!T494))</f>
        <v/>
      </c>
      <c r="U494">
        <f>IF(原始資料!U494="","",IF(反向題設定!$C$24="是",反向題設定!$B$2+1-原始資料!U494,原始資料!U494))</f>
        <v/>
      </c>
      <c r="V494">
        <f>IF(原始資料!V494="","",IF(反向題設定!$C$25="是",反向題設定!$B$2+1-原始資料!V494,原始資料!V494))</f>
        <v/>
      </c>
      <c r="W494">
        <f>IF(原始資料!W494="","",IF(反向題設定!$C$26="是",反向題設定!$B$2+1-原始資料!W494,原始資料!W494))</f>
        <v/>
      </c>
      <c r="X494">
        <f>IF(原始資料!X494="","",IF(反向題設定!$C$27="是",反向題設定!$B$2+1-原始資料!X494,原始資料!X494))</f>
        <v/>
      </c>
      <c r="Y494">
        <f>IF(原始資料!Y494="","",IF(反向題設定!$C$28="是",反向題設定!$B$2+1-原始資料!Y494,原始資料!Y494))</f>
        <v/>
      </c>
      <c r="Z494">
        <f>IF(原始資料!Z494="","",IF(反向題設定!$C$29="是",反向題設定!$B$2+1-原始資料!Z494,原始資料!Z494))</f>
        <v/>
      </c>
      <c r="AA494">
        <f>IF(原始資料!AA494="","",IF(反向題設定!$C$30="是",反向題設定!$B$2+1-原始資料!AA494,原始資料!AA494))</f>
        <v/>
      </c>
      <c r="AB494">
        <f>IF(原始資料!AB494="","",IF(反向題設定!$C$31="是",反向題設定!$B$2+1-原始資料!AB494,原始資料!AB494))</f>
        <v/>
      </c>
      <c r="AC494">
        <f>IF(原始資料!AC494="","",IF(反向題設定!$C$32="是",反向題設定!$B$2+1-原始資料!AC494,原始資料!AC494))</f>
        <v/>
      </c>
      <c r="AD494">
        <f>IF(原始資料!AD494="","",IF(反向題設定!$C$33="是",反向題設定!$B$2+1-原始資料!AD494,原始資料!AD494))</f>
        <v/>
      </c>
      <c r="AE494">
        <f>IF(原始資料!AE494="","",IF(反向題設定!$C$34="是",反向題設定!$B$2+1-原始資料!AE494,原始資料!AE494))</f>
        <v/>
      </c>
      <c r="AF494">
        <f>IF(原始資料!AF494="","",IF(反向題設定!$C$35="是",反向題設定!$B$2+1-原始資料!AF494,原始資料!AF494))</f>
        <v/>
      </c>
      <c r="AG494">
        <f>IF(原始資料!AG494="","",IF(反向題設定!$C$36="是",反向題設定!$B$2+1-原始資料!AG494,原始資料!AG494))</f>
        <v/>
      </c>
      <c r="AH494">
        <f>IF(原始資料!AH494="","",IF(反向題設定!$C$37="是",反向題設定!$B$2+1-原始資料!AH494,原始資料!AH494))</f>
        <v/>
      </c>
      <c r="AI494">
        <f>IF(原始資料!AI494="","",IF(反向題設定!$C$38="是",反向題設定!$B$2+1-原始資料!AI494,原始資料!AI494))</f>
        <v/>
      </c>
      <c r="AJ494">
        <f>IF(原始資料!AJ494="","",IF(反向題設定!$C$39="是",反向題設定!$B$2+1-原始資料!AJ494,原始資料!AJ494))</f>
        <v/>
      </c>
      <c r="AK494">
        <f>IF(原始資料!AK494="","",IF(反向題設定!$C$40="是",反向題設定!$B$2+1-原始資料!AK494,原始資料!AK494))</f>
        <v/>
      </c>
      <c r="AL494">
        <f>IF(原始資料!AL494="","",IF(反向題設定!$C$41="是",反向題設定!$B$2+1-原始資料!AL494,原始資料!AL494))</f>
        <v/>
      </c>
      <c r="AM494">
        <f>IF(原始資料!AM494="","",IF(反向題設定!$C$42="是",反向題設定!$B$2+1-原始資料!AM494,原始資料!AM494))</f>
        <v/>
      </c>
      <c r="AN494">
        <f>IF(原始資料!AN494="","",IF(反向題設定!$C$43="是",反向題設定!$B$2+1-原始資料!AN494,原始資料!AN494))</f>
        <v/>
      </c>
      <c r="AO494">
        <f>IF(原始資料!AO494="","",IF(反向題設定!$C$44="是",反向題設定!$B$2+1-原始資料!AO494,原始資料!AO494))</f>
        <v/>
      </c>
      <c r="AP494">
        <f>IF(COUNT(B494:AO494)=0,"",SUM(B494:AO494))</f>
        <v/>
      </c>
      <c r="AQ494">
        <f>IF(AP494="","",IF(AP494&gt;=項目分析!$C$5,"高",IF(AP494&lt;=項目分析!$C$6,"低","")))</f>
        <v/>
      </c>
    </row>
    <row r="495">
      <c r="A495">
        <f>IF(原始資料!A495="","",原始資料!A495)</f>
        <v/>
      </c>
      <c r="B495">
        <f>IF(原始資料!B495="","",IF(反向題設定!$C$5="是",反向題設定!$B$2+1-原始資料!B495,原始資料!B495))</f>
        <v/>
      </c>
      <c r="C495">
        <f>IF(原始資料!C495="","",IF(反向題設定!$C$6="是",反向題設定!$B$2+1-原始資料!C495,原始資料!C495))</f>
        <v/>
      </c>
      <c r="D495">
        <f>IF(原始資料!D495="","",IF(反向題設定!$C$7="是",反向題設定!$B$2+1-原始資料!D495,原始資料!D495))</f>
        <v/>
      </c>
      <c r="E495">
        <f>IF(原始資料!E495="","",IF(反向題設定!$C$8="是",反向題設定!$B$2+1-原始資料!E495,原始資料!E495))</f>
        <v/>
      </c>
      <c r="F495">
        <f>IF(原始資料!F495="","",IF(反向題設定!$C$9="是",反向題設定!$B$2+1-原始資料!F495,原始資料!F495))</f>
        <v/>
      </c>
      <c r="G495">
        <f>IF(原始資料!G495="","",IF(反向題設定!$C$10="是",反向題設定!$B$2+1-原始資料!G495,原始資料!G495))</f>
        <v/>
      </c>
      <c r="H495">
        <f>IF(原始資料!H495="","",IF(反向題設定!$C$11="是",反向題設定!$B$2+1-原始資料!H495,原始資料!H495))</f>
        <v/>
      </c>
      <c r="I495">
        <f>IF(原始資料!I495="","",IF(反向題設定!$C$12="是",反向題設定!$B$2+1-原始資料!I495,原始資料!I495))</f>
        <v/>
      </c>
      <c r="J495">
        <f>IF(原始資料!J495="","",IF(反向題設定!$C$13="是",反向題設定!$B$2+1-原始資料!J495,原始資料!J495))</f>
        <v/>
      </c>
      <c r="K495">
        <f>IF(原始資料!K495="","",IF(反向題設定!$C$14="是",反向題設定!$B$2+1-原始資料!K495,原始資料!K495))</f>
        <v/>
      </c>
      <c r="L495">
        <f>IF(原始資料!L495="","",IF(反向題設定!$C$15="是",反向題設定!$B$2+1-原始資料!L495,原始資料!L495))</f>
        <v/>
      </c>
      <c r="M495">
        <f>IF(原始資料!M495="","",IF(反向題設定!$C$16="是",反向題設定!$B$2+1-原始資料!M495,原始資料!M495))</f>
        <v/>
      </c>
      <c r="N495">
        <f>IF(原始資料!N495="","",IF(反向題設定!$C$17="是",反向題設定!$B$2+1-原始資料!N495,原始資料!N495))</f>
        <v/>
      </c>
      <c r="O495">
        <f>IF(原始資料!O495="","",IF(反向題設定!$C$18="是",反向題設定!$B$2+1-原始資料!O495,原始資料!O495))</f>
        <v/>
      </c>
      <c r="P495">
        <f>IF(原始資料!P495="","",IF(反向題設定!$C$19="是",反向題設定!$B$2+1-原始資料!P495,原始資料!P495))</f>
        <v/>
      </c>
      <c r="Q495">
        <f>IF(原始資料!Q495="","",IF(反向題設定!$C$20="是",反向題設定!$B$2+1-原始資料!Q495,原始資料!Q495))</f>
        <v/>
      </c>
      <c r="R495">
        <f>IF(原始資料!R495="","",IF(反向題設定!$C$21="是",反向題設定!$B$2+1-原始資料!R495,原始資料!R495))</f>
        <v/>
      </c>
      <c r="S495">
        <f>IF(原始資料!S495="","",IF(反向題設定!$C$22="是",反向題設定!$B$2+1-原始資料!S495,原始資料!S495))</f>
        <v/>
      </c>
      <c r="T495">
        <f>IF(原始資料!T495="","",IF(反向題設定!$C$23="是",反向題設定!$B$2+1-原始資料!T495,原始資料!T495))</f>
        <v/>
      </c>
      <c r="U495">
        <f>IF(原始資料!U495="","",IF(反向題設定!$C$24="是",反向題設定!$B$2+1-原始資料!U495,原始資料!U495))</f>
        <v/>
      </c>
      <c r="V495">
        <f>IF(原始資料!V495="","",IF(反向題設定!$C$25="是",反向題設定!$B$2+1-原始資料!V495,原始資料!V495))</f>
        <v/>
      </c>
      <c r="W495">
        <f>IF(原始資料!W495="","",IF(反向題設定!$C$26="是",反向題設定!$B$2+1-原始資料!W495,原始資料!W495))</f>
        <v/>
      </c>
      <c r="X495">
        <f>IF(原始資料!X495="","",IF(反向題設定!$C$27="是",反向題設定!$B$2+1-原始資料!X495,原始資料!X495))</f>
        <v/>
      </c>
      <c r="Y495">
        <f>IF(原始資料!Y495="","",IF(反向題設定!$C$28="是",反向題設定!$B$2+1-原始資料!Y495,原始資料!Y495))</f>
        <v/>
      </c>
      <c r="Z495">
        <f>IF(原始資料!Z495="","",IF(反向題設定!$C$29="是",反向題設定!$B$2+1-原始資料!Z495,原始資料!Z495))</f>
        <v/>
      </c>
      <c r="AA495">
        <f>IF(原始資料!AA495="","",IF(反向題設定!$C$30="是",反向題設定!$B$2+1-原始資料!AA495,原始資料!AA495))</f>
        <v/>
      </c>
      <c r="AB495">
        <f>IF(原始資料!AB495="","",IF(反向題設定!$C$31="是",反向題設定!$B$2+1-原始資料!AB495,原始資料!AB495))</f>
        <v/>
      </c>
      <c r="AC495">
        <f>IF(原始資料!AC495="","",IF(反向題設定!$C$32="是",反向題設定!$B$2+1-原始資料!AC495,原始資料!AC495))</f>
        <v/>
      </c>
      <c r="AD495">
        <f>IF(原始資料!AD495="","",IF(反向題設定!$C$33="是",反向題設定!$B$2+1-原始資料!AD495,原始資料!AD495))</f>
        <v/>
      </c>
      <c r="AE495">
        <f>IF(原始資料!AE495="","",IF(反向題設定!$C$34="是",反向題設定!$B$2+1-原始資料!AE495,原始資料!AE495))</f>
        <v/>
      </c>
      <c r="AF495">
        <f>IF(原始資料!AF495="","",IF(反向題設定!$C$35="是",反向題設定!$B$2+1-原始資料!AF495,原始資料!AF495))</f>
        <v/>
      </c>
      <c r="AG495">
        <f>IF(原始資料!AG495="","",IF(反向題設定!$C$36="是",反向題設定!$B$2+1-原始資料!AG495,原始資料!AG495))</f>
        <v/>
      </c>
      <c r="AH495">
        <f>IF(原始資料!AH495="","",IF(反向題設定!$C$37="是",反向題設定!$B$2+1-原始資料!AH495,原始資料!AH495))</f>
        <v/>
      </c>
      <c r="AI495">
        <f>IF(原始資料!AI495="","",IF(反向題設定!$C$38="是",反向題設定!$B$2+1-原始資料!AI495,原始資料!AI495))</f>
        <v/>
      </c>
      <c r="AJ495">
        <f>IF(原始資料!AJ495="","",IF(反向題設定!$C$39="是",反向題設定!$B$2+1-原始資料!AJ495,原始資料!AJ495))</f>
        <v/>
      </c>
      <c r="AK495">
        <f>IF(原始資料!AK495="","",IF(反向題設定!$C$40="是",反向題設定!$B$2+1-原始資料!AK495,原始資料!AK495))</f>
        <v/>
      </c>
      <c r="AL495">
        <f>IF(原始資料!AL495="","",IF(反向題設定!$C$41="是",反向題設定!$B$2+1-原始資料!AL495,原始資料!AL495))</f>
        <v/>
      </c>
      <c r="AM495">
        <f>IF(原始資料!AM495="","",IF(反向題設定!$C$42="是",反向題設定!$B$2+1-原始資料!AM495,原始資料!AM495))</f>
        <v/>
      </c>
      <c r="AN495">
        <f>IF(原始資料!AN495="","",IF(反向題設定!$C$43="是",反向題設定!$B$2+1-原始資料!AN495,原始資料!AN495))</f>
        <v/>
      </c>
      <c r="AO495">
        <f>IF(原始資料!AO495="","",IF(反向題設定!$C$44="是",反向題設定!$B$2+1-原始資料!AO495,原始資料!AO495))</f>
        <v/>
      </c>
      <c r="AP495">
        <f>IF(COUNT(B495:AO495)=0,"",SUM(B495:AO495))</f>
        <v/>
      </c>
      <c r="AQ495">
        <f>IF(AP495="","",IF(AP495&gt;=項目分析!$C$5,"高",IF(AP495&lt;=項目分析!$C$6,"低","")))</f>
        <v/>
      </c>
    </row>
    <row r="496">
      <c r="A496">
        <f>IF(原始資料!A496="","",原始資料!A496)</f>
        <v/>
      </c>
      <c r="B496">
        <f>IF(原始資料!B496="","",IF(反向題設定!$C$5="是",反向題設定!$B$2+1-原始資料!B496,原始資料!B496))</f>
        <v/>
      </c>
      <c r="C496">
        <f>IF(原始資料!C496="","",IF(反向題設定!$C$6="是",反向題設定!$B$2+1-原始資料!C496,原始資料!C496))</f>
        <v/>
      </c>
      <c r="D496">
        <f>IF(原始資料!D496="","",IF(反向題設定!$C$7="是",反向題設定!$B$2+1-原始資料!D496,原始資料!D496))</f>
        <v/>
      </c>
      <c r="E496">
        <f>IF(原始資料!E496="","",IF(反向題設定!$C$8="是",反向題設定!$B$2+1-原始資料!E496,原始資料!E496))</f>
        <v/>
      </c>
      <c r="F496">
        <f>IF(原始資料!F496="","",IF(反向題設定!$C$9="是",反向題設定!$B$2+1-原始資料!F496,原始資料!F496))</f>
        <v/>
      </c>
      <c r="G496">
        <f>IF(原始資料!G496="","",IF(反向題設定!$C$10="是",反向題設定!$B$2+1-原始資料!G496,原始資料!G496))</f>
        <v/>
      </c>
      <c r="H496">
        <f>IF(原始資料!H496="","",IF(反向題設定!$C$11="是",反向題設定!$B$2+1-原始資料!H496,原始資料!H496))</f>
        <v/>
      </c>
      <c r="I496">
        <f>IF(原始資料!I496="","",IF(反向題設定!$C$12="是",反向題設定!$B$2+1-原始資料!I496,原始資料!I496))</f>
        <v/>
      </c>
      <c r="J496">
        <f>IF(原始資料!J496="","",IF(反向題設定!$C$13="是",反向題設定!$B$2+1-原始資料!J496,原始資料!J496))</f>
        <v/>
      </c>
      <c r="K496">
        <f>IF(原始資料!K496="","",IF(反向題設定!$C$14="是",反向題設定!$B$2+1-原始資料!K496,原始資料!K496))</f>
        <v/>
      </c>
      <c r="L496">
        <f>IF(原始資料!L496="","",IF(反向題設定!$C$15="是",反向題設定!$B$2+1-原始資料!L496,原始資料!L496))</f>
        <v/>
      </c>
      <c r="M496">
        <f>IF(原始資料!M496="","",IF(反向題設定!$C$16="是",反向題設定!$B$2+1-原始資料!M496,原始資料!M496))</f>
        <v/>
      </c>
      <c r="N496">
        <f>IF(原始資料!N496="","",IF(反向題設定!$C$17="是",反向題設定!$B$2+1-原始資料!N496,原始資料!N496))</f>
        <v/>
      </c>
      <c r="O496">
        <f>IF(原始資料!O496="","",IF(反向題設定!$C$18="是",反向題設定!$B$2+1-原始資料!O496,原始資料!O496))</f>
        <v/>
      </c>
      <c r="P496">
        <f>IF(原始資料!P496="","",IF(反向題設定!$C$19="是",反向題設定!$B$2+1-原始資料!P496,原始資料!P496))</f>
        <v/>
      </c>
      <c r="Q496">
        <f>IF(原始資料!Q496="","",IF(反向題設定!$C$20="是",反向題設定!$B$2+1-原始資料!Q496,原始資料!Q496))</f>
        <v/>
      </c>
      <c r="R496">
        <f>IF(原始資料!R496="","",IF(反向題設定!$C$21="是",反向題設定!$B$2+1-原始資料!R496,原始資料!R496))</f>
        <v/>
      </c>
      <c r="S496">
        <f>IF(原始資料!S496="","",IF(反向題設定!$C$22="是",反向題設定!$B$2+1-原始資料!S496,原始資料!S496))</f>
        <v/>
      </c>
      <c r="T496">
        <f>IF(原始資料!T496="","",IF(反向題設定!$C$23="是",反向題設定!$B$2+1-原始資料!T496,原始資料!T496))</f>
        <v/>
      </c>
      <c r="U496">
        <f>IF(原始資料!U496="","",IF(反向題設定!$C$24="是",反向題設定!$B$2+1-原始資料!U496,原始資料!U496))</f>
        <v/>
      </c>
      <c r="V496">
        <f>IF(原始資料!V496="","",IF(反向題設定!$C$25="是",反向題設定!$B$2+1-原始資料!V496,原始資料!V496))</f>
        <v/>
      </c>
      <c r="W496">
        <f>IF(原始資料!W496="","",IF(反向題設定!$C$26="是",反向題設定!$B$2+1-原始資料!W496,原始資料!W496))</f>
        <v/>
      </c>
      <c r="X496">
        <f>IF(原始資料!X496="","",IF(反向題設定!$C$27="是",反向題設定!$B$2+1-原始資料!X496,原始資料!X496))</f>
        <v/>
      </c>
      <c r="Y496">
        <f>IF(原始資料!Y496="","",IF(反向題設定!$C$28="是",反向題設定!$B$2+1-原始資料!Y496,原始資料!Y496))</f>
        <v/>
      </c>
      <c r="Z496">
        <f>IF(原始資料!Z496="","",IF(反向題設定!$C$29="是",反向題設定!$B$2+1-原始資料!Z496,原始資料!Z496))</f>
        <v/>
      </c>
      <c r="AA496">
        <f>IF(原始資料!AA496="","",IF(反向題設定!$C$30="是",反向題設定!$B$2+1-原始資料!AA496,原始資料!AA496))</f>
        <v/>
      </c>
      <c r="AB496">
        <f>IF(原始資料!AB496="","",IF(反向題設定!$C$31="是",反向題設定!$B$2+1-原始資料!AB496,原始資料!AB496))</f>
        <v/>
      </c>
      <c r="AC496">
        <f>IF(原始資料!AC496="","",IF(反向題設定!$C$32="是",反向題設定!$B$2+1-原始資料!AC496,原始資料!AC496))</f>
        <v/>
      </c>
      <c r="AD496">
        <f>IF(原始資料!AD496="","",IF(反向題設定!$C$33="是",反向題設定!$B$2+1-原始資料!AD496,原始資料!AD496))</f>
        <v/>
      </c>
      <c r="AE496">
        <f>IF(原始資料!AE496="","",IF(反向題設定!$C$34="是",反向題設定!$B$2+1-原始資料!AE496,原始資料!AE496))</f>
        <v/>
      </c>
      <c r="AF496">
        <f>IF(原始資料!AF496="","",IF(反向題設定!$C$35="是",反向題設定!$B$2+1-原始資料!AF496,原始資料!AF496))</f>
        <v/>
      </c>
      <c r="AG496">
        <f>IF(原始資料!AG496="","",IF(反向題設定!$C$36="是",反向題設定!$B$2+1-原始資料!AG496,原始資料!AG496))</f>
        <v/>
      </c>
      <c r="AH496">
        <f>IF(原始資料!AH496="","",IF(反向題設定!$C$37="是",反向題設定!$B$2+1-原始資料!AH496,原始資料!AH496))</f>
        <v/>
      </c>
      <c r="AI496">
        <f>IF(原始資料!AI496="","",IF(反向題設定!$C$38="是",反向題設定!$B$2+1-原始資料!AI496,原始資料!AI496))</f>
        <v/>
      </c>
      <c r="AJ496">
        <f>IF(原始資料!AJ496="","",IF(反向題設定!$C$39="是",反向題設定!$B$2+1-原始資料!AJ496,原始資料!AJ496))</f>
        <v/>
      </c>
      <c r="AK496">
        <f>IF(原始資料!AK496="","",IF(反向題設定!$C$40="是",反向題設定!$B$2+1-原始資料!AK496,原始資料!AK496))</f>
        <v/>
      </c>
      <c r="AL496">
        <f>IF(原始資料!AL496="","",IF(反向題設定!$C$41="是",反向題設定!$B$2+1-原始資料!AL496,原始資料!AL496))</f>
        <v/>
      </c>
      <c r="AM496">
        <f>IF(原始資料!AM496="","",IF(反向題設定!$C$42="是",反向題設定!$B$2+1-原始資料!AM496,原始資料!AM496))</f>
        <v/>
      </c>
      <c r="AN496">
        <f>IF(原始資料!AN496="","",IF(反向題設定!$C$43="是",反向題設定!$B$2+1-原始資料!AN496,原始資料!AN496))</f>
        <v/>
      </c>
      <c r="AO496">
        <f>IF(原始資料!AO496="","",IF(反向題設定!$C$44="是",反向題設定!$B$2+1-原始資料!AO496,原始資料!AO496))</f>
        <v/>
      </c>
      <c r="AP496">
        <f>IF(COUNT(B496:AO496)=0,"",SUM(B496:AO496))</f>
        <v/>
      </c>
      <c r="AQ496">
        <f>IF(AP496="","",IF(AP496&gt;=項目分析!$C$5,"高",IF(AP496&lt;=項目分析!$C$6,"低","")))</f>
        <v/>
      </c>
    </row>
    <row r="497">
      <c r="A497">
        <f>IF(原始資料!A497="","",原始資料!A497)</f>
        <v/>
      </c>
      <c r="B497">
        <f>IF(原始資料!B497="","",IF(反向題設定!$C$5="是",反向題設定!$B$2+1-原始資料!B497,原始資料!B497))</f>
        <v/>
      </c>
      <c r="C497">
        <f>IF(原始資料!C497="","",IF(反向題設定!$C$6="是",反向題設定!$B$2+1-原始資料!C497,原始資料!C497))</f>
        <v/>
      </c>
      <c r="D497">
        <f>IF(原始資料!D497="","",IF(反向題設定!$C$7="是",反向題設定!$B$2+1-原始資料!D497,原始資料!D497))</f>
        <v/>
      </c>
      <c r="E497">
        <f>IF(原始資料!E497="","",IF(反向題設定!$C$8="是",反向題設定!$B$2+1-原始資料!E497,原始資料!E497))</f>
        <v/>
      </c>
      <c r="F497">
        <f>IF(原始資料!F497="","",IF(反向題設定!$C$9="是",反向題設定!$B$2+1-原始資料!F497,原始資料!F497))</f>
        <v/>
      </c>
      <c r="G497">
        <f>IF(原始資料!G497="","",IF(反向題設定!$C$10="是",反向題設定!$B$2+1-原始資料!G497,原始資料!G497))</f>
        <v/>
      </c>
      <c r="H497">
        <f>IF(原始資料!H497="","",IF(反向題設定!$C$11="是",反向題設定!$B$2+1-原始資料!H497,原始資料!H497))</f>
        <v/>
      </c>
      <c r="I497">
        <f>IF(原始資料!I497="","",IF(反向題設定!$C$12="是",反向題設定!$B$2+1-原始資料!I497,原始資料!I497))</f>
        <v/>
      </c>
      <c r="J497">
        <f>IF(原始資料!J497="","",IF(反向題設定!$C$13="是",反向題設定!$B$2+1-原始資料!J497,原始資料!J497))</f>
        <v/>
      </c>
      <c r="K497">
        <f>IF(原始資料!K497="","",IF(反向題設定!$C$14="是",反向題設定!$B$2+1-原始資料!K497,原始資料!K497))</f>
        <v/>
      </c>
      <c r="L497">
        <f>IF(原始資料!L497="","",IF(反向題設定!$C$15="是",反向題設定!$B$2+1-原始資料!L497,原始資料!L497))</f>
        <v/>
      </c>
      <c r="M497">
        <f>IF(原始資料!M497="","",IF(反向題設定!$C$16="是",反向題設定!$B$2+1-原始資料!M497,原始資料!M497))</f>
        <v/>
      </c>
      <c r="N497">
        <f>IF(原始資料!N497="","",IF(反向題設定!$C$17="是",反向題設定!$B$2+1-原始資料!N497,原始資料!N497))</f>
        <v/>
      </c>
      <c r="O497">
        <f>IF(原始資料!O497="","",IF(反向題設定!$C$18="是",反向題設定!$B$2+1-原始資料!O497,原始資料!O497))</f>
        <v/>
      </c>
      <c r="P497">
        <f>IF(原始資料!P497="","",IF(反向題設定!$C$19="是",反向題設定!$B$2+1-原始資料!P497,原始資料!P497))</f>
        <v/>
      </c>
      <c r="Q497">
        <f>IF(原始資料!Q497="","",IF(反向題設定!$C$20="是",反向題設定!$B$2+1-原始資料!Q497,原始資料!Q497))</f>
        <v/>
      </c>
      <c r="R497">
        <f>IF(原始資料!R497="","",IF(反向題設定!$C$21="是",反向題設定!$B$2+1-原始資料!R497,原始資料!R497))</f>
        <v/>
      </c>
      <c r="S497">
        <f>IF(原始資料!S497="","",IF(反向題設定!$C$22="是",反向題設定!$B$2+1-原始資料!S497,原始資料!S497))</f>
        <v/>
      </c>
      <c r="T497">
        <f>IF(原始資料!T497="","",IF(反向題設定!$C$23="是",反向題設定!$B$2+1-原始資料!T497,原始資料!T497))</f>
        <v/>
      </c>
      <c r="U497">
        <f>IF(原始資料!U497="","",IF(反向題設定!$C$24="是",反向題設定!$B$2+1-原始資料!U497,原始資料!U497))</f>
        <v/>
      </c>
      <c r="V497">
        <f>IF(原始資料!V497="","",IF(反向題設定!$C$25="是",反向題設定!$B$2+1-原始資料!V497,原始資料!V497))</f>
        <v/>
      </c>
      <c r="W497">
        <f>IF(原始資料!W497="","",IF(反向題設定!$C$26="是",反向題設定!$B$2+1-原始資料!W497,原始資料!W497))</f>
        <v/>
      </c>
      <c r="X497">
        <f>IF(原始資料!X497="","",IF(反向題設定!$C$27="是",反向題設定!$B$2+1-原始資料!X497,原始資料!X497))</f>
        <v/>
      </c>
      <c r="Y497">
        <f>IF(原始資料!Y497="","",IF(反向題設定!$C$28="是",反向題設定!$B$2+1-原始資料!Y497,原始資料!Y497))</f>
        <v/>
      </c>
      <c r="Z497">
        <f>IF(原始資料!Z497="","",IF(反向題設定!$C$29="是",反向題設定!$B$2+1-原始資料!Z497,原始資料!Z497))</f>
        <v/>
      </c>
      <c r="AA497">
        <f>IF(原始資料!AA497="","",IF(反向題設定!$C$30="是",反向題設定!$B$2+1-原始資料!AA497,原始資料!AA497))</f>
        <v/>
      </c>
      <c r="AB497">
        <f>IF(原始資料!AB497="","",IF(反向題設定!$C$31="是",反向題設定!$B$2+1-原始資料!AB497,原始資料!AB497))</f>
        <v/>
      </c>
      <c r="AC497">
        <f>IF(原始資料!AC497="","",IF(反向題設定!$C$32="是",反向題設定!$B$2+1-原始資料!AC497,原始資料!AC497))</f>
        <v/>
      </c>
      <c r="AD497">
        <f>IF(原始資料!AD497="","",IF(反向題設定!$C$33="是",反向題設定!$B$2+1-原始資料!AD497,原始資料!AD497))</f>
        <v/>
      </c>
      <c r="AE497">
        <f>IF(原始資料!AE497="","",IF(反向題設定!$C$34="是",反向題設定!$B$2+1-原始資料!AE497,原始資料!AE497))</f>
        <v/>
      </c>
      <c r="AF497">
        <f>IF(原始資料!AF497="","",IF(反向題設定!$C$35="是",反向題設定!$B$2+1-原始資料!AF497,原始資料!AF497))</f>
        <v/>
      </c>
      <c r="AG497">
        <f>IF(原始資料!AG497="","",IF(反向題設定!$C$36="是",反向題設定!$B$2+1-原始資料!AG497,原始資料!AG497))</f>
        <v/>
      </c>
      <c r="AH497">
        <f>IF(原始資料!AH497="","",IF(反向題設定!$C$37="是",反向題設定!$B$2+1-原始資料!AH497,原始資料!AH497))</f>
        <v/>
      </c>
      <c r="AI497">
        <f>IF(原始資料!AI497="","",IF(反向題設定!$C$38="是",反向題設定!$B$2+1-原始資料!AI497,原始資料!AI497))</f>
        <v/>
      </c>
      <c r="AJ497">
        <f>IF(原始資料!AJ497="","",IF(反向題設定!$C$39="是",反向題設定!$B$2+1-原始資料!AJ497,原始資料!AJ497))</f>
        <v/>
      </c>
      <c r="AK497">
        <f>IF(原始資料!AK497="","",IF(反向題設定!$C$40="是",反向題設定!$B$2+1-原始資料!AK497,原始資料!AK497))</f>
        <v/>
      </c>
      <c r="AL497">
        <f>IF(原始資料!AL497="","",IF(反向題設定!$C$41="是",反向題設定!$B$2+1-原始資料!AL497,原始資料!AL497))</f>
        <v/>
      </c>
      <c r="AM497">
        <f>IF(原始資料!AM497="","",IF(反向題設定!$C$42="是",反向題設定!$B$2+1-原始資料!AM497,原始資料!AM497))</f>
        <v/>
      </c>
      <c r="AN497">
        <f>IF(原始資料!AN497="","",IF(反向題設定!$C$43="是",反向題設定!$B$2+1-原始資料!AN497,原始資料!AN497))</f>
        <v/>
      </c>
      <c r="AO497">
        <f>IF(原始資料!AO497="","",IF(反向題設定!$C$44="是",反向題設定!$B$2+1-原始資料!AO497,原始資料!AO497))</f>
        <v/>
      </c>
      <c r="AP497">
        <f>IF(COUNT(B497:AO497)=0,"",SUM(B497:AO497))</f>
        <v/>
      </c>
      <c r="AQ497">
        <f>IF(AP497="","",IF(AP497&gt;=項目分析!$C$5,"高",IF(AP497&lt;=項目分析!$C$6,"低","")))</f>
        <v/>
      </c>
    </row>
    <row r="498">
      <c r="A498">
        <f>IF(原始資料!A498="","",原始資料!A498)</f>
        <v/>
      </c>
      <c r="B498">
        <f>IF(原始資料!B498="","",IF(反向題設定!$C$5="是",反向題設定!$B$2+1-原始資料!B498,原始資料!B498))</f>
        <v/>
      </c>
      <c r="C498">
        <f>IF(原始資料!C498="","",IF(反向題設定!$C$6="是",反向題設定!$B$2+1-原始資料!C498,原始資料!C498))</f>
        <v/>
      </c>
      <c r="D498">
        <f>IF(原始資料!D498="","",IF(反向題設定!$C$7="是",反向題設定!$B$2+1-原始資料!D498,原始資料!D498))</f>
        <v/>
      </c>
      <c r="E498">
        <f>IF(原始資料!E498="","",IF(反向題設定!$C$8="是",反向題設定!$B$2+1-原始資料!E498,原始資料!E498))</f>
        <v/>
      </c>
      <c r="F498">
        <f>IF(原始資料!F498="","",IF(反向題設定!$C$9="是",反向題設定!$B$2+1-原始資料!F498,原始資料!F498))</f>
        <v/>
      </c>
      <c r="G498">
        <f>IF(原始資料!G498="","",IF(反向題設定!$C$10="是",反向題設定!$B$2+1-原始資料!G498,原始資料!G498))</f>
        <v/>
      </c>
      <c r="H498">
        <f>IF(原始資料!H498="","",IF(反向題設定!$C$11="是",反向題設定!$B$2+1-原始資料!H498,原始資料!H498))</f>
        <v/>
      </c>
      <c r="I498">
        <f>IF(原始資料!I498="","",IF(反向題設定!$C$12="是",反向題設定!$B$2+1-原始資料!I498,原始資料!I498))</f>
        <v/>
      </c>
      <c r="J498">
        <f>IF(原始資料!J498="","",IF(反向題設定!$C$13="是",反向題設定!$B$2+1-原始資料!J498,原始資料!J498))</f>
        <v/>
      </c>
      <c r="K498">
        <f>IF(原始資料!K498="","",IF(反向題設定!$C$14="是",反向題設定!$B$2+1-原始資料!K498,原始資料!K498))</f>
        <v/>
      </c>
      <c r="L498">
        <f>IF(原始資料!L498="","",IF(反向題設定!$C$15="是",反向題設定!$B$2+1-原始資料!L498,原始資料!L498))</f>
        <v/>
      </c>
      <c r="M498">
        <f>IF(原始資料!M498="","",IF(反向題設定!$C$16="是",反向題設定!$B$2+1-原始資料!M498,原始資料!M498))</f>
        <v/>
      </c>
      <c r="N498">
        <f>IF(原始資料!N498="","",IF(反向題設定!$C$17="是",反向題設定!$B$2+1-原始資料!N498,原始資料!N498))</f>
        <v/>
      </c>
      <c r="O498">
        <f>IF(原始資料!O498="","",IF(反向題設定!$C$18="是",反向題設定!$B$2+1-原始資料!O498,原始資料!O498))</f>
        <v/>
      </c>
      <c r="P498">
        <f>IF(原始資料!P498="","",IF(反向題設定!$C$19="是",反向題設定!$B$2+1-原始資料!P498,原始資料!P498))</f>
        <v/>
      </c>
      <c r="Q498">
        <f>IF(原始資料!Q498="","",IF(反向題設定!$C$20="是",反向題設定!$B$2+1-原始資料!Q498,原始資料!Q498))</f>
        <v/>
      </c>
      <c r="R498">
        <f>IF(原始資料!R498="","",IF(反向題設定!$C$21="是",反向題設定!$B$2+1-原始資料!R498,原始資料!R498))</f>
        <v/>
      </c>
      <c r="S498">
        <f>IF(原始資料!S498="","",IF(反向題設定!$C$22="是",反向題設定!$B$2+1-原始資料!S498,原始資料!S498))</f>
        <v/>
      </c>
      <c r="T498">
        <f>IF(原始資料!T498="","",IF(反向題設定!$C$23="是",反向題設定!$B$2+1-原始資料!T498,原始資料!T498))</f>
        <v/>
      </c>
      <c r="U498">
        <f>IF(原始資料!U498="","",IF(反向題設定!$C$24="是",反向題設定!$B$2+1-原始資料!U498,原始資料!U498))</f>
        <v/>
      </c>
      <c r="V498">
        <f>IF(原始資料!V498="","",IF(反向題設定!$C$25="是",反向題設定!$B$2+1-原始資料!V498,原始資料!V498))</f>
        <v/>
      </c>
      <c r="W498">
        <f>IF(原始資料!W498="","",IF(反向題設定!$C$26="是",反向題設定!$B$2+1-原始資料!W498,原始資料!W498))</f>
        <v/>
      </c>
      <c r="X498">
        <f>IF(原始資料!X498="","",IF(反向題設定!$C$27="是",反向題設定!$B$2+1-原始資料!X498,原始資料!X498))</f>
        <v/>
      </c>
      <c r="Y498">
        <f>IF(原始資料!Y498="","",IF(反向題設定!$C$28="是",反向題設定!$B$2+1-原始資料!Y498,原始資料!Y498))</f>
        <v/>
      </c>
      <c r="Z498">
        <f>IF(原始資料!Z498="","",IF(反向題設定!$C$29="是",反向題設定!$B$2+1-原始資料!Z498,原始資料!Z498))</f>
        <v/>
      </c>
      <c r="AA498">
        <f>IF(原始資料!AA498="","",IF(反向題設定!$C$30="是",反向題設定!$B$2+1-原始資料!AA498,原始資料!AA498))</f>
        <v/>
      </c>
      <c r="AB498">
        <f>IF(原始資料!AB498="","",IF(反向題設定!$C$31="是",反向題設定!$B$2+1-原始資料!AB498,原始資料!AB498))</f>
        <v/>
      </c>
      <c r="AC498">
        <f>IF(原始資料!AC498="","",IF(反向題設定!$C$32="是",反向題設定!$B$2+1-原始資料!AC498,原始資料!AC498))</f>
        <v/>
      </c>
      <c r="AD498">
        <f>IF(原始資料!AD498="","",IF(反向題設定!$C$33="是",反向題設定!$B$2+1-原始資料!AD498,原始資料!AD498))</f>
        <v/>
      </c>
      <c r="AE498">
        <f>IF(原始資料!AE498="","",IF(反向題設定!$C$34="是",反向題設定!$B$2+1-原始資料!AE498,原始資料!AE498))</f>
        <v/>
      </c>
      <c r="AF498">
        <f>IF(原始資料!AF498="","",IF(反向題設定!$C$35="是",反向題設定!$B$2+1-原始資料!AF498,原始資料!AF498))</f>
        <v/>
      </c>
      <c r="AG498">
        <f>IF(原始資料!AG498="","",IF(反向題設定!$C$36="是",反向題設定!$B$2+1-原始資料!AG498,原始資料!AG498))</f>
        <v/>
      </c>
      <c r="AH498">
        <f>IF(原始資料!AH498="","",IF(反向題設定!$C$37="是",反向題設定!$B$2+1-原始資料!AH498,原始資料!AH498))</f>
        <v/>
      </c>
      <c r="AI498">
        <f>IF(原始資料!AI498="","",IF(反向題設定!$C$38="是",反向題設定!$B$2+1-原始資料!AI498,原始資料!AI498))</f>
        <v/>
      </c>
      <c r="AJ498">
        <f>IF(原始資料!AJ498="","",IF(反向題設定!$C$39="是",反向題設定!$B$2+1-原始資料!AJ498,原始資料!AJ498))</f>
        <v/>
      </c>
      <c r="AK498">
        <f>IF(原始資料!AK498="","",IF(反向題設定!$C$40="是",反向題設定!$B$2+1-原始資料!AK498,原始資料!AK498))</f>
        <v/>
      </c>
      <c r="AL498">
        <f>IF(原始資料!AL498="","",IF(反向題設定!$C$41="是",反向題設定!$B$2+1-原始資料!AL498,原始資料!AL498))</f>
        <v/>
      </c>
      <c r="AM498">
        <f>IF(原始資料!AM498="","",IF(反向題設定!$C$42="是",反向題設定!$B$2+1-原始資料!AM498,原始資料!AM498))</f>
        <v/>
      </c>
      <c r="AN498">
        <f>IF(原始資料!AN498="","",IF(反向題設定!$C$43="是",反向題設定!$B$2+1-原始資料!AN498,原始資料!AN498))</f>
        <v/>
      </c>
      <c r="AO498">
        <f>IF(原始資料!AO498="","",IF(反向題設定!$C$44="是",反向題設定!$B$2+1-原始資料!AO498,原始資料!AO498))</f>
        <v/>
      </c>
      <c r="AP498">
        <f>IF(COUNT(B498:AO498)=0,"",SUM(B498:AO498))</f>
        <v/>
      </c>
      <c r="AQ498">
        <f>IF(AP498="","",IF(AP498&gt;=項目分析!$C$5,"高",IF(AP498&lt;=項目分析!$C$6,"低","")))</f>
        <v/>
      </c>
    </row>
    <row r="499">
      <c r="A499">
        <f>IF(原始資料!A499="","",原始資料!A499)</f>
        <v/>
      </c>
      <c r="B499">
        <f>IF(原始資料!B499="","",IF(反向題設定!$C$5="是",反向題設定!$B$2+1-原始資料!B499,原始資料!B499))</f>
        <v/>
      </c>
      <c r="C499">
        <f>IF(原始資料!C499="","",IF(反向題設定!$C$6="是",反向題設定!$B$2+1-原始資料!C499,原始資料!C499))</f>
        <v/>
      </c>
      <c r="D499">
        <f>IF(原始資料!D499="","",IF(反向題設定!$C$7="是",反向題設定!$B$2+1-原始資料!D499,原始資料!D499))</f>
        <v/>
      </c>
      <c r="E499">
        <f>IF(原始資料!E499="","",IF(反向題設定!$C$8="是",反向題設定!$B$2+1-原始資料!E499,原始資料!E499))</f>
        <v/>
      </c>
      <c r="F499">
        <f>IF(原始資料!F499="","",IF(反向題設定!$C$9="是",反向題設定!$B$2+1-原始資料!F499,原始資料!F499))</f>
        <v/>
      </c>
      <c r="G499">
        <f>IF(原始資料!G499="","",IF(反向題設定!$C$10="是",反向題設定!$B$2+1-原始資料!G499,原始資料!G499))</f>
        <v/>
      </c>
      <c r="H499">
        <f>IF(原始資料!H499="","",IF(反向題設定!$C$11="是",反向題設定!$B$2+1-原始資料!H499,原始資料!H499))</f>
        <v/>
      </c>
      <c r="I499">
        <f>IF(原始資料!I499="","",IF(反向題設定!$C$12="是",反向題設定!$B$2+1-原始資料!I499,原始資料!I499))</f>
        <v/>
      </c>
      <c r="J499">
        <f>IF(原始資料!J499="","",IF(反向題設定!$C$13="是",反向題設定!$B$2+1-原始資料!J499,原始資料!J499))</f>
        <v/>
      </c>
      <c r="K499">
        <f>IF(原始資料!K499="","",IF(反向題設定!$C$14="是",反向題設定!$B$2+1-原始資料!K499,原始資料!K499))</f>
        <v/>
      </c>
      <c r="L499">
        <f>IF(原始資料!L499="","",IF(反向題設定!$C$15="是",反向題設定!$B$2+1-原始資料!L499,原始資料!L499))</f>
        <v/>
      </c>
      <c r="M499">
        <f>IF(原始資料!M499="","",IF(反向題設定!$C$16="是",反向題設定!$B$2+1-原始資料!M499,原始資料!M499))</f>
        <v/>
      </c>
      <c r="N499">
        <f>IF(原始資料!N499="","",IF(反向題設定!$C$17="是",反向題設定!$B$2+1-原始資料!N499,原始資料!N499))</f>
        <v/>
      </c>
      <c r="O499">
        <f>IF(原始資料!O499="","",IF(反向題設定!$C$18="是",反向題設定!$B$2+1-原始資料!O499,原始資料!O499))</f>
        <v/>
      </c>
      <c r="P499">
        <f>IF(原始資料!P499="","",IF(反向題設定!$C$19="是",反向題設定!$B$2+1-原始資料!P499,原始資料!P499))</f>
        <v/>
      </c>
      <c r="Q499">
        <f>IF(原始資料!Q499="","",IF(反向題設定!$C$20="是",反向題設定!$B$2+1-原始資料!Q499,原始資料!Q499))</f>
        <v/>
      </c>
      <c r="R499">
        <f>IF(原始資料!R499="","",IF(反向題設定!$C$21="是",反向題設定!$B$2+1-原始資料!R499,原始資料!R499))</f>
        <v/>
      </c>
      <c r="S499">
        <f>IF(原始資料!S499="","",IF(反向題設定!$C$22="是",反向題設定!$B$2+1-原始資料!S499,原始資料!S499))</f>
        <v/>
      </c>
      <c r="T499">
        <f>IF(原始資料!T499="","",IF(反向題設定!$C$23="是",反向題設定!$B$2+1-原始資料!T499,原始資料!T499))</f>
        <v/>
      </c>
      <c r="U499">
        <f>IF(原始資料!U499="","",IF(反向題設定!$C$24="是",反向題設定!$B$2+1-原始資料!U499,原始資料!U499))</f>
        <v/>
      </c>
      <c r="V499">
        <f>IF(原始資料!V499="","",IF(反向題設定!$C$25="是",反向題設定!$B$2+1-原始資料!V499,原始資料!V499))</f>
        <v/>
      </c>
      <c r="W499">
        <f>IF(原始資料!W499="","",IF(反向題設定!$C$26="是",反向題設定!$B$2+1-原始資料!W499,原始資料!W499))</f>
        <v/>
      </c>
      <c r="X499">
        <f>IF(原始資料!X499="","",IF(反向題設定!$C$27="是",反向題設定!$B$2+1-原始資料!X499,原始資料!X499))</f>
        <v/>
      </c>
      <c r="Y499">
        <f>IF(原始資料!Y499="","",IF(反向題設定!$C$28="是",反向題設定!$B$2+1-原始資料!Y499,原始資料!Y499))</f>
        <v/>
      </c>
      <c r="Z499">
        <f>IF(原始資料!Z499="","",IF(反向題設定!$C$29="是",反向題設定!$B$2+1-原始資料!Z499,原始資料!Z499))</f>
        <v/>
      </c>
      <c r="AA499">
        <f>IF(原始資料!AA499="","",IF(反向題設定!$C$30="是",反向題設定!$B$2+1-原始資料!AA499,原始資料!AA499))</f>
        <v/>
      </c>
      <c r="AB499">
        <f>IF(原始資料!AB499="","",IF(反向題設定!$C$31="是",反向題設定!$B$2+1-原始資料!AB499,原始資料!AB499))</f>
        <v/>
      </c>
      <c r="AC499">
        <f>IF(原始資料!AC499="","",IF(反向題設定!$C$32="是",反向題設定!$B$2+1-原始資料!AC499,原始資料!AC499))</f>
        <v/>
      </c>
      <c r="AD499">
        <f>IF(原始資料!AD499="","",IF(反向題設定!$C$33="是",反向題設定!$B$2+1-原始資料!AD499,原始資料!AD499))</f>
        <v/>
      </c>
      <c r="AE499">
        <f>IF(原始資料!AE499="","",IF(反向題設定!$C$34="是",反向題設定!$B$2+1-原始資料!AE499,原始資料!AE499))</f>
        <v/>
      </c>
      <c r="AF499">
        <f>IF(原始資料!AF499="","",IF(反向題設定!$C$35="是",反向題設定!$B$2+1-原始資料!AF499,原始資料!AF499))</f>
        <v/>
      </c>
      <c r="AG499">
        <f>IF(原始資料!AG499="","",IF(反向題設定!$C$36="是",反向題設定!$B$2+1-原始資料!AG499,原始資料!AG499))</f>
        <v/>
      </c>
      <c r="AH499">
        <f>IF(原始資料!AH499="","",IF(反向題設定!$C$37="是",反向題設定!$B$2+1-原始資料!AH499,原始資料!AH499))</f>
        <v/>
      </c>
      <c r="AI499">
        <f>IF(原始資料!AI499="","",IF(反向題設定!$C$38="是",反向題設定!$B$2+1-原始資料!AI499,原始資料!AI499))</f>
        <v/>
      </c>
      <c r="AJ499">
        <f>IF(原始資料!AJ499="","",IF(反向題設定!$C$39="是",反向題設定!$B$2+1-原始資料!AJ499,原始資料!AJ499))</f>
        <v/>
      </c>
      <c r="AK499">
        <f>IF(原始資料!AK499="","",IF(反向題設定!$C$40="是",反向題設定!$B$2+1-原始資料!AK499,原始資料!AK499))</f>
        <v/>
      </c>
      <c r="AL499">
        <f>IF(原始資料!AL499="","",IF(反向題設定!$C$41="是",反向題設定!$B$2+1-原始資料!AL499,原始資料!AL499))</f>
        <v/>
      </c>
      <c r="AM499">
        <f>IF(原始資料!AM499="","",IF(反向題設定!$C$42="是",反向題設定!$B$2+1-原始資料!AM499,原始資料!AM499))</f>
        <v/>
      </c>
      <c r="AN499">
        <f>IF(原始資料!AN499="","",IF(反向題設定!$C$43="是",反向題設定!$B$2+1-原始資料!AN499,原始資料!AN499))</f>
        <v/>
      </c>
      <c r="AO499">
        <f>IF(原始資料!AO499="","",IF(反向題設定!$C$44="是",反向題設定!$B$2+1-原始資料!AO499,原始資料!AO499))</f>
        <v/>
      </c>
      <c r="AP499">
        <f>IF(COUNT(B499:AO499)=0,"",SUM(B499:AO499))</f>
        <v/>
      </c>
      <c r="AQ499">
        <f>IF(AP499="","",IF(AP499&gt;=項目分析!$C$5,"高",IF(AP499&lt;=項目分析!$C$6,"低","")))</f>
        <v/>
      </c>
    </row>
    <row r="500">
      <c r="A500">
        <f>IF(原始資料!A500="","",原始資料!A500)</f>
        <v/>
      </c>
      <c r="B500">
        <f>IF(原始資料!B500="","",IF(反向題設定!$C$5="是",反向題設定!$B$2+1-原始資料!B500,原始資料!B500))</f>
        <v/>
      </c>
      <c r="C500">
        <f>IF(原始資料!C500="","",IF(反向題設定!$C$6="是",反向題設定!$B$2+1-原始資料!C500,原始資料!C500))</f>
        <v/>
      </c>
      <c r="D500">
        <f>IF(原始資料!D500="","",IF(反向題設定!$C$7="是",反向題設定!$B$2+1-原始資料!D500,原始資料!D500))</f>
        <v/>
      </c>
      <c r="E500">
        <f>IF(原始資料!E500="","",IF(反向題設定!$C$8="是",反向題設定!$B$2+1-原始資料!E500,原始資料!E500))</f>
        <v/>
      </c>
      <c r="F500">
        <f>IF(原始資料!F500="","",IF(反向題設定!$C$9="是",反向題設定!$B$2+1-原始資料!F500,原始資料!F500))</f>
        <v/>
      </c>
      <c r="G500">
        <f>IF(原始資料!G500="","",IF(反向題設定!$C$10="是",反向題設定!$B$2+1-原始資料!G500,原始資料!G500))</f>
        <v/>
      </c>
      <c r="H500">
        <f>IF(原始資料!H500="","",IF(反向題設定!$C$11="是",反向題設定!$B$2+1-原始資料!H500,原始資料!H500))</f>
        <v/>
      </c>
      <c r="I500">
        <f>IF(原始資料!I500="","",IF(反向題設定!$C$12="是",反向題設定!$B$2+1-原始資料!I500,原始資料!I500))</f>
        <v/>
      </c>
      <c r="J500">
        <f>IF(原始資料!J500="","",IF(反向題設定!$C$13="是",反向題設定!$B$2+1-原始資料!J500,原始資料!J500))</f>
        <v/>
      </c>
      <c r="K500">
        <f>IF(原始資料!K500="","",IF(反向題設定!$C$14="是",反向題設定!$B$2+1-原始資料!K500,原始資料!K500))</f>
        <v/>
      </c>
      <c r="L500">
        <f>IF(原始資料!L500="","",IF(反向題設定!$C$15="是",反向題設定!$B$2+1-原始資料!L500,原始資料!L500))</f>
        <v/>
      </c>
      <c r="M500">
        <f>IF(原始資料!M500="","",IF(反向題設定!$C$16="是",反向題設定!$B$2+1-原始資料!M500,原始資料!M500))</f>
        <v/>
      </c>
      <c r="N500">
        <f>IF(原始資料!N500="","",IF(反向題設定!$C$17="是",反向題設定!$B$2+1-原始資料!N500,原始資料!N500))</f>
        <v/>
      </c>
      <c r="O500">
        <f>IF(原始資料!O500="","",IF(反向題設定!$C$18="是",反向題設定!$B$2+1-原始資料!O500,原始資料!O500))</f>
        <v/>
      </c>
      <c r="P500">
        <f>IF(原始資料!P500="","",IF(反向題設定!$C$19="是",反向題設定!$B$2+1-原始資料!P500,原始資料!P500))</f>
        <v/>
      </c>
      <c r="Q500">
        <f>IF(原始資料!Q500="","",IF(反向題設定!$C$20="是",反向題設定!$B$2+1-原始資料!Q500,原始資料!Q500))</f>
        <v/>
      </c>
      <c r="R500">
        <f>IF(原始資料!R500="","",IF(反向題設定!$C$21="是",反向題設定!$B$2+1-原始資料!R500,原始資料!R500))</f>
        <v/>
      </c>
      <c r="S500">
        <f>IF(原始資料!S500="","",IF(反向題設定!$C$22="是",反向題設定!$B$2+1-原始資料!S500,原始資料!S500))</f>
        <v/>
      </c>
      <c r="T500">
        <f>IF(原始資料!T500="","",IF(反向題設定!$C$23="是",反向題設定!$B$2+1-原始資料!T500,原始資料!T500))</f>
        <v/>
      </c>
      <c r="U500">
        <f>IF(原始資料!U500="","",IF(反向題設定!$C$24="是",反向題設定!$B$2+1-原始資料!U500,原始資料!U500))</f>
        <v/>
      </c>
      <c r="V500">
        <f>IF(原始資料!V500="","",IF(反向題設定!$C$25="是",反向題設定!$B$2+1-原始資料!V500,原始資料!V500))</f>
        <v/>
      </c>
      <c r="W500">
        <f>IF(原始資料!W500="","",IF(反向題設定!$C$26="是",反向題設定!$B$2+1-原始資料!W500,原始資料!W500))</f>
        <v/>
      </c>
      <c r="X500">
        <f>IF(原始資料!X500="","",IF(反向題設定!$C$27="是",反向題設定!$B$2+1-原始資料!X500,原始資料!X500))</f>
        <v/>
      </c>
      <c r="Y500">
        <f>IF(原始資料!Y500="","",IF(反向題設定!$C$28="是",反向題設定!$B$2+1-原始資料!Y500,原始資料!Y500))</f>
        <v/>
      </c>
      <c r="Z500">
        <f>IF(原始資料!Z500="","",IF(反向題設定!$C$29="是",反向題設定!$B$2+1-原始資料!Z500,原始資料!Z500))</f>
        <v/>
      </c>
      <c r="AA500">
        <f>IF(原始資料!AA500="","",IF(反向題設定!$C$30="是",反向題設定!$B$2+1-原始資料!AA500,原始資料!AA500))</f>
        <v/>
      </c>
      <c r="AB500">
        <f>IF(原始資料!AB500="","",IF(反向題設定!$C$31="是",反向題設定!$B$2+1-原始資料!AB500,原始資料!AB500))</f>
        <v/>
      </c>
      <c r="AC500">
        <f>IF(原始資料!AC500="","",IF(反向題設定!$C$32="是",反向題設定!$B$2+1-原始資料!AC500,原始資料!AC500))</f>
        <v/>
      </c>
      <c r="AD500">
        <f>IF(原始資料!AD500="","",IF(反向題設定!$C$33="是",反向題設定!$B$2+1-原始資料!AD500,原始資料!AD500))</f>
        <v/>
      </c>
      <c r="AE500">
        <f>IF(原始資料!AE500="","",IF(反向題設定!$C$34="是",反向題設定!$B$2+1-原始資料!AE500,原始資料!AE500))</f>
        <v/>
      </c>
      <c r="AF500">
        <f>IF(原始資料!AF500="","",IF(反向題設定!$C$35="是",反向題設定!$B$2+1-原始資料!AF500,原始資料!AF500))</f>
        <v/>
      </c>
      <c r="AG500">
        <f>IF(原始資料!AG500="","",IF(反向題設定!$C$36="是",反向題設定!$B$2+1-原始資料!AG500,原始資料!AG500))</f>
        <v/>
      </c>
      <c r="AH500">
        <f>IF(原始資料!AH500="","",IF(反向題設定!$C$37="是",反向題設定!$B$2+1-原始資料!AH500,原始資料!AH500))</f>
        <v/>
      </c>
      <c r="AI500">
        <f>IF(原始資料!AI500="","",IF(反向題設定!$C$38="是",反向題設定!$B$2+1-原始資料!AI500,原始資料!AI500))</f>
        <v/>
      </c>
      <c r="AJ500">
        <f>IF(原始資料!AJ500="","",IF(反向題設定!$C$39="是",反向題設定!$B$2+1-原始資料!AJ500,原始資料!AJ500))</f>
        <v/>
      </c>
      <c r="AK500">
        <f>IF(原始資料!AK500="","",IF(反向題設定!$C$40="是",反向題設定!$B$2+1-原始資料!AK500,原始資料!AK500))</f>
        <v/>
      </c>
      <c r="AL500">
        <f>IF(原始資料!AL500="","",IF(反向題設定!$C$41="是",反向題設定!$B$2+1-原始資料!AL500,原始資料!AL500))</f>
        <v/>
      </c>
      <c r="AM500">
        <f>IF(原始資料!AM500="","",IF(反向題設定!$C$42="是",反向題設定!$B$2+1-原始資料!AM500,原始資料!AM500))</f>
        <v/>
      </c>
      <c r="AN500">
        <f>IF(原始資料!AN500="","",IF(反向題設定!$C$43="是",反向題設定!$B$2+1-原始資料!AN500,原始資料!AN500))</f>
        <v/>
      </c>
      <c r="AO500">
        <f>IF(原始資料!AO500="","",IF(反向題設定!$C$44="是",反向題設定!$B$2+1-原始資料!AO500,原始資料!AO500))</f>
        <v/>
      </c>
      <c r="AP500">
        <f>IF(COUNT(B500:AO500)=0,"",SUM(B500:AO500))</f>
        <v/>
      </c>
      <c r="AQ500">
        <f>IF(AP500="","",IF(AP500&gt;=項目分析!$C$5,"高",IF(AP500&lt;=項目分析!$C$6,"低","")))</f>
        <v/>
      </c>
    </row>
    <row r="501">
      <c r="A501">
        <f>IF(原始資料!A501="","",原始資料!A501)</f>
        <v/>
      </c>
      <c r="B501">
        <f>IF(原始資料!B501="","",IF(反向題設定!$C$5="是",反向題設定!$B$2+1-原始資料!B501,原始資料!B501))</f>
        <v/>
      </c>
      <c r="C501">
        <f>IF(原始資料!C501="","",IF(反向題設定!$C$6="是",反向題設定!$B$2+1-原始資料!C501,原始資料!C501))</f>
        <v/>
      </c>
      <c r="D501">
        <f>IF(原始資料!D501="","",IF(反向題設定!$C$7="是",反向題設定!$B$2+1-原始資料!D501,原始資料!D501))</f>
        <v/>
      </c>
      <c r="E501">
        <f>IF(原始資料!E501="","",IF(反向題設定!$C$8="是",反向題設定!$B$2+1-原始資料!E501,原始資料!E501))</f>
        <v/>
      </c>
      <c r="F501">
        <f>IF(原始資料!F501="","",IF(反向題設定!$C$9="是",反向題設定!$B$2+1-原始資料!F501,原始資料!F501))</f>
        <v/>
      </c>
      <c r="G501">
        <f>IF(原始資料!G501="","",IF(反向題設定!$C$10="是",反向題設定!$B$2+1-原始資料!G501,原始資料!G501))</f>
        <v/>
      </c>
      <c r="H501">
        <f>IF(原始資料!H501="","",IF(反向題設定!$C$11="是",反向題設定!$B$2+1-原始資料!H501,原始資料!H501))</f>
        <v/>
      </c>
      <c r="I501">
        <f>IF(原始資料!I501="","",IF(反向題設定!$C$12="是",反向題設定!$B$2+1-原始資料!I501,原始資料!I501))</f>
        <v/>
      </c>
      <c r="J501">
        <f>IF(原始資料!J501="","",IF(反向題設定!$C$13="是",反向題設定!$B$2+1-原始資料!J501,原始資料!J501))</f>
        <v/>
      </c>
      <c r="K501">
        <f>IF(原始資料!K501="","",IF(反向題設定!$C$14="是",反向題設定!$B$2+1-原始資料!K501,原始資料!K501))</f>
        <v/>
      </c>
      <c r="L501">
        <f>IF(原始資料!L501="","",IF(反向題設定!$C$15="是",反向題設定!$B$2+1-原始資料!L501,原始資料!L501))</f>
        <v/>
      </c>
      <c r="M501">
        <f>IF(原始資料!M501="","",IF(反向題設定!$C$16="是",反向題設定!$B$2+1-原始資料!M501,原始資料!M501))</f>
        <v/>
      </c>
      <c r="N501">
        <f>IF(原始資料!N501="","",IF(反向題設定!$C$17="是",反向題設定!$B$2+1-原始資料!N501,原始資料!N501))</f>
        <v/>
      </c>
      <c r="O501">
        <f>IF(原始資料!O501="","",IF(反向題設定!$C$18="是",反向題設定!$B$2+1-原始資料!O501,原始資料!O501))</f>
        <v/>
      </c>
      <c r="P501">
        <f>IF(原始資料!P501="","",IF(反向題設定!$C$19="是",反向題設定!$B$2+1-原始資料!P501,原始資料!P501))</f>
        <v/>
      </c>
      <c r="Q501">
        <f>IF(原始資料!Q501="","",IF(反向題設定!$C$20="是",反向題設定!$B$2+1-原始資料!Q501,原始資料!Q501))</f>
        <v/>
      </c>
      <c r="R501">
        <f>IF(原始資料!R501="","",IF(反向題設定!$C$21="是",反向題設定!$B$2+1-原始資料!R501,原始資料!R501))</f>
        <v/>
      </c>
      <c r="S501">
        <f>IF(原始資料!S501="","",IF(反向題設定!$C$22="是",反向題設定!$B$2+1-原始資料!S501,原始資料!S501))</f>
        <v/>
      </c>
      <c r="T501">
        <f>IF(原始資料!T501="","",IF(反向題設定!$C$23="是",反向題設定!$B$2+1-原始資料!T501,原始資料!T501))</f>
        <v/>
      </c>
      <c r="U501">
        <f>IF(原始資料!U501="","",IF(反向題設定!$C$24="是",反向題設定!$B$2+1-原始資料!U501,原始資料!U501))</f>
        <v/>
      </c>
      <c r="V501">
        <f>IF(原始資料!V501="","",IF(反向題設定!$C$25="是",反向題設定!$B$2+1-原始資料!V501,原始資料!V501))</f>
        <v/>
      </c>
      <c r="W501">
        <f>IF(原始資料!W501="","",IF(反向題設定!$C$26="是",反向題設定!$B$2+1-原始資料!W501,原始資料!W501))</f>
        <v/>
      </c>
      <c r="X501">
        <f>IF(原始資料!X501="","",IF(反向題設定!$C$27="是",反向題設定!$B$2+1-原始資料!X501,原始資料!X501))</f>
        <v/>
      </c>
      <c r="Y501">
        <f>IF(原始資料!Y501="","",IF(反向題設定!$C$28="是",反向題設定!$B$2+1-原始資料!Y501,原始資料!Y501))</f>
        <v/>
      </c>
      <c r="Z501">
        <f>IF(原始資料!Z501="","",IF(反向題設定!$C$29="是",反向題設定!$B$2+1-原始資料!Z501,原始資料!Z501))</f>
        <v/>
      </c>
      <c r="AA501">
        <f>IF(原始資料!AA501="","",IF(反向題設定!$C$30="是",反向題設定!$B$2+1-原始資料!AA501,原始資料!AA501))</f>
        <v/>
      </c>
      <c r="AB501">
        <f>IF(原始資料!AB501="","",IF(反向題設定!$C$31="是",反向題設定!$B$2+1-原始資料!AB501,原始資料!AB501))</f>
        <v/>
      </c>
      <c r="AC501">
        <f>IF(原始資料!AC501="","",IF(反向題設定!$C$32="是",反向題設定!$B$2+1-原始資料!AC501,原始資料!AC501))</f>
        <v/>
      </c>
      <c r="AD501">
        <f>IF(原始資料!AD501="","",IF(反向題設定!$C$33="是",反向題設定!$B$2+1-原始資料!AD501,原始資料!AD501))</f>
        <v/>
      </c>
      <c r="AE501">
        <f>IF(原始資料!AE501="","",IF(反向題設定!$C$34="是",反向題設定!$B$2+1-原始資料!AE501,原始資料!AE501))</f>
        <v/>
      </c>
      <c r="AF501">
        <f>IF(原始資料!AF501="","",IF(反向題設定!$C$35="是",反向題設定!$B$2+1-原始資料!AF501,原始資料!AF501))</f>
        <v/>
      </c>
      <c r="AG501">
        <f>IF(原始資料!AG501="","",IF(反向題設定!$C$36="是",反向題設定!$B$2+1-原始資料!AG501,原始資料!AG501))</f>
        <v/>
      </c>
      <c r="AH501">
        <f>IF(原始資料!AH501="","",IF(反向題設定!$C$37="是",反向題設定!$B$2+1-原始資料!AH501,原始資料!AH501))</f>
        <v/>
      </c>
      <c r="AI501">
        <f>IF(原始資料!AI501="","",IF(反向題設定!$C$38="是",反向題設定!$B$2+1-原始資料!AI501,原始資料!AI501))</f>
        <v/>
      </c>
      <c r="AJ501">
        <f>IF(原始資料!AJ501="","",IF(反向題設定!$C$39="是",反向題設定!$B$2+1-原始資料!AJ501,原始資料!AJ501))</f>
        <v/>
      </c>
      <c r="AK501">
        <f>IF(原始資料!AK501="","",IF(反向題設定!$C$40="是",反向題設定!$B$2+1-原始資料!AK501,原始資料!AK501))</f>
        <v/>
      </c>
      <c r="AL501">
        <f>IF(原始資料!AL501="","",IF(反向題設定!$C$41="是",反向題設定!$B$2+1-原始資料!AL501,原始資料!AL501))</f>
        <v/>
      </c>
      <c r="AM501">
        <f>IF(原始資料!AM501="","",IF(反向題設定!$C$42="是",反向題設定!$B$2+1-原始資料!AM501,原始資料!AM501))</f>
        <v/>
      </c>
      <c r="AN501">
        <f>IF(原始資料!AN501="","",IF(反向題設定!$C$43="是",反向題設定!$B$2+1-原始資料!AN501,原始資料!AN501))</f>
        <v/>
      </c>
      <c r="AO501">
        <f>IF(原始資料!AO501="","",IF(反向題設定!$C$44="是",反向題設定!$B$2+1-原始資料!AO501,原始資料!AO501))</f>
        <v/>
      </c>
      <c r="AP501">
        <f>IF(COUNT(B501:AO501)=0,"",SUM(B501:AO501))</f>
        <v/>
      </c>
      <c r="AQ501">
        <f>IF(AP501="","",IF(AP501&gt;=項目分析!$C$5,"高",IF(AP501&lt;=項目分析!$C$6,"低","")))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>
      <c r="A1" s="22" t="inlineStr">
        <is>
          <t>編號</t>
        </is>
      </c>
      <c r="B1" s="22">
        <f>IF(計分!B1="","","總分－"&amp;計分!B1)</f>
        <v/>
      </c>
      <c r="C1" s="22">
        <f>IF(計分!C1="","","總分－"&amp;計分!C1)</f>
        <v/>
      </c>
      <c r="D1" s="22">
        <f>IF(計分!D1="","","總分－"&amp;計分!D1)</f>
        <v/>
      </c>
      <c r="E1" s="22">
        <f>IF(計分!E1="","","總分－"&amp;計分!E1)</f>
        <v/>
      </c>
      <c r="F1" s="22">
        <f>IF(計分!F1="","","總分－"&amp;計分!F1)</f>
        <v/>
      </c>
      <c r="G1" s="22">
        <f>IF(計分!G1="","","總分－"&amp;計分!G1)</f>
        <v/>
      </c>
      <c r="H1" s="22">
        <f>IF(計分!H1="","","總分－"&amp;計分!H1)</f>
        <v/>
      </c>
      <c r="I1" s="22">
        <f>IF(計分!I1="","","總分－"&amp;計分!I1)</f>
        <v/>
      </c>
      <c r="J1" s="22">
        <f>IF(計分!J1="","","總分－"&amp;計分!J1)</f>
        <v/>
      </c>
      <c r="K1" s="22">
        <f>IF(計分!K1="","","總分－"&amp;計分!K1)</f>
        <v/>
      </c>
      <c r="L1" s="22">
        <f>IF(計分!L1="","","總分－"&amp;計分!L1)</f>
        <v/>
      </c>
      <c r="M1" s="22">
        <f>IF(計分!M1="","","總分－"&amp;計分!M1)</f>
        <v/>
      </c>
      <c r="N1" s="22">
        <f>IF(計分!N1="","","總分－"&amp;計分!N1)</f>
        <v/>
      </c>
      <c r="O1" s="22">
        <f>IF(計分!O1="","","總分－"&amp;計分!O1)</f>
        <v/>
      </c>
      <c r="P1" s="22">
        <f>IF(計分!P1="","","總分－"&amp;計分!P1)</f>
        <v/>
      </c>
      <c r="Q1" s="22">
        <f>IF(計分!Q1="","","總分－"&amp;計分!Q1)</f>
        <v/>
      </c>
      <c r="R1" s="22">
        <f>IF(計分!R1="","","總分－"&amp;計分!R1)</f>
        <v/>
      </c>
      <c r="S1" s="22">
        <f>IF(計分!S1="","","總分－"&amp;計分!S1)</f>
        <v/>
      </c>
      <c r="T1" s="22">
        <f>IF(計分!T1="","","總分－"&amp;計分!T1)</f>
        <v/>
      </c>
      <c r="U1" s="22">
        <f>IF(計分!U1="","","總分－"&amp;計分!U1)</f>
        <v/>
      </c>
      <c r="V1" s="22">
        <f>IF(計分!V1="","","總分－"&amp;計分!V1)</f>
        <v/>
      </c>
      <c r="W1" s="22">
        <f>IF(計分!W1="","","總分－"&amp;計分!W1)</f>
        <v/>
      </c>
      <c r="X1" s="22">
        <f>IF(計分!X1="","","總分－"&amp;計分!X1)</f>
        <v/>
      </c>
      <c r="Y1" s="22">
        <f>IF(計分!Y1="","","總分－"&amp;計分!Y1)</f>
        <v/>
      </c>
      <c r="Z1" s="22">
        <f>IF(計分!Z1="","","總分－"&amp;計分!Z1)</f>
        <v/>
      </c>
      <c r="AA1" s="22">
        <f>IF(計分!AA1="","","總分－"&amp;計分!AA1)</f>
        <v/>
      </c>
      <c r="AB1" s="22">
        <f>IF(計分!AB1="","","總分－"&amp;計分!AB1)</f>
        <v/>
      </c>
      <c r="AC1" s="22">
        <f>IF(計分!AC1="","","總分－"&amp;計分!AC1)</f>
        <v/>
      </c>
      <c r="AD1" s="22">
        <f>IF(計分!AD1="","","總分－"&amp;計分!AD1)</f>
        <v/>
      </c>
      <c r="AE1" s="22">
        <f>IF(計分!AE1="","","總分－"&amp;計分!AE1)</f>
        <v/>
      </c>
      <c r="AF1" s="22">
        <f>IF(計分!AF1="","","總分－"&amp;計分!AF1)</f>
        <v/>
      </c>
      <c r="AG1" s="22">
        <f>IF(計分!AG1="","","總分－"&amp;計分!AG1)</f>
        <v/>
      </c>
      <c r="AH1" s="22">
        <f>IF(計分!AH1="","","總分－"&amp;計分!AH1)</f>
        <v/>
      </c>
      <c r="AI1" s="22">
        <f>IF(計分!AI1="","","總分－"&amp;計分!AI1)</f>
        <v/>
      </c>
      <c r="AJ1" s="22">
        <f>IF(計分!AJ1="","","總分－"&amp;計分!AJ1)</f>
        <v/>
      </c>
      <c r="AK1" s="22">
        <f>IF(計分!AK1="","","總分－"&amp;計分!AK1)</f>
        <v/>
      </c>
      <c r="AL1" s="22">
        <f>IF(計分!AL1="","","總分－"&amp;計分!AL1)</f>
        <v/>
      </c>
      <c r="AM1" s="22">
        <f>IF(計分!AM1="","","總分－"&amp;計分!AM1)</f>
        <v/>
      </c>
      <c r="AN1" s="22">
        <f>IF(計分!AN1="","","總分－"&amp;計分!AN1)</f>
        <v/>
      </c>
      <c r="AO1" s="22">
        <f>IF(計分!AO1="","","總分－"&amp;計分!AO1)</f>
        <v/>
      </c>
    </row>
    <row r="2">
      <c r="A2">
        <f>計分!A2</f>
        <v/>
      </c>
      <c r="B2">
        <f>IF(OR(計分!B2="",計分!$AP2=""),"",計分!$AP2-計分!B2)</f>
        <v/>
      </c>
      <c r="C2">
        <f>IF(OR(計分!C2="",計分!$AP2=""),"",計分!$AP2-計分!C2)</f>
        <v/>
      </c>
      <c r="D2">
        <f>IF(OR(計分!D2="",計分!$AP2=""),"",計分!$AP2-計分!D2)</f>
        <v/>
      </c>
      <c r="E2">
        <f>IF(OR(計分!E2="",計分!$AP2=""),"",計分!$AP2-計分!E2)</f>
        <v/>
      </c>
      <c r="F2">
        <f>IF(OR(計分!F2="",計分!$AP2=""),"",計分!$AP2-計分!F2)</f>
        <v/>
      </c>
      <c r="G2">
        <f>IF(OR(計分!G2="",計分!$AP2=""),"",計分!$AP2-計分!G2)</f>
        <v/>
      </c>
      <c r="H2">
        <f>IF(OR(計分!H2="",計分!$AP2=""),"",計分!$AP2-計分!H2)</f>
        <v/>
      </c>
      <c r="I2">
        <f>IF(OR(計分!I2="",計分!$AP2=""),"",計分!$AP2-計分!I2)</f>
        <v/>
      </c>
      <c r="J2">
        <f>IF(OR(計分!J2="",計分!$AP2=""),"",計分!$AP2-計分!J2)</f>
        <v/>
      </c>
      <c r="K2">
        <f>IF(OR(計分!K2="",計分!$AP2=""),"",計分!$AP2-計分!K2)</f>
        <v/>
      </c>
      <c r="L2">
        <f>IF(OR(計分!L2="",計分!$AP2=""),"",計分!$AP2-計分!L2)</f>
        <v/>
      </c>
      <c r="M2">
        <f>IF(OR(計分!M2="",計分!$AP2=""),"",計分!$AP2-計分!M2)</f>
        <v/>
      </c>
      <c r="N2">
        <f>IF(OR(計分!N2="",計分!$AP2=""),"",計分!$AP2-計分!N2)</f>
        <v/>
      </c>
      <c r="O2">
        <f>IF(OR(計分!O2="",計分!$AP2=""),"",計分!$AP2-計分!O2)</f>
        <v/>
      </c>
      <c r="P2">
        <f>IF(OR(計分!P2="",計分!$AP2=""),"",計分!$AP2-計分!P2)</f>
        <v/>
      </c>
      <c r="Q2">
        <f>IF(OR(計分!Q2="",計分!$AP2=""),"",計分!$AP2-計分!Q2)</f>
        <v/>
      </c>
      <c r="R2">
        <f>IF(OR(計分!R2="",計分!$AP2=""),"",計分!$AP2-計分!R2)</f>
        <v/>
      </c>
      <c r="S2">
        <f>IF(OR(計分!S2="",計分!$AP2=""),"",計分!$AP2-計分!S2)</f>
        <v/>
      </c>
      <c r="T2">
        <f>IF(OR(計分!T2="",計分!$AP2=""),"",計分!$AP2-計分!T2)</f>
        <v/>
      </c>
      <c r="U2">
        <f>IF(OR(計分!U2="",計分!$AP2=""),"",計分!$AP2-計分!U2)</f>
        <v/>
      </c>
      <c r="V2">
        <f>IF(OR(計分!V2="",計分!$AP2=""),"",計分!$AP2-計分!V2)</f>
        <v/>
      </c>
      <c r="W2">
        <f>IF(OR(計分!W2="",計分!$AP2=""),"",計分!$AP2-計分!W2)</f>
        <v/>
      </c>
      <c r="X2">
        <f>IF(OR(計分!X2="",計分!$AP2=""),"",計分!$AP2-計分!X2)</f>
        <v/>
      </c>
      <c r="Y2">
        <f>IF(OR(計分!Y2="",計分!$AP2=""),"",計分!$AP2-計分!Y2)</f>
        <v/>
      </c>
      <c r="Z2">
        <f>IF(OR(計分!Z2="",計分!$AP2=""),"",計分!$AP2-計分!Z2)</f>
        <v/>
      </c>
      <c r="AA2">
        <f>IF(OR(計分!AA2="",計分!$AP2=""),"",計分!$AP2-計分!AA2)</f>
        <v/>
      </c>
      <c r="AB2">
        <f>IF(OR(計分!AB2="",計分!$AP2=""),"",計分!$AP2-計分!AB2)</f>
        <v/>
      </c>
      <c r="AC2">
        <f>IF(OR(計分!AC2="",計分!$AP2=""),"",計分!$AP2-計分!AC2)</f>
        <v/>
      </c>
      <c r="AD2">
        <f>IF(OR(計分!AD2="",計分!$AP2=""),"",計分!$AP2-計分!AD2)</f>
        <v/>
      </c>
      <c r="AE2">
        <f>IF(OR(計分!AE2="",計分!$AP2=""),"",計分!$AP2-計分!AE2)</f>
        <v/>
      </c>
      <c r="AF2">
        <f>IF(OR(計分!AF2="",計分!$AP2=""),"",計分!$AP2-計分!AF2)</f>
        <v/>
      </c>
      <c r="AG2">
        <f>IF(OR(計分!AG2="",計分!$AP2=""),"",計分!$AP2-計分!AG2)</f>
        <v/>
      </c>
      <c r="AH2">
        <f>IF(OR(計分!AH2="",計分!$AP2=""),"",計分!$AP2-計分!AH2)</f>
        <v/>
      </c>
      <c r="AI2">
        <f>IF(OR(計分!AI2="",計分!$AP2=""),"",計分!$AP2-計分!AI2)</f>
        <v/>
      </c>
      <c r="AJ2">
        <f>IF(OR(計分!AJ2="",計分!$AP2=""),"",計分!$AP2-計分!AJ2)</f>
        <v/>
      </c>
      <c r="AK2">
        <f>IF(OR(計分!AK2="",計分!$AP2=""),"",計分!$AP2-計分!AK2)</f>
        <v/>
      </c>
      <c r="AL2">
        <f>IF(OR(計分!AL2="",計分!$AP2=""),"",計分!$AP2-計分!AL2)</f>
        <v/>
      </c>
      <c r="AM2">
        <f>IF(OR(計分!AM2="",計分!$AP2=""),"",計分!$AP2-計分!AM2)</f>
        <v/>
      </c>
      <c r="AN2">
        <f>IF(OR(計分!AN2="",計分!$AP2=""),"",計分!$AP2-計分!AN2)</f>
        <v/>
      </c>
      <c r="AO2">
        <f>IF(OR(計分!AO2="",計分!$AP2=""),"",計分!$AP2-計分!AO2)</f>
        <v/>
      </c>
    </row>
    <row r="3">
      <c r="A3">
        <f>計分!A3</f>
        <v/>
      </c>
      <c r="B3">
        <f>IF(OR(計分!B3="",計分!$AP3=""),"",計分!$AP3-計分!B3)</f>
        <v/>
      </c>
      <c r="C3">
        <f>IF(OR(計分!C3="",計分!$AP3=""),"",計分!$AP3-計分!C3)</f>
        <v/>
      </c>
      <c r="D3">
        <f>IF(OR(計分!D3="",計分!$AP3=""),"",計分!$AP3-計分!D3)</f>
        <v/>
      </c>
      <c r="E3">
        <f>IF(OR(計分!E3="",計分!$AP3=""),"",計分!$AP3-計分!E3)</f>
        <v/>
      </c>
      <c r="F3">
        <f>IF(OR(計分!F3="",計分!$AP3=""),"",計分!$AP3-計分!F3)</f>
        <v/>
      </c>
      <c r="G3">
        <f>IF(OR(計分!G3="",計分!$AP3=""),"",計分!$AP3-計分!G3)</f>
        <v/>
      </c>
      <c r="H3">
        <f>IF(OR(計分!H3="",計分!$AP3=""),"",計分!$AP3-計分!H3)</f>
        <v/>
      </c>
      <c r="I3">
        <f>IF(OR(計分!I3="",計分!$AP3=""),"",計分!$AP3-計分!I3)</f>
        <v/>
      </c>
      <c r="J3">
        <f>IF(OR(計分!J3="",計分!$AP3=""),"",計分!$AP3-計分!J3)</f>
        <v/>
      </c>
      <c r="K3">
        <f>IF(OR(計分!K3="",計分!$AP3=""),"",計分!$AP3-計分!K3)</f>
        <v/>
      </c>
      <c r="L3">
        <f>IF(OR(計分!L3="",計分!$AP3=""),"",計分!$AP3-計分!L3)</f>
        <v/>
      </c>
      <c r="M3">
        <f>IF(OR(計分!M3="",計分!$AP3=""),"",計分!$AP3-計分!M3)</f>
        <v/>
      </c>
      <c r="N3">
        <f>IF(OR(計分!N3="",計分!$AP3=""),"",計分!$AP3-計分!N3)</f>
        <v/>
      </c>
      <c r="O3">
        <f>IF(OR(計分!O3="",計分!$AP3=""),"",計分!$AP3-計分!O3)</f>
        <v/>
      </c>
      <c r="P3">
        <f>IF(OR(計分!P3="",計分!$AP3=""),"",計分!$AP3-計分!P3)</f>
        <v/>
      </c>
      <c r="Q3">
        <f>IF(OR(計分!Q3="",計分!$AP3=""),"",計分!$AP3-計分!Q3)</f>
        <v/>
      </c>
      <c r="R3">
        <f>IF(OR(計分!R3="",計分!$AP3=""),"",計分!$AP3-計分!R3)</f>
        <v/>
      </c>
      <c r="S3">
        <f>IF(OR(計分!S3="",計分!$AP3=""),"",計分!$AP3-計分!S3)</f>
        <v/>
      </c>
      <c r="T3">
        <f>IF(OR(計分!T3="",計分!$AP3=""),"",計分!$AP3-計分!T3)</f>
        <v/>
      </c>
      <c r="U3">
        <f>IF(OR(計分!U3="",計分!$AP3=""),"",計分!$AP3-計分!U3)</f>
        <v/>
      </c>
      <c r="V3">
        <f>IF(OR(計分!V3="",計分!$AP3=""),"",計分!$AP3-計分!V3)</f>
        <v/>
      </c>
      <c r="W3">
        <f>IF(OR(計分!W3="",計分!$AP3=""),"",計分!$AP3-計分!W3)</f>
        <v/>
      </c>
      <c r="X3">
        <f>IF(OR(計分!X3="",計分!$AP3=""),"",計分!$AP3-計分!X3)</f>
        <v/>
      </c>
      <c r="Y3">
        <f>IF(OR(計分!Y3="",計分!$AP3=""),"",計分!$AP3-計分!Y3)</f>
        <v/>
      </c>
      <c r="Z3">
        <f>IF(OR(計分!Z3="",計分!$AP3=""),"",計分!$AP3-計分!Z3)</f>
        <v/>
      </c>
      <c r="AA3">
        <f>IF(OR(計分!AA3="",計分!$AP3=""),"",計分!$AP3-計分!AA3)</f>
        <v/>
      </c>
      <c r="AB3">
        <f>IF(OR(計分!AB3="",計分!$AP3=""),"",計分!$AP3-計分!AB3)</f>
        <v/>
      </c>
      <c r="AC3">
        <f>IF(OR(計分!AC3="",計分!$AP3=""),"",計分!$AP3-計分!AC3)</f>
        <v/>
      </c>
      <c r="AD3">
        <f>IF(OR(計分!AD3="",計分!$AP3=""),"",計分!$AP3-計分!AD3)</f>
        <v/>
      </c>
      <c r="AE3">
        <f>IF(OR(計分!AE3="",計分!$AP3=""),"",計分!$AP3-計分!AE3)</f>
        <v/>
      </c>
      <c r="AF3">
        <f>IF(OR(計分!AF3="",計分!$AP3=""),"",計分!$AP3-計分!AF3)</f>
        <v/>
      </c>
      <c r="AG3">
        <f>IF(OR(計分!AG3="",計分!$AP3=""),"",計分!$AP3-計分!AG3)</f>
        <v/>
      </c>
      <c r="AH3">
        <f>IF(OR(計分!AH3="",計分!$AP3=""),"",計分!$AP3-計分!AH3)</f>
        <v/>
      </c>
      <c r="AI3">
        <f>IF(OR(計分!AI3="",計分!$AP3=""),"",計分!$AP3-計分!AI3)</f>
        <v/>
      </c>
      <c r="AJ3">
        <f>IF(OR(計分!AJ3="",計分!$AP3=""),"",計分!$AP3-計分!AJ3)</f>
        <v/>
      </c>
      <c r="AK3">
        <f>IF(OR(計分!AK3="",計分!$AP3=""),"",計分!$AP3-計分!AK3)</f>
        <v/>
      </c>
      <c r="AL3">
        <f>IF(OR(計分!AL3="",計分!$AP3=""),"",計分!$AP3-計分!AL3)</f>
        <v/>
      </c>
      <c r="AM3">
        <f>IF(OR(計分!AM3="",計分!$AP3=""),"",計分!$AP3-計分!AM3)</f>
        <v/>
      </c>
      <c r="AN3">
        <f>IF(OR(計分!AN3="",計分!$AP3=""),"",計分!$AP3-計分!AN3)</f>
        <v/>
      </c>
      <c r="AO3">
        <f>IF(OR(計分!AO3="",計分!$AP3=""),"",計分!$AP3-計分!AO3)</f>
        <v/>
      </c>
    </row>
    <row r="4">
      <c r="A4">
        <f>計分!A4</f>
        <v/>
      </c>
      <c r="B4">
        <f>IF(OR(計分!B4="",計分!$AP4=""),"",計分!$AP4-計分!B4)</f>
        <v/>
      </c>
      <c r="C4">
        <f>IF(OR(計分!C4="",計分!$AP4=""),"",計分!$AP4-計分!C4)</f>
        <v/>
      </c>
      <c r="D4">
        <f>IF(OR(計分!D4="",計分!$AP4=""),"",計分!$AP4-計分!D4)</f>
        <v/>
      </c>
      <c r="E4">
        <f>IF(OR(計分!E4="",計分!$AP4=""),"",計分!$AP4-計分!E4)</f>
        <v/>
      </c>
      <c r="F4">
        <f>IF(OR(計分!F4="",計分!$AP4=""),"",計分!$AP4-計分!F4)</f>
        <v/>
      </c>
      <c r="G4">
        <f>IF(OR(計分!G4="",計分!$AP4=""),"",計分!$AP4-計分!G4)</f>
        <v/>
      </c>
      <c r="H4">
        <f>IF(OR(計分!H4="",計分!$AP4=""),"",計分!$AP4-計分!H4)</f>
        <v/>
      </c>
      <c r="I4">
        <f>IF(OR(計分!I4="",計分!$AP4=""),"",計分!$AP4-計分!I4)</f>
        <v/>
      </c>
      <c r="J4">
        <f>IF(OR(計分!J4="",計分!$AP4=""),"",計分!$AP4-計分!J4)</f>
        <v/>
      </c>
      <c r="K4">
        <f>IF(OR(計分!K4="",計分!$AP4=""),"",計分!$AP4-計分!K4)</f>
        <v/>
      </c>
      <c r="L4">
        <f>IF(OR(計分!L4="",計分!$AP4=""),"",計分!$AP4-計分!L4)</f>
        <v/>
      </c>
      <c r="M4">
        <f>IF(OR(計分!M4="",計分!$AP4=""),"",計分!$AP4-計分!M4)</f>
        <v/>
      </c>
      <c r="N4">
        <f>IF(OR(計分!N4="",計分!$AP4=""),"",計分!$AP4-計分!N4)</f>
        <v/>
      </c>
      <c r="O4">
        <f>IF(OR(計分!O4="",計分!$AP4=""),"",計分!$AP4-計分!O4)</f>
        <v/>
      </c>
      <c r="P4">
        <f>IF(OR(計分!P4="",計分!$AP4=""),"",計分!$AP4-計分!P4)</f>
        <v/>
      </c>
      <c r="Q4">
        <f>IF(OR(計分!Q4="",計分!$AP4=""),"",計分!$AP4-計分!Q4)</f>
        <v/>
      </c>
      <c r="R4">
        <f>IF(OR(計分!R4="",計分!$AP4=""),"",計分!$AP4-計分!R4)</f>
        <v/>
      </c>
      <c r="S4">
        <f>IF(OR(計分!S4="",計分!$AP4=""),"",計分!$AP4-計分!S4)</f>
        <v/>
      </c>
      <c r="T4">
        <f>IF(OR(計分!T4="",計分!$AP4=""),"",計分!$AP4-計分!T4)</f>
        <v/>
      </c>
      <c r="U4">
        <f>IF(OR(計分!U4="",計分!$AP4=""),"",計分!$AP4-計分!U4)</f>
        <v/>
      </c>
      <c r="V4">
        <f>IF(OR(計分!V4="",計分!$AP4=""),"",計分!$AP4-計分!V4)</f>
        <v/>
      </c>
      <c r="W4">
        <f>IF(OR(計分!W4="",計分!$AP4=""),"",計分!$AP4-計分!W4)</f>
        <v/>
      </c>
      <c r="X4">
        <f>IF(OR(計分!X4="",計分!$AP4=""),"",計分!$AP4-計分!X4)</f>
        <v/>
      </c>
      <c r="Y4">
        <f>IF(OR(計分!Y4="",計分!$AP4=""),"",計分!$AP4-計分!Y4)</f>
        <v/>
      </c>
      <c r="Z4">
        <f>IF(OR(計分!Z4="",計分!$AP4=""),"",計分!$AP4-計分!Z4)</f>
        <v/>
      </c>
      <c r="AA4">
        <f>IF(OR(計分!AA4="",計分!$AP4=""),"",計分!$AP4-計分!AA4)</f>
        <v/>
      </c>
      <c r="AB4">
        <f>IF(OR(計分!AB4="",計分!$AP4=""),"",計分!$AP4-計分!AB4)</f>
        <v/>
      </c>
      <c r="AC4">
        <f>IF(OR(計分!AC4="",計分!$AP4=""),"",計分!$AP4-計分!AC4)</f>
        <v/>
      </c>
      <c r="AD4">
        <f>IF(OR(計分!AD4="",計分!$AP4=""),"",計分!$AP4-計分!AD4)</f>
        <v/>
      </c>
      <c r="AE4">
        <f>IF(OR(計分!AE4="",計分!$AP4=""),"",計分!$AP4-計分!AE4)</f>
        <v/>
      </c>
      <c r="AF4">
        <f>IF(OR(計分!AF4="",計分!$AP4=""),"",計分!$AP4-計分!AF4)</f>
        <v/>
      </c>
      <c r="AG4">
        <f>IF(OR(計分!AG4="",計分!$AP4=""),"",計分!$AP4-計分!AG4)</f>
        <v/>
      </c>
      <c r="AH4">
        <f>IF(OR(計分!AH4="",計分!$AP4=""),"",計分!$AP4-計分!AH4)</f>
        <v/>
      </c>
      <c r="AI4">
        <f>IF(OR(計分!AI4="",計分!$AP4=""),"",計分!$AP4-計分!AI4)</f>
        <v/>
      </c>
      <c r="AJ4">
        <f>IF(OR(計分!AJ4="",計分!$AP4=""),"",計分!$AP4-計分!AJ4)</f>
        <v/>
      </c>
      <c r="AK4">
        <f>IF(OR(計分!AK4="",計分!$AP4=""),"",計分!$AP4-計分!AK4)</f>
        <v/>
      </c>
      <c r="AL4">
        <f>IF(OR(計分!AL4="",計分!$AP4=""),"",計分!$AP4-計分!AL4)</f>
        <v/>
      </c>
      <c r="AM4">
        <f>IF(OR(計分!AM4="",計分!$AP4=""),"",計分!$AP4-計分!AM4)</f>
        <v/>
      </c>
      <c r="AN4">
        <f>IF(OR(計分!AN4="",計分!$AP4=""),"",計分!$AP4-計分!AN4)</f>
        <v/>
      </c>
      <c r="AO4">
        <f>IF(OR(計分!AO4="",計分!$AP4=""),"",計分!$AP4-計分!AO4)</f>
        <v/>
      </c>
    </row>
    <row r="5">
      <c r="A5">
        <f>計分!A5</f>
        <v/>
      </c>
      <c r="B5">
        <f>IF(OR(計分!B5="",計分!$AP5=""),"",計分!$AP5-計分!B5)</f>
        <v/>
      </c>
      <c r="C5">
        <f>IF(OR(計分!C5="",計分!$AP5=""),"",計分!$AP5-計分!C5)</f>
        <v/>
      </c>
      <c r="D5">
        <f>IF(OR(計分!D5="",計分!$AP5=""),"",計分!$AP5-計分!D5)</f>
        <v/>
      </c>
      <c r="E5">
        <f>IF(OR(計分!E5="",計分!$AP5=""),"",計分!$AP5-計分!E5)</f>
        <v/>
      </c>
      <c r="F5">
        <f>IF(OR(計分!F5="",計分!$AP5=""),"",計分!$AP5-計分!F5)</f>
        <v/>
      </c>
      <c r="G5">
        <f>IF(OR(計分!G5="",計分!$AP5=""),"",計分!$AP5-計分!G5)</f>
        <v/>
      </c>
      <c r="H5">
        <f>IF(OR(計分!H5="",計分!$AP5=""),"",計分!$AP5-計分!H5)</f>
        <v/>
      </c>
      <c r="I5">
        <f>IF(OR(計分!I5="",計分!$AP5=""),"",計分!$AP5-計分!I5)</f>
        <v/>
      </c>
      <c r="J5">
        <f>IF(OR(計分!J5="",計分!$AP5=""),"",計分!$AP5-計分!J5)</f>
        <v/>
      </c>
      <c r="K5">
        <f>IF(OR(計分!K5="",計分!$AP5=""),"",計分!$AP5-計分!K5)</f>
        <v/>
      </c>
      <c r="L5">
        <f>IF(OR(計分!L5="",計分!$AP5=""),"",計分!$AP5-計分!L5)</f>
        <v/>
      </c>
      <c r="M5">
        <f>IF(OR(計分!M5="",計分!$AP5=""),"",計分!$AP5-計分!M5)</f>
        <v/>
      </c>
      <c r="N5">
        <f>IF(OR(計分!N5="",計分!$AP5=""),"",計分!$AP5-計分!N5)</f>
        <v/>
      </c>
      <c r="O5">
        <f>IF(OR(計分!O5="",計分!$AP5=""),"",計分!$AP5-計分!O5)</f>
        <v/>
      </c>
      <c r="P5">
        <f>IF(OR(計分!P5="",計分!$AP5=""),"",計分!$AP5-計分!P5)</f>
        <v/>
      </c>
      <c r="Q5">
        <f>IF(OR(計分!Q5="",計分!$AP5=""),"",計分!$AP5-計分!Q5)</f>
        <v/>
      </c>
      <c r="R5">
        <f>IF(OR(計分!R5="",計分!$AP5=""),"",計分!$AP5-計分!R5)</f>
        <v/>
      </c>
      <c r="S5">
        <f>IF(OR(計分!S5="",計分!$AP5=""),"",計分!$AP5-計分!S5)</f>
        <v/>
      </c>
      <c r="T5">
        <f>IF(OR(計分!T5="",計分!$AP5=""),"",計分!$AP5-計分!T5)</f>
        <v/>
      </c>
      <c r="U5">
        <f>IF(OR(計分!U5="",計分!$AP5=""),"",計分!$AP5-計分!U5)</f>
        <v/>
      </c>
      <c r="V5">
        <f>IF(OR(計分!V5="",計分!$AP5=""),"",計分!$AP5-計分!V5)</f>
        <v/>
      </c>
      <c r="W5">
        <f>IF(OR(計分!W5="",計分!$AP5=""),"",計分!$AP5-計分!W5)</f>
        <v/>
      </c>
      <c r="X5">
        <f>IF(OR(計分!X5="",計分!$AP5=""),"",計分!$AP5-計分!X5)</f>
        <v/>
      </c>
      <c r="Y5">
        <f>IF(OR(計分!Y5="",計分!$AP5=""),"",計分!$AP5-計分!Y5)</f>
        <v/>
      </c>
      <c r="Z5">
        <f>IF(OR(計分!Z5="",計分!$AP5=""),"",計分!$AP5-計分!Z5)</f>
        <v/>
      </c>
      <c r="AA5">
        <f>IF(OR(計分!AA5="",計分!$AP5=""),"",計分!$AP5-計分!AA5)</f>
        <v/>
      </c>
      <c r="AB5">
        <f>IF(OR(計分!AB5="",計分!$AP5=""),"",計分!$AP5-計分!AB5)</f>
        <v/>
      </c>
      <c r="AC5">
        <f>IF(OR(計分!AC5="",計分!$AP5=""),"",計分!$AP5-計分!AC5)</f>
        <v/>
      </c>
      <c r="AD5">
        <f>IF(OR(計分!AD5="",計分!$AP5=""),"",計分!$AP5-計分!AD5)</f>
        <v/>
      </c>
      <c r="AE5">
        <f>IF(OR(計分!AE5="",計分!$AP5=""),"",計分!$AP5-計分!AE5)</f>
        <v/>
      </c>
      <c r="AF5">
        <f>IF(OR(計分!AF5="",計分!$AP5=""),"",計分!$AP5-計分!AF5)</f>
        <v/>
      </c>
      <c r="AG5">
        <f>IF(OR(計分!AG5="",計分!$AP5=""),"",計分!$AP5-計分!AG5)</f>
        <v/>
      </c>
      <c r="AH5">
        <f>IF(OR(計分!AH5="",計分!$AP5=""),"",計分!$AP5-計分!AH5)</f>
        <v/>
      </c>
      <c r="AI5">
        <f>IF(OR(計分!AI5="",計分!$AP5=""),"",計分!$AP5-計分!AI5)</f>
        <v/>
      </c>
      <c r="AJ5">
        <f>IF(OR(計分!AJ5="",計分!$AP5=""),"",計分!$AP5-計分!AJ5)</f>
        <v/>
      </c>
      <c r="AK5">
        <f>IF(OR(計分!AK5="",計分!$AP5=""),"",計分!$AP5-計分!AK5)</f>
        <v/>
      </c>
      <c r="AL5">
        <f>IF(OR(計分!AL5="",計分!$AP5=""),"",計分!$AP5-計分!AL5)</f>
        <v/>
      </c>
      <c r="AM5">
        <f>IF(OR(計分!AM5="",計分!$AP5=""),"",計分!$AP5-計分!AM5)</f>
        <v/>
      </c>
      <c r="AN5">
        <f>IF(OR(計分!AN5="",計分!$AP5=""),"",計分!$AP5-計分!AN5)</f>
        <v/>
      </c>
      <c r="AO5">
        <f>IF(OR(計分!AO5="",計分!$AP5=""),"",計分!$AP5-計分!AO5)</f>
        <v/>
      </c>
    </row>
    <row r="6">
      <c r="A6">
        <f>計分!A6</f>
        <v/>
      </c>
      <c r="B6">
        <f>IF(OR(計分!B6="",計分!$AP6=""),"",計分!$AP6-計分!B6)</f>
        <v/>
      </c>
      <c r="C6">
        <f>IF(OR(計分!C6="",計分!$AP6=""),"",計分!$AP6-計分!C6)</f>
        <v/>
      </c>
      <c r="D6">
        <f>IF(OR(計分!D6="",計分!$AP6=""),"",計分!$AP6-計分!D6)</f>
        <v/>
      </c>
      <c r="E6">
        <f>IF(OR(計分!E6="",計分!$AP6=""),"",計分!$AP6-計分!E6)</f>
        <v/>
      </c>
      <c r="F6">
        <f>IF(OR(計分!F6="",計分!$AP6=""),"",計分!$AP6-計分!F6)</f>
        <v/>
      </c>
      <c r="G6">
        <f>IF(OR(計分!G6="",計分!$AP6=""),"",計分!$AP6-計分!G6)</f>
        <v/>
      </c>
      <c r="H6">
        <f>IF(OR(計分!H6="",計分!$AP6=""),"",計分!$AP6-計分!H6)</f>
        <v/>
      </c>
      <c r="I6">
        <f>IF(OR(計分!I6="",計分!$AP6=""),"",計分!$AP6-計分!I6)</f>
        <v/>
      </c>
      <c r="J6">
        <f>IF(OR(計分!J6="",計分!$AP6=""),"",計分!$AP6-計分!J6)</f>
        <v/>
      </c>
      <c r="K6">
        <f>IF(OR(計分!K6="",計分!$AP6=""),"",計分!$AP6-計分!K6)</f>
        <v/>
      </c>
      <c r="L6">
        <f>IF(OR(計分!L6="",計分!$AP6=""),"",計分!$AP6-計分!L6)</f>
        <v/>
      </c>
      <c r="M6">
        <f>IF(OR(計分!M6="",計分!$AP6=""),"",計分!$AP6-計分!M6)</f>
        <v/>
      </c>
      <c r="N6">
        <f>IF(OR(計分!N6="",計分!$AP6=""),"",計分!$AP6-計分!N6)</f>
        <v/>
      </c>
      <c r="O6">
        <f>IF(OR(計分!O6="",計分!$AP6=""),"",計分!$AP6-計分!O6)</f>
        <v/>
      </c>
      <c r="P6">
        <f>IF(OR(計分!P6="",計分!$AP6=""),"",計分!$AP6-計分!P6)</f>
        <v/>
      </c>
      <c r="Q6">
        <f>IF(OR(計分!Q6="",計分!$AP6=""),"",計分!$AP6-計分!Q6)</f>
        <v/>
      </c>
      <c r="R6">
        <f>IF(OR(計分!R6="",計分!$AP6=""),"",計分!$AP6-計分!R6)</f>
        <v/>
      </c>
      <c r="S6">
        <f>IF(OR(計分!S6="",計分!$AP6=""),"",計分!$AP6-計分!S6)</f>
        <v/>
      </c>
      <c r="T6">
        <f>IF(OR(計分!T6="",計分!$AP6=""),"",計分!$AP6-計分!T6)</f>
        <v/>
      </c>
      <c r="U6">
        <f>IF(OR(計分!U6="",計分!$AP6=""),"",計分!$AP6-計分!U6)</f>
        <v/>
      </c>
      <c r="V6">
        <f>IF(OR(計分!V6="",計分!$AP6=""),"",計分!$AP6-計分!V6)</f>
        <v/>
      </c>
      <c r="W6">
        <f>IF(OR(計分!W6="",計分!$AP6=""),"",計分!$AP6-計分!W6)</f>
        <v/>
      </c>
      <c r="X6">
        <f>IF(OR(計分!X6="",計分!$AP6=""),"",計分!$AP6-計分!X6)</f>
        <v/>
      </c>
      <c r="Y6">
        <f>IF(OR(計分!Y6="",計分!$AP6=""),"",計分!$AP6-計分!Y6)</f>
        <v/>
      </c>
      <c r="Z6">
        <f>IF(OR(計分!Z6="",計分!$AP6=""),"",計分!$AP6-計分!Z6)</f>
        <v/>
      </c>
      <c r="AA6">
        <f>IF(OR(計分!AA6="",計分!$AP6=""),"",計分!$AP6-計分!AA6)</f>
        <v/>
      </c>
      <c r="AB6">
        <f>IF(OR(計分!AB6="",計分!$AP6=""),"",計分!$AP6-計分!AB6)</f>
        <v/>
      </c>
      <c r="AC6">
        <f>IF(OR(計分!AC6="",計分!$AP6=""),"",計分!$AP6-計分!AC6)</f>
        <v/>
      </c>
      <c r="AD6">
        <f>IF(OR(計分!AD6="",計分!$AP6=""),"",計分!$AP6-計分!AD6)</f>
        <v/>
      </c>
      <c r="AE6">
        <f>IF(OR(計分!AE6="",計分!$AP6=""),"",計分!$AP6-計分!AE6)</f>
        <v/>
      </c>
      <c r="AF6">
        <f>IF(OR(計分!AF6="",計分!$AP6=""),"",計分!$AP6-計分!AF6)</f>
        <v/>
      </c>
      <c r="AG6">
        <f>IF(OR(計分!AG6="",計分!$AP6=""),"",計分!$AP6-計分!AG6)</f>
        <v/>
      </c>
      <c r="AH6">
        <f>IF(OR(計分!AH6="",計分!$AP6=""),"",計分!$AP6-計分!AH6)</f>
        <v/>
      </c>
      <c r="AI6">
        <f>IF(OR(計分!AI6="",計分!$AP6=""),"",計分!$AP6-計分!AI6)</f>
        <v/>
      </c>
      <c r="AJ6">
        <f>IF(OR(計分!AJ6="",計分!$AP6=""),"",計分!$AP6-計分!AJ6)</f>
        <v/>
      </c>
      <c r="AK6">
        <f>IF(OR(計分!AK6="",計分!$AP6=""),"",計分!$AP6-計分!AK6)</f>
        <v/>
      </c>
      <c r="AL6">
        <f>IF(OR(計分!AL6="",計分!$AP6=""),"",計分!$AP6-計分!AL6)</f>
        <v/>
      </c>
      <c r="AM6">
        <f>IF(OR(計分!AM6="",計分!$AP6=""),"",計分!$AP6-計分!AM6)</f>
        <v/>
      </c>
      <c r="AN6">
        <f>IF(OR(計分!AN6="",計分!$AP6=""),"",計分!$AP6-計分!AN6)</f>
        <v/>
      </c>
      <c r="AO6">
        <f>IF(OR(計分!AO6="",計分!$AP6=""),"",計分!$AP6-計分!AO6)</f>
        <v/>
      </c>
    </row>
    <row r="7">
      <c r="A7">
        <f>計分!A7</f>
        <v/>
      </c>
      <c r="B7">
        <f>IF(OR(計分!B7="",計分!$AP7=""),"",計分!$AP7-計分!B7)</f>
        <v/>
      </c>
      <c r="C7">
        <f>IF(OR(計分!C7="",計分!$AP7=""),"",計分!$AP7-計分!C7)</f>
        <v/>
      </c>
      <c r="D7">
        <f>IF(OR(計分!D7="",計分!$AP7=""),"",計分!$AP7-計分!D7)</f>
        <v/>
      </c>
      <c r="E7">
        <f>IF(OR(計分!E7="",計分!$AP7=""),"",計分!$AP7-計分!E7)</f>
        <v/>
      </c>
      <c r="F7">
        <f>IF(OR(計分!F7="",計分!$AP7=""),"",計分!$AP7-計分!F7)</f>
        <v/>
      </c>
      <c r="G7">
        <f>IF(OR(計分!G7="",計分!$AP7=""),"",計分!$AP7-計分!G7)</f>
        <v/>
      </c>
      <c r="H7">
        <f>IF(OR(計分!H7="",計分!$AP7=""),"",計分!$AP7-計分!H7)</f>
        <v/>
      </c>
      <c r="I7">
        <f>IF(OR(計分!I7="",計分!$AP7=""),"",計分!$AP7-計分!I7)</f>
        <v/>
      </c>
      <c r="J7">
        <f>IF(OR(計分!J7="",計分!$AP7=""),"",計分!$AP7-計分!J7)</f>
        <v/>
      </c>
      <c r="K7">
        <f>IF(OR(計分!K7="",計分!$AP7=""),"",計分!$AP7-計分!K7)</f>
        <v/>
      </c>
      <c r="L7">
        <f>IF(OR(計分!L7="",計分!$AP7=""),"",計分!$AP7-計分!L7)</f>
        <v/>
      </c>
      <c r="M7">
        <f>IF(OR(計分!M7="",計分!$AP7=""),"",計分!$AP7-計分!M7)</f>
        <v/>
      </c>
      <c r="N7">
        <f>IF(OR(計分!N7="",計分!$AP7=""),"",計分!$AP7-計分!N7)</f>
        <v/>
      </c>
      <c r="O7">
        <f>IF(OR(計分!O7="",計分!$AP7=""),"",計分!$AP7-計分!O7)</f>
        <v/>
      </c>
      <c r="P7">
        <f>IF(OR(計分!P7="",計分!$AP7=""),"",計分!$AP7-計分!P7)</f>
        <v/>
      </c>
      <c r="Q7">
        <f>IF(OR(計分!Q7="",計分!$AP7=""),"",計分!$AP7-計分!Q7)</f>
        <v/>
      </c>
      <c r="R7">
        <f>IF(OR(計分!R7="",計分!$AP7=""),"",計分!$AP7-計分!R7)</f>
        <v/>
      </c>
      <c r="S7">
        <f>IF(OR(計分!S7="",計分!$AP7=""),"",計分!$AP7-計分!S7)</f>
        <v/>
      </c>
      <c r="T7">
        <f>IF(OR(計分!T7="",計分!$AP7=""),"",計分!$AP7-計分!T7)</f>
        <v/>
      </c>
      <c r="U7">
        <f>IF(OR(計分!U7="",計分!$AP7=""),"",計分!$AP7-計分!U7)</f>
        <v/>
      </c>
      <c r="V7">
        <f>IF(OR(計分!V7="",計分!$AP7=""),"",計分!$AP7-計分!V7)</f>
        <v/>
      </c>
      <c r="W7">
        <f>IF(OR(計分!W7="",計分!$AP7=""),"",計分!$AP7-計分!W7)</f>
        <v/>
      </c>
      <c r="X7">
        <f>IF(OR(計分!X7="",計分!$AP7=""),"",計分!$AP7-計分!X7)</f>
        <v/>
      </c>
      <c r="Y7">
        <f>IF(OR(計分!Y7="",計分!$AP7=""),"",計分!$AP7-計分!Y7)</f>
        <v/>
      </c>
      <c r="Z7">
        <f>IF(OR(計分!Z7="",計分!$AP7=""),"",計分!$AP7-計分!Z7)</f>
        <v/>
      </c>
      <c r="AA7">
        <f>IF(OR(計分!AA7="",計分!$AP7=""),"",計分!$AP7-計分!AA7)</f>
        <v/>
      </c>
      <c r="AB7">
        <f>IF(OR(計分!AB7="",計分!$AP7=""),"",計分!$AP7-計分!AB7)</f>
        <v/>
      </c>
      <c r="AC7">
        <f>IF(OR(計分!AC7="",計分!$AP7=""),"",計分!$AP7-計分!AC7)</f>
        <v/>
      </c>
      <c r="AD7">
        <f>IF(OR(計分!AD7="",計分!$AP7=""),"",計分!$AP7-計分!AD7)</f>
        <v/>
      </c>
      <c r="AE7">
        <f>IF(OR(計分!AE7="",計分!$AP7=""),"",計分!$AP7-計分!AE7)</f>
        <v/>
      </c>
      <c r="AF7">
        <f>IF(OR(計分!AF7="",計分!$AP7=""),"",計分!$AP7-計分!AF7)</f>
        <v/>
      </c>
      <c r="AG7">
        <f>IF(OR(計分!AG7="",計分!$AP7=""),"",計分!$AP7-計分!AG7)</f>
        <v/>
      </c>
      <c r="AH7">
        <f>IF(OR(計分!AH7="",計分!$AP7=""),"",計分!$AP7-計分!AH7)</f>
        <v/>
      </c>
      <c r="AI7">
        <f>IF(OR(計分!AI7="",計分!$AP7=""),"",計分!$AP7-計分!AI7)</f>
        <v/>
      </c>
      <c r="AJ7">
        <f>IF(OR(計分!AJ7="",計分!$AP7=""),"",計分!$AP7-計分!AJ7)</f>
        <v/>
      </c>
      <c r="AK7">
        <f>IF(OR(計分!AK7="",計分!$AP7=""),"",計分!$AP7-計分!AK7)</f>
        <v/>
      </c>
      <c r="AL7">
        <f>IF(OR(計分!AL7="",計分!$AP7=""),"",計分!$AP7-計分!AL7)</f>
        <v/>
      </c>
      <c r="AM7">
        <f>IF(OR(計分!AM7="",計分!$AP7=""),"",計分!$AP7-計分!AM7)</f>
        <v/>
      </c>
      <c r="AN7">
        <f>IF(OR(計分!AN7="",計分!$AP7=""),"",計分!$AP7-計分!AN7)</f>
        <v/>
      </c>
      <c r="AO7">
        <f>IF(OR(計分!AO7="",計分!$AP7=""),"",計分!$AP7-計分!AO7)</f>
        <v/>
      </c>
    </row>
    <row r="8">
      <c r="A8">
        <f>計分!A8</f>
        <v/>
      </c>
      <c r="B8">
        <f>IF(OR(計分!B8="",計分!$AP8=""),"",計分!$AP8-計分!B8)</f>
        <v/>
      </c>
      <c r="C8">
        <f>IF(OR(計分!C8="",計分!$AP8=""),"",計分!$AP8-計分!C8)</f>
        <v/>
      </c>
      <c r="D8">
        <f>IF(OR(計分!D8="",計分!$AP8=""),"",計分!$AP8-計分!D8)</f>
        <v/>
      </c>
      <c r="E8">
        <f>IF(OR(計分!E8="",計分!$AP8=""),"",計分!$AP8-計分!E8)</f>
        <v/>
      </c>
      <c r="F8">
        <f>IF(OR(計分!F8="",計分!$AP8=""),"",計分!$AP8-計分!F8)</f>
        <v/>
      </c>
      <c r="G8">
        <f>IF(OR(計分!G8="",計分!$AP8=""),"",計分!$AP8-計分!G8)</f>
        <v/>
      </c>
      <c r="H8">
        <f>IF(OR(計分!H8="",計分!$AP8=""),"",計分!$AP8-計分!H8)</f>
        <v/>
      </c>
      <c r="I8">
        <f>IF(OR(計分!I8="",計分!$AP8=""),"",計分!$AP8-計分!I8)</f>
        <v/>
      </c>
      <c r="J8">
        <f>IF(OR(計分!J8="",計分!$AP8=""),"",計分!$AP8-計分!J8)</f>
        <v/>
      </c>
      <c r="K8">
        <f>IF(OR(計分!K8="",計分!$AP8=""),"",計分!$AP8-計分!K8)</f>
        <v/>
      </c>
      <c r="L8">
        <f>IF(OR(計分!L8="",計分!$AP8=""),"",計分!$AP8-計分!L8)</f>
        <v/>
      </c>
      <c r="M8">
        <f>IF(OR(計分!M8="",計分!$AP8=""),"",計分!$AP8-計分!M8)</f>
        <v/>
      </c>
      <c r="N8">
        <f>IF(OR(計分!N8="",計分!$AP8=""),"",計分!$AP8-計分!N8)</f>
        <v/>
      </c>
      <c r="O8">
        <f>IF(OR(計分!O8="",計分!$AP8=""),"",計分!$AP8-計分!O8)</f>
        <v/>
      </c>
      <c r="P8">
        <f>IF(OR(計分!P8="",計分!$AP8=""),"",計分!$AP8-計分!P8)</f>
        <v/>
      </c>
      <c r="Q8">
        <f>IF(OR(計分!Q8="",計分!$AP8=""),"",計分!$AP8-計分!Q8)</f>
        <v/>
      </c>
      <c r="R8">
        <f>IF(OR(計分!R8="",計分!$AP8=""),"",計分!$AP8-計分!R8)</f>
        <v/>
      </c>
      <c r="S8">
        <f>IF(OR(計分!S8="",計分!$AP8=""),"",計分!$AP8-計分!S8)</f>
        <v/>
      </c>
      <c r="T8">
        <f>IF(OR(計分!T8="",計分!$AP8=""),"",計分!$AP8-計分!T8)</f>
        <v/>
      </c>
      <c r="U8">
        <f>IF(OR(計分!U8="",計分!$AP8=""),"",計分!$AP8-計分!U8)</f>
        <v/>
      </c>
      <c r="V8">
        <f>IF(OR(計分!V8="",計分!$AP8=""),"",計分!$AP8-計分!V8)</f>
        <v/>
      </c>
      <c r="W8">
        <f>IF(OR(計分!W8="",計分!$AP8=""),"",計分!$AP8-計分!W8)</f>
        <v/>
      </c>
      <c r="X8">
        <f>IF(OR(計分!X8="",計分!$AP8=""),"",計分!$AP8-計分!X8)</f>
        <v/>
      </c>
      <c r="Y8">
        <f>IF(OR(計分!Y8="",計分!$AP8=""),"",計分!$AP8-計分!Y8)</f>
        <v/>
      </c>
      <c r="Z8">
        <f>IF(OR(計分!Z8="",計分!$AP8=""),"",計分!$AP8-計分!Z8)</f>
        <v/>
      </c>
      <c r="AA8">
        <f>IF(OR(計分!AA8="",計分!$AP8=""),"",計分!$AP8-計分!AA8)</f>
        <v/>
      </c>
      <c r="AB8">
        <f>IF(OR(計分!AB8="",計分!$AP8=""),"",計分!$AP8-計分!AB8)</f>
        <v/>
      </c>
      <c r="AC8">
        <f>IF(OR(計分!AC8="",計分!$AP8=""),"",計分!$AP8-計分!AC8)</f>
        <v/>
      </c>
      <c r="AD8">
        <f>IF(OR(計分!AD8="",計分!$AP8=""),"",計分!$AP8-計分!AD8)</f>
        <v/>
      </c>
      <c r="AE8">
        <f>IF(OR(計分!AE8="",計分!$AP8=""),"",計分!$AP8-計分!AE8)</f>
        <v/>
      </c>
      <c r="AF8">
        <f>IF(OR(計分!AF8="",計分!$AP8=""),"",計分!$AP8-計分!AF8)</f>
        <v/>
      </c>
      <c r="AG8">
        <f>IF(OR(計分!AG8="",計分!$AP8=""),"",計分!$AP8-計分!AG8)</f>
        <v/>
      </c>
      <c r="AH8">
        <f>IF(OR(計分!AH8="",計分!$AP8=""),"",計分!$AP8-計分!AH8)</f>
        <v/>
      </c>
      <c r="AI8">
        <f>IF(OR(計分!AI8="",計分!$AP8=""),"",計分!$AP8-計分!AI8)</f>
        <v/>
      </c>
      <c r="AJ8">
        <f>IF(OR(計分!AJ8="",計分!$AP8=""),"",計分!$AP8-計分!AJ8)</f>
        <v/>
      </c>
      <c r="AK8">
        <f>IF(OR(計分!AK8="",計分!$AP8=""),"",計分!$AP8-計分!AK8)</f>
        <v/>
      </c>
      <c r="AL8">
        <f>IF(OR(計分!AL8="",計分!$AP8=""),"",計分!$AP8-計分!AL8)</f>
        <v/>
      </c>
      <c r="AM8">
        <f>IF(OR(計分!AM8="",計分!$AP8=""),"",計分!$AP8-計分!AM8)</f>
        <v/>
      </c>
      <c r="AN8">
        <f>IF(OR(計分!AN8="",計分!$AP8=""),"",計分!$AP8-計分!AN8)</f>
        <v/>
      </c>
      <c r="AO8">
        <f>IF(OR(計分!AO8="",計分!$AP8=""),"",計分!$AP8-計分!AO8)</f>
        <v/>
      </c>
    </row>
    <row r="9">
      <c r="A9">
        <f>計分!A9</f>
        <v/>
      </c>
      <c r="B9">
        <f>IF(OR(計分!B9="",計分!$AP9=""),"",計分!$AP9-計分!B9)</f>
        <v/>
      </c>
      <c r="C9">
        <f>IF(OR(計分!C9="",計分!$AP9=""),"",計分!$AP9-計分!C9)</f>
        <v/>
      </c>
      <c r="D9">
        <f>IF(OR(計分!D9="",計分!$AP9=""),"",計分!$AP9-計分!D9)</f>
        <v/>
      </c>
      <c r="E9">
        <f>IF(OR(計分!E9="",計分!$AP9=""),"",計分!$AP9-計分!E9)</f>
        <v/>
      </c>
      <c r="F9">
        <f>IF(OR(計分!F9="",計分!$AP9=""),"",計分!$AP9-計分!F9)</f>
        <v/>
      </c>
      <c r="G9">
        <f>IF(OR(計分!G9="",計分!$AP9=""),"",計分!$AP9-計分!G9)</f>
        <v/>
      </c>
      <c r="H9">
        <f>IF(OR(計分!H9="",計分!$AP9=""),"",計分!$AP9-計分!H9)</f>
        <v/>
      </c>
      <c r="I9">
        <f>IF(OR(計分!I9="",計分!$AP9=""),"",計分!$AP9-計分!I9)</f>
        <v/>
      </c>
      <c r="J9">
        <f>IF(OR(計分!J9="",計分!$AP9=""),"",計分!$AP9-計分!J9)</f>
        <v/>
      </c>
      <c r="K9">
        <f>IF(OR(計分!K9="",計分!$AP9=""),"",計分!$AP9-計分!K9)</f>
        <v/>
      </c>
      <c r="L9">
        <f>IF(OR(計分!L9="",計分!$AP9=""),"",計分!$AP9-計分!L9)</f>
        <v/>
      </c>
      <c r="M9">
        <f>IF(OR(計分!M9="",計分!$AP9=""),"",計分!$AP9-計分!M9)</f>
        <v/>
      </c>
      <c r="N9">
        <f>IF(OR(計分!N9="",計分!$AP9=""),"",計分!$AP9-計分!N9)</f>
        <v/>
      </c>
      <c r="O9">
        <f>IF(OR(計分!O9="",計分!$AP9=""),"",計分!$AP9-計分!O9)</f>
        <v/>
      </c>
      <c r="P9">
        <f>IF(OR(計分!P9="",計分!$AP9=""),"",計分!$AP9-計分!P9)</f>
        <v/>
      </c>
      <c r="Q9">
        <f>IF(OR(計分!Q9="",計分!$AP9=""),"",計分!$AP9-計分!Q9)</f>
        <v/>
      </c>
      <c r="R9">
        <f>IF(OR(計分!R9="",計分!$AP9=""),"",計分!$AP9-計分!R9)</f>
        <v/>
      </c>
      <c r="S9">
        <f>IF(OR(計分!S9="",計分!$AP9=""),"",計分!$AP9-計分!S9)</f>
        <v/>
      </c>
      <c r="T9">
        <f>IF(OR(計分!T9="",計分!$AP9=""),"",計分!$AP9-計分!T9)</f>
        <v/>
      </c>
      <c r="U9">
        <f>IF(OR(計分!U9="",計分!$AP9=""),"",計分!$AP9-計分!U9)</f>
        <v/>
      </c>
      <c r="V9">
        <f>IF(OR(計分!V9="",計分!$AP9=""),"",計分!$AP9-計分!V9)</f>
        <v/>
      </c>
      <c r="W9">
        <f>IF(OR(計分!W9="",計分!$AP9=""),"",計分!$AP9-計分!W9)</f>
        <v/>
      </c>
      <c r="X9">
        <f>IF(OR(計分!X9="",計分!$AP9=""),"",計分!$AP9-計分!X9)</f>
        <v/>
      </c>
      <c r="Y9">
        <f>IF(OR(計分!Y9="",計分!$AP9=""),"",計分!$AP9-計分!Y9)</f>
        <v/>
      </c>
      <c r="Z9">
        <f>IF(OR(計分!Z9="",計分!$AP9=""),"",計分!$AP9-計分!Z9)</f>
        <v/>
      </c>
      <c r="AA9">
        <f>IF(OR(計分!AA9="",計分!$AP9=""),"",計分!$AP9-計分!AA9)</f>
        <v/>
      </c>
      <c r="AB9">
        <f>IF(OR(計分!AB9="",計分!$AP9=""),"",計分!$AP9-計分!AB9)</f>
        <v/>
      </c>
      <c r="AC9">
        <f>IF(OR(計分!AC9="",計分!$AP9=""),"",計分!$AP9-計分!AC9)</f>
        <v/>
      </c>
      <c r="AD9">
        <f>IF(OR(計分!AD9="",計分!$AP9=""),"",計分!$AP9-計分!AD9)</f>
        <v/>
      </c>
      <c r="AE9">
        <f>IF(OR(計分!AE9="",計分!$AP9=""),"",計分!$AP9-計分!AE9)</f>
        <v/>
      </c>
      <c r="AF9">
        <f>IF(OR(計分!AF9="",計分!$AP9=""),"",計分!$AP9-計分!AF9)</f>
        <v/>
      </c>
      <c r="AG9">
        <f>IF(OR(計分!AG9="",計分!$AP9=""),"",計分!$AP9-計分!AG9)</f>
        <v/>
      </c>
      <c r="AH9">
        <f>IF(OR(計分!AH9="",計分!$AP9=""),"",計分!$AP9-計分!AH9)</f>
        <v/>
      </c>
      <c r="AI9">
        <f>IF(OR(計分!AI9="",計分!$AP9=""),"",計分!$AP9-計分!AI9)</f>
        <v/>
      </c>
      <c r="AJ9">
        <f>IF(OR(計分!AJ9="",計分!$AP9=""),"",計分!$AP9-計分!AJ9)</f>
        <v/>
      </c>
      <c r="AK9">
        <f>IF(OR(計分!AK9="",計分!$AP9=""),"",計分!$AP9-計分!AK9)</f>
        <v/>
      </c>
      <c r="AL9">
        <f>IF(OR(計分!AL9="",計分!$AP9=""),"",計分!$AP9-計分!AL9)</f>
        <v/>
      </c>
      <c r="AM9">
        <f>IF(OR(計分!AM9="",計分!$AP9=""),"",計分!$AP9-計分!AM9)</f>
        <v/>
      </c>
      <c r="AN9">
        <f>IF(OR(計分!AN9="",計分!$AP9=""),"",計分!$AP9-計分!AN9)</f>
        <v/>
      </c>
      <c r="AO9">
        <f>IF(OR(計分!AO9="",計分!$AP9=""),"",計分!$AP9-計分!AO9)</f>
        <v/>
      </c>
    </row>
    <row r="10">
      <c r="A10">
        <f>計分!A10</f>
        <v/>
      </c>
      <c r="B10">
        <f>IF(OR(計分!B10="",計分!$AP10=""),"",計分!$AP10-計分!B10)</f>
        <v/>
      </c>
      <c r="C10">
        <f>IF(OR(計分!C10="",計分!$AP10=""),"",計分!$AP10-計分!C10)</f>
        <v/>
      </c>
      <c r="D10">
        <f>IF(OR(計分!D10="",計分!$AP10=""),"",計分!$AP10-計分!D10)</f>
        <v/>
      </c>
      <c r="E10">
        <f>IF(OR(計分!E10="",計分!$AP10=""),"",計分!$AP10-計分!E10)</f>
        <v/>
      </c>
      <c r="F10">
        <f>IF(OR(計分!F10="",計分!$AP10=""),"",計分!$AP10-計分!F10)</f>
        <v/>
      </c>
      <c r="G10">
        <f>IF(OR(計分!G10="",計分!$AP10=""),"",計分!$AP10-計分!G10)</f>
        <v/>
      </c>
      <c r="H10">
        <f>IF(OR(計分!H10="",計分!$AP10=""),"",計分!$AP10-計分!H10)</f>
        <v/>
      </c>
      <c r="I10">
        <f>IF(OR(計分!I10="",計分!$AP10=""),"",計分!$AP10-計分!I10)</f>
        <v/>
      </c>
      <c r="J10">
        <f>IF(OR(計分!J10="",計分!$AP10=""),"",計分!$AP10-計分!J10)</f>
        <v/>
      </c>
      <c r="K10">
        <f>IF(OR(計分!K10="",計分!$AP10=""),"",計分!$AP10-計分!K10)</f>
        <v/>
      </c>
      <c r="L10">
        <f>IF(OR(計分!L10="",計分!$AP10=""),"",計分!$AP10-計分!L10)</f>
        <v/>
      </c>
      <c r="M10">
        <f>IF(OR(計分!M10="",計分!$AP10=""),"",計分!$AP10-計分!M10)</f>
        <v/>
      </c>
      <c r="N10">
        <f>IF(OR(計分!N10="",計分!$AP10=""),"",計分!$AP10-計分!N10)</f>
        <v/>
      </c>
      <c r="O10">
        <f>IF(OR(計分!O10="",計分!$AP10=""),"",計分!$AP10-計分!O10)</f>
        <v/>
      </c>
      <c r="P10">
        <f>IF(OR(計分!P10="",計分!$AP10=""),"",計分!$AP10-計分!P10)</f>
        <v/>
      </c>
      <c r="Q10">
        <f>IF(OR(計分!Q10="",計分!$AP10=""),"",計分!$AP10-計分!Q10)</f>
        <v/>
      </c>
      <c r="R10">
        <f>IF(OR(計分!R10="",計分!$AP10=""),"",計分!$AP10-計分!R10)</f>
        <v/>
      </c>
      <c r="S10">
        <f>IF(OR(計分!S10="",計分!$AP10=""),"",計分!$AP10-計分!S10)</f>
        <v/>
      </c>
      <c r="T10">
        <f>IF(OR(計分!T10="",計分!$AP10=""),"",計分!$AP10-計分!T10)</f>
        <v/>
      </c>
      <c r="U10">
        <f>IF(OR(計分!U10="",計分!$AP10=""),"",計分!$AP10-計分!U10)</f>
        <v/>
      </c>
      <c r="V10">
        <f>IF(OR(計分!V10="",計分!$AP10=""),"",計分!$AP10-計分!V10)</f>
        <v/>
      </c>
      <c r="W10">
        <f>IF(OR(計分!W10="",計分!$AP10=""),"",計分!$AP10-計分!W10)</f>
        <v/>
      </c>
      <c r="X10">
        <f>IF(OR(計分!X10="",計分!$AP10=""),"",計分!$AP10-計分!X10)</f>
        <v/>
      </c>
      <c r="Y10">
        <f>IF(OR(計分!Y10="",計分!$AP10=""),"",計分!$AP10-計分!Y10)</f>
        <v/>
      </c>
      <c r="Z10">
        <f>IF(OR(計分!Z10="",計分!$AP10=""),"",計分!$AP10-計分!Z10)</f>
        <v/>
      </c>
      <c r="AA10">
        <f>IF(OR(計分!AA10="",計分!$AP10=""),"",計分!$AP10-計分!AA10)</f>
        <v/>
      </c>
      <c r="AB10">
        <f>IF(OR(計分!AB10="",計分!$AP10=""),"",計分!$AP10-計分!AB10)</f>
        <v/>
      </c>
      <c r="AC10">
        <f>IF(OR(計分!AC10="",計分!$AP10=""),"",計分!$AP10-計分!AC10)</f>
        <v/>
      </c>
      <c r="AD10">
        <f>IF(OR(計分!AD10="",計分!$AP10=""),"",計分!$AP10-計分!AD10)</f>
        <v/>
      </c>
      <c r="AE10">
        <f>IF(OR(計分!AE10="",計分!$AP10=""),"",計分!$AP10-計分!AE10)</f>
        <v/>
      </c>
      <c r="AF10">
        <f>IF(OR(計分!AF10="",計分!$AP10=""),"",計分!$AP10-計分!AF10)</f>
        <v/>
      </c>
      <c r="AG10">
        <f>IF(OR(計分!AG10="",計分!$AP10=""),"",計分!$AP10-計分!AG10)</f>
        <v/>
      </c>
      <c r="AH10">
        <f>IF(OR(計分!AH10="",計分!$AP10=""),"",計分!$AP10-計分!AH10)</f>
        <v/>
      </c>
      <c r="AI10">
        <f>IF(OR(計分!AI10="",計分!$AP10=""),"",計分!$AP10-計分!AI10)</f>
        <v/>
      </c>
      <c r="AJ10">
        <f>IF(OR(計分!AJ10="",計分!$AP10=""),"",計分!$AP10-計分!AJ10)</f>
        <v/>
      </c>
      <c r="AK10">
        <f>IF(OR(計分!AK10="",計分!$AP10=""),"",計分!$AP10-計分!AK10)</f>
        <v/>
      </c>
      <c r="AL10">
        <f>IF(OR(計分!AL10="",計分!$AP10=""),"",計分!$AP10-計分!AL10)</f>
        <v/>
      </c>
      <c r="AM10">
        <f>IF(OR(計分!AM10="",計分!$AP10=""),"",計分!$AP10-計分!AM10)</f>
        <v/>
      </c>
      <c r="AN10">
        <f>IF(OR(計分!AN10="",計分!$AP10=""),"",計分!$AP10-計分!AN10)</f>
        <v/>
      </c>
      <c r="AO10">
        <f>IF(OR(計分!AO10="",計分!$AP10=""),"",計分!$AP10-計分!AO10)</f>
        <v/>
      </c>
    </row>
    <row r="11">
      <c r="A11">
        <f>計分!A11</f>
        <v/>
      </c>
      <c r="B11">
        <f>IF(OR(計分!B11="",計分!$AP11=""),"",計分!$AP11-計分!B11)</f>
        <v/>
      </c>
      <c r="C11">
        <f>IF(OR(計分!C11="",計分!$AP11=""),"",計分!$AP11-計分!C11)</f>
        <v/>
      </c>
      <c r="D11">
        <f>IF(OR(計分!D11="",計分!$AP11=""),"",計分!$AP11-計分!D11)</f>
        <v/>
      </c>
      <c r="E11">
        <f>IF(OR(計分!E11="",計分!$AP11=""),"",計分!$AP11-計分!E11)</f>
        <v/>
      </c>
      <c r="F11">
        <f>IF(OR(計分!F11="",計分!$AP11=""),"",計分!$AP11-計分!F11)</f>
        <v/>
      </c>
      <c r="G11">
        <f>IF(OR(計分!G11="",計分!$AP11=""),"",計分!$AP11-計分!G11)</f>
        <v/>
      </c>
      <c r="H11">
        <f>IF(OR(計分!H11="",計分!$AP11=""),"",計分!$AP11-計分!H11)</f>
        <v/>
      </c>
      <c r="I11">
        <f>IF(OR(計分!I11="",計分!$AP11=""),"",計分!$AP11-計分!I11)</f>
        <v/>
      </c>
      <c r="J11">
        <f>IF(OR(計分!J11="",計分!$AP11=""),"",計分!$AP11-計分!J11)</f>
        <v/>
      </c>
      <c r="K11">
        <f>IF(OR(計分!K11="",計分!$AP11=""),"",計分!$AP11-計分!K11)</f>
        <v/>
      </c>
      <c r="L11">
        <f>IF(OR(計分!L11="",計分!$AP11=""),"",計分!$AP11-計分!L11)</f>
        <v/>
      </c>
      <c r="M11">
        <f>IF(OR(計分!M11="",計分!$AP11=""),"",計分!$AP11-計分!M11)</f>
        <v/>
      </c>
      <c r="N11">
        <f>IF(OR(計分!N11="",計分!$AP11=""),"",計分!$AP11-計分!N11)</f>
        <v/>
      </c>
      <c r="O11">
        <f>IF(OR(計分!O11="",計分!$AP11=""),"",計分!$AP11-計分!O11)</f>
        <v/>
      </c>
      <c r="P11">
        <f>IF(OR(計分!P11="",計分!$AP11=""),"",計分!$AP11-計分!P11)</f>
        <v/>
      </c>
      <c r="Q11">
        <f>IF(OR(計分!Q11="",計分!$AP11=""),"",計分!$AP11-計分!Q11)</f>
        <v/>
      </c>
      <c r="R11">
        <f>IF(OR(計分!R11="",計分!$AP11=""),"",計分!$AP11-計分!R11)</f>
        <v/>
      </c>
      <c r="S11">
        <f>IF(OR(計分!S11="",計分!$AP11=""),"",計分!$AP11-計分!S11)</f>
        <v/>
      </c>
      <c r="T11">
        <f>IF(OR(計分!T11="",計分!$AP11=""),"",計分!$AP11-計分!T11)</f>
        <v/>
      </c>
      <c r="U11">
        <f>IF(OR(計分!U11="",計分!$AP11=""),"",計分!$AP11-計分!U11)</f>
        <v/>
      </c>
      <c r="V11">
        <f>IF(OR(計分!V11="",計分!$AP11=""),"",計分!$AP11-計分!V11)</f>
        <v/>
      </c>
      <c r="W11">
        <f>IF(OR(計分!W11="",計分!$AP11=""),"",計分!$AP11-計分!W11)</f>
        <v/>
      </c>
      <c r="X11">
        <f>IF(OR(計分!X11="",計分!$AP11=""),"",計分!$AP11-計分!X11)</f>
        <v/>
      </c>
      <c r="Y11">
        <f>IF(OR(計分!Y11="",計分!$AP11=""),"",計分!$AP11-計分!Y11)</f>
        <v/>
      </c>
      <c r="Z11">
        <f>IF(OR(計分!Z11="",計分!$AP11=""),"",計分!$AP11-計分!Z11)</f>
        <v/>
      </c>
      <c r="AA11">
        <f>IF(OR(計分!AA11="",計分!$AP11=""),"",計分!$AP11-計分!AA11)</f>
        <v/>
      </c>
      <c r="AB11">
        <f>IF(OR(計分!AB11="",計分!$AP11=""),"",計分!$AP11-計分!AB11)</f>
        <v/>
      </c>
      <c r="AC11">
        <f>IF(OR(計分!AC11="",計分!$AP11=""),"",計分!$AP11-計分!AC11)</f>
        <v/>
      </c>
      <c r="AD11">
        <f>IF(OR(計分!AD11="",計分!$AP11=""),"",計分!$AP11-計分!AD11)</f>
        <v/>
      </c>
      <c r="AE11">
        <f>IF(OR(計分!AE11="",計分!$AP11=""),"",計分!$AP11-計分!AE11)</f>
        <v/>
      </c>
      <c r="AF11">
        <f>IF(OR(計分!AF11="",計分!$AP11=""),"",計分!$AP11-計分!AF11)</f>
        <v/>
      </c>
      <c r="AG11">
        <f>IF(OR(計分!AG11="",計分!$AP11=""),"",計分!$AP11-計分!AG11)</f>
        <v/>
      </c>
      <c r="AH11">
        <f>IF(OR(計分!AH11="",計分!$AP11=""),"",計分!$AP11-計分!AH11)</f>
        <v/>
      </c>
      <c r="AI11">
        <f>IF(OR(計分!AI11="",計分!$AP11=""),"",計分!$AP11-計分!AI11)</f>
        <v/>
      </c>
      <c r="AJ11">
        <f>IF(OR(計分!AJ11="",計分!$AP11=""),"",計分!$AP11-計分!AJ11)</f>
        <v/>
      </c>
      <c r="AK11">
        <f>IF(OR(計分!AK11="",計分!$AP11=""),"",計分!$AP11-計分!AK11)</f>
        <v/>
      </c>
      <c r="AL11">
        <f>IF(OR(計分!AL11="",計分!$AP11=""),"",計分!$AP11-計分!AL11)</f>
        <v/>
      </c>
      <c r="AM11">
        <f>IF(OR(計分!AM11="",計分!$AP11=""),"",計分!$AP11-計分!AM11)</f>
        <v/>
      </c>
      <c r="AN11">
        <f>IF(OR(計分!AN11="",計分!$AP11=""),"",計分!$AP11-計分!AN11)</f>
        <v/>
      </c>
      <c r="AO11">
        <f>IF(OR(計分!AO11="",計分!$AP11=""),"",計分!$AP11-計分!AO11)</f>
        <v/>
      </c>
    </row>
    <row r="12">
      <c r="A12">
        <f>計分!A12</f>
        <v/>
      </c>
      <c r="B12">
        <f>IF(OR(計分!B12="",計分!$AP12=""),"",計分!$AP12-計分!B12)</f>
        <v/>
      </c>
      <c r="C12">
        <f>IF(OR(計分!C12="",計分!$AP12=""),"",計分!$AP12-計分!C12)</f>
        <v/>
      </c>
      <c r="D12">
        <f>IF(OR(計分!D12="",計分!$AP12=""),"",計分!$AP12-計分!D12)</f>
        <v/>
      </c>
      <c r="E12">
        <f>IF(OR(計分!E12="",計分!$AP12=""),"",計分!$AP12-計分!E12)</f>
        <v/>
      </c>
      <c r="F12">
        <f>IF(OR(計分!F12="",計分!$AP12=""),"",計分!$AP12-計分!F12)</f>
        <v/>
      </c>
      <c r="G12">
        <f>IF(OR(計分!G12="",計分!$AP12=""),"",計分!$AP12-計分!G12)</f>
        <v/>
      </c>
      <c r="H12">
        <f>IF(OR(計分!H12="",計分!$AP12=""),"",計分!$AP12-計分!H12)</f>
        <v/>
      </c>
      <c r="I12">
        <f>IF(OR(計分!I12="",計分!$AP12=""),"",計分!$AP12-計分!I12)</f>
        <v/>
      </c>
      <c r="J12">
        <f>IF(OR(計分!J12="",計分!$AP12=""),"",計分!$AP12-計分!J12)</f>
        <v/>
      </c>
      <c r="K12">
        <f>IF(OR(計分!K12="",計分!$AP12=""),"",計分!$AP12-計分!K12)</f>
        <v/>
      </c>
      <c r="L12">
        <f>IF(OR(計分!L12="",計分!$AP12=""),"",計分!$AP12-計分!L12)</f>
        <v/>
      </c>
      <c r="M12">
        <f>IF(OR(計分!M12="",計分!$AP12=""),"",計分!$AP12-計分!M12)</f>
        <v/>
      </c>
      <c r="N12">
        <f>IF(OR(計分!N12="",計分!$AP12=""),"",計分!$AP12-計分!N12)</f>
        <v/>
      </c>
      <c r="O12">
        <f>IF(OR(計分!O12="",計分!$AP12=""),"",計分!$AP12-計分!O12)</f>
        <v/>
      </c>
      <c r="P12">
        <f>IF(OR(計分!P12="",計分!$AP12=""),"",計分!$AP12-計分!P12)</f>
        <v/>
      </c>
      <c r="Q12">
        <f>IF(OR(計分!Q12="",計分!$AP12=""),"",計分!$AP12-計分!Q12)</f>
        <v/>
      </c>
      <c r="R12">
        <f>IF(OR(計分!R12="",計分!$AP12=""),"",計分!$AP12-計分!R12)</f>
        <v/>
      </c>
      <c r="S12">
        <f>IF(OR(計分!S12="",計分!$AP12=""),"",計分!$AP12-計分!S12)</f>
        <v/>
      </c>
      <c r="T12">
        <f>IF(OR(計分!T12="",計分!$AP12=""),"",計分!$AP12-計分!T12)</f>
        <v/>
      </c>
      <c r="U12">
        <f>IF(OR(計分!U12="",計分!$AP12=""),"",計分!$AP12-計分!U12)</f>
        <v/>
      </c>
      <c r="V12">
        <f>IF(OR(計分!V12="",計分!$AP12=""),"",計分!$AP12-計分!V12)</f>
        <v/>
      </c>
      <c r="W12">
        <f>IF(OR(計分!W12="",計分!$AP12=""),"",計分!$AP12-計分!W12)</f>
        <v/>
      </c>
      <c r="X12">
        <f>IF(OR(計分!X12="",計分!$AP12=""),"",計分!$AP12-計分!X12)</f>
        <v/>
      </c>
      <c r="Y12">
        <f>IF(OR(計分!Y12="",計分!$AP12=""),"",計分!$AP12-計分!Y12)</f>
        <v/>
      </c>
      <c r="Z12">
        <f>IF(OR(計分!Z12="",計分!$AP12=""),"",計分!$AP12-計分!Z12)</f>
        <v/>
      </c>
      <c r="AA12">
        <f>IF(OR(計分!AA12="",計分!$AP12=""),"",計分!$AP12-計分!AA12)</f>
        <v/>
      </c>
      <c r="AB12">
        <f>IF(OR(計分!AB12="",計分!$AP12=""),"",計分!$AP12-計分!AB12)</f>
        <v/>
      </c>
      <c r="AC12">
        <f>IF(OR(計分!AC12="",計分!$AP12=""),"",計分!$AP12-計分!AC12)</f>
        <v/>
      </c>
      <c r="AD12">
        <f>IF(OR(計分!AD12="",計分!$AP12=""),"",計分!$AP12-計分!AD12)</f>
        <v/>
      </c>
      <c r="AE12">
        <f>IF(OR(計分!AE12="",計分!$AP12=""),"",計分!$AP12-計分!AE12)</f>
        <v/>
      </c>
      <c r="AF12">
        <f>IF(OR(計分!AF12="",計分!$AP12=""),"",計分!$AP12-計分!AF12)</f>
        <v/>
      </c>
      <c r="AG12">
        <f>IF(OR(計分!AG12="",計分!$AP12=""),"",計分!$AP12-計分!AG12)</f>
        <v/>
      </c>
      <c r="AH12">
        <f>IF(OR(計分!AH12="",計分!$AP12=""),"",計分!$AP12-計分!AH12)</f>
        <v/>
      </c>
      <c r="AI12">
        <f>IF(OR(計分!AI12="",計分!$AP12=""),"",計分!$AP12-計分!AI12)</f>
        <v/>
      </c>
      <c r="AJ12">
        <f>IF(OR(計分!AJ12="",計分!$AP12=""),"",計分!$AP12-計分!AJ12)</f>
        <v/>
      </c>
      <c r="AK12">
        <f>IF(OR(計分!AK12="",計分!$AP12=""),"",計分!$AP12-計分!AK12)</f>
        <v/>
      </c>
      <c r="AL12">
        <f>IF(OR(計分!AL12="",計分!$AP12=""),"",計分!$AP12-計分!AL12)</f>
        <v/>
      </c>
      <c r="AM12">
        <f>IF(OR(計分!AM12="",計分!$AP12=""),"",計分!$AP12-計分!AM12)</f>
        <v/>
      </c>
      <c r="AN12">
        <f>IF(OR(計分!AN12="",計分!$AP12=""),"",計分!$AP12-計分!AN12)</f>
        <v/>
      </c>
      <c r="AO12">
        <f>IF(OR(計分!AO12="",計分!$AP12=""),"",計分!$AP12-計分!AO12)</f>
        <v/>
      </c>
    </row>
    <row r="13">
      <c r="A13">
        <f>計分!A13</f>
        <v/>
      </c>
      <c r="B13">
        <f>IF(OR(計分!B13="",計分!$AP13=""),"",計分!$AP13-計分!B13)</f>
        <v/>
      </c>
      <c r="C13">
        <f>IF(OR(計分!C13="",計分!$AP13=""),"",計分!$AP13-計分!C13)</f>
        <v/>
      </c>
      <c r="D13">
        <f>IF(OR(計分!D13="",計分!$AP13=""),"",計分!$AP13-計分!D13)</f>
        <v/>
      </c>
      <c r="E13">
        <f>IF(OR(計分!E13="",計分!$AP13=""),"",計分!$AP13-計分!E13)</f>
        <v/>
      </c>
      <c r="F13">
        <f>IF(OR(計分!F13="",計分!$AP13=""),"",計分!$AP13-計分!F13)</f>
        <v/>
      </c>
      <c r="G13">
        <f>IF(OR(計分!G13="",計分!$AP13=""),"",計分!$AP13-計分!G13)</f>
        <v/>
      </c>
      <c r="H13">
        <f>IF(OR(計分!H13="",計分!$AP13=""),"",計分!$AP13-計分!H13)</f>
        <v/>
      </c>
      <c r="I13">
        <f>IF(OR(計分!I13="",計分!$AP13=""),"",計分!$AP13-計分!I13)</f>
        <v/>
      </c>
      <c r="J13">
        <f>IF(OR(計分!J13="",計分!$AP13=""),"",計分!$AP13-計分!J13)</f>
        <v/>
      </c>
      <c r="K13">
        <f>IF(OR(計分!K13="",計分!$AP13=""),"",計分!$AP13-計分!K13)</f>
        <v/>
      </c>
      <c r="L13">
        <f>IF(OR(計分!L13="",計分!$AP13=""),"",計分!$AP13-計分!L13)</f>
        <v/>
      </c>
      <c r="M13">
        <f>IF(OR(計分!M13="",計分!$AP13=""),"",計分!$AP13-計分!M13)</f>
        <v/>
      </c>
      <c r="N13">
        <f>IF(OR(計分!N13="",計分!$AP13=""),"",計分!$AP13-計分!N13)</f>
        <v/>
      </c>
      <c r="O13">
        <f>IF(OR(計分!O13="",計分!$AP13=""),"",計分!$AP13-計分!O13)</f>
        <v/>
      </c>
      <c r="P13">
        <f>IF(OR(計分!P13="",計分!$AP13=""),"",計分!$AP13-計分!P13)</f>
        <v/>
      </c>
      <c r="Q13">
        <f>IF(OR(計分!Q13="",計分!$AP13=""),"",計分!$AP13-計分!Q13)</f>
        <v/>
      </c>
      <c r="R13">
        <f>IF(OR(計分!R13="",計分!$AP13=""),"",計分!$AP13-計分!R13)</f>
        <v/>
      </c>
      <c r="S13">
        <f>IF(OR(計分!S13="",計分!$AP13=""),"",計分!$AP13-計分!S13)</f>
        <v/>
      </c>
      <c r="T13">
        <f>IF(OR(計分!T13="",計分!$AP13=""),"",計分!$AP13-計分!T13)</f>
        <v/>
      </c>
      <c r="U13">
        <f>IF(OR(計分!U13="",計分!$AP13=""),"",計分!$AP13-計分!U13)</f>
        <v/>
      </c>
      <c r="V13">
        <f>IF(OR(計分!V13="",計分!$AP13=""),"",計分!$AP13-計分!V13)</f>
        <v/>
      </c>
      <c r="W13">
        <f>IF(OR(計分!W13="",計分!$AP13=""),"",計分!$AP13-計分!W13)</f>
        <v/>
      </c>
      <c r="X13">
        <f>IF(OR(計分!X13="",計分!$AP13=""),"",計分!$AP13-計分!X13)</f>
        <v/>
      </c>
      <c r="Y13">
        <f>IF(OR(計分!Y13="",計分!$AP13=""),"",計分!$AP13-計分!Y13)</f>
        <v/>
      </c>
      <c r="Z13">
        <f>IF(OR(計分!Z13="",計分!$AP13=""),"",計分!$AP13-計分!Z13)</f>
        <v/>
      </c>
      <c r="AA13">
        <f>IF(OR(計分!AA13="",計分!$AP13=""),"",計分!$AP13-計分!AA13)</f>
        <v/>
      </c>
      <c r="AB13">
        <f>IF(OR(計分!AB13="",計分!$AP13=""),"",計分!$AP13-計分!AB13)</f>
        <v/>
      </c>
      <c r="AC13">
        <f>IF(OR(計分!AC13="",計分!$AP13=""),"",計分!$AP13-計分!AC13)</f>
        <v/>
      </c>
      <c r="AD13">
        <f>IF(OR(計分!AD13="",計分!$AP13=""),"",計分!$AP13-計分!AD13)</f>
        <v/>
      </c>
      <c r="AE13">
        <f>IF(OR(計分!AE13="",計分!$AP13=""),"",計分!$AP13-計分!AE13)</f>
        <v/>
      </c>
      <c r="AF13">
        <f>IF(OR(計分!AF13="",計分!$AP13=""),"",計分!$AP13-計分!AF13)</f>
        <v/>
      </c>
      <c r="AG13">
        <f>IF(OR(計分!AG13="",計分!$AP13=""),"",計分!$AP13-計分!AG13)</f>
        <v/>
      </c>
      <c r="AH13">
        <f>IF(OR(計分!AH13="",計分!$AP13=""),"",計分!$AP13-計分!AH13)</f>
        <v/>
      </c>
      <c r="AI13">
        <f>IF(OR(計分!AI13="",計分!$AP13=""),"",計分!$AP13-計分!AI13)</f>
        <v/>
      </c>
      <c r="AJ13">
        <f>IF(OR(計分!AJ13="",計分!$AP13=""),"",計分!$AP13-計分!AJ13)</f>
        <v/>
      </c>
      <c r="AK13">
        <f>IF(OR(計分!AK13="",計分!$AP13=""),"",計分!$AP13-計分!AK13)</f>
        <v/>
      </c>
      <c r="AL13">
        <f>IF(OR(計分!AL13="",計分!$AP13=""),"",計分!$AP13-計分!AL13)</f>
        <v/>
      </c>
      <c r="AM13">
        <f>IF(OR(計分!AM13="",計分!$AP13=""),"",計分!$AP13-計分!AM13)</f>
        <v/>
      </c>
      <c r="AN13">
        <f>IF(OR(計分!AN13="",計分!$AP13=""),"",計分!$AP13-計分!AN13)</f>
        <v/>
      </c>
      <c r="AO13">
        <f>IF(OR(計分!AO13="",計分!$AP13=""),"",計分!$AP13-計分!AO13)</f>
        <v/>
      </c>
    </row>
    <row r="14">
      <c r="A14">
        <f>計分!A14</f>
        <v/>
      </c>
      <c r="B14">
        <f>IF(OR(計分!B14="",計分!$AP14=""),"",計分!$AP14-計分!B14)</f>
        <v/>
      </c>
      <c r="C14">
        <f>IF(OR(計分!C14="",計分!$AP14=""),"",計分!$AP14-計分!C14)</f>
        <v/>
      </c>
      <c r="D14">
        <f>IF(OR(計分!D14="",計分!$AP14=""),"",計分!$AP14-計分!D14)</f>
        <v/>
      </c>
      <c r="E14">
        <f>IF(OR(計分!E14="",計分!$AP14=""),"",計分!$AP14-計分!E14)</f>
        <v/>
      </c>
      <c r="F14">
        <f>IF(OR(計分!F14="",計分!$AP14=""),"",計分!$AP14-計分!F14)</f>
        <v/>
      </c>
      <c r="G14">
        <f>IF(OR(計分!G14="",計分!$AP14=""),"",計分!$AP14-計分!G14)</f>
        <v/>
      </c>
      <c r="H14">
        <f>IF(OR(計分!H14="",計分!$AP14=""),"",計分!$AP14-計分!H14)</f>
        <v/>
      </c>
      <c r="I14">
        <f>IF(OR(計分!I14="",計分!$AP14=""),"",計分!$AP14-計分!I14)</f>
        <v/>
      </c>
      <c r="J14">
        <f>IF(OR(計分!J14="",計分!$AP14=""),"",計分!$AP14-計分!J14)</f>
        <v/>
      </c>
      <c r="K14">
        <f>IF(OR(計分!K14="",計分!$AP14=""),"",計分!$AP14-計分!K14)</f>
        <v/>
      </c>
      <c r="L14">
        <f>IF(OR(計分!L14="",計分!$AP14=""),"",計分!$AP14-計分!L14)</f>
        <v/>
      </c>
      <c r="M14">
        <f>IF(OR(計分!M14="",計分!$AP14=""),"",計分!$AP14-計分!M14)</f>
        <v/>
      </c>
      <c r="N14">
        <f>IF(OR(計分!N14="",計分!$AP14=""),"",計分!$AP14-計分!N14)</f>
        <v/>
      </c>
      <c r="O14">
        <f>IF(OR(計分!O14="",計分!$AP14=""),"",計分!$AP14-計分!O14)</f>
        <v/>
      </c>
      <c r="P14">
        <f>IF(OR(計分!P14="",計分!$AP14=""),"",計分!$AP14-計分!P14)</f>
        <v/>
      </c>
      <c r="Q14">
        <f>IF(OR(計分!Q14="",計分!$AP14=""),"",計分!$AP14-計分!Q14)</f>
        <v/>
      </c>
      <c r="R14">
        <f>IF(OR(計分!R14="",計分!$AP14=""),"",計分!$AP14-計分!R14)</f>
        <v/>
      </c>
      <c r="S14">
        <f>IF(OR(計分!S14="",計分!$AP14=""),"",計分!$AP14-計分!S14)</f>
        <v/>
      </c>
      <c r="T14">
        <f>IF(OR(計分!T14="",計分!$AP14=""),"",計分!$AP14-計分!T14)</f>
        <v/>
      </c>
      <c r="U14">
        <f>IF(OR(計分!U14="",計分!$AP14=""),"",計分!$AP14-計分!U14)</f>
        <v/>
      </c>
      <c r="V14">
        <f>IF(OR(計分!V14="",計分!$AP14=""),"",計分!$AP14-計分!V14)</f>
        <v/>
      </c>
      <c r="W14">
        <f>IF(OR(計分!W14="",計分!$AP14=""),"",計分!$AP14-計分!W14)</f>
        <v/>
      </c>
      <c r="X14">
        <f>IF(OR(計分!X14="",計分!$AP14=""),"",計分!$AP14-計分!X14)</f>
        <v/>
      </c>
      <c r="Y14">
        <f>IF(OR(計分!Y14="",計分!$AP14=""),"",計分!$AP14-計分!Y14)</f>
        <v/>
      </c>
      <c r="Z14">
        <f>IF(OR(計分!Z14="",計分!$AP14=""),"",計分!$AP14-計分!Z14)</f>
        <v/>
      </c>
      <c r="AA14">
        <f>IF(OR(計分!AA14="",計分!$AP14=""),"",計分!$AP14-計分!AA14)</f>
        <v/>
      </c>
      <c r="AB14">
        <f>IF(OR(計分!AB14="",計分!$AP14=""),"",計分!$AP14-計分!AB14)</f>
        <v/>
      </c>
      <c r="AC14">
        <f>IF(OR(計分!AC14="",計分!$AP14=""),"",計分!$AP14-計分!AC14)</f>
        <v/>
      </c>
      <c r="AD14">
        <f>IF(OR(計分!AD14="",計分!$AP14=""),"",計分!$AP14-計分!AD14)</f>
        <v/>
      </c>
      <c r="AE14">
        <f>IF(OR(計分!AE14="",計分!$AP14=""),"",計分!$AP14-計分!AE14)</f>
        <v/>
      </c>
      <c r="AF14">
        <f>IF(OR(計分!AF14="",計分!$AP14=""),"",計分!$AP14-計分!AF14)</f>
        <v/>
      </c>
      <c r="AG14">
        <f>IF(OR(計分!AG14="",計分!$AP14=""),"",計分!$AP14-計分!AG14)</f>
        <v/>
      </c>
      <c r="AH14">
        <f>IF(OR(計分!AH14="",計分!$AP14=""),"",計分!$AP14-計分!AH14)</f>
        <v/>
      </c>
      <c r="AI14">
        <f>IF(OR(計分!AI14="",計分!$AP14=""),"",計分!$AP14-計分!AI14)</f>
        <v/>
      </c>
      <c r="AJ14">
        <f>IF(OR(計分!AJ14="",計分!$AP14=""),"",計分!$AP14-計分!AJ14)</f>
        <v/>
      </c>
      <c r="AK14">
        <f>IF(OR(計分!AK14="",計分!$AP14=""),"",計分!$AP14-計分!AK14)</f>
        <v/>
      </c>
      <c r="AL14">
        <f>IF(OR(計分!AL14="",計分!$AP14=""),"",計分!$AP14-計分!AL14)</f>
        <v/>
      </c>
      <c r="AM14">
        <f>IF(OR(計分!AM14="",計分!$AP14=""),"",計分!$AP14-計分!AM14)</f>
        <v/>
      </c>
      <c r="AN14">
        <f>IF(OR(計分!AN14="",計分!$AP14=""),"",計分!$AP14-計分!AN14)</f>
        <v/>
      </c>
      <c r="AO14">
        <f>IF(OR(計分!AO14="",計分!$AP14=""),"",計分!$AP14-計分!AO14)</f>
        <v/>
      </c>
    </row>
    <row r="15">
      <c r="A15">
        <f>計分!A15</f>
        <v/>
      </c>
      <c r="B15">
        <f>IF(OR(計分!B15="",計分!$AP15=""),"",計分!$AP15-計分!B15)</f>
        <v/>
      </c>
      <c r="C15">
        <f>IF(OR(計分!C15="",計分!$AP15=""),"",計分!$AP15-計分!C15)</f>
        <v/>
      </c>
      <c r="D15">
        <f>IF(OR(計分!D15="",計分!$AP15=""),"",計分!$AP15-計分!D15)</f>
        <v/>
      </c>
      <c r="E15">
        <f>IF(OR(計分!E15="",計分!$AP15=""),"",計分!$AP15-計分!E15)</f>
        <v/>
      </c>
      <c r="F15">
        <f>IF(OR(計分!F15="",計分!$AP15=""),"",計分!$AP15-計分!F15)</f>
        <v/>
      </c>
      <c r="G15">
        <f>IF(OR(計分!G15="",計分!$AP15=""),"",計分!$AP15-計分!G15)</f>
        <v/>
      </c>
      <c r="H15">
        <f>IF(OR(計分!H15="",計分!$AP15=""),"",計分!$AP15-計分!H15)</f>
        <v/>
      </c>
      <c r="I15">
        <f>IF(OR(計分!I15="",計分!$AP15=""),"",計分!$AP15-計分!I15)</f>
        <v/>
      </c>
      <c r="J15">
        <f>IF(OR(計分!J15="",計分!$AP15=""),"",計分!$AP15-計分!J15)</f>
        <v/>
      </c>
      <c r="K15">
        <f>IF(OR(計分!K15="",計分!$AP15=""),"",計分!$AP15-計分!K15)</f>
        <v/>
      </c>
      <c r="L15">
        <f>IF(OR(計分!L15="",計分!$AP15=""),"",計分!$AP15-計分!L15)</f>
        <v/>
      </c>
      <c r="M15">
        <f>IF(OR(計分!M15="",計分!$AP15=""),"",計分!$AP15-計分!M15)</f>
        <v/>
      </c>
      <c r="N15">
        <f>IF(OR(計分!N15="",計分!$AP15=""),"",計分!$AP15-計分!N15)</f>
        <v/>
      </c>
      <c r="O15">
        <f>IF(OR(計分!O15="",計分!$AP15=""),"",計分!$AP15-計分!O15)</f>
        <v/>
      </c>
      <c r="P15">
        <f>IF(OR(計分!P15="",計分!$AP15=""),"",計分!$AP15-計分!P15)</f>
        <v/>
      </c>
      <c r="Q15">
        <f>IF(OR(計分!Q15="",計分!$AP15=""),"",計分!$AP15-計分!Q15)</f>
        <v/>
      </c>
      <c r="R15">
        <f>IF(OR(計分!R15="",計分!$AP15=""),"",計分!$AP15-計分!R15)</f>
        <v/>
      </c>
      <c r="S15">
        <f>IF(OR(計分!S15="",計分!$AP15=""),"",計分!$AP15-計分!S15)</f>
        <v/>
      </c>
      <c r="T15">
        <f>IF(OR(計分!T15="",計分!$AP15=""),"",計分!$AP15-計分!T15)</f>
        <v/>
      </c>
      <c r="U15">
        <f>IF(OR(計分!U15="",計分!$AP15=""),"",計分!$AP15-計分!U15)</f>
        <v/>
      </c>
      <c r="V15">
        <f>IF(OR(計分!V15="",計分!$AP15=""),"",計分!$AP15-計分!V15)</f>
        <v/>
      </c>
      <c r="W15">
        <f>IF(OR(計分!W15="",計分!$AP15=""),"",計分!$AP15-計分!W15)</f>
        <v/>
      </c>
      <c r="X15">
        <f>IF(OR(計分!X15="",計分!$AP15=""),"",計分!$AP15-計分!X15)</f>
        <v/>
      </c>
      <c r="Y15">
        <f>IF(OR(計分!Y15="",計分!$AP15=""),"",計分!$AP15-計分!Y15)</f>
        <v/>
      </c>
      <c r="Z15">
        <f>IF(OR(計分!Z15="",計分!$AP15=""),"",計分!$AP15-計分!Z15)</f>
        <v/>
      </c>
      <c r="AA15">
        <f>IF(OR(計分!AA15="",計分!$AP15=""),"",計分!$AP15-計分!AA15)</f>
        <v/>
      </c>
      <c r="AB15">
        <f>IF(OR(計分!AB15="",計分!$AP15=""),"",計分!$AP15-計分!AB15)</f>
        <v/>
      </c>
      <c r="AC15">
        <f>IF(OR(計分!AC15="",計分!$AP15=""),"",計分!$AP15-計分!AC15)</f>
        <v/>
      </c>
      <c r="AD15">
        <f>IF(OR(計分!AD15="",計分!$AP15=""),"",計分!$AP15-計分!AD15)</f>
        <v/>
      </c>
      <c r="AE15">
        <f>IF(OR(計分!AE15="",計分!$AP15=""),"",計分!$AP15-計分!AE15)</f>
        <v/>
      </c>
      <c r="AF15">
        <f>IF(OR(計分!AF15="",計分!$AP15=""),"",計分!$AP15-計分!AF15)</f>
        <v/>
      </c>
      <c r="AG15">
        <f>IF(OR(計分!AG15="",計分!$AP15=""),"",計分!$AP15-計分!AG15)</f>
        <v/>
      </c>
      <c r="AH15">
        <f>IF(OR(計分!AH15="",計分!$AP15=""),"",計分!$AP15-計分!AH15)</f>
        <v/>
      </c>
      <c r="AI15">
        <f>IF(OR(計分!AI15="",計分!$AP15=""),"",計分!$AP15-計分!AI15)</f>
        <v/>
      </c>
      <c r="AJ15">
        <f>IF(OR(計分!AJ15="",計分!$AP15=""),"",計分!$AP15-計分!AJ15)</f>
        <v/>
      </c>
      <c r="AK15">
        <f>IF(OR(計分!AK15="",計分!$AP15=""),"",計分!$AP15-計分!AK15)</f>
        <v/>
      </c>
      <c r="AL15">
        <f>IF(OR(計分!AL15="",計分!$AP15=""),"",計分!$AP15-計分!AL15)</f>
        <v/>
      </c>
      <c r="AM15">
        <f>IF(OR(計分!AM15="",計分!$AP15=""),"",計分!$AP15-計分!AM15)</f>
        <v/>
      </c>
      <c r="AN15">
        <f>IF(OR(計分!AN15="",計分!$AP15=""),"",計分!$AP15-計分!AN15)</f>
        <v/>
      </c>
      <c r="AO15">
        <f>IF(OR(計分!AO15="",計分!$AP15=""),"",計分!$AP15-計分!AO15)</f>
        <v/>
      </c>
    </row>
    <row r="16">
      <c r="A16">
        <f>計分!A16</f>
        <v/>
      </c>
      <c r="B16">
        <f>IF(OR(計分!B16="",計分!$AP16=""),"",計分!$AP16-計分!B16)</f>
        <v/>
      </c>
      <c r="C16">
        <f>IF(OR(計分!C16="",計分!$AP16=""),"",計分!$AP16-計分!C16)</f>
        <v/>
      </c>
      <c r="D16">
        <f>IF(OR(計分!D16="",計分!$AP16=""),"",計分!$AP16-計分!D16)</f>
        <v/>
      </c>
      <c r="E16">
        <f>IF(OR(計分!E16="",計分!$AP16=""),"",計分!$AP16-計分!E16)</f>
        <v/>
      </c>
      <c r="F16">
        <f>IF(OR(計分!F16="",計分!$AP16=""),"",計分!$AP16-計分!F16)</f>
        <v/>
      </c>
      <c r="G16">
        <f>IF(OR(計分!G16="",計分!$AP16=""),"",計分!$AP16-計分!G16)</f>
        <v/>
      </c>
      <c r="H16">
        <f>IF(OR(計分!H16="",計分!$AP16=""),"",計分!$AP16-計分!H16)</f>
        <v/>
      </c>
      <c r="I16">
        <f>IF(OR(計分!I16="",計分!$AP16=""),"",計分!$AP16-計分!I16)</f>
        <v/>
      </c>
      <c r="J16">
        <f>IF(OR(計分!J16="",計分!$AP16=""),"",計分!$AP16-計分!J16)</f>
        <v/>
      </c>
      <c r="K16">
        <f>IF(OR(計分!K16="",計分!$AP16=""),"",計分!$AP16-計分!K16)</f>
        <v/>
      </c>
      <c r="L16">
        <f>IF(OR(計分!L16="",計分!$AP16=""),"",計分!$AP16-計分!L16)</f>
        <v/>
      </c>
      <c r="M16">
        <f>IF(OR(計分!M16="",計分!$AP16=""),"",計分!$AP16-計分!M16)</f>
        <v/>
      </c>
      <c r="N16">
        <f>IF(OR(計分!N16="",計分!$AP16=""),"",計分!$AP16-計分!N16)</f>
        <v/>
      </c>
      <c r="O16">
        <f>IF(OR(計分!O16="",計分!$AP16=""),"",計分!$AP16-計分!O16)</f>
        <v/>
      </c>
      <c r="P16">
        <f>IF(OR(計分!P16="",計分!$AP16=""),"",計分!$AP16-計分!P16)</f>
        <v/>
      </c>
      <c r="Q16">
        <f>IF(OR(計分!Q16="",計分!$AP16=""),"",計分!$AP16-計分!Q16)</f>
        <v/>
      </c>
      <c r="R16">
        <f>IF(OR(計分!R16="",計分!$AP16=""),"",計分!$AP16-計分!R16)</f>
        <v/>
      </c>
      <c r="S16">
        <f>IF(OR(計分!S16="",計分!$AP16=""),"",計分!$AP16-計分!S16)</f>
        <v/>
      </c>
      <c r="T16">
        <f>IF(OR(計分!T16="",計分!$AP16=""),"",計分!$AP16-計分!T16)</f>
        <v/>
      </c>
      <c r="U16">
        <f>IF(OR(計分!U16="",計分!$AP16=""),"",計分!$AP16-計分!U16)</f>
        <v/>
      </c>
      <c r="V16">
        <f>IF(OR(計分!V16="",計分!$AP16=""),"",計分!$AP16-計分!V16)</f>
        <v/>
      </c>
      <c r="W16">
        <f>IF(OR(計分!W16="",計分!$AP16=""),"",計分!$AP16-計分!W16)</f>
        <v/>
      </c>
      <c r="X16">
        <f>IF(OR(計分!X16="",計分!$AP16=""),"",計分!$AP16-計分!X16)</f>
        <v/>
      </c>
      <c r="Y16">
        <f>IF(OR(計分!Y16="",計分!$AP16=""),"",計分!$AP16-計分!Y16)</f>
        <v/>
      </c>
      <c r="Z16">
        <f>IF(OR(計分!Z16="",計分!$AP16=""),"",計分!$AP16-計分!Z16)</f>
        <v/>
      </c>
      <c r="AA16">
        <f>IF(OR(計分!AA16="",計分!$AP16=""),"",計分!$AP16-計分!AA16)</f>
        <v/>
      </c>
      <c r="AB16">
        <f>IF(OR(計分!AB16="",計分!$AP16=""),"",計分!$AP16-計分!AB16)</f>
        <v/>
      </c>
      <c r="AC16">
        <f>IF(OR(計分!AC16="",計分!$AP16=""),"",計分!$AP16-計分!AC16)</f>
        <v/>
      </c>
      <c r="AD16">
        <f>IF(OR(計分!AD16="",計分!$AP16=""),"",計分!$AP16-計分!AD16)</f>
        <v/>
      </c>
      <c r="AE16">
        <f>IF(OR(計分!AE16="",計分!$AP16=""),"",計分!$AP16-計分!AE16)</f>
        <v/>
      </c>
      <c r="AF16">
        <f>IF(OR(計分!AF16="",計分!$AP16=""),"",計分!$AP16-計分!AF16)</f>
        <v/>
      </c>
      <c r="AG16">
        <f>IF(OR(計分!AG16="",計分!$AP16=""),"",計分!$AP16-計分!AG16)</f>
        <v/>
      </c>
      <c r="AH16">
        <f>IF(OR(計分!AH16="",計分!$AP16=""),"",計分!$AP16-計分!AH16)</f>
        <v/>
      </c>
      <c r="AI16">
        <f>IF(OR(計分!AI16="",計分!$AP16=""),"",計分!$AP16-計分!AI16)</f>
        <v/>
      </c>
      <c r="AJ16">
        <f>IF(OR(計分!AJ16="",計分!$AP16=""),"",計分!$AP16-計分!AJ16)</f>
        <v/>
      </c>
      <c r="AK16">
        <f>IF(OR(計分!AK16="",計分!$AP16=""),"",計分!$AP16-計分!AK16)</f>
        <v/>
      </c>
      <c r="AL16">
        <f>IF(OR(計分!AL16="",計分!$AP16=""),"",計分!$AP16-計分!AL16)</f>
        <v/>
      </c>
      <c r="AM16">
        <f>IF(OR(計分!AM16="",計分!$AP16=""),"",計分!$AP16-計分!AM16)</f>
        <v/>
      </c>
      <c r="AN16">
        <f>IF(OR(計分!AN16="",計分!$AP16=""),"",計分!$AP16-計分!AN16)</f>
        <v/>
      </c>
      <c r="AO16">
        <f>IF(OR(計分!AO16="",計分!$AP16=""),"",計分!$AP16-計分!AO16)</f>
        <v/>
      </c>
    </row>
    <row r="17">
      <c r="A17">
        <f>計分!A17</f>
        <v/>
      </c>
      <c r="B17">
        <f>IF(OR(計分!B17="",計分!$AP17=""),"",計分!$AP17-計分!B17)</f>
        <v/>
      </c>
      <c r="C17">
        <f>IF(OR(計分!C17="",計分!$AP17=""),"",計分!$AP17-計分!C17)</f>
        <v/>
      </c>
      <c r="D17">
        <f>IF(OR(計分!D17="",計分!$AP17=""),"",計分!$AP17-計分!D17)</f>
        <v/>
      </c>
      <c r="E17">
        <f>IF(OR(計分!E17="",計分!$AP17=""),"",計分!$AP17-計分!E17)</f>
        <v/>
      </c>
      <c r="F17">
        <f>IF(OR(計分!F17="",計分!$AP17=""),"",計分!$AP17-計分!F17)</f>
        <v/>
      </c>
      <c r="G17">
        <f>IF(OR(計分!G17="",計分!$AP17=""),"",計分!$AP17-計分!G17)</f>
        <v/>
      </c>
      <c r="H17">
        <f>IF(OR(計分!H17="",計分!$AP17=""),"",計分!$AP17-計分!H17)</f>
        <v/>
      </c>
      <c r="I17">
        <f>IF(OR(計分!I17="",計分!$AP17=""),"",計分!$AP17-計分!I17)</f>
        <v/>
      </c>
      <c r="J17">
        <f>IF(OR(計分!J17="",計分!$AP17=""),"",計分!$AP17-計分!J17)</f>
        <v/>
      </c>
      <c r="K17">
        <f>IF(OR(計分!K17="",計分!$AP17=""),"",計分!$AP17-計分!K17)</f>
        <v/>
      </c>
      <c r="L17">
        <f>IF(OR(計分!L17="",計分!$AP17=""),"",計分!$AP17-計分!L17)</f>
        <v/>
      </c>
      <c r="M17">
        <f>IF(OR(計分!M17="",計分!$AP17=""),"",計分!$AP17-計分!M17)</f>
        <v/>
      </c>
      <c r="N17">
        <f>IF(OR(計分!N17="",計分!$AP17=""),"",計分!$AP17-計分!N17)</f>
        <v/>
      </c>
      <c r="O17">
        <f>IF(OR(計分!O17="",計分!$AP17=""),"",計分!$AP17-計分!O17)</f>
        <v/>
      </c>
      <c r="P17">
        <f>IF(OR(計分!P17="",計分!$AP17=""),"",計分!$AP17-計分!P17)</f>
        <v/>
      </c>
      <c r="Q17">
        <f>IF(OR(計分!Q17="",計分!$AP17=""),"",計分!$AP17-計分!Q17)</f>
        <v/>
      </c>
      <c r="R17">
        <f>IF(OR(計分!R17="",計分!$AP17=""),"",計分!$AP17-計分!R17)</f>
        <v/>
      </c>
      <c r="S17">
        <f>IF(OR(計分!S17="",計分!$AP17=""),"",計分!$AP17-計分!S17)</f>
        <v/>
      </c>
      <c r="T17">
        <f>IF(OR(計分!T17="",計分!$AP17=""),"",計分!$AP17-計分!T17)</f>
        <v/>
      </c>
      <c r="U17">
        <f>IF(OR(計分!U17="",計分!$AP17=""),"",計分!$AP17-計分!U17)</f>
        <v/>
      </c>
      <c r="V17">
        <f>IF(OR(計分!V17="",計分!$AP17=""),"",計分!$AP17-計分!V17)</f>
        <v/>
      </c>
      <c r="W17">
        <f>IF(OR(計分!W17="",計分!$AP17=""),"",計分!$AP17-計分!W17)</f>
        <v/>
      </c>
      <c r="X17">
        <f>IF(OR(計分!X17="",計分!$AP17=""),"",計分!$AP17-計分!X17)</f>
        <v/>
      </c>
      <c r="Y17">
        <f>IF(OR(計分!Y17="",計分!$AP17=""),"",計分!$AP17-計分!Y17)</f>
        <v/>
      </c>
      <c r="Z17">
        <f>IF(OR(計分!Z17="",計分!$AP17=""),"",計分!$AP17-計分!Z17)</f>
        <v/>
      </c>
      <c r="AA17">
        <f>IF(OR(計分!AA17="",計分!$AP17=""),"",計分!$AP17-計分!AA17)</f>
        <v/>
      </c>
      <c r="AB17">
        <f>IF(OR(計分!AB17="",計分!$AP17=""),"",計分!$AP17-計分!AB17)</f>
        <v/>
      </c>
      <c r="AC17">
        <f>IF(OR(計分!AC17="",計分!$AP17=""),"",計分!$AP17-計分!AC17)</f>
        <v/>
      </c>
      <c r="AD17">
        <f>IF(OR(計分!AD17="",計分!$AP17=""),"",計分!$AP17-計分!AD17)</f>
        <v/>
      </c>
      <c r="AE17">
        <f>IF(OR(計分!AE17="",計分!$AP17=""),"",計分!$AP17-計分!AE17)</f>
        <v/>
      </c>
      <c r="AF17">
        <f>IF(OR(計分!AF17="",計分!$AP17=""),"",計分!$AP17-計分!AF17)</f>
        <v/>
      </c>
      <c r="AG17">
        <f>IF(OR(計分!AG17="",計分!$AP17=""),"",計分!$AP17-計分!AG17)</f>
        <v/>
      </c>
      <c r="AH17">
        <f>IF(OR(計分!AH17="",計分!$AP17=""),"",計分!$AP17-計分!AH17)</f>
        <v/>
      </c>
      <c r="AI17">
        <f>IF(OR(計分!AI17="",計分!$AP17=""),"",計分!$AP17-計分!AI17)</f>
        <v/>
      </c>
      <c r="AJ17">
        <f>IF(OR(計分!AJ17="",計分!$AP17=""),"",計分!$AP17-計分!AJ17)</f>
        <v/>
      </c>
      <c r="AK17">
        <f>IF(OR(計分!AK17="",計分!$AP17=""),"",計分!$AP17-計分!AK17)</f>
        <v/>
      </c>
      <c r="AL17">
        <f>IF(OR(計分!AL17="",計分!$AP17=""),"",計分!$AP17-計分!AL17)</f>
        <v/>
      </c>
      <c r="AM17">
        <f>IF(OR(計分!AM17="",計分!$AP17=""),"",計分!$AP17-計分!AM17)</f>
        <v/>
      </c>
      <c r="AN17">
        <f>IF(OR(計分!AN17="",計分!$AP17=""),"",計分!$AP17-計分!AN17)</f>
        <v/>
      </c>
      <c r="AO17">
        <f>IF(OR(計分!AO17="",計分!$AP17=""),"",計分!$AP17-計分!AO17)</f>
        <v/>
      </c>
    </row>
    <row r="18">
      <c r="A18">
        <f>計分!A18</f>
        <v/>
      </c>
      <c r="B18">
        <f>IF(OR(計分!B18="",計分!$AP18=""),"",計分!$AP18-計分!B18)</f>
        <v/>
      </c>
      <c r="C18">
        <f>IF(OR(計分!C18="",計分!$AP18=""),"",計分!$AP18-計分!C18)</f>
        <v/>
      </c>
      <c r="D18">
        <f>IF(OR(計分!D18="",計分!$AP18=""),"",計分!$AP18-計分!D18)</f>
        <v/>
      </c>
      <c r="E18">
        <f>IF(OR(計分!E18="",計分!$AP18=""),"",計分!$AP18-計分!E18)</f>
        <v/>
      </c>
      <c r="F18">
        <f>IF(OR(計分!F18="",計分!$AP18=""),"",計分!$AP18-計分!F18)</f>
        <v/>
      </c>
      <c r="G18">
        <f>IF(OR(計分!G18="",計分!$AP18=""),"",計分!$AP18-計分!G18)</f>
        <v/>
      </c>
      <c r="H18">
        <f>IF(OR(計分!H18="",計分!$AP18=""),"",計分!$AP18-計分!H18)</f>
        <v/>
      </c>
      <c r="I18">
        <f>IF(OR(計分!I18="",計分!$AP18=""),"",計分!$AP18-計分!I18)</f>
        <v/>
      </c>
      <c r="J18">
        <f>IF(OR(計分!J18="",計分!$AP18=""),"",計分!$AP18-計分!J18)</f>
        <v/>
      </c>
      <c r="K18">
        <f>IF(OR(計分!K18="",計分!$AP18=""),"",計分!$AP18-計分!K18)</f>
        <v/>
      </c>
      <c r="L18">
        <f>IF(OR(計分!L18="",計分!$AP18=""),"",計分!$AP18-計分!L18)</f>
        <v/>
      </c>
      <c r="M18">
        <f>IF(OR(計分!M18="",計分!$AP18=""),"",計分!$AP18-計分!M18)</f>
        <v/>
      </c>
      <c r="N18">
        <f>IF(OR(計分!N18="",計分!$AP18=""),"",計分!$AP18-計分!N18)</f>
        <v/>
      </c>
      <c r="O18">
        <f>IF(OR(計分!O18="",計分!$AP18=""),"",計分!$AP18-計分!O18)</f>
        <v/>
      </c>
      <c r="P18">
        <f>IF(OR(計分!P18="",計分!$AP18=""),"",計分!$AP18-計分!P18)</f>
        <v/>
      </c>
      <c r="Q18">
        <f>IF(OR(計分!Q18="",計分!$AP18=""),"",計分!$AP18-計分!Q18)</f>
        <v/>
      </c>
      <c r="R18">
        <f>IF(OR(計分!R18="",計分!$AP18=""),"",計分!$AP18-計分!R18)</f>
        <v/>
      </c>
      <c r="S18">
        <f>IF(OR(計分!S18="",計分!$AP18=""),"",計分!$AP18-計分!S18)</f>
        <v/>
      </c>
      <c r="T18">
        <f>IF(OR(計分!T18="",計分!$AP18=""),"",計分!$AP18-計分!T18)</f>
        <v/>
      </c>
      <c r="U18">
        <f>IF(OR(計分!U18="",計分!$AP18=""),"",計分!$AP18-計分!U18)</f>
        <v/>
      </c>
      <c r="V18">
        <f>IF(OR(計分!V18="",計分!$AP18=""),"",計分!$AP18-計分!V18)</f>
        <v/>
      </c>
      <c r="W18">
        <f>IF(OR(計分!W18="",計分!$AP18=""),"",計分!$AP18-計分!W18)</f>
        <v/>
      </c>
      <c r="X18">
        <f>IF(OR(計分!X18="",計分!$AP18=""),"",計分!$AP18-計分!X18)</f>
        <v/>
      </c>
      <c r="Y18">
        <f>IF(OR(計分!Y18="",計分!$AP18=""),"",計分!$AP18-計分!Y18)</f>
        <v/>
      </c>
      <c r="Z18">
        <f>IF(OR(計分!Z18="",計分!$AP18=""),"",計分!$AP18-計分!Z18)</f>
        <v/>
      </c>
      <c r="AA18">
        <f>IF(OR(計分!AA18="",計分!$AP18=""),"",計分!$AP18-計分!AA18)</f>
        <v/>
      </c>
      <c r="AB18">
        <f>IF(OR(計分!AB18="",計分!$AP18=""),"",計分!$AP18-計分!AB18)</f>
        <v/>
      </c>
      <c r="AC18">
        <f>IF(OR(計分!AC18="",計分!$AP18=""),"",計分!$AP18-計分!AC18)</f>
        <v/>
      </c>
      <c r="AD18">
        <f>IF(OR(計分!AD18="",計分!$AP18=""),"",計分!$AP18-計分!AD18)</f>
        <v/>
      </c>
      <c r="AE18">
        <f>IF(OR(計分!AE18="",計分!$AP18=""),"",計分!$AP18-計分!AE18)</f>
        <v/>
      </c>
      <c r="AF18">
        <f>IF(OR(計分!AF18="",計分!$AP18=""),"",計分!$AP18-計分!AF18)</f>
        <v/>
      </c>
      <c r="AG18">
        <f>IF(OR(計分!AG18="",計分!$AP18=""),"",計分!$AP18-計分!AG18)</f>
        <v/>
      </c>
      <c r="AH18">
        <f>IF(OR(計分!AH18="",計分!$AP18=""),"",計分!$AP18-計分!AH18)</f>
        <v/>
      </c>
      <c r="AI18">
        <f>IF(OR(計分!AI18="",計分!$AP18=""),"",計分!$AP18-計分!AI18)</f>
        <v/>
      </c>
      <c r="AJ18">
        <f>IF(OR(計分!AJ18="",計分!$AP18=""),"",計分!$AP18-計分!AJ18)</f>
        <v/>
      </c>
      <c r="AK18">
        <f>IF(OR(計分!AK18="",計分!$AP18=""),"",計分!$AP18-計分!AK18)</f>
        <v/>
      </c>
      <c r="AL18">
        <f>IF(OR(計分!AL18="",計分!$AP18=""),"",計分!$AP18-計分!AL18)</f>
        <v/>
      </c>
      <c r="AM18">
        <f>IF(OR(計分!AM18="",計分!$AP18=""),"",計分!$AP18-計分!AM18)</f>
        <v/>
      </c>
      <c r="AN18">
        <f>IF(OR(計分!AN18="",計分!$AP18=""),"",計分!$AP18-計分!AN18)</f>
        <v/>
      </c>
      <c r="AO18">
        <f>IF(OR(計分!AO18="",計分!$AP18=""),"",計分!$AP18-計分!AO18)</f>
        <v/>
      </c>
    </row>
    <row r="19">
      <c r="A19">
        <f>計分!A19</f>
        <v/>
      </c>
      <c r="B19">
        <f>IF(OR(計分!B19="",計分!$AP19=""),"",計分!$AP19-計分!B19)</f>
        <v/>
      </c>
      <c r="C19">
        <f>IF(OR(計分!C19="",計分!$AP19=""),"",計分!$AP19-計分!C19)</f>
        <v/>
      </c>
      <c r="D19">
        <f>IF(OR(計分!D19="",計分!$AP19=""),"",計分!$AP19-計分!D19)</f>
        <v/>
      </c>
      <c r="E19">
        <f>IF(OR(計分!E19="",計分!$AP19=""),"",計分!$AP19-計分!E19)</f>
        <v/>
      </c>
      <c r="F19">
        <f>IF(OR(計分!F19="",計分!$AP19=""),"",計分!$AP19-計分!F19)</f>
        <v/>
      </c>
      <c r="G19">
        <f>IF(OR(計分!G19="",計分!$AP19=""),"",計分!$AP19-計分!G19)</f>
        <v/>
      </c>
      <c r="H19">
        <f>IF(OR(計分!H19="",計分!$AP19=""),"",計分!$AP19-計分!H19)</f>
        <v/>
      </c>
      <c r="I19">
        <f>IF(OR(計分!I19="",計分!$AP19=""),"",計分!$AP19-計分!I19)</f>
        <v/>
      </c>
      <c r="J19">
        <f>IF(OR(計分!J19="",計分!$AP19=""),"",計分!$AP19-計分!J19)</f>
        <v/>
      </c>
      <c r="K19">
        <f>IF(OR(計分!K19="",計分!$AP19=""),"",計分!$AP19-計分!K19)</f>
        <v/>
      </c>
      <c r="L19">
        <f>IF(OR(計分!L19="",計分!$AP19=""),"",計分!$AP19-計分!L19)</f>
        <v/>
      </c>
      <c r="M19">
        <f>IF(OR(計分!M19="",計分!$AP19=""),"",計分!$AP19-計分!M19)</f>
        <v/>
      </c>
      <c r="N19">
        <f>IF(OR(計分!N19="",計分!$AP19=""),"",計分!$AP19-計分!N19)</f>
        <v/>
      </c>
      <c r="O19">
        <f>IF(OR(計分!O19="",計分!$AP19=""),"",計分!$AP19-計分!O19)</f>
        <v/>
      </c>
      <c r="P19">
        <f>IF(OR(計分!P19="",計分!$AP19=""),"",計分!$AP19-計分!P19)</f>
        <v/>
      </c>
      <c r="Q19">
        <f>IF(OR(計分!Q19="",計分!$AP19=""),"",計分!$AP19-計分!Q19)</f>
        <v/>
      </c>
      <c r="R19">
        <f>IF(OR(計分!R19="",計分!$AP19=""),"",計分!$AP19-計分!R19)</f>
        <v/>
      </c>
      <c r="S19">
        <f>IF(OR(計分!S19="",計分!$AP19=""),"",計分!$AP19-計分!S19)</f>
        <v/>
      </c>
      <c r="T19">
        <f>IF(OR(計分!T19="",計分!$AP19=""),"",計分!$AP19-計分!T19)</f>
        <v/>
      </c>
      <c r="U19">
        <f>IF(OR(計分!U19="",計分!$AP19=""),"",計分!$AP19-計分!U19)</f>
        <v/>
      </c>
      <c r="V19">
        <f>IF(OR(計分!V19="",計分!$AP19=""),"",計分!$AP19-計分!V19)</f>
        <v/>
      </c>
      <c r="W19">
        <f>IF(OR(計分!W19="",計分!$AP19=""),"",計分!$AP19-計分!W19)</f>
        <v/>
      </c>
      <c r="X19">
        <f>IF(OR(計分!X19="",計分!$AP19=""),"",計分!$AP19-計分!X19)</f>
        <v/>
      </c>
      <c r="Y19">
        <f>IF(OR(計分!Y19="",計分!$AP19=""),"",計分!$AP19-計分!Y19)</f>
        <v/>
      </c>
      <c r="Z19">
        <f>IF(OR(計分!Z19="",計分!$AP19=""),"",計分!$AP19-計分!Z19)</f>
        <v/>
      </c>
      <c r="AA19">
        <f>IF(OR(計分!AA19="",計分!$AP19=""),"",計分!$AP19-計分!AA19)</f>
        <v/>
      </c>
      <c r="AB19">
        <f>IF(OR(計分!AB19="",計分!$AP19=""),"",計分!$AP19-計分!AB19)</f>
        <v/>
      </c>
      <c r="AC19">
        <f>IF(OR(計分!AC19="",計分!$AP19=""),"",計分!$AP19-計分!AC19)</f>
        <v/>
      </c>
      <c r="AD19">
        <f>IF(OR(計分!AD19="",計分!$AP19=""),"",計分!$AP19-計分!AD19)</f>
        <v/>
      </c>
      <c r="AE19">
        <f>IF(OR(計分!AE19="",計分!$AP19=""),"",計分!$AP19-計分!AE19)</f>
        <v/>
      </c>
      <c r="AF19">
        <f>IF(OR(計分!AF19="",計分!$AP19=""),"",計分!$AP19-計分!AF19)</f>
        <v/>
      </c>
      <c r="AG19">
        <f>IF(OR(計分!AG19="",計分!$AP19=""),"",計分!$AP19-計分!AG19)</f>
        <v/>
      </c>
      <c r="AH19">
        <f>IF(OR(計分!AH19="",計分!$AP19=""),"",計分!$AP19-計分!AH19)</f>
        <v/>
      </c>
      <c r="AI19">
        <f>IF(OR(計分!AI19="",計分!$AP19=""),"",計分!$AP19-計分!AI19)</f>
        <v/>
      </c>
      <c r="AJ19">
        <f>IF(OR(計分!AJ19="",計分!$AP19=""),"",計分!$AP19-計分!AJ19)</f>
        <v/>
      </c>
      <c r="AK19">
        <f>IF(OR(計分!AK19="",計分!$AP19=""),"",計分!$AP19-計分!AK19)</f>
        <v/>
      </c>
      <c r="AL19">
        <f>IF(OR(計分!AL19="",計分!$AP19=""),"",計分!$AP19-計分!AL19)</f>
        <v/>
      </c>
      <c r="AM19">
        <f>IF(OR(計分!AM19="",計分!$AP19=""),"",計分!$AP19-計分!AM19)</f>
        <v/>
      </c>
      <c r="AN19">
        <f>IF(OR(計分!AN19="",計分!$AP19=""),"",計分!$AP19-計分!AN19)</f>
        <v/>
      </c>
      <c r="AO19">
        <f>IF(OR(計分!AO19="",計分!$AP19=""),"",計分!$AP19-計分!AO19)</f>
        <v/>
      </c>
    </row>
    <row r="20">
      <c r="A20">
        <f>計分!A20</f>
        <v/>
      </c>
      <c r="B20">
        <f>IF(OR(計分!B20="",計分!$AP20=""),"",計分!$AP20-計分!B20)</f>
        <v/>
      </c>
      <c r="C20">
        <f>IF(OR(計分!C20="",計分!$AP20=""),"",計分!$AP20-計分!C20)</f>
        <v/>
      </c>
      <c r="D20">
        <f>IF(OR(計分!D20="",計分!$AP20=""),"",計分!$AP20-計分!D20)</f>
        <v/>
      </c>
      <c r="E20">
        <f>IF(OR(計分!E20="",計分!$AP20=""),"",計分!$AP20-計分!E20)</f>
        <v/>
      </c>
      <c r="F20">
        <f>IF(OR(計分!F20="",計分!$AP20=""),"",計分!$AP20-計分!F20)</f>
        <v/>
      </c>
      <c r="G20">
        <f>IF(OR(計分!G20="",計分!$AP20=""),"",計分!$AP20-計分!G20)</f>
        <v/>
      </c>
      <c r="H20">
        <f>IF(OR(計分!H20="",計分!$AP20=""),"",計分!$AP20-計分!H20)</f>
        <v/>
      </c>
      <c r="I20">
        <f>IF(OR(計分!I20="",計分!$AP20=""),"",計分!$AP20-計分!I20)</f>
        <v/>
      </c>
      <c r="J20">
        <f>IF(OR(計分!J20="",計分!$AP20=""),"",計分!$AP20-計分!J20)</f>
        <v/>
      </c>
      <c r="K20">
        <f>IF(OR(計分!K20="",計分!$AP20=""),"",計分!$AP20-計分!K20)</f>
        <v/>
      </c>
      <c r="L20">
        <f>IF(OR(計分!L20="",計分!$AP20=""),"",計分!$AP20-計分!L20)</f>
        <v/>
      </c>
      <c r="M20">
        <f>IF(OR(計分!M20="",計分!$AP20=""),"",計分!$AP20-計分!M20)</f>
        <v/>
      </c>
      <c r="N20">
        <f>IF(OR(計分!N20="",計分!$AP20=""),"",計分!$AP20-計分!N20)</f>
        <v/>
      </c>
      <c r="O20">
        <f>IF(OR(計分!O20="",計分!$AP20=""),"",計分!$AP20-計分!O20)</f>
        <v/>
      </c>
      <c r="P20">
        <f>IF(OR(計分!P20="",計分!$AP20=""),"",計分!$AP20-計分!P20)</f>
        <v/>
      </c>
      <c r="Q20">
        <f>IF(OR(計分!Q20="",計分!$AP20=""),"",計分!$AP20-計分!Q20)</f>
        <v/>
      </c>
      <c r="R20">
        <f>IF(OR(計分!R20="",計分!$AP20=""),"",計分!$AP20-計分!R20)</f>
        <v/>
      </c>
      <c r="S20">
        <f>IF(OR(計分!S20="",計分!$AP20=""),"",計分!$AP20-計分!S20)</f>
        <v/>
      </c>
      <c r="T20">
        <f>IF(OR(計分!T20="",計分!$AP20=""),"",計分!$AP20-計分!T20)</f>
        <v/>
      </c>
      <c r="U20">
        <f>IF(OR(計分!U20="",計分!$AP20=""),"",計分!$AP20-計分!U20)</f>
        <v/>
      </c>
      <c r="V20">
        <f>IF(OR(計分!V20="",計分!$AP20=""),"",計分!$AP20-計分!V20)</f>
        <v/>
      </c>
      <c r="W20">
        <f>IF(OR(計分!W20="",計分!$AP20=""),"",計分!$AP20-計分!W20)</f>
        <v/>
      </c>
      <c r="X20">
        <f>IF(OR(計分!X20="",計分!$AP20=""),"",計分!$AP20-計分!X20)</f>
        <v/>
      </c>
      <c r="Y20">
        <f>IF(OR(計分!Y20="",計分!$AP20=""),"",計分!$AP20-計分!Y20)</f>
        <v/>
      </c>
      <c r="Z20">
        <f>IF(OR(計分!Z20="",計分!$AP20=""),"",計分!$AP20-計分!Z20)</f>
        <v/>
      </c>
      <c r="AA20">
        <f>IF(OR(計分!AA20="",計分!$AP20=""),"",計分!$AP20-計分!AA20)</f>
        <v/>
      </c>
      <c r="AB20">
        <f>IF(OR(計分!AB20="",計分!$AP20=""),"",計分!$AP20-計分!AB20)</f>
        <v/>
      </c>
      <c r="AC20">
        <f>IF(OR(計分!AC20="",計分!$AP20=""),"",計分!$AP20-計分!AC20)</f>
        <v/>
      </c>
      <c r="AD20">
        <f>IF(OR(計分!AD20="",計分!$AP20=""),"",計分!$AP20-計分!AD20)</f>
        <v/>
      </c>
      <c r="AE20">
        <f>IF(OR(計分!AE20="",計分!$AP20=""),"",計分!$AP20-計分!AE20)</f>
        <v/>
      </c>
      <c r="AF20">
        <f>IF(OR(計分!AF20="",計分!$AP20=""),"",計分!$AP20-計分!AF20)</f>
        <v/>
      </c>
      <c r="AG20">
        <f>IF(OR(計分!AG20="",計分!$AP20=""),"",計分!$AP20-計分!AG20)</f>
        <v/>
      </c>
      <c r="AH20">
        <f>IF(OR(計分!AH20="",計分!$AP20=""),"",計分!$AP20-計分!AH20)</f>
        <v/>
      </c>
      <c r="AI20">
        <f>IF(OR(計分!AI20="",計分!$AP20=""),"",計分!$AP20-計分!AI20)</f>
        <v/>
      </c>
      <c r="AJ20">
        <f>IF(OR(計分!AJ20="",計分!$AP20=""),"",計分!$AP20-計分!AJ20)</f>
        <v/>
      </c>
      <c r="AK20">
        <f>IF(OR(計分!AK20="",計分!$AP20=""),"",計分!$AP20-計分!AK20)</f>
        <v/>
      </c>
      <c r="AL20">
        <f>IF(OR(計分!AL20="",計分!$AP20=""),"",計分!$AP20-計分!AL20)</f>
        <v/>
      </c>
      <c r="AM20">
        <f>IF(OR(計分!AM20="",計分!$AP20=""),"",計分!$AP20-計分!AM20)</f>
        <v/>
      </c>
      <c r="AN20">
        <f>IF(OR(計分!AN20="",計分!$AP20=""),"",計分!$AP20-計分!AN20)</f>
        <v/>
      </c>
      <c r="AO20">
        <f>IF(OR(計分!AO20="",計分!$AP20=""),"",計分!$AP20-計分!AO20)</f>
        <v/>
      </c>
    </row>
    <row r="21">
      <c r="A21">
        <f>計分!A21</f>
        <v/>
      </c>
      <c r="B21">
        <f>IF(OR(計分!B21="",計分!$AP21=""),"",計分!$AP21-計分!B21)</f>
        <v/>
      </c>
      <c r="C21">
        <f>IF(OR(計分!C21="",計分!$AP21=""),"",計分!$AP21-計分!C21)</f>
        <v/>
      </c>
      <c r="D21">
        <f>IF(OR(計分!D21="",計分!$AP21=""),"",計分!$AP21-計分!D21)</f>
        <v/>
      </c>
      <c r="E21">
        <f>IF(OR(計分!E21="",計分!$AP21=""),"",計分!$AP21-計分!E21)</f>
        <v/>
      </c>
      <c r="F21">
        <f>IF(OR(計分!F21="",計分!$AP21=""),"",計分!$AP21-計分!F21)</f>
        <v/>
      </c>
      <c r="G21">
        <f>IF(OR(計分!G21="",計分!$AP21=""),"",計分!$AP21-計分!G21)</f>
        <v/>
      </c>
      <c r="H21">
        <f>IF(OR(計分!H21="",計分!$AP21=""),"",計分!$AP21-計分!H21)</f>
        <v/>
      </c>
      <c r="I21">
        <f>IF(OR(計分!I21="",計分!$AP21=""),"",計分!$AP21-計分!I21)</f>
        <v/>
      </c>
      <c r="J21">
        <f>IF(OR(計分!J21="",計分!$AP21=""),"",計分!$AP21-計分!J21)</f>
        <v/>
      </c>
      <c r="K21">
        <f>IF(OR(計分!K21="",計分!$AP21=""),"",計分!$AP21-計分!K21)</f>
        <v/>
      </c>
      <c r="L21">
        <f>IF(OR(計分!L21="",計分!$AP21=""),"",計分!$AP21-計分!L21)</f>
        <v/>
      </c>
      <c r="M21">
        <f>IF(OR(計分!M21="",計分!$AP21=""),"",計分!$AP21-計分!M21)</f>
        <v/>
      </c>
      <c r="N21">
        <f>IF(OR(計分!N21="",計分!$AP21=""),"",計分!$AP21-計分!N21)</f>
        <v/>
      </c>
      <c r="O21">
        <f>IF(OR(計分!O21="",計分!$AP21=""),"",計分!$AP21-計分!O21)</f>
        <v/>
      </c>
      <c r="P21">
        <f>IF(OR(計分!P21="",計分!$AP21=""),"",計分!$AP21-計分!P21)</f>
        <v/>
      </c>
      <c r="Q21">
        <f>IF(OR(計分!Q21="",計分!$AP21=""),"",計分!$AP21-計分!Q21)</f>
        <v/>
      </c>
      <c r="R21">
        <f>IF(OR(計分!R21="",計分!$AP21=""),"",計分!$AP21-計分!R21)</f>
        <v/>
      </c>
      <c r="S21">
        <f>IF(OR(計分!S21="",計分!$AP21=""),"",計分!$AP21-計分!S21)</f>
        <v/>
      </c>
      <c r="T21">
        <f>IF(OR(計分!T21="",計分!$AP21=""),"",計分!$AP21-計分!T21)</f>
        <v/>
      </c>
      <c r="U21">
        <f>IF(OR(計分!U21="",計分!$AP21=""),"",計分!$AP21-計分!U21)</f>
        <v/>
      </c>
      <c r="V21">
        <f>IF(OR(計分!V21="",計分!$AP21=""),"",計分!$AP21-計分!V21)</f>
        <v/>
      </c>
      <c r="W21">
        <f>IF(OR(計分!W21="",計分!$AP21=""),"",計分!$AP21-計分!W21)</f>
        <v/>
      </c>
      <c r="X21">
        <f>IF(OR(計分!X21="",計分!$AP21=""),"",計分!$AP21-計分!X21)</f>
        <v/>
      </c>
      <c r="Y21">
        <f>IF(OR(計分!Y21="",計分!$AP21=""),"",計分!$AP21-計分!Y21)</f>
        <v/>
      </c>
      <c r="Z21">
        <f>IF(OR(計分!Z21="",計分!$AP21=""),"",計分!$AP21-計分!Z21)</f>
        <v/>
      </c>
      <c r="AA21">
        <f>IF(OR(計分!AA21="",計分!$AP21=""),"",計分!$AP21-計分!AA21)</f>
        <v/>
      </c>
      <c r="AB21">
        <f>IF(OR(計分!AB21="",計分!$AP21=""),"",計分!$AP21-計分!AB21)</f>
        <v/>
      </c>
      <c r="AC21">
        <f>IF(OR(計分!AC21="",計分!$AP21=""),"",計分!$AP21-計分!AC21)</f>
        <v/>
      </c>
      <c r="AD21">
        <f>IF(OR(計分!AD21="",計分!$AP21=""),"",計分!$AP21-計分!AD21)</f>
        <v/>
      </c>
      <c r="AE21">
        <f>IF(OR(計分!AE21="",計分!$AP21=""),"",計分!$AP21-計分!AE21)</f>
        <v/>
      </c>
      <c r="AF21">
        <f>IF(OR(計分!AF21="",計分!$AP21=""),"",計分!$AP21-計分!AF21)</f>
        <v/>
      </c>
      <c r="AG21">
        <f>IF(OR(計分!AG21="",計分!$AP21=""),"",計分!$AP21-計分!AG21)</f>
        <v/>
      </c>
      <c r="AH21">
        <f>IF(OR(計分!AH21="",計分!$AP21=""),"",計分!$AP21-計分!AH21)</f>
        <v/>
      </c>
      <c r="AI21">
        <f>IF(OR(計分!AI21="",計分!$AP21=""),"",計分!$AP21-計分!AI21)</f>
        <v/>
      </c>
      <c r="AJ21">
        <f>IF(OR(計分!AJ21="",計分!$AP21=""),"",計分!$AP21-計分!AJ21)</f>
        <v/>
      </c>
      <c r="AK21">
        <f>IF(OR(計分!AK21="",計分!$AP21=""),"",計分!$AP21-計分!AK21)</f>
        <v/>
      </c>
      <c r="AL21">
        <f>IF(OR(計分!AL21="",計分!$AP21=""),"",計分!$AP21-計分!AL21)</f>
        <v/>
      </c>
      <c r="AM21">
        <f>IF(OR(計分!AM21="",計分!$AP21=""),"",計分!$AP21-計分!AM21)</f>
        <v/>
      </c>
      <c r="AN21">
        <f>IF(OR(計分!AN21="",計分!$AP21=""),"",計分!$AP21-計分!AN21)</f>
        <v/>
      </c>
      <c r="AO21">
        <f>IF(OR(計分!AO21="",計分!$AP21=""),"",計分!$AP21-計分!AO21)</f>
        <v/>
      </c>
    </row>
    <row r="22">
      <c r="A22">
        <f>計分!A22</f>
        <v/>
      </c>
      <c r="B22">
        <f>IF(OR(計分!B22="",計分!$AP22=""),"",計分!$AP22-計分!B22)</f>
        <v/>
      </c>
      <c r="C22">
        <f>IF(OR(計分!C22="",計分!$AP22=""),"",計分!$AP22-計分!C22)</f>
        <v/>
      </c>
      <c r="D22">
        <f>IF(OR(計分!D22="",計分!$AP22=""),"",計分!$AP22-計分!D22)</f>
        <v/>
      </c>
      <c r="E22">
        <f>IF(OR(計分!E22="",計分!$AP22=""),"",計分!$AP22-計分!E22)</f>
        <v/>
      </c>
      <c r="F22">
        <f>IF(OR(計分!F22="",計分!$AP22=""),"",計分!$AP22-計分!F22)</f>
        <v/>
      </c>
      <c r="G22">
        <f>IF(OR(計分!G22="",計分!$AP22=""),"",計分!$AP22-計分!G22)</f>
        <v/>
      </c>
      <c r="H22">
        <f>IF(OR(計分!H22="",計分!$AP22=""),"",計分!$AP22-計分!H22)</f>
        <v/>
      </c>
      <c r="I22">
        <f>IF(OR(計分!I22="",計分!$AP22=""),"",計分!$AP22-計分!I22)</f>
        <v/>
      </c>
      <c r="J22">
        <f>IF(OR(計分!J22="",計分!$AP22=""),"",計分!$AP22-計分!J22)</f>
        <v/>
      </c>
      <c r="K22">
        <f>IF(OR(計分!K22="",計分!$AP22=""),"",計分!$AP22-計分!K22)</f>
        <v/>
      </c>
      <c r="L22">
        <f>IF(OR(計分!L22="",計分!$AP22=""),"",計分!$AP22-計分!L22)</f>
        <v/>
      </c>
      <c r="M22">
        <f>IF(OR(計分!M22="",計分!$AP22=""),"",計分!$AP22-計分!M22)</f>
        <v/>
      </c>
      <c r="N22">
        <f>IF(OR(計分!N22="",計分!$AP22=""),"",計分!$AP22-計分!N22)</f>
        <v/>
      </c>
      <c r="O22">
        <f>IF(OR(計分!O22="",計分!$AP22=""),"",計分!$AP22-計分!O22)</f>
        <v/>
      </c>
      <c r="P22">
        <f>IF(OR(計分!P22="",計分!$AP22=""),"",計分!$AP22-計分!P22)</f>
        <v/>
      </c>
      <c r="Q22">
        <f>IF(OR(計分!Q22="",計分!$AP22=""),"",計分!$AP22-計分!Q22)</f>
        <v/>
      </c>
      <c r="R22">
        <f>IF(OR(計分!R22="",計分!$AP22=""),"",計分!$AP22-計分!R22)</f>
        <v/>
      </c>
      <c r="S22">
        <f>IF(OR(計分!S22="",計分!$AP22=""),"",計分!$AP22-計分!S22)</f>
        <v/>
      </c>
      <c r="T22">
        <f>IF(OR(計分!T22="",計分!$AP22=""),"",計分!$AP22-計分!T22)</f>
        <v/>
      </c>
      <c r="U22">
        <f>IF(OR(計分!U22="",計分!$AP22=""),"",計分!$AP22-計分!U22)</f>
        <v/>
      </c>
      <c r="V22">
        <f>IF(OR(計分!V22="",計分!$AP22=""),"",計分!$AP22-計分!V22)</f>
        <v/>
      </c>
      <c r="W22">
        <f>IF(OR(計分!W22="",計分!$AP22=""),"",計分!$AP22-計分!W22)</f>
        <v/>
      </c>
      <c r="X22">
        <f>IF(OR(計分!X22="",計分!$AP22=""),"",計分!$AP22-計分!X22)</f>
        <v/>
      </c>
      <c r="Y22">
        <f>IF(OR(計分!Y22="",計分!$AP22=""),"",計分!$AP22-計分!Y22)</f>
        <v/>
      </c>
      <c r="Z22">
        <f>IF(OR(計分!Z22="",計分!$AP22=""),"",計分!$AP22-計分!Z22)</f>
        <v/>
      </c>
      <c r="AA22">
        <f>IF(OR(計分!AA22="",計分!$AP22=""),"",計分!$AP22-計分!AA22)</f>
        <v/>
      </c>
      <c r="AB22">
        <f>IF(OR(計分!AB22="",計分!$AP22=""),"",計分!$AP22-計分!AB22)</f>
        <v/>
      </c>
      <c r="AC22">
        <f>IF(OR(計分!AC22="",計分!$AP22=""),"",計分!$AP22-計分!AC22)</f>
        <v/>
      </c>
      <c r="AD22">
        <f>IF(OR(計分!AD22="",計分!$AP22=""),"",計分!$AP22-計分!AD22)</f>
        <v/>
      </c>
      <c r="AE22">
        <f>IF(OR(計分!AE22="",計分!$AP22=""),"",計分!$AP22-計分!AE22)</f>
        <v/>
      </c>
      <c r="AF22">
        <f>IF(OR(計分!AF22="",計分!$AP22=""),"",計分!$AP22-計分!AF22)</f>
        <v/>
      </c>
      <c r="AG22">
        <f>IF(OR(計分!AG22="",計分!$AP22=""),"",計分!$AP22-計分!AG22)</f>
        <v/>
      </c>
      <c r="AH22">
        <f>IF(OR(計分!AH22="",計分!$AP22=""),"",計分!$AP22-計分!AH22)</f>
        <v/>
      </c>
      <c r="AI22">
        <f>IF(OR(計分!AI22="",計分!$AP22=""),"",計分!$AP22-計分!AI22)</f>
        <v/>
      </c>
      <c r="AJ22">
        <f>IF(OR(計分!AJ22="",計分!$AP22=""),"",計分!$AP22-計分!AJ22)</f>
        <v/>
      </c>
      <c r="AK22">
        <f>IF(OR(計分!AK22="",計分!$AP22=""),"",計分!$AP22-計分!AK22)</f>
        <v/>
      </c>
      <c r="AL22">
        <f>IF(OR(計分!AL22="",計分!$AP22=""),"",計分!$AP22-計分!AL22)</f>
        <v/>
      </c>
      <c r="AM22">
        <f>IF(OR(計分!AM22="",計分!$AP22=""),"",計分!$AP22-計分!AM22)</f>
        <v/>
      </c>
      <c r="AN22">
        <f>IF(OR(計分!AN22="",計分!$AP22=""),"",計分!$AP22-計分!AN22)</f>
        <v/>
      </c>
      <c r="AO22">
        <f>IF(OR(計分!AO22="",計分!$AP22=""),"",計分!$AP22-計分!AO22)</f>
        <v/>
      </c>
    </row>
    <row r="23">
      <c r="A23">
        <f>計分!A23</f>
        <v/>
      </c>
      <c r="B23">
        <f>IF(OR(計分!B23="",計分!$AP23=""),"",計分!$AP23-計分!B23)</f>
        <v/>
      </c>
      <c r="C23">
        <f>IF(OR(計分!C23="",計分!$AP23=""),"",計分!$AP23-計分!C23)</f>
        <v/>
      </c>
      <c r="D23">
        <f>IF(OR(計分!D23="",計分!$AP23=""),"",計分!$AP23-計分!D23)</f>
        <v/>
      </c>
      <c r="E23">
        <f>IF(OR(計分!E23="",計分!$AP23=""),"",計分!$AP23-計分!E23)</f>
        <v/>
      </c>
      <c r="F23">
        <f>IF(OR(計分!F23="",計分!$AP23=""),"",計分!$AP23-計分!F23)</f>
        <v/>
      </c>
      <c r="G23">
        <f>IF(OR(計分!G23="",計分!$AP23=""),"",計分!$AP23-計分!G23)</f>
        <v/>
      </c>
      <c r="H23">
        <f>IF(OR(計分!H23="",計分!$AP23=""),"",計分!$AP23-計分!H23)</f>
        <v/>
      </c>
      <c r="I23">
        <f>IF(OR(計分!I23="",計分!$AP23=""),"",計分!$AP23-計分!I23)</f>
        <v/>
      </c>
      <c r="J23">
        <f>IF(OR(計分!J23="",計分!$AP23=""),"",計分!$AP23-計分!J23)</f>
        <v/>
      </c>
      <c r="K23">
        <f>IF(OR(計分!K23="",計分!$AP23=""),"",計分!$AP23-計分!K23)</f>
        <v/>
      </c>
      <c r="L23">
        <f>IF(OR(計分!L23="",計分!$AP23=""),"",計分!$AP23-計分!L23)</f>
        <v/>
      </c>
      <c r="M23">
        <f>IF(OR(計分!M23="",計分!$AP23=""),"",計分!$AP23-計分!M23)</f>
        <v/>
      </c>
      <c r="N23">
        <f>IF(OR(計分!N23="",計分!$AP23=""),"",計分!$AP23-計分!N23)</f>
        <v/>
      </c>
      <c r="O23">
        <f>IF(OR(計分!O23="",計分!$AP23=""),"",計分!$AP23-計分!O23)</f>
        <v/>
      </c>
      <c r="P23">
        <f>IF(OR(計分!P23="",計分!$AP23=""),"",計分!$AP23-計分!P23)</f>
        <v/>
      </c>
      <c r="Q23">
        <f>IF(OR(計分!Q23="",計分!$AP23=""),"",計分!$AP23-計分!Q23)</f>
        <v/>
      </c>
      <c r="R23">
        <f>IF(OR(計分!R23="",計分!$AP23=""),"",計分!$AP23-計分!R23)</f>
        <v/>
      </c>
      <c r="S23">
        <f>IF(OR(計分!S23="",計分!$AP23=""),"",計分!$AP23-計分!S23)</f>
        <v/>
      </c>
      <c r="T23">
        <f>IF(OR(計分!T23="",計分!$AP23=""),"",計分!$AP23-計分!T23)</f>
        <v/>
      </c>
      <c r="U23">
        <f>IF(OR(計分!U23="",計分!$AP23=""),"",計分!$AP23-計分!U23)</f>
        <v/>
      </c>
      <c r="V23">
        <f>IF(OR(計分!V23="",計分!$AP23=""),"",計分!$AP23-計分!V23)</f>
        <v/>
      </c>
      <c r="W23">
        <f>IF(OR(計分!W23="",計分!$AP23=""),"",計分!$AP23-計分!W23)</f>
        <v/>
      </c>
      <c r="X23">
        <f>IF(OR(計分!X23="",計分!$AP23=""),"",計分!$AP23-計分!X23)</f>
        <v/>
      </c>
      <c r="Y23">
        <f>IF(OR(計分!Y23="",計分!$AP23=""),"",計分!$AP23-計分!Y23)</f>
        <v/>
      </c>
      <c r="Z23">
        <f>IF(OR(計分!Z23="",計分!$AP23=""),"",計分!$AP23-計分!Z23)</f>
        <v/>
      </c>
      <c r="AA23">
        <f>IF(OR(計分!AA23="",計分!$AP23=""),"",計分!$AP23-計分!AA23)</f>
        <v/>
      </c>
      <c r="AB23">
        <f>IF(OR(計分!AB23="",計分!$AP23=""),"",計分!$AP23-計分!AB23)</f>
        <v/>
      </c>
      <c r="AC23">
        <f>IF(OR(計分!AC23="",計分!$AP23=""),"",計分!$AP23-計分!AC23)</f>
        <v/>
      </c>
      <c r="AD23">
        <f>IF(OR(計分!AD23="",計分!$AP23=""),"",計分!$AP23-計分!AD23)</f>
        <v/>
      </c>
      <c r="AE23">
        <f>IF(OR(計分!AE23="",計分!$AP23=""),"",計分!$AP23-計分!AE23)</f>
        <v/>
      </c>
      <c r="AF23">
        <f>IF(OR(計分!AF23="",計分!$AP23=""),"",計分!$AP23-計分!AF23)</f>
        <v/>
      </c>
      <c r="AG23">
        <f>IF(OR(計分!AG23="",計分!$AP23=""),"",計分!$AP23-計分!AG23)</f>
        <v/>
      </c>
      <c r="AH23">
        <f>IF(OR(計分!AH23="",計分!$AP23=""),"",計分!$AP23-計分!AH23)</f>
        <v/>
      </c>
      <c r="AI23">
        <f>IF(OR(計分!AI23="",計分!$AP23=""),"",計分!$AP23-計分!AI23)</f>
        <v/>
      </c>
      <c r="AJ23">
        <f>IF(OR(計分!AJ23="",計分!$AP23=""),"",計分!$AP23-計分!AJ23)</f>
        <v/>
      </c>
      <c r="AK23">
        <f>IF(OR(計分!AK23="",計分!$AP23=""),"",計分!$AP23-計分!AK23)</f>
        <v/>
      </c>
      <c r="AL23">
        <f>IF(OR(計分!AL23="",計分!$AP23=""),"",計分!$AP23-計分!AL23)</f>
        <v/>
      </c>
      <c r="AM23">
        <f>IF(OR(計分!AM23="",計分!$AP23=""),"",計分!$AP23-計分!AM23)</f>
        <v/>
      </c>
      <c r="AN23">
        <f>IF(OR(計分!AN23="",計分!$AP23=""),"",計分!$AP23-計分!AN23)</f>
        <v/>
      </c>
      <c r="AO23">
        <f>IF(OR(計分!AO23="",計分!$AP23=""),"",計分!$AP23-計分!AO23)</f>
        <v/>
      </c>
    </row>
    <row r="24">
      <c r="A24">
        <f>計分!A24</f>
        <v/>
      </c>
      <c r="B24">
        <f>IF(OR(計分!B24="",計分!$AP24=""),"",計分!$AP24-計分!B24)</f>
        <v/>
      </c>
      <c r="C24">
        <f>IF(OR(計分!C24="",計分!$AP24=""),"",計分!$AP24-計分!C24)</f>
        <v/>
      </c>
      <c r="D24">
        <f>IF(OR(計分!D24="",計分!$AP24=""),"",計分!$AP24-計分!D24)</f>
        <v/>
      </c>
      <c r="E24">
        <f>IF(OR(計分!E24="",計分!$AP24=""),"",計分!$AP24-計分!E24)</f>
        <v/>
      </c>
      <c r="F24">
        <f>IF(OR(計分!F24="",計分!$AP24=""),"",計分!$AP24-計分!F24)</f>
        <v/>
      </c>
      <c r="G24">
        <f>IF(OR(計分!G24="",計分!$AP24=""),"",計分!$AP24-計分!G24)</f>
        <v/>
      </c>
      <c r="H24">
        <f>IF(OR(計分!H24="",計分!$AP24=""),"",計分!$AP24-計分!H24)</f>
        <v/>
      </c>
      <c r="I24">
        <f>IF(OR(計分!I24="",計分!$AP24=""),"",計分!$AP24-計分!I24)</f>
        <v/>
      </c>
      <c r="J24">
        <f>IF(OR(計分!J24="",計分!$AP24=""),"",計分!$AP24-計分!J24)</f>
        <v/>
      </c>
      <c r="K24">
        <f>IF(OR(計分!K24="",計分!$AP24=""),"",計分!$AP24-計分!K24)</f>
        <v/>
      </c>
      <c r="L24">
        <f>IF(OR(計分!L24="",計分!$AP24=""),"",計分!$AP24-計分!L24)</f>
        <v/>
      </c>
      <c r="M24">
        <f>IF(OR(計分!M24="",計分!$AP24=""),"",計分!$AP24-計分!M24)</f>
        <v/>
      </c>
      <c r="N24">
        <f>IF(OR(計分!N24="",計分!$AP24=""),"",計分!$AP24-計分!N24)</f>
        <v/>
      </c>
      <c r="O24">
        <f>IF(OR(計分!O24="",計分!$AP24=""),"",計分!$AP24-計分!O24)</f>
        <v/>
      </c>
      <c r="P24">
        <f>IF(OR(計分!P24="",計分!$AP24=""),"",計分!$AP24-計分!P24)</f>
        <v/>
      </c>
      <c r="Q24">
        <f>IF(OR(計分!Q24="",計分!$AP24=""),"",計分!$AP24-計分!Q24)</f>
        <v/>
      </c>
      <c r="R24">
        <f>IF(OR(計分!R24="",計分!$AP24=""),"",計分!$AP24-計分!R24)</f>
        <v/>
      </c>
      <c r="S24">
        <f>IF(OR(計分!S24="",計分!$AP24=""),"",計分!$AP24-計分!S24)</f>
        <v/>
      </c>
      <c r="T24">
        <f>IF(OR(計分!T24="",計分!$AP24=""),"",計分!$AP24-計分!T24)</f>
        <v/>
      </c>
      <c r="U24">
        <f>IF(OR(計分!U24="",計分!$AP24=""),"",計分!$AP24-計分!U24)</f>
        <v/>
      </c>
      <c r="V24">
        <f>IF(OR(計分!V24="",計分!$AP24=""),"",計分!$AP24-計分!V24)</f>
        <v/>
      </c>
      <c r="W24">
        <f>IF(OR(計分!W24="",計分!$AP24=""),"",計分!$AP24-計分!W24)</f>
        <v/>
      </c>
      <c r="X24">
        <f>IF(OR(計分!X24="",計分!$AP24=""),"",計分!$AP24-計分!X24)</f>
        <v/>
      </c>
      <c r="Y24">
        <f>IF(OR(計分!Y24="",計分!$AP24=""),"",計分!$AP24-計分!Y24)</f>
        <v/>
      </c>
      <c r="Z24">
        <f>IF(OR(計分!Z24="",計分!$AP24=""),"",計分!$AP24-計分!Z24)</f>
        <v/>
      </c>
      <c r="AA24">
        <f>IF(OR(計分!AA24="",計分!$AP24=""),"",計分!$AP24-計分!AA24)</f>
        <v/>
      </c>
      <c r="AB24">
        <f>IF(OR(計分!AB24="",計分!$AP24=""),"",計分!$AP24-計分!AB24)</f>
        <v/>
      </c>
      <c r="AC24">
        <f>IF(OR(計分!AC24="",計分!$AP24=""),"",計分!$AP24-計分!AC24)</f>
        <v/>
      </c>
      <c r="AD24">
        <f>IF(OR(計分!AD24="",計分!$AP24=""),"",計分!$AP24-計分!AD24)</f>
        <v/>
      </c>
      <c r="AE24">
        <f>IF(OR(計分!AE24="",計分!$AP24=""),"",計分!$AP24-計分!AE24)</f>
        <v/>
      </c>
      <c r="AF24">
        <f>IF(OR(計分!AF24="",計分!$AP24=""),"",計分!$AP24-計分!AF24)</f>
        <v/>
      </c>
      <c r="AG24">
        <f>IF(OR(計分!AG24="",計分!$AP24=""),"",計分!$AP24-計分!AG24)</f>
        <v/>
      </c>
      <c r="AH24">
        <f>IF(OR(計分!AH24="",計分!$AP24=""),"",計分!$AP24-計分!AH24)</f>
        <v/>
      </c>
      <c r="AI24">
        <f>IF(OR(計分!AI24="",計分!$AP24=""),"",計分!$AP24-計分!AI24)</f>
        <v/>
      </c>
      <c r="AJ24">
        <f>IF(OR(計分!AJ24="",計分!$AP24=""),"",計分!$AP24-計分!AJ24)</f>
        <v/>
      </c>
      <c r="AK24">
        <f>IF(OR(計分!AK24="",計分!$AP24=""),"",計分!$AP24-計分!AK24)</f>
        <v/>
      </c>
      <c r="AL24">
        <f>IF(OR(計分!AL24="",計分!$AP24=""),"",計分!$AP24-計分!AL24)</f>
        <v/>
      </c>
      <c r="AM24">
        <f>IF(OR(計分!AM24="",計分!$AP24=""),"",計分!$AP24-計分!AM24)</f>
        <v/>
      </c>
      <c r="AN24">
        <f>IF(OR(計分!AN24="",計分!$AP24=""),"",計分!$AP24-計分!AN24)</f>
        <v/>
      </c>
      <c r="AO24">
        <f>IF(OR(計分!AO24="",計分!$AP24=""),"",計分!$AP24-計分!AO24)</f>
        <v/>
      </c>
    </row>
    <row r="25">
      <c r="A25">
        <f>計分!A25</f>
        <v/>
      </c>
      <c r="B25">
        <f>IF(OR(計分!B25="",計分!$AP25=""),"",計分!$AP25-計分!B25)</f>
        <v/>
      </c>
      <c r="C25">
        <f>IF(OR(計分!C25="",計分!$AP25=""),"",計分!$AP25-計分!C25)</f>
        <v/>
      </c>
      <c r="D25">
        <f>IF(OR(計分!D25="",計分!$AP25=""),"",計分!$AP25-計分!D25)</f>
        <v/>
      </c>
      <c r="E25">
        <f>IF(OR(計分!E25="",計分!$AP25=""),"",計分!$AP25-計分!E25)</f>
        <v/>
      </c>
      <c r="F25">
        <f>IF(OR(計分!F25="",計分!$AP25=""),"",計分!$AP25-計分!F25)</f>
        <v/>
      </c>
      <c r="G25">
        <f>IF(OR(計分!G25="",計分!$AP25=""),"",計分!$AP25-計分!G25)</f>
        <v/>
      </c>
      <c r="H25">
        <f>IF(OR(計分!H25="",計分!$AP25=""),"",計分!$AP25-計分!H25)</f>
        <v/>
      </c>
      <c r="I25">
        <f>IF(OR(計分!I25="",計分!$AP25=""),"",計分!$AP25-計分!I25)</f>
        <v/>
      </c>
      <c r="J25">
        <f>IF(OR(計分!J25="",計分!$AP25=""),"",計分!$AP25-計分!J25)</f>
        <v/>
      </c>
      <c r="K25">
        <f>IF(OR(計分!K25="",計分!$AP25=""),"",計分!$AP25-計分!K25)</f>
        <v/>
      </c>
      <c r="L25">
        <f>IF(OR(計分!L25="",計分!$AP25=""),"",計分!$AP25-計分!L25)</f>
        <v/>
      </c>
      <c r="M25">
        <f>IF(OR(計分!M25="",計分!$AP25=""),"",計分!$AP25-計分!M25)</f>
        <v/>
      </c>
      <c r="N25">
        <f>IF(OR(計分!N25="",計分!$AP25=""),"",計分!$AP25-計分!N25)</f>
        <v/>
      </c>
      <c r="O25">
        <f>IF(OR(計分!O25="",計分!$AP25=""),"",計分!$AP25-計分!O25)</f>
        <v/>
      </c>
      <c r="P25">
        <f>IF(OR(計分!P25="",計分!$AP25=""),"",計分!$AP25-計分!P25)</f>
        <v/>
      </c>
      <c r="Q25">
        <f>IF(OR(計分!Q25="",計分!$AP25=""),"",計分!$AP25-計分!Q25)</f>
        <v/>
      </c>
      <c r="R25">
        <f>IF(OR(計分!R25="",計分!$AP25=""),"",計分!$AP25-計分!R25)</f>
        <v/>
      </c>
      <c r="S25">
        <f>IF(OR(計分!S25="",計分!$AP25=""),"",計分!$AP25-計分!S25)</f>
        <v/>
      </c>
      <c r="T25">
        <f>IF(OR(計分!T25="",計分!$AP25=""),"",計分!$AP25-計分!T25)</f>
        <v/>
      </c>
      <c r="U25">
        <f>IF(OR(計分!U25="",計分!$AP25=""),"",計分!$AP25-計分!U25)</f>
        <v/>
      </c>
      <c r="V25">
        <f>IF(OR(計分!V25="",計分!$AP25=""),"",計分!$AP25-計分!V25)</f>
        <v/>
      </c>
      <c r="W25">
        <f>IF(OR(計分!W25="",計分!$AP25=""),"",計分!$AP25-計分!W25)</f>
        <v/>
      </c>
      <c r="X25">
        <f>IF(OR(計分!X25="",計分!$AP25=""),"",計分!$AP25-計分!X25)</f>
        <v/>
      </c>
      <c r="Y25">
        <f>IF(OR(計分!Y25="",計分!$AP25=""),"",計分!$AP25-計分!Y25)</f>
        <v/>
      </c>
      <c r="Z25">
        <f>IF(OR(計分!Z25="",計分!$AP25=""),"",計分!$AP25-計分!Z25)</f>
        <v/>
      </c>
      <c r="AA25">
        <f>IF(OR(計分!AA25="",計分!$AP25=""),"",計分!$AP25-計分!AA25)</f>
        <v/>
      </c>
      <c r="AB25">
        <f>IF(OR(計分!AB25="",計分!$AP25=""),"",計分!$AP25-計分!AB25)</f>
        <v/>
      </c>
      <c r="AC25">
        <f>IF(OR(計分!AC25="",計分!$AP25=""),"",計分!$AP25-計分!AC25)</f>
        <v/>
      </c>
      <c r="AD25">
        <f>IF(OR(計分!AD25="",計分!$AP25=""),"",計分!$AP25-計分!AD25)</f>
        <v/>
      </c>
      <c r="AE25">
        <f>IF(OR(計分!AE25="",計分!$AP25=""),"",計分!$AP25-計分!AE25)</f>
        <v/>
      </c>
      <c r="AF25">
        <f>IF(OR(計分!AF25="",計分!$AP25=""),"",計分!$AP25-計分!AF25)</f>
        <v/>
      </c>
      <c r="AG25">
        <f>IF(OR(計分!AG25="",計分!$AP25=""),"",計分!$AP25-計分!AG25)</f>
        <v/>
      </c>
      <c r="AH25">
        <f>IF(OR(計分!AH25="",計分!$AP25=""),"",計分!$AP25-計分!AH25)</f>
        <v/>
      </c>
      <c r="AI25">
        <f>IF(OR(計分!AI25="",計分!$AP25=""),"",計分!$AP25-計分!AI25)</f>
        <v/>
      </c>
      <c r="AJ25">
        <f>IF(OR(計分!AJ25="",計分!$AP25=""),"",計分!$AP25-計分!AJ25)</f>
        <v/>
      </c>
      <c r="AK25">
        <f>IF(OR(計分!AK25="",計分!$AP25=""),"",計分!$AP25-計分!AK25)</f>
        <v/>
      </c>
      <c r="AL25">
        <f>IF(OR(計分!AL25="",計分!$AP25=""),"",計分!$AP25-計分!AL25)</f>
        <v/>
      </c>
      <c r="AM25">
        <f>IF(OR(計分!AM25="",計分!$AP25=""),"",計分!$AP25-計分!AM25)</f>
        <v/>
      </c>
      <c r="AN25">
        <f>IF(OR(計分!AN25="",計分!$AP25=""),"",計分!$AP25-計分!AN25)</f>
        <v/>
      </c>
      <c r="AO25">
        <f>IF(OR(計分!AO25="",計分!$AP25=""),"",計分!$AP25-計分!AO25)</f>
        <v/>
      </c>
    </row>
    <row r="26">
      <c r="A26">
        <f>計分!A26</f>
        <v/>
      </c>
      <c r="B26">
        <f>IF(OR(計分!B26="",計分!$AP26=""),"",計分!$AP26-計分!B26)</f>
        <v/>
      </c>
      <c r="C26">
        <f>IF(OR(計分!C26="",計分!$AP26=""),"",計分!$AP26-計分!C26)</f>
        <v/>
      </c>
      <c r="D26">
        <f>IF(OR(計分!D26="",計分!$AP26=""),"",計分!$AP26-計分!D26)</f>
        <v/>
      </c>
      <c r="E26">
        <f>IF(OR(計分!E26="",計分!$AP26=""),"",計分!$AP26-計分!E26)</f>
        <v/>
      </c>
      <c r="F26">
        <f>IF(OR(計分!F26="",計分!$AP26=""),"",計分!$AP26-計分!F26)</f>
        <v/>
      </c>
      <c r="G26">
        <f>IF(OR(計分!G26="",計分!$AP26=""),"",計分!$AP26-計分!G26)</f>
        <v/>
      </c>
      <c r="H26">
        <f>IF(OR(計分!H26="",計分!$AP26=""),"",計分!$AP26-計分!H26)</f>
        <v/>
      </c>
      <c r="I26">
        <f>IF(OR(計分!I26="",計分!$AP26=""),"",計分!$AP26-計分!I26)</f>
        <v/>
      </c>
      <c r="J26">
        <f>IF(OR(計分!J26="",計分!$AP26=""),"",計分!$AP26-計分!J26)</f>
        <v/>
      </c>
      <c r="K26">
        <f>IF(OR(計分!K26="",計分!$AP26=""),"",計分!$AP26-計分!K26)</f>
        <v/>
      </c>
      <c r="L26">
        <f>IF(OR(計分!L26="",計分!$AP26=""),"",計分!$AP26-計分!L26)</f>
        <v/>
      </c>
      <c r="M26">
        <f>IF(OR(計分!M26="",計分!$AP26=""),"",計分!$AP26-計分!M26)</f>
        <v/>
      </c>
      <c r="N26">
        <f>IF(OR(計分!N26="",計分!$AP26=""),"",計分!$AP26-計分!N26)</f>
        <v/>
      </c>
      <c r="O26">
        <f>IF(OR(計分!O26="",計分!$AP26=""),"",計分!$AP26-計分!O26)</f>
        <v/>
      </c>
      <c r="P26">
        <f>IF(OR(計分!P26="",計分!$AP26=""),"",計分!$AP26-計分!P26)</f>
        <v/>
      </c>
      <c r="Q26">
        <f>IF(OR(計分!Q26="",計分!$AP26=""),"",計分!$AP26-計分!Q26)</f>
        <v/>
      </c>
      <c r="R26">
        <f>IF(OR(計分!R26="",計分!$AP26=""),"",計分!$AP26-計分!R26)</f>
        <v/>
      </c>
      <c r="S26">
        <f>IF(OR(計分!S26="",計分!$AP26=""),"",計分!$AP26-計分!S26)</f>
        <v/>
      </c>
      <c r="T26">
        <f>IF(OR(計分!T26="",計分!$AP26=""),"",計分!$AP26-計分!T26)</f>
        <v/>
      </c>
      <c r="U26">
        <f>IF(OR(計分!U26="",計分!$AP26=""),"",計分!$AP26-計分!U26)</f>
        <v/>
      </c>
      <c r="V26">
        <f>IF(OR(計分!V26="",計分!$AP26=""),"",計分!$AP26-計分!V26)</f>
        <v/>
      </c>
      <c r="W26">
        <f>IF(OR(計分!W26="",計分!$AP26=""),"",計分!$AP26-計分!W26)</f>
        <v/>
      </c>
      <c r="X26">
        <f>IF(OR(計分!X26="",計分!$AP26=""),"",計分!$AP26-計分!X26)</f>
        <v/>
      </c>
      <c r="Y26">
        <f>IF(OR(計分!Y26="",計分!$AP26=""),"",計分!$AP26-計分!Y26)</f>
        <v/>
      </c>
      <c r="Z26">
        <f>IF(OR(計分!Z26="",計分!$AP26=""),"",計分!$AP26-計分!Z26)</f>
        <v/>
      </c>
      <c r="AA26">
        <f>IF(OR(計分!AA26="",計分!$AP26=""),"",計分!$AP26-計分!AA26)</f>
        <v/>
      </c>
      <c r="AB26">
        <f>IF(OR(計分!AB26="",計分!$AP26=""),"",計分!$AP26-計分!AB26)</f>
        <v/>
      </c>
      <c r="AC26">
        <f>IF(OR(計分!AC26="",計分!$AP26=""),"",計分!$AP26-計分!AC26)</f>
        <v/>
      </c>
      <c r="AD26">
        <f>IF(OR(計分!AD26="",計分!$AP26=""),"",計分!$AP26-計分!AD26)</f>
        <v/>
      </c>
      <c r="AE26">
        <f>IF(OR(計分!AE26="",計分!$AP26=""),"",計分!$AP26-計分!AE26)</f>
        <v/>
      </c>
      <c r="AF26">
        <f>IF(OR(計分!AF26="",計分!$AP26=""),"",計分!$AP26-計分!AF26)</f>
        <v/>
      </c>
      <c r="AG26">
        <f>IF(OR(計分!AG26="",計分!$AP26=""),"",計分!$AP26-計分!AG26)</f>
        <v/>
      </c>
      <c r="AH26">
        <f>IF(OR(計分!AH26="",計分!$AP26=""),"",計分!$AP26-計分!AH26)</f>
        <v/>
      </c>
      <c r="AI26">
        <f>IF(OR(計分!AI26="",計分!$AP26=""),"",計分!$AP26-計分!AI26)</f>
        <v/>
      </c>
      <c r="AJ26">
        <f>IF(OR(計分!AJ26="",計分!$AP26=""),"",計分!$AP26-計分!AJ26)</f>
        <v/>
      </c>
      <c r="AK26">
        <f>IF(OR(計分!AK26="",計分!$AP26=""),"",計分!$AP26-計分!AK26)</f>
        <v/>
      </c>
      <c r="AL26">
        <f>IF(OR(計分!AL26="",計分!$AP26=""),"",計分!$AP26-計分!AL26)</f>
        <v/>
      </c>
      <c r="AM26">
        <f>IF(OR(計分!AM26="",計分!$AP26=""),"",計分!$AP26-計分!AM26)</f>
        <v/>
      </c>
      <c r="AN26">
        <f>IF(OR(計分!AN26="",計分!$AP26=""),"",計分!$AP26-計分!AN26)</f>
        <v/>
      </c>
      <c r="AO26">
        <f>IF(OR(計分!AO26="",計分!$AP26=""),"",計分!$AP26-計分!AO26)</f>
        <v/>
      </c>
    </row>
    <row r="27">
      <c r="A27">
        <f>計分!A27</f>
        <v/>
      </c>
      <c r="B27">
        <f>IF(OR(計分!B27="",計分!$AP27=""),"",計分!$AP27-計分!B27)</f>
        <v/>
      </c>
      <c r="C27">
        <f>IF(OR(計分!C27="",計分!$AP27=""),"",計分!$AP27-計分!C27)</f>
        <v/>
      </c>
      <c r="D27">
        <f>IF(OR(計分!D27="",計分!$AP27=""),"",計分!$AP27-計分!D27)</f>
        <v/>
      </c>
      <c r="E27">
        <f>IF(OR(計分!E27="",計分!$AP27=""),"",計分!$AP27-計分!E27)</f>
        <v/>
      </c>
      <c r="F27">
        <f>IF(OR(計分!F27="",計分!$AP27=""),"",計分!$AP27-計分!F27)</f>
        <v/>
      </c>
      <c r="G27">
        <f>IF(OR(計分!G27="",計分!$AP27=""),"",計分!$AP27-計分!G27)</f>
        <v/>
      </c>
      <c r="H27">
        <f>IF(OR(計分!H27="",計分!$AP27=""),"",計分!$AP27-計分!H27)</f>
        <v/>
      </c>
      <c r="I27">
        <f>IF(OR(計分!I27="",計分!$AP27=""),"",計分!$AP27-計分!I27)</f>
        <v/>
      </c>
      <c r="J27">
        <f>IF(OR(計分!J27="",計分!$AP27=""),"",計分!$AP27-計分!J27)</f>
        <v/>
      </c>
      <c r="K27">
        <f>IF(OR(計分!K27="",計分!$AP27=""),"",計分!$AP27-計分!K27)</f>
        <v/>
      </c>
      <c r="L27">
        <f>IF(OR(計分!L27="",計分!$AP27=""),"",計分!$AP27-計分!L27)</f>
        <v/>
      </c>
      <c r="M27">
        <f>IF(OR(計分!M27="",計分!$AP27=""),"",計分!$AP27-計分!M27)</f>
        <v/>
      </c>
      <c r="N27">
        <f>IF(OR(計分!N27="",計分!$AP27=""),"",計分!$AP27-計分!N27)</f>
        <v/>
      </c>
      <c r="O27">
        <f>IF(OR(計分!O27="",計分!$AP27=""),"",計分!$AP27-計分!O27)</f>
        <v/>
      </c>
      <c r="P27">
        <f>IF(OR(計分!P27="",計分!$AP27=""),"",計分!$AP27-計分!P27)</f>
        <v/>
      </c>
      <c r="Q27">
        <f>IF(OR(計分!Q27="",計分!$AP27=""),"",計分!$AP27-計分!Q27)</f>
        <v/>
      </c>
      <c r="R27">
        <f>IF(OR(計分!R27="",計分!$AP27=""),"",計分!$AP27-計分!R27)</f>
        <v/>
      </c>
      <c r="S27">
        <f>IF(OR(計分!S27="",計分!$AP27=""),"",計分!$AP27-計分!S27)</f>
        <v/>
      </c>
      <c r="T27">
        <f>IF(OR(計分!T27="",計分!$AP27=""),"",計分!$AP27-計分!T27)</f>
        <v/>
      </c>
      <c r="U27">
        <f>IF(OR(計分!U27="",計分!$AP27=""),"",計分!$AP27-計分!U27)</f>
        <v/>
      </c>
      <c r="V27">
        <f>IF(OR(計分!V27="",計分!$AP27=""),"",計分!$AP27-計分!V27)</f>
        <v/>
      </c>
      <c r="W27">
        <f>IF(OR(計分!W27="",計分!$AP27=""),"",計分!$AP27-計分!W27)</f>
        <v/>
      </c>
      <c r="X27">
        <f>IF(OR(計分!X27="",計分!$AP27=""),"",計分!$AP27-計分!X27)</f>
        <v/>
      </c>
      <c r="Y27">
        <f>IF(OR(計分!Y27="",計分!$AP27=""),"",計分!$AP27-計分!Y27)</f>
        <v/>
      </c>
      <c r="Z27">
        <f>IF(OR(計分!Z27="",計分!$AP27=""),"",計分!$AP27-計分!Z27)</f>
        <v/>
      </c>
      <c r="AA27">
        <f>IF(OR(計分!AA27="",計分!$AP27=""),"",計分!$AP27-計分!AA27)</f>
        <v/>
      </c>
      <c r="AB27">
        <f>IF(OR(計分!AB27="",計分!$AP27=""),"",計分!$AP27-計分!AB27)</f>
        <v/>
      </c>
      <c r="AC27">
        <f>IF(OR(計分!AC27="",計分!$AP27=""),"",計分!$AP27-計分!AC27)</f>
        <v/>
      </c>
      <c r="AD27">
        <f>IF(OR(計分!AD27="",計分!$AP27=""),"",計分!$AP27-計分!AD27)</f>
        <v/>
      </c>
      <c r="AE27">
        <f>IF(OR(計分!AE27="",計分!$AP27=""),"",計分!$AP27-計分!AE27)</f>
        <v/>
      </c>
      <c r="AF27">
        <f>IF(OR(計分!AF27="",計分!$AP27=""),"",計分!$AP27-計分!AF27)</f>
        <v/>
      </c>
      <c r="AG27">
        <f>IF(OR(計分!AG27="",計分!$AP27=""),"",計分!$AP27-計分!AG27)</f>
        <v/>
      </c>
      <c r="AH27">
        <f>IF(OR(計分!AH27="",計分!$AP27=""),"",計分!$AP27-計分!AH27)</f>
        <v/>
      </c>
      <c r="AI27">
        <f>IF(OR(計分!AI27="",計分!$AP27=""),"",計分!$AP27-計分!AI27)</f>
        <v/>
      </c>
      <c r="AJ27">
        <f>IF(OR(計分!AJ27="",計分!$AP27=""),"",計分!$AP27-計分!AJ27)</f>
        <v/>
      </c>
      <c r="AK27">
        <f>IF(OR(計分!AK27="",計分!$AP27=""),"",計分!$AP27-計分!AK27)</f>
        <v/>
      </c>
      <c r="AL27">
        <f>IF(OR(計分!AL27="",計分!$AP27=""),"",計分!$AP27-計分!AL27)</f>
        <v/>
      </c>
      <c r="AM27">
        <f>IF(OR(計分!AM27="",計分!$AP27=""),"",計分!$AP27-計分!AM27)</f>
        <v/>
      </c>
      <c r="AN27">
        <f>IF(OR(計分!AN27="",計分!$AP27=""),"",計分!$AP27-計分!AN27)</f>
        <v/>
      </c>
      <c r="AO27">
        <f>IF(OR(計分!AO27="",計分!$AP27=""),"",計分!$AP27-計分!AO27)</f>
        <v/>
      </c>
    </row>
    <row r="28">
      <c r="A28">
        <f>計分!A28</f>
        <v/>
      </c>
      <c r="B28">
        <f>IF(OR(計分!B28="",計分!$AP28=""),"",計分!$AP28-計分!B28)</f>
        <v/>
      </c>
      <c r="C28">
        <f>IF(OR(計分!C28="",計分!$AP28=""),"",計分!$AP28-計分!C28)</f>
        <v/>
      </c>
      <c r="D28">
        <f>IF(OR(計分!D28="",計分!$AP28=""),"",計分!$AP28-計分!D28)</f>
        <v/>
      </c>
      <c r="E28">
        <f>IF(OR(計分!E28="",計分!$AP28=""),"",計分!$AP28-計分!E28)</f>
        <v/>
      </c>
      <c r="F28">
        <f>IF(OR(計分!F28="",計分!$AP28=""),"",計分!$AP28-計分!F28)</f>
        <v/>
      </c>
      <c r="G28">
        <f>IF(OR(計分!G28="",計分!$AP28=""),"",計分!$AP28-計分!G28)</f>
        <v/>
      </c>
      <c r="H28">
        <f>IF(OR(計分!H28="",計分!$AP28=""),"",計分!$AP28-計分!H28)</f>
        <v/>
      </c>
      <c r="I28">
        <f>IF(OR(計分!I28="",計分!$AP28=""),"",計分!$AP28-計分!I28)</f>
        <v/>
      </c>
      <c r="J28">
        <f>IF(OR(計分!J28="",計分!$AP28=""),"",計分!$AP28-計分!J28)</f>
        <v/>
      </c>
      <c r="K28">
        <f>IF(OR(計分!K28="",計分!$AP28=""),"",計分!$AP28-計分!K28)</f>
        <v/>
      </c>
      <c r="L28">
        <f>IF(OR(計分!L28="",計分!$AP28=""),"",計分!$AP28-計分!L28)</f>
        <v/>
      </c>
      <c r="M28">
        <f>IF(OR(計分!M28="",計分!$AP28=""),"",計分!$AP28-計分!M28)</f>
        <v/>
      </c>
      <c r="N28">
        <f>IF(OR(計分!N28="",計分!$AP28=""),"",計分!$AP28-計分!N28)</f>
        <v/>
      </c>
      <c r="O28">
        <f>IF(OR(計分!O28="",計分!$AP28=""),"",計分!$AP28-計分!O28)</f>
        <v/>
      </c>
      <c r="P28">
        <f>IF(OR(計分!P28="",計分!$AP28=""),"",計分!$AP28-計分!P28)</f>
        <v/>
      </c>
      <c r="Q28">
        <f>IF(OR(計分!Q28="",計分!$AP28=""),"",計分!$AP28-計分!Q28)</f>
        <v/>
      </c>
      <c r="R28">
        <f>IF(OR(計分!R28="",計分!$AP28=""),"",計分!$AP28-計分!R28)</f>
        <v/>
      </c>
      <c r="S28">
        <f>IF(OR(計分!S28="",計分!$AP28=""),"",計分!$AP28-計分!S28)</f>
        <v/>
      </c>
      <c r="T28">
        <f>IF(OR(計分!T28="",計分!$AP28=""),"",計分!$AP28-計分!T28)</f>
        <v/>
      </c>
      <c r="U28">
        <f>IF(OR(計分!U28="",計分!$AP28=""),"",計分!$AP28-計分!U28)</f>
        <v/>
      </c>
      <c r="V28">
        <f>IF(OR(計分!V28="",計分!$AP28=""),"",計分!$AP28-計分!V28)</f>
        <v/>
      </c>
      <c r="W28">
        <f>IF(OR(計分!W28="",計分!$AP28=""),"",計分!$AP28-計分!W28)</f>
        <v/>
      </c>
      <c r="X28">
        <f>IF(OR(計分!X28="",計分!$AP28=""),"",計分!$AP28-計分!X28)</f>
        <v/>
      </c>
      <c r="Y28">
        <f>IF(OR(計分!Y28="",計分!$AP28=""),"",計分!$AP28-計分!Y28)</f>
        <v/>
      </c>
      <c r="Z28">
        <f>IF(OR(計分!Z28="",計分!$AP28=""),"",計分!$AP28-計分!Z28)</f>
        <v/>
      </c>
      <c r="AA28">
        <f>IF(OR(計分!AA28="",計分!$AP28=""),"",計分!$AP28-計分!AA28)</f>
        <v/>
      </c>
      <c r="AB28">
        <f>IF(OR(計分!AB28="",計分!$AP28=""),"",計分!$AP28-計分!AB28)</f>
        <v/>
      </c>
      <c r="AC28">
        <f>IF(OR(計分!AC28="",計分!$AP28=""),"",計分!$AP28-計分!AC28)</f>
        <v/>
      </c>
      <c r="AD28">
        <f>IF(OR(計分!AD28="",計分!$AP28=""),"",計分!$AP28-計分!AD28)</f>
        <v/>
      </c>
      <c r="AE28">
        <f>IF(OR(計分!AE28="",計分!$AP28=""),"",計分!$AP28-計分!AE28)</f>
        <v/>
      </c>
      <c r="AF28">
        <f>IF(OR(計分!AF28="",計分!$AP28=""),"",計分!$AP28-計分!AF28)</f>
        <v/>
      </c>
      <c r="AG28">
        <f>IF(OR(計分!AG28="",計分!$AP28=""),"",計分!$AP28-計分!AG28)</f>
        <v/>
      </c>
      <c r="AH28">
        <f>IF(OR(計分!AH28="",計分!$AP28=""),"",計分!$AP28-計分!AH28)</f>
        <v/>
      </c>
      <c r="AI28">
        <f>IF(OR(計分!AI28="",計分!$AP28=""),"",計分!$AP28-計分!AI28)</f>
        <v/>
      </c>
      <c r="AJ28">
        <f>IF(OR(計分!AJ28="",計分!$AP28=""),"",計分!$AP28-計分!AJ28)</f>
        <v/>
      </c>
      <c r="AK28">
        <f>IF(OR(計分!AK28="",計分!$AP28=""),"",計分!$AP28-計分!AK28)</f>
        <v/>
      </c>
      <c r="AL28">
        <f>IF(OR(計分!AL28="",計分!$AP28=""),"",計分!$AP28-計分!AL28)</f>
        <v/>
      </c>
      <c r="AM28">
        <f>IF(OR(計分!AM28="",計分!$AP28=""),"",計分!$AP28-計分!AM28)</f>
        <v/>
      </c>
      <c r="AN28">
        <f>IF(OR(計分!AN28="",計分!$AP28=""),"",計分!$AP28-計分!AN28)</f>
        <v/>
      </c>
      <c r="AO28">
        <f>IF(OR(計分!AO28="",計分!$AP28=""),"",計分!$AP28-計分!AO28)</f>
        <v/>
      </c>
    </row>
    <row r="29">
      <c r="A29">
        <f>計分!A29</f>
        <v/>
      </c>
      <c r="B29">
        <f>IF(OR(計分!B29="",計分!$AP29=""),"",計分!$AP29-計分!B29)</f>
        <v/>
      </c>
      <c r="C29">
        <f>IF(OR(計分!C29="",計分!$AP29=""),"",計分!$AP29-計分!C29)</f>
        <v/>
      </c>
      <c r="D29">
        <f>IF(OR(計分!D29="",計分!$AP29=""),"",計分!$AP29-計分!D29)</f>
        <v/>
      </c>
      <c r="E29">
        <f>IF(OR(計分!E29="",計分!$AP29=""),"",計分!$AP29-計分!E29)</f>
        <v/>
      </c>
      <c r="F29">
        <f>IF(OR(計分!F29="",計分!$AP29=""),"",計分!$AP29-計分!F29)</f>
        <v/>
      </c>
      <c r="G29">
        <f>IF(OR(計分!G29="",計分!$AP29=""),"",計分!$AP29-計分!G29)</f>
        <v/>
      </c>
      <c r="H29">
        <f>IF(OR(計分!H29="",計分!$AP29=""),"",計分!$AP29-計分!H29)</f>
        <v/>
      </c>
      <c r="I29">
        <f>IF(OR(計分!I29="",計分!$AP29=""),"",計分!$AP29-計分!I29)</f>
        <v/>
      </c>
      <c r="J29">
        <f>IF(OR(計分!J29="",計分!$AP29=""),"",計分!$AP29-計分!J29)</f>
        <v/>
      </c>
      <c r="K29">
        <f>IF(OR(計分!K29="",計分!$AP29=""),"",計分!$AP29-計分!K29)</f>
        <v/>
      </c>
      <c r="L29">
        <f>IF(OR(計分!L29="",計分!$AP29=""),"",計分!$AP29-計分!L29)</f>
        <v/>
      </c>
      <c r="M29">
        <f>IF(OR(計分!M29="",計分!$AP29=""),"",計分!$AP29-計分!M29)</f>
        <v/>
      </c>
      <c r="N29">
        <f>IF(OR(計分!N29="",計分!$AP29=""),"",計分!$AP29-計分!N29)</f>
        <v/>
      </c>
      <c r="O29">
        <f>IF(OR(計分!O29="",計分!$AP29=""),"",計分!$AP29-計分!O29)</f>
        <v/>
      </c>
      <c r="P29">
        <f>IF(OR(計分!P29="",計分!$AP29=""),"",計分!$AP29-計分!P29)</f>
        <v/>
      </c>
      <c r="Q29">
        <f>IF(OR(計分!Q29="",計分!$AP29=""),"",計分!$AP29-計分!Q29)</f>
        <v/>
      </c>
      <c r="R29">
        <f>IF(OR(計分!R29="",計分!$AP29=""),"",計分!$AP29-計分!R29)</f>
        <v/>
      </c>
      <c r="S29">
        <f>IF(OR(計分!S29="",計分!$AP29=""),"",計分!$AP29-計分!S29)</f>
        <v/>
      </c>
      <c r="T29">
        <f>IF(OR(計分!T29="",計分!$AP29=""),"",計分!$AP29-計分!T29)</f>
        <v/>
      </c>
      <c r="U29">
        <f>IF(OR(計分!U29="",計分!$AP29=""),"",計分!$AP29-計分!U29)</f>
        <v/>
      </c>
      <c r="V29">
        <f>IF(OR(計分!V29="",計分!$AP29=""),"",計分!$AP29-計分!V29)</f>
        <v/>
      </c>
      <c r="W29">
        <f>IF(OR(計分!W29="",計分!$AP29=""),"",計分!$AP29-計分!W29)</f>
        <v/>
      </c>
      <c r="X29">
        <f>IF(OR(計分!X29="",計分!$AP29=""),"",計分!$AP29-計分!X29)</f>
        <v/>
      </c>
      <c r="Y29">
        <f>IF(OR(計分!Y29="",計分!$AP29=""),"",計分!$AP29-計分!Y29)</f>
        <v/>
      </c>
      <c r="Z29">
        <f>IF(OR(計分!Z29="",計分!$AP29=""),"",計分!$AP29-計分!Z29)</f>
        <v/>
      </c>
      <c r="AA29">
        <f>IF(OR(計分!AA29="",計分!$AP29=""),"",計分!$AP29-計分!AA29)</f>
        <v/>
      </c>
      <c r="AB29">
        <f>IF(OR(計分!AB29="",計分!$AP29=""),"",計分!$AP29-計分!AB29)</f>
        <v/>
      </c>
      <c r="AC29">
        <f>IF(OR(計分!AC29="",計分!$AP29=""),"",計分!$AP29-計分!AC29)</f>
        <v/>
      </c>
      <c r="AD29">
        <f>IF(OR(計分!AD29="",計分!$AP29=""),"",計分!$AP29-計分!AD29)</f>
        <v/>
      </c>
      <c r="AE29">
        <f>IF(OR(計分!AE29="",計分!$AP29=""),"",計分!$AP29-計分!AE29)</f>
        <v/>
      </c>
      <c r="AF29">
        <f>IF(OR(計分!AF29="",計分!$AP29=""),"",計分!$AP29-計分!AF29)</f>
        <v/>
      </c>
      <c r="AG29">
        <f>IF(OR(計分!AG29="",計分!$AP29=""),"",計分!$AP29-計分!AG29)</f>
        <v/>
      </c>
      <c r="AH29">
        <f>IF(OR(計分!AH29="",計分!$AP29=""),"",計分!$AP29-計分!AH29)</f>
        <v/>
      </c>
      <c r="AI29">
        <f>IF(OR(計分!AI29="",計分!$AP29=""),"",計分!$AP29-計分!AI29)</f>
        <v/>
      </c>
      <c r="AJ29">
        <f>IF(OR(計分!AJ29="",計分!$AP29=""),"",計分!$AP29-計分!AJ29)</f>
        <v/>
      </c>
      <c r="AK29">
        <f>IF(OR(計分!AK29="",計分!$AP29=""),"",計分!$AP29-計分!AK29)</f>
        <v/>
      </c>
      <c r="AL29">
        <f>IF(OR(計分!AL29="",計分!$AP29=""),"",計分!$AP29-計分!AL29)</f>
        <v/>
      </c>
      <c r="AM29">
        <f>IF(OR(計分!AM29="",計分!$AP29=""),"",計分!$AP29-計分!AM29)</f>
        <v/>
      </c>
      <c r="AN29">
        <f>IF(OR(計分!AN29="",計分!$AP29=""),"",計分!$AP29-計分!AN29)</f>
        <v/>
      </c>
      <c r="AO29">
        <f>IF(OR(計分!AO29="",計分!$AP29=""),"",計分!$AP29-計分!AO29)</f>
        <v/>
      </c>
    </row>
    <row r="30">
      <c r="A30">
        <f>計分!A30</f>
        <v/>
      </c>
      <c r="B30">
        <f>IF(OR(計分!B30="",計分!$AP30=""),"",計分!$AP30-計分!B30)</f>
        <v/>
      </c>
      <c r="C30">
        <f>IF(OR(計分!C30="",計分!$AP30=""),"",計分!$AP30-計分!C30)</f>
        <v/>
      </c>
      <c r="D30">
        <f>IF(OR(計分!D30="",計分!$AP30=""),"",計分!$AP30-計分!D30)</f>
        <v/>
      </c>
      <c r="E30">
        <f>IF(OR(計分!E30="",計分!$AP30=""),"",計分!$AP30-計分!E30)</f>
        <v/>
      </c>
      <c r="F30">
        <f>IF(OR(計分!F30="",計分!$AP30=""),"",計分!$AP30-計分!F30)</f>
        <v/>
      </c>
      <c r="G30">
        <f>IF(OR(計分!G30="",計分!$AP30=""),"",計分!$AP30-計分!G30)</f>
        <v/>
      </c>
      <c r="H30">
        <f>IF(OR(計分!H30="",計分!$AP30=""),"",計分!$AP30-計分!H30)</f>
        <v/>
      </c>
      <c r="I30">
        <f>IF(OR(計分!I30="",計分!$AP30=""),"",計分!$AP30-計分!I30)</f>
        <v/>
      </c>
      <c r="J30">
        <f>IF(OR(計分!J30="",計分!$AP30=""),"",計分!$AP30-計分!J30)</f>
        <v/>
      </c>
      <c r="K30">
        <f>IF(OR(計分!K30="",計分!$AP30=""),"",計分!$AP30-計分!K30)</f>
        <v/>
      </c>
      <c r="L30">
        <f>IF(OR(計分!L30="",計分!$AP30=""),"",計分!$AP30-計分!L30)</f>
        <v/>
      </c>
      <c r="M30">
        <f>IF(OR(計分!M30="",計分!$AP30=""),"",計分!$AP30-計分!M30)</f>
        <v/>
      </c>
      <c r="N30">
        <f>IF(OR(計分!N30="",計分!$AP30=""),"",計分!$AP30-計分!N30)</f>
        <v/>
      </c>
      <c r="O30">
        <f>IF(OR(計分!O30="",計分!$AP30=""),"",計分!$AP30-計分!O30)</f>
        <v/>
      </c>
      <c r="P30">
        <f>IF(OR(計分!P30="",計分!$AP30=""),"",計分!$AP30-計分!P30)</f>
        <v/>
      </c>
      <c r="Q30">
        <f>IF(OR(計分!Q30="",計分!$AP30=""),"",計分!$AP30-計分!Q30)</f>
        <v/>
      </c>
      <c r="R30">
        <f>IF(OR(計分!R30="",計分!$AP30=""),"",計分!$AP30-計分!R30)</f>
        <v/>
      </c>
      <c r="S30">
        <f>IF(OR(計分!S30="",計分!$AP30=""),"",計分!$AP30-計分!S30)</f>
        <v/>
      </c>
      <c r="T30">
        <f>IF(OR(計分!T30="",計分!$AP30=""),"",計分!$AP30-計分!T30)</f>
        <v/>
      </c>
      <c r="U30">
        <f>IF(OR(計分!U30="",計分!$AP30=""),"",計分!$AP30-計分!U30)</f>
        <v/>
      </c>
      <c r="V30">
        <f>IF(OR(計分!V30="",計分!$AP30=""),"",計分!$AP30-計分!V30)</f>
        <v/>
      </c>
      <c r="W30">
        <f>IF(OR(計分!W30="",計分!$AP30=""),"",計分!$AP30-計分!W30)</f>
        <v/>
      </c>
      <c r="X30">
        <f>IF(OR(計分!X30="",計分!$AP30=""),"",計分!$AP30-計分!X30)</f>
        <v/>
      </c>
      <c r="Y30">
        <f>IF(OR(計分!Y30="",計分!$AP30=""),"",計分!$AP30-計分!Y30)</f>
        <v/>
      </c>
      <c r="Z30">
        <f>IF(OR(計分!Z30="",計分!$AP30=""),"",計分!$AP30-計分!Z30)</f>
        <v/>
      </c>
      <c r="AA30">
        <f>IF(OR(計分!AA30="",計分!$AP30=""),"",計分!$AP30-計分!AA30)</f>
        <v/>
      </c>
      <c r="AB30">
        <f>IF(OR(計分!AB30="",計分!$AP30=""),"",計分!$AP30-計分!AB30)</f>
        <v/>
      </c>
      <c r="AC30">
        <f>IF(OR(計分!AC30="",計分!$AP30=""),"",計分!$AP30-計分!AC30)</f>
        <v/>
      </c>
      <c r="AD30">
        <f>IF(OR(計分!AD30="",計分!$AP30=""),"",計分!$AP30-計分!AD30)</f>
        <v/>
      </c>
      <c r="AE30">
        <f>IF(OR(計分!AE30="",計分!$AP30=""),"",計分!$AP30-計分!AE30)</f>
        <v/>
      </c>
      <c r="AF30">
        <f>IF(OR(計分!AF30="",計分!$AP30=""),"",計分!$AP30-計分!AF30)</f>
        <v/>
      </c>
      <c r="AG30">
        <f>IF(OR(計分!AG30="",計分!$AP30=""),"",計分!$AP30-計分!AG30)</f>
        <v/>
      </c>
      <c r="AH30">
        <f>IF(OR(計分!AH30="",計分!$AP30=""),"",計分!$AP30-計分!AH30)</f>
        <v/>
      </c>
      <c r="AI30">
        <f>IF(OR(計分!AI30="",計分!$AP30=""),"",計分!$AP30-計分!AI30)</f>
        <v/>
      </c>
      <c r="AJ30">
        <f>IF(OR(計分!AJ30="",計分!$AP30=""),"",計分!$AP30-計分!AJ30)</f>
        <v/>
      </c>
      <c r="AK30">
        <f>IF(OR(計分!AK30="",計分!$AP30=""),"",計分!$AP30-計分!AK30)</f>
        <v/>
      </c>
      <c r="AL30">
        <f>IF(OR(計分!AL30="",計分!$AP30=""),"",計分!$AP30-計分!AL30)</f>
        <v/>
      </c>
      <c r="AM30">
        <f>IF(OR(計分!AM30="",計分!$AP30=""),"",計分!$AP30-計分!AM30)</f>
        <v/>
      </c>
      <c r="AN30">
        <f>IF(OR(計分!AN30="",計分!$AP30=""),"",計分!$AP30-計分!AN30)</f>
        <v/>
      </c>
      <c r="AO30">
        <f>IF(OR(計分!AO30="",計分!$AP30=""),"",計分!$AP30-計分!AO30)</f>
        <v/>
      </c>
    </row>
    <row r="31">
      <c r="A31">
        <f>計分!A31</f>
        <v/>
      </c>
      <c r="B31">
        <f>IF(OR(計分!B31="",計分!$AP31=""),"",計分!$AP31-計分!B31)</f>
        <v/>
      </c>
      <c r="C31">
        <f>IF(OR(計分!C31="",計分!$AP31=""),"",計分!$AP31-計分!C31)</f>
        <v/>
      </c>
      <c r="D31">
        <f>IF(OR(計分!D31="",計分!$AP31=""),"",計分!$AP31-計分!D31)</f>
        <v/>
      </c>
      <c r="E31">
        <f>IF(OR(計分!E31="",計分!$AP31=""),"",計分!$AP31-計分!E31)</f>
        <v/>
      </c>
      <c r="F31">
        <f>IF(OR(計分!F31="",計分!$AP31=""),"",計分!$AP31-計分!F31)</f>
        <v/>
      </c>
      <c r="G31">
        <f>IF(OR(計分!G31="",計分!$AP31=""),"",計分!$AP31-計分!G31)</f>
        <v/>
      </c>
      <c r="H31">
        <f>IF(OR(計分!H31="",計分!$AP31=""),"",計分!$AP31-計分!H31)</f>
        <v/>
      </c>
      <c r="I31">
        <f>IF(OR(計分!I31="",計分!$AP31=""),"",計分!$AP31-計分!I31)</f>
        <v/>
      </c>
      <c r="J31">
        <f>IF(OR(計分!J31="",計分!$AP31=""),"",計分!$AP31-計分!J31)</f>
        <v/>
      </c>
      <c r="K31">
        <f>IF(OR(計分!K31="",計分!$AP31=""),"",計分!$AP31-計分!K31)</f>
        <v/>
      </c>
      <c r="L31">
        <f>IF(OR(計分!L31="",計分!$AP31=""),"",計分!$AP31-計分!L31)</f>
        <v/>
      </c>
      <c r="M31">
        <f>IF(OR(計分!M31="",計分!$AP31=""),"",計分!$AP31-計分!M31)</f>
        <v/>
      </c>
      <c r="N31">
        <f>IF(OR(計分!N31="",計分!$AP31=""),"",計分!$AP31-計分!N31)</f>
        <v/>
      </c>
      <c r="O31">
        <f>IF(OR(計分!O31="",計分!$AP31=""),"",計分!$AP31-計分!O31)</f>
        <v/>
      </c>
      <c r="P31">
        <f>IF(OR(計分!P31="",計分!$AP31=""),"",計分!$AP31-計分!P31)</f>
        <v/>
      </c>
      <c r="Q31">
        <f>IF(OR(計分!Q31="",計分!$AP31=""),"",計分!$AP31-計分!Q31)</f>
        <v/>
      </c>
      <c r="R31">
        <f>IF(OR(計分!R31="",計分!$AP31=""),"",計分!$AP31-計分!R31)</f>
        <v/>
      </c>
      <c r="S31">
        <f>IF(OR(計分!S31="",計分!$AP31=""),"",計分!$AP31-計分!S31)</f>
        <v/>
      </c>
      <c r="T31">
        <f>IF(OR(計分!T31="",計分!$AP31=""),"",計分!$AP31-計分!T31)</f>
        <v/>
      </c>
      <c r="U31">
        <f>IF(OR(計分!U31="",計分!$AP31=""),"",計分!$AP31-計分!U31)</f>
        <v/>
      </c>
      <c r="V31">
        <f>IF(OR(計分!V31="",計分!$AP31=""),"",計分!$AP31-計分!V31)</f>
        <v/>
      </c>
      <c r="W31">
        <f>IF(OR(計分!W31="",計分!$AP31=""),"",計分!$AP31-計分!W31)</f>
        <v/>
      </c>
      <c r="X31">
        <f>IF(OR(計分!X31="",計分!$AP31=""),"",計分!$AP31-計分!X31)</f>
        <v/>
      </c>
      <c r="Y31">
        <f>IF(OR(計分!Y31="",計分!$AP31=""),"",計分!$AP31-計分!Y31)</f>
        <v/>
      </c>
      <c r="Z31">
        <f>IF(OR(計分!Z31="",計分!$AP31=""),"",計分!$AP31-計分!Z31)</f>
        <v/>
      </c>
      <c r="AA31">
        <f>IF(OR(計分!AA31="",計分!$AP31=""),"",計分!$AP31-計分!AA31)</f>
        <v/>
      </c>
      <c r="AB31">
        <f>IF(OR(計分!AB31="",計分!$AP31=""),"",計分!$AP31-計分!AB31)</f>
        <v/>
      </c>
      <c r="AC31">
        <f>IF(OR(計分!AC31="",計分!$AP31=""),"",計分!$AP31-計分!AC31)</f>
        <v/>
      </c>
      <c r="AD31">
        <f>IF(OR(計分!AD31="",計分!$AP31=""),"",計分!$AP31-計分!AD31)</f>
        <v/>
      </c>
      <c r="AE31">
        <f>IF(OR(計分!AE31="",計分!$AP31=""),"",計分!$AP31-計分!AE31)</f>
        <v/>
      </c>
      <c r="AF31">
        <f>IF(OR(計分!AF31="",計分!$AP31=""),"",計分!$AP31-計分!AF31)</f>
        <v/>
      </c>
      <c r="AG31">
        <f>IF(OR(計分!AG31="",計分!$AP31=""),"",計分!$AP31-計分!AG31)</f>
        <v/>
      </c>
      <c r="AH31">
        <f>IF(OR(計分!AH31="",計分!$AP31=""),"",計分!$AP31-計分!AH31)</f>
        <v/>
      </c>
      <c r="AI31">
        <f>IF(OR(計分!AI31="",計分!$AP31=""),"",計分!$AP31-計分!AI31)</f>
        <v/>
      </c>
      <c r="AJ31">
        <f>IF(OR(計分!AJ31="",計分!$AP31=""),"",計分!$AP31-計分!AJ31)</f>
        <v/>
      </c>
      <c r="AK31">
        <f>IF(OR(計分!AK31="",計分!$AP31=""),"",計分!$AP31-計分!AK31)</f>
        <v/>
      </c>
      <c r="AL31">
        <f>IF(OR(計分!AL31="",計分!$AP31=""),"",計分!$AP31-計分!AL31)</f>
        <v/>
      </c>
      <c r="AM31">
        <f>IF(OR(計分!AM31="",計分!$AP31=""),"",計分!$AP31-計分!AM31)</f>
        <v/>
      </c>
      <c r="AN31">
        <f>IF(OR(計分!AN31="",計分!$AP31=""),"",計分!$AP31-計分!AN31)</f>
        <v/>
      </c>
      <c r="AO31">
        <f>IF(OR(計分!AO31="",計分!$AP31=""),"",計分!$AP31-計分!AO31)</f>
        <v/>
      </c>
    </row>
    <row r="32">
      <c r="A32">
        <f>計分!A32</f>
        <v/>
      </c>
      <c r="B32">
        <f>IF(OR(計分!B32="",計分!$AP32=""),"",計分!$AP32-計分!B32)</f>
        <v/>
      </c>
      <c r="C32">
        <f>IF(OR(計分!C32="",計分!$AP32=""),"",計分!$AP32-計分!C32)</f>
        <v/>
      </c>
      <c r="D32">
        <f>IF(OR(計分!D32="",計分!$AP32=""),"",計分!$AP32-計分!D32)</f>
        <v/>
      </c>
      <c r="E32">
        <f>IF(OR(計分!E32="",計分!$AP32=""),"",計分!$AP32-計分!E32)</f>
        <v/>
      </c>
      <c r="F32">
        <f>IF(OR(計分!F32="",計分!$AP32=""),"",計分!$AP32-計分!F32)</f>
        <v/>
      </c>
      <c r="G32">
        <f>IF(OR(計分!G32="",計分!$AP32=""),"",計分!$AP32-計分!G32)</f>
        <v/>
      </c>
      <c r="H32">
        <f>IF(OR(計分!H32="",計分!$AP32=""),"",計分!$AP32-計分!H32)</f>
        <v/>
      </c>
      <c r="I32">
        <f>IF(OR(計分!I32="",計分!$AP32=""),"",計分!$AP32-計分!I32)</f>
        <v/>
      </c>
      <c r="J32">
        <f>IF(OR(計分!J32="",計分!$AP32=""),"",計分!$AP32-計分!J32)</f>
        <v/>
      </c>
      <c r="K32">
        <f>IF(OR(計分!K32="",計分!$AP32=""),"",計分!$AP32-計分!K32)</f>
        <v/>
      </c>
      <c r="L32">
        <f>IF(OR(計分!L32="",計分!$AP32=""),"",計分!$AP32-計分!L32)</f>
        <v/>
      </c>
      <c r="M32">
        <f>IF(OR(計分!M32="",計分!$AP32=""),"",計分!$AP32-計分!M32)</f>
        <v/>
      </c>
      <c r="N32">
        <f>IF(OR(計分!N32="",計分!$AP32=""),"",計分!$AP32-計分!N32)</f>
        <v/>
      </c>
      <c r="O32">
        <f>IF(OR(計分!O32="",計分!$AP32=""),"",計分!$AP32-計分!O32)</f>
        <v/>
      </c>
      <c r="P32">
        <f>IF(OR(計分!P32="",計分!$AP32=""),"",計分!$AP32-計分!P32)</f>
        <v/>
      </c>
      <c r="Q32">
        <f>IF(OR(計分!Q32="",計分!$AP32=""),"",計分!$AP32-計分!Q32)</f>
        <v/>
      </c>
      <c r="R32">
        <f>IF(OR(計分!R32="",計分!$AP32=""),"",計分!$AP32-計分!R32)</f>
        <v/>
      </c>
      <c r="S32">
        <f>IF(OR(計分!S32="",計分!$AP32=""),"",計分!$AP32-計分!S32)</f>
        <v/>
      </c>
      <c r="T32">
        <f>IF(OR(計分!T32="",計分!$AP32=""),"",計分!$AP32-計分!T32)</f>
        <v/>
      </c>
      <c r="U32">
        <f>IF(OR(計分!U32="",計分!$AP32=""),"",計分!$AP32-計分!U32)</f>
        <v/>
      </c>
      <c r="V32">
        <f>IF(OR(計分!V32="",計分!$AP32=""),"",計分!$AP32-計分!V32)</f>
        <v/>
      </c>
      <c r="W32">
        <f>IF(OR(計分!W32="",計分!$AP32=""),"",計分!$AP32-計分!W32)</f>
        <v/>
      </c>
      <c r="X32">
        <f>IF(OR(計分!X32="",計分!$AP32=""),"",計分!$AP32-計分!X32)</f>
        <v/>
      </c>
      <c r="Y32">
        <f>IF(OR(計分!Y32="",計分!$AP32=""),"",計分!$AP32-計分!Y32)</f>
        <v/>
      </c>
      <c r="Z32">
        <f>IF(OR(計分!Z32="",計分!$AP32=""),"",計分!$AP32-計分!Z32)</f>
        <v/>
      </c>
      <c r="AA32">
        <f>IF(OR(計分!AA32="",計分!$AP32=""),"",計分!$AP32-計分!AA32)</f>
        <v/>
      </c>
      <c r="AB32">
        <f>IF(OR(計分!AB32="",計分!$AP32=""),"",計分!$AP32-計分!AB32)</f>
        <v/>
      </c>
      <c r="AC32">
        <f>IF(OR(計分!AC32="",計分!$AP32=""),"",計分!$AP32-計分!AC32)</f>
        <v/>
      </c>
      <c r="AD32">
        <f>IF(OR(計分!AD32="",計分!$AP32=""),"",計分!$AP32-計分!AD32)</f>
        <v/>
      </c>
      <c r="AE32">
        <f>IF(OR(計分!AE32="",計分!$AP32=""),"",計分!$AP32-計分!AE32)</f>
        <v/>
      </c>
      <c r="AF32">
        <f>IF(OR(計分!AF32="",計分!$AP32=""),"",計分!$AP32-計分!AF32)</f>
        <v/>
      </c>
      <c r="AG32">
        <f>IF(OR(計分!AG32="",計分!$AP32=""),"",計分!$AP32-計分!AG32)</f>
        <v/>
      </c>
      <c r="AH32">
        <f>IF(OR(計分!AH32="",計分!$AP32=""),"",計分!$AP32-計分!AH32)</f>
        <v/>
      </c>
      <c r="AI32">
        <f>IF(OR(計分!AI32="",計分!$AP32=""),"",計分!$AP32-計分!AI32)</f>
        <v/>
      </c>
      <c r="AJ32">
        <f>IF(OR(計分!AJ32="",計分!$AP32=""),"",計分!$AP32-計分!AJ32)</f>
        <v/>
      </c>
      <c r="AK32">
        <f>IF(OR(計分!AK32="",計分!$AP32=""),"",計分!$AP32-計分!AK32)</f>
        <v/>
      </c>
      <c r="AL32">
        <f>IF(OR(計分!AL32="",計分!$AP32=""),"",計分!$AP32-計分!AL32)</f>
        <v/>
      </c>
      <c r="AM32">
        <f>IF(OR(計分!AM32="",計分!$AP32=""),"",計分!$AP32-計分!AM32)</f>
        <v/>
      </c>
      <c r="AN32">
        <f>IF(OR(計分!AN32="",計分!$AP32=""),"",計分!$AP32-計分!AN32)</f>
        <v/>
      </c>
      <c r="AO32">
        <f>IF(OR(計分!AO32="",計分!$AP32=""),"",計分!$AP32-計分!AO32)</f>
        <v/>
      </c>
    </row>
    <row r="33">
      <c r="A33">
        <f>計分!A33</f>
        <v/>
      </c>
      <c r="B33">
        <f>IF(OR(計分!B33="",計分!$AP33=""),"",計分!$AP33-計分!B33)</f>
        <v/>
      </c>
      <c r="C33">
        <f>IF(OR(計分!C33="",計分!$AP33=""),"",計分!$AP33-計分!C33)</f>
        <v/>
      </c>
      <c r="D33">
        <f>IF(OR(計分!D33="",計分!$AP33=""),"",計分!$AP33-計分!D33)</f>
        <v/>
      </c>
      <c r="E33">
        <f>IF(OR(計分!E33="",計分!$AP33=""),"",計分!$AP33-計分!E33)</f>
        <v/>
      </c>
      <c r="F33">
        <f>IF(OR(計分!F33="",計分!$AP33=""),"",計分!$AP33-計分!F33)</f>
        <v/>
      </c>
      <c r="G33">
        <f>IF(OR(計分!G33="",計分!$AP33=""),"",計分!$AP33-計分!G33)</f>
        <v/>
      </c>
      <c r="H33">
        <f>IF(OR(計分!H33="",計分!$AP33=""),"",計分!$AP33-計分!H33)</f>
        <v/>
      </c>
      <c r="I33">
        <f>IF(OR(計分!I33="",計分!$AP33=""),"",計分!$AP33-計分!I33)</f>
        <v/>
      </c>
      <c r="J33">
        <f>IF(OR(計分!J33="",計分!$AP33=""),"",計分!$AP33-計分!J33)</f>
        <v/>
      </c>
      <c r="K33">
        <f>IF(OR(計分!K33="",計分!$AP33=""),"",計分!$AP33-計分!K33)</f>
        <v/>
      </c>
      <c r="L33">
        <f>IF(OR(計分!L33="",計分!$AP33=""),"",計分!$AP33-計分!L33)</f>
        <v/>
      </c>
      <c r="M33">
        <f>IF(OR(計分!M33="",計分!$AP33=""),"",計分!$AP33-計分!M33)</f>
        <v/>
      </c>
      <c r="N33">
        <f>IF(OR(計分!N33="",計分!$AP33=""),"",計分!$AP33-計分!N33)</f>
        <v/>
      </c>
      <c r="O33">
        <f>IF(OR(計分!O33="",計分!$AP33=""),"",計分!$AP33-計分!O33)</f>
        <v/>
      </c>
      <c r="P33">
        <f>IF(OR(計分!P33="",計分!$AP33=""),"",計分!$AP33-計分!P33)</f>
        <v/>
      </c>
      <c r="Q33">
        <f>IF(OR(計分!Q33="",計分!$AP33=""),"",計分!$AP33-計分!Q33)</f>
        <v/>
      </c>
      <c r="R33">
        <f>IF(OR(計分!R33="",計分!$AP33=""),"",計分!$AP33-計分!R33)</f>
        <v/>
      </c>
      <c r="S33">
        <f>IF(OR(計分!S33="",計分!$AP33=""),"",計分!$AP33-計分!S33)</f>
        <v/>
      </c>
      <c r="T33">
        <f>IF(OR(計分!T33="",計分!$AP33=""),"",計分!$AP33-計分!T33)</f>
        <v/>
      </c>
      <c r="U33">
        <f>IF(OR(計分!U33="",計分!$AP33=""),"",計分!$AP33-計分!U33)</f>
        <v/>
      </c>
      <c r="V33">
        <f>IF(OR(計分!V33="",計分!$AP33=""),"",計分!$AP33-計分!V33)</f>
        <v/>
      </c>
      <c r="W33">
        <f>IF(OR(計分!W33="",計分!$AP33=""),"",計分!$AP33-計分!W33)</f>
        <v/>
      </c>
      <c r="X33">
        <f>IF(OR(計分!X33="",計分!$AP33=""),"",計分!$AP33-計分!X33)</f>
        <v/>
      </c>
      <c r="Y33">
        <f>IF(OR(計分!Y33="",計分!$AP33=""),"",計分!$AP33-計分!Y33)</f>
        <v/>
      </c>
      <c r="Z33">
        <f>IF(OR(計分!Z33="",計分!$AP33=""),"",計分!$AP33-計分!Z33)</f>
        <v/>
      </c>
      <c r="AA33">
        <f>IF(OR(計分!AA33="",計分!$AP33=""),"",計分!$AP33-計分!AA33)</f>
        <v/>
      </c>
      <c r="AB33">
        <f>IF(OR(計分!AB33="",計分!$AP33=""),"",計分!$AP33-計分!AB33)</f>
        <v/>
      </c>
      <c r="AC33">
        <f>IF(OR(計分!AC33="",計分!$AP33=""),"",計分!$AP33-計分!AC33)</f>
        <v/>
      </c>
      <c r="AD33">
        <f>IF(OR(計分!AD33="",計分!$AP33=""),"",計分!$AP33-計分!AD33)</f>
        <v/>
      </c>
      <c r="AE33">
        <f>IF(OR(計分!AE33="",計分!$AP33=""),"",計分!$AP33-計分!AE33)</f>
        <v/>
      </c>
      <c r="AF33">
        <f>IF(OR(計分!AF33="",計分!$AP33=""),"",計分!$AP33-計分!AF33)</f>
        <v/>
      </c>
      <c r="AG33">
        <f>IF(OR(計分!AG33="",計分!$AP33=""),"",計分!$AP33-計分!AG33)</f>
        <v/>
      </c>
      <c r="AH33">
        <f>IF(OR(計分!AH33="",計分!$AP33=""),"",計分!$AP33-計分!AH33)</f>
        <v/>
      </c>
      <c r="AI33">
        <f>IF(OR(計分!AI33="",計分!$AP33=""),"",計分!$AP33-計分!AI33)</f>
        <v/>
      </c>
      <c r="AJ33">
        <f>IF(OR(計分!AJ33="",計分!$AP33=""),"",計分!$AP33-計分!AJ33)</f>
        <v/>
      </c>
      <c r="AK33">
        <f>IF(OR(計分!AK33="",計分!$AP33=""),"",計分!$AP33-計分!AK33)</f>
        <v/>
      </c>
      <c r="AL33">
        <f>IF(OR(計分!AL33="",計分!$AP33=""),"",計分!$AP33-計分!AL33)</f>
        <v/>
      </c>
      <c r="AM33">
        <f>IF(OR(計分!AM33="",計分!$AP33=""),"",計分!$AP33-計分!AM33)</f>
        <v/>
      </c>
      <c r="AN33">
        <f>IF(OR(計分!AN33="",計分!$AP33=""),"",計分!$AP33-計分!AN33)</f>
        <v/>
      </c>
      <c r="AO33">
        <f>IF(OR(計分!AO33="",計分!$AP33=""),"",計分!$AP33-計分!AO33)</f>
        <v/>
      </c>
    </row>
    <row r="34">
      <c r="A34">
        <f>計分!A34</f>
        <v/>
      </c>
      <c r="B34">
        <f>IF(OR(計分!B34="",計分!$AP34=""),"",計分!$AP34-計分!B34)</f>
        <v/>
      </c>
      <c r="C34">
        <f>IF(OR(計分!C34="",計分!$AP34=""),"",計分!$AP34-計分!C34)</f>
        <v/>
      </c>
      <c r="D34">
        <f>IF(OR(計分!D34="",計分!$AP34=""),"",計分!$AP34-計分!D34)</f>
        <v/>
      </c>
      <c r="E34">
        <f>IF(OR(計分!E34="",計分!$AP34=""),"",計分!$AP34-計分!E34)</f>
        <v/>
      </c>
      <c r="F34">
        <f>IF(OR(計分!F34="",計分!$AP34=""),"",計分!$AP34-計分!F34)</f>
        <v/>
      </c>
      <c r="G34">
        <f>IF(OR(計分!G34="",計分!$AP34=""),"",計分!$AP34-計分!G34)</f>
        <v/>
      </c>
      <c r="H34">
        <f>IF(OR(計分!H34="",計分!$AP34=""),"",計分!$AP34-計分!H34)</f>
        <v/>
      </c>
      <c r="I34">
        <f>IF(OR(計分!I34="",計分!$AP34=""),"",計分!$AP34-計分!I34)</f>
        <v/>
      </c>
      <c r="J34">
        <f>IF(OR(計分!J34="",計分!$AP34=""),"",計分!$AP34-計分!J34)</f>
        <v/>
      </c>
      <c r="K34">
        <f>IF(OR(計分!K34="",計分!$AP34=""),"",計分!$AP34-計分!K34)</f>
        <v/>
      </c>
      <c r="L34">
        <f>IF(OR(計分!L34="",計分!$AP34=""),"",計分!$AP34-計分!L34)</f>
        <v/>
      </c>
      <c r="M34">
        <f>IF(OR(計分!M34="",計分!$AP34=""),"",計分!$AP34-計分!M34)</f>
        <v/>
      </c>
      <c r="N34">
        <f>IF(OR(計分!N34="",計分!$AP34=""),"",計分!$AP34-計分!N34)</f>
        <v/>
      </c>
      <c r="O34">
        <f>IF(OR(計分!O34="",計分!$AP34=""),"",計分!$AP34-計分!O34)</f>
        <v/>
      </c>
      <c r="P34">
        <f>IF(OR(計分!P34="",計分!$AP34=""),"",計分!$AP34-計分!P34)</f>
        <v/>
      </c>
      <c r="Q34">
        <f>IF(OR(計分!Q34="",計分!$AP34=""),"",計分!$AP34-計分!Q34)</f>
        <v/>
      </c>
      <c r="R34">
        <f>IF(OR(計分!R34="",計分!$AP34=""),"",計分!$AP34-計分!R34)</f>
        <v/>
      </c>
      <c r="S34">
        <f>IF(OR(計分!S34="",計分!$AP34=""),"",計分!$AP34-計分!S34)</f>
        <v/>
      </c>
      <c r="T34">
        <f>IF(OR(計分!T34="",計分!$AP34=""),"",計分!$AP34-計分!T34)</f>
        <v/>
      </c>
      <c r="U34">
        <f>IF(OR(計分!U34="",計分!$AP34=""),"",計分!$AP34-計分!U34)</f>
        <v/>
      </c>
      <c r="V34">
        <f>IF(OR(計分!V34="",計分!$AP34=""),"",計分!$AP34-計分!V34)</f>
        <v/>
      </c>
      <c r="W34">
        <f>IF(OR(計分!W34="",計分!$AP34=""),"",計分!$AP34-計分!W34)</f>
        <v/>
      </c>
      <c r="X34">
        <f>IF(OR(計分!X34="",計分!$AP34=""),"",計分!$AP34-計分!X34)</f>
        <v/>
      </c>
      <c r="Y34">
        <f>IF(OR(計分!Y34="",計分!$AP34=""),"",計分!$AP34-計分!Y34)</f>
        <v/>
      </c>
      <c r="Z34">
        <f>IF(OR(計分!Z34="",計分!$AP34=""),"",計分!$AP34-計分!Z34)</f>
        <v/>
      </c>
      <c r="AA34">
        <f>IF(OR(計分!AA34="",計分!$AP34=""),"",計分!$AP34-計分!AA34)</f>
        <v/>
      </c>
      <c r="AB34">
        <f>IF(OR(計分!AB34="",計分!$AP34=""),"",計分!$AP34-計分!AB34)</f>
        <v/>
      </c>
      <c r="AC34">
        <f>IF(OR(計分!AC34="",計分!$AP34=""),"",計分!$AP34-計分!AC34)</f>
        <v/>
      </c>
      <c r="AD34">
        <f>IF(OR(計分!AD34="",計分!$AP34=""),"",計分!$AP34-計分!AD34)</f>
        <v/>
      </c>
      <c r="AE34">
        <f>IF(OR(計分!AE34="",計分!$AP34=""),"",計分!$AP34-計分!AE34)</f>
        <v/>
      </c>
      <c r="AF34">
        <f>IF(OR(計分!AF34="",計分!$AP34=""),"",計分!$AP34-計分!AF34)</f>
        <v/>
      </c>
      <c r="AG34">
        <f>IF(OR(計分!AG34="",計分!$AP34=""),"",計分!$AP34-計分!AG34)</f>
        <v/>
      </c>
      <c r="AH34">
        <f>IF(OR(計分!AH34="",計分!$AP34=""),"",計分!$AP34-計分!AH34)</f>
        <v/>
      </c>
      <c r="AI34">
        <f>IF(OR(計分!AI34="",計分!$AP34=""),"",計分!$AP34-計分!AI34)</f>
        <v/>
      </c>
      <c r="AJ34">
        <f>IF(OR(計分!AJ34="",計分!$AP34=""),"",計分!$AP34-計分!AJ34)</f>
        <v/>
      </c>
      <c r="AK34">
        <f>IF(OR(計分!AK34="",計分!$AP34=""),"",計分!$AP34-計分!AK34)</f>
        <v/>
      </c>
      <c r="AL34">
        <f>IF(OR(計分!AL34="",計分!$AP34=""),"",計分!$AP34-計分!AL34)</f>
        <v/>
      </c>
      <c r="AM34">
        <f>IF(OR(計分!AM34="",計分!$AP34=""),"",計分!$AP34-計分!AM34)</f>
        <v/>
      </c>
      <c r="AN34">
        <f>IF(OR(計分!AN34="",計分!$AP34=""),"",計分!$AP34-計分!AN34)</f>
        <v/>
      </c>
      <c r="AO34">
        <f>IF(OR(計分!AO34="",計分!$AP34=""),"",計分!$AP34-計分!AO34)</f>
        <v/>
      </c>
    </row>
    <row r="35">
      <c r="A35">
        <f>計分!A35</f>
        <v/>
      </c>
      <c r="B35">
        <f>IF(OR(計分!B35="",計分!$AP35=""),"",計分!$AP35-計分!B35)</f>
        <v/>
      </c>
      <c r="C35">
        <f>IF(OR(計分!C35="",計分!$AP35=""),"",計分!$AP35-計分!C35)</f>
        <v/>
      </c>
      <c r="D35">
        <f>IF(OR(計分!D35="",計分!$AP35=""),"",計分!$AP35-計分!D35)</f>
        <v/>
      </c>
      <c r="E35">
        <f>IF(OR(計分!E35="",計分!$AP35=""),"",計分!$AP35-計分!E35)</f>
        <v/>
      </c>
      <c r="F35">
        <f>IF(OR(計分!F35="",計分!$AP35=""),"",計分!$AP35-計分!F35)</f>
        <v/>
      </c>
      <c r="G35">
        <f>IF(OR(計分!G35="",計分!$AP35=""),"",計分!$AP35-計分!G35)</f>
        <v/>
      </c>
      <c r="H35">
        <f>IF(OR(計分!H35="",計分!$AP35=""),"",計分!$AP35-計分!H35)</f>
        <v/>
      </c>
      <c r="I35">
        <f>IF(OR(計分!I35="",計分!$AP35=""),"",計分!$AP35-計分!I35)</f>
        <v/>
      </c>
      <c r="J35">
        <f>IF(OR(計分!J35="",計分!$AP35=""),"",計分!$AP35-計分!J35)</f>
        <v/>
      </c>
      <c r="K35">
        <f>IF(OR(計分!K35="",計分!$AP35=""),"",計分!$AP35-計分!K35)</f>
        <v/>
      </c>
      <c r="L35">
        <f>IF(OR(計分!L35="",計分!$AP35=""),"",計分!$AP35-計分!L35)</f>
        <v/>
      </c>
      <c r="M35">
        <f>IF(OR(計分!M35="",計分!$AP35=""),"",計分!$AP35-計分!M35)</f>
        <v/>
      </c>
      <c r="N35">
        <f>IF(OR(計分!N35="",計分!$AP35=""),"",計分!$AP35-計分!N35)</f>
        <v/>
      </c>
      <c r="O35">
        <f>IF(OR(計分!O35="",計分!$AP35=""),"",計分!$AP35-計分!O35)</f>
        <v/>
      </c>
      <c r="P35">
        <f>IF(OR(計分!P35="",計分!$AP35=""),"",計分!$AP35-計分!P35)</f>
        <v/>
      </c>
      <c r="Q35">
        <f>IF(OR(計分!Q35="",計分!$AP35=""),"",計分!$AP35-計分!Q35)</f>
        <v/>
      </c>
      <c r="R35">
        <f>IF(OR(計分!R35="",計分!$AP35=""),"",計分!$AP35-計分!R35)</f>
        <v/>
      </c>
      <c r="S35">
        <f>IF(OR(計分!S35="",計分!$AP35=""),"",計分!$AP35-計分!S35)</f>
        <v/>
      </c>
      <c r="T35">
        <f>IF(OR(計分!T35="",計分!$AP35=""),"",計分!$AP35-計分!T35)</f>
        <v/>
      </c>
      <c r="U35">
        <f>IF(OR(計分!U35="",計分!$AP35=""),"",計分!$AP35-計分!U35)</f>
        <v/>
      </c>
      <c r="V35">
        <f>IF(OR(計分!V35="",計分!$AP35=""),"",計分!$AP35-計分!V35)</f>
        <v/>
      </c>
      <c r="W35">
        <f>IF(OR(計分!W35="",計分!$AP35=""),"",計分!$AP35-計分!W35)</f>
        <v/>
      </c>
      <c r="X35">
        <f>IF(OR(計分!X35="",計分!$AP35=""),"",計分!$AP35-計分!X35)</f>
        <v/>
      </c>
      <c r="Y35">
        <f>IF(OR(計分!Y35="",計分!$AP35=""),"",計分!$AP35-計分!Y35)</f>
        <v/>
      </c>
      <c r="Z35">
        <f>IF(OR(計分!Z35="",計分!$AP35=""),"",計分!$AP35-計分!Z35)</f>
        <v/>
      </c>
      <c r="AA35">
        <f>IF(OR(計分!AA35="",計分!$AP35=""),"",計分!$AP35-計分!AA35)</f>
        <v/>
      </c>
      <c r="AB35">
        <f>IF(OR(計分!AB35="",計分!$AP35=""),"",計分!$AP35-計分!AB35)</f>
        <v/>
      </c>
      <c r="AC35">
        <f>IF(OR(計分!AC35="",計分!$AP35=""),"",計分!$AP35-計分!AC35)</f>
        <v/>
      </c>
      <c r="AD35">
        <f>IF(OR(計分!AD35="",計分!$AP35=""),"",計分!$AP35-計分!AD35)</f>
        <v/>
      </c>
      <c r="AE35">
        <f>IF(OR(計分!AE35="",計分!$AP35=""),"",計分!$AP35-計分!AE35)</f>
        <v/>
      </c>
      <c r="AF35">
        <f>IF(OR(計分!AF35="",計分!$AP35=""),"",計分!$AP35-計分!AF35)</f>
        <v/>
      </c>
      <c r="AG35">
        <f>IF(OR(計分!AG35="",計分!$AP35=""),"",計分!$AP35-計分!AG35)</f>
        <v/>
      </c>
      <c r="AH35">
        <f>IF(OR(計分!AH35="",計分!$AP35=""),"",計分!$AP35-計分!AH35)</f>
        <v/>
      </c>
      <c r="AI35">
        <f>IF(OR(計分!AI35="",計分!$AP35=""),"",計分!$AP35-計分!AI35)</f>
        <v/>
      </c>
      <c r="AJ35">
        <f>IF(OR(計分!AJ35="",計分!$AP35=""),"",計分!$AP35-計分!AJ35)</f>
        <v/>
      </c>
      <c r="AK35">
        <f>IF(OR(計分!AK35="",計分!$AP35=""),"",計分!$AP35-計分!AK35)</f>
        <v/>
      </c>
      <c r="AL35">
        <f>IF(OR(計分!AL35="",計分!$AP35=""),"",計分!$AP35-計分!AL35)</f>
        <v/>
      </c>
      <c r="AM35">
        <f>IF(OR(計分!AM35="",計分!$AP35=""),"",計分!$AP35-計分!AM35)</f>
        <v/>
      </c>
      <c r="AN35">
        <f>IF(OR(計分!AN35="",計分!$AP35=""),"",計分!$AP35-計分!AN35)</f>
        <v/>
      </c>
      <c r="AO35">
        <f>IF(OR(計分!AO35="",計分!$AP35=""),"",計分!$AP35-計分!AO35)</f>
        <v/>
      </c>
    </row>
    <row r="36">
      <c r="A36">
        <f>計分!A36</f>
        <v/>
      </c>
      <c r="B36">
        <f>IF(OR(計分!B36="",計分!$AP36=""),"",計分!$AP36-計分!B36)</f>
        <v/>
      </c>
      <c r="C36">
        <f>IF(OR(計分!C36="",計分!$AP36=""),"",計分!$AP36-計分!C36)</f>
        <v/>
      </c>
      <c r="D36">
        <f>IF(OR(計分!D36="",計分!$AP36=""),"",計分!$AP36-計分!D36)</f>
        <v/>
      </c>
      <c r="E36">
        <f>IF(OR(計分!E36="",計分!$AP36=""),"",計分!$AP36-計分!E36)</f>
        <v/>
      </c>
      <c r="F36">
        <f>IF(OR(計分!F36="",計分!$AP36=""),"",計分!$AP36-計分!F36)</f>
        <v/>
      </c>
      <c r="G36">
        <f>IF(OR(計分!G36="",計分!$AP36=""),"",計分!$AP36-計分!G36)</f>
        <v/>
      </c>
      <c r="H36">
        <f>IF(OR(計分!H36="",計分!$AP36=""),"",計分!$AP36-計分!H36)</f>
        <v/>
      </c>
      <c r="I36">
        <f>IF(OR(計分!I36="",計分!$AP36=""),"",計分!$AP36-計分!I36)</f>
        <v/>
      </c>
      <c r="J36">
        <f>IF(OR(計分!J36="",計分!$AP36=""),"",計分!$AP36-計分!J36)</f>
        <v/>
      </c>
      <c r="K36">
        <f>IF(OR(計分!K36="",計分!$AP36=""),"",計分!$AP36-計分!K36)</f>
        <v/>
      </c>
      <c r="L36">
        <f>IF(OR(計分!L36="",計分!$AP36=""),"",計分!$AP36-計分!L36)</f>
        <v/>
      </c>
      <c r="M36">
        <f>IF(OR(計分!M36="",計分!$AP36=""),"",計分!$AP36-計分!M36)</f>
        <v/>
      </c>
      <c r="N36">
        <f>IF(OR(計分!N36="",計分!$AP36=""),"",計分!$AP36-計分!N36)</f>
        <v/>
      </c>
      <c r="O36">
        <f>IF(OR(計分!O36="",計分!$AP36=""),"",計分!$AP36-計分!O36)</f>
        <v/>
      </c>
      <c r="P36">
        <f>IF(OR(計分!P36="",計分!$AP36=""),"",計分!$AP36-計分!P36)</f>
        <v/>
      </c>
      <c r="Q36">
        <f>IF(OR(計分!Q36="",計分!$AP36=""),"",計分!$AP36-計分!Q36)</f>
        <v/>
      </c>
      <c r="R36">
        <f>IF(OR(計分!R36="",計分!$AP36=""),"",計分!$AP36-計分!R36)</f>
        <v/>
      </c>
      <c r="S36">
        <f>IF(OR(計分!S36="",計分!$AP36=""),"",計分!$AP36-計分!S36)</f>
        <v/>
      </c>
      <c r="T36">
        <f>IF(OR(計分!T36="",計分!$AP36=""),"",計分!$AP36-計分!T36)</f>
        <v/>
      </c>
      <c r="U36">
        <f>IF(OR(計分!U36="",計分!$AP36=""),"",計分!$AP36-計分!U36)</f>
        <v/>
      </c>
      <c r="V36">
        <f>IF(OR(計分!V36="",計分!$AP36=""),"",計分!$AP36-計分!V36)</f>
        <v/>
      </c>
      <c r="W36">
        <f>IF(OR(計分!W36="",計分!$AP36=""),"",計分!$AP36-計分!W36)</f>
        <v/>
      </c>
      <c r="X36">
        <f>IF(OR(計分!X36="",計分!$AP36=""),"",計分!$AP36-計分!X36)</f>
        <v/>
      </c>
      <c r="Y36">
        <f>IF(OR(計分!Y36="",計分!$AP36=""),"",計分!$AP36-計分!Y36)</f>
        <v/>
      </c>
      <c r="Z36">
        <f>IF(OR(計分!Z36="",計分!$AP36=""),"",計分!$AP36-計分!Z36)</f>
        <v/>
      </c>
      <c r="AA36">
        <f>IF(OR(計分!AA36="",計分!$AP36=""),"",計分!$AP36-計分!AA36)</f>
        <v/>
      </c>
      <c r="AB36">
        <f>IF(OR(計分!AB36="",計分!$AP36=""),"",計分!$AP36-計分!AB36)</f>
        <v/>
      </c>
      <c r="AC36">
        <f>IF(OR(計分!AC36="",計分!$AP36=""),"",計分!$AP36-計分!AC36)</f>
        <v/>
      </c>
      <c r="AD36">
        <f>IF(OR(計分!AD36="",計分!$AP36=""),"",計分!$AP36-計分!AD36)</f>
        <v/>
      </c>
      <c r="AE36">
        <f>IF(OR(計分!AE36="",計分!$AP36=""),"",計分!$AP36-計分!AE36)</f>
        <v/>
      </c>
      <c r="AF36">
        <f>IF(OR(計分!AF36="",計分!$AP36=""),"",計分!$AP36-計分!AF36)</f>
        <v/>
      </c>
      <c r="AG36">
        <f>IF(OR(計分!AG36="",計分!$AP36=""),"",計分!$AP36-計分!AG36)</f>
        <v/>
      </c>
      <c r="AH36">
        <f>IF(OR(計分!AH36="",計分!$AP36=""),"",計分!$AP36-計分!AH36)</f>
        <v/>
      </c>
      <c r="AI36">
        <f>IF(OR(計分!AI36="",計分!$AP36=""),"",計分!$AP36-計分!AI36)</f>
        <v/>
      </c>
      <c r="AJ36">
        <f>IF(OR(計分!AJ36="",計分!$AP36=""),"",計分!$AP36-計分!AJ36)</f>
        <v/>
      </c>
      <c r="AK36">
        <f>IF(OR(計分!AK36="",計分!$AP36=""),"",計分!$AP36-計分!AK36)</f>
        <v/>
      </c>
      <c r="AL36">
        <f>IF(OR(計分!AL36="",計分!$AP36=""),"",計分!$AP36-計分!AL36)</f>
        <v/>
      </c>
      <c r="AM36">
        <f>IF(OR(計分!AM36="",計分!$AP36=""),"",計分!$AP36-計分!AM36)</f>
        <v/>
      </c>
      <c r="AN36">
        <f>IF(OR(計分!AN36="",計分!$AP36=""),"",計分!$AP36-計分!AN36)</f>
        <v/>
      </c>
      <c r="AO36">
        <f>IF(OR(計分!AO36="",計分!$AP36=""),"",計分!$AP36-計分!AO36)</f>
        <v/>
      </c>
    </row>
    <row r="37">
      <c r="A37">
        <f>計分!A37</f>
        <v/>
      </c>
      <c r="B37">
        <f>IF(OR(計分!B37="",計分!$AP37=""),"",計分!$AP37-計分!B37)</f>
        <v/>
      </c>
      <c r="C37">
        <f>IF(OR(計分!C37="",計分!$AP37=""),"",計分!$AP37-計分!C37)</f>
        <v/>
      </c>
      <c r="D37">
        <f>IF(OR(計分!D37="",計分!$AP37=""),"",計分!$AP37-計分!D37)</f>
        <v/>
      </c>
      <c r="E37">
        <f>IF(OR(計分!E37="",計分!$AP37=""),"",計分!$AP37-計分!E37)</f>
        <v/>
      </c>
      <c r="F37">
        <f>IF(OR(計分!F37="",計分!$AP37=""),"",計分!$AP37-計分!F37)</f>
        <v/>
      </c>
      <c r="G37">
        <f>IF(OR(計分!G37="",計分!$AP37=""),"",計分!$AP37-計分!G37)</f>
        <v/>
      </c>
      <c r="H37">
        <f>IF(OR(計分!H37="",計分!$AP37=""),"",計分!$AP37-計分!H37)</f>
        <v/>
      </c>
      <c r="I37">
        <f>IF(OR(計分!I37="",計分!$AP37=""),"",計分!$AP37-計分!I37)</f>
        <v/>
      </c>
      <c r="J37">
        <f>IF(OR(計分!J37="",計分!$AP37=""),"",計分!$AP37-計分!J37)</f>
        <v/>
      </c>
      <c r="K37">
        <f>IF(OR(計分!K37="",計分!$AP37=""),"",計分!$AP37-計分!K37)</f>
        <v/>
      </c>
      <c r="L37">
        <f>IF(OR(計分!L37="",計分!$AP37=""),"",計分!$AP37-計分!L37)</f>
        <v/>
      </c>
      <c r="M37">
        <f>IF(OR(計分!M37="",計分!$AP37=""),"",計分!$AP37-計分!M37)</f>
        <v/>
      </c>
      <c r="N37">
        <f>IF(OR(計分!N37="",計分!$AP37=""),"",計分!$AP37-計分!N37)</f>
        <v/>
      </c>
      <c r="O37">
        <f>IF(OR(計分!O37="",計分!$AP37=""),"",計分!$AP37-計分!O37)</f>
        <v/>
      </c>
      <c r="P37">
        <f>IF(OR(計分!P37="",計分!$AP37=""),"",計分!$AP37-計分!P37)</f>
        <v/>
      </c>
      <c r="Q37">
        <f>IF(OR(計分!Q37="",計分!$AP37=""),"",計分!$AP37-計分!Q37)</f>
        <v/>
      </c>
      <c r="R37">
        <f>IF(OR(計分!R37="",計分!$AP37=""),"",計分!$AP37-計分!R37)</f>
        <v/>
      </c>
      <c r="S37">
        <f>IF(OR(計分!S37="",計分!$AP37=""),"",計分!$AP37-計分!S37)</f>
        <v/>
      </c>
      <c r="T37">
        <f>IF(OR(計分!T37="",計分!$AP37=""),"",計分!$AP37-計分!T37)</f>
        <v/>
      </c>
      <c r="U37">
        <f>IF(OR(計分!U37="",計分!$AP37=""),"",計分!$AP37-計分!U37)</f>
        <v/>
      </c>
      <c r="V37">
        <f>IF(OR(計分!V37="",計分!$AP37=""),"",計分!$AP37-計分!V37)</f>
        <v/>
      </c>
      <c r="W37">
        <f>IF(OR(計分!W37="",計分!$AP37=""),"",計分!$AP37-計分!W37)</f>
        <v/>
      </c>
      <c r="X37">
        <f>IF(OR(計分!X37="",計分!$AP37=""),"",計分!$AP37-計分!X37)</f>
        <v/>
      </c>
      <c r="Y37">
        <f>IF(OR(計分!Y37="",計分!$AP37=""),"",計分!$AP37-計分!Y37)</f>
        <v/>
      </c>
      <c r="Z37">
        <f>IF(OR(計分!Z37="",計分!$AP37=""),"",計分!$AP37-計分!Z37)</f>
        <v/>
      </c>
      <c r="AA37">
        <f>IF(OR(計分!AA37="",計分!$AP37=""),"",計分!$AP37-計分!AA37)</f>
        <v/>
      </c>
      <c r="AB37">
        <f>IF(OR(計分!AB37="",計分!$AP37=""),"",計分!$AP37-計分!AB37)</f>
        <v/>
      </c>
      <c r="AC37">
        <f>IF(OR(計分!AC37="",計分!$AP37=""),"",計分!$AP37-計分!AC37)</f>
        <v/>
      </c>
      <c r="AD37">
        <f>IF(OR(計分!AD37="",計分!$AP37=""),"",計分!$AP37-計分!AD37)</f>
        <v/>
      </c>
      <c r="AE37">
        <f>IF(OR(計分!AE37="",計分!$AP37=""),"",計分!$AP37-計分!AE37)</f>
        <v/>
      </c>
      <c r="AF37">
        <f>IF(OR(計分!AF37="",計分!$AP37=""),"",計分!$AP37-計分!AF37)</f>
        <v/>
      </c>
      <c r="AG37">
        <f>IF(OR(計分!AG37="",計分!$AP37=""),"",計分!$AP37-計分!AG37)</f>
        <v/>
      </c>
      <c r="AH37">
        <f>IF(OR(計分!AH37="",計分!$AP37=""),"",計分!$AP37-計分!AH37)</f>
        <v/>
      </c>
      <c r="AI37">
        <f>IF(OR(計分!AI37="",計分!$AP37=""),"",計分!$AP37-計分!AI37)</f>
        <v/>
      </c>
      <c r="AJ37">
        <f>IF(OR(計分!AJ37="",計分!$AP37=""),"",計分!$AP37-計分!AJ37)</f>
        <v/>
      </c>
      <c r="AK37">
        <f>IF(OR(計分!AK37="",計分!$AP37=""),"",計分!$AP37-計分!AK37)</f>
        <v/>
      </c>
      <c r="AL37">
        <f>IF(OR(計分!AL37="",計分!$AP37=""),"",計分!$AP37-計分!AL37)</f>
        <v/>
      </c>
      <c r="AM37">
        <f>IF(OR(計分!AM37="",計分!$AP37=""),"",計分!$AP37-計分!AM37)</f>
        <v/>
      </c>
      <c r="AN37">
        <f>IF(OR(計分!AN37="",計分!$AP37=""),"",計分!$AP37-計分!AN37)</f>
        <v/>
      </c>
      <c r="AO37">
        <f>IF(OR(計分!AO37="",計分!$AP37=""),"",計分!$AP37-計分!AO37)</f>
        <v/>
      </c>
    </row>
    <row r="38">
      <c r="A38">
        <f>計分!A38</f>
        <v/>
      </c>
      <c r="B38">
        <f>IF(OR(計分!B38="",計分!$AP38=""),"",計分!$AP38-計分!B38)</f>
        <v/>
      </c>
      <c r="C38">
        <f>IF(OR(計分!C38="",計分!$AP38=""),"",計分!$AP38-計分!C38)</f>
        <v/>
      </c>
      <c r="D38">
        <f>IF(OR(計分!D38="",計分!$AP38=""),"",計分!$AP38-計分!D38)</f>
        <v/>
      </c>
      <c r="E38">
        <f>IF(OR(計分!E38="",計分!$AP38=""),"",計分!$AP38-計分!E38)</f>
        <v/>
      </c>
      <c r="F38">
        <f>IF(OR(計分!F38="",計分!$AP38=""),"",計分!$AP38-計分!F38)</f>
        <v/>
      </c>
      <c r="G38">
        <f>IF(OR(計分!G38="",計分!$AP38=""),"",計分!$AP38-計分!G38)</f>
        <v/>
      </c>
      <c r="H38">
        <f>IF(OR(計分!H38="",計分!$AP38=""),"",計分!$AP38-計分!H38)</f>
        <v/>
      </c>
      <c r="I38">
        <f>IF(OR(計分!I38="",計分!$AP38=""),"",計分!$AP38-計分!I38)</f>
        <v/>
      </c>
      <c r="J38">
        <f>IF(OR(計分!J38="",計分!$AP38=""),"",計分!$AP38-計分!J38)</f>
        <v/>
      </c>
      <c r="K38">
        <f>IF(OR(計分!K38="",計分!$AP38=""),"",計分!$AP38-計分!K38)</f>
        <v/>
      </c>
      <c r="L38">
        <f>IF(OR(計分!L38="",計分!$AP38=""),"",計分!$AP38-計分!L38)</f>
        <v/>
      </c>
      <c r="M38">
        <f>IF(OR(計分!M38="",計分!$AP38=""),"",計分!$AP38-計分!M38)</f>
        <v/>
      </c>
      <c r="N38">
        <f>IF(OR(計分!N38="",計分!$AP38=""),"",計分!$AP38-計分!N38)</f>
        <v/>
      </c>
      <c r="O38">
        <f>IF(OR(計分!O38="",計分!$AP38=""),"",計分!$AP38-計分!O38)</f>
        <v/>
      </c>
      <c r="P38">
        <f>IF(OR(計分!P38="",計分!$AP38=""),"",計分!$AP38-計分!P38)</f>
        <v/>
      </c>
      <c r="Q38">
        <f>IF(OR(計分!Q38="",計分!$AP38=""),"",計分!$AP38-計分!Q38)</f>
        <v/>
      </c>
      <c r="R38">
        <f>IF(OR(計分!R38="",計分!$AP38=""),"",計分!$AP38-計分!R38)</f>
        <v/>
      </c>
      <c r="S38">
        <f>IF(OR(計分!S38="",計分!$AP38=""),"",計分!$AP38-計分!S38)</f>
        <v/>
      </c>
      <c r="T38">
        <f>IF(OR(計分!T38="",計分!$AP38=""),"",計分!$AP38-計分!T38)</f>
        <v/>
      </c>
      <c r="U38">
        <f>IF(OR(計分!U38="",計分!$AP38=""),"",計分!$AP38-計分!U38)</f>
        <v/>
      </c>
      <c r="V38">
        <f>IF(OR(計分!V38="",計分!$AP38=""),"",計分!$AP38-計分!V38)</f>
        <v/>
      </c>
      <c r="W38">
        <f>IF(OR(計分!W38="",計分!$AP38=""),"",計分!$AP38-計分!W38)</f>
        <v/>
      </c>
      <c r="X38">
        <f>IF(OR(計分!X38="",計分!$AP38=""),"",計分!$AP38-計分!X38)</f>
        <v/>
      </c>
      <c r="Y38">
        <f>IF(OR(計分!Y38="",計分!$AP38=""),"",計分!$AP38-計分!Y38)</f>
        <v/>
      </c>
      <c r="Z38">
        <f>IF(OR(計分!Z38="",計分!$AP38=""),"",計分!$AP38-計分!Z38)</f>
        <v/>
      </c>
      <c r="AA38">
        <f>IF(OR(計分!AA38="",計分!$AP38=""),"",計分!$AP38-計分!AA38)</f>
        <v/>
      </c>
      <c r="AB38">
        <f>IF(OR(計分!AB38="",計分!$AP38=""),"",計分!$AP38-計分!AB38)</f>
        <v/>
      </c>
      <c r="AC38">
        <f>IF(OR(計分!AC38="",計分!$AP38=""),"",計分!$AP38-計分!AC38)</f>
        <v/>
      </c>
      <c r="AD38">
        <f>IF(OR(計分!AD38="",計分!$AP38=""),"",計分!$AP38-計分!AD38)</f>
        <v/>
      </c>
      <c r="AE38">
        <f>IF(OR(計分!AE38="",計分!$AP38=""),"",計分!$AP38-計分!AE38)</f>
        <v/>
      </c>
      <c r="AF38">
        <f>IF(OR(計分!AF38="",計分!$AP38=""),"",計分!$AP38-計分!AF38)</f>
        <v/>
      </c>
      <c r="AG38">
        <f>IF(OR(計分!AG38="",計分!$AP38=""),"",計分!$AP38-計分!AG38)</f>
        <v/>
      </c>
      <c r="AH38">
        <f>IF(OR(計分!AH38="",計分!$AP38=""),"",計分!$AP38-計分!AH38)</f>
        <v/>
      </c>
      <c r="AI38">
        <f>IF(OR(計分!AI38="",計分!$AP38=""),"",計分!$AP38-計分!AI38)</f>
        <v/>
      </c>
      <c r="AJ38">
        <f>IF(OR(計分!AJ38="",計分!$AP38=""),"",計分!$AP38-計分!AJ38)</f>
        <v/>
      </c>
      <c r="AK38">
        <f>IF(OR(計分!AK38="",計分!$AP38=""),"",計分!$AP38-計分!AK38)</f>
        <v/>
      </c>
      <c r="AL38">
        <f>IF(OR(計分!AL38="",計分!$AP38=""),"",計分!$AP38-計分!AL38)</f>
        <v/>
      </c>
      <c r="AM38">
        <f>IF(OR(計分!AM38="",計分!$AP38=""),"",計分!$AP38-計分!AM38)</f>
        <v/>
      </c>
      <c r="AN38">
        <f>IF(OR(計分!AN38="",計分!$AP38=""),"",計分!$AP38-計分!AN38)</f>
        <v/>
      </c>
      <c r="AO38">
        <f>IF(OR(計分!AO38="",計分!$AP38=""),"",計分!$AP38-計分!AO38)</f>
        <v/>
      </c>
    </row>
    <row r="39">
      <c r="A39">
        <f>計分!A39</f>
        <v/>
      </c>
      <c r="B39">
        <f>IF(OR(計分!B39="",計分!$AP39=""),"",計分!$AP39-計分!B39)</f>
        <v/>
      </c>
      <c r="C39">
        <f>IF(OR(計分!C39="",計分!$AP39=""),"",計分!$AP39-計分!C39)</f>
        <v/>
      </c>
      <c r="D39">
        <f>IF(OR(計分!D39="",計分!$AP39=""),"",計分!$AP39-計分!D39)</f>
        <v/>
      </c>
      <c r="E39">
        <f>IF(OR(計分!E39="",計分!$AP39=""),"",計分!$AP39-計分!E39)</f>
        <v/>
      </c>
      <c r="F39">
        <f>IF(OR(計分!F39="",計分!$AP39=""),"",計分!$AP39-計分!F39)</f>
        <v/>
      </c>
      <c r="G39">
        <f>IF(OR(計分!G39="",計分!$AP39=""),"",計分!$AP39-計分!G39)</f>
        <v/>
      </c>
      <c r="H39">
        <f>IF(OR(計分!H39="",計分!$AP39=""),"",計分!$AP39-計分!H39)</f>
        <v/>
      </c>
      <c r="I39">
        <f>IF(OR(計分!I39="",計分!$AP39=""),"",計分!$AP39-計分!I39)</f>
        <v/>
      </c>
      <c r="J39">
        <f>IF(OR(計分!J39="",計分!$AP39=""),"",計分!$AP39-計分!J39)</f>
        <v/>
      </c>
      <c r="K39">
        <f>IF(OR(計分!K39="",計分!$AP39=""),"",計分!$AP39-計分!K39)</f>
        <v/>
      </c>
      <c r="L39">
        <f>IF(OR(計分!L39="",計分!$AP39=""),"",計分!$AP39-計分!L39)</f>
        <v/>
      </c>
      <c r="M39">
        <f>IF(OR(計分!M39="",計分!$AP39=""),"",計分!$AP39-計分!M39)</f>
        <v/>
      </c>
      <c r="N39">
        <f>IF(OR(計分!N39="",計分!$AP39=""),"",計分!$AP39-計分!N39)</f>
        <v/>
      </c>
      <c r="O39">
        <f>IF(OR(計分!O39="",計分!$AP39=""),"",計分!$AP39-計分!O39)</f>
        <v/>
      </c>
      <c r="P39">
        <f>IF(OR(計分!P39="",計分!$AP39=""),"",計分!$AP39-計分!P39)</f>
        <v/>
      </c>
      <c r="Q39">
        <f>IF(OR(計分!Q39="",計分!$AP39=""),"",計分!$AP39-計分!Q39)</f>
        <v/>
      </c>
      <c r="R39">
        <f>IF(OR(計分!R39="",計分!$AP39=""),"",計分!$AP39-計分!R39)</f>
        <v/>
      </c>
      <c r="S39">
        <f>IF(OR(計分!S39="",計分!$AP39=""),"",計分!$AP39-計分!S39)</f>
        <v/>
      </c>
      <c r="T39">
        <f>IF(OR(計分!T39="",計分!$AP39=""),"",計分!$AP39-計分!T39)</f>
        <v/>
      </c>
      <c r="U39">
        <f>IF(OR(計分!U39="",計分!$AP39=""),"",計分!$AP39-計分!U39)</f>
        <v/>
      </c>
      <c r="V39">
        <f>IF(OR(計分!V39="",計分!$AP39=""),"",計分!$AP39-計分!V39)</f>
        <v/>
      </c>
      <c r="W39">
        <f>IF(OR(計分!W39="",計分!$AP39=""),"",計分!$AP39-計分!W39)</f>
        <v/>
      </c>
      <c r="X39">
        <f>IF(OR(計分!X39="",計分!$AP39=""),"",計分!$AP39-計分!X39)</f>
        <v/>
      </c>
      <c r="Y39">
        <f>IF(OR(計分!Y39="",計分!$AP39=""),"",計分!$AP39-計分!Y39)</f>
        <v/>
      </c>
      <c r="Z39">
        <f>IF(OR(計分!Z39="",計分!$AP39=""),"",計分!$AP39-計分!Z39)</f>
        <v/>
      </c>
      <c r="AA39">
        <f>IF(OR(計分!AA39="",計分!$AP39=""),"",計分!$AP39-計分!AA39)</f>
        <v/>
      </c>
      <c r="AB39">
        <f>IF(OR(計分!AB39="",計分!$AP39=""),"",計分!$AP39-計分!AB39)</f>
        <v/>
      </c>
      <c r="AC39">
        <f>IF(OR(計分!AC39="",計分!$AP39=""),"",計分!$AP39-計分!AC39)</f>
        <v/>
      </c>
      <c r="AD39">
        <f>IF(OR(計分!AD39="",計分!$AP39=""),"",計分!$AP39-計分!AD39)</f>
        <v/>
      </c>
      <c r="AE39">
        <f>IF(OR(計分!AE39="",計分!$AP39=""),"",計分!$AP39-計分!AE39)</f>
        <v/>
      </c>
      <c r="AF39">
        <f>IF(OR(計分!AF39="",計分!$AP39=""),"",計分!$AP39-計分!AF39)</f>
        <v/>
      </c>
      <c r="AG39">
        <f>IF(OR(計分!AG39="",計分!$AP39=""),"",計分!$AP39-計分!AG39)</f>
        <v/>
      </c>
      <c r="AH39">
        <f>IF(OR(計分!AH39="",計分!$AP39=""),"",計分!$AP39-計分!AH39)</f>
        <v/>
      </c>
      <c r="AI39">
        <f>IF(OR(計分!AI39="",計分!$AP39=""),"",計分!$AP39-計分!AI39)</f>
        <v/>
      </c>
      <c r="AJ39">
        <f>IF(OR(計分!AJ39="",計分!$AP39=""),"",計分!$AP39-計分!AJ39)</f>
        <v/>
      </c>
      <c r="AK39">
        <f>IF(OR(計分!AK39="",計分!$AP39=""),"",計分!$AP39-計分!AK39)</f>
        <v/>
      </c>
      <c r="AL39">
        <f>IF(OR(計分!AL39="",計分!$AP39=""),"",計分!$AP39-計分!AL39)</f>
        <v/>
      </c>
      <c r="AM39">
        <f>IF(OR(計分!AM39="",計分!$AP39=""),"",計分!$AP39-計分!AM39)</f>
        <v/>
      </c>
      <c r="AN39">
        <f>IF(OR(計分!AN39="",計分!$AP39=""),"",計分!$AP39-計分!AN39)</f>
        <v/>
      </c>
      <c r="AO39">
        <f>IF(OR(計分!AO39="",計分!$AP39=""),"",計分!$AP39-計分!AO39)</f>
        <v/>
      </c>
    </row>
    <row r="40">
      <c r="A40">
        <f>計分!A40</f>
        <v/>
      </c>
      <c r="B40">
        <f>IF(OR(計分!B40="",計分!$AP40=""),"",計分!$AP40-計分!B40)</f>
        <v/>
      </c>
      <c r="C40">
        <f>IF(OR(計分!C40="",計分!$AP40=""),"",計分!$AP40-計分!C40)</f>
        <v/>
      </c>
      <c r="D40">
        <f>IF(OR(計分!D40="",計分!$AP40=""),"",計分!$AP40-計分!D40)</f>
        <v/>
      </c>
      <c r="E40">
        <f>IF(OR(計分!E40="",計分!$AP40=""),"",計分!$AP40-計分!E40)</f>
        <v/>
      </c>
      <c r="F40">
        <f>IF(OR(計分!F40="",計分!$AP40=""),"",計分!$AP40-計分!F40)</f>
        <v/>
      </c>
      <c r="G40">
        <f>IF(OR(計分!G40="",計分!$AP40=""),"",計分!$AP40-計分!G40)</f>
        <v/>
      </c>
      <c r="H40">
        <f>IF(OR(計分!H40="",計分!$AP40=""),"",計分!$AP40-計分!H40)</f>
        <v/>
      </c>
      <c r="I40">
        <f>IF(OR(計分!I40="",計分!$AP40=""),"",計分!$AP40-計分!I40)</f>
        <v/>
      </c>
      <c r="J40">
        <f>IF(OR(計分!J40="",計分!$AP40=""),"",計分!$AP40-計分!J40)</f>
        <v/>
      </c>
      <c r="K40">
        <f>IF(OR(計分!K40="",計分!$AP40=""),"",計分!$AP40-計分!K40)</f>
        <v/>
      </c>
      <c r="L40">
        <f>IF(OR(計分!L40="",計分!$AP40=""),"",計分!$AP40-計分!L40)</f>
        <v/>
      </c>
      <c r="M40">
        <f>IF(OR(計分!M40="",計分!$AP40=""),"",計分!$AP40-計分!M40)</f>
        <v/>
      </c>
      <c r="N40">
        <f>IF(OR(計分!N40="",計分!$AP40=""),"",計分!$AP40-計分!N40)</f>
        <v/>
      </c>
      <c r="O40">
        <f>IF(OR(計分!O40="",計分!$AP40=""),"",計分!$AP40-計分!O40)</f>
        <v/>
      </c>
      <c r="P40">
        <f>IF(OR(計分!P40="",計分!$AP40=""),"",計分!$AP40-計分!P40)</f>
        <v/>
      </c>
      <c r="Q40">
        <f>IF(OR(計分!Q40="",計分!$AP40=""),"",計分!$AP40-計分!Q40)</f>
        <v/>
      </c>
      <c r="R40">
        <f>IF(OR(計分!R40="",計分!$AP40=""),"",計分!$AP40-計分!R40)</f>
        <v/>
      </c>
      <c r="S40">
        <f>IF(OR(計分!S40="",計分!$AP40=""),"",計分!$AP40-計分!S40)</f>
        <v/>
      </c>
      <c r="T40">
        <f>IF(OR(計分!T40="",計分!$AP40=""),"",計分!$AP40-計分!T40)</f>
        <v/>
      </c>
      <c r="U40">
        <f>IF(OR(計分!U40="",計分!$AP40=""),"",計分!$AP40-計分!U40)</f>
        <v/>
      </c>
      <c r="V40">
        <f>IF(OR(計分!V40="",計分!$AP40=""),"",計分!$AP40-計分!V40)</f>
        <v/>
      </c>
      <c r="W40">
        <f>IF(OR(計分!W40="",計分!$AP40=""),"",計分!$AP40-計分!W40)</f>
        <v/>
      </c>
      <c r="X40">
        <f>IF(OR(計分!X40="",計分!$AP40=""),"",計分!$AP40-計分!X40)</f>
        <v/>
      </c>
      <c r="Y40">
        <f>IF(OR(計分!Y40="",計分!$AP40=""),"",計分!$AP40-計分!Y40)</f>
        <v/>
      </c>
      <c r="Z40">
        <f>IF(OR(計分!Z40="",計分!$AP40=""),"",計分!$AP40-計分!Z40)</f>
        <v/>
      </c>
      <c r="AA40">
        <f>IF(OR(計分!AA40="",計分!$AP40=""),"",計分!$AP40-計分!AA40)</f>
        <v/>
      </c>
      <c r="AB40">
        <f>IF(OR(計分!AB40="",計分!$AP40=""),"",計分!$AP40-計分!AB40)</f>
        <v/>
      </c>
      <c r="AC40">
        <f>IF(OR(計分!AC40="",計分!$AP40=""),"",計分!$AP40-計分!AC40)</f>
        <v/>
      </c>
      <c r="AD40">
        <f>IF(OR(計分!AD40="",計分!$AP40=""),"",計分!$AP40-計分!AD40)</f>
        <v/>
      </c>
      <c r="AE40">
        <f>IF(OR(計分!AE40="",計分!$AP40=""),"",計分!$AP40-計分!AE40)</f>
        <v/>
      </c>
      <c r="AF40">
        <f>IF(OR(計分!AF40="",計分!$AP40=""),"",計分!$AP40-計分!AF40)</f>
        <v/>
      </c>
      <c r="AG40">
        <f>IF(OR(計分!AG40="",計分!$AP40=""),"",計分!$AP40-計分!AG40)</f>
        <v/>
      </c>
      <c r="AH40">
        <f>IF(OR(計分!AH40="",計分!$AP40=""),"",計分!$AP40-計分!AH40)</f>
        <v/>
      </c>
      <c r="AI40">
        <f>IF(OR(計分!AI40="",計分!$AP40=""),"",計分!$AP40-計分!AI40)</f>
        <v/>
      </c>
      <c r="AJ40">
        <f>IF(OR(計分!AJ40="",計分!$AP40=""),"",計分!$AP40-計分!AJ40)</f>
        <v/>
      </c>
      <c r="AK40">
        <f>IF(OR(計分!AK40="",計分!$AP40=""),"",計分!$AP40-計分!AK40)</f>
        <v/>
      </c>
      <c r="AL40">
        <f>IF(OR(計分!AL40="",計分!$AP40=""),"",計分!$AP40-計分!AL40)</f>
        <v/>
      </c>
      <c r="AM40">
        <f>IF(OR(計分!AM40="",計分!$AP40=""),"",計分!$AP40-計分!AM40)</f>
        <v/>
      </c>
      <c r="AN40">
        <f>IF(OR(計分!AN40="",計分!$AP40=""),"",計分!$AP40-計分!AN40)</f>
        <v/>
      </c>
      <c r="AO40">
        <f>IF(OR(計分!AO40="",計分!$AP40=""),"",計分!$AP40-計分!AO40)</f>
        <v/>
      </c>
    </row>
    <row r="41">
      <c r="A41">
        <f>計分!A41</f>
        <v/>
      </c>
      <c r="B41">
        <f>IF(OR(計分!B41="",計分!$AP41=""),"",計分!$AP41-計分!B41)</f>
        <v/>
      </c>
      <c r="C41">
        <f>IF(OR(計分!C41="",計分!$AP41=""),"",計分!$AP41-計分!C41)</f>
        <v/>
      </c>
      <c r="D41">
        <f>IF(OR(計分!D41="",計分!$AP41=""),"",計分!$AP41-計分!D41)</f>
        <v/>
      </c>
      <c r="E41">
        <f>IF(OR(計分!E41="",計分!$AP41=""),"",計分!$AP41-計分!E41)</f>
        <v/>
      </c>
      <c r="F41">
        <f>IF(OR(計分!F41="",計分!$AP41=""),"",計分!$AP41-計分!F41)</f>
        <v/>
      </c>
      <c r="G41">
        <f>IF(OR(計分!G41="",計分!$AP41=""),"",計分!$AP41-計分!G41)</f>
        <v/>
      </c>
      <c r="H41">
        <f>IF(OR(計分!H41="",計分!$AP41=""),"",計分!$AP41-計分!H41)</f>
        <v/>
      </c>
      <c r="I41">
        <f>IF(OR(計分!I41="",計分!$AP41=""),"",計分!$AP41-計分!I41)</f>
        <v/>
      </c>
      <c r="J41">
        <f>IF(OR(計分!J41="",計分!$AP41=""),"",計分!$AP41-計分!J41)</f>
        <v/>
      </c>
      <c r="K41">
        <f>IF(OR(計分!K41="",計分!$AP41=""),"",計分!$AP41-計分!K41)</f>
        <v/>
      </c>
      <c r="L41">
        <f>IF(OR(計分!L41="",計分!$AP41=""),"",計分!$AP41-計分!L41)</f>
        <v/>
      </c>
      <c r="M41">
        <f>IF(OR(計分!M41="",計分!$AP41=""),"",計分!$AP41-計分!M41)</f>
        <v/>
      </c>
      <c r="N41">
        <f>IF(OR(計分!N41="",計分!$AP41=""),"",計分!$AP41-計分!N41)</f>
        <v/>
      </c>
      <c r="O41">
        <f>IF(OR(計分!O41="",計分!$AP41=""),"",計分!$AP41-計分!O41)</f>
        <v/>
      </c>
      <c r="P41">
        <f>IF(OR(計分!P41="",計分!$AP41=""),"",計分!$AP41-計分!P41)</f>
        <v/>
      </c>
      <c r="Q41">
        <f>IF(OR(計分!Q41="",計分!$AP41=""),"",計分!$AP41-計分!Q41)</f>
        <v/>
      </c>
      <c r="R41">
        <f>IF(OR(計分!R41="",計分!$AP41=""),"",計分!$AP41-計分!R41)</f>
        <v/>
      </c>
      <c r="S41">
        <f>IF(OR(計分!S41="",計分!$AP41=""),"",計分!$AP41-計分!S41)</f>
        <v/>
      </c>
      <c r="T41">
        <f>IF(OR(計分!T41="",計分!$AP41=""),"",計分!$AP41-計分!T41)</f>
        <v/>
      </c>
      <c r="U41">
        <f>IF(OR(計分!U41="",計分!$AP41=""),"",計分!$AP41-計分!U41)</f>
        <v/>
      </c>
      <c r="V41">
        <f>IF(OR(計分!V41="",計分!$AP41=""),"",計分!$AP41-計分!V41)</f>
        <v/>
      </c>
      <c r="W41">
        <f>IF(OR(計分!W41="",計分!$AP41=""),"",計分!$AP41-計分!W41)</f>
        <v/>
      </c>
      <c r="X41">
        <f>IF(OR(計分!X41="",計分!$AP41=""),"",計分!$AP41-計分!X41)</f>
        <v/>
      </c>
      <c r="Y41">
        <f>IF(OR(計分!Y41="",計分!$AP41=""),"",計分!$AP41-計分!Y41)</f>
        <v/>
      </c>
      <c r="Z41">
        <f>IF(OR(計分!Z41="",計分!$AP41=""),"",計分!$AP41-計分!Z41)</f>
        <v/>
      </c>
      <c r="AA41">
        <f>IF(OR(計分!AA41="",計分!$AP41=""),"",計分!$AP41-計分!AA41)</f>
        <v/>
      </c>
      <c r="AB41">
        <f>IF(OR(計分!AB41="",計分!$AP41=""),"",計分!$AP41-計分!AB41)</f>
        <v/>
      </c>
      <c r="AC41">
        <f>IF(OR(計分!AC41="",計分!$AP41=""),"",計分!$AP41-計分!AC41)</f>
        <v/>
      </c>
      <c r="AD41">
        <f>IF(OR(計分!AD41="",計分!$AP41=""),"",計分!$AP41-計分!AD41)</f>
        <v/>
      </c>
      <c r="AE41">
        <f>IF(OR(計分!AE41="",計分!$AP41=""),"",計分!$AP41-計分!AE41)</f>
        <v/>
      </c>
      <c r="AF41">
        <f>IF(OR(計分!AF41="",計分!$AP41=""),"",計分!$AP41-計分!AF41)</f>
        <v/>
      </c>
      <c r="AG41">
        <f>IF(OR(計分!AG41="",計分!$AP41=""),"",計分!$AP41-計分!AG41)</f>
        <v/>
      </c>
      <c r="AH41">
        <f>IF(OR(計分!AH41="",計分!$AP41=""),"",計分!$AP41-計分!AH41)</f>
        <v/>
      </c>
      <c r="AI41">
        <f>IF(OR(計分!AI41="",計分!$AP41=""),"",計分!$AP41-計分!AI41)</f>
        <v/>
      </c>
      <c r="AJ41">
        <f>IF(OR(計分!AJ41="",計分!$AP41=""),"",計分!$AP41-計分!AJ41)</f>
        <v/>
      </c>
      <c r="AK41">
        <f>IF(OR(計分!AK41="",計分!$AP41=""),"",計分!$AP41-計分!AK41)</f>
        <v/>
      </c>
      <c r="AL41">
        <f>IF(OR(計分!AL41="",計分!$AP41=""),"",計分!$AP41-計分!AL41)</f>
        <v/>
      </c>
      <c r="AM41">
        <f>IF(OR(計分!AM41="",計分!$AP41=""),"",計分!$AP41-計分!AM41)</f>
        <v/>
      </c>
      <c r="AN41">
        <f>IF(OR(計分!AN41="",計分!$AP41=""),"",計分!$AP41-計分!AN41)</f>
        <v/>
      </c>
      <c r="AO41">
        <f>IF(OR(計分!AO41="",計分!$AP41=""),"",計分!$AP41-計分!AO41)</f>
        <v/>
      </c>
    </row>
    <row r="42">
      <c r="A42">
        <f>計分!A42</f>
        <v/>
      </c>
      <c r="B42">
        <f>IF(OR(計分!B42="",計分!$AP42=""),"",計分!$AP42-計分!B42)</f>
        <v/>
      </c>
      <c r="C42">
        <f>IF(OR(計分!C42="",計分!$AP42=""),"",計分!$AP42-計分!C42)</f>
        <v/>
      </c>
      <c r="D42">
        <f>IF(OR(計分!D42="",計分!$AP42=""),"",計分!$AP42-計分!D42)</f>
        <v/>
      </c>
      <c r="E42">
        <f>IF(OR(計分!E42="",計分!$AP42=""),"",計分!$AP42-計分!E42)</f>
        <v/>
      </c>
      <c r="F42">
        <f>IF(OR(計分!F42="",計分!$AP42=""),"",計分!$AP42-計分!F42)</f>
        <v/>
      </c>
      <c r="G42">
        <f>IF(OR(計分!G42="",計分!$AP42=""),"",計分!$AP42-計分!G42)</f>
        <v/>
      </c>
      <c r="H42">
        <f>IF(OR(計分!H42="",計分!$AP42=""),"",計分!$AP42-計分!H42)</f>
        <v/>
      </c>
      <c r="I42">
        <f>IF(OR(計分!I42="",計分!$AP42=""),"",計分!$AP42-計分!I42)</f>
        <v/>
      </c>
      <c r="J42">
        <f>IF(OR(計分!J42="",計分!$AP42=""),"",計分!$AP42-計分!J42)</f>
        <v/>
      </c>
      <c r="K42">
        <f>IF(OR(計分!K42="",計分!$AP42=""),"",計分!$AP42-計分!K42)</f>
        <v/>
      </c>
      <c r="L42">
        <f>IF(OR(計分!L42="",計分!$AP42=""),"",計分!$AP42-計分!L42)</f>
        <v/>
      </c>
      <c r="M42">
        <f>IF(OR(計分!M42="",計分!$AP42=""),"",計分!$AP42-計分!M42)</f>
        <v/>
      </c>
      <c r="N42">
        <f>IF(OR(計分!N42="",計分!$AP42=""),"",計分!$AP42-計分!N42)</f>
        <v/>
      </c>
      <c r="O42">
        <f>IF(OR(計分!O42="",計分!$AP42=""),"",計分!$AP42-計分!O42)</f>
        <v/>
      </c>
      <c r="P42">
        <f>IF(OR(計分!P42="",計分!$AP42=""),"",計分!$AP42-計分!P42)</f>
        <v/>
      </c>
      <c r="Q42">
        <f>IF(OR(計分!Q42="",計分!$AP42=""),"",計分!$AP42-計分!Q42)</f>
        <v/>
      </c>
      <c r="R42">
        <f>IF(OR(計分!R42="",計分!$AP42=""),"",計分!$AP42-計分!R42)</f>
        <v/>
      </c>
      <c r="S42">
        <f>IF(OR(計分!S42="",計分!$AP42=""),"",計分!$AP42-計分!S42)</f>
        <v/>
      </c>
      <c r="T42">
        <f>IF(OR(計分!T42="",計分!$AP42=""),"",計分!$AP42-計分!T42)</f>
        <v/>
      </c>
      <c r="U42">
        <f>IF(OR(計分!U42="",計分!$AP42=""),"",計分!$AP42-計分!U42)</f>
        <v/>
      </c>
      <c r="V42">
        <f>IF(OR(計分!V42="",計分!$AP42=""),"",計分!$AP42-計分!V42)</f>
        <v/>
      </c>
      <c r="W42">
        <f>IF(OR(計分!W42="",計分!$AP42=""),"",計分!$AP42-計分!W42)</f>
        <v/>
      </c>
      <c r="X42">
        <f>IF(OR(計分!X42="",計分!$AP42=""),"",計分!$AP42-計分!X42)</f>
        <v/>
      </c>
      <c r="Y42">
        <f>IF(OR(計分!Y42="",計分!$AP42=""),"",計分!$AP42-計分!Y42)</f>
        <v/>
      </c>
      <c r="Z42">
        <f>IF(OR(計分!Z42="",計分!$AP42=""),"",計分!$AP42-計分!Z42)</f>
        <v/>
      </c>
      <c r="AA42">
        <f>IF(OR(計分!AA42="",計分!$AP42=""),"",計分!$AP42-計分!AA42)</f>
        <v/>
      </c>
      <c r="AB42">
        <f>IF(OR(計分!AB42="",計分!$AP42=""),"",計分!$AP42-計分!AB42)</f>
        <v/>
      </c>
      <c r="AC42">
        <f>IF(OR(計分!AC42="",計分!$AP42=""),"",計分!$AP42-計分!AC42)</f>
        <v/>
      </c>
      <c r="AD42">
        <f>IF(OR(計分!AD42="",計分!$AP42=""),"",計分!$AP42-計分!AD42)</f>
        <v/>
      </c>
      <c r="AE42">
        <f>IF(OR(計分!AE42="",計分!$AP42=""),"",計分!$AP42-計分!AE42)</f>
        <v/>
      </c>
      <c r="AF42">
        <f>IF(OR(計分!AF42="",計分!$AP42=""),"",計分!$AP42-計分!AF42)</f>
        <v/>
      </c>
      <c r="AG42">
        <f>IF(OR(計分!AG42="",計分!$AP42=""),"",計分!$AP42-計分!AG42)</f>
        <v/>
      </c>
      <c r="AH42">
        <f>IF(OR(計分!AH42="",計分!$AP42=""),"",計分!$AP42-計分!AH42)</f>
        <v/>
      </c>
      <c r="AI42">
        <f>IF(OR(計分!AI42="",計分!$AP42=""),"",計分!$AP42-計分!AI42)</f>
        <v/>
      </c>
      <c r="AJ42">
        <f>IF(OR(計分!AJ42="",計分!$AP42=""),"",計分!$AP42-計分!AJ42)</f>
        <v/>
      </c>
      <c r="AK42">
        <f>IF(OR(計分!AK42="",計分!$AP42=""),"",計分!$AP42-計分!AK42)</f>
        <v/>
      </c>
      <c r="AL42">
        <f>IF(OR(計分!AL42="",計分!$AP42=""),"",計分!$AP42-計分!AL42)</f>
        <v/>
      </c>
      <c r="AM42">
        <f>IF(OR(計分!AM42="",計分!$AP42=""),"",計分!$AP42-計分!AM42)</f>
        <v/>
      </c>
      <c r="AN42">
        <f>IF(OR(計分!AN42="",計分!$AP42=""),"",計分!$AP42-計分!AN42)</f>
        <v/>
      </c>
      <c r="AO42">
        <f>IF(OR(計分!AO42="",計分!$AP42=""),"",計分!$AP42-計分!AO42)</f>
        <v/>
      </c>
    </row>
    <row r="43">
      <c r="A43">
        <f>計分!A43</f>
        <v/>
      </c>
      <c r="B43">
        <f>IF(OR(計分!B43="",計分!$AP43=""),"",計分!$AP43-計分!B43)</f>
        <v/>
      </c>
      <c r="C43">
        <f>IF(OR(計分!C43="",計分!$AP43=""),"",計分!$AP43-計分!C43)</f>
        <v/>
      </c>
      <c r="D43">
        <f>IF(OR(計分!D43="",計分!$AP43=""),"",計分!$AP43-計分!D43)</f>
        <v/>
      </c>
      <c r="E43">
        <f>IF(OR(計分!E43="",計分!$AP43=""),"",計分!$AP43-計分!E43)</f>
        <v/>
      </c>
      <c r="F43">
        <f>IF(OR(計分!F43="",計分!$AP43=""),"",計分!$AP43-計分!F43)</f>
        <v/>
      </c>
      <c r="G43">
        <f>IF(OR(計分!G43="",計分!$AP43=""),"",計分!$AP43-計分!G43)</f>
        <v/>
      </c>
      <c r="H43">
        <f>IF(OR(計分!H43="",計分!$AP43=""),"",計分!$AP43-計分!H43)</f>
        <v/>
      </c>
      <c r="I43">
        <f>IF(OR(計分!I43="",計分!$AP43=""),"",計分!$AP43-計分!I43)</f>
        <v/>
      </c>
      <c r="J43">
        <f>IF(OR(計分!J43="",計分!$AP43=""),"",計分!$AP43-計分!J43)</f>
        <v/>
      </c>
      <c r="K43">
        <f>IF(OR(計分!K43="",計分!$AP43=""),"",計分!$AP43-計分!K43)</f>
        <v/>
      </c>
      <c r="L43">
        <f>IF(OR(計分!L43="",計分!$AP43=""),"",計分!$AP43-計分!L43)</f>
        <v/>
      </c>
      <c r="M43">
        <f>IF(OR(計分!M43="",計分!$AP43=""),"",計分!$AP43-計分!M43)</f>
        <v/>
      </c>
      <c r="N43">
        <f>IF(OR(計分!N43="",計分!$AP43=""),"",計分!$AP43-計分!N43)</f>
        <v/>
      </c>
      <c r="O43">
        <f>IF(OR(計分!O43="",計分!$AP43=""),"",計分!$AP43-計分!O43)</f>
        <v/>
      </c>
      <c r="P43">
        <f>IF(OR(計分!P43="",計分!$AP43=""),"",計分!$AP43-計分!P43)</f>
        <v/>
      </c>
      <c r="Q43">
        <f>IF(OR(計分!Q43="",計分!$AP43=""),"",計分!$AP43-計分!Q43)</f>
        <v/>
      </c>
      <c r="R43">
        <f>IF(OR(計分!R43="",計分!$AP43=""),"",計分!$AP43-計分!R43)</f>
        <v/>
      </c>
      <c r="S43">
        <f>IF(OR(計分!S43="",計分!$AP43=""),"",計分!$AP43-計分!S43)</f>
        <v/>
      </c>
      <c r="T43">
        <f>IF(OR(計分!T43="",計分!$AP43=""),"",計分!$AP43-計分!T43)</f>
        <v/>
      </c>
      <c r="U43">
        <f>IF(OR(計分!U43="",計分!$AP43=""),"",計分!$AP43-計分!U43)</f>
        <v/>
      </c>
      <c r="V43">
        <f>IF(OR(計分!V43="",計分!$AP43=""),"",計分!$AP43-計分!V43)</f>
        <v/>
      </c>
      <c r="W43">
        <f>IF(OR(計分!W43="",計分!$AP43=""),"",計分!$AP43-計分!W43)</f>
        <v/>
      </c>
      <c r="X43">
        <f>IF(OR(計分!X43="",計分!$AP43=""),"",計分!$AP43-計分!X43)</f>
        <v/>
      </c>
      <c r="Y43">
        <f>IF(OR(計分!Y43="",計分!$AP43=""),"",計分!$AP43-計分!Y43)</f>
        <v/>
      </c>
      <c r="Z43">
        <f>IF(OR(計分!Z43="",計分!$AP43=""),"",計分!$AP43-計分!Z43)</f>
        <v/>
      </c>
      <c r="AA43">
        <f>IF(OR(計分!AA43="",計分!$AP43=""),"",計分!$AP43-計分!AA43)</f>
        <v/>
      </c>
      <c r="AB43">
        <f>IF(OR(計分!AB43="",計分!$AP43=""),"",計分!$AP43-計分!AB43)</f>
        <v/>
      </c>
      <c r="AC43">
        <f>IF(OR(計分!AC43="",計分!$AP43=""),"",計分!$AP43-計分!AC43)</f>
        <v/>
      </c>
      <c r="AD43">
        <f>IF(OR(計分!AD43="",計分!$AP43=""),"",計分!$AP43-計分!AD43)</f>
        <v/>
      </c>
      <c r="AE43">
        <f>IF(OR(計分!AE43="",計分!$AP43=""),"",計分!$AP43-計分!AE43)</f>
        <v/>
      </c>
      <c r="AF43">
        <f>IF(OR(計分!AF43="",計分!$AP43=""),"",計分!$AP43-計分!AF43)</f>
        <v/>
      </c>
      <c r="AG43">
        <f>IF(OR(計分!AG43="",計分!$AP43=""),"",計分!$AP43-計分!AG43)</f>
        <v/>
      </c>
      <c r="AH43">
        <f>IF(OR(計分!AH43="",計分!$AP43=""),"",計分!$AP43-計分!AH43)</f>
        <v/>
      </c>
      <c r="AI43">
        <f>IF(OR(計分!AI43="",計分!$AP43=""),"",計分!$AP43-計分!AI43)</f>
        <v/>
      </c>
      <c r="AJ43">
        <f>IF(OR(計分!AJ43="",計分!$AP43=""),"",計分!$AP43-計分!AJ43)</f>
        <v/>
      </c>
      <c r="AK43">
        <f>IF(OR(計分!AK43="",計分!$AP43=""),"",計分!$AP43-計分!AK43)</f>
        <v/>
      </c>
      <c r="AL43">
        <f>IF(OR(計分!AL43="",計分!$AP43=""),"",計分!$AP43-計分!AL43)</f>
        <v/>
      </c>
      <c r="AM43">
        <f>IF(OR(計分!AM43="",計分!$AP43=""),"",計分!$AP43-計分!AM43)</f>
        <v/>
      </c>
      <c r="AN43">
        <f>IF(OR(計分!AN43="",計分!$AP43=""),"",計分!$AP43-計分!AN43)</f>
        <v/>
      </c>
      <c r="AO43">
        <f>IF(OR(計分!AO43="",計分!$AP43=""),"",計分!$AP43-計分!AO43)</f>
        <v/>
      </c>
    </row>
    <row r="44">
      <c r="A44">
        <f>計分!A44</f>
        <v/>
      </c>
      <c r="B44">
        <f>IF(OR(計分!B44="",計分!$AP44=""),"",計分!$AP44-計分!B44)</f>
        <v/>
      </c>
      <c r="C44">
        <f>IF(OR(計分!C44="",計分!$AP44=""),"",計分!$AP44-計分!C44)</f>
        <v/>
      </c>
      <c r="D44">
        <f>IF(OR(計分!D44="",計分!$AP44=""),"",計分!$AP44-計分!D44)</f>
        <v/>
      </c>
      <c r="E44">
        <f>IF(OR(計分!E44="",計分!$AP44=""),"",計分!$AP44-計分!E44)</f>
        <v/>
      </c>
      <c r="F44">
        <f>IF(OR(計分!F44="",計分!$AP44=""),"",計分!$AP44-計分!F44)</f>
        <v/>
      </c>
      <c r="G44">
        <f>IF(OR(計分!G44="",計分!$AP44=""),"",計分!$AP44-計分!G44)</f>
        <v/>
      </c>
      <c r="H44">
        <f>IF(OR(計分!H44="",計分!$AP44=""),"",計分!$AP44-計分!H44)</f>
        <v/>
      </c>
      <c r="I44">
        <f>IF(OR(計分!I44="",計分!$AP44=""),"",計分!$AP44-計分!I44)</f>
        <v/>
      </c>
      <c r="J44">
        <f>IF(OR(計分!J44="",計分!$AP44=""),"",計分!$AP44-計分!J44)</f>
        <v/>
      </c>
      <c r="K44">
        <f>IF(OR(計分!K44="",計分!$AP44=""),"",計分!$AP44-計分!K44)</f>
        <v/>
      </c>
      <c r="L44">
        <f>IF(OR(計分!L44="",計分!$AP44=""),"",計分!$AP44-計分!L44)</f>
        <v/>
      </c>
      <c r="M44">
        <f>IF(OR(計分!M44="",計分!$AP44=""),"",計分!$AP44-計分!M44)</f>
        <v/>
      </c>
      <c r="N44">
        <f>IF(OR(計分!N44="",計分!$AP44=""),"",計分!$AP44-計分!N44)</f>
        <v/>
      </c>
      <c r="O44">
        <f>IF(OR(計分!O44="",計分!$AP44=""),"",計分!$AP44-計分!O44)</f>
        <v/>
      </c>
      <c r="P44">
        <f>IF(OR(計分!P44="",計分!$AP44=""),"",計分!$AP44-計分!P44)</f>
        <v/>
      </c>
      <c r="Q44">
        <f>IF(OR(計分!Q44="",計分!$AP44=""),"",計分!$AP44-計分!Q44)</f>
        <v/>
      </c>
      <c r="R44">
        <f>IF(OR(計分!R44="",計分!$AP44=""),"",計分!$AP44-計分!R44)</f>
        <v/>
      </c>
      <c r="S44">
        <f>IF(OR(計分!S44="",計分!$AP44=""),"",計分!$AP44-計分!S44)</f>
        <v/>
      </c>
      <c r="T44">
        <f>IF(OR(計分!T44="",計分!$AP44=""),"",計分!$AP44-計分!T44)</f>
        <v/>
      </c>
      <c r="U44">
        <f>IF(OR(計分!U44="",計分!$AP44=""),"",計分!$AP44-計分!U44)</f>
        <v/>
      </c>
      <c r="V44">
        <f>IF(OR(計分!V44="",計分!$AP44=""),"",計分!$AP44-計分!V44)</f>
        <v/>
      </c>
      <c r="W44">
        <f>IF(OR(計分!W44="",計分!$AP44=""),"",計分!$AP44-計分!W44)</f>
        <v/>
      </c>
      <c r="X44">
        <f>IF(OR(計分!X44="",計分!$AP44=""),"",計分!$AP44-計分!X44)</f>
        <v/>
      </c>
      <c r="Y44">
        <f>IF(OR(計分!Y44="",計分!$AP44=""),"",計分!$AP44-計分!Y44)</f>
        <v/>
      </c>
      <c r="Z44">
        <f>IF(OR(計分!Z44="",計分!$AP44=""),"",計分!$AP44-計分!Z44)</f>
        <v/>
      </c>
      <c r="AA44">
        <f>IF(OR(計分!AA44="",計分!$AP44=""),"",計分!$AP44-計分!AA44)</f>
        <v/>
      </c>
      <c r="AB44">
        <f>IF(OR(計分!AB44="",計分!$AP44=""),"",計分!$AP44-計分!AB44)</f>
        <v/>
      </c>
      <c r="AC44">
        <f>IF(OR(計分!AC44="",計分!$AP44=""),"",計分!$AP44-計分!AC44)</f>
        <v/>
      </c>
      <c r="AD44">
        <f>IF(OR(計分!AD44="",計分!$AP44=""),"",計分!$AP44-計分!AD44)</f>
        <v/>
      </c>
      <c r="AE44">
        <f>IF(OR(計分!AE44="",計分!$AP44=""),"",計分!$AP44-計分!AE44)</f>
        <v/>
      </c>
      <c r="AF44">
        <f>IF(OR(計分!AF44="",計分!$AP44=""),"",計分!$AP44-計分!AF44)</f>
        <v/>
      </c>
      <c r="AG44">
        <f>IF(OR(計分!AG44="",計分!$AP44=""),"",計分!$AP44-計分!AG44)</f>
        <v/>
      </c>
      <c r="AH44">
        <f>IF(OR(計分!AH44="",計分!$AP44=""),"",計分!$AP44-計分!AH44)</f>
        <v/>
      </c>
      <c r="AI44">
        <f>IF(OR(計分!AI44="",計分!$AP44=""),"",計分!$AP44-計分!AI44)</f>
        <v/>
      </c>
      <c r="AJ44">
        <f>IF(OR(計分!AJ44="",計分!$AP44=""),"",計分!$AP44-計分!AJ44)</f>
        <v/>
      </c>
      <c r="AK44">
        <f>IF(OR(計分!AK44="",計分!$AP44=""),"",計分!$AP44-計分!AK44)</f>
        <v/>
      </c>
      <c r="AL44">
        <f>IF(OR(計分!AL44="",計分!$AP44=""),"",計分!$AP44-計分!AL44)</f>
        <v/>
      </c>
      <c r="AM44">
        <f>IF(OR(計分!AM44="",計分!$AP44=""),"",計分!$AP44-計分!AM44)</f>
        <v/>
      </c>
      <c r="AN44">
        <f>IF(OR(計分!AN44="",計分!$AP44=""),"",計分!$AP44-計分!AN44)</f>
        <v/>
      </c>
      <c r="AO44">
        <f>IF(OR(計分!AO44="",計分!$AP44=""),"",計分!$AP44-計分!AO44)</f>
        <v/>
      </c>
    </row>
    <row r="45">
      <c r="A45">
        <f>計分!A45</f>
        <v/>
      </c>
      <c r="B45">
        <f>IF(OR(計分!B45="",計分!$AP45=""),"",計分!$AP45-計分!B45)</f>
        <v/>
      </c>
      <c r="C45">
        <f>IF(OR(計分!C45="",計分!$AP45=""),"",計分!$AP45-計分!C45)</f>
        <v/>
      </c>
      <c r="D45">
        <f>IF(OR(計分!D45="",計分!$AP45=""),"",計分!$AP45-計分!D45)</f>
        <v/>
      </c>
      <c r="E45">
        <f>IF(OR(計分!E45="",計分!$AP45=""),"",計分!$AP45-計分!E45)</f>
        <v/>
      </c>
      <c r="F45">
        <f>IF(OR(計分!F45="",計分!$AP45=""),"",計分!$AP45-計分!F45)</f>
        <v/>
      </c>
      <c r="G45">
        <f>IF(OR(計分!G45="",計分!$AP45=""),"",計分!$AP45-計分!G45)</f>
        <v/>
      </c>
      <c r="H45">
        <f>IF(OR(計分!H45="",計分!$AP45=""),"",計分!$AP45-計分!H45)</f>
        <v/>
      </c>
      <c r="I45">
        <f>IF(OR(計分!I45="",計分!$AP45=""),"",計分!$AP45-計分!I45)</f>
        <v/>
      </c>
      <c r="J45">
        <f>IF(OR(計分!J45="",計分!$AP45=""),"",計分!$AP45-計分!J45)</f>
        <v/>
      </c>
      <c r="K45">
        <f>IF(OR(計分!K45="",計分!$AP45=""),"",計分!$AP45-計分!K45)</f>
        <v/>
      </c>
      <c r="L45">
        <f>IF(OR(計分!L45="",計分!$AP45=""),"",計分!$AP45-計分!L45)</f>
        <v/>
      </c>
      <c r="M45">
        <f>IF(OR(計分!M45="",計分!$AP45=""),"",計分!$AP45-計分!M45)</f>
        <v/>
      </c>
      <c r="N45">
        <f>IF(OR(計分!N45="",計分!$AP45=""),"",計分!$AP45-計分!N45)</f>
        <v/>
      </c>
      <c r="O45">
        <f>IF(OR(計分!O45="",計分!$AP45=""),"",計分!$AP45-計分!O45)</f>
        <v/>
      </c>
      <c r="P45">
        <f>IF(OR(計分!P45="",計分!$AP45=""),"",計分!$AP45-計分!P45)</f>
        <v/>
      </c>
      <c r="Q45">
        <f>IF(OR(計分!Q45="",計分!$AP45=""),"",計分!$AP45-計分!Q45)</f>
        <v/>
      </c>
      <c r="R45">
        <f>IF(OR(計分!R45="",計分!$AP45=""),"",計分!$AP45-計分!R45)</f>
        <v/>
      </c>
      <c r="S45">
        <f>IF(OR(計分!S45="",計分!$AP45=""),"",計分!$AP45-計分!S45)</f>
        <v/>
      </c>
      <c r="T45">
        <f>IF(OR(計分!T45="",計分!$AP45=""),"",計分!$AP45-計分!T45)</f>
        <v/>
      </c>
      <c r="U45">
        <f>IF(OR(計分!U45="",計分!$AP45=""),"",計分!$AP45-計分!U45)</f>
        <v/>
      </c>
      <c r="V45">
        <f>IF(OR(計分!V45="",計分!$AP45=""),"",計分!$AP45-計分!V45)</f>
        <v/>
      </c>
      <c r="W45">
        <f>IF(OR(計分!W45="",計分!$AP45=""),"",計分!$AP45-計分!W45)</f>
        <v/>
      </c>
      <c r="X45">
        <f>IF(OR(計分!X45="",計分!$AP45=""),"",計分!$AP45-計分!X45)</f>
        <v/>
      </c>
      <c r="Y45">
        <f>IF(OR(計分!Y45="",計分!$AP45=""),"",計分!$AP45-計分!Y45)</f>
        <v/>
      </c>
      <c r="Z45">
        <f>IF(OR(計分!Z45="",計分!$AP45=""),"",計分!$AP45-計分!Z45)</f>
        <v/>
      </c>
      <c r="AA45">
        <f>IF(OR(計分!AA45="",計分!$AP45=""),"",計分!$AP45-計分!AA45)</f>
        <v/>
      </c>
      <c r="AB45">
        <f>IF(OR(計分!AB45="",計分!$AP45=""),"",計分!$AP45-計分!AB45)</f>
        <v/>
      </c>
      <c r="AC45">
        <f>IF(OR(計分!AC45="",計分!$AP45=""),"",計分!$AP45-計分!AC45)</f>
        <v/>
      </c>
      <c r="AD45">
        <f>IF(OR(計分!AD45="",計分!$AP45=""),"",計分!$AP45-計分!AD45)</f>
        <v/>
      </c>
      <c r="AE45">
        <f>IF(OR(計分!AE45="",計分!$AP45=""),"",計分!$AP45-計分!AE45)</f>
        <v/>
      </c>
      <c r="AF45">
        <f>IF(OR(計分!AF45="",計分!$AP45=""),"",計分!$AP45-計分!AF45)</f>
        <v/>
      </c>
      <c r="AG45">
        <f>IF(OR(計分!AG45="",計分!$AP45=""),"",計分!$AP45-計分!AG45)</f>
        <v/>
      </c>
      <c r="AH45">
        <f>IF(OR(計分!AH45="",計分!$AP45=""),"",計分!$AP45-計分!AH45)</f>
        <v/>
      </c>
      <c r="AI45">
        <f>IF(OR(計分!AI45="",計分!$AP45=""),"",計分!$AP45-計分!AI45)</f>
        <v/>
      </c>
      <c r="AJ45">
        <f>IF(OR(計分!AJ45="",計分!$AP45=""),"",計分!$AP45-計分!AJ45)</f>
        <v/>
      </c>
      <c r="AK45">
        <f>IF(OR(計分!AK45="",計分!$AP45=""),"",計分!$AP45-計分!AK45)</f>
        <v/>
      </c>
      <c r="AL45">
        <f>IF(OR(計分!AL45="",計分!$AP45=""),"",計分!$AP45-計分!AL45)</f>
        <v/>
      </c>
      <c r="AM45">
        <f>IF(OR(計分!AM45="",計分!$AP45=""),"",計分!$AP45-計分!AM45)</f>
        <v/>
      </c>
      <c r="AN45">
        <f>IF(OR(計分!AN45="",計分!$AP45=""),"",計分!$AP45-計分!AN45)</f>
        <v/>
      </c>
      <c r="AO45">
        <f>IF(OR(計分!AO45="",計分!$AP45=""),"",計分!$AP45-計分!AO45)</f>
        <v/>
      </c>
    </row>
    <row r="46">
      <c r="A46">
        <f>計分!A46</f>
        <v/>
      </c>
      <c r="B46">
        <f>IF(OR(計分!B46="",計分!$AP46=""),"",計分!$AP46-計分!B46)</f>
        <v/>
      </c>
      <c r="C46">
        <f>IF(OR(計分!C46="",計分!$AP46=""),"",計分!$AP46-計分!C46)</f>
        <v/>
      </c>
      <c r="D46">
        <f>IF(OR(計分!D46="",計分!$AP46=""),"",計分!$AP46-計分!D46)</f>
        <v/>
      </c>
      <c r="E46">
        <f>IF(OR(計分!E46="",計分!$AP46=""),"",計分!$AP46-計分!E46)</f>
        <v/>
      </c>
      <c r="F46">
        <f>IF(OR(計分!F46="",計分!$AP46=""),"",計分!$AP46-計分!F46)</f>
        <v/>
      </c>
      <c r="G46">
        <f>IF(OR(計分!G46="",計分!$AP46=""),"",計分!$AP46-計分!G46)</f>
        <v/>
      </c>
      <c r="H46">
        <f>IF(OR(計分!H46="",計分!$AP46=""),"",計分!$AP46-計分!H46)</f>
        <v/>
      </c>
      <c r="I46">
        <f>IF(OR(計分!I46="",計分!$AP46=""),"",計分!$AP46-計分!I46)</f>
        <v/>
      </c>
      <c r="J46">
        <f>IF(OR(計分!J46="",計分!$AP46=""),"",計分!$AP46-計分!J46)</f>
        <v/>
      </c>
      <c r="K46">
        <f>IF(OR(計分!K46="",計分!$AP46=""),"",計分!$AP46-計分!K46)</f>
        <v/>
      </c>
      <c r="L46">
        <f>IF(OR(計分!L46="",計分!$AP46=""),"",計分!$AP46-計分!L46)</f>
        <v/>
      </c>
      <c r="M46">
        <f>IF(OR(計分!M46="",計分!$AP46=""),"",計分!$AP46-計分!M46)</f>
        <v/>
      </c>
      <c r="N46">
        <f>IF(OR(計分!N46="",計分!$AP46=""),"",計分!$AP46-計分!N46)</f>
        <v/>
      </c>
      <c r="O46">
        <f>IF(OR(計分!O46="",計分!$AP46=""),"",計分!$AP46-計分!O46)</f>
        <v/>
      </c>
      <c r="P46">
        <f>IF(OR(計分!P46="",計分!$AP46=""),"",計分!$AP46-計分!P46)</f>
        <v/>
      </c>
      <c r="Q46">
        <f>IF(OR(計分!Q46="",計分!$AP46=""),"",計分!$AP46-計分!Q46)</f>
        <v/>
      </c>
      <c r="R46">
        <f>IF(OR(計分!R46="",計分!$AP46=""),"",計分!$AP46-計分!R46)</f>
        <v/>
      </c>
      <c r="S46">
        <f>IF(OR(計分!S46="",計分!$AP46=""),"",計分!$AP46-計分!S46)</f>
        <v/>
      </c>
      <c r="T46">
        <f>IF(OR(計分!T46="",計分!$AP46=""),"",計分!$AP46-計分!T46)</f>
        <v/>
      </c>
      <c r="U46">
        <f>IF(OR(計分!U46="",計分!$AP46=""),"",計分!$AP46-計分!U46)</f>
        <v/>
      </c>
      <c r="V46">
        <f>IF(OR(計分!V46="",計分!$AP46=""),"",計分!$AP46-計分!V46)</f>
        <v/>
      </c>
      <c r="W46">
        <f>IF(OR(計分!W46="",計分!$AP46=""),"",計分!$AP46-計分!W46)</f>
        <v/>
      </c>
      <c r="X46">
        <f>IF(OR(計分!X46="",計分!$AP46=""),"",計分!$AP46-計分!X46)</f>
        <v/>
      </c>
      <c r="Y46">
        <f>IF(OR(計分!Y46="",計分!$AP46=""),"",計分!$AP46-計分!Y46)</f>
        <v/>
      </c>
      <c r="Z46">
        <f>IF(OR(計分!Z46="",計分!$AP46=""),"",計分!$AP46-計分!Z46)</f>
        <v/>
      </c>
      <c r="AA46">
        <f>IF(OR(計分!AA46="",計分!$AP46=""),"",計分!$AP46-計分!AA46)</f>
        <v/>
      </c>
      <c r="AB46">
        <f>IF(OR(計分!AB46="",計分!$AP46=""),"",計分!$AP46-計分!AB46)</f>
        <v/>
      </c>
      <c r="AC46">
        <f>IF(OR(計分!AC46="",計分!$AP46=""),"",計分!$AP46-計分!AC46)</f>
        <v/>
      </c>
      <c r="AD46">
        <f>IF(OR(計分!AD46="",計分!$AP46=""),"",計分!$AP46-計分!AD46)</f>
        <v/>
      </c>
      <c r="AE46">
        <f>IF(OR(計分!AE46="",計分!$AP46=""),"",計分!$AP46-計分!AE46)</f>
        <v/>
      </c>
      <c r="AF46">
        <f>IF(OR(計分!AF46="",計分!$AP46=""),"",計分!$AP46-計分!AF46)</f>
        <v/>
      </c>
      <c r="AG46">
        <f>IF(OR(計分!AG46="",計分!$AP46=""),"",計分!$AP46-計分!AG46)</f>
        <v/>
      </c>
      <c r="AH46">
        <f>IF(OR(計分!AH46="",計分!$AP46=""),"",計分!$AP46-計分!AH46)</f>
        <v/>
      </c>
      <c r="AI46">
        <f>IF(OR(計分!AI46="",計分!$AP46=""),"",計分!$AP46-計分!AI46)</f>
        <v/>
      </c>
      <c r="AJ46">
        <f>IF(OR(計分!AJ46="",計分!$AP46=""),"",計分!$AP46-計分!AJ46)</f>
        <v/>
      </c>
      <c r="AK46">
        <f>IF(OR(計分!AK46="",計分!$AP46=""),"",計分!$AP46-計分!AK46)</f>
        <v/>
      </c>
      <c r="AL46">
        <f>IF(OR(計分!AL46="",計分!$AP46=""),"",計分!$AP46-計分!AL46)</f>
        <v/>
      </c>
      <c r="AM46">
        <f>IF(OR(計分!AM46="",計分!$AP46=""),"",計分!$AP46-計分!AM46)</f>
        <v/>
      </c>
      <c r="AN46">
        <f>IF(OR(計分!AN46="",計分!$AP46=""),"",計分!$AP46-計分!AN46)</f>
        <v/>
      </c>
      <c r="AO46">
        <f>IF(OR(計分!AO46="",計分!$AP46=""),"",計分!$AP46-計分!AO46)</f>
        <v/>
      </c>
    </row>
    <row r="47">
      <c r="A47">
        <f>計分!A47</f>
        <v/>
      </c>
      <c r="B47">
        <f>IF(OR(計分!B47="",計分!$AP47=""),"",計分!$AP47-計分!B47)</f>
        <v/>
      </c>
      <c r="C47">
        <f>IF(OR(計分!C47="",計分!$AP47=""),"",計分!$AP47-計分!C47)</f>
        <v/>
      </c>
      <c r="D47">
        <f>IF(OR(計分!D47="",計分!$AP47=""),"",計分!$AP47-計分!D47)</f>
        <v/>
      </c>
      <c r="E47">
        <f>IF(OR(計分!E47="",計分!$AP47=""),"",計分!$AP47-計分!E47)</f>
        <v/>
      </c>
      <c r="F47">
        <f>IF(OR(計分!F47="",計分!$AP47=""),"",計分!$AP47-計分!F47)</f>
        <v/>
      </c>
      <c r="G47">
        <f>IF(OR(計分!G47="",計分!$AP47=""),"",計分!$AP47-計分!G47)</f>
        <v/>
      </c>
      <c r="H47">
        <f>IF(OR(計分!H47="",計分!$AP47=""),"",計分!$AP47-計分!H47)</f>
        <v/>
      </c>
      <c r="I47">
        <f>IF(OR(計分!I47="",計分!$AP47=""),"",計分!$AP47-計分!I47)</f>
        <v/>
      </c>
      <c r="J47">
        <f>IF(OR(計分!J47="",計分!$AP47=""),"",計分!$AP47-計分!J47)</f>
        <v/>
      </c>
      <c r="K47">
        <f>IF(OR(計分!K47="",計分!$AP47=""),"",計分!$AP47-計分!K47)</f>
        <v/>
      </c>
      <c r="L47">
        <f>IF(OR(計分!L47="",計分!$AP47=""),"",計分!$AP47-計分!L47)</f>
        <v/>
      </c>
      <c r="M47">
        <f>IF(OR(計分!M47="",計分!$AP47=""),"",計分!$AP47-計分!M47)</f>
        <v/>
      </c>
      <c r="N47">
        <f>IF(OR(計分!N47="",計分!$AP47=""),"",計分!$AP47-計分!N47)</f>
        <v/>
      </c>
      <c r="O47">
        <f>IF(OR(計分!O47="",計分!$AP47=""),"",計分!$AP47-計分!O47)</f>
        <v/>
      </c>
      <c r="P47">
        <f>IF(OR(計分!P47="",計分!$AP47=""),"",計分!$AP47-計分!P47)</f>
        <v/>
      </c>
      <c r="Q47">
        <f>IF(OR(計分!Q47="",計分!$AP47=""),"",計分!$AP47-計分!Q47)</f>
        <v/>
      </c>
      <c r="R47">
        <f>IF(OR(計分!R47="",計分!$AP47=""),"",計分!$AP47-計分!R47)</f>
        <v/>
      </c>
      <c r="S47">
        <f>IF(OR(計分!S47="",計分!$AP47=""),"",計分!$AP47-計分!S47)</f>
        <v/>
      </c>
      <c r="T47">
        <f>IF(OR(計分!T47="",計分!$AP47=""),"",計分!$AP47-計分!T47)</f>
        <v/>
      </c>
      <c r="U47">
        <f>IF(OR(計分!U47="",計分!$AP47=""),"",計分!$AP47-計分!U47)</f>
        <v/>
      </c>
      <c r="V47">
        <f>IF(OR(計分!V47="",計分!$AP47=""),"",計分!$AP47-計分!V47)</f>
        <v/>
      </c>
      <c r="W47">
        <f>IF(OR(計分!W47="",計分!$AP47=""),"",計分!$AP47-計分!W47)</f>
        <v/>
      </c>
      <c r="X47">
        <f>IF(OR(計分!X47="",計分!$AP47=""),"",計分!$AP47-計分!X47)</f>
        <v/>
      </c>
      <c r="Y47">
        <f>IF(OR(計分!Y47="",計分!$AP47=""),"",計分!$AP47-計分!Y47)</f>
        <v/>
      </c>
      <c r="Z47">
        <f>IF(OR(計分!Z47="",計分!$AP47=""),"",計分!$AP47-計分!Z47)</f>
        <v/>
      </c>
      <c r="AA47">
        <f>IF(OR(計分!AA47="",計分!$AP47=""),"",計分!$AP47-計分!AA47)</f>
        <v/>
      </c>
      <c r="AB47">
        <f>IF(OR(計分!AB47="",計分!$AP47=""),"",計分!$AP47-計分!AB47)</f>
        <v/>
      </c>
      <c r="AC47">
        <f>IF(OR(計分!AC47="",計分!$AP47=""),"",計分!$AP47-計分!AC47)</f>
        <v/>
      </c>
      <c r="AD47">
        <f>IF(OR(計分!AD47="",計分!$AP47=""),"",計分!$AP47-計分!AD47)</f>
        <v/>
      </c>
      <c r="AE47">
        <f>IF(OR(計分!AE47="",計分!$AP47=""),"",計分!$AP47-計分!AE47)</f>
        <v/>
      </c>
      <c r="AF47">
        <f>IF(OR(計分!AF47="",計分!$AP47=""),"",計分!$AP47-計分!AF47)</f>
        <v/>
      </c>
      <c r="AG47">
        <f>IF(OR(計分!AG47="",計分!$AP47=""),"",計分!$AP47-計分!AG47)</f>
        <v/>
      </c>
      <c r="AH47">
        <f>IF(OR(計分!AH47="",計分!$AP47=""),"",計分!$AP47-計分!AH47)</f>
        <v/>
      </c>
      <c r="AI47">
        <f>IF(OR(計分!AI47="",計分!$AP47=""),"",計分!$AP47-計分!AI47)</f>
        <v/>
      </c>
      <c r="AJ47">
        <f>IF(OR(計分!AJ47="",計分!$AP47=""),"",計分!$AP47-計分!AJ47)</f>
        <v/>
      </c>
      <c r="AK47">
        <f>IF(OR(計分!AK47="",計分!$AP47=""),"",計分!$AP47-計分!AK47)</f>
        <v/>
      </c>
      <c r="AL47">
        <f>IF(OR(計分!AL47="",計分!$AP47=""),"",計分!$AP47-計分!AL47)</f>
        <v/>
      </c>
      <c r="AM47">
        <f>IF(OR(計分!AM47="",計分!$AP47=""),"",計分!$AP47-計分!AM47)</f>
        <v/>
      </c>
      <c r="AN47">
        <f>IF(OR(計分!AN47="",計分!$AP47=""),"",計分!$AP47-計分!AN47)</f>
        <v/>
      </c>
      <c r="AO47">
        <f>IF(OR(計分!AO47="",計分!$AP47=""),"",計分!$AP47-計分!AO47)</f>
        <v/>
      </c>
    </row>
    <row r="48">
      <c r="A48">
        <f>計分!A48</f>
        <v/>
      </c>
      <c r="B48">
        <f>IF(OR(計分!B48="",計分!$AP48=""),"",計分!$AP48-計分!B48)</f>
        <v/>
      </c>
      <c r="C48">
        <f>IF(OR(計分!C48="",計分!$AP48=""),"",計分!$AP48-計分!C48)</f>
        <v/>
      </c>
      <c r="D48">
        <f>IF(OR(計分!D48="",計分!$AP48=""),"",計分!$AP48-計分!D48)</f>
        <v/>
      </c>
      <c r="E48">
        <f>IF(OR(計分!E48="",計分!$AP48=""),"",計分!$AP48-計分!E48)</f>
        <v/>
      </c>
      <c r="F48">
        <f>IF(OR(計分!F48="",計分!$AP48=""),"",計分!$AP48-計分!F48)</f>
        <v/>
      </c>
      <c r="G48">
        <f>IF(OR(計分!G48="",計分!$AP48=""),"",計分!$AP48-計分!G48)</f>
        <v/>
      </c>
      <c r="H48">
        <f>IF(OR(計分!H48="",計分!$AP48=""),"",計分!$AP48-計分!H48)</f>
        <v/>
      </c>
      <c r="I48">
        <f>IF(OR(計分!I48="",計分!$AP48=""),"",計分!$AP48-計分!I48)</f>
        <v/>
      </c>
      <c r="J48">
        <f>IF(OR(計分!J48="",計分!$AP48=""),"",計分!$AP48-計分!J48)</f>
        <v/>
      </c>
      <c r="K48">
        <f>IF(OR(計分!K48="",計分!$AP48=""),"",計分!$AP48-計分!K48)</f>
        <v/>
      </c>
      <c r="L48">
        <f>IF(OR(計分!L48="",計分!$AP48=""),"",計分!$AP48-計分!L48)</f>
        <v/>
      </c>
      <c r="M48">
        <f>IF(OR(計分!M48="",計分!$AP48=""),"",計分!$AP48-計分!M48)</f>
        <v/>
      </c>
      <c r="N48">
        <f>IF(OR(計分!N48="",計分!$AP48=""),"",計分!$AP48-計分!N48)</f>
        <v/>
      </c>
      <c r="O48">
        <f>IF(OR(計分!O48="",計分!$AP48=""),"",計分!$AP48-計分!O48)</f>
        <v/>
      </c>
      <c r="P48">
        <f>IF(OR(計分!P48="",計分!$AP48=""),"",計分!$AP48-計分!P48)</f>
        <v/>
      </c>
      <c r="Q48">
        <f>IF(OR(計分!Q48="",計分!$AP48=""),"",計分!$AP48-計分!Q48)</f>
        <v/>
      </c>
      <c r="R48">
        <f>IF(OR(計分!R48="",計分!$AP48=""),"",計分!$AP48-計分!R48)</f>
        <v/>
      </c>
      <c r="S48">
        <f>IF(OR(計分!S48="",計分!$AP48=""),"",計分!$AP48-計分!S48)</f>
        <v/>
      </c>
      <c r="T48">
        <f>IF(OR(計分!T48="",計分!$AP48=""),"",計分!$AP48-計分!T48)</f>
        <v/>
      </c>
      <c r="U48">
        <f>IF(OR(計分!U48="",計分!$AP48=""),"",計分!$AP48-計分!U48)</f>
        <v/>
      </c>
      <c r="V48">
        <f>IF(OR(計分!V48="",計分!$AP48=""),"",計分!$AP48-計分!V48)</f>
        <v/>
      </c>
      <c r="W48">
        <f>IF(OR(計分!W48="",計分!$AP48=""),"",計分!$AP48-計分!W48)</f>
        <v/>
      </c>
      <c r="X48">
        <f>IF(OR(計分!X48="",計分!$AP48=""),"",計分!$AP48-計分!X48)</f>
        <v/>
      </c>
      <c r="Y48">
        <f>IF(OR(計分!Y48="",計分!$AP48=""),"",計分!$AP48-計分!Y48)</f>
        <v/>
      </c>
      <c r="Z48">
        <f>IF(OR(計分!Z48="",計分!$AP48=""),"",計分!$AP48-計分!Z48)</f>
        <v/>
      </c>
      <c r="AA48">
        <f>IF(OR(計分!AA48="",計分!$AP48=""),"",計分!$AP48-計分!AA48)</f>
        <v/>
      </c>
      <c r="AB48">
        <f>IF(OR(計分!AB48="",計分!$AP48=""),"",計分!$AP48-計分!AB48)</f>
        <v/>
      </c>
      <c r="AC48">
        <f>IF(OR(計分!AC48="",計分!$AP48=""),"",計分!$AP48-計分!AC48)</f>
        <v/>
      </c>
      <c r="AD48">
        <f>IF(OR(計分!AD48="",計分!$AP48=""),"",計分!$AP48-計分!AD48)</f>
        <v/>
      </c>
      <c r="AE48">
        <f>IF(OR(計分!AE48="",計分!$AP48=""),"",計分!$AP48-計分!AE48)</f>
        <v/>
      </c>
      <c r="AF48">
        <f>IF(OR(計分!AF48="",計分!$AP48=""),"",計分!$AP48-計分!AF48)</f>
        <v/>
      </c>
      <c r="AG48">
        <f>IF(OR(計分!AG48="",計分!$AP48=""),"",計分!$AP48-計分!AG48)</f>
        <v/>
      </c>
      <c r="AH48">
        <f>IF(OR(計分!AH48="",計分!$AP48=""),"",計分!$AP48-計分!AH48)</f>
        <v/>
      </c>
      <c r="AI48">
        <f>IF(OR(計分!AI48="",計分!$AP48=""),"",計分!$AP48-計分!AI48)</f>
        <v/>
      </c>
      <c r="AJ48">
        <f>IF(OR(計分!AJ48="",計分!$AP48=""),"",計分!$AP48-計分!AJ48)</f>
        <v/>
      </c>
      <c r="AK48">
        <f>IF(OR(計分!AK48="",計分!$AP48=""),"",計分!$AP48-計分!AK48)</f>
        <v/>
      </c>
      <c r="AL48">
        <f>IF(OR(計分!AL48="",計分!$AP48=""),"",計分!$AP48-計分!AL48)</f>
        <v/>
      </c>
      <c r="AM48">
        <f>IF(OR(計分!AM48="",計分!$AP48=""),"",計分!$AP48-計分!AM48)</f>
        <v/>
      </c>
      <c r="AN48">
        <f>IF(OR(計分!AN48="",計分!$AP48=""),"",計分!$AP48-計分!AN48)</f>
        <v/>
      </c>
      <c r="AO48">
        <f>IF(OR(計分!AO48="",計分!$AP48=""),"",計分!$AP48-計分!AO48)</f>
        <v/>
      </c>
    </row>
    <row r="49">
      <c r="A49">
        <f>計分!A49</f>
        <v/>
      </c>
      <c r="B49">
        <f>IF(OR(計分!B49="",計分!$AP49=""),"",計分!$AP49-計分!B49)</f>
        <v/>
      </c>
      <c r="C49">
        <f>IF(OR(計分!C49="",計分!$AP49=""),"",計分!$AP49-計分!C49)</f>
        <v/>
      </c>
      <c r="D49">
        <f>IF(OR(計分!D49="",計分!$AP49=""),"",計分!$AP49-計分!D49)</f>
        <v/>
      </c>
      <c r="E49">
        <f>IF(OR(計分!E49="",計分!$AP49=""),"",計分!$AP49-計分!E49)</f>
        <v/>
      </c>
      <c r="F49">
        <f>IF(OR(計分!F49="",計分!$AP49=""),"",計分!$AP49-計分!F49)</f>
        <v/>
      </c>
      <c r="G49">
        <f>IF(OR(計分!G49="",計分!$AP49=""),"",計分!$AP49-計分!G49)</f>
        <v/>
      </c>
      <c r="H49">
        <f>IF(OR(計分!H49="",計分!$AP49=""),"",計分!$AP49-計分!H49)</f>
        <v/>
      </c>
      <c r="I49">
        <f>IF(OR(計分!I49="",計分!$AP49=""),"",計分!$AP49-計分!I49)</f>
        <v/>
      </c>
      <c r="J49">
        <f>IF(OR(計分!J49="",計分!$AP49=""),"",計分!$AP49-計分!J49)</f>
        <v/>
      </c>
      <c r="K49">
        <f>IF(OR(計分!K49="",計分!$AP49=""),"",計分!$AP49-計分!K49)</f>
        <v/>
      </c>
      <c r="L49">
        <f>IF(OR(計分!L49="",計分!$AP49=""),"",計分!$AP49-計分!L49)</f>
        <v/>
      </c>
      <c r="M49">
        <f>IF(OR(計分!M49="",計分!$AP49=""),"",計分!$AP49-計分!M49)</f>
        <v/>
      </c>
      <c r="N49">
        <f>IF(OR(計分!N49="",計分!$AP49=""),"",計分!$AP49-計分!N49)</f>
        <v/>
      </c>
      <c r="O49">
        <f>IF(OR(計分!O49="",計分!$AP49=""),"",計分!$AP49-計分!O49)</f>
        <v/>
      </c>
      <c r="P49">
        <f>IF(OR(計分!P49="",計分!$AP49=""),"",計分!$AP49-計分!P49)</f>
        <v/>
      </c>
      <c r="Q49">
        <f>IF(OR(計分!Q49="",計分!$AP49=""),"",計分!$AP49-計分!Q49)</f>
        <v/>
      </c>
      <c r="R49">
        <f>IF(OR(計分!R49="",計分!$AP49=""),"",計分!$AP49-計分!R49)</f>
        <v/>
      </c>
      <c r="S49">
        <f>IF(OR(計分!S49="",計分!$AP49=""),"",計分!$AP49-計分!S49)</f>
        <v/>
      </c>
      <c r="T49">
        <f>IF(OR(計分!T49="",計分!$AP49=""),"",計分!$AP49-計分!T49)</f>
        <v/>
      </c>
      <c r="U49">
        <f>IF(OR(計分!U49="",計分!$AP49=""),"",計分!$AP49-計分!U49)</f>
        <v/>
      </c>
      <c r="V49">
        <f>IF(OR(計分!V49="",計分!$AP49=""),"",計分!$AP49-計分!V49)</f>
        <v/>
      </c>
      <c r="W49">
        <f>IF(OR(計分!W49="",計分!$AP49=""),"",計分!$AP49-計分!W49)</f>
        <v/>
      </c>
      <c r="X49">
        <f>IF(OR(計分!X49="",計分!$AP49=""),"",計分!$AP49-計分!X49)</f>
        <v/>
      </c>
      <c r="Y49">
        <f>IF(OR(計分!Y49="",計分!$AP49=""),"",計分!$AP49-計分!Y49)</f>
        <v/>
      </c>
      <c r="Z49">
        <f>IF(OR(計分!Z49="",計分!$AP49=""),"",計分!$AP49-計分!Z49)</f>
        <v/>
      </c>
      <c r="AA49">
        <f>IF(OR(計分!AA49="",計分!$AP49=""),"",計分!$AP49-計分!AA49)</f>
        <v/>
      </c>
      <c r="AB49">
        <f>IF(OR(計分!AB49="",計分!$AP49=""),"",計分!$AP49-計分!AB49)</f>
        <v/>
      </c>
      <c r="AC49">
        <f>IF(OR(計分!AC49="",計分!$AP49=""),"",計分!$AP49-計分!AC49)</f>
        <v/>
      </c>
      <c r="AD49">
        <f>IF(OR(計分!AD49="",計分!$AP49=""),"",計分!$AP49-計分!AD49)</f>
        <v/>
      </c>
      <c r="AE49">
        <f>IF(OR(計分!AE49="",計分!$AP49=""),"",計分!$AP49-計分!AE49)</f>
        <v/>
      </c>
      <c r="AF49">
        <f>IF(OR(計分!AF49="",計分!$AP49=""),"",計分!$AP49-計分!AF49)</f>
        <v/>
      </c>
      <c r="AG49">
        <f>IF(OR(計分!AG49="",計分!$AP49=""),"",計分!$AP49-計分!AG49)</f>
        <v/>
      </c>
      <c r="AH49">
        <f>IF(OR(計分!AH49="",計分!$AP49=""),"",計分!$AP49-計分!AH49)</f>
        <v/>
      </c>
      <c r="AI49">
        <f>IF(OR(計分!AI49="",計分!$AP49=""),"",計分!$AP49-計分!AI49)</f>
        <v/>
      </c>
      <c r="AJ49">
        <f>IF(OR(計分!AJ49="",計分!$AP49=""),"",計分!$AP49-計分!AJ49)</f>
        <v/>
      </c>
      <c r="AK49">
        <f>IF(OR(計分!AK49="",計分!$AP49=""),"",計分!$AP49-計分!AK49)</f>
        <v/>
      </c>
      <c r="AL49">
        <f>IF(OR(計分!AL49="",計分!$AP49=""),"",計分!$AP49-計分!AL49)</f>
        <v/>
      </c>
      <c r="AM49">
        <f>IF(OR(計分!AM49="",計分!$AP49=""),"",計分!$AP49-計分!AM49)</f>
        <v/>
      </c>
      <c r="AN49">
        <f>IF(OR(計分!AN49="",計分!$AP49=""),"",計分!$AP49-計分!AN49)</f>
        <v/>
      </c>
      <c r="AO49">
        <f>IF(OR(計分!AO49="",計分!$AP49=""),"",計分!$AP49-計分!AO49)</f>
        <v/>
      </c>
    </row>
    <row r="50">
      <c r="A50">
        <f>計分!A50</f>
        <v/>
      </c>
      <c r="B50">
        <f>IF(OR(計分!B50="",計分!$AP50=""),"",計分!$AP50-計分!B50)</f>
        <v/>
      </c>
      <c r="C50">
        <f>IF(OR(計分!C50="",計分!$AP50=""),"",計分!$AP50-計分!C50)</f>
        <v/>
      </c>
      <c r="D50">
        <f>IF(OR(計分!D50="",計分!$AP50=""),"",計分!$AP50-計分!D50)</f>
        <v/>
      </c>
      <c r="E50">
        <f>IF(OR(計分!E50="",計分!$AP50=""),"",計分!$AP50-計分!E50)</f>
        <v/>
      </c>
      <c r="F50">
        <f>IF(OR(計分!F50="",計分!$AP50=""),"",計分!$AP50-計分!F50)</f>
        <v/>
      </c>
      <c r="G50">
        <f>IF(OR(計分!G50="",計分!$AP50=""),"",計分!$AP50-計分!G50)</f>
        <v/>
      </c>
      <c r="H50">
        <f>IF(OR(計分!H50="",計分!$AP50=""),"",計分!$AP50-計分!H50)</f>
        <v/>
      </c>
      <c r="I50">
        <f>IF(OR(計分!I50="",計分!$AP50=""),"",計分!$AP50-計分!I50)</f>
        <v/>
      </c>
      <c r="J50">
        <f>IF(OR(計分!J50="",計分!$AP50=""),"",計分!$AP50-計分!J50)</f>
        <v/>
      </c>
      <c r="K50">
        <f>IF(OR(計分!K50="",計分!$AP50=""),"",計分!$AP50-計分!K50)</f>
        <v/>
      </c>
      <c r="L50">
        <f>IF(OR(計分!L50="",計分!$AP50=""),"",計分!$AP50-計分!L50)</f>
        <v/>
      </c>
      <c r="M50">
        <f>IF(OR(計分!M50="",計分!$AP50=""),"",計分!$AP50-計分!M50)</f>
        <v/>
      </c>
      <c r="N50">
        <f>IF(OR(計分!N50="",計分!$AP50=""),"",計分!$AP50-計分!N50)</f>
        <v/>
      </c>
      <c r="O50">
        <f>IF(OR(計分!O50="",計分!$AP50=""),"",計分!$AP50-計分!O50)</f>
        <v/>
      </c>
      <c r="P50">
        <f>IF(OR(計分!P50="",計分!$AP50=""),"",計分!$AP50-計分!P50)</f>
        <v/>
      </c>
      <c r="Q50">
        <f>IF(OR(計分!Q50="",計分!$AP50=""),"",計分!$AP50-計分!Q50)</f>
        <v/>
      </c>
      <c r="R50">
        <f>IF(OR(計分!R50="",計分!$AP50=""),"",計分!$AP50-計分!R50)</f>
        <v/>
      </c>
      <c r="S50">
        <f>IF(OR(計分!S50="",計分!$AP50=""),"",計分!$AP50-計分!S50)</f>
        <v/>
      </c>
      <c r="T50">
        <f>IF(OR(計分!T50="",計分!$AP50=""),"",計分!$AP50-計分!T50)</f>
        <v/>
      </c>
      <c r="U50">
        <f>IF(OR(計分!U50="",計分!$AP50=""),"",計分!$AP50-計分!U50)</f>
        <v/>
      </c>
      <c r="V50">
        <f>IF(OR(計分!V50="",計分!$AP50=""),"",計分!$AP50-計分!V50)</f>
        <v/>
      </c>
      <c r="W50">
        <f>IF(OR(計分!W50="",計分!$AP50=""),"",計分!$AP50-計分!W50)</f>
        <v/>
      </c>
      <c r="X50">
        <f>IF(OR(計分!X50="",計分!$AP50=""),"",計分!$AP50-計分!X50)</f>
        <v/>
      </c>
      <c r="Y50">
        <f>IF(OR(計分!Y50="",計分!$AP50=""),"",計分!$AP50-計分!Y50)</f>
        <v/>
      </c>
      <c r="Z50">
        <f>IF(OR(計分!Z50="",計分!$AP50=""),"",計分!$AP50-計分!Z50)</f>
        <v/>
      </c>
      <c r="AA50">
        <f>IF(OR(計分!AA50="",計分!$AP50=""),"",計分!$AP50-計分!AA50)</f>
        <v/>
      </c>
      <c r="AB50">
        <f>IF(OR(計分!AB50="",計分!$AP50=""),"",計分!$AP50-計分!AB50)</f>
        <v/>
      </c>
      <c r="AC50">
        <f>IF(OR(計分!AC50="",計分!$AP50=""),"",計分!$AP50-計分!AC50)</f>
        <v/>
      </c>
      <c r="AD50">
        <f>IF(OR(計分!AD50="",計分!$AP50=""),"",計分!$AP50-計分!AD50)</f>
        <v/>
      </c>
      <c r="AE50">
        <f>IF(OR(計分!AE50="",計分!$AP50=""),"",計分!$AP50-計分!AE50)</f>
        <v/>
      </c>
      <c r="AF50">
        <f>IF(OR(計分!AF50="",計分!$AP50=""),"",計分!$AP50-計分!AF50)</f>
        <v/>
      </c>
      <c r="AG50">
        <f>IF(OR(計分!AG50="",計分!$AP50=""),"",計分!$AP50-計分!AG50)</f>
        <v/>
      </c>
      <c r="AH50">
        <f>IF(OR(計分!AH50="",計分!$AP50=""),"",計分!$AP50-計分!AH50)</f>
        <v/>
      </c>
      <c r="AI50">
        <f>IF(OR(計分!AI50="",計分!$AP50=""),"",計分!$AP50-計分!AI50)</f>
        <v/>
      </c>
      <c r="AJ50">
        <f>IF(OR(計分!AJ50="",計分!$AP50=""),"",計分!$AP50-計分!AJ50)</f>
        <v/>
      </c>
      <c r="AK50">
        <f>IF(OR(計分!AK50="",計分!$AP50=""),"",計分!$AP50-計分!AK50)</f>
        <v/>
      </c>
      <c r="AL50">
        <f>IF(OR(計分!AL50="",計分!$AP50=""),"",計分!$AP50-計分!AL50)</f>
        <v/>
      </c>
      <c r="AM50">
        <f>IF(OR(計分!AM50="",計分!$AP50=""),"",計分!$AP50-計分!AM50)</f>
        <v/>
      </c>
      <c r="AN50">
        <f>IF(OR(計分!AN50="",計分!$AP50=""),"",計分!$AP50-計分!AN50)</f>
        <v/>
      </c>
      <c r="AO50">
        <f>IF(OR(計分!AO50="",計分!$AP50=""),"",計分!$AP50-計分!AO50)</f>
        <v/>
      </c>
    </row>
    <row r="51">
      <c r="A51">
        <f>計分!A51</f>
        <v/>
      </c>
      <c r="B51">
        <f>IF(OR(計分!B51="",計分!$AP51=""),"",計分!$AP51-計分!B51)</f>
        <v/>
      </c>
      <c r="C51">
        <f>IF(OR(計分!C51="",計分!$AP51=""),"",計分!$AP51-計分!C51)</f>
        <v/>
      </c>
      <c r="D51">
        <f>IF(OR(計分!D51="",計分!$AP51=""),"",計分!$AP51-計分!D51)</f>
        <v/>
      </c>
      <c r="E51">
        <f>IF(OR(計分!E51="",計分!$AP51=""),"",計分!$AP51-計分!E51)</f>
        <v/>
      </c>
      <c r="F51">
        <f>IF(OR(計分!F51="",計分!$AP51=""),"",計分!$AP51-計分!F51)</f>
        <v/>
      </c>
      <c r="G51">
        <f>IF(OR(計分!G51="",計分!$AP51=""),"",計分!$AP51-計分!G51)</f>
        <v/>
      </c>
      <c r="H51">
        <f>IF(OR(計分!H51="",計分!$AP51=""),"",計分!$AP51-計分!H51)</f>
        <v/>
      </c>
      <c r="I51">
        <f>IF(OR(計分!I51="",計分!$AP51=""),"",計分!$AP51-計分!I51)</f>
        <v/>
      </c>
      <c r="J51">
        <f>IF(OR(計分!J51="",計分!$AP51=""),"",計分!$AP51-計分!J51)</f>
        <v/>
      </c>
      <c r="K51">
        <f>IF(OR(計分!K51="",計分!$AP51=""),"",計分!$AP51-計分!K51)</f>
        <v/>
      </c>
      <c r="L51">
        <f>IF(OR(計分!L51="",計分!$AP51=""),"",計分!$AP51-計分!L51)</f>
        <v/>
      </c>
      <c r="M51">
        <f>IF(OR(計分!M51="",計分!$AP51=""),"",計分!$AP51-計分!M51)</f>
        <v/>
      </c>
      <c r="N51">
        <f>IF(OR(計分!N51="",計分!$AP51=""),"",計分!$AP51-計分!N51)</f>
        <v/>
      </c>
      <c r="O51">
        <f>IF(OR(計分!O51="",計分!$AP51=""),"",計分!$AP51-計分!O51)</f>
        <v/>
      </c>
      <c r="P51">
        <f>IF(OR(計分!P51="",計分!$AP51=""),"",計分!$AP51-計分!P51)</f>
        <v/>
      </c>
      <c r="Q51">
        <f>IF(OR(計分!Q51="",計分!$AP51=""),"",計分!$AP51-計分!Q51)</f>
        <v/>
      </c>
      <c r="R51">
        <f>IF(OR(計分!R51="",計分!$AP51=""),"",計分!$AP51-計分!R51)</f>
        <v/>
      </c>
      <c r="S51">
        <f>IF(OR(計分!S51="",計分!$AP51=""),"",計分!$AP51-計分!S51)</f>
        <v/>
      </c>
      <c r="T51">
        <f>IF(OR(計分!T51="",計分!$AP51=""),"",計分!$AP51-計分!T51)</f>
        <v/>
      </c>
      <c r="U51">
        <f>IF(OR(計分!U51="",計分!$AP51=""),"",計分!$AP51-計分!U51)</f>
        <v/>
      </c>
      <c r="V51">
        <f>IF(OR(計分!V51="",計分!$AP51=""),"",計分!$AP51-計分!V51)</f>
        <v/>
      </c>
      <c r="W51">
        <f>IF(OR(計分!W51="",計分!$AP51=""),"",計分!$AP51-計分!W51)</f>
        <v/>
      </c>
      <c r="X51">
        <f>IF(OR(計分!X51="",計分!$AP51=""),"",計分!$AP51-計分!X51)</f>
        <v/>
      </c>
      <c r="Y51">
        <f>IF(OR(計分!Y51="",計分!$AP51=""),"",計分!$AP51-計分!Y51)</f>
        <v/>
      </c>
      <c r="Z51">
        <f>IF(OR(計分!Z51="",計分!$AP51=""),"",計分!$AP51-計分!Z51)</f>
        <v/>
      </c>
      <c r="AA51">
        <f>IF(OR(計分!AA51="",計分!$AP51=""),"",計分!$AP51-計分!AA51)</f>
        <v/>
      </c>
      <c r="AB51">
        <f>IF(OR(計分!AB51="",計分!$AP51=""),"",計分!$AP51-計分!AB51)</f>
        <v/>
      </c>
      <c r="AC51">
        <f>IF(OR(計分!AC51="",計分!$AP51=""),"",計分!$AP51-計分!AC51)</f>
        <v/>
      </c>
      <c r="AD51">
        <f>IF(OR(計分!AD51="",計分!$AP51=""),"",計分!$AP51-計分!AD51)</f>
        <v/>
      </c>
      <c r="AE51">
        <f>IF(OR(計分!AE51="",計分!$AP51=""),"",計分!$AP51-計分!AE51)</f>
        <v/>
      </c>
      <c r="AF51">
        <f>IF(OR(計分!AF51="",計分!$AP51=""),"",計分!$AP51-計分!AF51)</f>
        <v/>
      </c>
      <c r="AG51">
        <f>IF(OR(計分!AG51="",計分!$AP51=""),"",計分!$AP51-計分!AG51)</f>
        <v/>
      </c>
      <c r="AH51">
        <f>IF(OR(計分!AH51="",計分!$AP51=""),"",計分!$AP51-計分!AH51)</f>
        <v/>
      </c>
      <c r="AI51">
        <f>IF(OR(計分!AI51="",計分!$AP51=""),"",計分!$AP51-計分!AI51)</f>
        <v/>
      </c>
      <c r="AJ51">
        <f>IF(OR(計分!AJ51="",計分!$AP51=""),"",計分!$AP51-計分!AJ51)</f>
        <v/>
      </c>
      <c r="AK51">
        <f>IF(OR(計分!AK51="",計分!$AP51=""),"",計分!$AP51-計分!AK51)</f>
        <v/>
      </c>
      <c r="AL51">
        <f>IF(OR(計分!AL51="",計分!$AP51=""),"",計分!$AP51-計分!AL51)</f>
        <v/>
      </c>
      <c r="AM51">
        <f>IF(OR(計分!AM51="",計分!$AP51=""),"",計分!$AP51-計分!AM51)</f>
        <v/>
      </c>
      <c r="AN51">
        <f>IF(OR(計分!AN51="",計分!$AP51=""),"",計分!$AP51-計分!AN51)</f>
        <v/>
      </c>
      <c r="AO51">
        <f>IF(OR(計分!AO51="",計分!$AP51=""),"",計分!$AP51-計分!AO51)</f>
        <v/>
      </c>
    </row>
    <row r="52">
      <c r="A52">
        <f>計分!A52</f>
        <v/>
      </c>
      <c r="B52">
        <f>IF(OR(計分!B52="",計分!$AP52=""),"",計分!$AP52-計分!B52)</f>
        <v/>
      </c>
      <c r="C52">
        <f>IF(OR(計分!C52="",計分!$AP52=""),"",計分!$AP52-計分!C52)</f>
        <v/>
      </c>
      <c r="D52">
        <f>IF(OR(計分!D52="",計分!$AP52=""),"",計分!$AP52-計分!D52)</f>
        <v/>
      </c>
      <c r="E52">
        <f>IF(OR(計分!E52="",計分!$AP52=""),"",計分!$AP52-計分!E52)</f>
        <v/>
      </c>
      <c r="F52">
        <f>IF(OR(計分!F52="",計分!$AP52=""),"",計分!$AP52-計分!F52)</f>
        <v/>
      </c>
      <c r="G52">
        <f>IF(OR(計分!G52="",計分!$AP52=""),"",計分!$AP52-計分!G52)</f>
        <v/>
      </c>
      <c r="H52">
        <f>IF(OR(計分!H52="",計分!$AP52=""),"",計分!$AP52-計分!H52)</f>
        <v/>
      </c>
      <c r="I52">
        <f>IF(OR(計分!I52="",計分!$AP52=""),"",計分!$AP52-計分!I52)</f>
        <v/>
      </c>
      <c r="J52">
        <f>IF(OR(計分!J52="",計分!$AP52=""),"",計分!$AP52-計分!J52)</f>
        <v/>
      </c>
      <c r="K52">
        <f>IF(OR(計分!K52="",計分!$AP52=""),"",計分!$AP52-計分!K52)</f>
        <v/>
      </c>
      <c r="L52">
        <f>IF(OR(計分!L52="",計分!$AP52=""),"",計分!$AP52-計分!L52)</f>
        <v/>
      </c>
      <c r="M52">
        <f>IF(OR(計分!M52="",計分!$AP52=""),"",計分!$AP52-計分!M52)</f>
        <v/>
      </c>
      <c r="N52">
        <f>IF(OR(計分!N52="",計分!$AP52=""),"",計分!$AP52-計分!N52)</f>
        <v/>
      </c>
      <c r="O52">
        <f>IF(OR(計分!O52="",計分!$AP52=""),"",計分!$AP52-計分!O52)</f>
        <v/>
      </c>
      <c r="P52">
        <f>IF(OR(計分!P52="",計分!$AP52=""),"",計分!$AP52-計分!P52)</f>
        <v/>
      </c>
      <c r="Q52">
        <f>IF(OR(計分!Q52="",計分!$AP52=""),"",計分!$AP52-計分!Q52)</f>
        <v/>
      </c>
      <c r="R52">
        <f>IF(OR(計分!R52="",計分!$AP52=""),"",計分!$AP52-計分!R52)</f>
        <v/>
      </c>
      <c r="S52">
        <f>IF(OR(計分!S52="",計分!$AP52=""),"",計分!$AP52-計分!S52)</f>
        <v/>
      </c>
      <c r="T52">
        <f>IF(OR(計分!T52="",計分!$AP52=""),"",計分!$AP52-計分!T52)</f>
        <v/>
      </c>
      <c r="U52">
        <f>IF(OR(計分!U52="",計分!$AP52=""),"",計分!$AP52-計分!U52)</f>
        <v/>
      </c>
      <c r="V52">
        <f>IF(OR(計分!V52="",計分!$AP52=""),"",計分!$AP52-計分!V52)</f>
        <v/>
      </c>
      <c r="W52">
        <f>IF(OR(計分!W52="",計分!$AP52=""),"",計分!$AP52-計分!W52)</f>
        <v/>
      </c>
      <c r="X52">
        <f>IF(OR(計分!X52="",計分!$AP52=""),"",計分!$AP52-計分!X52)</f>
        <v/>
      </c>
      <c r="Y52">
        <f>IF(OR(計分!Y52="",計分!$AP52=""),"",計分!$AP52-計分!Y52)</f>
        <v/>
      </c>
      <c r="Z52">
        <f>IF(OR(計分!Z52="",計分!$AP52=""),"",計分!$AP52-計分!Z52)</f>
        <v/>
      </c>
      <c r="AA52">
        <f>IF(OR(計分!AA52="",計分!$AP52=""),"",計分!$AP52-計分!AA52)</f>
        <v/>
      </c>
      <c r="AB52">
        <f>IF(OR(計分!AB52="",計分!$AP52=""),"",計分!$AP52-計分!AB52)</f>
        <v/>
      </c>
      <c r="AC52">
        <f>IF(OR(計分!AC52="",計分!$AP52=""),"",計分!$AP52-計分!AC52)</f>
        <v/>
      </c>
      <c r="AD52">
        <f>IF(OR(計分!AD52="",計分!$AP52=""),"",計分!$AP52-計分!AD52)</f>
        <v/>
      </c>
      <c r="AE52">
        <f>IF(OR(計分!AE52="",計分!$AP52=""),"",計分!$AP52-計分!AE52)</f>
        <v/>
      </c>
      <c r="AF52">
        <f>IF(OR(計分!AF52="",計分!$AP52=""),"",計分!$AP52-計分!AF52)</f>
        <v/>
      </c>
      <c r="AG52">
        <f>IF(OR(計分!AG52="",計分!$AP52=""),"",計分!$AP52-計分!AG52)</f>
        <v/>
      </c>
      <c r="AH52">
        <f>IF(OR(計分!AH52="",計分!$AP52=""),"",計分!$AP52-計分!AH52)</f>
        <v/>
      </c>
      <c r="AI52">
        <f>IF(OR(計分!AI52="",計分!$AP52=""),"",計分!$AP52-計分!AI52)</f>
        <v/>
      </c>
      <c r="AJ52">
        <f>IF(OR(計分!AJ52="",計分!$AP52=""),"",計分!$AP52-計分!AJ52)</f>
        <v/>
      </c>
      <c r="AK52">
        <f>IF(OR(計分!AK52="",計分!$AP52=""),"",計分!$AP52-計分!AK52)</f>
        <v/>
      </c>
      <c r="AL52">
        <f>IF(OR(計分!AL52="",計分!$AP52=""),"",計分!$AP52-計分!AL52)</f>
        <v/>
      </c>
      <c r="AM52">
        <f>IF(OR(計分!AM52="",計分!$AP52=""),"",計分!$AP52-計分!AM52)</f>
        <v/>
      </c>
      <c r="AN52">
        <f>IF(OR(計分!AN52="",計分!$AP52=""),"",計分!$AP52-計分!AN52)</f>
        <v/>
      </c>
      <c r="AO52">
        <f>IF(OR(計分!AO52="",計分!$AP52=""),"",計分!$AP52-計分!AO52)</f>
        <v/>
      </c>
    </row>
    <row r="53">
      <c r="A53">
        <f>計分!A53</f>
        <v/>
      </c>
      <c r="B53">
        <f>IF(OR(計分!B53="",計分!$AP53=""),"",計分!$AP53-計分!B53)</f>
        <v/>
      </c>
      <c r="C53">
        <f>IF(OR(計分!C53="",計分!$AP53=""),"",計分!$AP53-計分!C53)</f>
        <v/>
      </c>
      <c r="D53">
        <f>IF(OR(計分!D53="",計分!$AP53=""),"",計分!$AP53-計分!D53)</f>
        <v/>
      </c>
      <c r="E53">
        <f>IF(OR(計分!E53="",計分!$AP53=""),"",計分!$AP53-計分!E53)</f>
        <v/>
      </c>
      <c r="F53">
        <f>IF(OR(計分!F53="",計分!$AP53=""),"",計分!$AP53-計分!F53)</f>
        <v/>
      </c>
      <c r="G53">
        <f>IF(OR(計分!G53="",計分!$AP53=""),"",計分!$AP53-計分!G53)</f>
        <v/>
      </c>
      <c r="H53">
        <f>IF(OR(計分!H53="",計分!$AP53=""),"",計分!$AP53-計分!H53)</f>
        <v/>
      </c>
      <c r="I53">
        <f>IF(OR(計分!I53="",計分!$AP53=""),"",計分!$AP53-計分!I53)</f>
        <v/>
      </c>
      <c r="J53">
        <f>IF(OR(計分!J53="",計分!$AP53=""),"",計分!$AP53-計分!J53)</f>
        <v/>
      </c>
      <c r="K53">
        <f>IF(OR(計分!K53="",計分!$AP53=""),"",計分!$AP53-計分!K53)</f>
        <v/>
      </c>
      <c r="L53">
        <f>IF(OR(計分!L53="",計分!$AP53=""),"",計分!$AP53-計分!L53)</f>
        <v/>
      </c>
      <c r="M53">
        <f>IF(OR(計分!M53="",計分!$AP53=""),"",計分!$AP53-計分!M53)</f>
        <v/>
      </c>
      <c r="N53">
        <f>IF(OR(計分!N53="",計分!$AP53=""),"",計分!$AP53-計分!N53)</f>
        <v/>
      </c>
      <c r="O53">
        <f>IF(OR(計分!O53="",計分!$AP53=""),"",計分!$AP53-計分!O53)</f>
        <v/>
      </c>
      <c r="P53">
        <f>IF(OR(計分!P53="",計分!$AP53=""),"",計分!$AP53-計分!P53)</f>
        <v/>
      </c>
      <c r="Q53">
        <f>IF(OR(計分!Q53="",計分!$AP53=""),"",計分!$AP53-計分!Q53)</f>
        <v/>
      </c>
      <c r="R53">
        <f>IF(OR(計分!R53="",計分!$AP53=""),"",計分!$AP53-計分!R53)</f>
        <v/>
      </c>
      <c r="S53">
        <f>IF(OR(計分!S53="",計分!$AP53=""),"",計分!$AP53-計分!S53)</f>
        <v/>
      </c>
      <c r="T53">
        <f>IF(OR(計分!T53="",計分!$AP53=""),"",計分!$AP53-計分!T53)</f>
        <v/>
      </c>
      <c r="U53">
        <f>IF(OR(計分!U53="",計分!$AP53=""),"",計分!$AP53-計分!U53)</f>
        <v/>
      </c>
      <c r="V53">
        <f>IF(OR(計分!V53="",計分!$AP53=""),"",計分!$AP53-計分!V53)</f>
        <v/>
      </c>
      <c r="W53">
        <f>IF(OR(計分!W53="",計分!$AP53=""),"",計分!$AP53-計分!W53)</f>
        <v/>
      </c>
      <c r="X53">
        <f>IF(OR(計分!X53="",計分!$AP53=""),"",計分!$AP53-計分!X53)</f>
        <v/>
      </c>
      <c r="Y53">
        <f>IF(OR(計分!Y53="",計分!$AP53=""),"",計分!$AP53-計分!Y53)</f>
        <v/>
      </c>
      <c r="Z53">
        <f>IF(OR(計分!Z53="",計分!$AP53=""),"",計分!$AP53-計分!Z53)</f>
        <v/>
      </c>
      <c r="AA53">
        <f>IF(OR(計分!AA53="",計分!$AP53=""),"",計分!$AP53-計分!AA53)</f>
        <v/>
      </c>
      <c r="AB53">
        <f>IF(OR(計分!AB53="",計分!$AP53=""),"",計分!$AP53-計分!AB53)</f>
        <v/>
      </c>
      <c r="AC53">
        <f>IF(OR(計分!AC53="",計分!$AP53=""),"",計分!$AP53-計分!AC53)</f>
        <v/>
      </c>
      <c r="AD53">
        <f>IF(OR(計分!AD53="",計分!$AP53=""),"",計分!$AP53-計分!AD53)</f>
        <v/>
      </c>
      <c r="AE53">
        <f>IF(OR(計分!AE53="",計分!$AP53=""),"",計分!$AP53-計分!AE53)</f>
        <v/>
      </c>
      <c r="AF53">
        <f>IF(OR(計分!AF53="",計分!$AP53=""),"",計分!$AP53-計分!AF53)</f>
        <v/>
      </c>
      <c r="AG53">
        <f>IF(OR(計分!AG53="",計分!$AP53=""),"",計分!$AP53-計分!AG53)</f>
        <v/>
      </c>
      <c r="AH53">
        <f>IF(OR(計分!AH53="",計分!$AP53=""),"",計分!$AP53-計分!AH53)</f>
        <v/>
      </c>
      <c r="AI53">
        <f>IF(OR(計分!AI53="",計分!$AP53=""),"",計分!$AP53-計分!AI53)</f>
        <v/>
      </c>
      <c r="AJ53">
        <f>IF(OR(計分!AJ53="",計分!$AP53=""),"",計分!$AP53-計分!AJ53)</f>
        <v/>
      </c>
      <c r="AK53">
        <f>IF(OR(計分!AK53="",計分!$AP53=""),"",計分!$AP53-計分!AK53)</f>
        <v/>
      </c>
      <c r="AL53">
        <f>IF(OR(計分!AL53="",計分!$AP53=""),"",計分!$AP53-計分!AL53)</f>
        <v/>
      </c>
      <c r="AM53">
        <f>IF(OR(計分!AM53="",計分!$AP53=""),"",計分!$AP53-計分!AM53)</f>
        <v/>
      </c>
      <c r="AN53">
        <f>IF(OR(計分!AN53="",計分!$AP53=""),"",計分!$AP53-計分!AN53)</f>
        <v/>
      </c>
      <c r="AO53">
        <f>IF(OR(計分!AO53="",計分!$AP53=""),"",計分!$AP53-計分!AO53)</f>
        <v/>
      </c>
    </row>
    <row r="54">
      <c r="A54">
        <f>計分!A54</f>
        <v/>
      </c>
      <c r="B54">
        <f>IF(OR(計分!B54="",計分!$AP54=""),"",計分!$AP54-計分!B54)</f>
        <v/>
      </c>
      <c r="C54">
        <f>IF(OR(計分!C54="",計分!$AP54=""),"",計分!$AP54-計分!C54)</f>
        <v/>
      </c>
      <c r="D54">
        <f>IF(OR(計分!D54="",計分!$AP54=""),"",計分!$AP54-計分!D54)</f>
        <v/>
      </c>
      <c r="E54">
        <f>IF(OR(計分!E54="",計分!$AP54=""),"",計分!$AP54-計分!E54)</f>
        <v/>
      </c>
      <c r="F54">
        <f>IF(OR(計分!F54="",計分!$AP54=""),"",計分!$AP54-計分!F54)</f>
        <v/>
      </c>
      <c r="G54">
        <f>IF(OR(計分!G54="",計分!$AP54=""),"",計分!$AP54-計分!G54)</f>
        <v/>
      </c>
      <c r="H54">
        <f>IF(OR(計分!H54="",計分!$AP54=""),"",計分!$AP54-計分!H54)</f>
        <v/>
      </c>
      <c r="I54">
        <f>IF(OR(計分!I54="",計分!$AP54=""),"",計分!$AP54-計分!I54)</f>
        <v/>
      </c>
      <c r="J54">
        <f>IF(OR(計分!J54="",計分!$AP54=""),"",計分!$AP54-計分!J54)</f>
        <v/>
      </c>
      <c r="K54">
        <f>IF(OR(計分!K54="",計分!$AP54=""),"",計分!$AP54-計分!K54)</f>
        <v/>
      </c>
      <c r="L54">
        <f>IF(OR(計分!L54="",計分!$AP54=""),"",計分!$AP54-計分!L54)</f>
        <v/>
      </c>
      <c r="M54">
        <f>IF(OR(計分!M54="",計分!$AP54=""),"",計分!$AP54-計分!M54)</f>
        <v/>
      </c>
      <c r="N54">
        <f>IF(OR(計分!N54="",計分!$AP54=""),"",計分!$AP54-計分!N54)</f>
        <v/>
      </c>
      <c r="O54">
        <f>IF(OR(計分!O54="",計分!$AP54=""),"",計分!$AP54-計分!O54)</f>
        <v/>
      </c>
      <c r="P54">
        <f>IF(OR(計分!P54="",計分!$AP54=""),"",計分!$AP54-計分!P54)</f>
        <v/>
      </c>
      <c r="Q54">
        <f>IF(OR(計分!Q54="",計分!$AP54=""),"",計分!$AP54-計分!Q54)</f>
        <v/>
      </c>
      <c r="R54">
        <f>IF(OR(計分!R54="",計分!$AP54=""),"",計分!$AP54-計分!R54)</f>
        <v/>
      </c>
      <c r="S54">
        <f>IF(OR(計分!S54="",計分!$AP54=""),"",計分!$AP54-計分!S54)</f>
        <v/>
      </c>
      <c r="T54">
        <f>IF(OR(計分!T54="",計分!$AP54=""),"",計分!$AP54-計分!T54)</f>
        <v/>
      </c>
      <c r="U54">
        <f>IF(OR(計分!U54="",計分!$AP54=""),"",計分!$AP54-計分!U54)</f>
        <v/>
      </c>
      <c r="V54">
        <f>IF(OR(計分!V54="",計分!$AP54=""),"",計分!$AP54-計分!V54)</f>
        <v/>
      </c>
      <c r="W54">
        <f>IF(OR(計分!W54="",計分!$AP54=""),"",計分!$AP54-計分!W54)</f>
        <v/>
      </c>
      <c r="X54">
        <f>IF(OR(計分!X54="",計分!$AP54=""),"",計分!$AP54-計分!X54)</f>
        <v/>
      </c>
      <c r="Y54">
        <f>IF(OR(計分!Y54="",計分!$AP54=""),"",計分!$AP54-計分!Y54)</f>
        <v/>
      </c>
      <c r="Z54">
        <f>IF(OR(計分!Z54="",計分!$AP54=""),"",計分!$AP54-計分!Z54)</f>
        <v/>
      </c>
      <c r="AA54">
        <f>IF(OR(計分!AA54="",計分!$AP54=""),"",計分!$AP54-計分!AA54)</f>
        <v/>
      </c>
      <c r="AB54">
        <f>IF(OR(計分!AB54="",計分!$AP54=""),"",計分!$AP54-計分!AB54)</f>
        <v/>
      </c>
      <c r="AC54">
        <f>IF(OR(計分!AC54="",計分!$AP54=""),"",計分!$AP54-計分!AC54)</f>
        <v/>
      </c>
      <c r="AD54">
        <f>IF(OR(計分!AD54="",計分!$AP54=""),"",計分!$AP54-計分!AD54)</f>
        <v/>
      </c>
      <c r="AE54">
        <f>IF(OR(計分!AE54="",計分!$AP54=""),"",計分!$AP54-計分!AE54)</f>
        <v/>
      </c>
      <c r="AF54">
        <f>IF(OR(計分!AF54="",計分!$AP54=""),"",計分!$AP54-計分!AF54)</f>
        <v/>
      </c>
      <c r="AG54">
        <f>IF(OR(計分!AG54="",計分!$AP54=""),"",計分!$AP54-計分!AG54)</f>
        <v/>
      </c>
      <c r="AH54">
        <f>IF(OR(計分!AH54="",計分!$AP54=""),"",計分!$AP54-計分!AH54)</f>
        <v/>
      </c>
      <c r="AI54">
        <f>IF(OR(計分!AI54="",計分!$AP54=""),"",計分!$AP54-計分!AI54)</f>
        <v/>
      </c>
      <c r="AJ54">
        <f>IF(OR(計分!AJ54="",計分!$AP54=""),"",計分!$AP54-計分!AJ54)</f>
        <v/>
      </c>
      <c r="AK54">
        <f>IF(OR(計分!AK54="",計分!$AP54=""),"",計分!$AP54-計分!AK54)</f>
        <v/>
      </c>
      <c r="AL54">
        <f>IF(OR(計分!AL54="",計分!$AP54=""),"",計分!$AP54-計分!AL54)</f>
        <v/>
      </c>
      <c r="AM54">
        <f>IF(OR(計分!AM54="",計分!$AP54=""),"",計分!$AP54-計分!AM54)</f>
        <v/>
      </c>
      <c r="AN54">
        <f>IF(OR(計分!AN54="",計分!$AP54=""),"",計分!$AP54-計分!AN54)</f>
        <v/>
      </c>
      <c r="AO54">
        <f>IF(OR(計分!AO54="",計分!$AP54=""),"",計分!$AP54-計分!AO54)</f>
        <v/>
      </c>
    </row>
    <row r="55">
      <c r="A55">
        <f>計分!A55</f>
        <v/>
      </c>
      <c r="B55">
        <f>IF(OR(計分!B55="",計分!$AP55=""),"",計分!$AP55-計分!B55)</f>
        <v/>
      </c>
      <c r="C55">
        <f>IF(OR(計分!C55="",計分!$AP55=""),"",計分!$AP55-計分!C55)</f>
        <v/>
      </c>
      <c r="D55">
        <f>IF(OR(計分!D55="",計分!$AP55=""),"",計分!$AP55-計分!D55)</f>
        <v/>
      </c>
      <c r="E55">
        <f>IF(OR(計分!E55="",計分!$AP55=""),"",計分!$AP55-計分!E55)</f>
        <v/>
      </c>
      <c r="F55">
        <f>IF(OR(計分!F55="",計分!$AP55=""),"",計分!$AP55-計分!F55)</f>
        <v/>
      </c>
      <c r="G55">
        <f>IF(OR(計分!G55="",計分!$AP55=""),"",計分!$AP55-計分!G55)</f>
        <v/>
      </c>
      <c r="H55">
        <f>IF(OR(計分!H55="",計分!$AP55=""),"",計分!$AP55-計分!H55)</f>
        <v/>
      </c>
      <c r="I55">
        <f>IF(OR(計分!I55="",計分!$AP55=""),"",計分!$AP55-計分!I55)</f>
        <v/>
      </c>
      <c r="J55">
        <f>IF(OR(計分!J55="",計分!$AP55=""),"",計分!$AP55-計分!J55)</f>
        <v/>
      </c>
      <c r="K55">
        <f>IF(OR(計分!K55="",計分!$AP55=""),"",計分!$AP55-計分!K55)</f>
        <v/>
      </c>
      <c r="L55">
        <f>IF(OR(計分!L55="",計分!$AP55=""),"",計分!$AP55-計分!L55)</f>
        <v/>
      </c>
      <c r="M55">
        <f>IF(OR(計分!M55="",計分!$AP55=""),"",計分!$AP55-計分!M55)</f>
        <v/>
      </c>
      <c r="N55">
        <f>IF(OR(計分!N55="",計分!$AP55=""),"",計分!$AP55-計分!N55)</f>
        <v/>
      </c>
      <c r="O55">
        <f>IF(OR(計分!O55="",計分!$AP55=""),"",計分!$AP55-計分!O55)</f>
        <v/>
      </c>
      <c r="P55">
        <f>IF(OR(計分!P55="",計分!$AP55=""),"",計分!$AP55-計分!P55)</f>
        <v/>
      </c>
      <c r="Q55">
        <f>IF(OR(計分!Q55="",計分!$AP55=""),"",計分!$AP55-計分!Q55)</f>
        <v/>
      </c>
      <c r="R55">
        <f>IF(OR(計分!R55="",計分!$AP55=""),"",計分!$AP55-計分!R55)</f>
        <v/>
      </c>
      <c r="S55">
        <f>IF(OR(計分!S55="",計分!$AP55=""),"",計分!$AP55-計分!S55)</f>
        <v/>
      </c>
      <c r="T55">
        <f>IF(OR(計分!T55="",計分!$AP55=""),"",計分!$AP55-計分!T55)</f>
        <v/>
      </c>
      <c r="U55">
        <f>IF(OR(計分!U55="",計分!$AP55=""),"",計分!$AP55-計分!U55)</f>
        <v/>
      </c>
      <c r="V55">
        <f>IF(OR(計分!V55="",計分!$AP55=""),"",計分!$AP55-計分!V55)</f>
        <v/>
      </c>
      <c r="W55">
        <f>IF(OR(計分!W55="",計分!$AP55=""),"",計分!$AP55-計分!W55)</f>
        <v/>
      </c>
      <c r="X55">
        <f>IF(OR(計分!X55="",計分!$AP55=""),"",計分!$AP55-計分!X55)</f>
        <v/>
      </c>
      <c r="Y55">
        <f>IF(OR(計分!Y55="",計分!$AP55=""),"",計分!$AP55-計分!Y55)</f>
        <v/>
      </c>
      <c r="Z55">
        <f>IF(OR(計分!Z55="",計分!$AP55=""),"",計分!$AP55-計分!Z55)</f>
        <v/>
      </c>
      <c r="AA55">
        <f>IF(OR(計分!AA55="",計分!$AP55=""),"",計分!$AP55-計分!AA55)</f>
        <v/>
      </c>
      <c r="AB55">
        <f>IF(OR(計分!AB55="",計分!$AP55=""),"",計分!$AP55-計分!AB55)</f>
        <v/>
      </c>
      <c r="AC55">
        <f>IF(OR(計分!AC55="",計分!$AP55=""),"",計分!$AP55-計分!AC55)</f>
        <v/>
      </c>
      <c r="AD55">
        <f>IF(OR(計分!AD55="",計分!$AP55=""),"",計分!$AP55-計分!AD55)</f>
        <v/>
      </c>
      <c r="AE55">
        <f>IF(OR(計分!AE55="",計分!$AP55=""),"",計分!$AP55-計分!AE55)</f>
        <v/>
      </c>
      <c r="AF55">
        <f>IF(OR(計分!AF55="",計分!$AP55=""),"",計分!$AP55-計分!AF55)</f>
        <v/>
      </c>
      <c r="AG55">
        <f>IF(OR(計分!AG55="",計分!$AP55=""),"",計分!$AP55-計分!AG55)</f>
        <v/>
      </c>
      <c r="AH55">
        <f>IF(OR(計分!AH55="",計分!$AP55=""),"",計分!$AP55-計分!AH55)</f>
        <v/>
      </c>
      <c r="AI55">
        <f>IF(OR(計分!AI55="",計分!$AP55=""),"",計分!$AP55-計分!AI55)</f>
        <v/>
      </c>
      <c r="AJ55">
        <f>IF(OR(計分!AJ55="",計分!$AP55=""),"",計分!$AP55-計分!AJ55)</f>
        <v/>
      </c>
      <c r="AK55">
        <f>IF(OR(計分!AK55="",計分!$AP55=""),"",計分!$AP55-計分!AK55)</f>
        <v/>
      </c>
      <c r="AL55">
        <f>IF(OR(計分!AL55="",計分!$AP55=""),"",計分!$AP55-計分!AL55)</f>
        <v/>
      </c>
      <c r="AM55">
        <f>IF(OR(計分!AM55="",計分!$AP55=""),"",計分!$AP55-計分!AM55)</f>
        <v/>
      </c>
      <c r="AN55">
        <f>IF(OR(計分!AN55="",計分!$AP55=""),"",計分!$AP55-計分!AN55)</f>
        <v/>
      </c>
      <c r="AO55">
        <f>IF(OR(計分!AO55="",計分!$AP55=""),"",計分!$AP55-計分!AO55)</f>
        <v/>
      </c>
    </row>
    <row r="56">
      <c r="A56">
        <f>計分!A56</f>
        <v/>
      </c>
      <c r="B56">
        <f>IF(OR(計分!B56="",計分!$AP56=""),"",計分!$AP56-計分!B56)</f>
        <v/>
      </c>
      <c r="C56">
        <f>IF(OR(計分!C56="",計分!$AP56=""),"",計分!$AP56-計分!C56)</f>
        <v/>
      </c>
      <c r="D56">
        <f>IF(OR(計分!D56="",計分!$AP56=""),"",計分!$AP56-計分!D56)</f>
        <v/>
      </c>
      <c r="E56">
        <f>IF(OR(計分!E56="",計分!$AP56=""),"",計分!$AP56-計分!E56)</f>
        <v/>
      </c>
      <c r="F56">
        <f>IF(OR(計分!F56="",計分!$AP56=""),"",計分!$AP56-計分!F56)</f>
        <v/>
      </c>
      <c r="G56">
        <f>IF(OR(計分!G56="",計分!$AP56=""),"",計分!$AP56-計分!G56)</f>
        <v/>
      </c>
      <c r="H56">
        <f>IF(OR(計分!H56="",計分!$AP56=""),"",計分!$AP56-計分!H56)</f>
        <v/>
      </c>
      <c r="I56">
        <f>IF(OR(計分!I56="",計分!$AP56=""),"",計分!$AP56-計分!I56)</f>
        <v/>
      </c>
      <c r="J56">
        <f>IF(OR(計分!J56="",計分!$AP56=""),"",計分!$AP56-計分!J56)</f>
        <v/>
      </c>
      <c r="K56">
        <f>IF(OR(計分!K56="",計分!$AP56=""),"",計分!$AP56-計分!K56)</f>
        <v/>
      </c>
      <c r="L56">
        <f>IF(OR(計分!L56="",計分!$AP56=""),"",計分!$AP56-計分!L56)</f>
        <v/>
      </c>
      <c r="M56">
        <f>IF(OR(計分!M56="",計分!$AP56=""),"",計分!$AP56-計分!M56)</f>
        <v/>
      </c>
      <c r="N56">
        <f>IF(OR(計分!N56="",計分!$AP56=""),"",計分!$AP56-計分!N56)</f>
        <v/>
      </c>
      <c r="O56">
        <f>IF(OR(計分!O56="",計分!$AP56=""),"",計分!$AP56-計分!O56)</f>
        <v/>
      </c>
      <c r="P56">
        <f>IF(OR(計分!P56="",計分!$AP56=""),"",計分!$AP56-計分!P56)</f>
        <v/>
      </c>
      <c r="Q56">
        <f>IF(OR(計分!Q56="",計分!$AP56=""),"",計分!$AP56-計分!Q56)</f>
        <v/>
      </c>
      <c r="R56">
        <f>IF(OR(計分!R56="",計分!$AP56=""),"",計分!$AP56-計分!R56)</f>
        <v/>
      </c>
      <c r="S56">
        <f>IF(OR(計分!S56="",計分!$AP56=""),"",計分!$AP56-計分!S56)</f>
        <v/>
      </c>
      <c r="T56">
        <f>IF(OR(計分!T56="",計分!$AP56=""),"",計分!$AP56-計分!T56)</f>
        <v/>
      </c>
      <c r="U56">
        <f>IF(OR(計分!U56="",計分!$AP56=""),"",計分!$AP56-計分!U56)</f>
        <v/>
      </c>
      <c r="V56">
        <f>IF(OR(計分!V56="",計分!$AP56=""),"",計分!$AP56-計分!V56)</f>
        <v/>
      </c>
      <c r="W56">
        <f>IF(OR(計分!W56="",計分!$AP56=""),"",計分!$AP56-計分!W56)</f>
        <v/>
      </c>
      <c r="X56">
        <f>IF(OR(計分!X56="",計分!$AP56=""),"",計分!$AP56-計分!X56)</f>
        <v/>
      </c>
      <c r="Y56">
        <f>IF(OR(計分!Y56="",計分!$AP56=""),"",計分!$AP56-計分!Y56)</f>
        <v/>
      </c>
      <c r="Z56">
        <f>IF(OR(計分!Z56="",計分!$AP56=""),"",計分!$AP56-計分!Z56)</f>
        <v/>
      </c>
      <c r="AA56">
        <f>IF(OR(計分!AA56="",計分!$AP56=""),"",計分!$AP56-計分!AA56)</f>
        <v/>
      </c>
      <c r="AB56">
        <f>IF(OR(計分!AB56="",計分!$AP56=""),"",計分!$AP56-計分!AB56)</f>
        <v/>
      </c>
      <c r="AC56">
        <f>IF(OR(計分!AC56="",計分!$AP56=""),"",計分!$AP56-計分!AC56)</f>
        <v/>
      </c>
      <c r="AD56">
        <f>IF(OR(計分!AD56="",計分!$AP56=""),"",計分!$AP56-計分!AD56)</f>
        <v/>
      </c>
      <c r="AE56">
        <f>IF(OR(計分!AE56="",計分!$AP56=""),"",計分!$AP56-計分!AE56)</f>
        <v/>
      </c>
      <c r="AF56">
        <f>IF(OR(計分!AF56="",計分!$AP56=""),"",計分!$AP56-計分!AF56)</f>
        <v/>
      </c>
      <c r="AG56">
        <f>IF(OR(計分!AG56="",計分!$AP56=""),"",計分!$AP56-計分!AG56)</f>
        <v/>
      </c>
      <c r="AH56">
        <f>IF(OR(計分!AH56="",計分!$AP56=""),"",計分!$AP56-計分!AH56)</f>
        <v/>
      </c>
      <c r="AI56">
        <f>IF(OR(計分!AI56="",計分!$AP56=""),"",計分!$AP56-計分!AI56)</f>
        <v/>
      </c>
      <c r="AJ56">
        <f>IF(OR(計分!AJ56="",計分!$AP56=""),"",計分!$AP56-計分!AJ56)</f>
        <v/>
      </c>
      <c r="AK56">
        <f>IF(OR(計分!AK56="",計分!$AP56=""),"",計分!$AP56-計分!AK56)</f>
        <v/>
      </c>
      <c r="AL56">
        <f>IF(OR(計分!AL56="",計分!$AP56=""),"",計分!$AP56-計分!AL56)</f>
        <v/>
      </c>
      <c r="AM56">
        <f>IF(OR(計分!AM56="",計分!$AP56=""),"",計分!$AP56-計分!AM56)</f>
        <v/>
      </c>
      <c r="AN56">
        <f>IF(OR(計分!AN56="",計分!$AP56=""),"",計分!$AP56-計分!AN56)</f>
        <v/>
      </c>
      <c r="AO56">
        <f>IF(OR(計分!AO56="",計分!$AP56=""),"",計分!$AP56-計分!AO56)</f>
        <v/>
      </c>
    </row>
    <row r="57">
      <c r="A57">
        <f>計分!A57</f>
        <v/>
      </c>
      <c r="B57">
        <f>IF(OR(計分!B57="",計分!$AP57=""),"",計分!$AP57-計分!B57)</f>
        <v/>
      </c>
      <c r="C57">
        <f>IF(OR(計分!C57="",計分!$AP57=""),"",計分!$AP57-計分!C57)</f>
        <v/>
      </c>
      <c r="D57">
        <f>IF(OR(計分!D57="",計分!$AP57=""),"",計分!$AP57-計分!D57)</f>
        <v/>
      </c>
      <c r="E57">
        <f>IF(OR(計分!E57="",計分!$AP57=""),"",計分!$AP57-計分!E57)</f>
        <v/>
      </c>
      <c r="F57">
        <f>IF(OR(計分!F57="",計分!$AP57=""),"",計分!$AP57-計分!F57)</f>
        <v/>
      </c>
      <c r="G57">
        <f>IF(OR(計分!G57="",計分!$AP57=""),"",計分!$AP57-計分!G57)</f>
        <v/>
      </c>
      <c r="H57">
        <f>IF(OR(計分!H57="",計分!$AP57=""),"",計分!$AP57-計分!H57)</f>
        <v/>
      </c>
      <c r="I57">
        <f>IF(OR(計分!I57="",計分!$AP57=""),"",計分!$AP57-計分!I57)</f>
        <v/>
      </c>
      <c r="J57">
        <f>IF(OR(計分!J57="",計分!$AP57=""),"",計分!$AP57-計分!J57)</f>
        <v/>
      </c>
      <c r="K57">
        <f>IF(OR(計分!K57="",計分!$AP57=""),"",計分!$AP57-計分!K57)</f>
        <v/>
      </c>
      <c r="L57">
        <f>IF(OR(計分!L57="",計分!$AP57=""),"",計分!$AP57-計分!L57)</f>
        <v/>
      </c>
      <c r="M57">
        <f>IF(OR(計分!M57="",計分!$AP57=""),"",計分!$AP57-計分!M57)</f>
        <v/>
      </c>
      <c r="N57">
        <f>IF(OR(計分!N57="",計分!$AP57=""),"",計分!$AP57-計分!N57)</f>
        <v/>
      </c>
      <c r="O57">
        <f>IF(OR(計分!O57="",計分!$AP57=""),"",計分!$AP57-計分!O57)</f>
        <v/>
      </c>
      <c r="P57">
        <f>IF(OR(計分!P57="",計分!$AP57=""),"",計分!$AP57-計分!P57)</f>
        <v/>
      </c>
      <c r="Q57">
        <f>IF(OR(計分!Q57="",計分!$AP57=""),"",計分!$AP57-計分!Q57)</f>
        <v/>
      </c>
      <c r="R57">
        <f>IF(OR(計分!R57="",計分!$AP57=""),"",計分!$AP57-計分!R57)</f>
        <v/>
      </c>
      <c r="S57">
        <f>IF(OR(計分!S57="",計分!$AP57=""),"",計分!$AP57-計分!S57)</f>
        <v/>
      </c>
      <c r="T57">
        <f>IF(OR(計分!T57="",計分!$AP57=""),"",計分!$AP57-計分!T57)</f>
        <v/>
      </c>
      <c r="U57">
        <f>IF(OR(計分!U57="",計分!$AP57=""),"",計分!$AP57-計分!U57)</f>
        <v/>
      </c>
      <c r="V57">
        <f>IF(OR(計分!V57="",計分!$AP57=""),"",計分!$AP57-計分!V57)</f>
        <v/>
      </c>
      <c r="W57">
        <f>IF(OR(計分!W57="",計分!$AP57=""),"",計分!$AP57-計分!W57)</f>
        <v/>
      </c>
      <c r="X57">
        <f>IF(OR(計分!X57="",計分!$AP57=""),"",計分!$AP57-計分!X57)</f>
        <v/>
      </c>
      <c r="Y57">
        <f>IF(OR(計分!Y57="",計分!$AP57=""),"",計分!$AP57-計分!Y57)</f>
        <v/>
      </c>
      <c r="Z57">
        <f>IF(OR(計分!Z57="",計分!$AP57=""),"",計分!$AP57-計分!Z57)</f>
        <v/>
      </c>
      <c r="AA57">
        <f>IF(OR(計分!AA57="",計分!$AP57=""),"",計分!$AP57-計分!AA57)</f>
        <v/>
      </c>
      <c r="AB57">
        <f>IF(OR(計分!AB57="",計分!$AP57=""),"",計分!$AP57-計分!AB57)</f>
        <v/>
      </c>
      <c r="AC57">
        <f>IF(OR(計分!AC57="",計分!$AP57=""),"",計分!$AP57-計分!AC57)</f>
        <v/>
      </c>
      <c r="AD57">
        <f>IF(OR(計分!AD57="",計分!$AP57=""),"",計分!$AP57-計分!AD57)</f>
        <v/>
      </c>
      <c r="AE57">
        <f>IF(OR(計分!AE57="",計分!$AP57=""),"",計分!$AP57-計分!AE57)</f>
        <v/>
      </c>
      <c r="AF57">
        <f>IF(OR(計分!AF57="",計分!$AP57=""),"",計分!$AP57-計分!AF57)</f>
        <v/>
      </c>
      <c r="AG57">
        <f>IF(OR(計分!AG57="",計分!$AP57=""),"",計分!$AP57-計分!AG57)</f>
        <v/>
      </c>
      <c r="AH57">
        <f>IF(OR(計分!AH57="",計分!$AP57=""),"",計分!$AP57-計分!AH57)</f>
        <v/>
      </c>
      <c r="AI57">
        <f>IF(OR(計分!AI57="",計分!$AP57=""),"",計分!$AP57-計分!AI57)</f>
        <v/>
      </c>
      <c r="AJ57">
        <f>IF(OR(計分!AJ57="",計分!$AP57=""),"",計分!$AP57-計分!AJ57)</f>
        <v/>
      </c>
      <c r="AK57">
        <f>IF(OR(計分!AK57="",計分!$AP57=""),"",計分!$AP57-計分!AK57)</f>
        <v/>
      </c>
      <c r="AL57">
        <f>IF(OR(計分!AL57="",計分!$AP57=""),"",計分!$AP57-計分!AL57)</f>
        <v/>
      </c>
      <c r="AM57">
        <f>IF(OR(計分!AM57="",計分!$AP57=""),"",計分!$AP57-計分!AM57)</f>
        <v/>
      </c>
      <c r="AN57">
        <f>IF(OR(計分!AN57="",計分!$AP57=""),"",計分!$AP57-計分!AN57)</f>
        <v/>
      </c>
      <c r="AO57">
        <f>IF(OR(計分!AO57="",計分!$AP57=""),"",計分!$AP57-計分!AO57)</f>
        <v/>
      </c>
    </row>
    <row r="58">
      <c r="A58">
        <f>計分!A58</f>
        <v/>
      </c>
      <c r="B58">
        <f>IF(OR(計分!B58="",計分!$AP58=""),"",計分!$AP58-計分!B58)</f>
        <v/>
      </c>
      <c r="C58">
        <f>IF(OR(計分!C58="",計分!$AP58=""),"",計分!$AP58-計分!C58)</f>
        <v/>
      </c>
      <c r="D58">
        <f>IF(OR(計分!D58="",計分!$AP58=""),"",計分!$AP58-計分!D58)</f>
        <v/>
      </c>
      <c r="E58">
        <f>IF(OR(計分!E58="",計分!$AP58=""),"",計分!$AP58-計分!E58)</f>
        <v/>
      </c>
      <c r="F58">
        <f>IF(OR(計分!F58="",計分!$AP58=""),"",計分!$AP58-計分!F58)</f>
        <v/>
      </c>
      <c r="G58">
        <f>IF(OR(計分!G58="",計分!$AP58=""),"",計分!$AP58-計分!G58)</f>
        <v/>
      </c>
      <c r="H58">
        <f>IF(OR(計分!H58="",計分!$AP58=""),"",計分!$AP58-計分!H58)</f>
        <v/>
      </c>
      <c r="I58">
        <f>IF(OR(計分!I58="",計分!$AP58=""),"",計分!$AP58-計分!I58)</f>
        <v/>
      </c>
      <c r="J58">
        <f>IF(OR(計分!J58="",計分!$AP58=""),"",計分!$AP58-計分!J58)</f>
        <v/>
      </c>
      <c r="K58">
        <f>IF(OR(計分!K58="",計分!$AP58=""),"",計分!$AP58-計分!K58)</f>
        <v/>
      </c>
      <c r="L58">
        <f>IF(OR(計分!L58="",計分!$AP58=""),"",計分!$AP58-計分!L58)</f>
        <v/>
      </c>
      <c r="M58">
        <f>IF(OR(計分!M58="",計分!$AP58=""),"",計分!$AP58-計分!M58)</f>
        <v/>
      </c>
      <c r="N58">
        <f>IF(OR(計分!N58="",計分!$AP58=""),"",計分!$AP58-計分!N58)</f>
        <v/>
      </c>
      <c r="O58">
        <f>IF(OR(計分!O58="",計分!$AP58=""),"",計分!$AP58-計分!O58)</f>
        <v/>
      </c>
      <c r="P58">
        <f>IF(OR(計分!P58="",計分!$AP58=""),"",計分!$AP58-計分!P58)</f>
        <v/>
      </c>
      <c r="Q58">
        <f>IF(OR(計分!Q58="",計分!$AP58=""),"",計分!$AP58-計分!Q58)</f>
        <v/>
      </c>
      <c r="R58">
        <f>IF(OR(計分!R58="",計分!$AP58=""),"",計分!$AP58-計分!R58)</f>
        <v/>
      </c>
      <c r="S58">
        <f>IF(OR(計分!S58="",計分!$AP58=""),"",計分!$AP58-計分!S58)</f>
        <v/>
      </c>
      <c r="T58">
        <f>IF(OR(計分!T58="",計分!$AP58=""),"",計分!$AP58-計分!T58)</f>
        <v/>
      </c>
      <c r="U58">
        <f>IF(OR(計分!U58="",計分!$AP58=""),"",計分!$AP58-計分!U58)</f>
        <v/>
      </c>
      <c r="V58">
        <f>IF(OR(計分!V58="",計分!$AP58=""),"",計分!$AP58-計分!V58)</f>
        <v/>
      </c>
      <c r="W58">
        <f>IF(OR(計分!W58="",計分!$AP58=""),"",計分!$AP58-計分!W58)</f>
        <v/>
      </c>
      <c r="X58">
        <f>IF(OR(計分!X58="",計分!$AP58=""),"",計分!$AP58-計分!X58)</f>
        <v/>
      </c>
      <c r="Y58">
        <f>IF(OR(計分!Y58="",計分!$AP58=""),"",計分!$AP58-計分!Y58)</f>
        <v/>
      </c>
      <c r="Z58">
        <f>IF(OR(計分!Z58="",計分!$AP58=""),"",計分!$AP58-計分!Z58)</f>
        <v/>
      </c>
      <c r="AA58">
        <f>IF(OR(計分!AA58="",計分!$AP58=""),"",計分!$AP58-計分!AA58)</f>
        <v/>
      </c>
      <c r="AB58">
        <f>IF(OR(計分!AB58="",計分!$AP58=""),"",計分!$AP58-計分!AB58)</f>
        <v/>
      </c>
      <c r="AC58">
        <f>IF(OR(計分!AC58="",計分!$AP58=""),"",計分!$AP58-計分!AC58)</f>
        <v/>
      </c>
      <c r="AD58">
        <f>IF(OR(計分!AD58="",計分!$AP58=""),"",計分!$AP58-計分!AD58)</f>
        <v/>
      </c>
      <c r="AE58">
        <f>IF(OR(計分!AE58="",計分!$AP58=""),"",計分!$AP58-計分!AE58)</f>
        <v/>
      </c>
      <c r="AF58">
        <f>IF(OR(計分!AF58="",計分!$AP58=""),"",計分!$AP58-計分!AF58)</f>
        <v/>
      </c>
      <c r="AG58">
        <f>IF(OR(計分!AG58="",計分!$AP58=""),"",計分!$AP58-計分!AG58)</f>
        <v/>
      </c>
      <c r="AH58">
        <f>IF(OR(計分!AH58="",計分!$AP58=""),"",計分!$AP58-計分!AH58)</f>
        <v/>
      </c>
      <c r="AI58">
        <f>IF(OR(計分!AI58="",計分!$AP58=""),"",計分!$AP58-計分!AI58)</f>
        <v/>
      </c>
      <c r="AJ58">
        <f>IF(OR(計分!AJ58="",計分!$AP58=""),"",計分!$AP58-計分!AJ58)</f>
        <v/>
      </c>
      <c r="AK58">
        <f>IF(OR(計分!AK58="",計分!$AP58=""),"",計分!$AP58-計分!AK58)</f>
        <v/>
      </c>
      <c r="AL58">
        <f>IF(OR(計分!AL58="",計分!$AP58=""),"",計分!$AP58-計分!AL58)</f>
        <v/>
      </c>
      <c r="AM58">
        <f>IF(OR(計分!AM58="",計分!$AP58=""),"",計分!$AP58-計分!AM58)</f>
        <v/>
      </c>
      <c r="AN58">
        <f>IF(OR(計分!AN58="",計分!$AP58=""),"",計分!$AP58-計分!AN58)</f>
        <v/>
      </c>
      <c r="AO58">
        <f>IF(OR(計分!AO58="",計分!$AP58=""),"",計分!$AP58-計分!AO58)</f>
        <v/>
      </c>
    </row>
    <row r="59">
      <c r="A59">
        <f>計分!A59</f>
        <v/>
      </c>
      <c r="B59">
        <f>IF(OR(計分!B59="",計分!$AP59=""),"",計分!$AP59-計分!B59)</f>
        <v/>
      </c>
      <c r="C59">
        <f>IF(OR(計分!C59="",計分!$AP59=""),"",計分!$AP59-計分!C59)</f>
        <v/>
      </c>
      <c r="D59">
        <f>IF(OR(計分!D59="",計分!$AP59=""),"",計分!$AP59-計分!D59)</f>
        <v/>
      </c>
      <c r="E59">
        <f>IF(OR(計分!E59="",計分!$AP59=""),"",計分!$AP59-計分!E59)</f>
        <v/>
      </c>
      <c r="F59">
        <f>IF(OR(計分!F59="",計分!$AP59=""),"",計分!$AP59-計分!F59)</f>
        <v/>
      </c>
      <c r="G59">
        <f>IF(OR(計分!G59="",計分!$AP59=""),"",計分!$AP59-計分!G59)</f>
        <v/>
      </c>
      <c r="H59">
        <f>IF(OR(計分!H59="",計分!$AP59=""),"",計分!$AP59-計分!H59)</f>
        <v/>
      </c>
      <c r="I59">
        <f>IF(OR(計分!I59="",計分!$AP59=""),"",計分!$AP59-計分!I59)</f>
        <v/>
      </c>
      <c r="J59">
        <f>IF(OR(計分!J59="",計分!$AP59=""),"",計分!$AP59-計分!J59)</f>
        <v/>
      </c>
      <c r="K59">
        <f>IF(OR(計分!K59="",計分!$AP59=""),"",計分!$AP59-計分!K59)</f>
        <v/>
      </c>
      <c r="L59">
        <f>IF(OR(計分!L59="",計分!$AP59=""),"",計分!$AP59-計分!L59)</f>
        <v/>
      </c>
      <c r="M59">
        <f>IF(OR(計分!M59="",計分!$AP59=""),"",計分!$AP59-計分!M59)</f>
        <v/>
      </c>
      <c r="N59">
        <f>IF(OR(計分!N59="",計分!$AP59=""),"",計分!$AP59-計分!N59)</f>
        <v/>
      </c>
      <c r="O59">
        <f>IF(OR(計分!O59="",計分!$AP59=""),"",計分!$AP59-計分!O59)</f>
        <v/>
      </c>
      <c r="P59">
        <f>IF(OR(計分!P59="",計分!$AP59=""),"",計分!$AP59-計分!P59)</f>
        <v/>
      </c>
      <c r="Q59">
        <f>IF(OR(計分!Q59="",計分!$AP59=""),"",計分!$AP59-計分!Q59)</f>
        <v/>
      </c>
      <c r="R59">
        <f>IF(OR(計分!R59="",計分!$AP59=""),"",計分!$AP59-計分!R59)</f>
        <v/>
      </c>
      <c r="S59">
        <f>IF(OR(計分!S59="",計分!$AP59=""),"",計分!$AP59-計分!S59)</f>
        <v/>
      </c>
      <c r="T59">
        <f>IF(OR(計分!T59="",計分!$AP59=""),"",計分!$AP59-計分!T59)</f>
        <v/>
      </c>
      <c r="U59">
        <f>IF(OR(計分!U59="",計分!$AP59=""),"",計分!$AP59-計分!U59)</f>
        <v/>
      </c>
      <c r="V59">
        <f>IF(OR(計分!V59="",計分!$AP59=""),"",計分!$AP59-計分!V59)</f>
        <v/>
      </c>
      <c r="W59">
        <f>IF(OR(計分!W59="",計分!$AP59=""),"",計分!$AP59-計分!W59)</f>
        <v/>
      </c>
      <c r="X59">
        <f>IF(OR(計分!X59="",計分!$AP59=""),"",計分!$AP59-計分!X59)</f>
        <v/>
      </c>
      <c r="Y59">
        <f>IF(OR(計分!Y59="",計分!$AP59=""),"",計分!$AP59-計分!Y59)</f>
        <v/>
      </c>
      <c r="Z59">
        <f>IF(OR(計分!Z59="",計分!$AP59=""),"",計分!$AP59-計分!Z59)</f>
        <v/>
      </c>
      <c r="AA59">
        <f>IF(OR(計分!AA59="",計分!$AP59=""),"",計分!$AP59-計分!AA59)</f>
        <v/>
      </c>
      <c r="AB59">
        <f>IF(OR(計分!AB59="",計分!$AP59=""),"",計分!$AP59-計分!AB59)</f>
        <v/>
      </c>
      <c r="AC59">
        <f>IF(OR(計分!AC59="",計分!$AP59=""),"",計分!$AP59-計分!AC59)</f>
        <v/>
      </c>
      <c r="AD59">
        <f>IF(OR(計分!AD59="",計分!$AP59=""),"",計分!$AP59-計分!AD59)</f>
        <v/>
      </c>
      <c r="AE59">
        <f>IF(OR(計分!AE59="",計分!$AP59=""),"",計分!$AP59-計分!AE59)</f>
        <v/>
      </c>
      <c r="AF59">
        <f>IF(OR(計分!AF59="",計分!$AP59=""),"",計分!$AP59-計分!AF59)</f>
        <v/>
      </c>
      <c r="AG59">
        <f>IF(OR(計分!AG59="",計分!$AP59=""),"",計分!$AP59-計分!AG59)</f>
        <v/>
      </c>
      <c r="AH59">
        <f>IF(OR(計分!AH59="",計分!$AP59=""),"",計分!$AP59-計分!AH59)</f>
        <v/>
      </c>
      <c r="AI59">
        <f>IF(OR(計分!AI59="",計分!$AP59=""),"",計分!$AP59-計分!AI59)</f>
        <v/>
      </c>
      <c r="AJ59">
        <f>IF(OR(計分!AJ59="",計分!$AP59=""),"",計分!$AP59-計分!AJ59)</f>
        <v/>
      </c>
      <c r="AK59">
        <f>IF(OR(計分!AK59="",計分!$AP59=""),"",計分!$AP59-計分!AK59)</f>
        <v/>
      </c>
      <c r="AL59">
        <f>IF(OR(計分!AL59="",計分!$AP59=""),"",計分!$AP59-計分!AL59)</f>
        <v/>
      </c>
      <c r="AM59">
        <f>IF(OR(計分!AM59="",計分!$AP59=""),"",計分!$AP59-計分!AM59)</f>
        <v/>
      </c>
      <c r="AN59">
        <f>IF(OR(計分!AN59="",計分!$AP59=""),"",計分!$AP59-計分!AN59)</f>
        <v/>
      </c>
      <c r="AO59">
        <f>IF(OR(計分!AO59="",計分!$AP59=""),"",計分!$AP59-計分!AO59)</f>
        <v/>
      </c>
    </row>
    <row r="60">
      <c r="A60">
        <f>計分!A60</f>
        <v/>
      </c>
      <c r="B60">
        <f>IF(OR(計分!B60="",計分!$AP60=""),"",計分!$AP60-計分!B60)</f>
        <v/>
      </c>
      <c r="C60">
        <f>IF(OR(計分!C60="",計分!$AP60=""),"",計分!$AP60-計分!C60)</f>
        <v/>
      </c>
      <c r="D60">
        <f>IF(OR(計分!D60="",計分!$AP60=""),"",計分!$AP60-計分!D60)</f>
        <v/>
      </c>
      <c r="E60">
        <f>IF(OR(計分!E60="",計分!$AP60=""),"",計分!$AP60-計分!E60)</f>
        <v/>
      </c>
      <c r="F60">
        <f>IF(OR(計分!F60="",計分!$AP60=""),"",計分!$AP60-計分!F60)</f>
        <v/>
      </c>
      <c r="G60">
        <f>IF(OR(計分!G60="",計分!$AP60=""),"",計分!$AP60-計分!G60)</f>
        <v/>
      </c>
      <c r="H60">
        <f>IF(OR(計分!H60="",計分!$AP60=""),"",計分!$AP60-計分!H60)</f>
        <v/>
      </c>
      <c r="I60">
        <f>IF(OR(計分!I60="",計分!$AP60=""),"",計分!$AP60-計分!I60)</f>
        <v/>
      </c>
      <c r="J60">
        <f>IF(OR(計分!J60="",計分!$AP60=""),"",計分!$AP60-計分!J60)</f>
        <v/>
      </c>
      <c r="K60">
        <f>IF(OR(計分!K60="",計分!$AP60=""),"",計分!$AP60-計分!K60)</f>
        <v/>
      </c>
      <c r="L60">
        <f>IF(OR(計分!L60="",計分!$AP60=""),"",計分!$AP60-計分!L60)</f>
        <v/>
      </c>
      <c r="M60">
        <f>IF(OR(計分!M60="",計分!$AP60=""),"",計分!$AP60-計分!M60)</f>
        <v/>
      </c>
      <c r="N60">
        <f>IF(OR(計分!N60="",計分!$AP60=""),"",計分!$AP60-計分!N60)</f>
        <v/>
      </c>
      <c r="O60">
        <f>IF(OR(計分!O60="",計分!$AP60=""),"",計分!$AP60-計分!O60)</f>
        <v/>
      </c>
      <c r="P60">
        <f>IF(OR(計分!P60="",計分!$AP60=""),"",計分!$AP60-計分!P60)</f>
        <v/>
      </c>
      <c r="Q60">
        <f>IF(OR(計分!Q60="",計分!$AP60=""),"",計分!$AP60-計分!Q60)</f>
        <v/>
      </c>
      <c r="R60">
        <f>IF(OR(計分!R60="",計分!$AP60=""),"",計分!$AP60-計分!R60)</f>
        <v/>
      </c>
      <c r="S60">
        <f>IF(OR(計分!S60="",計分!$AP60=""),"",計分!$AP60-計分!S60)</f>
        <v/>
      </c>
      <c r="T60">
        <f>IF(OR(計分!T60="",計分!$AP60=""),"",計分!$AP60-計分!T60)</f>
        <v/>
      </c>
      <c r="U60">
        <f>IF(OR(計分!U60="",計分!$AP60=""),"",計分!$AP60-計分!U60)</f>
        <v/>
      </c>
      <c r="V60">
        <f>IF(OR(計分!V60="",計分!$AP60=""),"",計分!$AP60-計分!V60)</f>
        <v/>
      </c>
      <c r="W60">
        <f>IF(OR(計分!W60="",計分!$AP60=""),"",計分!$AP60-計分!W60)</f>
        <v/>
      </c>
      <c r="X60">
        <f>IF(OR(計分!X60="",計分!$AP60=""),"",計分!$AP60-計分!X60)</f>
        <v/>
      </c>
      <c r="Y60">
        <f>IF(OR(計分!Y60="",計分!$AP60=""),"",計分!$AP60-計分!Y60)</f>
        <v/>
      </c>
      <c r="Z60">
        <f>IF(OR(計分!Z60="",計分!$AP60=""),"",計分!$AP60-計分!Z60)</f>
        <v/>
      </c>
      <c r="AA60">
        <f>IF(OR(計分!AA60="",計分!$AP60=""),"",計分!$AP60-計分!AA60)</f>
        <v/>
      </c>
      <c r="AB60">
        <f>IF(OR(計分!AB60="",計分!$AP60=""),"",計分!$AP60-計分!AB60)</f>
        <v/>
      </c>
      <c r="AC60">
        <f>IF(OR(計分!AC60="",計分!$AP60=""),"",計分!$AP60-計分!AC60)</f>
        <v/>
      </c>
      <c r="AD60">
        <f>IF(OR(計分!AD60="",計分!$AP60=""),"",計分!$AP60-計分!AD60)</f>
        <v/>
      </c>
      <c r="AE60">
        <f>IF(OR(計分!AE60="",計分!$AP60=""),"",計分!$AP60-計分!AE60)</f>
        <v/>
      </c>
      <c r="AF60">
        <f>IF(OR(計分!AF60="",計分!$AP60=""),"",計分!$AP60-計分!AF60)</f>
        <v/>
      </c>
      <c r="AG60">
        <f>IF(OR(計分!AG60="",計分!$AP60=""),"",計分!$AP60-計分!AG60)</f>
        <v/>
      </c>
      <c r="AH60">
        <f>IF(OR(計分!AH60="",計分!$AP60=""),"",計分!$AP60-計分!AH60)</f>
        <v/>
      </c>
      <c r="AI60">
        <f>IF(OR(計分!AI60="",計分!$AP60=""),"",計分!$AP60-計分!AI60)</f>
        <v/>
      </c>
      <c r="AJ60">
        <f>IF(OR(計分!AJ60="",計分!$AP60=""),"",計分!$AP60-計分!AJ60)</f>
        <v/>
      </c>
      <c r="AK60">
        <f>IF(OR(計分!AK60="",計分!$AP60=""),"",計分!$AP60-計分!AK60)</f>
        <v/>
      </c>
      <c r="AL60">
        <f>IF(OR(計分!AL60="",計分!$AP60=""),"",計分!$AP60-計分!AL60)</f>
        <v/>
      </c>
      <c r="AM60">
        <f>IF(OR(計分!AM60="",計分!$AP60=""),"",計分!$AP60-計分!AM60)</f>
        <v/>
      </c>
      <c r="AN60">
        <f>IF(OR(計分!AN60="",計分!$AP60=""),"",計分!$AP60-計分!AN60)</f>
        <v/>
      </c>
      <c r="AO60">
        <f>IF(OR(計分!AO60="",計分!$AP60=""),"",計分!$AP60-計分!AO60)</f>
        <v/>
      </c>
    </row>
    <row r="61">
      <c r="A61">
        <f>計分!A61</f>
        <v/>
      </c>
      <c r="B61">
        <f>IF(OR(計分!B61="",計分!$AP61=""),"",計分!$AP61-計分!B61)</f>
        <v/>
      </c>
      <c r="C61">
        <f>IF(OR(計分!C61="",計分!$AP61=""),"",計分!$AP61-計分!C61)</f>
        <v/>
      </c>
      <c r="D61">
        <f>IF(OR(計分!D61="",計分!$AP61=""),"",計分!$AP61-計分!D61)</f>
        <v/>
      </c>
      <c r="E61">
        <f>IF(OR(計分!E61="",計分!$AP61=""),"",計分!$AP61-計分!E61)</f>
        <v/>
      </c>
      <c r="F61">
        <f>IF(OR(計分!F61="",計分!$AP61=""),"",計分!$AP61-計分!F61)</f>
        <v/>
      </c>
      <c r="G61">
        <f>IF(OR(計分!G61="",計分!$AP61=""),"",計分!$AP61-計分!G61)</f>
        <v/>
      </c>
      <c r="H61">
        <f>IF(OR(計分!H61="",計分!$AP61=""),"",計分!$AP61-計分!H61)</f>
        <v/>
      </c>
      <c r="I61">
        <f>IF(OR(計分!I61="",計分!$AP61=""),"",計分!$AP61-計分!I61)</f>
        <v/>
      </c>
      <c r="J61">
        <f>IF(OR(計分!J61="",計分!$AP61=""),"",計分!$AP61-計分!J61)</f>
        <v/>
      </c>
      <c r="K61">
        <f>IF(OR(計分!K61="",計分!$AP61=""),"",計分!$AP61-計分!K61)</f>
        <v/>
      </c>
      <c r="L61">
        <f>IF(OR(計分!L61="",計分!$AP61=""),"",計分!$AP61-計分!L61)</f>
        <v/>
      </c>
      <c r="M61">
        <f>IF(OR(計分!M61="",計分!$AP61=""),"",計分!$AP61-計分!M61)</f>
        <v/>
      </c>
      <c r="N61">
        <f>IF(OR(計分!N61="",計分!$AP61=""),"",計分!$AP61-計分!N61)</f>
        <v/>
      </c>
      <c r="O61">
        <f>IF(OR(計分!O61="",計分!$AP61=""),"",計分!$AP61-計分!O61)</f>
        <v/>
      </c>
      <c r="P61">
        <f>IF(OR(計分!P61="",計分!$AP61=""),"",計分!$AP61-計分!P61)</f>
        <v/>
      </c>
      <c r="Q61">
        <f>IF(OR(計分!Q61="",計分!$AP61=""),"",計分!$AP61-計分!Q61)</f>
        <v/>
      </c>
      <c r="R61">
        <f>IF(OR(計分!R61="",計分!$AP61=""),"",計分!$AP61-計分!R61)</f>
        <v/>
      </c>
      <c r="S61">
        <f>IF(OR(計分!S61="",計分!$AP61=""),"",計分!$AP61-計分!S61)</f>
        <v/>
      </c>
      <c r="T61">
        <f>IF(OR(計分!T61="",計分!$AP61=""),"",計分!$AP61-計分!T61)</f>
        <v/>
      </c>
      <c r="U61">
        <f>IF(OR(計分!U61="",計分!$AP61=""),"",計分!$AP61-計分!U61)</f>
        <v/>
      </c>
      <c r="V61">
        <f>IF(OR(計分!V61="",計分!$AP61=""),"",計分!$AP61-計分!V61)</f>
        <v/>
      </c>
      <c r="W61">
        <f>IF(OR(計分!W61="",計分!$AP61=""),"",計分!$AP61-計分!W61)</f>
        <v/>
      </c>
      <c r="X61">
        <f>IF(OR(計分!X61="",計分!$AP61=""),"",計分!$AP61-計分!X61)</f>
        <v/>
      </c>
      <c r="Y61">
        <f>IF(OR(計分!Y61="",計分!$AP61=""),"",計分!$AP61-計分!Y61)</f>
        <v/>
      </c>
      <c r="Z61">
        <f>IF(OR(計分!Z61="",計分!$AP61=""),"",計分!$AP61-計分!Z61)</f>
        <v/>
      </c>
      <c r="AA61">
        <f>IF(OR(計分!AA61="",計分!$AP61=""),"",計分!$AP61-計分!AA61)</f>
        <v/>
      </c>
      <c r="AB61">
        <f>IF(OR(計分!AB61="",計分!$AP61=""),"",計分!$AP61-計分!AB61)</f>
        <v/>
      </c>
      <c r="AC61">
        <f>IF(OR(計分!AC61="",計分!$AP61=""),"",計分!$AP61-計分!AC61)</f>
        <v/>
      </c>
      <c r="AD61">
        <f>IF(OR(計分!AD61="",計分!$AP61=""),"",計分!$AP61-計分!AD61)</f>
        <v/>
      </c>
      <c r="AE61">
        <f>IF(OR(計分!AE61="",計分!$AP61=""),"",計分!$AP61-計分!AE61)</f>
        <v/>
      </c>
      <c r="AF61">
        <f>IF(OR(計分!AF61="",計分!$AP61=""),"",計分!$AP61-計分!AF61)</f>
        <v/>
      </c>
      <c r="AG61">
        <f>IF(OR(計分!AG61="",計分!$AP61=""),"",計分!$AP61-計分!AG61)</f>
        <v/>
      </c>
      <c r="AH61">
        <f>IF(OR(計分!AH61="",計分!$AP61=""),"",計分!$AP61-計分!AH61)</f>
        <v/>
      </c>
      <c r="AI61">
        <f>IF(OR(計分!AI61="",計分!$AP61=""),"",計分!$AP61-計分!AI61)</f>
        <v/>
      </c>
      <c r="AJ61">
        <f>IF(OR(計分!AJ61="",計分!$AP61=""),"",計分!$AP61-計分!AJ61)</f>
        <v/>
      </c>
      <c r="AK61">
        <f>IF(OR(計分!AK61="",計分!$AP61=""),"",計分!$AP61-計分!AK61)</f>
        <v/>
      </c>
      <c r="AL61">
        <f>IF(OR(計分!AL61="",計分!$AP61=""),"",計分!$AP61-計分!AL61)</f>
        <v/>
      </c>
      <c r="AM61">
        <f>IF(OR(計分!AM61="",計分!$AP61=""),"",計分!$AP61-計分!AM61)</f>
        <v/>
      </c>
      <c r="AN61">
        <f>IF(OR(計分!AN61="",計分!$AP61=""),"",計分!$AP61-計分!AN61)</f>
        <v/>
      </c>
      <c r="AO61">
        <f>IF(OR(計分!AO61="",計分!$AP61=""),"",計分!$AP61-計分!AO61)</f>
        <v/>
      </c>
    </row>
    <row r="62">
      <c r="A62">
        <f>計分!A62</f>
        <v/>
      </c>
      <c r="B62">
        <f>IF(OR(計分!B62="",計分!$AP62=""),"",計分!$AP62-計分!B62)</f>
        <v/>
      </c>
      <c r="C62">
        <f>IF(OR(計分!C62="",計分!$AP62=""),"",計分!$AP62-計分!C62)</f>
        <v/>
      </c>
      <c r="D62">
        <f>IF(OR(計分!D62="",計分!$AP62=""),"",計分!$AP62-計分!D62)</f>
        <v/>
      </c>
      <c r="E62">
        <f>IF(OR(計分!E62="",計分!$AP62=""),"",計分!$AP62-計分!E62)</f>
        <v/>
      </c>
      <c r="F62">
        <f>IF(OR(計分!F62="",計分!$AP62=""),"",計分!$AP62-計分!F62)</f>
        <v/>
      </c>
      <c r="G62">
        <f>IF(OR(計分!G62="",計分!$AP62=""),"",計分!$AP62-計分!G62)</f>
        <v/>
      </c>
      <c r="H62">
        <f>IF(OR(計分!H62="",計分!$AP62=""),"",計分!$AP62-計分!H62)</f>
        <v/>
      </c>
      <c r="I62">
        <f>IF(OR(計分!I62="",計分!$AP62=""),"",計分!$AP62-計分!I62)</f>
        <v/>
      </c>
      <c r="J62">
        <f>IF(OR(計分!J62="",計分!$AP62=""),"",計分!$AP62-計分!J62)</f>
        <v/>
      </c>
      <c r="K62">
        <f>IF(OR(計分!K62="",計分!$AP62=""),"",計分!$AP62-計分!K62)</f>
        <v/>
      </c>
      <c r="L62">
        <f>IF(OR(計分!L62="",計分!$AP62=""),"",計分!$AP62-計分!L62)</f>
        <v/>
      </c>
      <c r="M62">
        <f>IF(OR(計分!M62="",計分!$AP62=""),"",計分!$AP62-計分!M62)</f>
        <v/>
      </c>
      <c r="N62">
        <f>IF(OR(計分!N62="",計分!$AP62=""),"",計分!$AP62-計分!N62)</f>
        <v/>
      </c>
      <c r="O62">
        <f>IF(OR(計分!O62="",計分!$AP62=""),"",計分!$AP62-計分!O62)</f>
        <v/>
      </c>
      <c r="P62">
        <f>IF(OR(計分!P62="",計分!$AP62=""),"",計分!$AP62-計分!P62)</f>
        <v/>
      </c>
      <c r="Q62">
        <f>IF(OR(計分!Q62="",計分!$AP62=""),"",計分!$AP62-計分!Q62)</f>
        <v/>
      </c>
      <c r="R62">
        <f>IF(OR(計分!R62="",計分!$AP62=""),"",計分!$AP62-計分!R62)</f>
        <v/>
      </c>
      <c r="S62">
        <f>IF(OR(計分!S62="",計分!$AP62=""),"",計分!$AP62-計分!S62)</f>
        <v/>
      </c>
      <c r="T62">
        <f>IF(OR(計分!T62="",計分!$AP62=""),"",計分!$AP62-計分!T62)</f>
        <v/>
      </c>
      <c r="U62">
        <f>IF(OR(計分!U62="",計分!$AP62=""),"",計分!$AP62-計分!U62)</f>
        <v/>
      </c>
      <c r="V62">
        <f>IF(OR(計分!V62="",計分!$AP62=""),"",計分!$AP62-計分!V62)</f>
        <v/>
      </c>
      <c r="W62">
        <f>IF(OR(計分!W62="",計分!$AP62=""),"",計分!$AP62-計分!W62)</f>
        <v/>
      </c>
      <c r="X62">
        <f>IF(OR(計分!X62="",計分!$AP62=""),"",計分!$AP62-計分!X62)</f>
        <v/>
      </c>
      <c r="Y62">
        <f>IF(OR(計分!Y62="",計分!$AP62=""),"",計分!$AP62-計分!Y62)</f>
        <v/>
      </c>
      <c r="Z62">
        <f>IF(OR(計分!Z62="",計分!$AP62=""),"",計分!$AP62-計分!Z62)</f>
        <v/>
      </c>
      <c r="AA62">
        <f>IF(OR(計分!AA62="",計分!$AP62=""),"",計分!$AP62-計分!AA62)</f>
        <v/>
      </c>
      <c r="AB62">
        <f>IF(OR(計分!AB62="",計分!$AP62=""),"",計分!$AP62-計分!AB62)</f>
        <v/>
      </c>
      <c r="AC62">
        <f>IF(OR(計分!AC62="",計分!$AP62=""),"",計分!$AP62-計分!AC62)</f>
        <v/>
      </c>
      <c r="AD62">
        <f>IF(OR(計分!AD62="",計分!$AP62=""),"",計分!$AP62-計分!AD62)</f>
        <v/>
      </c>
      <c r="AE62">
        <f>IF(OR(計分!AE62="",計分!$AP62=""),"",計分!$AP62-計分!AE62)</f>
        <v/>
      </c>
      <c r="AF62">
        <f>IF(OR(計分!AF62="",計分!$AP62=""),"",計分!$AP62-計分!AF62)</f>
        <v/>
      </c>
      <c r="AG62">
        <f>IF(OR(計分!AG62="",計分!$AP62=""),"",計分!$AP62-計分!AG62)</f>
        <v/>
      </c>
      <c r="AH62">
        <f>IF(OR(計分!AH62="",計分!$AP62=""),"",計分!$AP62-計分!AH62)</f>
        <v/>
      </c>
      <c r="AI62">
        <f>IF(OR(計分!AI62="",計分!$AP62=""),"",計分!$AP62-計分!AI62)</f>
        <v/>
      </c>
      <c r="AJ62">
        <f>IF(OR(計分!AJ62="",計分!$AP62=""),"",計分!$AP62-計分!AJ62)</f>
        <v/>
      </c>
      <c r="AK62">
        <f>IF(OR(計分!AK62="",計分!$AP62=""),"",計分!$AP62-計分!AK62)</f>
        <v/>
      </c>
      <c r="AL62">
        <f>IF(OR(計分!AL62="",計分!$AP62=""),"",計分!$AP62-計分!AL62)</f>
        <v/>
      </c>
      <c r="AM62">
        <f>IF(OR(計分!AM62="",計分!$AP62=""),"",計分!$AP62-計分!AM62)</f>
        <v/>
      </c>
      <c r="AN62">
        <f>IF(OR(計分!AN62="",計分!$AP62=""),"",計分!$AP62-計分!AN62)</f>
        <v/>
      </c>
      <c r="AO62">
        <f>IF(OR(計分!AO62="",計分!$AP62=""),"",計分!$AP62-計分!AO62)</f>
        <v/>
      </c>
    </row>
    <row r="63">
      <c r="A63">
        <f>計分!A63</f>
        <v/>
      </c>
      <c r="B63">
        <f>IF(OR(計分!B63="",計分!$AP63=""),"",計分!$AP63-計分!B63)</f>
        <v/>
      </c>
      <c r="C63">
        <f>IF(OR(計分!C63="",計分!$AP63=""),"",計分!$AP63-計分!C63)</f>
        <v/>
      </c>
      <c r="D63">
        <f>IF(OR(計分!D63="",計分!$AP63=""),"",計分!$AP63-計分!D63)</f>
        <v/>
      </c>
      <c r="E63">
        <f>IF(OR(計分!E63="",計分!$AP63=""),"",計分!$AP63-計分!E63)</f>
        <v/>
      </c>
      <c r="F63">
        <f>IF(OR(計分!F63="",計分!$AP63=""),"",計分!$AP63-計分!F63)</f>
        <v/>
      </c>
      <c r="G63">
        <f>IF(OR(計分!G63="",計分!$AP63=""),"",計分!$AP63-計分!G63)</f>
        <v/>
      </c>
      <c r="H63">
        <f>IF(OR(計分!H63="",計分!$AP63=""),"",計分!$AP63-計分!H63)</f>
        <v/>
      </c>
      <c r="I63">
        <f>IF(OR(計分!I63="",計分!$AP63=""),"",計分!$AP63-計分!I63)</f>
        <v/>
      </c>
      <c r="J63">
        <f>IF(OR(計分!J63="",計分!$AP63=""),"",計分!$AP63-計分!J63)</f>
        <v/>
      </c>
      <c r="K63">
        <f>IF(OR(計分!K63="",計分!$AP63=""),"",計分!$AP63-計分!K63)</f>
        <v/>
      </c>
      <c r="L63">
        <f>IF(OR(計分!L63="",計分!$AP63=""),"",計分!$AP63-計分!L63)</f>
        <v/>
      </c>
      <c r="M63">
        <f>IF(OR(計分!M63="",計分!$AP63=""),"",計分!$AP63-計分!M63)</f>
        <v/>
      </c>
      <c r="N63">
        <f>IF(OR(計分!N63="",計分!$AP63=""),"",計分!$AP63-計分!N63)</f>
        <v/>
      </c>
      <c r="O63">
        <f>IF(OR(計分!O63="",計分!$AP63=""),"",計分!$AP63-計分!O63)</f>
        <v/>
      </c>
      <c r="P63">
        <f>IF(OR(計分!P63="",計分!$AP63=""),"",計分!$AP63-計分!P63)</f>
        <v/>
      </c>
      <c r="Q63">
        <f>IF(OR(計分!Q63="",計分!$AP63=""),"",計分!$AP63-計分!Q63)</f>
        <v/>
      </c>
      <c r="R63">
        <f>IF(OR(計分!R63="",計分!$AP63=""),"",計分!$AP63-計分!R63)</f>
        <v/>
      </c>
      <c r="S63">
        <f>IF(OR(計分!S63="",計分!$AP63=""),"",計分!$AP63-計分!S63)</f>
        <v/>
      </c>
      <c r="T63">
        <f>IF(OR(計分!T63="",計分!$AP63=""),"",計分!$AP63-計分!T63)</f>
        <v/>
      </c>
      <c r="U63">
        <f>IF(OR(計分!U63="",計分!$AP63=""),"",計分!$AP63-計分!U63)</f>
        <v/>
      </c>
      <c r="V63">
        <f>IF(OR(計分!V63="",計分!$AP63=""),"",計分!$AP63-計分!V63)</f>
        <v/>
      </c>
      <c r="W63">
        <f>IF(OR(計分!W63="",計分!$AP63=""),"",計分!$AP63-計分!W63)</f>
        <v/>
      </c>
      <c r="X63">
        <f>IF(OR(計分!X63="",計分!$AP63=""),"",計分!$AP63-計分!X63)</f>
        <v/>
      </c>
      <c r="Y63">
        <f>IF(OR(計分!Y63="",計分!$AP63=""),"",計分!$AP63-計分!Y63)</f>
        <v/>
      </c>
      <c r="Z63">
        <f>IF(OR(計分!Z63="",計分!$AP63=""),"",計分!$AP63-計分!Z63)</f>
        <v/>
      </c>
      <c r="AA63">
        <f>IF(OR(計分!AA63="",計分!$AP63=""),"",計分!$AP63-計分!AA63)</f>
        <v/>
      </c>
      <c r="AB63">
        <f>IF(OR(計分!AB63="",計分!$AP63=""),"",計分!$AP63-計分!AB63)</f>
        <v/>
      </c>
      <c r="AC63">
        <f>IF(OR(計分!AC63="",計分!$AP63=""),"",計分!$AP63-計分!AC63)</f>
        <v/>
      </c>
      <c r="AD63">
        <f>IF(OR(計分!AD63="",計分!$AP63=""),"",計分!$AP63-計分!AD63)</f>
        <v/>
      </c>
      <c r="AE63">
        <f>IF(OR(計分!AE63="",計分!$AP63=""),"",計分!$AP63-計分!AE63)</f>
        <v/>
      </c>
      <c r="AF63">
        <f>IF(OR(計分!AF63="",計分!$AP63=""),"",計分!$AP63-計分!AF63)</f>
        <v/>
      </c>
      <c r="AG63">
        <f>IF(OR(計分!AG63="",計分!$AP63=""),"",計分!$AP63-計分!AG63)</f>
        <v/>
      </c>
      <c r="AH63">
        <f>IF(OR(計分!AH63="",計分!$AP63=""),"",計分!$AP63-計分!AH63)</f>
        <v/>
      </c>
      <c r="AI63">
        <f>IF(OR(計分!AI63="",計分!$AP63=""),"",計分!$AP63-計分!AI63)</f>
        <v/>
      </c>
      <c r="AJ63">
        <f>IF(OR(計分!AJ63="",計分!$AP63=""),"",計分!$AP63-計分!AJ63)</f>
        <v/>
      </c>
      <c r="AK63">
        <f>IF(OR(計分!AK63="",計分!$AP63=""),"",計分!$AP63-計分!AK63)</f>
        <v/>
      </c>
      <c r="AL63">
        <f>IF(OR(計分!AL63="",計分!$AP63=""),"",計分!$AP63-計分!AL63)</f>
        <v/>
      </c>
      <c r="AM63">
        <f>IF(OR(計分!AM63="",計分!$AP63=""),"",計分!$AP63-計分!AM63)</f>
        <v/>
      </c>
      <c r="AN63">
        <f>IF(OR(計分!AN63="",計分!$AP63=""),"",計分!$AP63-計分!AN63)</f>
        <v/>
      </c>
      <c r="AO63">
        <f>IF(OR(計分!AO63="",計分!$AP63=""),"",計分!$AP63-計分!AO63)</f>
        <v/>
      </c>
    </row>
    <row r="64">
      <c r="A64">
        <f>計分!A64</f>
        <v/>
      </c>
      <c r="B64">
        <f>IF(OR(計分!B64="",計分!$AP64=""),"",計分!$AP64-計分!B64)</f>
        <v/>
      </c>
      <c r="C64">
        <f>IF(OR(計分!C64="",計分!$AP64=""),"",計分!$AP64-計分!C64)</f>
        <v/>
      </c>
      <c r="D64">
        <f>IF(OR(計分!D64="",計分!$AP64=""),"",計分!$AP64-計分!D64)</f>
        <v/>
      </c>
      <c r="E64">
        <f>IF(OR(計分!E64="",計分!$AP64=""),"",計分!$AP64-計分!E64)</f>
        <v/>
      </c>
      <c r="F64">
        <f>IF(OR(計分!F64="",計分!$AP64=""),"",計分!$AP64-計分!F64)</f>
        <v/>
      </c>
      <c r="G64">
        <f>IF(OR(計分!G64="",計分!$AP64=""),"",計分!$AP64-計分!G64)</f>
        <v/>
      </c>
      <c r="H64">
        <f>IF(OR(計分!H64="",計分!$AP64=""),"",計分!$AP64-計分!H64)</f>
        <v/>
      </c>
      <c r="I64">
        <f>IF(OR(計分!I64="",計分!$AP64=""),"",計分!$AP64-計分!I64)</f>
        <v/>
      </c>
      <c r="J64">
        <f>IF(OR(計分!J64="",計分!$AP64=""),"",計分!$AP64-計分!J64)</f>
        <v/>
      </c>
      <c r="K64">
        <f>IF(OR(計分!K64="",計分!$AP64=""),"",計分!$AP64-計分!K64)</f>
        <v/>
      </c>
      <c r="L64">
        <f>IF(OR(計分!L64="",計分!$AP64=""),"",計分!$AP64-計分!L64)</f>
        <v/>
      </c>
      <c r="M64">
        <f>IF(OR(計分!M64="",計分!$AP64=""),"",計分!$AP64-計分!M64)</f>
        <v/>
      </c>
      <c r="N64">
        <f>IF(OR(計分!N64="",計分!$AP64=""),"",計分!$AP64-計分!N64)</f>
        <v/>
      </c>
      <c r="O64">
        <f>IF(OR(計分!O64="",計分!$AP64=""),"",計分!$AP64-計分!O64)</f>
        <v/>
      </c>
      <c r="P64">
        <f>IF(OR(計分!P64="",計分!$AP64=""),"",計分!$AP64-計分!P64)</f>
        <v/>
      </c>
      <c r="Q64">
        <f>IF(OR(計分!Q64="",計分!$AP64=""),"",計分!$AP64-計分!Q64)</f>
        <v/>
      </c>
      <c r="R64">
        <f>IF(OR(計分!R64="",計分!$AP64=""),"",計分!$AP64-計分!R64)</f>
        <v/>
      </c>
      <c r="S64">
        <f>IF(OR(計分!S64="",計分!$AP64=""),"",計分!$AP64-計分!S64)</f>
        <v/>
      </c>
      <c r="T64">
        <f>IF(OR(計分!T64="",計分!$AP64=""),"",計分!$AP64-計分!T64)</f>
        <v/>
      </c>
      <c r="U64">
        <f>IF(OR(計分!U64="",計分!$AP64=""),"",計分!$AP64-計分!U64)</f>
        <v/>
      </c>
      <c r="V64">
        <f>IF(OR(計分!V64="",計分!$AP64=""),"",計分!$AP64-計分!V64)</f>
        <v/>
      </c>
      <c r="W64">
        <f>IF(OR(計分!W64="",計分!$AP64=""),"",計分!$AP64-計分!W64)</f>
        <v/>
      </c>
      <c r="X64">
        <f>IF(OR(計分!X64="",計分!$AP64=""),"",計分!$AP64-計分!X64)</f>
        <v/>
      </c>
      <c r="Y64">
        <f>IF(OR(計分!Y64="",計分!$AP64=""),"",計分!$AP64-計分!Y64)</f>
        <v/>
      </c>
      <c r="Z64">
        <f>IF(OR(計分!Z64="",計分!$AP64=""),"",計分!$AP64-計分!Z64)</f>
        <v/>
      </c>
      <c r="AA64">
        <f>IF(OR(計分!AA64="",計分!$AP64=""),"",計分!$AP64-計分!AA64)</f>
        <v/>
      </c>
      <c r="AB64">
        <f>IF(OR(計分!AB64="",計分!$AP64=""),"",計分!$AP64-計分!AB64)</f>
        <v/>
      </c>
      <c r="AC64">
        <f>IF(OR(計分!AC64="",計分!$AP64=""),"",計分!$AP64-計分!AC64)</f>
        <v/>
      </c>
      <c r="AD64">
        <f>IF(OR(計分!AD64="",計分!$AP64=""),"",計分!$AP64-計分!AD64)</f>
        <v/>
      </c>
      <c r="AE64">
        <f>IF(OR(計分!AE64="",計分!$AP64=""),"",計分!$AP64-計分!AE64)</f>
        <v/>
      </c>
      <c r="AF64">
        <f>IF(OR(計分!AF64="",計分!$AP64=""),"",計分!$AP64-計分!AF64)</f>
        <v/>
      </c>
      <c r="AG64">
        <f>IF(OR(計分!AG64="",計分!$AP64=""),"",計分!$AP64-計分!AG64)</f>
        <v/>
      </c>
      <c r="AH64">
        <f>IF(OR(計分!AH64="",計分!$AP64=""),"",計分!$AP64-計分!AH64)</f>
        <v/>
      </c>
      <c r="AI64">
        <f>IF(OR(計分!AI64="",計分!$AP64=""),"",計分!$AP64-計分!AI64)</f>
        <v/>
      </c>
      <c r="AJ64">
        <f>IF(OR(計分!AJ64="",計分!$AP64=""),"",計分!$AP64-計分!AJ64)</f>
        <v/>
      </c>
      <c r="AK64">
        <f>IF(OR(計分!AK64="",計分!$AP64=""),"",計分!$AP64-計分!AK64)</f>
        <v/>
      </c>
      <c r="AL64">
        <f>IF(OR(計分!AL64="",計分!$AP64=""),"",計分!$AP64-計分!AL64)</f>
        <v/>
      </c>
      <c r="AM64">
        <f>IF(OR(計分!AM64="",計分!$AP64=""),"",計分!$AP64-計分!AM64)</f>
        <v/>
      </c>
      <c r="AN64">
        <f>IF(OR(計分!AN64="",計分!$AP64=""),"",計分!$AP64-計分!AN64)</f>
        <v/>
      </c>
      <c r="AO64">
        <f>IF(OR(計分!AO64="",計分!$AP64=""),"",計分!$AP64-計分!AO64)</f>
        <v/>
      </c>
    </row>
    <row r="65">
      <c r="A65">
        <f>計分!A65</f>
        <v/>
      </c>
      <c r="B65">
        <f>IF(OR(計分!B65="",計分!$AP65=""),"",計分!$AP65-計分!B65)</f>
        <v/>
      </c>
      <c r="C65">
        <f>IF(OR(計分!C65="",計分!$AP65=""),"",計分!$AP65-計分!C65)</f>
        <v/>
      </c>
      <c r="D65">
        <f>IF(OR(計分!D65="",計分!$AP65=""),"",計分!$AP65-計分!D65)</f>
        <v/>
      </c>
      <c r="E65">
        <f>IF(OR(計分!E65="",計分!$AP65=""),"",計分!$AP65-計分!E65)</f>
        <v/>
      </c>
      <c r="F65">
        <f>IF(OR(計分!F65="",計分!$AP65=""),"",計分!$AP65-計分!F65)</f>
        <v/>
      </c>
      <c r="G65">
        <f>IF(OR(計分!G65="",計分!$AP65=""),"",計分!$AP65-計分!G65)</f>
        <v/>
      </c>
      <c r="H65">
        <f>IF(OR(計分!H65="",計分!$AP65=""),"",計分!$AP65-計分!H65)</f>
        <v/>
      </c>
      <c r="I65">
        <f>IF(OR(計分!I65="",計分!$AP65=""),"",計分!$AP65-計分!I65)</f>
        <v/>
      </c>
      <c r="J65">
        <f>IF(OR(計分!J65="",計分!$AP65=""),"",計分!$AP65-計分!J65)</f>
        <v/>
      </c>
      <c r="K65">
        <f>IF(OR(計分!K65="",計分!$AP65=""),"",計分!$AP65-計分!K65)</f>
        <v/>
      </c>
      <c r="L65">
        <f>IF(OR(計分!L65="",計分!$AP65=""),"",計分!$AP65-計分!L65)</f>
        <v/>
      </c>
      <c r="M65">
        <f>IF(OR(計分!M65="",計分!$AP65=""),"",計分!$AP65-計分!M65)</f>
        <v/>
      </c>
      <c r="N65">
        <f>IF(OR(計分!N65="",計分!$AP65=""),"",計分!$AP65-計分!N65)</f>
        <v/>
      </c>
      <c r="O65">
        <f>IF(OR(計分!O65="",計分!$AP65=""),"",計分!$AP65-計分!O65)</f>
        <v/>
      </c>
      <c r="P65">
        <f>IF(OR(計分!P65="",計分!$AP65=""),"",計分!$AP65-計分!P65)</f>
        <v/>
      </c>
      <c r="Q65">
        <f>IF(OR(計分!Q65="",計分!$AP65=""),"",計分!$AP65-計分!Q65)</f>
        <v/>
      </c>
      <c r="R65">
        <f>IF(OR(計分!R65="",計分!$AP65=""),"",計分!$AP65-計分!R65)</f>
        <v/>
      </c>
      <c r="S65">
        <f>IF(OR(計分!S65="",計分!$AP65=""),"",計分!$AP65-計分!S65)</f>
        <v/>
      </c>
      <c r="T65">
        <f>IF(OR(計分!T65="",計分!$AP65=""),"",計分!$AP65-計分!T65)</f>
        <v/>
      </c>
      <c r="U65">
        <f>IF(OR(計分!U65="",計分!$AP65=""),"",計分!$AP65-計分!U65)</f>
        <v/>
      </c>
      <c r="V65">
        <f>IF(OR(計分!V65="",計分!$AP65=""),"",計分!$AP65-計分!V65)</f>
        <v/>
      </c>
      <c r="W65">
        <f>IF(OR(計分!W65="",計分!$AP65=""),"",計分!$AP65-計分!W65)</f>
        <v/>
      </c>
      <c r="X65">
        <f>IF(OR(計分!X65="",計分!$AP65=""),"",計分!$AP65-計分!X65)</f>
        <v/>
      </c>
      <c r="Y65">
        <f>IF(OR(計分!Y65="",計分!$AP65=""),"",計分!$AP65-計分!Y65)</f>
        <v/>
      </c>
      <c r="Z65">
        <f>IF(OR(計分!Z65="",計分!$AP65=""),"",計分!$AP65-計分!Z65)</f>
        <v/>
      </c>
      <c r="AA65">
        <f>IF(OR(計分!AA65="",計分!$AP65=""),"",計分!$AP65-計分!AA65)</f>
        <v/>
      </c>
      <c r="AB65">
        <f>IF(OR(計分!AB65="",計分!$AP65=""),"",計分!$AP65-計分!AB65)</f>
        <v/>
      </c>
      <c r="AC65">
        <f>IF(OR(計分!AC65="",計分!$AP65=""),"",計分!$AP65-計分!AC65)</f>
        <v/>
      </c>
      <c r="AD65">
        <f>IF(OR(計分!AD65="",計分!$AP65=""),"",計分!$AP65-計分!AD65)</f>
        <v/>
      </c>
      <c r="AE65">
        <f>IF(OR(計分!AE65="",計分!$AP65=""),"",計分!$AP65-計分!AE65)</f>
        <v/>
      </c>
      <c r="AF65">
        <f>IF(OR(計分!AF65="",計分!$AP65=""),"",計分!$AP65-計分!AF65)</f>
        <v/>
      </c>
      <c r="AG65">
        <f>IF(OR(計分!AG65="",計分!$AP65=""),"",計分!$AP65-計分!AG65)</f>
        <v/>
      </c>
      <c r="AH65">
        <f>IF(OR(計分!AH65="",計分!$AP65=""),"",計分!$AP65-計分!AH65)</f>
        <v/>
      </c>
      <c r="AI65">
        <f>IF(OR(計分!AI65="",計分!$AP65=""),"",計分!$AP65-計分!AI65)</f>
        <v/>
      </c>
      <c r="AJ65">
        <f>IF(OR(計分!AJ65="",計分!$AP65=""),"",計分!$AP65-計分!AJ65)</f>
        <v/>
      </c>
      <c r="AK65">
        <f>IF(OR(計分!AK65="",計分!$AP65=""),"",計分!$AP65-計分!AK65)</f>
        <v/>
      </c>
      <c r="AL65">
        <f>IF(OR(計分!AL65="",計分!$AP65=""),"",計分!$AP65-計分!AL65)</f>
        <v/>
      </c>
      <c r="AM65">
        <f>IF(OR(計分!AM65="",計分!$AP65=""),"",計分!$AP65-計分!AM65)</f>
        <v/>
      </c>
      <c r="AN65">
        <f>IF(OR(計分!AN65="",計分!$AP65=""),"",計分!$AP65-計分!AN65)</f>
        <v/>
      </c>
      <c r="AO65">
        <f>IF(OR(計分!AO65="",計分!$AP65=""),"",計分!$AP65-計分!AO65)</f>
        <v/>
      </c>
    </row>
    <row r="66">
      <c r="A66">
        <f>計分!A66</f>
        <v/>
      </c>
      <c r="B66">
        <f>IF(OR(計分!B66="",計分!$AP66=""),"",計分!$AP66-計分!B66)</f>
        <v/>
      </c>
      <c r="C66">
        <f>IF(OR(計分!C66="",計分!$AP66=""),"",計分!$AP66-計分!C66)</f>
        <v/>
      </c>
      <c r="D66">
        <f>IF(OR(計分!D66="",計分!$AP66=""),"",計分!$AP66-計分!D66)</f>
        <v/>
      </c>
      <c r="E66">
        <f>IF(OR(計分!E66="",計分!$AP66=""),"",計分!$AP66-計分!E66)</f>
        <v/>
      </c>
      <c r="F66">
        <f>IF(OR(計分!F66="",計分!$AP66=""),"",計分!$AP66-計分!F66)</f>
        <v/>
      </c>
      <c r="G66">
        <f>IF(OR(計分!G66="",計分!$AP66=""),"",計分!$AP66-計分!G66)</f>
        <v/>
      </c>
      <c r="H66">
        <f>IF(OR(計分!H66="",計分!$AP66=""),"",計分!$AP66-計分!H66)</f>
        <v/>
      </c>
      <c r="I66">
        <f>IF(OR(計分!I66="",計分!$AP66=""),"",計分!$AP66-計分!I66)</f>
        <v/>
      </c>
      <c r="J66">
        <f>IF(OR(計分!J66="",計分!$AP66=""),"",計分!$AP66-計分!J66)</f>
        <v/>
      </c>
      <c r="K66">
        <f>IF(OR(計分!K66="",計分!$AP66=""),"",計分!$AP66-計分!K66)</f>
        <v/>
      </c>
      <c r="L66">
        <f>IF(OR(計分!L66="",計分!$AP66=""),"",計分!$AP66-計分!L66)</f>
        <v/>
      </c>
      <c r="M66">
        <f>IF(OR(計分!M66="",計分!$AP66=""),"",計分!$AP66-計分!M66)</f>
        <v/>
      </c>
      <c r="N66">
        <f>IF(OR(計分!N66="",計分!$AP66=""),"",計分!$AP66-計分!N66)</f>
        <v/>
      </c>
      <c r="O66">
        <f>IF(OR(計分!O66="",計分!$AP66=""),"",計分!$AP66-計分!O66)</f>
        <v/>
      </c>
      <c r="P66">
        <f>IF(OR(計分!P66="",計分!$AP66=""),"",計分!$AP66-計分!P66)</f>
        <v/>
      </c>
      <c r="Q66">
        <f>IF(OR(計分!Q66="",計分!$AP66=""),"",計分!$AP66-計分!Q66)</f>
        <v/>
      </c>
      <c r="R66">
        <f>IF(OR(計分!R66="",計分!$AP66=""),"",計分!$AP66-計分!R66)</f>
        <v/>
      </c>
      <c r="S66">
        <f>IF(OR(計分!S66="",計分!$AP66=""),"",計分!$AP66-計分!S66)</f>
        <v/>
      </c>
      <c r="T66">
        <f>IF(OR(計分!T66="",計分!$AP66=""),"",計分!$AP66-計分!T66)</f>
        <v/>
      </c>
      <c r="U66">
        <f>IF(OR(計分!U66="",計分!$AP66=""),"",計分!$AP66-計分!U66)</f>
        <v/>
      </c>
      <c r="V66">
        <f>IF(OR(計分!V66="",計分!$AP66=""),"",計分!$AP66-計分!V66)</f>
        <v/>
      </c>
      <c r="W66">
        <f>IF(OR(計分!W66="",計分!$AP66=""),"",計分!$AP66-計分!W66)</f>
        <v/>
      </c>
      <c r="X66">
        <f>IF(OR(計分!X66="",計分!$AP66=""),"",計分!$AP66-計分!X66)</f>
        <v/>
      </c>
      <c r="Y66">
        <f>IF(OR(計分!Y66="",計分!$AP66=""),"",計分!$AP66-計分!Y66)</f>
        <v/>
      </c>
      <c r="Z66">
        <f>IF(OR(計分!Z66="",計分!$AP66=""),"",計分!$AP66-計分!Z66)</f>
        <v/>
      </c>
      <c r="AA66">
        <f>IF(OR(計分!AA66="",計分!$AP66=""),"",計分!$AP66-計分!AA66)</f>
        <v/>
      </c>
      <c r="AB66">
        <f>IF(OR(計分!AB66="",計分!$AP66=""),"",計分!$AP66-計分!AB66)</f>
        <v/>
      </c>
      <c r="AC66">
        <f>IF(OR(計分!AC66="",計分!$AP66=""),"",計分!$AP66-計分!AC66)</f>
        <v/>
      </c>
      <c r="AD66">
        <f>IF(OR(計分!AD66="",計分!$AP66=""),"",計分!$AP66-計分!AD66)</f>
        <v/>
      </c>
      <c r="AE66">
        <f>IF(OR(計分!AE66="",計分!$AP66=""),"",計分!$AP66-計分!AE66)</f>
        <v/>
      </c>
      <c r="AF66">
        <f>IF(OR(計分!AF66="",計分!$AP66=""),"",計分!$AP66-計分!AF66)</f>
        <v/>
      </c>
      <c r="AG66">
        <f>IF(OR(計分!AG66="",計分!$AP66=""),"",計分!$AP66-計分!AG66)</f>
        <v/>
      </c>
      <c r="AH66">
        <f>IF(OR(計分!AH66="",計分!$AP66=""),"",計分!$AP66-計分!AH66)</f>
        <v/>
      </c>
      <c r="AI66">
        <f>IF(OR(計分!AI66="",計分!$AP66=""),"",計分!$AP66-計分!AI66)</f>
        <v/>
      </c>
      <c r="AJ66">
        <f>IF(OR(計分!AJ66="",計分!$AP66=""),"",計分!$AP66-計分!AJ66)</f>
        <v/>
      </c>
      <c r="AK66">
        <f>IF(OR(計分!AK66="",計分!$AP66=""),"",計分!$AP66-計分!AK66)</f>
        <v/>
      </c>
      <c r="AL66">
        <f>IF(OR(計分!AL66="",計分!$AP66=""),"",計分!$AP66-計分!AL66)</f>
        <v/>
      </c>
      <c r="AM66">
        <f>IF(OR(計分!AM66="",計分!$AP66=""),"",計分!$AP66-計分!AM66)</f>
        <v/>
      </c>
      <c r="AN66">
        <f>IF(OR(計分!AN66="",計分!$AP66=""),"",計分!$AP66-計分!AN66)</f>
        <v/>
      </c>
      <c r="AO66">
        <f>IF(OR(計分!AO66="",計分!$AP66=""),"",計分!$AP66-計分!AO66)</f>
        <v/>
      </c>
    </row>
    <row r="67">
      <c r="A67">
        <f>計分!A67</f>
        <v/>
      </c>
      <c r="B67">
        <f>IF(OR(計分!B67="",計分!$AP67=""),"",計分!$AP67-計分!B67)</f>
        <v/>
      </c>
      <c r="C67">
        <f>IF(OR(計分!C67="",計分!$AP67=""),"",計分!$AP67-計分!C67)</f>
        <v/>
      </c>
      <c r="D67">
        <f>IF(OR(計分!D67="",計分!$AP67=""),"",計分!$AP67-計分!D67)</f>
        <v/>
      </c>
      <c r="E67">
        <f>IF(OR(計分!E67="",計分!$AP67=""),"",計分!$AP67-計分!E67)</f>
        <v/>
      </c>
      <c r="F67">
        <f>IF(OR(計分!F67="",計分!$AP67=""),"",計分!$AP67-計分!F67)</f>
        <v/>
      </c>
      <c r="G67">
        <f>IF(OR(計分!G67="",計分!$AP67=""),"",計分!$AP67-計分!G67)</f>
        <v/>
      </c>
      <c r="H67">
        <f>IF(OR(計分!H67="",計分!$AP67=""),"",計分!$AP67-計分!H67)</f>
        <v/>
      </c>
      <c r="I67">
        <f>IF(OR(計分!I67="",計分!$AP67=""),"",計分!$AP67-計分!I67)</f>
        <v/>
      </c>
      <c r="J67">
        <f>IF(OR(計分!J67="",計分!$AP67=""),"",計分!$AP67-計分!J67)</f>
        <v/>
      </c>
      <c r="K67">
        <f>IF(OR(計分!K67="",計分!$AP67=""),"",計分!$AP67-計分!K67)</f>
        <v/>
      </c>
      <c r="L67">
        <f>IF(OR(計分!L67="",計分!$AP67=""),"",計分!$AP67-計分!L67)</f>
        <v/>
      </c>
      <c r="M67">
        <f>IF(OR(計分!M67="",計分!$AP67=""),"",計分!$AP67-計分!M67)</f>
        <v/>
      </c>
      <c r="N67">
        <f>IF(OR(計分!N67="",計分!$AP67=""),"",計分!$AP67-計分!N67)</f>
        <v/>
      </c>
      <c r="O67">
        <f>IF(OR(計分!O67="",計分!$AP67=""),"",計分!$AP67-計分!O67)</f>
        <v/>
      </c>
      <c r="P67">
        <f>IF(OR(計分!P67="",計分!$AP67=""),"",計分!$AP67-計分!P67)</f>
        <v/>
      </c>
      <c r="Q67">
        <f>IF(OR(計分!Q67="",計分!$AP67=""),"",計分!$AP67-計分!Q67)</f>
        <v/>
      </c>
      <c r="R67">
        <f>IF(OR(計分!R67="",計分!$AP67=""),"",計分!$AP67-計分!R67)</f>
        <v/>
      </c>
      <c r="S67">
        <f>IF(OR(計分!S67="",計分!$AP67=""),"",計分!$AP67-計分!S67)</f>
        <v/>
      </c>
      <c r="T67">
        <f>IF(OR(計分!T67="",計分!$AP67=""),"",計分!$AP67-計分!T67)</f>
        <v/>
      </c>
      <c r="U67">
        <f>IF(OR(計分!U67="",計分!$AP67=""),"",計分!$AP67-計分!U67)</f>
        <v/>
      </c>
      <c r="V67">
        <f>IF(OR(計分!V67="",計分!$AP67=""),"",計分!$AP67-計分!V67)</f>
        <v/>
      </c>
      <c r="W67">
        <f>IF(OR(計分!W67="",計分!$AP67=""),"",計分!$AP67-計分!W67)</f>
        <v/>
      </c>
      <c r="X67">
        <f>IF(OR(計分!X67="",計分!$AP67=""),"",計分!$AP67-計分!X67)</f>
        <v/>
      </c>
      <c r="Y67">
        <f>IF(OR(計分!Y67="",計分!$AP67=""),"",計分!$AP67-計分!Y67)</f>
        <v/>
      </c>
      <c r="Z67">
        <f>IF(OR(計分!Z67="",計分!$AP67=""),"",計分!$AP67-計分!Z67)</f>
        <v/>
      </c>
      <c r="AA67">
        <f>IF(OR(計分!AA67="",計分!$AP67=""),"",計分!$AP67-計分!AA67)</f>
        <v/>
      </c>
      <c r="AB67">
        <f>IF(OR(計分!AB67="",計分!$AP67=""),"",計分!$AP67-計分!AB67)</f>
        <v/>
      </c>
      <c r="AC67">
        <f>IF(OR(計分!AC67="",計分!$AP67=""),"",計分!$AP67-計分!AC67)</f>
        <v/>
      </c>
      <c r="AD67">
        <f>IF(OR(計分!AD67="",計分!$AP67=""),"",計分!$AP67-計分!AD67)</f>
        <v/>
      </c>
      <c r="AE67">
        <f>IF(OR(計分!AE67="",計分!$AP67=""),"",計分!$AP67-計分!AE67)</f>
        <v/>
      </c>
      <c r="AF67">
        <f>IF(OR(計分!AF67="",計分!$AP67=""),"",計分!$AP67-計分!AF67)</f>
        <v/>
      </c>
      <c r="AG67">
        <f>IF(OR(計分!AG67="",計分!$AP67=""),"",計分!$AP67-計分!AG67)</f>
        <v/>
      </c>
      <c r="AH67">
        <f>IF(OR(計分!AH67="",計分!$AP67=""),"",計分!$AP67-計分!AH67)</f>
        <v/>
      </c>
      <c r="AI67">
        <f>IF(OR(計分!AI67="",計分!$AP67=""),"",計分!$AP67-計分!AI67)</f>
        <v/>
      </c>
      <c r="AJ67">
        <f>IF(OR(計分!AJ67="",計分!$AP67=""),"",計分!$AP67-計分!AJ67)</f>
        <v/>
      </c>
      <c r="AK67">
        <f>IF(OR(計分!AK67="",計分!$AP67=""),"",計分!$AP67-計分!AK67)</f>
        <v/>
      </c>
      <c r="AL67">
        <f>IF(OR(計分!AL67="",計分!$AP67=""),"",計分!$AP67-計分!AL67)</f>
        <v/>
      </c>
      <c r="AM67">
        <f>IF(OR(計分!AM67="",計分!$AP67=""),"",計分!$AP67-計分!AM67)</f>
        <v/>
      </c>
      <c r="AN67">
        <f>IF(OR(計分!AN67="",計分!$AP67=""),"",計分!$AP67-計分!AN67)</f>
        <v/>
      </c>
      <c r="AO67">
        <f>IF(OR(計分!AO67="",計分!$AP67=""),"",計分!$AP67-計分!AO67)</f>
        <v/>
      </c>
    </row>
    <row r="68">
      <c r="A68">
        <f>計分!A68</f>
        <v/>
      </c>
      <c r="B68">
        <f>IF(OR(計分!B68="",計分!$AP68=""),"",計分!$AP68-計分!B68)</f>
        <v/>
      </c>
      <c r="C68">
        <f>IF(OR(計分!C68="",計分!$AP68=""),"",計分!$AP68-計分!C68)</f>
        <v/>
      </c>
      <c r="D68">
        <f>IF(OR(計分!D68="",計分!$AP68=""),"",計分!$AP68-計分!D68)</f>
        <v/>
      </c>
      <c r="E68">
        <f>IF(OR(計分!E68="",計分!$AP68=""),"",計分!$AP68-計分!E68)</f>
        <v/>
      </c>
      <c r="F68">
        <f>IF(OR(計分!F68="",計分!$AP68=""),"",計分!$AP68-計分!F68)</f>
        <v/>
      </c>
      <c r="G68">
        <f>IF(OR(計分!G68="",計分!$AP68=""),"",計分!$AP68-計分!G68)</f>
        <v/>
      </c>
      <c r="H68">
        <f>IF(OR(計分!H68="",計分!$AP68=""),"",計分!$AP68-計分!H68)</f>
        <v/>
      </c>
      <c r="I68">
        <f>IF(OR(計分!I68="",計分!$AP68=""),"",計分!$AP68-計分!I68)</f>
        <v/>
      </c>
      <c r="J68">
        <f>IF(OR(計分!J68="",計分!$AP68=""),"",計分!$AP68-計分!J68)</f>
        <v/>
      </c>
      <c r="K68">
        <f>IF(OR(計分!K68="",計分!$AP68=""),"",計分!$AP68-計分!K68)</f>
        <v/>
      </c>
      <c r="L68">
        <f>IF(OR(計分!L68="",計分!$AP68=""),"",計分!$AP68-計分!L68)</f>
        <v/>
      </c>
      <c r="M68">
        <f>IF(OR(計分!M68="",計分!$AP68=""),"",計分!$AP68-計分!M68)</f>
        <v/>
      </c>
      <c r="N68">
        <f>IF(OR(計分!N68="",計分!$AP68=""),"",計分!$AP68-計分!N68)</f>
        <v/>
      </c>
      <c r="O68">
        <f>IF(OR(計分!O68="",計分!$AP68=""),"",計分!$AP68-計分!O68)</f>
        <v/>
      </c>
      <c r="P68">
        <f>IF(OR(計分!P68="",計分!$AP68=""),"",計分!$AP68-計分!P68)</f>
        <v/>
      </c>
      <c r="Q68">
        <f>IF(OR(計分!Q68="",計分!$AP68=""),"",計分!$AP68-計分!Q68)</f>
        <v/>
      </c>
      <c r="R68">
        <f>IF(OR(計分!R68="",計分!$AP68=""),"",計分!$AP68-計分!R68)</f>
        <v/>
      </c>
      <c r="S68">
        <f>IF(OR(計分!S68="",計分!$AP68=""),"",計分!$AP68-計分!S68)</f>
        <v/>
      </c>
      <c r="T68">
        <f>IF(OR(計分!T68="",計分!$AP68=""),"",計分!$AP68-計分!T68)</f>
        <v/>
      </c>
      <c r="U68">
        <f>IF(OR(計分!U68="",計分!$AP68=""),"",計分!$AP68-計分!U68)</f>
        <v/>
      </c>
      <c r="V68">
        <f>IF(OR(計分!V68="",計分!$AP68=""),"",計分!$AP68-計分!V68)</f>
        <v/>
      </c>
      <c r="W68">
        <f>IF(OR(計分!W68="",計分!$AP68=""),"",計分!$AP68-計分!W68)</f>
        <v/>
      </c>
      <c r="X68">
        <f>IF(OR(計分!X68="",計分!$AP68=""),"",計分!$AP68-計分!X68)</f>
        <v/>
      </c>
      <c r="Y68">
        <f>IF(OR(計分!Y68="",計分!$AP68=""),"",計分!$AP68-計分!Y68)</f>
        <v/>
      </c>
      <c r="Z68">
        <f>IF(OR(計分!Z68="",計分!$AP68=""),"",計分!$AP68-計分!Z68)</f>
        <v/>
      </c>
      <c r="AA68">
        <f>IF(OR(計分!AA68="",計分!$AP68=""),"",計分!$AP68-計分!AA68)</f>
        <v/>
      </c>
      <c r="AB68">
        <f>IF(OR(計分!AB68="",計分!$AP68=""),"",計分!$AP68-計分!AB68)</f>
        <v/>
      </c>
      <c r="AC68">
        <f>IF(OR(計分!AC68="",計分!$AP68=""),"",計分!$AP68-計分!AC68)</f>
        <v/>
      </c>
      <c r="AD68">
        <f>IF(OR(計分!AD68="",計分!$AP68=""),"",計分!$AP68-計分!AD68)</f>
        <v/>
      </c>
      <c r="AE68">
        <f>IF(OR(計分!AE68="",計分!$AP68=""),"",計分!$AP68-計分!AE68)</f>
        <v/>
      </c>
      <c r="AF68">
        <f>IF(OR(計分!AF68="",計分!$AP68=""),"",計分!$AP68-計分!AF68)</f>
        <v/>
      </c>
      <c r="AG68">
        <f>IF(OR(計分!AG68="",計分!$AP68=""),"",計分!$AP68-計分!AG68)</f>
        <v/>
      </c>
      <c r="AH68">
        <f>IF(OR(計分!AH68="",計分!$AP68=""),"",計分!$AP68-計分!AH68)</f>
        <v/>
      </c>
      <c r="AI68">
        <f>IF(OR(計分!AI68="",計分!$AP68=""),"",計分!$AP68-計分!AI68)</f>
        <v/>
      </c>
      <c r="AJ68">
        <f>IF(OR(計分!AJ68="",計分!$AP68=""),"",計分!$AP68-計分!AJ68)</f>
        <v/>
      </c>
      <c r="AK68">
        <f>IF(OR(計分!AK68="",計分!$AP68=""),"",計分!$AP68-計分!AK68)</f>
        <v/>
      </c>
      <c r="AL68">
        <f>IF(OR(計分!AL68="",計分!$AP68=""),"",計分!$AP68-計分!AL68)</f>
        <v/>
      </c>
      <c r="AM68">
        <f>IF(OR(計分!AM68="",計分!$AP68=""),"",計分!$AP68-計分!AM68)</f>
        <v/>
      </c>
      <c r="AN68">
        <f>IF(OR(計分!AN68="",計分!$AP68=""),"",計分!$AP68-計分!AN68)</f>
        <v/>
      </c>
      <c r="AO68">
        <f>IF(OR(計分!AO68="",計分!$AP68=""),"",計分!$AP68-計分!AO68)</f>
        <v/>
      </c>
    </row>
    <row r="69">
      <c r="A69">
        <f>計分!A69</f>
        <v/>
      </c>
      <c r="B69">
        <f>IF(OR(計分!B69="",計分!$AP69=""),"",計分!$AP69-計分!B69)</f>
        <v/>
      </c>
      <c r="C69">
        <f>IF(OR(計分!C69="",計分!$AP69=""),"",計分!$AP69-計分!C69)</f>
        <v/>
      </c>
      <c r="D69">
        <f>IF(OR(計分!D69="",計分!$AP69=""),"",計分!$AP69-計分!D69)</f>
        <v/>
      </c>
      <c r="E69">
        <f>IF(OR(計分!E69="",計分!$AP69=""),"",計分!$AP69-計分!E69)</f>
        <v/>
      </c>
      <c r="F69">
        <f>IF(OR(計分!F69="",計分!$AP69=""),"",計分!$AP69-計分!F69)</f>
        <v/>
      </c>
      <c r="G69">
        <f>IF(OR(計分!G69="",計分!$AP69=""),"",計分!$AP69-計分!G69)</f>
        <v/>
      </c>
      <c r="H69">
        <f>IF(OR(計分!H69="",計分!$AP69=""),"",計分!$AP69-計分!H69)</f>
        <v/>
      </c>
      <c r="I69">
        <f>IF(OR(計分!I69="",計分!$AP69=""),"",計分!$AP69-計分!I69)</f>
        <v/>
      </c>
      <c r="J69">
        <f>IF(OR(計分!J69="",計分!$AP69=""),"",計分!$AP69-計分!J69)</f>
        <v/>
      </c>
      <c r="K69">
        <f>IF(OR(計分!K69="",計分!$AP69=""),"",計分!$AP69-計分!K69)</f>
        <v/>
      </c>
      <c r="L69">
        <f>IF(OR(計分!L69="",計分!$AP69=""),"",計分!$AP69-計分!L69)</f>
        <v/>
      </c>
      <c r="M69">
        <f>IF(OR(計分!M69="",計分!$AP69=""),"",計分!$AP69-計分!M69)</f>
        <v/>
      </c>
      <c r="N69">
        <f>IF(OR(計分!N69="",計分!$AP69=""),"",計分!$AP69-計分!N69)</f>
        <v/>
      </c>
      <c r="O69">
        <f>IF(OR(計分!O69="",計分!$AP69=""),"",計分!$AP69-計分!O69)</f>
        <v/>
      </c>
      <c r="P69">
        <f>IF(OR(計分!P69="",計分!$AP69=""),"",計分!$AP69-計分!P69)</f>
        <v/>
      </c>
      <c r="Q69">
        <f>IF(OR(計分!Q69="",計分!$AP69=""),"",計分!$AP69-計分!Q69)</f>
        <v/>
      </c>
      <c r="R69">
        <f>IF(OR(計分!R69="",計分!$AP69=""),"",計分!$AP69-計分!R69)</f>
        <v/>
      </c>
      <c r="S69">
        <f>IF(OR(計分!S69="",計分!$AP69=""),"",計分!$AP69-計分!S69)</f>
        <v/>
      </c>
      <c r="T69">
        <f>IF(OR(計分!T69="",計分!$AP69=""),"",計分!$AP69-計分!T69)</f>
        <v/>
      </c>
      <c r="U69">
        <f>IF(OR(計分!U69="",計分!$AP69=""),"",計分!$AP69-計分!U69)</f>
        <v/>
      </c>
      <c r="V69">
        <f>IF(OR(計分!V69="",計分!$AP69=""),"",計分!$AP69-計分!V69)</f>
        <v/>
      </c>
      <c r="W69">
        <f>IF(OR(計分!W69="",計分!$AP69=""),"",計分!$AP69-計分!W69)</f>
        <v/>
      </c>
      <c r="X69">
        <f>IF(OR(計分!X69="",計分!$AP69=""),"",計分!$AP69-計分!X69)</f>
        <v/>
      </c>
      <c r="Y69">
        <f>IF(OR(計分!Y69="",計分!$AP69=""),"",計分!$AP69-計分!Y69)</f>
        <v/>
      </c>
      <c r="Z69">
        <f>IF(OR(計分!Z69="",計分!$AP69=""),"",計分!$AP69-計分!Z69)</f>
        <v/>
      </c>
      <c r="AA69">
        <f>IF(OR(計分!AA69="",計分!$AP69=""),"",計分!$AP69-計分!AA69)</f>
        <v/>
      </c>
      <c r="AB69">
        <f>IF(OR(計分!AB69="",計分!$AP69=""),"",計分!$AP69-計分!AB69)</f>
        <v/>
      </c>
      <c r="AC69">
        <f>IF(OR(計分!AC69="",計分!$AP69=""),"",計分!$AP69-計分!AC69)</f>
        <v/>
      </c>
      <c r="AD69">
        <f>IF(OR(計分!AD69="",計分!$AP69=""),"",計分!$AP69-計分!AD69)</f>
        <v/>
      </c>
      <c r="AE69">
        <f>IF(OR(計分!AE69="",計分!$AP69=""),"",計分!$AP69-計分!AE69)</f>
        <v/>
      </c>
      <c r="AF69">
        <f>IF(OR(計分!AF69="",計分!$AP69=""),"",計分!$AP69-計分!AF69)</f>
        <v/>
      </c>
      <c r="AG69">
        <f>IF(OR(計分!AG69="",計分!$AP69=""),"",計分!$AP69-計分!AG69)</f>
        <v/>
      </c>
      <c r="AH69">
        <f>IF(OR(計分!AH69="",計分!$AP69=""),"",計分!$AP69-計分!AH69)</f>
        <v/>
      </c>
      <c r="AI69">
        <f>IF(OR(計分!AI69="",計分!$AP69=""),"",計分!$AP69-計分!AI69)</f>
        <v/>
      </c>
      <c r="AJ69">
        <f>IF(OR(計分!AJ69="",計分!$AP69=""),"",計分!$AP69-計分!AJ69)</f>
        <v/>
      </c>
      <c r="AK69">
        <f>IF(OR(計分!AK69="",計分!$AP69=""),"",計分!$AP69-計分!AK69)</f>
        <v/>
      </c>
      <c r="AL69">
        <f>IF(OR(計分!AL69="",計分!$AP69=""),"",計分!$AP69-計分!AL69)</f>
        <v/>
      </c>
      <c r="AM69">
        <f>IF(OR(計分!AM69="",計分!$AP69=""),"",計分!$AP69-計分!AM69)</f>
        <v/>
      </c>
      <c r="AN69">
        <f>IF(OR(計分!AN69="",計分!$AP69=""),"",計分!$AP69-計分!AN69)</f>
        <v/>
      </c>
      <c r="AO69">
        <f>IF(OR(計分!AO69="",計分!$AP69=""),"",計分!$AP69-計分!AO69)</f>
        <v/>
      </c>
    </row>
    <row r="70">
      <c r="A70">
        <f>計分!A70</f>
        <v/>
      </c>
      <c r="B70">
        <f>IF(OR(計分!B70="",計分!$AP70=""),"",計分!$AP70-計分!B70)</f>
        <v/>
      </c>
      <c r="C70">
        <f>IF(OR(計分!C70="",計分!$AP70=""),"",計分!$AP70-計分!C70)</f>
        <v/>
      </c>
      <c r="D70">
        <f>IF(OR(計分!D70="",計分!$AP70=""),"",計分!$AP70-計分!D70)</f>
        <v/>
      </c>
      <c r="E70">
        <f>IF(OR(計分!E70="",計分!$AP70=""),"",計分!$AP70-計分!E70)</f>
        <v/>
      </c>
      <c r="F70">
        <f>IF(OR(計分!F70="",計分!$AP70=""),"",計分!$AP70-計分!F70)</f>
        <v/>
      </c>
      <c r="G70">
        <f>IF(OR(計分!G70="",計分!$AP70=""),"",計分!$AP70-計分!G70)</f>
        <v/>
      </c>
      <c r="H70">
        <f>IF(OR(計分!H70="",計分!$AP70=""),"",計分!$AP70-計分!H70)</f>
        <v/>
      </c>
      <c r="I70">
        <f>IF(OR(計分!I70="",計分!$AP70=""),"",計分!$AP70-計分!I70)</f>
        <v/>
      </c>
      <c r="J70">
        <f>IF(OR(計分!J70="",計分!$AP70=""),"",計分!$AP70-計分!J70)</f>
        <v/>
      </c>
      <c r="K70">
        <f>IF(OR(計分!K70="",計分!$AP70=""),"",計分!$AP70-計分!K70)</f>
        <v/>
      </c>
      <c r="L70">
        <f>IF(OR(計分!L70="",計分!$AP70=""),"",計分!$AP70-計分!L70)</f>
        <v/>
      </c>
      <c r="M70">
        <f>IF(OR(計分!M70="",計分!$AP70=""),"",計分!$AP70-計分!M70)</f>
        <v/>
      </c>
      <c r="N70">
        <f>IF(OR(計分!N70="",計分!$AP70=""),"",計分!$AP70-計分!N70)</f>
        <v/>
      </c>
      <c r="O70">
        <f>IF(OR(計分!O70="",計分!$AP70=""),"",計分!$AP70-計分!O70)</f>
        <v/>
      </c>
      <c r="P70">
        <f>IF(OR(計分!P70="",計分!$AP70=""),"",計分!$AP70-計分!P70)</f>
        <v/>
      </c>
      <c r="Q70">
        <f>IF(OR(計分!Q70="",計分!$AP70=""),"",計分!$AP70-計分!Q70)</f>
        <v/>
      </c>
      <c r="R70">
        <f>IF(OR(計分!R70="",計分!$AP70=""),"",計分!$AP70-計分!R70)</f>
        <v/>
      </c>
      <c r="S70">
        <f>IF(OR(計分!S70="",計分!$AP70=""),"",計分!$AP70-計分!S70)</f>
        <v/>
      </c>
      <c r="T70">
        <f>IF(OR(計分!T70="",計分!$AP70=""),"",計分!$AP70-計分!T70)</f>
        <v/>
      </c>
      <c r="U70">
        <f>IF(OR(計分!U70="",計分!$AP70=""),"",計分!$AP70-計分!U70)</f>
        <v/>
      </c>
      <c r="V70">
        <f>IF(OR(計分!V70="",計分!$AP70=""),"",計分!$AP70-計分!V70)</f>
        <v/>
      </c>
      <c r="W70">
        <f>IF(OR(計分!W70="",計分!$AP70=""),"",計分!$AP70-計分!W70)</f>
        <v/>
      </c>
      <c r="X70">
        <f>IF(OR(計分!X70="",計分!$AP70=""),"",計分!$AP70-計分!X70)</f>
        <v/>
      </c>
      <c r="Y70">
        <f>IF(OR(計分!Y70="",計分!$AP70=""),"",計分!$AP70-計分!Y70)</f>
        <v/>
      </c>
      <c r="Z70">
        <f>IF(OR(計分!Z70="",計分!$AP70=""),"",計分!$AP70-計分!Z70)</f>
        <v/>
      </c>
      <c r="AA70">
        <f>IF(OR(計分!AA70="",計分!$AP70=""),"",計分!$AP70-計分!AA70)</f>
        <v/>
      </c>
      <c r="AB70">
        <f>IF(OR(計分!AB70="",計分!$AP70=""),"",計分!$AP70-計分!AB70)</f>
        <v/>
      </c>
      <c r="AC70">
        <f>IF(OR(計分!AC70="",計分!$AP70=""),"",計分!$AP70-計分!AC70)</f>
        <v/>
      </c>
      <c r="AD70">
        <f>IF(OR(計分!AD70="",計分!$AP70=""),"",計分!$AP70-計分!AD70)</f>
        <v/>
      </c>
      <c r="AE70">
        <f>IF(OR(計分!AE70="",計分!$AP70=""),"",計分!$AP70-計分!AE70)</f>
        <v/>
      </c>
      <c r="AF70">
        <f>IF(OR(計分!AF70="",計分!$AP70=""),"",計分!$AP70-計分!AF70)</f>
        <v/>
      </c>
      <c r="AG70">
        <f>IF(OR(計分!AG70="",計分!$AP70=""),"",計分!$AP70-計分!AG70)</f>
        <v/>
      </c>
      <c r="AH70">
        <f>IF(OR(計分!AH70="",計分!$AP70=""),"",計分!$AP70-計分!AH70)</f>
        <v/>
      </c>
      <c r="AI70">
        <f>IF(OR(計分!AI70="",計分!$AP70=""),"",計分!$AP70-計分!AI70)</f>
        <v/>
      </c>
      <c r="AJ70">
        <f>IF(OR(計分!AJ70="",計分!$AP70=""),"",計分!$AP70-計分!AJ70)</f>
        <v/>
      </c>
      <c r="AK70">
        <f>IF(OR(計分!AK70="",計分!$AP70=""),"",計分!$AP70-計分!AK70)</f>
        <v/>
      </c>
      <c r="AL70">
        <f>IF(OR(計分!AL70="",計分!$AP70=""),"",計分!$AP70-計分!AL70)</f>
        <v/>
      </c>
      <c r="AM70">
        <f>IF(OR(計分!AM70="",計分!$AP70=""),"",計分!$AP70-計分!AM70)</f>
        <v/>
      </c>
      <c r="AN70">
        <f>IF(OR(計分!AN70="",計分!$AP70=""),"",計分!$AP70-計分!AN70)</f>
        <v/>
      </c>
      <c r="AO70">
        <f>IF(OR(計分!AO70="",計分!$AP70=""),"",計分!$AP70-計分!AO70)</f>
        <v/>
      </c>
    </row>
    <row r="71">
      <c r="A71">
        <f>計分!A71</f>
        <v/>
      </c>
      <c r="B71">
        <f>IF(OR(計分!B71="",計分!$AP71=""),"",計分!$AP71-計分!B71)</f>
        <v/>
      </c>
      <c r="C71">
        <f>IF(OR(計分!C71="",計分!$AP71=""),"",計分!$AP71-計分!C71)</f>
        <v/>
      </c>
      <c r="D71">
        <f>IF(OR(計分!D71="",計分!$AP71=""),"",計分!$AP71-計分!D71)</f>
        <v/>
      </c>
      <c r="E71">
        <f>IF(OR(計分!E71="",計分!$AP71=""),"",計分!$AP71-計分!E71)</f>
        <v/>
      </c>
      <c r="F71">
        <f>IF(OR(計分!F71="",計分!$AP71=""),"",計分!$AP71-計分!F71)</f>
        <v/>
      </c>
      <c r="G71">
        <f>IF(OR(計分!G71="",計分!$AP71=""),"",計分!$AP71-計分!G71)</f>
        <v/>
      </c>
      <c r="H71">
        <f>IF(OR(計分!H71="",計分!$AP71=""),"",計分!$AP71-計分!H71)</f>
        <v/>
      </c>
      <c r="I71">
        <f>IF(OR(計分!I71="",計分!$AP71=""),"",計分!$AP71-計分!I71)</f>
        <v/>
      </c>
      <c r="J71">
        <f>IF(OR(計分!J71="",計分!$AP71=""),"",計分!$AP71-計分!J71)</f>
        <v/>
      </c>
      <c r="K71">
        <f>IF(OR(計分!K71="",計分!$AP71=""),"",計分!$AP71-計分!K71)</f>
        <v/>
      </c>
      <c r="L71">
        <f>IF(OR(計分!L71="",計分!$AP71=""),"",計分!$AP71-計分!L71)</f>
        <v/>
      </c>
      <c r="M71">
        <f>IF(OR(計分!M71="",計分!$AP71=""),"",計分!$AP71-計分!M71)</f>
        <v/>
      </c>
      <c r="N71">
        <f>IF(OR(計分!N71="",計分!$AP71=""),"",計分!$AP71-計分!N71)</f>
        <v/>
      </c>
      <c r="O71">
        <f>IF(OR(計分!O71="",計分!$AP71=""),"",計分!$AP71-計分!O71)</f>
        <v/>
      </c>
      <c r="P71">
        <f>IF(OR(計分!P71="",計分!$AP71=""),"",計分!$AP71-計分!P71)</f>
        <v/>
      </c>
      <c r="Q71">
        <f>IF(OR(計分!Q71="",計分!$AP71=""),"",計分!$AP71-計分!Q71)</f>
        <v/>
      </c>
      <c r="R71">
        <f>IF(OR(計分!R71="",計分!$AP71=""),"",計分!$AP71-計分!R71)</f>
        <v/>
      </c>
      <c r="S71">
        <f>IF(OR(計分!S71="",計分!$AP71=""),"",計分!$AP71-計分!S71)</f>
        <v/>
      </c>
      <c r="T71">
        <f>IF(OR(計分!T71="",計分!$AP71=""),"",計分!$AP71-計分!T71)</f>
        <v/>
      </c>
      <c r="U71">
        <f>IF(OR(計分!U71="",計分!$AP71=""),"",計分!$AP71-計分!U71)</f>
        <v/>
      </c>
      <c r="V71">
        <f>IF(OR(計分!V71="",計分!$AP71=""),"",計分!$AP71-計分!V71)</f>
        <v/>
      </c>
      <c r="W71">
        <f>IF(OR(計分!W71="",計分!$AP71=""),"",計分!$AP71-計分!W71)</f>
        <v/>
      </c>
      <c r="X71">
        <f>IF(OR(計分!X71="",計分!$AP71=""),"",計分!$AP71-計分!X71)</f>
        <v/>
      </c>
      <c r="Y71">
        <f>IF(OR(計分!Y71="",計分!$AP71=""),"",計分!$AP71-計分!Y71)</f>
        <v/>
      </c>
      <c r="Z71">
        <f>IF(OR(計分!Z71="",計分!$AP71=""),"",計分!$AP71-計分!Z71)</f>
        <v/>
      </c>
      <c r="AA71">
        <f>IF(OR(計分!AA71="",計分!$AP71=""),"",計分!$AP71-計分!AA71)</f>
        <v/>
      </c>
      <c r="AB71">
        <f>IF(OR(計分!AB71="",計分!$AP71=""),"",計分!$AP71-計分!AB71)</f>
        <v/>
      </c>
      <c r="AC71">
        <f>IF(OR(計分!AC71="",計分!$AP71=""),"",計分!$AP71-計分!AC71)</f>
        <v/>
      </c>
      <c r="AD71">
        <f>IF(OR(計分!AD71="",計分!$AP71=""),"",計分!$AP71-計分!AD71)</f>
        <v/>
      </c>
      <c r="AE71">
        <f>IF(OR(計分!AE71="",計分!$AP71=""),"",計分!$AP71-計分!AE71)</f>
        <v/>
      </c>
      <c r="AF71">
        <f>IF(OR(計分!AF71="",計分!$AP71=""),"",計分!$AP71-計分!AF71)</f>
        <v/>
      </c>
      <c r="AG71">
        <f>IF(OR(計分!AG71="",計分!$AP71=""),"",計分!$AP71-計分!AG71)</f>
        <v/>
      </c>
      <c r="AH71">
        <f>IF(OR(計分!AH71="",計分!$AP71=""),"",計分!$AP71-計分!AH71)</f>
        <v/>
      </c>
      <c r="AI71">
        <f>IF(OR(計分!AI71="",計分!$AP71=""),"",計分!$AP71-計分!AI71)</f>
        <v/>
      </c>
      <c r="AJ71">
        <f>IF(OR(計分!AJ71="",計分!$AP71=""),"",計分!$AP71-計分!AJ71)</f>
        <v/>
      </c>
      <c r="AK71">
        <f>IF(OR(計分!AK71="",計分!$AP71=""),"",計分!$AP71-計分!AK71)</f>
        <v/>
      </c>
      <c r="AL71">
        <f>IF(OR(計分!AL71="",計分!$AP71=""),"",計分!$AP71-計分!AL71)</f>
        <v/>
      </c>
      <c r="AM71">
        <f>IF(OR(計分!AM71="",計分!$AP71=""),"",計分!$AP71-計分!AM71)</f>
        <v/>
      </c>
      <c r="AN71">
        <f>IF(OR(計分!AN71="",計分!$AP71=""),"",計分!$AP71-計分!AN71)</f>
        <v/>
      </c>
      <c r="AO71">
        <f>IF(OR(計分!AO71="",計分!$AP71=""),"",計分!$AP71-計分!AO71)</f>
        <v/>
      </c>
    </row>
    <row r="72">
      <c r="A72">
        <f>計分!A72</f>
        <v/>
      </c>
      <c r="B72">
        <f>IF(OR(計分!B72="",計分!$AP72=""),"",計分!$AP72-計分!B72)</f>
        <v/>
      </c>
      <c r="C72">
        <f>IF(OR(計分!C72="",計分!$AP72=""),"",計分!$AP72-計分!C72)</f>
        <v/>
      </c>
      <c r="D72">
        <f>IF(OR(計分!D72="",計分!$AP72=""),"",計分!$AP72-計分!D72)</f>
        <v/>
      </c>
      <c r="E72">
        <f>IF(OR(計分!E72="",計分!$AP72=""),"",計分!$AP72-計分!E72)</f>
        <v/>
      </c>
      <c r="F72">
        <f>IF(OR(計分!F72="",計分!$AP72=""),"",計分!$AP72-計分!F72)</f>
        <v/>
      </c>
      <c r="G72">
        <f>IF(OR(計分!G72="",計分!$AP72=""),"",計分!$AP72-計分!G72)</f>
        <v/>
      </c>
      <c r="H72">
        <f>IF(OR(計分!H72="",計分!$AP72=""),"",計分!$AP72-計分!H72)</f>
        <v/>
      </c>
      <c r="I72">
        <f>IF(OR(計分!I72="",計分!$AP72=""),"",計分!$AP72-計分!I72)</f>
        <v/>
      </c>
      <c r="J72">
        <f>IF(OR(計分!J72="",計分!$AP72=""),"",計分!$AP72-計分!J72)</f>
        <v/>
      </c>
      <c r="K72">
        <f>IF(OR(計分!K72="",計分!$AP72=""),"",計分!$AP72-計分!K72)</f>
        <v/>
      </c>
      <c r="L72">
        <f>IF(OR(計分!L72="",計分!$AP72=""),"",計分!$AP72-計分!L72)</f>
        <v/>
      </c>
      <c r="M72">
        <f>IF(OR(計分!M72="",計分!$AP72=""),"",計分!$AP72-計分!M72)</f>
        <v/>
      </c>
      <c r="N72">
        <f>IF(OR(計分!N72="",計分!$AP72=""),"",計分!$AP72-計分!N72)</f>
        <v/>
      </c>
      <c r="O72">
        <f>IF(OR(計分!O72="",計分!$AP72=""),"",計分!$AP72-計分!O72)</f>
        <v/>
      </c>
      <c r="P72">
        <f>IF(OR(計分!P72="",計分!$AP72=""),"",計分!$AP72-計分!P72)</f>
        <v/>
      </c>
      <c r="Q72">
        <f>IF(OR(計分!Q72="",計分!$AP72=""),"",計分!$AP72-計分!Q72)</f>
        <v/>
      </c>
      <c r="R72">
        <f>IF(OR(計分!R72="",計分!$AP72=""),"",計分!$AP72-計分!R72)</f>
        <v/>
      </c>
      <c r="S72">
        <f>IF(OR(計分!S72="",計分!$AP72=""),"",計分!$AP72-計分!S72)</f>
        <v/>
      </c>
      <c r="T72">
        <f>IF(OR(計分!T72="",計分!$AP72=""),"",計分!$AP72-計分!T72)</f>
        <v/>
      </c>
      <c r="U72">
        <f>IF(OR(計分!U72="",計分!$AP72=""),"",計分!$AP72-計分!U72)</f>
        <v/>
      </c>
      <c r="V72">
        <f>IF(OR(計分!V72="",計分!$AP72=""),"",計分!$AP72-計分!V72)</f>
        <v/>
      </c>
      <c r="W72">
        <f>IF(OR(計分!W72="",計分!$AP72=""),"",計分!$AP72-計分!W72)</f>
        <v/>
      </c>
      <c r="X72">
        <f>IF(OR(計分!X72="",計分!$AP72=""),"",計分!$AP72-計分!X72)</f>
        <v/>
      </c>
      <c r="Y72">
        <f>IF(OR(計分!Y72="",計分!$AP72=""),"",計分!$AP72-計分!Y72)</f>
        <v/>
      </c>
      <c r="Z72">
        <f>IF(OR(計分!Z72="",計分!$AP72=""),"",計分!$AP72-計分!Z72)</f>
        <v/>
      </c>
      <c r="AA72">
        <f>IF(OR(計分!AA72="",計分!$AP72=""),"",計分!$AP72-計分!AA72)</f>
        <v/>
      </c>
      <c r="AB72">
        <f>IF(OR(計分!AB72="",計分!$AP72=""),"",計分!$AP72-計分!AB72)</f>
        <v/>
      </c>
      <c r="AC72">
        <f>IF(OR(計分!AC72="",計分!$AP72=""),"",計分!$AP72-計分!AC72)</f>
        <v/>
      </c>
      <c r="AD72">
        <f>IF(OR(計分!AD72="",計分!$AP72=""),"",計分!$AP72-計分!AD72)</f>
        <v/>
      </c>
      <c r="AE72">
        <f>IF(OR(計分!AE72="",計分!$AP72=""),"",計分!$AP72-計分!AE72)</f>
        <v/>
      </c>
      <c r="AF72">
        <f>IF(OR(計分!AF72="",計分!$AP72=""),"",計分!$AP72-計分!AF72)</f>
        <v/>
      </c>
      <c r="AG72">
        <f>IF(OR(計分!AG72="",計分!$AP72=""),"",計分!$AP72-計分!AG72)</f>
        <v/>
      </c>
      <c r="AH72">
        <f>IF(OR(計分!AH72="",計分!$AP72=""),"",計分!$AP72-計分!AH72)</f>
        <v/>
      </c>
      <c r="AI72">
        <f>IF(OR(計分!AI72="",計分!$AP72=""),"",計分!$AP72-計分!AI72)</f>
        <v/>
      </c>
      <c r="AJ72">
        <f>IF(OR(計分!AJ72="",計分!$AP72=""),"",計分!$AP72-計分!AJ72)</f>
        <v/>
      </c>
      <c r="AK72">
        <f>IF(OR(計分!AK72="",計分!$AP72=""),"",計分!$AP72-計分!AK72)</f>
        <v/>
      </c>
      <c r="AL72">
        <f>IF(OR(計分!AL72="",計分!$AP72=""),"",計分!$AP72-計分!AL72)</f>
        <v/>
      </c>
      <c r="AM72">
        <f>IF(OR(計分!AM72="",計分!$AP72=""),"",計分!$AP72-計分!AM72)</f>
        <v/>
      </c>
      <c r="AN72">
        <f>IF(OR(計分!AN72="",計分!$AP72=""),"",計分!$AP72-計分!AN72)</f>
        <v/>
      </c>
      <c r="AO72">
        <f>IF(OR(計分!AO72="",計分!$AP72=""),"",計分!$AP72-計分!AO72)</f>
        <v/>
      </c>
    </row>
    <row r="73">
      <c r="A73">
        <f>計分!A73</f>
        <v/>
      </c>
      <c r="B73">
        <f>IF(OR(計分!B73="",計分!$AP73=""),"",計分!$AP73-計分!B73)</f>
        <v/>
      </c>
      <c r="C73">
        <f>IF(OR(計分!C73="",計分!$AP73=""),"",計分!$AP73-計分!C73)</f>
        <v/>
      </c>
      <c r="D73">
        <f>IF(OR(計分!D73="",計分!$AP73=""),"",計分!$AP73-計分!D73)</f>
        <v/>
      </c>
      <c r="E73">
        <f>IF(OR(計分!E73="",計分!$AP73=""),"",計分!$AP73-計分!E73)</f>
        <v/>
      </c>
      <c r="F73">
        <f>IF(OR(計分!F73="",計分!$AP73=""),"",計分!$AP73-計分!F73)</f>
        <v/>
      </c>
      <c r="G73">
        <f>IF(OR(計分!G73="",計分!$AP73=""),"",計分!$AP73-計分!G73)</f>
        <v/>
      </c>
      <c r="H73">
        <f>IF(OR(計分!H73="",計分!$AP73=""),"",計分!$AP73-計分!H73)</f>
        <v/>
      </c>
      <c r="I73">
        <f>IF(OR(計分!I73="",計分!$AP73=""),"",計分!$AP73-計分!I73)</f>
        <v/>
      </c>
      <c r="J73">
        <f>IF(OR(計分!J73="",計分!$AP73=""),"",計分!$AP73-計分!J73)</f>
        <v/>
      </c>
      <c r="K73">
        <f>IF(OR(計分!K73="",計分!$AP73=""),"",計分!$AP73-計分!K73)</f>
        <v/>
      </c>
      <c r="L73">
        <f>IF(OR(計分!L73="",計分!$AP73=""),"",計分!$AP73-計分!L73)</f>
        <v/>
      </c>
      <c r="M73">
        <f>IF(OR(計分!M73="",計分!$AP73=""),"",計分!$AP73-計分!M73)</f>
        <v/>
      </c>
      <c r="N73">
        <f>IF(OR(計分!N73="",計分!$AP73=""),"",計分!$AP73-計分!N73)</f>
        <v/>
      </c>
      <c r="O73">
        <f>IF(OR(計分!O73="",計分!$AP73=""),"",計分!$AP73-計分!O73)</f>
        <v/>
      </c>
      <c r="P73">
        <f>IF(OR(計分!P73="",計分!$AP73=""),"",計分!$AP73-計分!P73)</f>
        <v/>
      </c>
      <c r="Q73">
        <f>IF(OR(計分!Q73="",計分!$AP73=""),"",計分!$AP73-計分!Q73)</f>
        <v/>
      </c>
      <c r="R73">
        <f>IF(OR(計分!R73="",計分!$AP73=""),"",計分!$AP73-計分!R73)</f>
        <v/>
      </c>
      <c r="S73">
        <f>IF(OR(計分!S73="",計分!$AP73=""),"",計分!$AP73-計分!S73)</f>
        <v/>
      </c>
      <c r="T73">
        <f>IF(OR(計分!T73="",計分!$AP73=""),"",計分!$AP73-計分!T73)</f>
        <v/>
      </c>
      <c r="U73">
        <f>IF(OR(計分!U73="",計分!$AP73=""),"",計分!$AP73-計分!U73)</f>
        <v/>
      </c>
      <c r="V73">
        <f>IF(OR(計分!V73="",計分!$AP73=""),"",計分!$AP73-計分!V73)</f>
        <v/>
      </c>
      <c r="W73">
        <f>IF(OR(計分!W73="",計分!$AP73=""),"",計分!$AP73-計分!W73)</f>
        <v/>
      </c>
      <c r="X73">
        <f>IF(OR(計分!X73="",計分!$AP73=""),"",計分!$AP73-計分!X73)</f>
        <v/>
      </c>
      <c r="Y73">
        <f>IF(OR(計分!Y73="",計分!$AP73=""),"",計分!$AP73-計分!Y73)</f>
        <v/>
      </c>
      <c r="Z73">
        <f>IF(OR(計分!Z73="",計分!$AP73=""),"",計分!$AP73-計分!Z73)</f>
        <v/>
      </c>
      <c r="AA73">
        <f>IF(OR(計分!AA73="",計分!$AP73=""),"",計分!$AP73-計分!AA73)</f>
        <v/>
      </c>
      <c r="AB73">
        <f>IF(OR(計分!AB73="",計分!$AP73=""),"",計分!$AP73-計分!AB73)</f>
        <v/>
      </c>
      <c r="AC73">
        <f>IF(OR(計分!AC73="",計分!$AP73=""),"",計分!$AP73-計分!AC73)</f>
        <v/>
      </c>
      <c r="AD73">
        <f>IF(OR(計分!AD73="",計分!$AP73=""),"",計分!$AP73-計分!AD73)</f>
        <v/>
      </c>
      <c r="AE73">
        <f>IF(OR(計分!AE73="",計分!$AP73=""),"",計分!$AP73-計分!AE73)</f>
        <v/>
      </c>
      <c r="AF73">
        <f>IF(OR(計分!AF73="",計分!$AP73=""),"",計分!$AP73-計分!AF73)</f>
        <v/>
      </c>
      <c r="AG73">
        <f>IF(OR(計分!AG73="",計分!$AP73=""),"",計分!$AP73-計分!AG73)</f>
        <v/>
      </c>
      <c r="AH73">
        <f>IF(OR(計分!AH73="",計分!$AP73=""),"",計分!$AP73-計分!AH73)</f>
        <v/>
      </c>
      <c r="AI73">
        <f>IF(OR(計分!AI73="",計分!$AP73=""),"",計分!$AP73-計分!AI73)</f>
        <v/>
      </c>
      <c r="AJ73">
        <f>IF(OR(計分!AJ73="",計分!$AP73=""),"",計分!$AP73-計分!AJ73)</f>
        <v/>
      </c>
      <c r="AK73">
        <f>IF(OR(計分!AK73="",計分!$AP73=""),"",計分!$AP73-計分!AK73)</f>
        <v/>
      </c>
      <c r="AL73">
        <f>IF(OR(計分!AL73="",計分!$AP73=""),"",計分!$AP73-計分!AL73)</f>
        <v/>
      </c>
      <c r="AM73">
        <f>IF(OR(計分!AM73="",計分!$AP73=""),"",計分!$AP73-計分!AM73)</f>
        <v/>
      </c>
      <c r="AN73">
        <f>IF(OR(計分!AN73="",計分!$AP73=""),"",計分!$AP73-計分!AN73)</f>
        <v/>
      </c>
      <c r="AO73">
        <f>IF(OR(計分!AO73="",計分!$AP73=""),"",計分!$AP73-計分!AO73)</f>
        <v/>
      </c>
    </row>
    <row r="74">
      <c r="A74">
        <f>計分!A74</f>
        <v/>
      </c>
      <c r="B74">
        <f>IF(OR(計分!B74="",計分!$AP74=""),"",計分!$AP74-計分!B74)</f>
        <v/>
      </c>
      <c r="C74">
        <f>IF(OR(計分!C74="",計分!$AP74=""),"",計分!$AP74-計分!C74)</f>
        <v/>
      </c>
      <c r="D74">
        <f>IF(OR(計分!D74="",計分!$AP74=""),"",計分!$AP74-計分!D74)</f>
        <v/>
      </c>
      <c r="E74">
        <f>IF(OR(計分!E74="",計分!$AP74=""),"",計分!$AP74-計分!E74)</f>
        <v/>
      </c>
      <c r="F74">
        <f>IF(OR(計分!F74="",計分!$AP74=""),"",計分!$AP74-計分!F74)</f>
        <v/>
      </c>
      <c r="G74">
        <f>IF(OR(計分!G74="",計分!$AP74=""),"",計分!$AP74-計分!G74)</f>
        <v/>
      </c>
      <c r="H74">
        <f>IF(OR(計分!H74="",計分!$AP74=""),"",計分!$AP74-計分!H74)</f>
        <v/>
      </c>
      <c r="I74">
        <f>IF(OR(計分!I74="",計分!$AP74=""),"",計分!$AP74-計分!I74)</f>
        <v/>
      </c>
      <c r="J74">
        <f>IF(OR(計分!J74="",計分!$AP74=""),"",計分!$AP74-計分!J74)</f>
        <v/>
      </c>
      <c r="K74">
        <f>IF(OR(計分!K74="",計分!$AP74=""),"",計分!$AP74-計分!K74)</f>
        <v/>
      </c>
      <c r="L74">
        <f>IF(OR(計分!L74="",計分!$AP74=""),"",計分!$AP74-計分!L74)</f>
        <v/>
      </c>
      <c r="M74">
        <f>IF(OR(計分!M74="",計分!$AP74=""),"",計分!$AP74-計分!M74)</f>
        <v/>
      </c>
      <c r="N74">
        <f>IF(OR(計分!N74="",計分!$AP74=""),"",計分!$AP74-計分!N74)</f>
        <v/>
      </c>
      <c r="O74">
        <f>IF(OR(計分!O74="",計分!$AP74=""),"",計分!$AP74-計分!O74)</f>
        <v/>
      </c>
      <c r="P74">
        <f>IF(OR(計分!P74="",計分!$AP74=""),"",計分!$AP74-計分!P74)</f>
        <v/>
      </c>
      <c r="Q74">
        <f>IF(OR(計分!Q74="",計分!$AP74=""),"",計分!$AP74-計分!Q74)</f>
        <v/>
      </c>
      <c r="R74">
        <f>IF(OR(計分!R74="",計分!$AP74=""),"",計分!$AP74-計分!R74)</f>
        <v/>
      </c>
      <c r="S74">
        <f>IF(OR(計分!S74="",計分!$AP74=""),"",計分!$AP74-計分!S74)</f>
        <v/>
      </c>
      <c r="T74">
        <f>IF(OR(計分!T74="",計分!$AP74=""),"",計分!$AP74-計分!T74)</f>
        <v/>
      </c>
      <c r="U74">
        <f>IF(OR(計分!U74="",計分!$AP74=""),"",計分!$AP74-計分!U74)</f>
        <v/>
      </c>
      <c r="V74">
        <f>IF(OR(計分!V74="",計分!$AP74=""),"",計分!$AP74-計分!V74)</f>
        <v/>
      </c>
      <c r="W74">
        <f>IF(OR(計分!W74="",計分!$AP74=""),"",計分!$AP74-計分!W74)</f>
        <v/>
      </c>
      <c r="X74">
        <f>IF(OR(計分!X74="",計分!$AP74=""),"",計分!$AP74-計分!X74)</f>
        <v/>
      </c>
      <c r="Y74">
        <f>IF(OR(計分!Y74="",計分!$AP74=""),"",計分!$AP74-計分!Y74)</f>
        <v/>
      </c>
      <c r="Z74">
        <f>IF(OR(計分!Z74="",計分!$AP74=""),"",計分!$AP74-計分!Z74)</f>
        <v/>
      </c>
      <c r="AA74">
        <f>IF(OR(計分!AA74="",計分!$AP74=""),"",計分!$AP74-計分!AA74)</f>
        <v/>
      </c>
      <c r="AB74">
        <f>IF(OR(計分!AB74="",計分!$AP74=""),"",計分!$AP74-計分!AB74)</f>
        <v/>
      </c>
      <c r="AC74">
        <f>IF(OR(計分!AC74="",計分!$AP74=""),"",計分!$AP74-計分!AC74)</f>
        <v/>
      </c>
      <c r="AD74">
        <f>IF(OR(計分!AD74="",計分!$AP74=""),"",計分!$AP74-計分!AD74)</f>
        <v/>
      </c>
      <c r="AE74">
        <f>IF(OR(計分!AE74="",計分!$AP74=""),"",計分!$AP74-計分!AE74)</f>
        <v/>
      </c>
      <c r="AF74">
        <f>IF(OR(計分!AF74="",計分!$AP74=""),"",計分!$AP74-計分!AF74)</f>
        <v/>
      </c>
      <c r="AG74">
        <f>IF(OR(計分!AG74="",計分!$AP74=""),"",計分!$AP74-計分!AG74)</f>
        <v/>
      </c>
      <c r="AH74">
        <f>IF(OR(計分!AH74="",計分!$AP74=""),"",計分!$AP74-計分!AH74)</f>
        <v/>
      </c>
      <c r="AI74">
        <f>IF(OR(計分!AI74="",計分!$AP74=""),"",計分!$AP74-計分!AI74)</f>
        <v/>
      </c>
      <c r="AJ74">
        <f>IF(OR(計分!AJ74="",計分!$AP74=""),"",計分!$AP74-計分!AJ74)</f>
        <v/>
      </c>
      <c r="AK74">
        <f>IF(OR(計分!AK74="",計分!$AP74=""),"",計分!$AP74-計分!AK74)</f>
        <v/>
      </c>
      <c r="AL74">
        <f>IF(OR(計分!AL74="",計分!$AP74=""),"",計分!$AP74-計分!AL74)</f>
        <v/>
      </c>
      <c r="AM74">
        <f>IF(OR(計分!AM74="",計分!$AP74=""),"",計分!$AP74-計分!AM74)</f>
        <v/>
      </c>
      <c r="AN74">
        <f>IF(OR(計分!AN74="",計分!$AP74=""),"",計分!$AP74-計分!AN74)</f>
        <v/>
      </c>
      <c r="AO74">
        <f>IF(OR(計分!AO74="",計分!$AP74=""),"",計分!$AP74-計分!AO74)</f>
        <v/>
      </c>
    </row>
    <row r="75">
      <c r="A75">
        <f>計分!A75</f>
        <v/>
      </c>
      <c r="B75">
        <f>IF(OR(計分!B75="",計分!$AP75=""),"",計分!$AP75-計分!B75)</f>
        <v/>
      </c>
      <c r="C75">
        <f>IF(OR(計分!C75="",計分!$AP75=""),"",計分!$AP75-計分!C75)</f>
        <v/>
      </c>
      <c r="D75">
        <f>IF(OR(計分!D75="",計分!$AP75=""),"",計分!$AP75-計分!D75)</f>
        <v/>
      </c>
      <c r="E75">
        <f>IF(OR(計分!E75="",計分!$AP75=""),"",計分!$AP75-計分!E75)</f>
        <v/>
      </c>
      <c r="F75">
        <f>IF(OR(計分!F75="",計分!$AP75=""),"",計分!$AP75-計分!F75)</f>
        <v/>
      </c>
      <c r="G75">
        <f>IF(OR(計分!G75="",計分!$AP75=""),"",計分!$AP75-計分!G75)</f>
        <v/>
      </c>
      <c r="H75">
        <f>IF(OR(計分!H75="",計分!$AP75=""),"",計分!$AP75-計分!H75)</f>
        <v/>
      </c>
      <c r="I75">
        <f>IF(OR(計分!I75="",計分!$AP75=""),"",計分!$AP75-計分!I75)</f>
        <v/>
      </c>
      <c r="J75">
        <f>IF(OR(計分!J75="",計分!$AP75=""),"",計分!$AP75-計分!J75)</f>
        <v/>
      </c>
      <c r="K75">
        <f>IF(OR(計分!K75="",計分!$AP75=""),"",計分!$AP75-計分!K75)</f>
        <v/>
      </c>
      <c r="L75">
        <f>IF(OR(計分!L75="",計分!$AP75=""),"",計分!$AP75-計分!L75)</f>
        <v/>
      </c>
      <c r="M75">
        <f>IF(OR(計分!M75="",計分!$AP75=""),"",計分!$AP75-計分!M75)</f>
        <v/>
      </c>
      <c r="N75">
        <f>IF(OR(計分!N75="",計分!$AP75=""),"",計分!$AP75-計分!N75)</f>
        <v/>
      </c>
      <c r="O75">
        <f>IF(OR(計分!O75="",計分!$AP75=""),"",計分!$AP75-計分!O75)</f>
        <v/>
      </c>
      <c r="P75">
        <f>IF(OR(計分!P75="",計分!$AP75=""),"",計分!$AP75-計分!P75)</f>
        <v/>
      </c>
      <c r="Q75">
        <f>IF(OR(計分!Q75="",計分!$AP75=""),"",計分!$AP75-計分!Q75)</f>
        <v/>
      </c>
      <c r="R75">
        <f>IF(OR(計分!R75="",計分!$AP75=""),"",計分!$AP75-計分!R75)</f>
        <v/>
      </c>
      <c r="S75">
        <f>IF(OR(計分!S75="",計分!$AP75=""),"",計分!$AP75-計分!S75)</f>
        <v/>
      </c>
      <c r="T75">
        <f>IF(OR(計分!T75="",計分!$AP75=""),"",計分!$AP75-計分!T75)</f>
        <v/>
      </c>
      <c r="U75">
        <f>IF(OR(計分!U75="",計分!$AP75=""),"",計分!$AP75-計分!U75)</f>
        <v/>
      </c>
      <c r="V75">
        <f>IF(OR(計分!V75="",計分!$AP75=""),"",計分!$AP75-計分!V75)</f>
        <v/>
      </c>
      <c r="W75">
        <f>IF(OR(計分!W75="",計分!$AP75=""),"",計分!$AP75-計分!W75)</f>
        <v/>
      </c>
      <c r="X75">
        <f>IF(OR(計分!X75="",計分!$AP75=""),"",計分!$AP75-計分!X75)</f>
        <v/>
      </c>
      <c r="Y75">
        <f>IF(OR(計分!Y75="",計分!$AP75=""),"",計分!$AP75-計分!Y75)</f>
        <v/>
      </c>
      <c r="Z75">
        <f>IF(OR(計分!Z75="",計分!$AP75=""),"",計分!$AP75-計分!Z75)</f>
        <v/>
      </c>
      <c r="AA75">
        <f>IF(OR(計分!AA75="",計分!$AP75=""),"",計分!$AP75-計分!AA75)</f>
        <v/>
      </c>
      <c r="AB75">
        <f>IF(OR(計分!AB75="",計分!$AP75=""),"",計分!$AP75-計分!AB75)</f>
        <v/>
      </c>
      <c r="AC75">
        <f>IF(OR(計分!AC75="",計分!$AP75=""),"",計分!$AP75-計分!AC75)</f>
        <v/>
      </c>
      <c r="AD75">
        <f>IF(OR(計分!AD75="",計分!$AP75=""),"",計分!$AP75-計分!AD75)</f>
        <v/>
      </c>
      <c r="AE75">
        <f>IF(OR(計分!AE75="",計分!$AP75=""),"",計分!$AP75-計分!AE75)</f>
        <v/>
      </c>
      <c r="AF75">
        <f>IF(OR(計分!AF75="",計分!$AP75=""),"",計分!$AP75-計分!AF75)</f>
        <v/>
      </c>
      <c r="AG75">
        <f>IF(OR(計分!AG75="",計分!$AP75=""),"",計分!$AP75-計分!AG75)</f>
        <v/>
      </c>
      <c r="AH75">
        <f>IF(OR(計分!AH75="",計分!$AP75=""),"",計分!$AP75-計分!AH75)</f>
        <v/>
      </c>
      <c r="AI75">
        <f>IF(OR(計分!AI75="",計分!$AP75=""),"",計分!$AP75-計分!AI75)</f>
        <v/>
      </c>
      <c r="AJ75">
        <f>IF(OR(計分!AJ75="",計分!$AP75=""),"",計分!$AP75-計分!AJ75)</f>
        <v/>
      </c>
      <c r="AK75">
        <f>IF(OR(計分!AK75="",計分!$AP75=""),"",計分!$AP75-計分!AK75)</f>
        <v/>
      </c>
      <c r="AL75">
        <f>IF(OR(計分!AL75="",計分!$AP75=""),"",計分!$AP75-計分!AL75)</f>
        <v/>
      </c>
      <c r="AM75">
        <f>IF(OR(計分!AM75="",計分!$AP75=""),"",計分!$AP75-計分!AM75)</f>
        <v/>
      </c>
      <c r="AN75">
        <f>IF(OR(計分!AN75="",計分!$AP75=""),"",計分!$AP75-計分!AN75)</f>
        <v/>
      </c>
      <c r="AO75">
        <f>IF(OR(計分!AO75="",計分!$AP75=""),"",計分!$AP75-計分!AO75)</f>
        <v/>
      </c>
    </row>
    <row r="76">
      <c r="A76">
        <f>計分!A76</f>
        <v/>
      </c>
      <c r="B76">
        <f>IF(OR(計分!B76="",計分!$AP76=""),"",計分!$AP76-計分!B76)</f>
        <v/>
      </c>
      <c r="C76">
        <f>IF(OR(計分!C76="",計分!$AP76=""),"",計分!$AP76-計分!C76)</f>
        <v/>
      </c>
      <c r="D76">
        <f>IF(OR(計分!D76="",計分!$AP76=""),"",計分!$AP76-計分!D76)</f>
        <v/>
      </c>
      <c r="E76">
        <f>IF(OR(計分!E76="",計分!$AP76=""),"",計分!$AP76-計分!E76)</f>
        <v/>
      </c>
      <c r="F76">
        <f>IF(OR(計分!F76="",計分!$AP76=""),"",計分!$AP76-計分!F76)</f>
        <v/>
      </c>
      <c r="G76">
        <f>IF(OR(計分!G76="",計分!$AP76=""),"",計分!$AP76-計分!G76)</f>
        <v/>
      </c>
      <c r="H76">
        <f>IF(OR(計分!H76="",計分!$AP76=""),"",計分!$AP76-計分!H76)</f>
        <v/>
      </c>
      <c r="I76">
        <f>IF(OR(計分!I76="",計分!$AP76=""),"",計分!$AP76-計分!I76)</f>
        <v/>
      </c>
      <c r="J76">
        <f>IF(OR(計分!J76="",計分!$AP76=""),"",計分!$AP76-計分!J76)</f>
        <v/>
      </c>
      <c r="K76">
        <f>IF(OR(計分!K76="",計分!$AP76=""),"",計分!$AP76-計分!K76)</f>
        <v/>
      </c>
      <c r="L76">
        <f>IF(OR(計分!L76="",計分!$AP76=""),"",計分!$AP76-計分!L76)</f>
        <v/>
      </c>
      <c r="M76">
        <f>IF(OR(計分!M76="",計分!$AP76=""),"",計分!$AP76-計分!M76)</f>
        <v/>
      </c>
      <c r="N76">
        <f>IF(OR(計分!N76="",計分!$AP76=""),"",計分!$AP76-計分!N76)</f>
        <v/>
      </c>
      <c r="O76">
        <f>IF(OR(計分!O76="",計分!$AP76=""),"",計分!$AP76-計分!O76)</f>
        <v/>
      </c>
      <c r="P76">
        <f>IF(OR(計分!P76="",計分!$AP76=""),"",計分!$AP76-計分!P76)</f>
        <v/>
      </c>
      <c r="Q76">
        <f>IF(OR(計分!Q76="",計分!$AP76=""),"",計分!$AP76-計分!Q76)</f>
        <v/>
      </c>
      <c r="R76">
        <f>IF(OR(計分!R76="",計分!$AP76=""),"",計分!$AP76-計分!R76)</f>
        <v/>
      </c>
      <c r="S76">
        <f>IF(OR(計分!S76="",計分!$AP76=""),"",計分!$AP76-計分!S76)</f>
        <v/>
      </c>
      <c r="T76">
        <f>IF(OR(計分!T76="",計分!$AP76=""),"",計分!$AP76-計分!T76)</f>
        <v/>
      </c>
      <c r="U76">
        <f>IF(OR(計分!U76="",計分!$AP76=""),"",計分!$AP76-計分!U76)</f>
        <v/>
      </c>
      <c r="V76">
        <f>IF(OR(計分!V76="",計分!$AP76=""),"",計分!$AP76-計分!V76)</f>
        <v/>
      </c>
      <c r="W76">
        <f>IF(OR(計分!W76="",計分!$AP76=""),"",計分!$AP76-計分!W76)</f>
        <v/>
      </c>
      <c r="X76">
        <f>IF(OR(計分!X76="",計分!$AP76=""),"",計分!$AP76-計分!X76)</f>
        <v/>
      </c>
      <c r="Y76">
        <f>IF(OR(計分!Y76="",計分!$AP76=""),"",計分!$AP76-計分!Y76)</f>
        <v/>
      </c>
      <c r="Z76">
        <f>IF(OR(計分!Z76="",計分!$AP76=""),"",計分!$AP76-計分!Z76)</f>
        <v/>
      </c>
      <c r="AA76">
        <f>IF(OR(計分!AA76="",計分!$AP76=""),"",計分!$AP76-計分!AA76)</f>
        <v/>
      </c>
      <c r="AB76">
        <f>IF(OR(計分!AB76="",計分!$AP76=""),"",計分!$AP76-計分!AB76)</f>
        <v/>
      </c>
      <c r="AC76">
        <f>IF(OR(計分!AC76="",計分!$AP76=""),"",計分!$AP76-計分!AC76)</f>
        <v/>
      </c>
      <c r="AD76">
        <f>IF(OR(計分!AD76="",計分!$AP76=""),"",計分!$AP76-計分!AD76)</f>
        <v/>
      </c>
      <c r="AE76">
        <f>IF(OR(計分!AE76="",計分!$AP76=""),"",計分!$AP76-計分!AE76)</f>
        <v/>
      </c>
      <c r="AF76">
        <f>IF(OR(計分!AF76="",計分!$AP76=""),"",計分!$AP76-計分!AF76)</f>
        <v/>
      </c>
      <c r="AG76">
        <f>IF(OR(計分!AG76="",計分!$AP76=""),"",計分!$AP76-計分!AG76)</f>
        <v/>
      </c>
      <c r="AH76">
        <f>IF(OR(計分!AH76="",計分!$AP76=""),"",計分!$AP76-計分!AH76)</f>
        <v/>
      </c>
      <c r="AI76">
        <f>IF(OR(計分!AI76="",計分!$AP76=""),"",計分!$AP76-計分!AI76)</f>
        <v/>
      </c>
      <c r="AJ76">
        <f>IF(OR(計分!AJ76="",計分!$AP76=""),"",計分!$AP76-計分!AJ76)</f>
        <v/>
      </c>
      <c r="AK76">
        <f>IF(OR(計分!AK76="",計分!$AP76=""),"",計分!$AP76-計分!AK76)</f>
        <v/>
      </c>
      <c r="AL76">
        <f>IF(OR(計分!AL76="",計分!$AP76=""),"",計分!$AP76-計分!AL76)</f>
        <v/>
      </c>
      <c r="AM76">
        <f>IF(OR(計分!AM76="",計分!$AP76=""),"",計分!$AP76-計分!AM76)</f>
        <v/>
      </c>
      <c r="AN76">
        <f>IF(OR(計分!AN76="",計分!$AP76=""),"",計分!$AP76-計分!AN76)</f>
        <v/>
      </c>
      <c r="AO76">
        <f>IF(OR(計分!AO76="",計分!$AP76=""),"",計分!$AP76-計分!AO76)</f>
        <v/>
      </c>
    </row>
    <row r="77">
      <c r="A77">
        <f>計分!A77</f>
        <v/>
      </c>
      <c r="B77">
        <f>IF(OR(計分!B77="",計分!$AP77=""),"",計分!$AP77-計分!B77)</f>
        <v/>
      </c>
      <c r="C77">
        <f>IF(OR(計分!C77="",計分!$AP77=""),"",計分!$AP77-計分!C77)</f>
        <v/>
      </c>
      <c r="D77">
        <f>IF(OR(計分!D77="",計分!$AP77=""),"",計分!$AP77-計分!D77)</f>
        <v/>
      </c>
      <c r="E77">
        <f>IF(OR(計分!E77="",計分!$AP77=""),"",計分!$AP77-計分!E77)</f>
        <v/>
      </c>
      <c r="F77">
        <f>IF(OR(計分!F77="",計分!$AP77=""),"",計分!$AP77-計分!F77)</f>
        <v/>
      </c>
      <c r="G77">
        <f>IF(OR(計分!G77="",計分!$AP77=""),"",計分!$AP77-計分!G77)</f>
        <v/>
      </c>
      <c r="H77">
        <f>IF(OR(計分!H77="",計分!$AP77=""),"",計分!$AP77-計分!H77)</f>
        <v/>
      </c>
      <c r="I77">
        <f>IF(OR(計分!I77="",計分!$AP77=""),"",計分!$AP77-計分!I77)</f>
        <v/>
      </c>
      <c r="J77">
        <f>IF(OR(計分!J77="",計分!$AP77=""),"",計分!$AP77-計分!J77)</f>
        <v/>
      </c>
      <c r="K77">
        <f>IF(OR(計分!K77="",計分!$AP77=""),"",計分!$AP77-計分!K77)</f>
        <v/>
      </c>
      <c r="L77">
        <f>IF(OR(計分!L77="",計分!$AP77=""),"",計分!$AP77-計分!L77)</f>
        <v/>
      </c>
      <c r="M77">
        <f>IF(OR(計分!M77="",計分!$AP77=""),"",計分!$AP77-計分!M77)</f>
        <v/>
      </c>
      <c r="N77">
        <f>IF(OR(計分!N77="",計分!$AP77=""),"",計分!$AP77-計分!N77)</f>
        <v/>
      </c>
      <c r="O77">
        <f>IF(OR(計分!O77="",計分!$AP77=""),"",計分!$AP77-計分!O77)</f>
        <v/>
      </c>
      <c r="P77">
        <f>IF(OR(計分!P77="",計分!$AP77=""),"",計分!$AP77-計分!P77)</f>
        <v/>
      </c>
      <c r="Q77">
        <f>IF(OR(計分!Q77="",計分!$AP77=""),"",計分!$AP77-計分!Q77)</f>
        <v/>
      </c>
      <c r="R77">
        <f>IF(OR(計分!R77="",計分!$AP77=""),"",計分!$AP77-計分!R77)</f>
        <v/>
      </c>
      <c r="S77">
        <f>IF(OR(計分!S77="",計分!$AP77=""),"",計分!$AP77-計分!S77)</f>
        <v/>
      </c>
      <c r="T77">
        <f>IF(OR(計分!T77="",計分!$AP77=""),"",計分!$AP77-計分!T77)</f>
        <v/>
      </c>
      <c r="U77">
        <f>IF(OR(計分!U77="",計分!$AP77=""),"",計分!$AP77-計分!U77)</f>
        <v/>
      </c>
      <c r="V77">
        <f>IF(OR(計分!V77="",計分!$AP77=""),"",計分!$AP77-計分!V77)</f>
        <v/>
      </c>
      <c r="W77">
        <f>IF(OR(計分!W77="",計分!$AP77=""),"",計分!$AP77-計分!W77)</f>
        <v/>
      </c>
      <c r="X77">
        <f>IF(OR(計分!X77="",計分!$AP77=""),"",計分!$AP77-計分!X77)</f>
        <v/>
      </c>
      <c r="Y77">
        <f>IF(OR(計分!Y77="",計分!$AP77=""),"",計分!$AP77-計分!Y77)</f>
        <v/>
      </c>
      <c r="Z77">
        <f>IF(OR(計分!Z77="",計分!$AP77=""),"",計分!$AP77-計分!Z77)</f>
        <v/>
      </c>
      <c r="AA77">
        <f>IF(OR(計分!AA77="",計分!$AP77=""),"",計分!$AP77-計分!AA77)</f>
        <v/>
      </c>
      <c r="AB77">
        <f>IF(OR(計分!AB77="",計分!$AP77=""),"",計分!$AP77-計分!AB77)</f>
        <v/>
      </c>
      <c r="AC77">
        <f>IF(OR(計分!AC77="",計分!$AP77=""),"",計分!$AP77-計分!AC77)</f>
        <v/>
      </c>
      <c r="AD77">
        <f>IF(OR(計分!AD77="",計分!$AP77=""),"",計分!$AP77-計分!AD77)</f>
        <v/>
      </c>
      <c r="AE77">
        <f>IF(OR(計分!AE77="",計分!$AP77=""),"",計分!$AP77-計分!AE77)</f>
        <v/>
      </c>
      <c r="AF77">
        <f>IF(OR(計分!AF77="",計分!$AP77=""),"",計分!$AP77-計分!AF77)</f>
        <v/>
      </c>
      <c r="AG77">
        <f>IF(OR(計分!AG77="",計分!$AP77=""),"",計分!$AP77-計分!AG77)</f>
        <v/>
      </c>
      <c r="AH77">
        <f>IF(OR(計分!AH77="",計分!$AP77=""),"",計分!$AP77-計分!AH77)</f>
        <v/>
      </c>
      <c r="AI77">
        <f>IF(OR(計分!AI77="",計分!$AP77=""),"",計分!$AP77-計分!AI77)</f>
        <v/>
      </c>
      <c r="AJ77">
        <f>IF(OR(計分!AJ77="",計分!$AP77=""),"",計分!$AP77-計分!AJ77)</f>
        <v/>
      </c>
      <c r="AK77">
        <f>IF(OR(計分!AK77="",計分!$AP77=""),"",計分!$AP77-計分!AK77)</f>
        <v/>
      </c>
      <c r="AL77">
        <f>IF(OR(計分!AL77="",計分!$AP77=""),"",計分!$AP77-計分!AL77)</f>
        <v/>
      </c>
      <c r="AM77">
        <f>IF(OR(計分!AM77="",計分!$AP77=""),"",計分!$AP77-計分!AM77)</f>
        <v/>
      </c>
      <c r="AN77">
        <f>IF(OR(計分!AN77="",計分!$AP77=""),"",計分!$AP77-計分!AN77)</f>
        <v/>
      </c>
      <c r="AO77">
        <f>IF(OR(計分!AO77="",計分!$AP77=""),"",計分!$AP77-計分!AO77)</f>
        <v/>
      </c>
    </row>
    <row r="78">
      <c r="A78">
        <f>計分!A78</f>
        <v/>
      </c>
      <c r="B78">
        <f>IF(OR(計分!B78="",計分!$AP78=""),"",計分!$AP78-計分!B78)</f>
        <v/>
      </c>
      <c r="C78">
        <f>IF(OR(計分!C78="",計分!$AP78=""),"",計分!$AP78-計分!C78)</f>
        <v/>
      </c>
      <c r="D78">
        <f>IF(OR(計分!D78="",計分!$AP78=""),"",計分!$AP78-計分!D78)</f>
        <v/>
      </c>
      <c r="E78">
        <f>IF(OR(計分!E78="",計分!$AP78=""),"",計分!$AP78-計分!E78)</f>
        <v/>
      </c>
      <c r="F78">
        <f>IF(OR(計分!F78="",計分!$AP78=""),"",計分!$AP78-計分!F78)</f>
        <v/>
      </c>
      <c r="G78">
        <f>IF(OR(計分!G78="",計分!$AP78=""),"",計分!$AP78-計分!G78)</f>
        <v/>
      </c>
      <c r="H78">
        <f>IF(OR(計分!H78="",計分!$AP78=""),"",計分!$AP78-計分!H78)</f>
        <v/>
      </c>
      <c r="I78">
        <f>IF(OR(計分!I78="",計分!$AP78=""),"",計分!$AP78-計分!I78)</f>
        <v/>
      </c>
      <c r="J78">
        <f>IF(OR(計分!J78="",計分!$AP78=""),"",計分!$AP78-計分!J78)</f>
        <v/>
      </c>
      <c r="K78">
        <f>IF(OR(計分!K78="",計分!$AP78=""),"",計分!$AP78-計分!K78)</f>
        <v/>
      </c>
      <c r="L78">
        <f>IF(OR(計分!L78="",計分!$AP78=""),"",計分!$AP78-計分!L78)</f>
        <v/>
      </c>
      <c r="M78">
        <f>IF(OR(計分!M78="",計分!$AP78=""),"",計分!$AP78-計分!M78)</f>
        <v/>
      </c>
      <c r="N78">
        <f>IF(OR(計分!N78="",計分!$AP78=""),"",計分!$AP78-計分!N78)</f>
        <v/>
      </c>
      <c r="O78">
        <f>IF(OR(計分!O78="",計分!$AP78=""),"",計分!$AP78-計分!O78)</f>
        <v/>
      </c>
      <c r="P78">
        <f>IF(OR(計分!P78="",計分!$AP78=""),"",計分!$AP78-計分!P78)</f>
        <v/>
      </c>
      <c r="Q78">
        <f>IF(OR(計分!Q78="",計分!$AP78=""),"",計分!$AP78-計分!Q78)</f>
        <v/>
      </c>
      <c r="R78">
        <f>IF(OR(計分!R78="",計分!$AP78=""),"",計分!$AP78-計分!R78)</f>
        <v/>
      </c>
      <c r="S78">
        <f>IF(OR(計分!S78="",計分!$AP78=""),"",計分!$AP78-計分!S78)</f>
        <v/>
      </c>
      <c r="T78">
        <f>IF(OR(計分!T78="",計分!$AP78=""),"",計分!$AP78-計分!T78)</f>
        <v/>
      </c>
      <c r="U78">
        <f>IF(OR(計分!U78="",計分!$AP78=""),"",計分!$AP78-計分!U78)</f>
        <v/>
      </c>
      <c r="V78">
        <f>IF(OR(計分!V78="",計分!$AP78=""),"",計分!$AP78-計分!V78)</f>
        <v/>
      </c>
      <c r="W78">
        <f>IF(OR(計分!W78="",計分!$AP78=""),"",計分!$AP78-計分!W78)</f>
        <v/>
      </c>
      <c r="X78">
        <f>IF(OR(計分!X78="",計分!$AP78=""),"",計分!$AP78-計分!X78)</f>
        <v/>
      </c>
      <c r="Y78">
        <f>IF(OR(計分!Y78="",計分!$AP78=""),"",計分!$AP78-計分!Y78)</f>
        <v/>
      </c>
      <c r="Z78">
        <f>IF(OR(計分!Z78="",計分!$AP78=""),"",計分!$AP78-計分!Z78)</f>
        <v/>
      </c>
      <c r="AA78">
        <f>IF(OR(計分!AA78="",計分!$AP78=""),"",計分!$AP78-計分!AA78)</f>
        <v/>
      </c>
      <c r="AB78">
        <f>IF(OR(計分!AB78="",計分!$AP78=""),"",計分!$AP78-計分!AB78)</f>
        <v/>
      </c>
      <c r="AC78">
        <f>IF(OR(計分!AC78="",計分!$AP78=""),"",計分!$AP78-計分!AC78)</f>
        <v/>
      </c>
      <c r="AD78">
        <f>IF(OR(計分!AD78="",計分!$AP78=""),"",計分!$AP78-計分!AD78)</f>
        <v/>
      </c>
      <c r="AE78">
        <f>IF(OR(計分!AE78="",計分!$AP78=""),"",計分!$AP78-計分!AE78)</f>
        <v/>
      </c>
      <c r="AF78">
        <f>IF(OR(計分!AF78="",計分!$AP78=""),"",計分!$AP78-計分!AF78)</f>
        <v/>
      </c>
      <c r="AG78">
        <f>IF(OR(計分!AG78="",計分!$AP78=""),"",計分!$AP78-計分!AG78)</f>
        <v/>
      </c>
      <c r="AH78">
        <f>IF(OR(計分!AH78="",計分!$AP78=""),"",計分!$AP78-計分!AH78)</f>
        <v/>
      </c>
      <c r="AI78">
        <f>IF(OR(計分!AI78="",計分!$AP78=""),"",計分!$AP78-計分!AI78)</f>
        <v/>
      </c>
      <c r="AJ78">
        <f>IF(OR(計分!AJ78="",計分!$AP78=""),"",計分!$AP78-計分!AJ78)</f>
        <v/>
      </c>
      <c r="AK78">
        <f>IF(OR(計分!AK78="",計分!$AP78=""),"",計分!$AP78-計分!AK78)</f>
        <v/>
      </c>
      <c r="AL78">
        <f>IF(OR(計分!AL78="",計分!$AP78=""),"",計分!$AP78-計分!AL78)</f>
        <v/>
      </c>
      <c r="AM78">
        <f>IF(OR(計分!AM78="",計分!$AP78=""),"",計分!$AP78-計分!AM78)</f>
        <v/>
      </c>
      <c r="AN78">
        <f>IF(OR(計分!AN78="",計分!$AP78=""),"",計分!$AP78-計分!AN78)</f>
        <v/>
      </c>
      <c r="AO78">
        <f>IF(OR(計分!AO78="",計分!$AP78=""),"",計分!$AP78-計分!AO78)</f>
        <v/>
      </c>
    </row>
    <row r="79">
      <c r="A79">
        <f>計分!A79</f>
        <v/>
      </c>
      <c r="B79">
        <f>IF(OR(計分!B79="",計分!$AP79=""),"",計分!$AP79-計分!B79)</f>
        <v/>
      </c>
      <c r="C79">
        <f>IF(OR(計分!C79="",計分!$AP79=""),"",計分!$AP79-計分!C79)</f>
        <v/>
      </c>
      <c r="D79">
        <f>IF(OR(計分!D79="",計分!$AP79=""),"",計分!$AP79-計分!D79)</f>
        <v/>
      </c>
      <c r="E79">
        <f>IF(OR(計分!E79="",計分!$AP79=""),"",計分!$AP79-計分!E79)</f>
        <v/>
      </c>
      <c r="F79">
        <f>IF(OR(計分!F79="",計分!$AP79=""),"",計分!$AP79-計分!F79)</f>
        <v/>
      </c>
      <c r="G79">
        <f>IF(OR(計分!G79="",計分!$AP79=""),"",計分!$AP79-計分!G79)</f>
        <v/>
      </c>
      <c r="H79">
        <f>IF(OR(計分!H79="",計分!$AP79=""),"",計分!$AP79-計分!H79)</f>
        <v/>
      </c>
      <c r="I79">
        <f>IF(OR(計分!I79="",計分!$AP79=""),"",計分!$AP79-計分!I79)</f>
        <v/>
      </c>
      <c r="J79">
        <f>IF(OR(計分!J79="",計分!$AP79=""),"",計分!$AP79-計分!J79)</f>
        <v/>
      </c>
      <c r="K79">
        <f>IF(OR(計分!K79="",計分!$AP79=""),"",計分!$AP79-計分!K79)</f>
        <v/>
      </c>
      <c r="L79">
        <f>IF(OR(計分!L79="",計分!$AP79=""),"",計分!$AP79-計分!L79)</f>
        <v/>
      </c>
      <c r="M79">
        <f>IF(OR(計分!M79="",計分!$AP79=""),"",計分!$AP79-計分!M79)</f>
        <v/>
      </c>
      <c r="N79">
        <f>IF(OR(計分!N79="",計分!$AP79=""),"",計分!$AP79-計分!N79)</f>
        <v/>
      </c>
      <c r="O79">
        <f>IF(OR(計分!O79="",計分!$AP79=""),"",計分!$AP79-計分!O79)</f>
        <v/>
      </c>
      <c r="P79">
        <f>IF(OR(計分!P79="",計分!$AP79=""),"",計分!$AP79-計分!P79)</f>
        <v/>
      </c>
      <c r="Q79">
        <f>IF(OR(計分!Q79="",計分!$AP79=""),"",計分!$AP79-計分!Q79)</f>
        <v/>
      </c>
      <c r="R79">
        <f>IF(OR(計分!R79="",計分!$AP79=""),"",計分!$AP79-計分!R79)</f>
        <v/>
      </c>
      <c r="S79">
        <f>IF(OR(計分!S79="",計分!$AP79=""),"",計分!$AP79-計分!S79)</f>
        <v/>
      </c>
      <c r="T79">
        <f>IF(OR(計分!T79="",計分!$AP79=""),"",計分!$AP79-計分!T79)</f>
        <v/>
      </c>
      <c r="U79">
        <f>IF(OR(計分!U79="",計分!$AP79=""),"",計分!$AP79-計分!U79)</f>
        <v/>
      </c>
      <c r="V79">
        <f>IF(OR(計分!V79="",計分!$AP79=""),"",計分!$AP79-計分!V79)</f>
        <v/>
      </c>
      <c r="W79">
        <f>IF(OR(計分!W79="",計分!$AP79=""),"",計分!$AP79-計分!W79)</f>
        <v/>
      </c>
      <c r="X79">
        <f>IF(OR(計分!X79="",計分!$AP79=""),"",計分!$AP79-計分!X79)</f>
        <v/>
      </c>
      <c r="Y79">
        <f>IF(OR(計分!Y79="",計分!$AP79=""),"",計分!$AP79-計分!Y79)</f>
        <v/>
      </c>
      <c r="Z79">
        <f>IF(OR(計分!Z79="",計分!$AP79=""),"",計分!$AP79-計分!Z79)</f>
        <v/>
      </c>
      <c r="AA79">
        <f>IF(OR(計分!AA79="",計分!$AP79=""),"",計分!$AP79-計分!AA79)</f>
        <v/>
      </c>
      <c r="AB79">
        <f>IF(OR(計分!AB79="",計分!$AP79=""),"",計分!$AP79-計分!AB79)</f>
        <v/>
      </c>
      <c r="AC79">
        <f>IF(OR(計分!AC79="",計分!$AP79=""),"",計分!$AP79-計分!AC79)</f>
        <v/>
      </c>
      <c r="AD79">
        <f>IF(OR(計分!AD79="",計分!$AP79=""),"",計分!$AP79-計分!AD79)</f>
        <v/>
      </c>
      <c r="AE79">
        <f>IF(OR(計分!AE79="",計分!$AP79=""),"",計分!$AP79-計分!AE79)</f>
        <v/>
      </c>
      <c r="AF79">
        <f>IF(OR(計分!AF79="",計分!$AP79=""),"",計分!$AP79-計分!AF79)</f>
        <v/>
      </c>
      <c r="AG79">
        <f>IF(OR(計分!AG79="",計分!$AP79=""),"",計分!$AP79-計分!AG79)</f>
        <v/>
      </c>
      <c r="AH79">
        <f>IF(OR(計分!AH79="",計分!$AP79=""),"",計分!$AP79-計分!AH79)</f>
        <v/>
      </c>
      <c r="AI79">
        <f>IF(OR(計分!AI79="",計分!$AP79=""),"",計分!$AP79-計分!AI79)</f>
        <v/>
      </c>
      <c r="AJ79">
        <f>IF(OR(計分!AJ79="",計分!$AP79=""),"",計分!$AP79-計分!AJ79)</f>
        <v/>
      </c>
      <c r="AK79">
        <f>IF(OR(計分!AK79="",計分!$AP79=""),"",計分!$AP79-計分!AK79)</f>
        <v/>
      </c>
      <c r="AL79">
        <f>IF(OR(計分!AL79="",計分!$AP79=""),"",計分!$AP79-計分!AL79)</f>
        <v/>
      </c>
      <c r="AM79">
        <f>IF(OR(計分!AM79="",計分!$AP79=""),"",計分!$AP79-計分!AM79)</f>
        <v/>
      </c>
      <c r="AN79">
        <f>IF(OR(計分!AN79="",計分!$AP79=""),"",計分!$AP79-計分!AN79)</f>
        <v/>
      </c>
      <c r="AO79">
        <f>IF(OR(計分!AO79="",計分!$AP79=""),"",計分!$AP79-計分!AO79)</f>
        <v/>
      </c>
    </row>
    <row r="80">
      <c r="A80">
        <f>計分!A80</f>
        <v/>
      </c>
      <c r="B80">
        <f>IF(OR(計分!B80="",計分!$AP80=""),"",計分!$AP80-計分!B80)</f>
        <v/>
      </c>
      <c r="C80">
        <f>IF(OR(計分!C80="",計分!$AP80=""),"",計分!$AP80-計分!C80)</f>
        <v/>
      </c>
      <c r="D80">
        <f>IF(OR(計分!D80="",計分!$AP80=""),"",計分!$AP80-計分!D80)</f>
        <v/>
      </c>
      <c r="E80">
        <f>IF(OR(計分!E80="",計分!$AP80=""),"",計分!$AP80-計分!E80)</f>
        <v/>
      </c>
      <c r="F80">
        <f>IF(OR(計分!F80="",計分!$AP80=""),"",計分!$AP80-計分!F80)</f>
        <v/>
      </c>
      <c r="G80">
        <f>IF(OR(計分!G80="",計分!$AP80=""),"",計分!$AP80-計分!G80)</f>
        <v/>
      </c>
      <c r="H80">
        <f>IF(OR(計分!H80="",計分!$AP80=""),"",計分!$AP80-計分!H80)</f>
        <v/>
      </c>
      <c r="I80">
        <f>IF(OR(計分!I80="",計分!$AP80=""),"",計分!$AP80-計分!I80)</f>
        <v/>
      </c>
      <c r="J80">
        <f>IF(OR(計分!J80="",計分!$AP80=""),"",計分!$AP80-計分!J80)</f>
        <v/>
      </c>
      <c r="K80">
        <f>IF(OR(計分!K80="",計分!$AP80=""),"",計分!$AP80-計分!K80)</f>
        <v/>
      </c>
      <c r="L80">
        <f>IF(OR(計分!L80="",計分!$AP80=""),"",計分!$AP80-計分!L80)</f>
        <v/>
      </c>
      <c r="M80">
        <f>IF(OR(計分!M80="",計分!$AP80=""),"",計分!$AP80-計分!M80)</f>
        <v/>
      </c>
      <c r="N80">
        <f>IF(OR(計分!N80="",計分!$AP80=""),"",計分!$AP80-計分!N80)</f>
        <v/>
      </c>
      <c r="O80">
        <f>IF(OR(計分!O80="",計分!$AP80=""),"",計分!$AP80-計分!O80)</f>
        <v/>
      </c>
      <c r="P80">
        <f>IF(OR(計分!P80="",計分!$AP80=""),"",計分!$AP80-計分!P80)</f>
        <v/>
      </c>
      <c r="Q80">
        <f>IF(OR(計分!Q80="",計分!$AP80=""),"",計分!$AP80-計分!Q80)</f>
        <v/>
      </c>
      <c r="R80">
        <f>IF(OR(計分!R80="",計分!$AP80=""),"",計分!$AP80-計分!R80)</f>
        <v/>
      </c>
      <c r="S80">
        <f>IF(OR(計分!S80="",計分!$AP80=""),"",計分!$AP80-計分!S80)</f>
        <v/>
      </c>
      <c r="T80">
        <f>IF(OR(計分!T80="",計分!$AP80=""),"",計分!$AP80-計分!T80)</f>
        <v/>
      </c>
      <c r="U80">
        <f>IF(OR(計分!U80="",計分!$AP80=""),"",計分!$AP80-計分!U80)</f>
        <v/>
      </c>
      <c r="V80">
        <f>IF(OR(計分!V80="",計分!$AP80=""),"",計分!$AP80-計分!V80)</f>
        <v/>
      </c>
      <c r="W80">
        <f>IF(OR(計分!W80="",計分!$AP80=""),"",計分!$AP80-計分!W80)</f>
        <v/>
      </c>
      <c r="X80">
        <f>IF(OR(計分!X80="",計分!$AP80=""),"",計分!$AP80-計分!X80)</f>
        <v/>
      </c>
      <c r="Y80">
        <f>IF(OR(計分!Y80="",計分!$AP80=""),"",計分!$AP80-計分!Y80)</f>
        <v/>
      </c>
      <c r="Z80">
        <f>IF(OR(計分!Z80="",計分!$AP80=""),"",計分!$AP80-計分!Z80)</f>
        <v/>
      </c>
      <c r="AA80">
        <f>IF(OR(計分!AA80="",計分!$AP80=""),"",計分!$AP80-計分!AA80)</f>
        <v/>
      </c>
      <c r="AB80">
        <f>IF(OR(計分!AB80="",計分!$AP80=""),"",計分!$AP80-計分!AB80)</f>
        <v/>
      </c>
      <c r="AC80">
        <f>IF(OR(計分!AC80="",計分!$AP80=""),"",計分!$AP80-計分!AC80)</f>
        <v/>
      </c>
      <c r="AD80">
        <f>IF(OR(計分!AD80="",計分!$AP80=""),"",計分!$AP80-計分!AD80)</f>
        <v/>
      </c>
      <c r="AE80">
        <f>IF(OR(計分!AE80="",計分!$AP80=""),"",計分!$AP80-計分!AE80)</f>
        <v/>
      </c>
      <c r="AF80">
        <f>IF(OR(計分!AF80="",計分!$AP80=""),"",計分!$AP80-計分!AF80)</f>
        <v/>
      </c>
      <c r="AG80">
        <f>IF(OR(計分!AG80="",計分!$AP80=""),"",計分!$AP80-計分!AG80)</f>
        <v/>
      </c>
      <c r="AH80">
        <f>IF(OR(計分!AH80="",計分!$AP80=""),"",計分!$AP80-計分!AH80)</f>
        <v/>
      </c>
      <c r="AI80">
        <f>IF(OR(計分!AI80="",計分!$AP80=""),"",計分!$AP80-計分!AI80)</f>
        <v/>
      </c>
      <c r="AJ80">
        <f>IF(OR(計分!AJ80="",計分!$AP80=""),"",計分!$AP80-計分!AJ80)</f>
        <v/>
      </c>
      <c r="AK80">
        <f>IF(OR(計分!AK80="",計分!$AP80=""),"",計分!$AP80-計分!AK80)</f>
        <v/>
      </c>
      <c r="AL80">
        <f>IF(OR(計分!AL80="",計分!$AP80=""),"",計分!$AP80-計分!AL80)</f>
        <v/>
      </c>
      <c r="AM80">
        <f>IF(OR(計分!AM80="",計分!$AP80=""),"",計分!$AP80-計分!AM80)</f>
        <v/>
      </c>
      <c r="AN80">
        <f>IF(OR(計分!AN80="",計分!$AP80=""),"",計分!$AP80-計分!AN80)</f>
        <v/>
      </c>
      <c r="AO80">
        <f>IF(OR(計分!AO80="",計分!$AP80=""),"",計分!$AP80-計分!AO80)</f>
        <v/>
      </c>
    </row>
    <row r="81">
      <c r="A81">
        <f>計分!A81</f>
        <v/>
      </c>
      <c r="B81">
        <f>IF(OR(計分!B81="",計分!$AP81=""),"",計分!$AP81-計分!B81)</f>
        <v/>
      </c>
      <c r="C81">
        <f>IF(OR(計分!C81="",計分!$AP81=""),"",計分!$AP81-計分!C81)</f>
        <v/>
      </c>
      <c r="D81">
        <f>IF(OR(計分!D81="",計分!$AP81=""),"",計分!$AP81-計分!D81)</f>
        <v/>
      </c>
      <c r="E81">
        <f>IF(OR(計分!E81="",計分!$AP81=""),"",計分!$AP81-計分!E81)</f>
        <v/>
      </c>
      <c r="F81">
        <f>IF(OR(計分!F81="",計分!$AP81=""),"",計分!$AP81-計分!F81)</f>
        <v/>
      </c>
      <c r="G81">
        <f>IF(OR(計分!G81="",計分!$AP81=""),"",計分!$AP81-計分!G81)</f>
        <v/>
      </c>
      <c r="H81">
        <f>IF(OR(計分!H81="",計分!$AP81=""),"",計分!$AP81-計分!H81)</f>
        <v/>
      </c>
      <c r="I81">
        <f>IF(OR(計分!I81="",計分!$AP81=""),"",計分!$AP81-計分!I81)</f>
        <v/>
      </c>
      <c r="J81">
        <f>IF(OR(計分!J81="",計分!$AP81=""),"",計分!$AP81-計分!J81)</f>
        <v/>
      </c>
      <c r="K81">
        <f>IF(OR(計分!K81="",計分!$AP81=""),"",計分!$AP81-計分!K81)</f>
        <v/>
      </c>
      <c r="L81">
        <f>IF(OR(計分!L81="",計分!$AP81=""),"",計分!$AP81-計分!L81)</f>
        <v/>
      </c>
      <c r="M81">
        <f>IF(OR(計分!M81="",計分!$AP81=""),"",計分!$AP81-計分!M81)</f>
        <v/>
      </c>
      <c r="N81">
        <f>IF(OR(計分!N81="",計分!$AP81=""),"",計分!$AP81-計分!N81)</f>
        <v/>
      </c>
      <c r="O81">
        <f>IF(OR(計分!O81="",計分!$AP81=""),"",計分!$AP81-計分!O81)</f>
        <v/>
      </c>
      <c r="P81">
        <f>IF(OR(計分!P81="",計分!$AP81=""),"",計分!$AP81-計分!P81)</f>
        <v/>
      </c>
      <c r="Q81">
        <f>IF(OR(計分!Q81="",計分!$AP81=""),"",計分!$AP81-計分!Q81)</f>
        <v/>
      </c>
      <c r="R81">
        <f>IF(OR(計分!R81="",計分!$AP81=""),"",計分!$AP81-計分!R81)</f>
        <v/>
      </c>
      <c r="S81">
        <f>IF(OR(計分!S81="",計分!$AP81=""),"",計分!$AP81-計分!S81)</f>
        <v/>
      </c>
      <c r="T81">
        <f>IF(OR(計分!T81="",計分!$AP81=""),"",計分!$AP81-計分!T81)</f>
        <v/>
      </c>
      <c r="U81">
        <f>IF(OR(計分!U81="",計分!$AP81=""),"",計分!$AP81-計分!U81)</f>
        <v/>
      </c>
      <c r="V81">
        <f>IF(OR(計分!V81="",計分!$AP81=""),"",計分!$AP81-計分!V81)</f>
        <v/>
      </c>
      <c r="W81">
        <f>IF(OR(計分!W81="",計分!$AP81=""),"",計分!$AP81-計分!W81)</f>
        <v/>
      </c>
      <c r="X81">
        <f>IF(OR(計分!X81="",計分!$AP81=""),"",計分!$AP81-計分!X81)</f>
        <v/>
      </c>
      <c r="Y81">
        <f>IF(OR(計分!Y81="",計分!$AP81=""),"",計分!$AP81-計分!Y81)</f>
        <v/>
      </c>
      <c r="Z81">
        <f>IF(OR(計分!Z81="",計分!$AP81=""),"",計分!$AP81-計分!Z81)</f>
        <v/>
      </c>
      <c r="AA81">
        <f>IF(OR(計分!AA81="",計分!$AP81=""),"",計分!$AP81-計分!AA81)</f>
        <v/>
      </c>
      <c r="AB81">
        <f>IF(OR(計分!AB81="",計分!$AP81=""),"",計分!$AP81-計分!AB81)</f>
        <v/>
      </c>
      <c r="AC81">
        <f>IF(OR(計分!AC81="",計分!$AP81=""),"",計分!$AP81-計分!AC81)</f>
        <v/>
      </c>
      <c r="AD81">
        <f>IF(OR(計分!AD81="",計分!$AP81=""),"",計分!$AP81-計分!AD81)</f>
        <v/>
      </c>
      <c r="AE81">
        <f>IF(OR(計分!AE81="",計分!$AP81=""),"",計分!$AP81-計分!AE81)</f>
        <v/>
      </c>
      <c r="AF81">
        <f>IF(OR(計分!AF81="",計分!$AP81=""),"",計分!$AP81-計分!AF81)</f>
        <v/>
      </c>
      <c r="AG81">
        <f>IF(OR(計分!AG81="",計分!$AP81=""),"",計分!$AP81-計分!AG81)</f>
        <v/>
      </c>
      <c r="AH81">
        <f>IF(OR(計分!AH81="",計分!$AP81=""),"",計分!$AP81-計分!AH81)</f>
        <v/>
      </c>
      <c r="AI81">
        <f>IF(OR(計分!AI81="",計分!$AP81=""),"",計分!$AP81-計分!AI81)</f>
        <v/>
      </c>
      <c r="AJ81">
        <f>IF(OR(計分!AJ81="",計分!$AP81=""),"",計分!$AP81-計分!AJ81)</f>
        <v/>
      </c>
      <c r="AK81">
        <f>IF(OR(計分!AK81="",計分!$AP81=""),"",計分!$AP81-計分!AK81)</f>
        <v/>
      </c>
      <c r="AL81">
        <f>IF(OR(計分!AL81="",計分!$AP81=""),"",計分!$AP81-計分!AL81)</f>
        <v/>
      </c>
      <c r="AM81">
        <f>IF(OR(計分!AM81="",計分!$AP81=""),"",計分!$AP81-計分!AM81)</f>
        <v/>
      </c>
      <c r="AN81">
        <f>IF(OR(計分!AN81="",計分!$AP81=""),"",計分!$AP81-計分!AN81)</f>
        <v/>
      </c>
      <c r="AO81">
        <f>IF(OR(計分!AO81="",計分!$AP81=""),"",計分!$AP81-計分!AO81)</f>
        <v/>
      </c>
    </row>
    <row r="82">
      <c r="A82">
        <f>計分!A82</f>
        <v/>
      </c>
      <c r="B82">
        <f>IF(OR(計分!B82="",計分!$AP82=""),"",計分!$AP82-計分!B82)</f>
        <v/>
      </c>
      <c r="C82">
        <f>IF(OR(計分!C82="",計分!$AP82=""),"",計分!$AP82-計分!C82)</f>
        <v/>
      </c>
      <c r="D82">
        <f>IF(OR(計分!D82="",計分!$AP82=""),"",計分!$AP82-計分!D82)</f>
        <v/>
      </c>
      <c r="E82">
        <f>IF(OR(計分!E82="",計分!$AP82=""),"",計分!$AP82-計分!E82)</f>
        <v/>
      </c>
      <c r="F82">
        <f>IF(OR(計分!F82="",計分!$AP82=""),"",計分!$AP82-計分!F82)</f>
        <v/>
      </c>
      <c r="G82">
        <f>IF(OR(計分!G82="",計分!$AP82=""),"",計分!$AP82-計分!G82)</f>
        <v/>
      </c>
      <c r="H82">
        <f>IF(OR(計分!H82="",計分!$AP82=""),"",計分!$AP82-計分!H82)</f>
        <v/>
      </c>
      <c r="I82">
        <f>IF(OR(計分!I82="",計分!$AP82=""),"",計分!$AP82-計分!I82)</f>
        <v/>
      </c>
      <c r="J82">
        <f>IF(OR(計分!J82="",計分!$AP82=""),"",計分!$AP82-計分!J82)</f>
        <v/>
      </c>
      <c r="K82">
        <f>IF(OR(計分!K82="",計分!$AP82=""),"",計分!$AP82-計分!K82)</f>
        <v/>
      </c>
      <c r="L82">
        <f>IF(OR(計分!L82="",計分!$AP82=""),"",計分!$AP82-計分!L82)</f>
        <v/>
      </c>
      <c r="M82">
        <f>IF(OR(計分!M82="",計分!$AP82=""),"",計分!$AP82-計分!M82)</f>
        <v/>
      </c>
      <c r="N82">
        <f>IF(OR(計分!N82="",計分!$AP82=""),"",計分!$AP82-計分!N82)</f>
        <v/>
      </c>
      <c r="O82">
        <f>IF(OR(計分!O82="",計分!$AP82=""),"",計分!$AP82-計分!O82)</f>
        <v/>
      </c>
      <c r="P82">
        <f>IF(OR(計分!P82="",計分!$AP82=""),"",計分!$AP82-計分!P82)</f>
        <v/>
      </c>
      <c r="Q82">
        <f>IF(OR(計分!Q82="",計分!$AP82=""),"",計分!$AP82-計分!Q82)</f>
        <v/>
      </c>
      <c r="R82">
        <f>IF(OR(計分!R82="",計分!$AP82=""),"",計分!$AP82-計分!R82)</f>
        <v/>
      </c>
      <c r="S82">
        <f>IF(OR(計分!S82="",計分!$AP82=""),"",計分!$AP82-計分!S82)</f>
        <v/>
      </c>
      <c r="T82">
        <f>IF(OR(計分!T82="",計分!$AP82=""),"",計分!$AP82-計分!T82)</f>
        <v/>
      </c>
      <c r="U82">
        <f>IF(OR(計分!U82="",計分!$AP82=""),"",計分!$AP82-計分!U82)</f>
        <v/>
      </c>
      <c r="V82">
        <f>IF(OR(計分!V82="",計分!$AP82=""),"",計分!$AP82-計分!V82)</f>
        <v/>
      </c>
      <c r="W82">
        <f>IF(OR(計分!W82="",計分!$AP82=""),"",計分!$AP82-計分!W82)</f>
        <v/>
      </c>
      <c r="X82">
        <f>IF(OR(計分!X82="",計分!$AP82=""),"",計分!$AP82-計分!X82)</f>
        <v/>
      </c>
      <c r="Y82">
        <f>IF(OR(計分!Y82="",計分!$AP82=""),"",計分!$AP82-計分!Y82)</f>
        <v/>
      </c>
      <c r="Z82">
        <f>IF(OR(計分!Z82="",計分!$AP82=""),"",計分!$AP82-計分!Z82)</f>
        <v/>
      </c>
      <c r="AA82">
        <f>IF(OR(計分!AA82="",計分!$AP82=""),"",計分!$AP82-計分!AA82)</f>
        <v/>
      </c>
      <c r="AB82">
        <f>IF(OR(計分!AB82="",計分!$AP82=""),"",計分!$AP82-計分!AB82)</f>
        <v/>
      </c>
      <c r="AC82">
        <f>IF(OR(計分!AC82="",計分!$AP82=""),"",計分!$AP82-計分!AC82)</f>
        <v/>
      </c>
      <c r="AD82">
        <f>IF(OR(計分!AD82="",計分!$AP82=""),"",計分!$AP82-計分!AD82)</f>
        <v/>
      </c>
      <c r="AE82">
        <f>IF(OR(計分!AE82="",計分!$AP82=""),"",計分!$AP82-計分!AE82)</f>
        <v/>
      </c>
      <c r="AF82">
        <f>IF(OR(計分!AF82="",計分!$AP82=""),"",計分!$AP82-計分!AF82)</f>
        <v/>
      </c>
      <c r="AG82">
        <f>IF(OR(計分!AG82="",計分!$AP82=""),"",計分!$AP82-計分!AG82)</f>
        <v/>
      </c>
      <c r="AH82">
        <f>IF(OR(計分!AH82="",計分!$AP82=""),"",計分!$AP82-計分!AH82)</f>
        <v/>
      </c>
      <c r="AI82">
        <f>IF(OR(計分!AI82="",計分!$AP82=""),"",計分!$AP82-計分!AI82)</f>
        <v/>
      </c>
      <c r="AJ82">
        <f>IF(OR(計分!AJ82="",計分!$AP82=""),"",計分!$AP82-計分!AJ82)</f>
        <v/>
      </c>
      <c r="AK82">
        <f>IF(OR(計分!AK82="",計分!$AP82=""),"",計分!$AP82-計分!AK82)</f>
        <v/>
      </c>
      <c r="AL82">
        <f>IF(OR(計分!AL82="",計分!$AP82=""),"",計分!$AP82-計分!AL82)</f>
        <v/>
      </c>
      <c r="AM82">
        <f>IF(OR(計分!AM82="",計分!$AP82=""),"",計分!$AP82-計分!AM82)</f>
        <v/>
      </c>
      <c r="AN82">
        <f>IF(OR(計分!AN82="",計分!$AP82=""),"",計分!$AP82-計分!AN82)</f>
        <v/>
      </c>
      <c r="AO82">
        <f>IF(OR(計分!AO82="",計分!$AP82=""),"",計分!$AP82-計分!AO82)</f>
        <v/>
      </c>
    </row>
    <row r="83">
      <c r="A83">
        <f>計分!A83</f>
        <v/>
      </c>
      <c r="B83">
        <f>IF(OR(計分!B83="",計分!$AP83=""),"",計分!$AP83-計分!B83)</f>
        <v/>
      </c>
      <c r="C83">
        <f>IF(OR(計分!C83="",計分!$AP83=""),"",計分!$AP83-計分!C83)</f>
        <v/>
      </c>
      <c r="D83">
        <f>IF(OR(計分!D83="",計分!$AP83=""),"",計分!$AP83-計分!D83)</f>
        <v/>
      </c>
      <c r="E83">
        <f>IF(OR(計分!E83="",計分!$AP83=""),"",計分!$AP83-計分!E83)</f>
        <v/>
      </c>
      <c r="F83">
        <f>IF(OR(計分!F83="",計分!$AP83=""),"",計分!$AP83-計分!F83)</f>
        <v/>
      </c>
      <c r="G83">
        <f>IF(OR(計分!G83="",計分!$AP83=""),"",計分!$AP83-計分!G83)</f>
        <v/>
      </c>
      <c r="H83">
        <f>IF(OR(計分!H83="",計分!$AP83=""),"",計分!$AP83-計分!H83)</f>
        <v/>
      </c>
      <c r="I83">
        <f>IF(OR(計分!I83="",計分!$AP83=""),"",計分!$AP83-計分!I83)</f>
        <v/>
      </c>
      <c r="J83">
        <f>IF(OR(計分!J83="",計分!$AP83=""),"",計分!$AP83-計分!J83)</f>
        <v/>
      </c>
      <c r="K83">
        <f>IF(OR(計分!K83="",計分!$AP83=""),"",計分!$AP83-計分!K83)</f>
        <v/>
      </c>
      <c r="L83">
        <f>IF(OR(計分!L83="",計分!$AP83=""),"",計分!$AP83-計分!L83)</f>
        <v/>
      </c>
      <c r="M83">
        <f>IF(OR(計分!M83="",計分!$AP83=""),"",計分!$AP83-計分!M83)</f>
        <v/>
      </c>
      <c r="N83">
        <f>IF(OR(計分!N83="",計分!$AP83=""),"",計分!$AP83-計分!N83)</f>
        <v/>
      </c>
      <c r="O83">
        <f>IF(OR(計分!O83="",計分!$AP83=""),"",計分!$AP83-計分!O83)</f>
        <v/>
      </c>
      <c r="P83">
        <f>IF(OR(計分!P83="",計分!$AP83=""),"",計分!$AP83-計分!P83)</f>
        <v/>
      </c>
      <c r="Q83">
        <f>IF(OR(計分!Q83="",計分!$AP83=""),"",計分!$AP83-計分!Q83)</f>
        <v/>
      </c>
      <c r="R83">
        <f>IF(OR(計分!R83="",計分!$AP83=""),"",計分!$AP83-計分!R83)</f>
        <v/>
      </c>
      <c r="S83">
        <f>IF(OR(計分!S83="",計分!$AP83=""),"",計分!$AP83-計分!S83)</f>
        <v/>
      </c>
      <c r="T83">
        <f>IF(OR(計分!T83="",計分!$AP83=""),"",計分!$AP83-計分!T83)</f>
        <v/>
      </c>
      <c r="U83">
        <f>IF(OR(計分!U83="",計分!$AP83=""),"",計分!$AP83-計分!U83)</f>
        <v/>
      </c>
      <c r="V83">
        <f>IF(OR(計分!V83="",計分!$AP83=""),"",計分!$AP83-計分!V83)</f>
        <v/>
      </c>
      <c r="W83">
        <f>IF(OR(計分!W83="",計分!$AP83=""),"",計分!$AP83-計分!W83)</f>
        <v/>
      </c>
      <c r="X83">
        <f>IF(OR(計分!X83="",計分!$AP83=""),"",計分!$AP83-計分!X83)</f>
        <v/>
      </c>
      <c r="Y83">
        <f>IF(OR(計分!Y83="",計分!$AP83=""),"",計分!$AP83-計分!Y83)</f>
        <v/>
      </c>
      <c r="Z83">
        <f>IF(OR(計分!Z83="",計分!$AP83=""),"",計分!$AP83-計分!Z83)</f>
        <v/>
      </c>
      <c r="AA83">
        <f>IF(OR(計分!AA83="",計分!$AP83=""),"",計分!$AP83-計分!AA83)</f>
        <v/>
      </c>
      <c r="AB83">
        <f>IF(OR(計分!AB83="",計分!$AP83=""),"",計分!$AP83-計分!AB83)</f>
        <v/>
      </c>
      <c r="AC83">
        <f>IF(OR(計分!AC83="",計分!$AP83=""),"",計分!$AP83-計分!AC83)</f>
        <v/>
      </c>
      <c r="AD83">
        <f>IF(OR(計分!AD83="",計分!$AP83=""),"",計分!$AP83-計分!AD83)</f>
        <v/>
      </c>
      <c r="AE83">
        <f>IF(OR(計分!AE83="",計分!$AP83=""),"",計分!$AP83-計分!AE83)</f>
        <v/>
      </c>
      <c r="AF83">
        <f>IF(OR(計分!AF83="",計分!$AP83=""),"",計分!$AP83-計分!AF83)</f>
        <v/>
      </c>
      <c r="AG83">
        <f>IF(OR(計分!AG83="",計分!$AP83=""),"",計分!$AP83-計分!AG83)</f>
        <v/>
      </c>
      <c r="AH83">
        <f>IF(OR(計分!AH83="",計分!$AP83=""),"",計分!$AP83-計分!AH83)</f>
        <v/>
      </c>
      <c r="AI83">
        <f>IF(OR(計分!AI83="",計分!$AP83=""),"",計分!$AP83-計分!AI83)</f>
        <v/>
      </c>
      <c r="AJ83">
        <f>IF(OR(計分!AJ83="",計分!$AP83=""),"",計分!$AP83-計分!AJ83)</f>
        <v/>
      </c>
      <c r="AK83">
        <f>IF(OR(計分!AK83="",計分!$AP83=""),"",計分!$AP83-計分!AK83)</f>
        <v/>
      </c>
      <c r="AL83">
        <f>IF(OR(計分!AL83="",計分!$AP83=""),"",計分!$AP83-計分!AL83)</f>
        <v/>
      </c>
      <c r="AM83">
        <f>IF(OR(計分!AM83="",計分!$AP83=""),"",計分!$AP83-計分!AM83)</f>
        <v/>
      </c>
      <c r="AN83">
        <f>IF(OR(計分!AN83="",計分!$AP83=""),"",計分!$AP83-計分!AN83)</f>
        <v/>
      </c>
      <c r="AO83">
        <f>IF(OR(計分!AO83="",計分!$AP83=""),"",計分!$AP83-計分!AO83)</f>
        <v/>
      </c>
    </row>
    <row r="84">
      <c r="A84">
        <f>計分!A84</f>
        <v/>
      </c>
      <c r="B84">
        <f>IF(OR(計分!B84="",計分!$AP84=""),"",計分!$AP84-計分!B84)</f>
        <v/>
      </c>
      <c r="C84">
        <f>IF(OR(計分!C84="",計分!$AP84=""),"",計分!$AP84-計分!C84)</f>
        <v/>
      </c>
      <c r="D84">
        <f>IF(OR(計分!D84="",計分!$AP84=""),"",計分!$AP84-計分!D84)</f>
        <v/>
      </c>
      <c r="E84">
        <f>IF(OR(計分!E84="",計分!$AP84=""),"",計分!$AP84-計分!E84)</f>
        <v/>
      </c>
      <c r="F84">
        <f>IF(OR(計分!F84="",計分!$AP84=""),"",計分!$AP84-計分!F84)</f>
        <v/>
      </c>
      <c r="G84">
        <f>IF(OR(計分!G84="",計分!$AP84=""),"",計分!$AP84-計分!G84)</f>
        <v/>
      </c>
      <c r="H84">
        <f>IF(OR(計分!H84="",計分!$AP84=""),"",計分!$AP84-計分!H84)</f>
        <v/>
      </c>
      <c r="I84">
        <f>IF(OR(計分!I84="",計分!$AP84=""),"",計分!$AP84-計分!I84)</f>
        <v/>
      </c>
      <c r="J84">
        <f>IF(OR(計分!J84="",計分!$AP84=""),"",計分!$AP84-計分!J84)</f>
        <v/>
      </c>
      <c r="K84">
        <f>IF(OR(計分!K84="",計分!$AP84=""),"",計分!$AP84-計分!K84)</f>
        <v/>
      </c>
      <c r="L84">
        <f>IF(OR(計分!L84="",計分!$AP84=""),"",計分!$AP84-計分!L84)</f>
        <v/>
      </c>
      <c r="M84">
        <f>IF(OR(計分!M84="",計分!$AP84=""),"",計分!$AP84-計分!M84)</f>
        <v/>
      </c>
      <c r="N84">
        <f>IF(OR(計分!N84="",計分!$AP84=""),"",計分!$AP84-計分!N84)</f>
        <v/>
      </c>
      <c r="O84">
        <f>IF(OR(計分!O84="",計分!$AP84=""),"",計分!$AP84-計分!O84)</f>
        <v/>
      </c>
      <c r="P84">
        <f>IF(OR(計分!P84="",計分!$AP84=""),"",計分!$AP84-計分!P84)</f>
        <v/>
      </c>
      <c r="Q84">
        <f>IF(OR(計分!Q84="",計分!$AP84=""),"",計分!$AP84-計分!Q84)</f>
        <v/>
      </c>
      <c r="R84">
        <f>IF(OR(計分!R84="",計分!$AP84=""),"",計分!$AP84-計分!R84)</f>
        <v/>
      </c>
      <c r="S84">
        <f>IF(OR(計分!S84="",計分!$AP84=""),"",計分!$AP84-計分!S84)</f>
        <v/>
      </c>
      <c r="T84">
        <f>IF(OR(計分!T84="",計分!$AP84=""),"",計分!$AP84-計分!T84)</f>
        <v/>
      </c>
      <c r="U84">
        <f>IF(OR(計分!U84="",計分!$AP84=""),"",計分!$AP84-計分!U84)</f>
        <v/>
      </c>
      <c r="V84">
        <f>IF(OR(計分!V84="",計分!$AP84=""),"",計分!$AP84-計分!V84)</f>
        <v/>
      </c>
      <c r="W84">
        <f>IF(OR(計分!W84="",計分!$AP84=""),"",計分!$AP84-計分!W84)</f>
        <v/>
      </c>
      <c r="X84">
        <f>IF(OR(計分!X84="",計分!$AP84=""),"",計分!$AP84-計分!X84)</f>
        <v/>
      </c>
      <c r="Y84">
        <f>IF(OR(計分!Y84="",計分!$AP84=""),"",計分!$AP84-計分!Y84)</f>
        <v/>
      </c>
      <c r="Z84">
        <f>IF(OR(計分!Z84="",計分!$AP84=""),"",計分!$AP84-計分!Z84)</f>
        <v/>
      </c>
      <c r="AA84">
        <f>IF(OR(計分!AA84="",計分!$AP84=""),"",計分!$AP84-計分!AA84)</f>
        <v/>
      </c>
      <c r="AB84">
        <f>IF(OR(計分!AB84="",計分!$AP84=""),"",計分!$AP84-計分!AB84)</f>
        <v/>
      </c>
      <c r="AC84">
        <f>IF(OR(計分!AC84="",計分!$AP84=""),"",計分!$AP84-計分!AC84)</f>
        <v/>
      </c>
      <c r="AD84">
        <f>IF(OR(計分!AD84="",計分!$AP84=""),"",計分!$AP84-計分!AD84)</f>
        <v/>
      </c>
      <c r="AE84">
        <f>IF(OR(計分!AE84="",計分!$AP84=""),"",計分!$AP84-計分!AE84)</f>
        <v/>
      </c>
      <c r="AF84">
        <f>IF(OR(計分!AF84="",計分!$AP84=""),"",計分!$AP84-計分!AF84)</f>
        <v/>
      </c>
      <c r="AG84">
        <f>IF(OR(計分!AG84="",計分!$AP84=""),"",計分!$AP84-計分!AG84)</f>
        <v/>
      </c>
      <c r="AH84">
        <f>IF(OR(計分!AH84="",計分!$AP84=""),"",計分!$AP84-計分!AH84)</f>
        <v/>
      </c>
      <c r="AI84">
        <f>IF(OR(計分!AI84="",計分!$AP84=""),"",計分!$AP84-計分!AI84)</f>
        <v/>
      </c>
      <c r="AJ84">
        <f>IF(OR(計分!AJ84="",計分!$AP84=""),"",計分!$AP84-計分!AJ84)</f>
        <v/>
      </c>
      <c r="AK84">
        <f>IF(OR(計分!AK84="",計分!$AP84=""),"",計分!$AP84-計分!AK84)</f>
        <v/>
      </c>
      <c r="AL84">
        <f>IF(OR(計分!AL84="",計分!$AP84=""),"",計分!$AP84-計分!AL84)</f>
        <v/>
      </c>
      <c r="AM84">
        <f>IF(OR(計分!AM84="",計分!$AP84=""),"",計分!$AP84-計分!AM84)</f>
        <v/>
      </c>
      <c r="AN84">
        <f>IF(OR(計分!AN84="",計分!$AP84=""),"",計分!$AP84-計分!AN84)</f>
        <v/>
      </c>
      <c r="AO84">
        <f>IF(OR(計分!AO84="",計分!$AP84=""),"",計分!$AP84-計分!AO84)</f>
        <v/>
      </c>
    </row>
    <row r="85">
      <c r="A85">
        <f>計分!A85</f>
        <v/>
      </c>
      <c r="B85">
        <f>IF(OR(計分!B85="",計分!$AP85=""),"",計分!$AP85-計分!B85)</f>
        <v/>
      </c>
      <c r="C85">
        <f>IF(OR(計分!C85="",計分!$AP85=""),"",計分!$AP85-計分!C85)</f>
        <v/>
      </c>
      <c r="D85">
        <f>IF(OR(計分!D85="",計分!$AP85=""),"",計分!$AP85-計分!D85)</f>
        <v/>
      </c>
      <c r="E85">
        <f>IF(OR(計分!E85="",計分!$AP85=""),"",計分!$AP85-計分!E85)</f>
        <v/>
      </c>
      <c r="F85">
        <f>IF(OR(計分!F85="",計分!$AP85=""),"",計分!$AP85-計分!F85)</f>
        <v/>
      </c>
      <c r="G85">
        <f>IF(OR(計分!G85="",計分!$AP85=""),"",計分!$AP85-計分!G85)</f>
        <v/>
      </c>
      <c r="H85">
        <f>IF(OR(計分!H85="",計分!$AP85=""),"",計分!$AP85-計分!H85)</f>
        <v/>
      </c>
      <c r="I85">
        <f>IF(OR(計分!I85="",計分!$AP85=""),"",計分!$AP85-計分!I85)</f>
        <v/>
      </c>
      <c r="J85">
        <f>IF(OR(計分!J85="",計分!$AP85=""),"",計分!$AP85-計分!J85)</f>
        <v/>
      </c>
      <c r="K85">
        <f>IF(OR(計分!K85="",計分!$AP85=""),"",計分!$AP85-計分!K85)</f>
        <v/>
      </c>
      <c r="L85">
        <f>IF(OR(計分!L85="",計分!$AP85=""),"",計分!$AP85-計分!L85)</f>
        <v/>
      </c>
      <c r="M85">
        <f>IF(OR(計分!M85="",計分!$AP85=""),"",計分!$AP85-計分!M85)</f>
        <v/>
      </c>
      <c r="N85">
        <f>IF(OR(計分!N85="",計分!$AP85=""),"",計分!$AP85-計分!N85)</f>
        <v/>
      </c>
      <c r="O85">
        <f>IF(OR(計分!O85="",計分!$AP85=""),"",計分!$AP85-計分!O85)</f>
        <v/>
      </c>
      <c r="P85">
        <f>IF(OR(計分!P85="",計分!$AP85=""),"",計分!$AP85-計分!P85)</f>
        <v/>
      </c>
      <c r="Q85">
        <f>IF(OR(計分!Q85="",計分!$AP85=""),"",計分!$AP85-計分!Q85)</f>
        <v/>
      </c>
      <c r="R85">
        <f>IF(OR(計分!R85="",計分!$AP85=""),"",計分!$AP85-計分!R85)</f>
        <v/>
      </c>
      <c r="S85">
        <f>IF(OR(計分!S85="",計分!$AP85=""),"",計分!$AP85-計分!S85)</f>
        <v/>
      </c>
      <c r="T85">
        <f>IF(OR(計分!T85="",計分!$AP85=""),"",計分!$AP85-計分!T85)</f>
        <v/>
      </c>
      <c r="U85">
        <f>IF(OR(計分!U85="",計分!$AP85=""),"",計分!$AP85-計分!U85)</f>
        <v/>
      </c>
      <c r="V85">
        <f>IF(OR(計分!V85="",計分!$AP85=""),"",計分!$AP85-計分!V85)</f>
        <v/>
      </c>
      <c r="W85">
        <f>IF(OR(計分!W85="",計分!$AP85=""),"",計分!$AP85-計分!W85)</f>
        <v/>
      </c>
      <c r="X85">
        <f>IF(OR(計分!X85="",計分!$AP85=""),"",計分!$AP85-計分!X85)</f>
        <v/>
      </c>
      <c r="Y85">
        <f>IF(OR(計分!Y85="",計分!$AP85=""),"",計分!$AP85-計分!Y85)</f>
        <v/>
      </c>
      <c r="Z85">
        <f>IF(OR(計分!Z85="",計分!$AP85=""),"",計分!$AP85-計分!Z85)</f>
        <v/>
      </c>
      <c r="AA85">
        <f>IF(OR(計分!AA85="",計分!$AP85=""),"",計分!$AP85-計分!AA85)</f>
        <v/>
      </c>
      <c r="AB85">
        <f>IF(OR(計分!AB85="",計分!$AP85=""),"",計分!$AP85-計分!AB85)</f>
        <v/>
      </c>
      <c r="AC85">
        <f>IF(OR(計分!AC85="",計分!$AP85=""),"",計分!$AP85-計分!AC85)</f>
        <v/>
      </c>
      <c r="AD85">
        <f>IF(OR(計分!AD85="",計分!$AP85=""),"",計分!$AP85-計分!AD85)</f>
        <v/>
      </c>
      <c r="AE85">
        <f>IF(OR(計分!AE85="",計分!$AP85=""),"",計分!$AP85-計分!AE85)</f>
        <v/>
      </c>
      <c r="AF85">
        <f>IF(OR(計分!AF85="",計分!$AP85=""),"",計分!$AP85-計分!AF85)</f>
        <v/>
      </c>
      <c r="AG85">
        <f>IF(OR(計分!AG85="",計分!$AP85=""),"",計分!$AP85-計分!AG85)</f>
        <v/>
      </c>
      <c r="AH85">
        <f>IF(OR(計分!AH85="",計分!$AP85=""),"",計分!$AP85-計分!AH85)</f>
        <v/>
      </c>
      <c r="AI85">
        <f>IF(OR(計分!AI85="",計分!$AP85=""),"",計分!$AP85-計分!AI85)</f>
        <v/>
      </c>
      <c r="AJ85">
        <f>IF(OR(計分!AJ85="",計分!$AP85=""),"",計分!$AP85-計分!AJ85)</f>
        <v/>
      </c>
      <c r="AK85">
        <f>IF(OR(計分!AK85="",計分!$AP85=""),"",計分!$AP85-計分!AK85)</f>
        <v/>
      </c>
      <c r="AL85">
        <f>IF(OR(計分!AL85="",計分!$AP85=""),"",計分!$AP85-計分!AL85)</f>
        <v/>
      </c>
      <c r="AM85">
        <f>IF(OR(計分!AM85="",計分!$AP85=""),"",計分!$AP85-計分!AM85)</f>
        <v/>
      </c>
      <c r="AN85">
        <f>IF(OR(計分!AN85="",計分!$AP85=""),"",計分!$AP85-計分!AN85)</f>
        <v/>
      </c>
      <c r="AO85">
        <f>IF(OR(計分!AO85="",計分!$AP85=""),"",計分!$AP85-計分!AO85)</f>
        <v/>
      </c>
    </row>
    <row r="86">
      <c r="A86">
        <f>計分!A86</f>
        <v/>
      </c>
      <c r="B86">
        <f>IF(OR(計分!B86="",計分!$AP86=""),"",計分!$AP86-計分!B86)</f>
        <v/>
      </c>
      <c r="C86">
        <f>IF(OR(計分!C86="",計分!$AP86=""),"",計分!$AP86-計分!C86)</f>
        <v/>
      </c>
      <c r="D86">
        <f>IF(OR(計分!D86="",計分!$AP86=""),"",計分!$AP86-計分!D86)</f>
        <v/>
      </c>
      <c r="E86">
        <f>IF(OR(計分!E86="",計分!$AP86=""),"",計分!$AP86-計分!E86)</f>
        <v/>
      </c>
      <c r="F86">
        <f>IF(OR(計分!F86="",計分!$AP86=""),"",計分!$AP86-計分!F86)</f>
        <v/>
      </c>
      <c r="G86">
        <f>IF(OR(計分!G86="",計分!$AP86=""),"",計分!$AP86-計分!G86)</f>
        <v/>
      </c>
      <c r="H86">
        <f>IF(OR(計分!H86="",計分!$AP86=""),"",計分!$AP86-計分!H86)</f>
        <v/>
      </c>
      <c r="I86">
        <f>IF(OR(計分!I86="",計分!$AP86=""),"",計分!$AP86-計分!I86)</f>
        <v/>
      </c>
      <c r="J86">
        <f>IF(OR(計分!J86="",計分!$AP86=""),"",計分!$AP86-計分!J86)</f>
        <v/>
      </c>
      <c r="K86">
        <f>IF(OR(計分!K86="",計分!$AP86=""),"",計分!$AP86-計分!K86)</f>
        <v/>
      </c>
      <c r="L86">
        <f>IF(OR(計分!L86="",計分!$AP86=""),"",計分!$AP86-計分!L86)</f>
        <v/>
      </c>
      <c r="M86">
        <f>IF(OR(計分!M86="",計分!$AP86=""),"",計分!$AP86-計分!M86)</f>
        <v/>
      </c>
      <c r="N86">
        <f>IF(OR(計分!N86="",計分!$AP86=""),"",計分!$AP86-計分!N86)</f>
        <v/>
      </c>
      <c r="O86">
        <f>IF(OR(計分!O86="",計分!$AP86=""),"",計分!$AP86-計分!O86)</f>
        <v/>
      </c>
      <c r="P86">
        <f>IF(OR(計分!P86="",計分!$AP86=""),"",計分!$AP86-計分!P86)</f>
        <v/>
      </c>
      <c r="Q86">
        <f>IF(OR(計分!Q86="",計分!$AP86=""),"",計分!$AP86-計分!Q86)</f>
        <v/>
      </c>
      <c r="R86">
        <f>IF(OR(計分!R86="",計分!$AP86=""),"",計分!$AP86-計分!R86)</f>
        <v/>
      </c>
      <c r="S86">
        <f>IF(OR(計分!S86="",計分!$AP86=""),"",計分!$AP86-計分!S86)</f>
        <v/>
      </c>
      <c r="T86">
        <f>IF(OR(計分!T86="",計分!$AP86=""),"",計分!$AP86-計分!T86)</f>
        <v/>
      </c>
      <c r="U86">
        <f>IF(OR(計分!U86="",計分!$AP86=""),"",計分!$AP86-計分!U86)</f>
        <v/>
      </c>
      <c r="V86">
        <f>IF(OR(計分!V86="",計分!$AP86=""),"",計分!$AP86-計分!V86)</f>
        <v/>
      </c>
      <c r="W86">
        <f>IF(OR(計分!W86="",計分!$AP86=""),"",計分!$AP86-計分!W86)</f>
        <v/>
      </c>
      <c r="X86">
        <f>IF(OR(計分!X86="",計分!$AP86=""),"",計分!$AP86-計分!X86)</f>
        <v/>
      </c>
      <c r="Y86">
        <f>IF(OR(計分!Y86="",計分!$AP86=""),"",計分!$AP86-計分!Y86)</f>
        <v/>
      </c>
      <c r="Z86">
        <f>IF(OR(計分!Z86="",計分!$AP86=""),"",計分!$AP86-計分!Z86)</f>
        <v/>
      </c>
      <c r="AA86">
        <f>IF(OR(計分!AA86="",計分!$AP86=""),"",計分!$AP86-計分!AA86)</f>
        <v/>
      </c>
      <c r="AB86">
        <f>IF(OR(計分!AB86="",計分!$AP86=""),"",計分!$AP86-計分!AB86)</f>
        <v/>
      </c>
      <c r="AC86">
        <f>IF(OR(計分!AC86="",計分!$AP86=""),"",計分!$AP86-計分!AC86)</f>
        <v/>
      </c>
      <c r="AD86">
        <f>IF(OR(計分!AD86="",計分!$AP86=""),"",計分!$AP86-計分!AD86)</f>
        <v/>
      </c>
      <c r="AE86">
        <f>IF(OR(計分!AE86="",計分!$AP86=""),"",計分!$AP86-計分!AE86)</f>
        <v/>
      </c>
      <c r="AF86">
        <f>IF(OR(計分!AF86="",計分!$AP86=""),"",計分!$AP86-計分!AF86)</f>
        <v/>
      </c>
      <c r="AG86">
        <f>IF(OR(計分!AG86="",計分!$AP86=""),"",計分!$AP86-計分!AG86)</f>
        <v/>
      </c>
      <c r="AH86">
        <f>IF(OR(計分!AH86="",計分!$AP86=""),"",計分!$AP86-計分!AH86)</f>
        <v/>
      </c>
      <c r="AI86">
        <f>IF(OR(計分!AI86="",計分!$AP86=""),"",計分!$AP86-計分!AI86)</f>
        <v/>
      </c>
      <c r="AJ86">
        <f>IF(OR(計分!AJ86="",計分!$AP86=""),"",計分!$AP86-計分!AJ86)</f>
        <v/>
      </c>
      <c r="AK86">
        <f>IF(OR(計分!AK86="",計分!$AP86=""),"",計分!$AP86-計分!AK86)</f>
        <v/>
      </c>
      <c r="AL86">
        <f>IF(OR(計分!AL86="",計分!$AP86=""),"",計分!$AP86-計分!AL86)</f>
        <v/>
      </c>
      <c r="AM86">
        <f>IF(OR(計分!AM86="",計分!$AP86=""),"",計分!$AP86-計分!AM86)</f>
        <v/>
      </c>
      <c r="AN86">
        <f>IF(OR(計分!AN86="",計分!$AP86=""),"",計分!$AP86-計分!AN86)</f>
        <v/>
      </c>
      <c r="AO86">
        <f>IF(OR(計分!AO86="",計分!$AP86=""),"",計分!$AP86-計分!AO86)</f>
        <v/>
      </c>
    </row>
    <row r="87">
      <c r="A87">
        <f>計分!A87</f>
        <v/>
      </c>
      <c r="B87">
        <f>IF(OR(計分!B87="",計分!$AP87=""),"",計分!$AP87-計分!B87)</f>
        <v/>
      </c>
      <c r="C87">
        <f>IF(OR(計分!C87="",計分!$AP87=""),"",計分!$AP87-計分!C87)</f>
        <v/>
      </c>
      <c r="D87">
        <f>IF(OR(計分!D87="",計分!$AP87=""),"",計分!$AP87-計分!D87)</f>
        <v/>
      </c>
      <c r="E87">
        <f>IF(OR(計分!E87="",計分!$AP87=""),"",計分!$AP87-計分!E87)</f>
        <v/>
      </c>
      <c r="F87">
        <f>IF(OR(計分!F87="",計分!$AP87=""),"",計分!$AP87-計分!F87)</f>
        <v/>
      </c>
      <c r="G87">
        <f>IF(OR(計分!G87="",計分!$AP87=""),"",計分!$AP87-計分!G87)</f>
        <v/>
      </c>
      <c r="H87">
        <f>IF(OR(計分!H87="",計分!$AP87=""),"",計分!$AP87-計分!H87)</f>
        <v/>
      </c>
      <c r="I87">
        <f>IF(OR(計分!I87="",計分!$AP87=""),"",計分!$AP87-計分!I87)</f>
        <v/>
      </c>
      <c r="J87">
        <f>IF(OR(計分!J87="",計分!$AP87=""),"",計分!$AP87-計分!J87)</f>
        <v/>
      </c>
      <c r="K87">
        <f>IF(OR(計分!K87="",計分!$AP87=""),"",計分!$AP87-計分!K87)</f>
        <v/>
      </c>
      <c r="L87">
        <f>IF(OR(計分!L87="",計分!$AP87=""),"",計分!$AP87-計分!L87)</f>
        <v/>
      </c>
      <c r="M87">
        <f>IF(OR(計分!M87="",計分!$AP87=""),"",計分!$AP87-計分!M87)</f>
        <v/>
      </c>
      <c r="N87">
        <f>IF(OR(計分!N87="",計分!$AP87=""),"",計分!$AP87-計分!N87)</f>
        <v/>
      </c>
      <c r="O87">
        <f>IF(OR(計分!O87="",計分!$AP87=""),"",計分!$AP87-計分!O87)</f>
        <v/>
      </c>
      <c r="P87">
        <f>IF(OR(計分!P87="",計分!$AP87=""),"",計分!$AP87-計分!P87)</f>
        <v/>
      </c>
      <c r="Q87">
        <f>IF(OR(計分!Q87="",計分!$AP87=""),"",計分!$AP87-計分!Q87)</f>
        <v/>
      </c>
      <c r="R87">
        <f>IF(OR(計分!R87="",計分!$AP87=""),"",計分!$AP87-計分!R87)</f>
        <v/>
      </c>
      <c r="S87">
        <f>IF(OR(計分!S87="",計分!$AP87=""),"",計分!$AP87-計分!S87)</f>
        <v/>
      </c>
      <c r="T87">
        <f>IF(OR(計分!T87="",計分!$AP87=""),"",計分!$AP87-計分!T87)</f>
        <v/>
      </c>
      <c r="U87">
        <f>IF(OR(計分!U87="",計分!$AP87=""),"",計分!$AP87-計分!U87)</f>
        <v/>
      </c>
      <c r="V87">
        <f>IF(OR(計分!V87="",計分!$AP87=""),"",計分!$AP87-計分!V87)</f>
        <v/>
      </c>
      <c r="W87">
        <f>IF(OR(計分!W87="",計分!$AP87=""),"",計分!$AP87-計分!W87)</f>
        <v/>
      </c>
      <c r="X87">
        <f>IF(OR(計分!X87="",計分!$AP87=""),"",計分!$AP87-計分!X87)</f>
        <v/>
      </c>
      <c r="Y87">
        <f>IF(OR(計分!Y87="",計分!$AP87=""),"",計分!$AP87-計分!Y87)</f>
        <v/>
      </c>
      <c r="Z87">
        <f>IF(OR(計分!Z87="",計分!$AP87=""),"",計分!$AP87-計分!Z87)</f>
        <v/>
      </c>
      <c r="AA87">
        <f>IF(OR(計分!AA87="",計分!$AP87=""),"",計分!$AP87-計分!AA87)</f>
        <v/>
      </c>
      <c r="AB87">
        <f>IF(OR(計分!AB87="",計分!$AP87=""),"",計分!$AP87-計分!AB87)</f>
        <v/>
      </c>
      <c r="AC87">
        <f>IF(OR(計分!AC87="",計分!$AP87=""),"",計分!$AP87-計分!AC87)</f>
        <v/>
      </c>
      <c r="AD87">
        <f>IF(OR(計分!AD87="",計分!$AP87=""),"",計分!$AP87-計分!AD87)</f>
        <v/>
      </c>
      <c r="AE87">
        <f>IF(OR(計分!AE87="",計分!$AP87=""),"",計分!$AP87-計分!AE87)</f>
        <v/>
      </c>
      <c r="AF87">
        <f>IF(OR(計分!AF87="",計分!$AP87=""),"",計分!$AP87-計分!AF87)</f>
        <v/>
      </c>
      <c r="AG87">
        <f>IF(OR(計分!AG87="",計分!$AP87=""),"",計分!$AP87-計分!AG87)</f>
        <v/>
      </c>
      <c r="AH87">
        <f>IF(OR(計分!AH87="",計分!$AP87=""),"",計分!$AP87-計分!AH87)</f>
        <v/>
      </c>
      <c r="AI87">
        <f>IF(OR(計分!AI87="",計分!$AP87=""),"",計分!$AP87-計分!AI87)</f>
        <v/>
      </c>
      <c r="AJ87">
        <f>IF(OR(計分!AJ87="",計分!$AP87=""),"",計分!$AP87-計分!AJ87)</f>
        <v/>
      </c>
      <c r="AK87">
        <f>IF(OR(計分!AK87="",計分!$AP87=""),"",計分!$AP87-計分!AK87)</f>
        <v/>
      </c>
      <c r="AL87">
        <f>IF(OR(計分!AL87="",計分!$AP87=""),"",計分!$AP87-計分!AL87)</f>
        <v/>
      </c>
      <c r="AM87">
        <f>IF(OR(計分!AM87="",計分!$AP87=""),"",計分!$AP87-計分!AM87)</f>
        <v/>
      </c>
      <c r="AN87">
        <f>IF(OR(計分!AN87="",計分!$AP87=""),"",計分!$AP87-計分!AN87)</f>
        <v/>
      </c>
      <c r="AO87">
        <f>IF(OR(計分!AO87="",計分!$AP87=""),"",計分!$AP87-計分!AO87)</f>
        <v/>
      </c>
    </row>
    <row r="88">
      <c r="A88">
        <f>計分!A88</f>
        <v/>
      </c>
      <c r="B88">
        <f>IF(OR(計分!B88="",計分!$AP88=""),"",計分!$AP88-計分!B88)</f>
        <v/>
      </c>
      <c r="C88">
        <f>IF(OR(計分!C88="",計分!$AP88=""),"",計分!$AP88-計分!C88)</f>
        <v/>
      </c>
      <c r="D88">
        <f>IF(OR(計分!D88="",計分!$AP88=""),"",計分!$AP88-計分!D88)</f>
        <v/>
      </c>
      <c r="E88">
        <f>IF(OR(計分!E88="",計分!$AP88=""),"",計分!$AP88-計分!E88)</f>
        <v/>
      </c>
      <c r="F88">
        <f>IF(OR(計分!F88="",計分!$AP88=""),"",計分!$AP88-計分!F88)</f>
        <v/>
      </c>
      <c r="G88">
        <f>IF(OR(計分!G88="",計分!$AP88=""),"",計分!$AP88-計分!G88)</f>
        <v/>
      </c>
      <c r="H88">
        <f>IF(OR(計分!H88="",計分!$AP88=""),"",計分!$AP88-計分!H88)</f>
        <v/>
      </c>
      <c r="I88">
        <f>IF(OR(計分!I88="",計分!$AP88=""),"",計分!$AP88-計分!I88)</f>
        <v/>
      </c>
      <c r="J88">
        <f>IF(OR(計分!J88="",計分!$AP88=""),"",計分!$AP88-計分!J88)</f>
        <v/>
      </c>
      <c r="K88">
        <f>IF(OR(計分!K88="",計分!$AP88=""),"",計分!$AP88-計分!K88)</f>
        <v/>
      </c>
      <c r="L88">
        <f>IF(OR(計分!L88="",計分!$AP88=""),"",計分!$AP88-計分!L88)</f>
        <v/>
      </c>
      <c r="M88">
        <f>IF(OR(計分!M88="",計分!$AP88=""),"",計分!$AP88-計分!M88)</f>
        <v/>
      </c>
      <c r="N88">
        <f>IF(OR(計分!N88="",計分!$AP88=""),"",計分!$AP88-計分!N88)</f>
        <v/>
      </c>
      <c r="O88">
        <f>IF(OR(計分!O88="",計分!$AP88=""),"",計分!$AP88-計分!O88)</f>
        <v/>
      </c>
      <c r="P88">
        <f>IF(OR(計分!P88="",計分!$AP88=""),"",計分!$AP88-計分!P88)</f>
        <v/>
      </c>
      <c r="Q88">
        <f>IF(OR(計分!Q88="",計分!$AP88=""),"",計分!$AP88-計分!Q88)</f>
        <v/>
      </c>
      <c r="R88">
        <f>IF(OR(計分!R88="",計分!$AP88=""),"",計分!$AP88-計分!R88)</f>
        <v/>
      </c>
      <c r="S88">
        <f>IF(OR(計分!S88="",計分!$AP88=""),"",計分!$AP88-計分!S88)</f>
        <v/>
      </c>
      <c r="T88">
        <f>IF(OR(計分!T88="",計分!$AP88=""),"",計分!$AP88-計分!T88)</f>
        <v/>
      </c>
      <c r="U88">
        <f>IF(OR(計分!U88="",計分!$AP88=""),"",計分!$AP88-計分!U88)</f>
        <v/>
      </c>
      <c r="V88">
        <f>IF(OR(計分!V88="",計分!$AP88=""),"",計分!$AP88-計分!V88)</f>
        <v/>
      </c>
      <c r="W88">
        <f>IF(OR(計分!W88="",計分!$AP88=""),"",計分!$AP88-計分!W88)</f>
        <v/>
      </c>
      <c r="X88">
        <f>IF(OR(計分!X88="",計分!$AP88=""),"",計分!$AP88-計分!X88)</f>
        <v/>
      </c>
      <c r="Y88">
        <f>IF(OR(計分!Y88="",計分!$AP88=""),"",計分!$AP88-計分!Y88)</f>
        <v/>
      </c>
      <c r="Z88">
        <f>IF(OR(計分!Z88="",計分!$AP88=""),"",計分!$AP88-計分!Z88)</f>
        <v/>
      </c>
      <c r="AA88">
        <f>IF(OR(計分!AA88="",計分!$AP88=""),"",計分!$AP88-計分!AA88)</f>
        <v/>
      </c>
      <c r="AB88">
        <f>IF(OR(計分!AB88="",計分!$AP88=""),"",計分!$AP88-計分!AB88)</f>
        <v/>
      </c>
      <c r="AC88">
        <f>IF(OR(計分!AC88="",計分!$AP88=""),"",計分!$AP88-計分!AC88)</f>
        <v/>
      </c>
      <c r="AD88">
        <f>IF(OR(計分!AD88="",計分!$AP88=""),"",計分!$AP88-計分!AD88)</f>
        <v/>
      </c>
      <c r="AE88">
        <f>IF(OR(計分!AE88="",計分!$AP88=""),"",計分!$AP88-計分!AE88)</f>
        <v/>
      </c>
      <c r="AF88">
        <f>IF(OR(計分!AF88="",計分!$AP88=""),"",計分!$AP88-計分!AF88)</f>
        <v/>
      </c>
      <c r="AG88">
        <f>IF(OR(計分!AG88="",計分!$AP88=""),"",計分!$AP88-計分!AG88)</f>
        <v/>
      </c>
      <c r="AH88">
        <f>IF(OR(計分!AH88="",計分!$AP88=""),"",計分!$AP88-計分!AH88)</f>
        <v/>
      </c>
      <c r="AI88">
        <f>IF(OR(計分!AI88="",計分!$AP88=""),"",計分!$AP88-計分!AI88)</f>
        <v/>
      </c>
      <c r="AJ88">
        <f>IF(OR(計分!AJ88="",計分!$AP88=""),"",計分!$AP88-計分!AJ88)</f>
        <v/>
      </c>
      <c r="AK88">
        <f>IF(OR(計分!AK88="",計分!$AP88=""),"",計分!$AP88-計分!AK88)</f>
        <v/>
      </c>
      <c r="AL88">
        <f>IF(OR(計分!AL88="",計分!$AP88=""),"",計分!$AP88-計分!AL88)</f>
        <v/>
      </c>
      <c r="AM88">
        <f>IF(OR(計分!AM88="",計分!$AP88=""),"",計分!$AP88-計分!AM88)</f>
        <v/>
      </c>
      <c r="AN88">
        <f>IF(OR(計分!AN88="",計分!$AP88=""),"",計分!$AP88-計分!AN88)</f>
        <v/>
      </c>
      <c r="AO88">
        <f>IF(OR(計分!AO88="",計分!$AP88=""),"",計分!$AP88-計分!AO88)</f>
        <v/>
      </c>
    </row>
    <row r="89">
      <c r="A89">
        <f>計分!A89</f>
        <v/>
      </c>
      <c r="B89">
        <f>IF(OR(計分!B89="",計分!$AP89=""),"",計分!$AP89-計分!B89)</f>
        <v/>
      </c>
      <c r="C89">
        <f>IF(OR(計分!C89="",計分!$AP89=""),"",計分!$AP89-計分!C89)</f>
        <v/>
      </c>
      <c r="D89">
        <f>IF(OR(計分!D89="",計分!$AP89=""),"",計分!$AP89-計分!D89)</f>
        <v/>
      </c>
      <c r="E89">
        <f>IF(OR(計分!E89="",計分!$AP89=""),"",計分!$AP89-計分!E89)</f>
        <v/>
      </c>
      <c r="F89">
        <f>IF(OR(計分!F89="",計分!$AP89=""),"",計分!$AP89-計分!F89)</f>
        <v/>
      </c>
      <c r="G89">
        <f>IF(OR(計分!G89="",計分!$AP89=""),"",計分!$AP89-計分!G89)</f>
        <v/>
      </c>
      <c r="H89">
        <f>IF(OR(計分!H89="",計分!$AP89=""),"",計分!$AP89-計分!H89)</f>
        <v/>
      </c>
      <c r="I89">
        <f>IF(OR(計分!I89="",計分!$AP89=""),"",計分!$AP89-計分!I89)</f>
        <v/>
      </c>
      <c r="J89">
        <f>IF(OR(計分!J89="",計分!$AP89=""),"",計分!$AP89-計分!J89)</f>
        <v/>
      </c>
      <c r="K89">
        <f>IF(OR(計分!K89="",計分!$AP89=""),"",計分!$AP89-計分!K89)</f>
        <v/>
      </c>
      <c r="L89">
        <f>IF(OR(計分!L89="",計分!$AP89=""),"",計分!$AP89-計分!L89)</f>
        <v/>
      </c>
      <c r="M89">
        <f>IF(OR(計分!M89="",計分!$AP89=""),"",計分!$AP89-計分!M89)</f>
        <v/>
      </c>
      <c r="N89">
        <f>IF(OR(計分!N89="",計分!$AP89=""),"",計分!$AP89-計分!N89)</f>
        <v/>
      </c>
      <c r="O89">
        <f>IF(OR(計分!O89="",計分!$AP89=""),"",計分!$AP89-計分!O89)</f>
        <v/>
      </c>
      <c r="P89">
        <f>IF(OR(計分!P89="",計分!$AP89=""),"",計分!$AP89-計分!P89)</f>
        <v/>
      </c>
      <c r="Q89">
        <f>IF(OR(計分!Q89="",計分!$AP89=""),"",計分!$AP89-計分!Q89)</f>
        <v/>
      </c>
      <c r="R89">
        <f>IF(OR(計分!R89="",計分!$AP89=""),"",計分!$AP89-計分!R89)</f>
        <v/>
      </c>
      <c r="S89">
        <f>IF(OR(計分!S89="",計分!$AP89=""),"",計分!$AP89-計分!S89)</f>
        <v/>
      </c>
      <c r="T89">
        <f>IF(OR(計分!T89="",計分!$AP89=""),"",計分!$AP89-計分!T89)</f>
        <v/>
      </c>
      <c r="U89">
        <f>IF(OR(計分!U89="",計分!$AP89=""),"",計分!$AP89-計分!U89)</f>
        <v/>
      </c>
      <c r="V89">
        <f>IF(OR(計分!V89="",計分!$AP89=""),"",計分!$AP89-計分!V89)</f>
        <v/>
      </c>
      <c r="W89">
        <f>IF(OR(計分!W89="",計分!$AP89=""),"",計分!$AP89-計分!W89)</f>
        <v/>
      </c>
      <c r="X89">
        <f>IF(OR(計分!X89="",計分!$AP89=""),"",計分!$AP89-計分!X89)</f>
        <v/>
      </c>
      <c r="Y89">
        <f>IF(OR(計分!Y89="",計分!$AP89=""),"",計分!$AP89-計分!Y89)</f>
        <v/>
      </c>
      <c r="Z89">
        <f>IF(OR(計分!Z89="",計分!$AP89=""),"",計分!$AP89-計分!Z89)</f>
        <v/>
      </c>
      <c r="AA89">
        <f>IF(OR(計分!AA89="",計分!$AP89=""),"",計分!$AP89-計分!AA89)</f>
        <v/>
      </c>
      <c r="AB89">
        <f>IF(OR(計分!AB89="",計分!$AP89=""),"",計分!$AP89-計分!AB89)</f>
        <v/>
      </c>
      <c r="AC89">
        <f>IF(OR(計分!AC89="",計分!$AP89=""),"",計分!$AP89-計分!AC89)</f>
        <v/>
      </c>
      <c r="AD89">
        <f>IF(OR(計分!AD89="",計分!$AP89=""),"",計分!$AP89-計分!AD89)</f>
        <v/>
      </c>
      <c r="AE89">
        <f>IF(OR(計分!AE89="",計分!$AP89=""),"",計分!$AP89-計分!AE89)</f>
        <v/>
      </c>
      <c r="AF89">
        <f>IF(OR(計分!AF89="",計分!$AP89=""),"",計分!$AP89-計分!AF89)</f>
        <v/>
      </c>
      <c r="AG89">
        <f>IF(OR(計分!AG89="",計分!$AP89=""),"",計分!$AP89-計分!AG89)</f>
        <v/>
      </c>
      <c r="AH89">
        <f>IF(OR(計分!AH89="",計分!$AP89=""),"",計分!$AP89-計分!AH89)</f>
        <v/>
      </c>
      <c r="AI89">
        <f>IF(OR(計分!AI89="",計分!$AP89=""),"",計分!$AP89-計分!AI89)</f>
        <v/>
      </c>
      <c r="AJ89">
        <f>IF(OR(計分!AJ89="",計分!$AP89=""),"",計分!$AP89-計分!AJ89)</f>
        <v/>
      </c>
      <c r="AK89">
        <f>IF(OR(計分!AK89="",計分!$AP89=""),"",計分!$AP89-計分!AK89)</f>
        <v/>
      </c>
      <c r="AL89">
        <f>IF(OR(計分!AL89="",計分!$AP89=""),"",計分!$AP89-計分!AL89)</f>
        <v/>
      </c>
      <c r="AM89">
        <f>IF(OR(計分!AM89="",計分!$AP89=""),"",計分!$AP89-計分!AM89)</f>
        <v/>
      </c>
      <c r="AN89">
        <f>IF(OR(計分!AN89="",計分!$AP89=""),"",計分!$AP89-計分!AN89)</f>
        <v/>
      </c>
      <c r="AO89">
        <f>IF(OR(計分!AO89="",計分!$AP89=""),"",計分!$AP89-計分!AO89)</f>
        <v/>
      </c>
    </row>
    <row r="90">
      <c r="A90">
        <f>計分!A90</f>
        <v/>
      </c>
      <c r="B90">
        <f>IF(OR(計分!B90="",計分!$AP90=""),"",計分!$AP90-計分!B90)</f>
        <v/>
      </c>
      <c r="C90">
        <f>IF(OR(計分!C90="",計分!$AP90=""),"",計分!$AP90-計分!C90)</f>
        <v/>
      </c>
      <c r="D90">
        <f>IF(OR(計分!D90="",計分!$AP90=""),"",計分!$AP90-計分!D90)</f>
        <v/>
      </c>
      <c r="E90">
        <f>IF(OR(計分!E90="",計分!$AP90=""),"",計分!$AP90-計分!E90)</f>
        <v/>
      </c>
      <c r="F90">
        <f>IF(OR(計分!F90="",計分!$AP90=""),"",計分!$AP90-計分!F90)</f>
        <v/>
      </c>
      <c r="G90">
        <f>IF(OR(計分!G90="",計分!$AP90=""),"",計分!$AP90-計分!G90)</f>
        <v/>
      </c>
      <c r="H90">
        <f>IF(OR(計分!H90="",計分!$AP90=""),"",計分!$AP90-計分!H90)</f>
        <v/>
      </c>
      <c r="I90">
        <f>IF(OR(計分!I90="",計分!$AP90=""),"",計分!$AP90-計分!I90)</f>
        <v/>
      </c>
      <c r="J90">
        <f>IF(OR(計分!J90="",計分!$AP90=""),"",計分!$AP90-計分!J90)</f>
        <v/>
      </c>
      <c r="K90">
        <f>IF(OR(計分!K90="",計分!$AP90=""),"",計分!$AP90-計分!K90)</f>
        <v/>
      </c>
      <c r="L90">
        <f>IF(OR(計分!L90="",計分!$AP90=""),"",計分!$AP90-計分!L90)</f>
        <v/>
      </c>
      <c r="M90">
        <f>IF(OR(計分!M90="",計分!$AP90=""),"",計分!$AP90-計分!M90)</f>
        <v/>
      </c>
      <c r="N90">
        <f>IF(OR(計分!N90="",計分!$AP90=""),"",計分!$AP90-計分!N90)</f>
        <v/>
      </c>
      <c r="O90">
        <f>IF(OR(計分!O90="",計分!$AP90=""),"",計分!$AP90-計分!O90)</f>
        <v/>
      </c>
      <c r="P90">
        <f>IF(OR(計分!P90="",計分!$AP90=""),"",計分!$AP90-計分!P90)</f>
        <v/>
      </c>
      <c r="Q90">
        <f>IF(OR(計分!Q90="",計分!$AP90=""),"",計分!$AP90-計分!Q90)</f>
        <v/>
      </c>
      <c r="R90">
        <f>IF(OR(計分!R90="",計分!$AP90=""),"",計分!$AP90-計分!R90)</f>
        <v/>
      </c>
      <c r="S90">
        <f>IF(OR(計分!S90="",計分!$AP90=""),"",計分!$AP90-計分!S90)</f>
        <v/>
      </c>
      <c r="T90">
        <f>IF(OR(計分!T90="",計分!$AP90=""),"",計分!$AP90-計分!T90)</f>
        <v/>
      </c>
      <c r="U90">
        <f>IF(OR(計分!U90="",計分!$AP90=""),"",計分!$AP90-計分!U90)</f>
        <v/>
      </c>
      <c r="V90">
        <f>IF(OR(計分!V90="",計分!$AP90=""),"",計分!$AP90-計分!V90)</f>
        <v/>
      </c>
      <c r="W90">
        <f>IF(OR(計分!W90="",計分!$AP90=""),"",計分!$AP90-計分!W90)</f>
        <v/>
      </c>
      <c r="X90">
        <f>IF(OR(計分!X90="",計分!$AP90=""),"",計分!$AP90-計分!X90)</f>
        <v/>
      </c>
      <c r="Y90">
        <f>IF(OR(計分!Y90="",計分!$AP90=""),"",計分!$AP90-計分!Y90)</f>
        <v/>
      </c>
      <c r="Z90">
        <f>IF(OR(計分!Z90="",計分!$AP90=""),"",計分!$AP90-計分!Z90)</f>
        <v/>
      </c>
      <c r="AA90">
        <f>IF(OR(計分!AA90="",計分!$AP90=""),"",計分!$AP90-計分!AA90)</f>
        <v/>
      </c>
      <c r="AB90">
        <f>IF(OR(計分!AB90="",計分!$AP90=""),"",計分!$AP90-計分!AB90)</f>
        <v/>
      </c>
      <c r="AC90">
        <f>IF(OR(計分!AC90="",計分!$AP90=""),"",計分!$AP90-計分!AC90)</f>
        <v/>
      </c>
      <c r="AD90">
        <f>IF(OR(計分!AD90="",計分!$AP90=""),"",計分!$AP90-計分!AD90)</f>
        <v/>
      </c>
      <c r="AE90">
        <f>IF(OR(計分!AE90="",計分!$AP90=""),"",計分!$AP90-計分!AE90)</f>
        <v/>
      </c>
      <c r="AF90">
        <f>IF(OR(計分!AF90="",計分!$AP90=""),"",計分!$AP90-計分!AF90)</f>
        <v/>
      </c>
      <c r="AG90">
        <f>IF(OR(計分!AG90="",計分!$AP90=""),"",計分!$AP90-計分!AG90)</f>
        <v/>
      </c>
      <c r="AH90">
        <f>IF(OR(計分!AH90="",計分!$AP90=""),"",計分!$AP90-計分!AH90)</f>
        <v/>
      </c>
      <c r="AI90">
        <f>IF(OR(計分!AI90="",計分!$AP90=""),"",計分!$AP90-計分!AI90)</f>
        <v/>
      </c>
      <c r="AJ90">
        <f>IF(OR(計分!AJ90="",計分!$AP90=""),"",計分!$AP90-計分!AJ90)</f>
        <v/>
      </c>
      <c r="AK90">
        <f>IF(OR(計分!AK90="",計分!$AP90=""),"",計分!$AP90-計分!AK90)</f>
        <v/>
      </c>
      <c r="AL90">
        <f>IF(OR(計分!AL90="",計分!$AP90=""),"",計分!$AP90-計分!AL90)</f>
        <v/>
      </c>
      <c r="AM90">
        <f>IF(OR(計分!AM90="",計分!$AP90=""),"",計分!$AP90-計分!AM90)</f>
        <v/>
      </c>
      <c r="AN90">
        <f>IF(OR(計分!AN90="",計分!$AP90=""),"",計分!$AP90-計分!AN90)</f>
        <v/>
      </c>
      <c r="AO90">
        <f>IF(OR(計分!AO90="",計分!$AP90=""),"",計分!$AP90-計分!AO90)</f>
        <v/>
      </c>
    </row>
    <row r="91">
      <c r="A91">
        <f>計分!A91</f>
        <v/>
      </c>
      <c r="B91">
        <f>IF(OR(計分!B91="",計分!$AP91=""),"",計分!$AP91-計分!B91)</f>
        <v/>
      </c>
      <c r="C91">
        <f>IF(OR(計分!C91="",計分!$AP91=""),"",計分!$AP91-計分!C91)</f>
        <v/>
      </c>
      <c r="D91">
        <f>IF(OR(計分!D91="",計分!$AP91=""),"",計分!$AP91-計分!D91)</f>
        <v/>
      </c>
      <c r="E91">
        <f>IF(OR(計分!E91="",計分!$AP91=""),"",計分!$AP91-計分!E91)</f>
        <v/>
      </c>
      <c r="F91">
        <f>IF(OR(計分!F91="",計分!$AP91=""),"",計分!$AP91-計分!F91)</f>
        <v/>
      </c>
      <c r="G91">
        <f>IF(OR(計分!G91="",計分!$AP91=""),"",計分!$AP91-計分!G91)</f>
        <v/>
      </c>
      <c r="H91">
        <f>IF(OR(計分!H91="",計分!$AP91=""),"",計分!$AP91-計分!H91)</f>
        <v/>
      </c>
      <c r="I91">
        <f>IF(OR(計分!I91="",計分!$AP91=""),"",計分!$AP91-計分!I91)</f>
        <v/>
      </c>
      <c r="J91">
        <f>IF(OR(計分!J91="",計分!$AP91=""),"",計分!$AP91-計分!J91)</f>
        <v/>
      </c>
      <c r="K91">
        <f>IF(OR(計分!K91="",計分!$AP91=""),"",計分!$AP91-計分!K91)</f>
        <v/>
      </c>
      <c r="L91">
        <f>IF(OR(計分!L91="",計分!$AP91=""),"",計分!$AP91-計分!L91)</f>
        <v/>
      </c>
      <c r="M91">
        <f>IF(OR(計分!M91="",計分!$AP91=""),"",計分!$AP91-計分!M91)</f>
        <v/>
      </c>
      <c r="N91">
        <f>IF(OR(計分!N91="",計分!$AP91=""),"",計分!$AP91-計分!N91)</f>
        <v/>
      </c>
      <c r="O91">
        <f>IF(OR(計分!O91="",計分!$AP91=""),"",計分!$AP91-計分!O91)</f>
        <v/>
      </c>
      <c r="P91">
        <f>IF(OR(計分!P91="",計分!$AP91=""),"",計分!$AP91-計分!P91)</f>
        <v/>
      </c>
      <c r="Q91">
        <f>IF(OR(計分!Q91="",計分!$AP91=""),"",計分!$AP91-計分!Q91)</f>
        <v/>
      </c>
      <c r="R91">
        <f>IF(OR(計分!R91="",計分!$AP91=""),"",計分!$AP91-計分!R91)</f>
        <v/>
      </c>
      <c r="S91">
        <f>IF(OR(計分!S91="",計分!$AP91=""),"",計分!$AP91-計分!S91)</f>
        <v/>
      </c>
      <c r="T91">
        <f>IF(OR(計分!T91="",計分!$AP91=""),"",計分!$AP91-計分!T91)</f>
        <v/>
      </c>
      <c r="U91">
        <f>IF(OR(計分!U91="",計分!$AP91=""),"",計分!$AP91-計分!U91)</f>
        <v/>
      </c>
      <c r="V91">
        <f>IF(OR(計分!V91="",計分!$AP91=""),"",計分!$AP91-計分!V91)</f>
        <v/>
      </c>
      <c r="W91">
        <f>IF(OR(計分!W91="",計分!$AP91=""),"",計分!$AP91-計分!W91)</f>
        <v/>
      </c>
      <c r="X91">
        <f>IF(OR(計分!X91="",計分!$AP91=""),"",計分!$AP91-計分!X91)</f>
        <v/>
      </c>
      <c r="Y91">
        <f>IF(OR(計分!Y91="",計分!$AP91=""),"",計分!$AP91-計分!Y91)</f>
        <v/>
      </c>
      <c r="Z91">
        <f>IF(OR(計分!Z91="",計分!$AP91=""),"",計分!$AP91-計分!Z91)</f>
        <v/>
      </c>
      <c r="AA91">
        <f>IF(OR(計分!AA91="",計分!$AP91=""),"",計分!$AP91-計分!AA91)</f>
        <v/>
      </c>
      <c r="AB91">
        <f>IF(OR(計分!AB91="",計分!$AP91=""),"",計分!$AP91-計分!AB91)</f>
        <v/>
      </c>
      <c r="AC91">
        <f>IF(OR(計分!AC91="",計分!$AP91=""),"",計分!$AP91-計分!AC91)</f>
        <v/>
      </c>
      <c r="AD91">
        <f>IF(OR(計分!AD91="",計分!$AP91=""),"",計分!$AP91-計分!AD91)</f>
        <v/>
      </c>
      <c r="AE91">
        <f>IF(OR(計分!AE91="",計分!$AP91=""),"",計分!$AP91-計分!AE91)</f>
        <v/>
      </c>
      <c r="AF91">
        <f>IF(OR(計分!AF91="",計分!$AP91=""),"",計分!$AP91-計分!AF91)</f>
        <v/>
      </c>
      <c r="AG91">
        <f>IF(OR(計分!AG91="",計分!$AP91=""),"",計分!$AP91-計分!AG91)</f>
        <v/>
      </c>
      <c r="AH91">
        <f>IF(OR(計分!AH91="",計分!$AP91=""),"",計分!$AP91-計分!AH91)</f>
        <v/>
      </c>
      <c r="AI91">
        <f>IF(OR(計分!AI91="",計分!$AP91=""),"",計分!$AP91-計分!AI91)</f>
        <v/>
      </c>
      <c r="AJ91">
        <f>IF(OR(計分!AJ91="",計分!$AP91=""),"",計分!$AP91-計分!AJ91)</f>
        <v/>
      </c>
      <c r="AK91">
        <f>IF(OR(計分!AK91="",計分!$AP91=""),"",計分!$AP91-計分!AK91)</f>
        <v/>
      </c>
      <c r="AL91">
        <f>IF(OR(計分!AL91="",計分!$AP91=""),"",計分!$AP91-計分!AL91)</f>
        <v/>
      </c>
      <c r="AM91">
        <f>IF(OR(計分!AM91="",計分!$AP91=""),"",計分!$AP91-計分!AM91)</f>
        <v/>
      </c>
      <c r="AN91">
        <f>IF(OR(計分!AN91="",計分!$AP91=""),"",計分!$AP91-計分!AN91)</f>
        <v/>
      </c>
      <c r="AO91">
        <f>IF(OR(計分!AO91="",計分!$AP91=""),"",計分!$AP91-計分!AO91)</f>
        <v/>
      </c>
    </row>
    <row r="92">
      <c r="A92">
        <f>計分!A92</f>
        <v/>
      </c>
      <c r="B92">
        <f>IF(OR(計分!B92="",計分!$AP92=""),"",計分!$AP92-計分!B92)</f>
        <v/>
      </c>
      <c r="C92">
        <f>IF(OR(計分!C92="",計分!$AP92=""),"",計分!$AP92-計分!C92)</f>
        <v/>
      </c>
      <c r="D92">
        <f>IF(OR(計分!D92="",計分!$AP92=""),"",計分!$AP92-計分!D92)</f>
        <v/>
      </c>
      <c r="E92">
        <f>IF(OR(計分!E92="",計分!$AP92=""),"",計分!$AP92-計分!E92)</f>
        <v/>
      </c>
      <c r="F92">
        <f>IF(OR(計分!F92="",計分!$AP92=""),"",計分!$AP92-計分!F92)</f>
        <v/>
      </c>
      <c r="G92">
        <f>IF(OR(計分!G92="",計分!$AP92=""),"",計分!$AP92-計分!G92)</f>
        <v/>
      </c>
      <c r="H92">
        <f>IF(OR(計分!H92="",計分!$AP92=""),"",計分!$AP92-計分!H92)</f>
        <v/>
      </c>
      <c r="I92">
        <f>IF(OR(計分!I92="",計分!$AP92=""),"",計分!$AP92-計分!I92)</f>
        <v/>
      </c>
      <c r="J92">
        <f>IF(OR(計分!J92="",計分!$AP92=""),"",計分!$AP92-計分!J92)</f>
        <v/>
      </c>
      <c r="K92">
        <f>IF(OR(計分!K92="",計分!$AP92=""),"",計分!$AP92-計分!K92)</f>
        <v/>
      </c>
      <c r="L92">
        <f>IF(OR(計分!L92="",計分!$AP92=""),"",計分!$AP92-計分!L92)</f>
        <v/>
      </c>
      <c r="M92">
        <f>IF(OR(計分!M92="",計分!$AP92=""),"",計分!$AP92-計分!M92)</f>
        <v/>
      </c>
      <c r="N92">
        <f>IF(OR(計分!N92="",計分!$AP92=""),"",計分!$AP92-計分!N92)</f>
        <v/>
      </c>
      <c r="O92">
        <f>IF(OR(計分!O92="",計分!$AP92=""),"",計分!$AP92-計分!O92)</f>
        <v/>
      </c>
      <c r="P92">
        <f>IF(OR(計分!P92="",計分!$AP92=""),"",計分!$AP92-計分!P92)</f>
        <v/>
      </c>
      <c r="Q92">
        <f>IF(OR(計分!Q92="",計分!$AP92=""),"",計分!$AP92-計分!Q92)</f>
        <v/>
      </c>
      <c r="R92">
        <f>IF(OR(計分!R92="",計分!$AP92=""),"",計分!$AP92-計分!R92)</f>
        <v/>
      </c>
      <c r="S92">
        <f>IF(OR(計分!S92="",計分!$AP92=""),"",計分!$AP92-計分!S92)</f>
        <v/>
      </c>
      <c r="T92">
        <f>IF(OR(計分!T92="",計分!$AP92=""),"",計分!$AP92-計分!T92)</f>
        <v/>
      </c>
      <c r="U92">
        <f>IF(OR(計分!U92="",計分!$AP92=""),"",計分!$AP92-計分!U92)</f>
        <v/>
      </c>
      <c r="V92">
        <f>IF(OR(計分!V92="",計分!$AP92=""),"",計分!$AP92-計分!V92)</f>
        <v/>
      </c>
      <c r="W92">
        <f>IF(OR(計分!W92="",計分!$AP92=""),"",計分!$AP92-計分!W92)</f>
        <v/>
      </c>
      <c r="X92">
        <f>IF(OR(計分!X92="",計分!$AP92=""),"",計分!$AP92-計分!X92)</f>
        <v/>
      </c>
      <c r="Y92">
        <f>IF(OR(計分!Y92="",計分!$AP92=""),"",計分!$AP92-計分!Y92)</f>
        <v/>
      </c>
      <c r="Z92">
        <f>IF(OR(計分!Z92="",計分!$AP92=""),"",計分!$AP92-計分!Z92)</f>
        <v/>
      </c>
      <c r="AA92">
        <f>IF(OR(計分!AA92="",計分!$AP92=""),"",計分!$AP92-計分!AA92)</f>
        <v/>
      </c>
      <c r="AB92">
        <f>IF(OR(計分!AB92="",計分!$AP92=""),"",計分!$AP92-計分!AB92)</f>
        <v/>
      </c>
      <c r="AC92">
        <f>IF(OR(計分!AC92="",計分!$AP92=""),"",計分!$AP92-計分!AC92)</f>
        <v/>
      </c>
      <c r="AD92">
        <f>IF(OR(計分!AD92="",計分!$AP92=""),"",計分!$AP92-計分!AD92)</f>
        <v/>
      </c>
      <c r="AE92">
        <f>IF(OR(計分!AE92="",計分!$AP92=""),"",計分!$AP92-計分!AE92)</f>
        <v/>
      </c>
      <c r="AF92">
        <f>IF(OR(計分!AF92="",計分!$AP92=""),"",計分!$AP92-計分!AF92)</f>
        <v/>
      </c>
      <c r="AG92">
        <f>IF(OR(計分!AG92="",計分!$AP92=""),"",計分!$AP92-計分!AG92)</f>
        <v/>
      </c>
      <c r="AH92">
        <f>IF(OR(計分!AH92="",計分!$AP92=""),"",計分!$AP92-計分!AH92)</f>
        <v/>
      </c>
      <c r="AI92">
        <f>IF(OR(計分!AI92="",計分!$AP92=""),"",計分!$AP92-計分!AI92)</f>
        <v/>
      </c>
      <c r="AJ92">
        <f>IF(OR(計分!AJ92="",計分!$AP92=""),"",計分!$AP92-計分!AJ92)</f>
        <v/>
      </c>
      <c r="AK92">
        <f>IF(OR(計分!AK92="",計分!$AP92=""),"",計分!$AP92-計分!AK92)</f>
        <v/>
      </c>
      <c r="AL92">
        <f>IF(OR(計分!AL92="",計分!$AP92=""),"",計分!$AP92-計分!AL92)</f>
        <v/>
      </c>
      <c r="AM92">
        <f>IF(OR(計分!AM92="",計分!$AP92=""),"",計分!$AP92-計分!AM92)</f>
        <v/>
      </c>
      <c r="AN92">
        <f>IF(OR(計分!AN92="",計分!$AP92=""),"",計分!$AP92-計分!AN92)</f>
        <v/>
      </c>
      <c r="AO92">
        <f>IF(OR(計分!AO92="",計分!$AP92=""),"",計分!$AP92-計分!AO92)</f>
        <v/>
      </c>
    </row>
    <row r="93">
      <c r="A93">
        <f>計分!A93</f>
        <v/>
      </c>
      <c r="B93">
        <f>IF(OR(計分!B93="",計分!$AP93=""),"",計分!$AP93-計分!B93)</f>
        <v/>
      </c>
      <c r="C93">
        <f>IF(OR(計分!C93="",計分!$AP93=""),"",計分!$AP93-計分!C93)</f>
        <v/>
      </c>
      <c r="D93">
        <f>IF(OR(計分!D93="",計分!$AP93=""),"",計分!$AP93-計分!D93)</f>
        <v/>
      </c>
      <c r="E93">
        <f>IF(OR(計分!E93="",計分!$AP93=""),"",計分!$AP93-計分!E93)</f>
        <v/>
      </c>
      <c r="F93">
        <f>IF(OR(計分!F93="",計分!$AP93=""),"",計分!$AP93-計分!F93)</f>
        <v/>
      </c>
      <c r="G93">
        <f>IF(OR(計分!G93="",計分!$AP93=""),"",計分!$AP93-計分!G93)</f>
        <v/>
      </c>
      <c r="H93">
        <f>IF(OR(計分!H93="",計分!$AP93=""),"",計分!$AP93-計分!H93)</f>
        <v/>
      </c>
      <c r="I93">
        <f>IF(OR(計分!I93="",計分!$AP93=""),"",計分!$AP93-計分!I93)</f>
        <v/>
      </c>
      <c r="J93">
        <f>IF(OR(計分!J93="",計分!$AP93=""),"",計分!$AP93-計分!J93)</f>
        <v/>
      </c>
      <c r="K93">
        <f>IF(OR(計分!K93="",計分!$AP93=""),"",計分!$AP93-計分!K93)</f>
        <v/>
      </c>
      <c r="L93">
        <f>IF(OR(計分!L93="",計分!$AP93=""),"",計分!$AP93-計分!L93)</f>
        <v/>
      </c>
      <c r="M93">
        <f>IF(OR(計分!M93="",計分!$AP93=""),"",計分!$AP93-計分!M93)</f>
        <v/>
      </c>
      <c r="N93">
        <f>IF(OR(計分!N93="",計分!$AP93=""),"",計分!$AP93-計分!N93)</f>
        <v/>
      </c>
      <c r="O93">
        <f>IF(OR(計分!O93="",計分!$AP93=""),"",計分!$AP93-計分!O93)</f>
        <v/>
      </c>
      <c r="P93">
        <f>IF(OR(計分!P93="",計分!$AP93=""),"",計分!$AP93-計分!P93)</f>
        <v/>
      </c>
      <c r="Q93">
        <f>IF(OR(計分!Q93="",計分!$AP93=""),"",計分!$AP93-計分!Q93)</f>
        <v/>
      </c>
      <c r="R93">
        <f>IF(OR(計分!R93="",計分!$AP93=""),"",計分!$AP93-計分!R93)</f>
        <v/>
      </c>
      <c r="S93">
        <f>IF(OR(計分!S93="",計分!$AP93=""),"",計分!$AP93-計分!S93)</f>
        <v/>
      </c>
      <c r="T93">
        <f>IF(OR(計分!T93="",計分!$AP93=""),"",計分!$AP93-計分!T93)</f>
        <v/>
      </c>
      <c r="U93">
        <f>IF(OR(計分!U93="",計分!$AP93=""),"",計分!$AP93-計分!U93)</f>
        <v/>
      </c>
      <c r="V93">
        <f>IF(OR(計分!V93="",計分!$AP93=""),"",計分!$AP93-計分!V93)</f>
        <v/>
      </c>
      <c r="W93">
        <f>IF(OR(計分!W93="",計分!$AP93=""),"",計分!$AP93-計分!W93)</f>
        <v/>
      </c>
      <c r="X93">
        <f>IF(OR(計分!X93="",計分!$AP93=""),"",計分!$AP93-計分!X93)</f>
        <v/>
      </c>
      <c r="Y93">
        <f>IF(OR(計分!Y93="",計分!$AP93=""),"",計分!$AP93-計分!Y93)</f>
        <v/>
      </c>
      <c r="Z93">
        <f>IF(OR(計分!Z93="",計分!$AP93=""),"",計分!$AP93-計分!Z93)</f>
        <v/>
      </c>
      <c r="AA93">
        <f>IF(OR(計分!AA93="",計分!$AP93=""),"",計分!$AP93-計分!AA93)</f>
        <v/>
      </c>
      <c r="AB93">
        <f>IF(OR(計分!AB93="",計分!$AP93=""),"",計分!$AP93-計分!AB93)</f>
        <v/>
      </c>
      <c r="AC93">
        <f>IF(OR(計分!AC93="",計分!$AP93=""),"",計分!$AP93-計分!AC93)</f>
        <v/>
      </c>
      <c r="AD93">
        <f>IF(OR(計分!AD93="",計分!$AP93=""),"",計分!$AP93-計分!AD93)</f>
        <v/>
      </c>
      <c r="AE93">
        <f>IF(OR(計分!AE93="",計分!$AP93=""),"",計分!$AP93-計分!AE93)</f>
        <v/>
      </c>
      <c r="AF93">
        <f>IF(OR(計分!AF93="",計分!$AP93=""),"",計分!$AP93-計分!AF93)</f>
        <v/>
      </c>
      <c r="AG93">
        <f>IF(OR(計分!AG93="",計分!$AP93=""),"",計分!$AP93-計分!AG93)</f>
        <v/>
      </c>
      <c r="AH93">
        <f>IF(OR(計分!AH93="",計分!$AP93=""),"",計分!$AP93-計分!AH93)</f>
        <v/>
      </c>
      <c r="AI93">
        <f>IF(OR(計分!AI93="",計分!$AP93=""),"",計分!$AP93-計分!AI93)</f>
        <v/>
      </c>
      <c r="AJ93">
        <f>IF(OR(計分!AJ93="",計分!$AP93=""),"",計分!$AP93-計分!AJ93)</f>
        <v/>
      </c>
      <c r="AK93">
        <f>IF(OR(計分!AK93="",計分!$AP93=""),"",計分!$AP93-計分!AK93)</f>
        <v/>
      </c>
      <c r="AL93">
        <f>IF(OR(計分!AL93="",計分!$AP93=""),"",計分!$AP93-計分!AL93)</f>
        <v/>
      </c>
      <c r="AM93">
        <f>IF(OR(計分!AM93="",計分!$AP93=""),"",計分!$AP93-計分!AM93)</f>
        <v/>
      </c>
      <c r="AN93">
        <f>IF(OR(計分!AN93="",計分!$AP93=""),"",計分!$AP93-計分!AN93)</f>
        <v/>
      </c>
      <c r="AO93">
        <f>IF(OR(計分!AO93="",計分!$AP93=""),"",計分!$AP93-計分!AO93)</f>
        <v/>
      </c>
    </row>
    <row r="94">
      <c r="A94">
        <f>計分!A94</f>
        <v/>
      </c>
      <c r="B94">
        <f>IF(OR(計分!B94="",計分!$AP94=""),"",計分!$AP94-計分!B94)</f>
        <v/>
      </c>
      <c r="C94">
        <f>IF(OR(計分!C94="",計分!$AP94=""),"",計分!$AP94-計分!C94)</f>
        <v/>
      </c>
      <c r="D94">
        <f>IF(OR(計分!D94="",計分!$AP94=""),"",計分!$AP94-計分!D94)</f>
        <v/>
      </c>
      <c r="E94">
        <f>IF(OR(計分!E94="",計分!$AP94=""),"",計分!$AP94-計分!E94)</f>
        <v/>
      </c>
      <c r="F94">
        <f>IF(OR(計分!F94="",計分!$AP94=""),"",計分!$AP94-計分!F94)</f>
        <v/>
      </c>
      <c r="G94">
        <f>IF(OR(計分!G94="",計分!$AP94=""),"",計分!$AP94-計分!G94)</f>
        <v/>
      </c>
      <c r="H94">
        <f>IF(OR(計分!H94="",計分!$AP94=""),"",計分!$AP94-計分!H94)</f>
        <v/>
      </c>
      <c r="I94">
        <f>IF(OR(計分!I94="",計分!$AP94=""),"",計分!$AP94-計分!I94)</f>
        <v/>
      </c>
      <c r="J94">
        <f>IF(OR(計分!J94="",計分!$AP94=""),"",計分!$AP94-計分!J94)</f>
        <v/>
      </c>
      <c r="K94">
        <f>IF(OR(計分!K94="",計分!$AP94=""),"",計分!$AP94-計分!K94)</f>
        <v/>
      </c>
      <c r="L94">
        <f>IF(OR(計分!L94="",計分!$AP94=""),"",計分!$AP94-計分!L94)</f>
        <v/>
      </c>
      <c r="M94">
        <f>IF(OR(計分!M94="",計分!$AP94=""),"",計分!$AP94-計分!M94)</f>
        <v/>
      </c>
      <c r="N94">
        <f>IF(OR(計分!N94="",計分!$AP94=""),"",計分!$AP94-計分!N94)</f>
        <v/>
      </c>
      <c r="O94">
        <f>IF(OR(計分!O94="",計分!$AP94=""),"",計分!$AP94-計分!O94)</f>
        <v/>
      </c>
      <c r="P94">
        <f>IF(OR(計分!P94="",計分!$AP94=""),"",計分!$AP94-計分!P94)</f>
        <v/>
      </c>
      <c r="Q94">
        <f>IF(OR(計分!Q94="",計分!$AP94=""),"",計分!$AP94-計分!Q94)</f>
        <v/>
      </c>
      <c r="R94">
        <f>IF(OR(計分!R94="",計分!$AP94=""),"",計分!$AP94-計分!R94)</f>
        <v/>
      </c>
      <c r="S94">
        <f>IF(OR(計分!S94="",計分!$AP94=""),"",計分!$AP94-計分!S94)</f>
        <v/>
      </c>
      <c r="T94">
        <f>IF(OR(計分!T94="",計分!$AP94=""),"",計分!$AP94-計分!T94)</f>
        <v/>
      </c>
      <c r="U94">
        <f>IF(OR(計分!U94="",計分!$AP94=""),"",計分!$AP94-計分!U94)</f>
        <v/>
      </c>
      <c r="V94">
        <f>IF(OR(計分!V94="",計分!$AP94=""),"",計分!$AP94-計分!V94)</f>
        <v/>
      </c>
      <c r="W94">
        <f>IF(OR(計分!W94="",計分!$AP94=""),"",計分!$AP94-計分!W94)</f>
        <v/>
      </c>
      <c r="X94">
        <f>IF(OR(計分!X94="",計分!$AP94=""),"",計分!$AP94-計分!X94)</f>
        <v/>
      </c>
      <c r="Y94">
        <f>IF(OR(計分!Y94="",計分!$AP94=""),"",計分!$AP94-計分!Y94)</f>
        <v/>
      </c>
      <c r="Z94">
        <f>IF(OR(計分!Z94="",計分!$AP94=""),"",計分!$AP94-計分!Z94)</f>
        <v/>
      </c>
      <c r="AA94">
        <f>IF(OR(計分!AA94="",計分!$AP94=""),"",計分!$AP94-計分!AA94)</f>
        <v/>
      </c>
      <c r="AB94">
        <f>IF(OR(計分!AB94="",計分!$AP94=""),"",計分!$AP94-計分!AB94)</f>
        <v/>
      </c>
      <c r="AC94">
        <f>IF(OR(計分!AC94="",計分!$AP94=""),"",計分!$AP94-計分!AC94)</f>
        <v/>
      </c>
      <c r="AD94">
        <f>IF(OR(計分!AD94="",計分!$AP94=""),"",計分!$AP94-計分!AD94)</f>
        <v/>
      </c>
      <c r="AE94">
        <f>IF(OR(計分!AE94="",計分!$AP94=""),"",計分!$AP94-計分!AE94)</f>
        <v/>
      </c>
      <c r="AF94">
        <f>IF(OR(計分!AF94="",計分!$AP94=""),"",計分!$AP94-計分!AF94)</f>
        <v/>
      </c>
      <c r="AG94">
        <f>IF(OR(計分!AG94="",計分!$AP94=""),"",計分!$AP94-計分!AG94)</f>
        <v/>
      </c>
      <c r="AH94">
        <f>IF(OR(計分!AH94="",計分!$AP94=""),"",計分!$AP94-計分!AH94)</f>
        <v/>
      </c>
      <c r="AI94">
        <f>IF(OR(計分!AI94="",計分!$AP94=""),"",計分!$AP94-計分!AI94)</f>
        <v/>
      </c>
      <c r="AJ94">
        <f>IF(OR(計分!AJ94="",計分!$AP94=""),"",計分!$AP94-計分!AJ94)</f>
        <v/>
      </c>
      <c r="AK94">
        <f>IF(OR(計分!AK94="",計分!$AP94=""),"",計分!$AP94-計分!AK94)</f>
        <v/>
      </c>
      <c r="AL94">
        <f>IF(OR(計分!AL94="",計分!$AP94=""),"",計分!$AP94-計分!AL94)</f>
        <v/>
      </c>
      <c r="AM94">
        <f>IF(OR(計分!AM94="",計分!$AP94=""),"",計分!$AP94-計分!AM94)</f>
        <v/>
      </c>
      <c r="AN94">
        <f>IF(OR(計分!AN94="",計分!$AP94=""),"",計分!$AP94-計分!AN94)</f>
        <v/>
      </c>
      <c r="AO94">
        <f>IF(OR(計分!AO94="",計分!$AP94=""),"",計分!$AP94-計分!AO94)</f>
        <v/>
      </c>
    </row>
    <row r="95">
      <c r="A95">
        <f>計分!A95</f>
        <v/>
      </c>
      <c r="B95">
        <f>IF(OR(計分!B95="",計分!$AP95=""),"",計分!$AP95-計分!B95)</f>
        <v/>
      </c>
      <c r="C95">
        <f>IF(OR(計分!C95="",計分!$AP95=""),"",計分!$AP95-計分!C95)</f>
        <v/>
      </c>
      <c r="D95">
        <f>IF(OR(計分!D95="",計分!$AP95=""),"",計分!$AP95-計分!D95)</f>
        <v/>
      </c>
      <c r="E95">
        <f>IF(OR(計分!E95="",計分!$AP95=""),"",計分!$AP95-計分!E95)</f>
        <v/>
      </c>
      <c r="F95">
        <f>IF(OR(計分!F95="",計分!$AP95=""),"",計分!$AP95-計分!F95)</f>
        <v/>
      </c>
      <c r="G95">
        <f>IF(OR(計分!G95="",計分!$AP95=""),"",計分!$AP95-計分!G95)</f>
        <v/>
      </c>
      <c r="H95">
        <f>IF(OR(計分!H95="",計分!$AP95=""),"",計分!$AP95-計分!H95)</f>
        <v/>
      </c>
      <c r="I95">
        <f>IF(OR(計分!I95="",計分!$AP95=""),"",計分!$AP95-計分!I95)</f>
        <v/>
      </c>
      <c r="J95">
        <f>IF(OR(計分!J95="",計分!$AP95=""),"",計分!$AP95-計分!J95)</f>
        <v/>
      </c>
      <c r="K95">
        <f>IF(OR(計分!K95="",計分!$AP95=""),"",計分!$AP95-計分!K95)</f>
        <v/>
      </c>
      <c r="L95">
        <f>IF(OR(計分!L95="",計分!$AP95=""),"",計分!$AP95-計分!L95)</f>
        <v/>
      </c>
      <c r="M95">
        <f>IF(OR(計分!M95="",計分!$AP95=""),"",計分!$AP95-計分!M95)</f>
        <v/>
      </c>
      <c r="N95">
        <f>IF(OR(計分!N95="",計分!$AP95=""),"",計分!$AP95-計分!N95)</f>
        <v/>
      </c>
      <c r="O95">
        <f>IF(OR(計分!O95="",計分!$AP95=""),"",計分!$AP95-計分!O95)</f>
        <v/>
      </c>
      <c r="P95">
        <f>IF(OR(計分!P95="",計分!$AP95=""),"",計分!$AP95-計分!P95)</f>
        <v/>
      </c>
      <c r="Q95">
        <f>IF(OR(計分!Q95="",計分!$AP95=""),"",計分!$AP95-計分!Q95)</f>
        <v/>
      </c>
      <c r="R95">
        <f>IF(OR(計分!R95="",計分!$AP95=""),"",計分!$AP95-計分!R95)</f>
        <v/>
      </c>
      <c r="S95">
        <f>IF(OR(計分!S95="",計分!$AP95=""),"",計分!$AP95-計分!S95)</f>
        <v/>
      </c>
      <c r="T95">
        <f>IF(OR(計分!T95="",計分!$AP95=""),"",計分!$AP95-計分!T95)</f>
        <v/>
      </c>
      <c r="U95">
        <f>IF(OR(計分!U95="",計分!$AP95=""),"",計分!$AP95-計分!U95)</f>
        <v/>
      </c>
      <c r="V95">
        <f>IF(OR(計分!V95="",計分!$AP95=""),"",計分!$AP95-計分!V95)</f>
        <v/>
      </c>
      <c r="W95">
        <f>IF(OR(計分!W95="",計分!$AP95=""),"",計分!$AP95-計分!W95)</f>
        <v/>
      </c>
      <c r="X95">
        <f>IF(OR(計分!X95="",計分!$AP95=""),"",計分!$AP95-計分!X95)</f>
        <v/>
      </c>
      <c r="Y95">
        <f>IF(OR(計分!Y95="",計分!$AP95=""),"",計分!$AP95-計分!Y95)</f>
        <v/>
      </c>
      <c r="Z95">
        <f>IF(OR(計分!Z95="",計分!$AP95=""),"",計分!$AP95-計分!Z95)</f>
        <v/>
      </c>
      <c r="AA95">
        <f>IF(OR(計分!AA95="",計分!$AP95=""),"",計分!$AP95-計分!AA95)</f>
        <v/>
      </c>
      <c r="AB95">
        <f>IF(OR(計分!AB95="",計分!$AP95=""),"",計分!$AP95-計分!AB95)</f>
        <v/>
      </c>
      <c r="AC95">
        <f>IF(OR(計分!AC95="",計分!$AP95=""),"",計分!$AP95-計分!AC95)</f>
        <v/>
      </c>
      <c r="AD95">
        <f>IF(OR(計分!AD95="",計分!$AP95=""),"",計分!$AP95-計分!AD95)</f>
        <v/>
      </c>
      <c r="AE95">
        <f>IF(OR(計分!AE95="",計分!$AP95=""),"",計分!$AP95-計分!AE95)</f>
        <v/>
      </c>
      <c r="AF95">
        <f>IF(OR(計分!AF95="",計分!$AP95=""),"",計分!$AP95-計分!AF95)</f>
        <v/>
      </c>
      <c r="AG95">
        <f>IF(OR(計分!AG95="",計分!$AP95=""),"",計分!$AP95-計分!AG95)</f>
        <v/>
      </c>
      <c r="AH95">
        <f>IF(OR(計分!AH95="",計分!$AP95=""),"",計分!$AP95-計分!AH95)</f>
        <v/>
      </c>
      <c r="AI95">
        <f>IF(OR(計分!AI95="",計分!$AP95=""),"",計分!$AP95-計分!AI95)</f>
        <v/>
      </c>
      <c r="AJ95">
        <f>IF(OR(計分!AJ95="",計分!$AP95=""),"",計分!$AP95-計分!AJ95)</f>
        <v/>
      </c>
      <c r="AK95">
        <f>IF(OR(計分!AK95="",計分!$AP95=""),"",計分!$AP95-計分!AK95)</f>
        <v/>
      </c>
      <c r="AL95">
        <f>IF(OR(計分!AL95="",計分!$AP95=""),"",計分!$AP95-計分!AL95)</f>
        <v/>
      </c>
      <c r="AM95">
        <f>IF(OR(計分!AM95="",計分!$AP95=""),"",計分!$AP95-計分!AM95)</f>
        <v/>
      </c>
      <c r="AN95">
        <f>IF(OR(計分!AN95="",計分!$AP95=""),"",計分!$AP95-計分!AN95)</f>
        <v/>
      </c>
      <c r="AO95">
        <f>IF(OR(計分!AO95="",計分!$AP95=""),"",計分!$AP95-計分!AO95)</f>
        <v/>
      </c>
    </row>
    <row r="96">
      <c r="A96">
        <f>計分!A96</f>
        <v/>
      </c>
      <c r="B96">
        <f>IF(OR(計分!B96="",計分!$AP96=""),"",計分!$AP96-計分!B96)</f>
        <v/>
      </c>
      <c r="C96">
        <f>IF(OR(計分!C96="",計分!$AP96=""),"",計分!$AP96-計分!C96)</f>
        <v/>
      </c>
      <c r="D96">
        <f>IF(OR(計分!D96="",計分!$AP96=""),"",計分!$AP96-計分!D96)</f>
        <v/>
      </c>
      <c r="E96">
        <f>IF(OR(計分!E96="",計分!$AP96=""),"",計分!$AP96-計分!E96)</f>
        <v/>
      </c>
      <c r="F96">
        <f>IF(OR(計分!F96="",計分!$AP96=""),"",計分!$AP96-計分!F96)</f>
        <v/>
      </c>
      <c r="G96">
        <f>IF(OR(計分!G96="",計分!$AP96=""),"",計分!$AP96-計分!G96)</f>
        <v/>
      </c>
      <c r="H96">
        <f>IF(OR(計分!H96="",計分!$AP96=""),"",計分!$AP96-計分!H96)</f>
        <v/>
      </c>
      <c r="I96">
        <f>IF(OR(計分!I96="",計分!$AP96=""),"",計分!$AP96-計分!I96)</f>
        <v/>
      </c>
      <c r="J96">
        <f>IF(OR(計分!J96="",計分!$AP96=""),"",計分!$AP96-計分!J96)</f>
        <v/>
      </c>
      <c r="K96">
        <f>IF(OR(計分!K96="",計分!$AP96=""),"",計分!$AP96-計分!K96)</f>
        <v/>
      </c>
      <c r="L96">
        <f>IF(OR(計分!L96="",計分!$AP96=""),"",計分!$AP96-計分!L96)</f>
        <v/>
      </c>
      <c r="M96">
        <f>IF(OR(計分!M96="",計分!$AP96=""),"",計分!$AP96-計分!M96)</f>
        <v/>
      </c>
      <c r="N96">
        <f>IF(OR(計分!N96="",計分!$AP96=""),"",計分!$AP96-計分!N96)</f>
        <v/>
      </c>
      <c r="O96">
        <f>IF(OR(計分!O96="",計分!$AP96=""),"",計分!$AP96-計分!O96)</f>
        <v/>
      </c>
      <c r="P96">
        <f>IF(OR(計分!P96="",計分!$AP96=""),"",計分!$AP96-計分!P96)</f>
        <v/>
      </c>
      <c r="Q96">
        <f>IF(OR(計分!Q96="",計分!$AP96=""),"",計分!$AP96-計分!Q96)</f>
        <v/>
      </c>
      <c r="R96">
        <f>IF(OR(計分!R96="",計分!$AP96=""),"",計分!$AP96-計分!R96)</f>
        <v/>
      </c>
      <c r="S96">
        <f>IF(OR(計分!S96="",計分!$AP96=""),"",計分!$AP96-計分!S96)</f>
        <v/>
      </c>
      <c r="T96">
        <f>IF(OR(計分!T96="",計分!$AP96=""),"",計分!$AP96-計分!T96)</f>
        <v/>
      </c>
      <c r="U96">
        <f>IF(OR(計分!U96="",計分!$AP96=""),"",計分!$AP96-計分!U96)</f>
        <v/>
      </c>
      <c r="V96">
        <f>IF(OR(計分!V96="",計分!$AP96=""),"",計分!$AP96-計分!V96)</f>
        <v/>
      </c>
      <c r="W96">
        <f>IF(OR(計分!W96="",計分!$AP96=""),"",計分!$AP96-計分!W96)</f>
        <v/>
      </c>
      <c r="X96">
        <f>IF(OR(計分!X96="",計分!$AP96=""),"",計分!$AP96-計分!X96)</f>
        <v/>
      </c>
      <c r="Y96">
        <f>IF(OR(計分!Y96="",計分!$AP96=""),"",計分!$AP96-計分!Y96)</f>
        <v/>
      </c>
      <c r="Z96">
        <f>IF(OR(計分!Z96="",計分!$AP96=""),"",計分!$AP96-計分!Z96)</f>
        <v/>
      </c>
      <c r="AA96">
        <f>IF(OR(計分!AA96="",計分!$AP96=""),"",計分!$AP96-計分!AA96)</f>
        <v/>
      </c>
      <c r="AB96">
        <f>IF(OR(計分!AB96="",計分!$AP96=""),"",計分!$AP96-計分!AB96)</f>
        <v/>
      </c>
      <c r="AC96">
        <f>IF(OR(計分!AC96="",計分!$AP96=""),"",計分!$AP96-計分!AC96)</f>
        <v/>
      </c>
      <c r="AD96">
        <f>IF(OR(計分!AD96="",計分!$AP96=""),"",計分!$AP96-計分!AD96)</f>
        <v/>
      </c>
      <c r="AE96">
        <f>IF(OR(計分!AE96="",計分!$AP96=""),"",計分!$AP96-計分!AE96)</f>
        <v/>
      </c>
      <c r="AF96">
        <f>IF(OR(計分!AF96="",計分!$AP96=""),"",計分!$AP96-計分!AF96)</f>
        <v/>
      </c>
      <c r="AG96">
        <f>IF(OR(計分!AG96="",計分!$AP96=""),"",計分!$AP96-計分!AG96)</f>
        <v/>
      </c>
      <c r="AH96">
        <f>IF(OR(計分!AH96="",計分!$AP96=""),"",計分!$AP96-計分!AH96)</f>
        <v/>
      </c>
      <c r="AI96">
        <f>IF(OR(計分!AI96="",計分!$AP96=""),"",計分!$AP96-計分!AI96)</f>
        <v/>
      </c>
      <c r="AJ96">
        <f>IF(OR(計分!AJ96="",計分!$AP96=""),"",計分!$AP96-計分!AJ96)</f>
        <v/>
      </c>
      <c r="AK96">
        <f>IF(OR(計分!AK96="",計分!$AP96=""),"",計分!$AP96-計分!AK96)</f>
        <v/>
      </c>
      <c r="AL96">
        <f>IF(OR(計分!AL96="",計分!$AP96=""),"",計分!$AP96-計分!AL96)</f>
        <v/>
      </c>
      <c r="AM96">
        <f>IF(OR(計分!AM96="",計分!$AP96=""),"",計分!$AP96-計分!AM96)</f>
        <v/>
      </c>
      <c r="AN96">
        <f>IF(OR(計分!AN96="",計分!$AP96=""),"",計分!$AP96-計分!AN96)</f>
        <v/>
      </c>
      <c r="AO96">
        <f>IF(OR(計分!AO96="",計分!$AP96=""),"",計分!$AP96-計分!AO96)</f>
        <v/>
      </c>
    </row>
    <row r="97">
      <c r="A97">
        <f>計分!A97</f>
        <v/>
      </c>
      <c r="B97">
        <f>IF(OR(計分!B97="",計分!$AP97=""),"",計分!$AP97-計分!B97)</f>
        <v/>
      </c>
      <c r="C97">
        <f>IF(OR(計分!C97="",計分!$AP97=""),"",計分!$AP97-計分!C97)</f>
        <v/>
      </c>
      <c r="D97">
        <f>IF(OR(計分!D97="",計分!$AP97=""),"",計分!$AP97-計分!D97)</f>
        <v/>
      </c>
      <c r="E97">
        <f>IF(OR(計分!E97="",計分!$AP97=""),"",計分!$AP97-計分!E97)</f>
        <v/>
      </c>
      <c r="F97">
        <f>IF(OR(計分!F97="",計分!$AP97=""),"",計分!$AP97-計分!F97)</f>
        <v/>
      </c>
      <c r="G97">
        <f>IF(OR(計分!G97="",計分!$AP97=""),"",計分!$AP97-計分!G97)</f>
        <v/>
      </c>
      <c r="H97">
        <f>IF(OR(計分!H97="",計分!$AP97=""),"",計分!$AP97-計分!H97)</f>
        <v/>
      </c>
      <c r="I97">
        <f>IF(OR(計分!I97="",計分!$AP97=""),"",計分!$AP97-計分!I97)</f>
        <v/>
      </c>
      <c r="J97">
        <f>IF(OR(計分!J97="",計分!$AP97=""),"",計分!$AP97-計分!J97)</f>
        <v/>
      </c>
      <c r="K97">
        <f>IF(OR(計分!K97="",計分!$AP97=""),"",計分!$AP97-計分!K97)</f>
        <v/>
      </c>
      <c r="L97">
        <f>IF(OR(計分!L97="",計分!$AP97=""),"",計分!$AP97-計分!L97)</f>
        <v/>
      </c>
      <c r="M97">
        <f>IF(OR(計分!M97="",計分!$AP97=""),"",計分!$AP97-計分!M97)</f>
        <v/>
      </c>
      <c r="N97">
        <f>IF(OR(計分!N97="",計分!$AP97=""),"",計分!$AP97-計分!N97)</f>
        <v/>
      </c>
      <c r="O97">
        <f>IF(OR(計分!O97="",計分!$AP97=""),"",計分!$AP97-計分!O97)</f>
        <v/>
      </c>
      <c r="P97">
        <f>IF(OR(計分!P97="",計分!$AP97=""),"",計分!$AP97-計分!P97)</f>
        <v/>
      </c>
      <c r="Q97">
        <f>IF(OR(計分!Q97="",計分!$AP97=""),"",計分!$AP97-計分!Q97)</f>
        <v/>
      </c>
      <c r="R97">
        <f>IF(OR(計分!R97="",計分!$AP97=""),"",計分!$AP97-計分!R97)</f>
        <v/>
      </c>
      <c r="S97">
        <f>IF(OR(計分!S97="",計分!$AP97=""),"",計分!$AP97-計分!S97)</f>
        <v/>
      </c>
      <c r="T97">
        <f>IF(OR(計分!T97="",計分!$AP97=""),"",計分!$AP97-計分!T97)</f>
        <v/>
      </c>
      <c r="U97">
        <f>IF(OR(計分!U97="",計分!$AP97=""),"",計分!$AP97-計分!U97)</f>
        <v/>
      </c>
      <c r="V97">
        <f>IF(OR(計分!V97="",計分!$AP97=""),"",計分!$AP97-計分!V97)</f>
        <v/>
      </c>
      <c r="W97">
        <f>IF(OR(計分!W97="",計分!$AP97=""),"",計分!$AP97-計分!W97)</f>
        <v/>
      </c>
      <c r="X97">
        <f>IF(OR(計分!X97="",計分!$AP97=""),"",計分!$AP97-計分!X97)</f>
        <v/>
      </c>
      <c r="Y97">
        <f>IF(OR(計分!Y97="",計分!$AP97=""),"",計分!$AP97-計分!Y97)</f>
        <v/>
      </c>
      <c r="Z97">
        <f>IF(OR(計分!Z97="",計分!$AP97=""),"",計分!$AP97-計分!Z97)</f>
        <v/>
      </c>
      <c r="AA97">
        <f>IF(OR(計分!AA97="",計分!$AP97=""),"",計分!$AP97-計分!AA97)</f>
        <v/>
      </c>
      <c r="AB97">
        <f>IF(OR(計分!AB97="",計分!$AP97=""),"",計分!$AP97-計分!AB97)</f>
        <v/>
      </c>
      <c r="AC97">
        <f>IF(OR(計分!AC97="",計分!$AP97=""),"",計分!$AP97-計分!AC97)</f>
        <v/>
      </c>
      <c r="AD97">
        <f>IF(OR(計分!AD97="",計分!$AP97=""),"",計分!$AP97-計分!AD97)</f>
        <v/>
      </c>
      <c r="AE97">
        <f>IF(OR(計分!AE97="",計分!$AP97=""),"",計分!$AP97-計分!AE97)</f>
        <v/>
      </c>
      <c r="AF97">
        <f>IF(OR(計分!AF97="",計分!$AP97=""),"",計分!$AP97-計分!AF97)</f>
        <v/>
      </c>
      <c r="AG97">
        <f>IF(OR(計分!AG97="",計分!$AP97=""),"",計分!$AP97-計分!AG97)</f>
        <v/>
      </c>
      <c r="AH97">
        <f>IF(OR(計分!AH97="",計分!$AP97=""),"",計分!$AP97-計分!AH97)</f>
        <v/>
      </c>
      <c r="AI97">
        <f>IF(OR(計分!AI97="",計分!$AP97=""),"",計分!$AP97-計分!AI97)</f>
        <v/>
      </c>
      <c r="AJ97">
        <f>IF(OR(計分!AJ97="",計分!$AP97=""),"",計分!$AP97-計分!AJ97)</f>
        <v/>
      </c>
      <c r="AK97">
        <f>IF(OR(計分!AK97="",計分!$AP97=""),"",計分!$AP97-計分!AK97)</f>
        <v/>
      </c>
      <c r="AL97">
        <f>IF(OR(計分!AL97="",計分!$AP97=""),"",計分!$AP97-計分!AL97)</f>
        <v/>
      </c>
      <c r="AM97">
        <f>IF(OR(計分!AM97="",計分!$AP97=""),"",計分!$AP97-計分!AM97)</f>
        <v/>
      </c>
      <c r="AN97">
        <f>IF(OR(計分!AN97="",計分!$AP97=""),"",計分!$AP97-計分!AN97)</f>
        <v/>
      </c>
      <c r="AO97">
        <f>IF(OR(計分!AO97="",計分!$AP97=""),"",計分!$AP97-計分!AO97)</f>
        <v/>
      </c>
    </row>
    <row r="98">
      <c r="A98">
        <f>計分!A98</f>
        <v/>
      </c>
      <c r="B98">
        <f>IF(OR(計分!B98="",計分!$AP98=""),"",計分!$AP98-計分!B98)</f>
        <v/>
      </c>
      <c r="C98">
        <f>IF(OR(計分!C98="",計分!$AP98=""),"",計分!$AP98-計分!C98)</f>
        <v/>
      </c>
      <c r="D98">
        <f>IF(OR(計分!D98="",計分!$AP98=""),"",計分!$AP98-計分!D98)</f>
        <v/>
      </c>
      <c r="E98">
        <f>IF(OR(計分!E98="",計分!$AP98=""),"",計分!$AP98-計分!E98)</f>
        <v/>
      </c>
      <c r="F98">
        <f>IF(OR(計分!F98="",計分!$AP98=""),"",計分!$AP98-計分!F98)</f>
        <v/>
      </c>
      <c r="G98">
        <f>IF(OR(計分!G98="",計分!$AP98=""),"",計分!$AP98-計分!G98)</f>
        <v/>
      </c>
      <c r="H98">
        <f>IF(OR(計分!H98="",計分!$AP98=""),"",計分!$AP98-計分!H98)</f>
        <v/>
      </c>
      <c r="I98">
        <f>IF(OR(計分!I98="",計分!$AP98=""),"",計分!$AP98-計分!I98)</f>
        <v/>
      </c>
      <c r="J98">
        <f>IF(OR(計分!J98="",計分!$AP98=""),"",計分!$AP98-計分!J98)</f>
        <v/>
      </c>
      <c r="K98">
        <f>IF(OR(計分!K98="",計分!$AP98=""),"",計分!$AP98-計分!K98)</f>
        <v/>
      </c>
      <c r="L98">
        <f>IF(OR(計分!L98="",計分!$AP98=""),"",計分!$AP98-計分!L98)</f>
        <v/>
      </c>
      <c r="M98">
        <f>IF(OR(計分!M98="",計分!$AP98=""),"",計分!$AP98-計分!M98)</f>
        <v/>
      </c>
      <c r="N98">
        <f>IF(OR(計分!N98="",計分!$AP98=""),"",計分!$AP98-計分!N98)</f>
        <v/>
      </c>
      <c r="O98">
        <f>IF(OR(計分!O98="",計分!$AP98=""),"",計分!$AP98-計分!O98)</f>
        <v/>
      </c>
      <c r="P98">
        <f>IF(OR(計分!P98="",計分!$AP98=""),"",計分!$AP98-計分!P98)</f>
        <v/>
      </c>
      <c r="Q98">
        <f>IF(OR(計分!Q98="",計分!$AP98=""),"",計分!$AP98-計分!Q98)</f>
        <v/>
      </c>
      <c r="R98">
        <f>IF(OR(計分!R98="",計分!$AP98=""),"",計分!$AP98-計分!R98)</f>
        <v/>
      </c>
      <c r="S98">
        <f>IF(OR(計分!S98="",計分!$AP98=""),"",計分!$AP98-計分!S98)</f>
        <v/>
      </c>
      <c r="T98">
        <f>IF(OR(計分!T98="",計分!$AP98=""),"",計分!$AP98-計分!T98)</f>
        <v/>
      </c>
      <c r="U98">
        <f>IF(OR(計分!U98="",計分!$AP98=""),"",計分!$AP98-計分!U98)</f>
        <v/>
      </c>
      <c r="V98">
        <f>IF(OR(計分!V98="",計分!$AP98=""),"",計分!$AP98-計分!V98)</f>
        <v/>
      </c>
      <c r="W98">
        <f>IF(OR(計分!W98="",計分!$AP98=""),"",計分!$AP98-計分!W98)</f>
        <v/>
      </c>
      <c r="X98">
        <f>IF(OR(計分!X98="",計分!$AP98=""),"",計分!$AP98-計分!X98)</f>
        <v/>
      </c>
      <c r="Y98">
        <f>IF(OR(計分!Y98="",計分!$AP98=""),"",計分!$AP98-計分!Y98)</f>
        <v/>
      </c>
      <c r="Z98">
        <f>IF(OR(計分!Z98="",計分!$AP98=""),"",計分!$AP98-計分!Z98)</f>
        <v/>
      </c>
      <c r="AA98">
        <f>IF(OR(計分!AA98="",計分!$AP98=""),"",計分!$AP98-計分!AA98)</f>
        <v/>
      </c>
      <c r="AB98">
        <f>IF(OR(計分!AB98="",計分!$AP98=""),"",計分!$AP98-計分!AB98)</f>
        <v/>
      </c>
      <c r="AC98">
        <f>IF(OR(計分!AC98="",計分!$AP98=""),"",計分!$AP98-計分!AC98)</f>
        <v/>
      </c>
      <c r="AD98">
        <f>IF(OR(計分!AD98="",計分!$AP98=""),"",計分!$AP98-計分!AD98)</f>
        <v/>
      </c>
      <c r="AE98">
        <f>IF(OR(計分!AE98="",計分!$AP98=""),"",計分!$AP98-計分!AE98)</f>
        <v/>
      </c>
      <c r="AF98">
        <f>IF(OR(計分!AF98="",計分!$AP98=""),"",計分!$AP98-計分!AF98)</f>
        <v/>
      </c>
      <c r="AG98">
        <f>IF(OR(計分!AG98="",計分!$AP98=""),"",計分!$AP98-計分!AG98)</f>
        <v/>
      </c>
      <c r="AH98">
        <f>IF(OR(計分!AH98="",計分!$AP98=""),"",計分!$AP98-計分!AH98)</f>
        <v/>
      </c>
      <c r="AI98">
        <f>IF(OR(計分!AI98="",計分!$AP98=""),"",計分!$AP98-計分!AI98)</f>
        <v/>
      </c>
      <c r="AJ98">
        <f>IF(OR(計分!AJ98="",計分!$AP98=""),"",計分!$AP98-計分!AJ98)</f>
        <v/>
      </c>
      <c r="AK98">
        <f>IF(OR(計分!AK98="",計分!$AP98=""),"",計分!$AP98-計分!AK98)</f>
        <v/>
      </c>
      <c r="AL98">
        <f>IF(OR(計分!AL98="",計分!$AP98=""),"",計分!$AP98-計分!AL98)</f>
        <v/>
      </c>
      <c r="AM98">
        <f>IF(OR(計分!AM98="",計分!$AP98=""),"",計分!$AP98-計分!AM98)</f>
        <v/>
      </c>
      <c r="AN98">
        <f>IF(OR(計分!AN98="",計分!$AP98=""),"",計分!$AP98-計分!AN98)</f>
        <v/>
      </c>
      <c r="AO98">
        <f>IF(OR(計分!AO98="",計分!$AP98=""),"",計分!$AP98-計分!AO98)</f>
        <v/>
      </c>
    </row>
    <row r="99">
      <c r="A99">
        <f>計分!A99</f>
        <v/>
      </c>
      <c r="B99">
        <f>IF(OR(計分!B99="",計分!$AP99=""),"",計分!$AP99-計分!B99)</f>
        <v/>
      </c>
      <c r="C99">
        <f>IF(OR(計分!C99="",計分!$AP99=""),"",計分!$AP99-計分!C99)</f>
        <v/>
      </c>
      <c r="D99">
        <f>IF(OR(計分!D99="",計分!$AP99=""),"",計分!$AP99-計分!D99)</f>
        <v/>
      </c>
      <c r="E99">
        <f>IF(OR(計分!E99="",計分!$AP99=""),"",計分!$AP99-計分!E99)</f>
        <v/>
      </c>
      <c r="F99">
        <f>IF(OR(計分!F99="",計分!$AP99=""),"",計分!$AP99-計分!F99)</f>
        <v/>
      </c>
      <c r="G99">
        <f>IF(OR(計分!G99="",計分!$AP99=""),"",計分!$AP99-計分!G99)</f>
        <v/>
      </c>
      <c r="H99">
        <f>IF(OR(計分!H99="",計分!$AP99=""),"",計分!$AP99-計分!H99)</f>
        <v/>
      </c>
      <c r="I99">
        <f>IF(OR(計分!I99="",計分!$AP99=""),"",計分!$AP99-計分!I99)</f>
        <v/>
      </c>
      <c r="J99">
        <f>IF(OR(計分!J99="",計分!$AP99=""),"",計分!$AP99-計分!J99)</f>
        <v/>
      </c>
      <c r="K99">
        <f>IF(OR(計分!K99="",計分!$AP99=""),"",計分!$AP99-計分!K99)</f>
        <v/>
      </c>
      <c r="L99">
        <f>IF(OR(計分!L99="",計分!$AP99=""),"",計分!$AP99-計分!L99)</f>
        <v/>
      </c>
      <c r="M99">
        <f>IF(OR(計分!M99="",計分!$AP99=""),"",計分!$AP99-計分!M99)</f>
        <v/>
      </c>
      <c r="N99">
        <f>IF(OR(計分!N99="",計分!$AP99=""),"",計分!$AP99-計分!N99)</f>
        <v/>
      </c>
      <c r="O99">
        <f>IF(OR(計分!O99="",計分!$AP99=""),"",計分!$AP99-計分!O99)</f>
        <v/>
      </c>
      <c r="P99">
        <f>IF(OR(計分!P99="",計分!$AP99=""),"",計分!$AP99-計分!P99)</f>
        <v/>
      </c>
      <c r="Q99">
        <f>IF(OR(計分!Q99="",計分!$AP99=""),"",計分!$AP99-計分!Q99)</f>
        <v/>
      </c>
      <c r="R99">
        <f>IF(OR(計分!R99="",計分!$AP99=""),"",計分!$AP99-計分!R99)</f>
        <v/>
      </c>
      <c r="S99">
        <f>IF(OR(計分!S99="",計分!$AP99=""),"",計分!$AP99-計分!S99)</f>
        <v/>
      </c>
      <c r="T99">
        <f>IF(OR(計分!T99="",計分!$AP99=""),"",計分!$AP99-計分!T99)</f>
        <v/>
      </c>
      <c r="U99">
        <f>IF(OR(計分!U99="",計分!$AP99=""),"",計分!$AP99-計分!U99)</f>
        <v/>
      </c>
      <c r="V99">
        <f>IF(OR(計分!V99="",計分!$AP99=""),"",計分!$AP99-計分!V99)</f>
        <v/>
      </c>
      <c r="W99">
        <f>IF(OR(計分!W99="",計分!$AP99=""),"",計分!$AP99-計分!W99)</f>
        <v/>
      </c>
      <c r="X99">
        <f>IF(OR(計分!X99="",計分!$AP99=""),"",計分!$AP99-計分!X99)</f>
        <v/>
      </c>
      <c r="Y99">
        <f>IF(OR(計分!Y99="",計分!$AP99=""),"",計分!$AP99-計分!Y99)</f>
        <v/>
      </c>
      <c r="Z99">
        <f>IF(OR(計分!Z99="",計分!$AP99=""),"",計分!$AP99-計分!Z99)</f>
        <v/>
      </c>
      <c r="AA99">
        <f>IF(OR(計分!AA99="",計分!$AP99=""),"",計分!$AP99-計分!AA99)</f>
        <v/>
      </c>
      <c r="AB99">
        <f>IF(OR(計分!AB99="",計分!$AP99=""),"",計分!$AP99-計分!AB99)</f>
        <v/>
      </c>
      <c r="AC99">
        <f>IF(OR(計分!AC99="",計分!$AP99=""),"",計分!$AP99-計分!AC99)</f>
        <v/>
      </c>
      <c r="AD99">
        <f>IF(OR(計分!AD99="",計分!$AP99=""),"",計分!$AP99-計分!AD99)</f>
        <v/>
      </c>
      <c r="AE99">
        <f>IF(OR(計分!AE99="",計分!$AP99=""),"",計分!$AP99-計分!AE99)</f>
        <v/>
      </c>
      <c r="AF99">
        <f>IF(OR(計分!AF99="",計分!$AP99=""),"",計分!$AP99-計分!AF99)</f>
        <v/>
      </c>
      <c r="AG99">
        <f>IF(OR(計分!AG99="",計分!$AP99=""),"",計分!$AP99-計分!AG99)</f>
        <v/>
      </c>
      <c r="AH99">
        <f>IF(OR(計分!AH99="",計分!$AP99=""),"",計分!$AP99-計分!AH99)</f>
        <v/>
      </c>
      <c r="AI99">
        <f>IF(OR(計分!AI99="",計分!$AP99=""),"",計分!$AP99-計分!AI99)</f>
        <v/>
      </c>
      <c r="AJ99">
        <f>IF(OR(計分!AJ99="",計分!$AP99=""),"",計分!$AP99-計分!AJ99)</f>
        <v/>
      </c>
      <c r="AK99">
        <f>IF(OR(計分!AK99="",計分!$AP99=""),"",計分!$AP99-計分!AK99)</f>
        <v/>
      </c>
      <c r="AL99">
        <f>IF(OR(計分!AL99="",計分!$AP99=""),"",計分!$AP99-計分!AL99)</f>
        <v/>
      </c>
      <c r="AM99">
        <f>IF(OR(計分!AM99="",計分!$AP99=""),"",計分!$AP99-計分!AM99)</f>
        <v/>
      </c>
      <c r="AN99">
        <f>IF(OR(計分!AN99="",計分!$AP99=""),"",計分!$AP99-計分!AN99)</f>
        <v/>
      </c>
      <c r="AO99">
        <f>IF(OR(計分!AO99="",計分!$AP99=""),"",計分!$AP99-計分!AO99)</f>
        <v/>
      </c>
    </row>
    <row r="100">
      <c r="A100">
        <f>計分!A100</f>
        <v/>
      </c>
      <c r="B100">
        <f>IF(OR(計分!B100="",計分!$AP100=""),"",計分!$AP100-計分!B100)</f>
        <v/>
      </c>
      <c r="C100">
        <f>IF(OR(計分!C100="",計分!$AP100=""),"",計分!$AP100-計分!C100)</f>
        <v/>
      </c>
      <c r="D100">
        <f>IF(OR(計分!D100="",計分!$AP100=""),"",計分!$AP100-計分!D100)</f>
        <v/>
      </c>
      <c r="E100">
        <f>IF(OR(計分!E100="",計分!$AP100=""),"",計分!$AP100-計分!E100)</f>
        <v/>
      </c>
      <c r="F100">
        <f>IF(OR(計分!F100="",計分!$AP100=""),"",計分!$AP100-計分!F100)</f>
        <v/>
      </c>
      <c r="G100">
        <f>IF(OR(計分!G100="",計分!$AP100=""),"",計分!$AP100-計分!G100)</f>
        <v/>
      </c>
      <c r="H100">
        <f>IF(OR(計分!H100="",計分!$AP100=""),"",計分!$AP100-計分!H100)</f>
        <v/>
      </c>
      <c r="I100">
        <f>IF(OR(計分!I100="",計分!$AP100=""),"",計分!$AP100-計分!I100)</f>
        <v/>
      </c>
      <c r="J100">
        <f>IF(OR(計分!J100="",計分!$AP100=""),"",計分!$AP100-計分!J100)</f>
        <v/>
      </c>
      <c r="K100">
        <f>IF(OR(計分!K100="",計分!$AP100=""),"",計分!$AP100-計分!K100)</f>
        <v/>
      </c>
      <c r="L100">
        <f>IF(OR(計分!L100="",計分!$AP100=""),"",計分!$AP100-計分!L100)</f>
        <v/>
      </c>
      <c r="M100">
        <f>IF(OR(計分!M100="",計分!$AP100=""),"",計分!$AP100-計分!M100)</f>
        <v/>
      </c>
      <c r="N100">
        <f>IF(OR(計分!N100="",計分!$AP100=""),"",計分!$AP100-計分!N100)</f>
        <v/>
      </c>
      <c r="O100">
        <f>IF(OR(計分!O100="",計分!$AP100=""),"",計分!$AP100-計分!O100)</f>
        <v/>
      </c>
      <c r="P100">
        <f>IF(OR(計分!P100="",計分!$AP100=""),"",計分!$AP100-計分!P100)</f>
        <v/>
      </c>
      <c r="Q100">
        <f>IF(OR(計分!Q100="",計分!$AP100=""),"",計分!$AP100-計分!Q100)</f>
        <v/>
      </c>
      <c r="R100">
        <f>IF(OR(計分!R100="",計分!$AP100=""),"",計分!$AP100-計分!R100)</f>
        <v/>
      </c>
      <c r="S100">
        <f>IF(OR(計分!S100="",計分!$AP100=""),"",計分!$AP100-計分!S100)</f>
        <v/>
      </c>
      <c r="T100">
        <f>IF(OR(計分!T100="",計分!$AP100=""),"",計分!$AP100-計分!T100)</f>
        <v/>
      </c>
      <c r="U100">
        <f>IF(OR(計分!U100="",計分!$AP100=""),"",計分!$AP100-計分!U100)</f>
        <v/>
      </c>
      <c r="V100">
        <f>IF(OR(計分!V100="",計分!$AP100=""),"",計分!$AP100-計分!V100)</f>
        <v/>
      </c>
      <c r="W100">
        <f>IF(OR(計分!W100="",計分!$AP100=""),"",計分!$AP100-計分!W100)</f>
        <v/>
      </c>
      <c r="X100">
        <f>IF(OR(計分!X100="",計分!$AP100=""),"",計分!$AP100-計分!X100)</f>
        <v/>
      </c>
      <c r="Y100">
        <f>IF(OR(計分!Y100="",計分!$AP100=""),"",計分!$AP100-計分!Y100)</f>
        <v/>
      </c>
      <c r="Z100">
        <f>IF(OR(計分!Z100="",計分!$AP100=""),"",計分!$AP100-計分!Z100)</f>
        <v/>
      </c>
      <c r="AA100">
        <f>IF(OR(計分!AA100="",計分!$AP100=""),"",計分!$AP100-計分!AA100)</f>
        <v/>
      </c>
      <c r="AB100">
        <f>IF(OR(計分!AB100="",計分!$AP100=""),"",計分!$AP100-計分!AB100)</f>
        <v/>
      </c>
      <c r="AC100">
        <f>IF(OR(計分!AC100="",計分!$AP100=""),"",計分!$AP100-計分!AC100)</f>
        <v/>
      </c>
      <c r="AD100">
        <f>IF(OR(計分!AD100="",計分!$AP100=""),"",計分!$AP100-計分!AD100)</f>
        <v/>
      </c>
      <c r="AE100">
        <f>IF(OR(計分!AE100="",計分!$AP100=""),"",計分!$AP100-計分!AE100)</f>
        <v/>
      </c>
      <c r="AF100">
        <f>IF(OR(計分!AF100="",計分!$AP100=""),"",計分!$AP100-計分!AF100)</f>
        <v/>
      </c>
      <c r="AG100">
        <f>IF(OR(計分!AG100="",計分!$AP100=""),"",計分!$AP100-計分!AG100)</f>
        <v/>
      </c>
      <c r="AH100">
        <f>IF(OR(計分!AH100="",計分!$AP100=""),"",計分!$AP100-計分!AH100)</f>
        <v/>
      </c>
      <c r="AI100">
        <f>IF(OR(計分!AI100="",計分!$AP100=""),"",計分!$AP100-計分!AI100)</f>
        <v/>
      </c>
      <c r="AJ100">
        <f>IF(OR(計分!AJ100="",計分!$AP100=""),"",計分!$AP100-計分!AJ100)</f>
        <v/>
      </c>
      <c r="AK100">
        <f>IF(OR(計分!AK100="",計分!$AP100=""),"",計分!$AP100-計分!AK100)</f>
        <v/>
      </c>
      <c r="AL100">
        <f>IF(OR(計分!AL100="",計分!$AP100=""),"",計分!$AP100-計分!AL100)</f>
        <v/>
      </c>
      <c r="AM100">
        <f>IF(OR(計分!AM100="",計分!$AP100=""),"",計分!$AP100-計分!AM100)</f>
        <v/>
      </c>
      <c r="AN100">
        <f>IF(OR(計分!AN100="",計分!$AP100=""),"",計分!$AP100-計分!AN100)</f>
        <v/>
      </c>
      <c r="AO100">
        <f>IF(OR(計分!AO100="",計分!$AP100=""),"",計分!$AP100-計分!AO100)</f>
        <v/>
      </c>
    </row>
    <row r="101">
      <c r="A101">
        <f>計分!A101</f>
        <v/>
      </c>
      <c r="B101">
        <f>IF(OR(計分!B101="",計分!$AP101=""),"",計分!$AP101-計分!B101)</f>
        <v/>
      </c>
      <c r="C101">
        <f>IF(OR(計分!C101="",計分!$AP101=""),"",計分!$AP101-計分!C101)</f>
        <v/>
      </c>
      <c r="D101">
        <f>IF(OR(計分!D101="",計分!$AP101=""),"",計分!$AP101-計分!D101)</f>
        <v/>
      </c>
      <c r="E101">
        <f>IF(OR(計分!E101="",計分!$AP101=""),"",計分!$AP101-計分!E101)</f>
        <v/>
      </c>
      <c r="F101">
        <f>IF(OR(計分!F101="",計分!$AP101=""),"",計分!$AP101-計分!F101)</f>
        <v/>
      </c>
      <c r="G101">
        <f>IF(OR(計分!G101="",計分!$AP101=""),"",計分!$AP101-計分!G101)</f>
        <v/>
      </c>
      <c r="H101">
        <f>IF(OR(計分!H101="",計分!$AP101=""),"",計分!$AP101-計分!H101)</f>
        <v/>
      </c>
      <c r="I101">
        <f>IF(OR(計分!I101="",計分!$AP101=""),"",計分!$AP101-計分!I101)</f>
        <v/>
      </c>
      <c r="J101">
        <f>IF(OR(計分!J101="",計分!$AP101=""),"",計分!$AP101-計分!J101)</f>
        <v/>
      </c>
      <c r="K101">
        <f>IF(OR(計分!K101="",計分!$AP101=""),"",計分!$AP101-計分!K101)</f>
        <v/>
      </c>
      <c r="L101">
        <f>IF(OR(計分!L101="",計分!$AP101=""),"",計分!$AP101-計分!L101)</f>
        <v/>
      </c>
      <c r="M101">
        <f>IF(OR(計分!M101="",計分!$AP101=""),"",計分!$AP101-計分!M101)</f>
        <v/>
      </c>
      <c r="N101">
        <f>IF(OR(計分!N101="",計分!$AP101=""),"",計分!$AP101-計分!N101)</f>
        <v/>
      </c>
      <c r="O101">
        <f>IF(OR(計分!O101="",計分!$AP101=""),"",計分!$AP101-計分!O101)</f>
        <v/>
      </c>
      <c r="P101">
        <f>IF(OR(計分!P101="",計分!$AP101=""),"",計分!$AP101-計分!P101)</f>
        <v/>
      </c>
      <c r="Q101">
        <f>IF(OR(計分!Q101="",計分!$AP101=""),"",計分!$AP101-計分!Q101)</f>
        <v/>
      </c>
      <c r="R101">
        <f>IF(OR(計分!R101="",計分!$AP101=""),"",計分!$AP101-計分!R101)</f>
        <v/>
      </c>
      <c r="S101">
        <f>IF(OR(計分!S101="",計分!$AP101=""),"",計分!$AP101-計分!S101)</f>
        <v/>
      </c>
      <c r="T101">
        <f>IF(OR(計分!T101="",計分!$AP101=""),"",計分!$AP101-計分!T101)</f>
        <v/>
      </c>
      <c r="U101">
        <f>IF(OR(計分!U101="",計分!$AP101=""),"",計分!$AP101-計分!U101)</f>
        <v/>
      </c>
      <c r="V101">
        <f>IF(OR(計分!V101="",計分!$AP101=""),"",計分!$AP101-計分!V101)</f>
        <v/>
      </c>
      <c r="W101">
        <f>IF(OR(計分!W101="",計分!$AP101=""),"",計分!$AP101-計分!W101)</f>
        <v/>
      </c>
      <c r="X101">
        <f>IF(OR(計分!X101="",計分!$AP101=""),"",計分!$AP101-計分!X101)</f>
        <v/>
      </c>
      <c r="Y101">
        <f>IF(OR(計分!Y101="",計分!$AP101=""),"",計分!$AP101-計分!Y101)</f>
        <v/>
      </c>
      <c r="Z101">
        <f>IF(OR(計分!Z101="",計分!$AP101=""),"",計分!$AP101-計分!Z101)</f>
        <v/>
      </c>
      <c r="AA101">
        <f>IF(OR(計分!AA101="",計分!$AP101=""),"",計分!$AP101-計分!AA101)</f>
        <v/>
      </c>
      <c r="AB101">
        <f>IF(OR(計分!AB101="",計分!$AP101=""),"",計分!$AP101-計分!AB101)</f>
        <v/>
      </c>
      <c r="AC101">
        <f>IF(OR(計分!AC101="",計分!$AP101=""),"",計分!$AP101-計分!AC101)</f>
        <v/>
      </c>
      <c r="AD101">
        <f>IF(OR(計分!AD101="",計分!$AP101=""),"",計分!$AP101-計分!AD101)</f>
        <v/>
      </c>
      <c r="AE101">
        <f>IF(OR(計分!AE101="",計分!$AP101=""),"",計分!$AP101-計分!AE101)</f>
        <v/>
      </c>
      <c r="AF101">
        <f>IF(OR(計分!AF101="",計分!$AP101=""),"",計分!$AP101-計分!AF101)</f>
        <v/>
      </c>
      <c r="AG101">
        <f>IF(OR(計分!AG101="",計分!$AP101=""),"",計分!$AP101-計分!AG101)</f>
        <v/>
      </c>
      <c r="AH101">
        <f>IF(OR(計分!AH101="",計分!$AP101=""),"",計分!$AP101-計分!AH101)</f>
        <v/>
      </c>
      <c r="AI101">
        <f>IF(OR(計分!AI101="",計分!$AP101=""),"",計分!$AP101-計分!AI101)</f>
        <v/>
      </c>
      <c r="AJ101">
        <f>IF(OR(計分!AJ101="",計分!$AP101=""),"",計分!$AP101-計分!AJ101)</f>
        <v/>
      </c>
      <c r="AK101">
        <f>IF(OR(計分!AK101="",計分!$AP101=""),"",計分!$AP101-計分!AK101)</f>
        <v/>
      </c>
      <c r="AL101">
        <f>IF(OR(計分!AL101="",計分!$AP101=""),"",計分!$AP101-計分!AL101)</f>
        <v/>
      </c>
      <c r="AM101">
        <f>IF(OR(計分!AM101="",計分!$AP101=""),"",計分!$AP101-計分!AM101)</f>
        <v/>
      </c>
      <c r="AN101">
        <f>IF(OR(計分!AN101="",計分!$AP101=""),"",計分!$AP101-計分!AN101)</f>
        <v/>
      </c>
      <c r="AO101">
        <f>IF(OR(計分!AO101="",計分!$AP101=""),"",計分!$AP101-計分!AO101)</f>
        <v/>
      </c>
    </row>
    <row r="102">
      <c r="A102">
        <f>計分!A102</f>
        <v/>
      </c>
      <c r="B102">
        <f>IF(OR(計分!B102="",計分!$AP102=""),"",計分!$AP102-計分!B102)</f>
        <v/>
      </c>
      <c r="C102">
        <f>IF(OR(計分!C102="",計分!$AP102=""),"",計分!$AP102-計分!C102)</f>
        <v/>
      </c>
      <c r="D102">
        <f>IF(OR(計分!D102="",計分!$AP102=""),"",計分!$AP102-計分!D102)</f>
        <v/>
      </c>
      <c r="E102">
        <f>IF(OR(計分!E102="",計分!$AP102=""),"",計分!$AP102-計分!E102)</f>
        <v/>
      </c>
      <c r="F102">
        <f>IF(OR(計分!F102="",計分!$AP102=""),"",計分!$AP102-計分!F102)</f>
        <v/>
      </c>
      <c r="G102">
        <f>IF(OR(計分!G102="",計分!$AP102=""),"",計分!$AP102-計分!G102)</f>
        <v/>
      </c>
      <c r="H102">
        <f>IF(OR(計分!H102="",計分!$AP102=""),"",計分!$AP102-計分!H102)</f>
        <v/>
      </c>
      <c r="I102">
        <f>IF(OR(計分!I102="",計分!$AP102=""),"",計分!$AP102-計分!I102)</f>
        <v/>
      </c>
      <c r="J102">
        <f>IF(OR(計分!J102="",計分!$AP102=""),"",計分!$AP102-計分!J102)</f>
        <v/>
      </c>
      <c r="K102">
        <f>IF(OR(計分!K102="",計分!$AP102=""),"",計分!$AP102-計分!K102)</f>
        <v/>
      </c>
      <c r="L102">
        <f>IF(OR(計分!L102="",計分!$AP102=""),"",計分!$AP102-計分!L102)</f>
        <v/>
      </c>
      <c r="M102">
        <f>IF(OR(計分!M102="",計分!$AP102=""),"",計分!$AP102-計分!M102)</f>
        <v/>
      </c>
      <c r="N102">
        <f>IF(OR(計分!N102="",計分!$AP102=""),"",計分!$AP102-計分!N102)</f>
        <v/>
      </c>
      <c r="O102">
        <f>IF(OR(計分!O102="",計分!$AP102=""),"",計分!$AP102-計分!O102)</f>
        <v/>
      </c>
      <c r="P102">
        <f>IF(OR(計分!P102="",計分!$AP102=""),"",計分!$AP102-計分!P102)</f>
        <v/>
      </c>
      <c r="Q102">
        <f>IF(OR(計分!Q102="",計分!$AP102=""),"",計分!$AP102-計分!Q102)</f>
        <v/>
      </c>
      <c r="R102">
        <f>IF(OR(計分!R102="",計分!$AP102=""),"",計分!$AP102-計分!R102)</f>
        <v/>
      </c>
      <c r="S102">
        <f>IF(OR(計分!S102="",計分!$AP102=""),"",計分!$AP102-計分!S102)</f>
        <v/>
      </c>
      <c r="T102">
        <f>IF(OR(計分!T102="",計分!$AP102=""),"",計分!$AP102-計分!T102)</f>
        <v/>
      </c>
      <c r="U102">
        <f>IF(OR(計分!U102="",計分!$AP102=""),"",計分!$AP102-計分!U102)</f>
        <v/>
      </c>
      <c r="V102">
        <f>IF(OR(計分!V102="",計分!$AP102=""),"",計分!$AP102-計分!V102)</f>
        <v/>
      </c>
      <c r="W102">
        <f>IF(OR(計分!W102="",計分!$AP102=""),"",計分!$AP102-計分!W102)</f>
        <v/>
      </c>
      <c r="X102">
        <f>IF(OR(計分!X102="",計分!$AP102=""),"",計分!$AP102-計分!X102)</f>
        <v/>
      </c>
      <c r="Y102">
        <f>IF(OR(計分!Y102="",計分!$AP102=""),"",計分!$AP102-計分!Y102)</f>
        <v/>
      </c>
      <c r="Z102">
        <f>IF(OR(計分!Z102="",計分!$AP102=""),"",計分!$AP102-計分!Z102)</f>
        <v/>
      </c>
      <c r="AA102">
        <f>IF(OR(計分!AA102="",計分!$AP102=""),"",計分!$AP102-計分!AA102)</f>
        <v/>
      </c>
      <c r="AB102">
        <f>IF(OR(計分!AB102="",計分!$AP102=""),"",計分!$AP102-計分!AB102)</f>
        <v/>
      </c>
      <c r="AC102">
        <f>IF(OR(計分!AC102="",計分!$AP102=""),"",計分!$AP102-計分!AC102)</f>
        <v/>
      </c>
      <c r="AD102">
        <f>IF(OR(計分!AD102="",計分!$AP102=""),"",計分!$AP102-計分!AD102)</f>
        <v/>
      </c>
      <c r="AE102">
        <f>IF(OR(計分!AE102="",計分!$AP102=""),"",計分!$AP102-計分!AE102)</f>
        <v/>
      </c>
      <c r="AF102">
        <f>IF(OR(計分!AF102="",計分!$AP102=""),"",計分!$AP102-計分!AF102)</f>
        <v/>
      </c>
      <c r="AG102">
        <f>IF(OR(計分!AG102="",計分!$AP102=""),"",計分!$AP102-計分!AG102)</f>
        <v/>
      </c>
      <c r="AH102">
        <f>IF(OR(計分!AH102="",計分!$AP102=""),"",計分!$AP102-計分!AH102)</f>
        <v/>
      </c>
      <c r="AI102">
        <f>IF(OR(計分!AI102="",計分!$AP102=""),"",計分!$AP102-計分!AI102)</f>
        <v/>
      </c>
      <c r="AJ102">
        <f>IF(OR(計分!AJ102="",計分!$AP102=""),"",計分!$AP102-計分!AJ102)</f>
        <v/>
      </c>
      <c r="AK102">
        <f>IF(OR(計分!AK102="",計分!$AP102=""),"",計分!$AP102-計分!AK102)</f>
        <v/>
      </c>
      <c r="AL102">
        <f>IF(OR(計分!AL102="",計分!$AP102=""),"",計分!$AP102-計分!AL102)</f>
        <v/>
      </c>
      <c r="AM102">
        <f>IF(OR(計分!AM102="",計分!$AP102=""),"",計分!$AP102-計分!AM102)</f>
        <v/>
      </c>
      <c r="AN102">
        <f>IF(OR(計分!AN102="",計分!$AP102=""),"",計分!$AP102-計分!AN102)</f>
        <v/>
      </c>
      <c r="AO102">
        <f>IF(OR(計分!AO102="",計分!$AP102=""),"",計分!$AP102-計分!AO102)</f>
        <v/>
      </c>
    </row>
    <row r="103">
      <c r="A103">
        <f>計分!A103</f>
        <v/>
      </c>
      <c r="B103">
        <f>IF(OR(計分!B103="",計分!$AP103=""),"",計分!$AP103-計分!B103)</f>
        <v/>
      </c>
      <c r="C103">
        <f>IF(OR(計分!C103="",計分!$AP103=""),"",計分!$AP103-計分!C103)</f>
        <v/>
      </c>
      <c r="D103">
        <f>IF(OR(計分!D103="",計分!$AP103=""),"",計分!$AP103-計分!D103)</f>
        <v/>
      </c>
      <c r="E103">
        <f>IF(OR(計分!E103="",計分!$AP103=""),"",計分!$AP103-計分!E103)</f>
        <v/>
      </c>
      <c r="F103">
        <f>IF(OR(計分!F103="",計分!$AP103=""),"",計分!$AP103-計分!F103)</f>
        <v/>
      </c>
      <c r="G103">
        <f>IF(OR(計分!G103="",計分!$AP103=""),"",計分!$AP103-計分!G103)</f>
        <v/>
      </c>
      <c r="H103">
        <f>IF(OR(計分!H103="",計分!$AP103=""),"",計分!$AP103-計分!H103)</f>
        <v/>
      </c>
      <c r="I103">
        <f>IF(OR(計分!I103="",計分!$AP103=""),"",計分!$AP103-計分!I103)</f>
        <v/>
      </c>
      <c r="J103">
        <f>IF(OR(計分!J103="",計分!$AP103=""),"",計分!$AP103-計分!J103)</f>
        <v/>
      </c>
      <c r="K103">
        <f>IF(OR(計分!K103="",計分!$AP103=""),"",計分!$AP103-計分!K103)</f>
        <v/>
      </c>
      <c r="L103">
        <f>IF(OR(計分!L103="",計分!$AP103=""),"",計分!$AP103-計分!L103)</f>
        <v/>
      </c>
      <c r="M103">
        <f>IF(OR(計分!M103="",計分!$AP103=""),"",計分!$AP103-計分!M103)</f>
        <v/>
      </c>
      <c r="N103">
        <f>IF(OR(計分!N103="",計分!$AP103=""),"",計分!$AP103-計分!N103)</f>
        <v/>
      </c>
      <c r="O103">
        <f>IF(OR(計分!O103="",計分!$AP103=""),"",計分!$AP103-計分!O103)</f>
        <v/>
      </c>
      <c r="P103">
        <f>IF(OR(計分!P103="",計分!$AP103=""),"",計分!$AP103-計分!P103)</f>
        <v/>
      </c>
      <c r="Q103">
        <f>IF(OR(計分!Q103="",計分!$AP103=""),"",計分!$AP103-計分!Q103)</f>
        <v/>
      </c>
      <c r="R103">
        <f>IF(OR(計分!R103="",計分!$AP103=""),"",計分!$AP103-計分!R103)</f>
        <v/>
      </c>
      <c r="S103">
        <f>IF(OR(計分!S103="",計分!$AP103=""),"",計分!$AP103-計分!S103)</f>
        <v/>
      </c>
      <c r="T103">
        <f>IF(OR(計分!T103="",計分!$AP103=""),"",計分!$AP103-計分!T103)</f>
        <v/>
      </c>
      <c r="U103">
        <f>IF(OR(計分!U103="",計分!$AP103=""),"",計分!$AP103-計分!U103)</f>
        <v/>
      </c>
      <c r="V103">
        <f>IF(OR(計分!V103="",計分!$AP103=""),"",計分!$AP103-計分!V103)</f>
        <v/>
      </c>
      <c r="W103">
        <f>IF(OR(計分!W103="",計分!$AP103=""),"",計分!$AP103-計分!W103)</f>
        <v/>
      </c>
      <c r="X103">
        <f>IF(OR(計分!X103="",計分!$AP103=""),"",計分!$AP103-計分!X103)</f>
        <v/>
      </c>
      <c r="Y103">
        <f>IF(OR(計分!Y103="",計分!$AP103=""),"",計分!$AP103-計分!Y103)</f>
        <v/>
      </c>
      <c r="Z103">
        <f>IF(OR(計分!Z103="",計分!$AP103=""),"",計分!$AP103-計分!Z103)</f>
        <v/>
      </c>
      <c r="AA103">
        <f>IF(OR(計分!AA103="",計分!$AP103=""),"",計分!$AP103-計分!AA103)</f>
        <v/>
      </c>
      <c r="AB103">
        <f>IF(OR(計分!AB103="",計分!$AP103=""),"",計分!$AP103-計分!AB103)</f>
        <v/>
      </c>
      <c r="AC103">
        <f>IF(OR(計分!AC103="",計分!$AP103=""),"",計分!$AP103-計分!AC103)</f>
        <v/>
      </c>
      <c r="AD103">
        <f>IF(OR(計分!AD103="",計分!$AP103=""),"",計分!$AP103-計分!AD103)</f>
        <v/>
      </c>
      <c r="AE103">
        <f>IF(OR(計分!AE103="",計分!$AP103=""),"",計分!$AP103-計分!AE103)</f>
        <v/>
      </c>
      <c r="AF103">
        <f>IF(OR(計分!AF103="",計分!$AP103=""),"",計分!$AP103-計分!AF103)</f>
        <v/>
      </c>
      <c r="AG103">
        <f>IF(OR(計分!AG103="",計分!$AP103=""),"",計分!$AP103-計分!AG103)</f>
        <v/>
      </c>
      <c r="AH103">
        <f>IF(OR(計分!AH103="",計分!$AP103=""),"",計分!$AP103-計分!AH103)</f>
        <v/>
      </c>
      <c r="AI103">
        <f>IF(OR(計分!AI103="",計分!$AP103=""),"",計分!$AP103-計分!AI103)</f>
        <v/>
      </c>
      <c r="AJ103">
        <f>IF(OR(計分!AJ103="",計分!$AP103=""),"",計分!$AP103-計分!AJ103)</f>
        <v/>
      </c>
      <c r="AK103">
        <f>IF(OR(計分!AK103="",計分!$AP103=""),"",計分!$AP103-計分!AK103)</f>
        <v/>
      </c>
      <c r="AL103">
        <f>IF(OR(計分!AL103="",計分!$AP103=""),"",計分!$AP103-計分!AL103)</f>
        <v/>
      </c>
      <c r="AM103">
        <f>IF(OR(計分!AM103="",計分!$AP103=""),"",計分!$AP103-計分!AM103)</f>
        <v/>
      </c>
      <c r="AN103">
        <f>IF(OR(計分!AN103="",計分!$AP103=""),"",計分!$AP103-計分!AN103)</f>
        <v/>
      </c>
      <c r="AO103">
        <f>IF(OR(計分!AO103="",計分!$AP103=""),"",計分!$AP103-計分!AO103)</f>
        <v/>
      </c>
    </row>
    <row r="104">
      <c r="A104">
        <f>計分!A104</f>
        <v/>
      </c>
      <c r="B104">
        <f>IF(OR(計分!B104="",計分!$AP104=""),"",計分!$AP104-計分!B104)</f>
        <v/>
      </c>
      <c r="C104">
        <f>IF(OR(計分!C104="",計分!$AP104=""),"",計分!$AP104-計分!C104)</f>
        <v/>
      </c>
      <c r="D104">
        <f>IF(OR(計分!D104="",計分!$AP104=""),"",計分!$AP104-計分!D104)</f>
        <v/>
      </c>
      <c r="E104">
        <f>IF(OR(計分!E104="",計分!$AP104=""),"",計分!$AP104-計分!E104)</f>
        <v/>
      </c>
      <c r="F104">
        <f>IF(OR(計分!F104="",計分!$AP104=""),"",計分!$AP104-計分!F104)</f>
        <v/>
      </c>
      <c r="G104">
        <f>IF(OR(計分!G104="",計分!$AP104=""),"",計分!$AP104-計分!G104)</f>
        <v/>
      </c>
      <c r="H104">
        <f>IF(OR(計分!H104="",計分!$AP104=""),"",計分!$AP104-計分!H104)</f>
        <v/>
      </c>
      <c r="I104">
        <f>IF(OR(計分!I104="",計分!$AP104=""),"",計分!$AP104-計分!I104)</f>
        <v/>
      </c>
      <c r="J104">
        <f>IF(OR(計分!J104="",計分!$AP104=""),"",計分!$AP104-計分!J104)</f>
        <v/>
      </c>
      <c r="K104">
        <f>IF(OR(計分!K104="",計分!$AP104=""),"",計分!$AP104-計分!K104)</f>
        <v/>
      </c>
      <c r="L104">
        <f>IF(OR(計分!L104="",計分!$AP104=""),"",計分!$AP104-計分!L104)</f>
        <v/>
      </c>
      <c r="M104">
        <f>IF(OR(計分!M104="",計分!$AP104=""),"",計分!$AP104-計分!M104)</f>
        <v/>
      </c>
      <c r="N104">
        <f>IF(OR(計分!N104="",計分!$AP104=""),"",計分!$AP104-計分!N104)</f>
        <v/>
      </c>
      <c r="O104">
        <f>IF(OR(計分!O104="",計分!$AP104=""),"",計分!$AP104-計分!O104)</f>
        <v/>
      </c>
      <c r="P104">
        <f>IF(OR(計分!P104="",計分!$AP104=""),"",計分!$AP104-計分!P104)</f>
        <v/>
      </c>
      <c r="Q104">
        <f>IF(OR(計分!Q104="",計分!$AP104=""),"",計分!$AP104-計分!Q104)</f>
        <v/>
      </c>
      <c r="R104">
        <f>IF(OR(計分!R104="",計分!$AP104=""),"",計分!$AP104-計分!R104)</f>
        <v/>
      </c>
      <c r="S104">
        <f>IF(OR(計分!S104="",計分!$AP104=""),"",計分!$AP104-計分!S104)</f>
        <v/>
      </c>
      <c r="T104">
        <f>IF(OR(計分!T104="",計分!$AP104=""),"",計分!$AP104-計分!T104)</f>
        <v/>
      </c>
      <c r="U104">
        <f>IF(OR(計分!U104="",計分!$AP104=""),"",計分!$AP104-計分!U104)</f>
        <v/>
      </c>
      <c r="V104">
        <f>IF(OR(計分!V104="",計分!$AP104=""),"",計分!$AP104-計分!V104)</f>
        <v/>
      </c>
      <c r="W104">
        <f>IF(OR(計分!W104="",計分!$AP104=""),"",計分!$AP104-計分!W104)</f>
        <v/>
      </c>
      <c r="X104">
        <f>IF(OR(計分!X104="",計分!$AP104=""),"",計分!$AP104-計分!X104)</f>
        <v/>
      </c>
      <c r="Y104">
        <f>IF(OR(計分!Y104="",計分!$AP104=""),"",計分!$AP104-計分!Y104)</f>
        <v/>
      </c>
      <c r="Z104">
        <f>IF(OR(計分!Z104="",計分!$AP104=""),"",計分!$AP104-計分!Z104)</f>
        <v/>
      </c>
      <c r="AA104">
        <f>IF(OR(計分!AA104="",計分!$AP104=""),"",計分!$AP104-計分!AA104)</f>
        <v/>
      </c>
      <c r="AB104">
        <f>IF(OR(計分!AB104="",計分!$AP104=""),"",計分!$AP104-計分!AB104)</f>
        <v/>
      </c>
      <c r="AC104">
        <f>IF(OR(計分!AC104="",計分!$AP104=""),"",計分!$AP104-計分!AC104)</f>
        <v/>
      </c>
      <c r="AD104">
        <f>IF(OR(計分!AD104="",計分!$AP104=""),"",計分!$AP104-計分!AD104)</f>
        <v/>
      </c>
      <c r="AE104">
        <f>IF(OR(計分!AE104="",計分!$AP104=""),"",計分!$AP104-計分!AE104)</f>
        <v/>
      </c>
      <c r="AF104">
        <f>IF(OR(計分!AF104="",計分!$AP104=""),"",計分!$AP104-計分!AF104)</f>
        <v/>
      </c>
      <c r="AG104">
        <f>IF(OR(計分!AG104="",計分!$AP104=""),"",計分!$AP104-計分!AG104)</f>
        <v/>
      </c>
      <c r="AH104">
        <f>IF(OR(計分!AH104="",計分!$AP104=""),"",計分!$AP104-計分!AH104)</f>
        <v/>
      </c>
      <c r="AI104">
        <f>IF(OR(計分!AI104="",計分!$AP104=""),"",計分!$AP104-計分!AI104)</f>
        <v/>
      </c>
      <c r="AJ104">
        <f>IF(OR(計分!AJ104="",計分!$AP104=""),"",計分!$AP104-計分!AJ104)</f>
        <v/>
      </c>
      <c r="AK104">
        <f>IF(OR(計分!AK104="",計分!$AP104=""),"",計分!$AP104-計分!AK104)</f>
        <v/>
      </c>
      <c r="AL104">
        <f>IF(OR(計分!AL104="",計分!$AP104=""),"",計分!$AP104-計分!AL104)</f>
        <v/>
      </c>
      <c r="AM104">
        <f>IF(OR(計分!AM104="",計分!$AP104=""),"",計分!$AP104-計分!AM104)</f>
        <v/>
      </c>
      <c r="AN104">
        <f>IF(OR(計分!AN104="",計分!$AP104=""),"",計分!$AP104-計分!AN104)</f>
        <v/>
      </c>
      <c r="AO104">
        <f>IF(OR(計分!AO104="",計分!$AP104=""),"",計分!$AP104-計分!AO104)</f>
        <v/>
      </c>
    </row>
    <row r="105">
      <c r="A105">
        <f>計分!A105</f>
        <v/>
      </c>
      <c r="B105">
        <f>IF(OR(計分!B105="",計分!$AP105=""),"",計分!$AP105-計分!B105)</f>
        <v/>
      </c>
      <c r="C105">
        <f>IF(OR(計分!C105="",計分!$AP105=""),"",計分!$AP105-計分!C105)</f>
        <v/>
      </c>
      <c r="D105">
        <f>IF(OR(計分!D105="",計分!$AP105=""),"",計分!$AP105-計分!D105)</f>
        <v/>
      </c>
      <c r="E105">
        <f>IF(OR(計分!E105="",計分!$AP105=""),"",計分!$AP105-計分!E105)</f>
        <v/>
      </c>
      <c r="F105">
        <f>IF(OR(計分!F105="",計分!$AP105=""),"",計分!$AP105-計分!F105)</f>
        <v/>
      </c>
      <c r="G105">
        <f>IF(OR(計分!G105="",計分!$AP105=""),"",計分!$AP105-計分!G105)</f>
        <v/>
      </c>
      <c r="H105">
        <f>IF(OR(計分!H105="",計分!$AP105=""),"",計分!$AP105-計分!H105)</f>
        <v/>
      </c>
      <c r="I105">
        <f>IF(OR(計分!I105="",計分!$AP105=""),"",計分!$AP105-計分!I105)</f>
        <v/>
      </c>
      <c r="J105">
        <f>IF(OR(計分!J105="",計分!$AP105=""),"",計分!$AP105-計分!J105)</f>
        <v/>
      </c>
      <c r="K105">
        <f>IF(OR(計分!K105="",計分!$AP105=""),"",計分!$AP105-計分!K105)</f>
        <v/>
      </c>
      <c r="L105">
        <f>IF(OR(計分!L105="",計分!$AP105=""),"",計分!$AP105-計分!L105)</f>
        <v/>
      </c>
      <c r="M105">
        <f>IF(OR(計分!M105="",計分!$AP105=""),"",計分!$AP105-計分!M105)</f>
        <v/>
      </c>
      <c r="N105">
        <f>IF(OR(計分!N105="",計分!$AP105=""),"",計分!$AP105-計分!N105)</f>
        <v/>
      </c>
      <c r="O105">
        <f>IF(OR(計分!O105="",計分!$AP105=""),"",計分!$AP105-計分!O105)</f>
        <v/>
      </c>
      <c r="P105">
        <f>IF(OR(計分!P105="",計分!$AP105=""),"",計分!$AP105-計分!P105)</f>
        <v/>
      </c>
      <c r="Q105">
        <f>IF(OR(計分!Q105="",計分!$AP105=""),"",計分!$AP105-計分!Q105)</f>
        <v/>
      </c>
      <c r="R105">
        <f>IF(OR(計分!R105="",計分!$AP105=""),"",計分!$AP105-計分!R105)</f>
        <v/>
      </c>
      <c r="S105">
        <f>IF(OR(計分!S105="",計分!$AP105=""),"",計分!$AP105-計分!S105)</f>
        <v/>
      </c>
      <c r="T105">
        <f>IF(OR(計分!T105="",計分!$AP105=""),"",計分!$AP105-計分!T105)</f>
        <v/>
      </c>
      <c r="U105">
        <f>IF(OR(計分!U105="",計分!$AP105=""),"",計分!$AP105-計分!U105)</f>
        <v/>
      </c>
      <c r="V105">
        <f>IF(OR(計分!V105="",計分!$AP105=""),"",計分!$AP105-計分!V105)</f>
        <v/>
      </c>
      <c r="W105">
        <f>IF(OR(計分!W105="",計分!$AP105=""),"",計分!$AP105-計分!W105)</f>
        <v/>
      </c>
      <c r="X105">
        <f>IF(OR(計分!X105="",計分!$AP105=""),"",計分!$AP105-計分!X105)</f>
        <v/>
      </c>
      <c r="Y105">
        <f>IF(OR(計分!Y105="",計分!$AP105=""),"",計分!$AP105-計分!Y105)</f>
        <v/>
      </c>
      <c r="Z105">
        <f>IF(OR(計分!Z105="",計分!$AP105=""),"",計分!$AP105-計分!Z105)</f>
        <v/>
      </c>
      <c r="AA105">
        <f>IF(OR(計分!AA105="",計分!$AP105=""),"",計分!$AP105-計分!AA105)</f>
        <v/>
      </c>
      <c r="AB105">
        <f>IF(OR(計分!AB105="",計分!$AP105=""),"",計分!$AP105-計分!AB105)</f>
        <v/>
      </c>
      <c r="AC105">
        <f>IF(OR(計分!AC105="",計分!$AP105=""),"",計分!$AP105-計分!AC105)</f>
        <v/>
      </c>
      <c r="AD105">
        <f>IF(OR(計分!AD105="",計分!$AP105=""),"",計分!$AP105-計分!AD105)</f>
        <v/>
      </c>
      <c r="AE105">
        <f>IF(OR(計分!AE105="",計分!$AP105=""),"",計分!$AP105-計分!AE105)</f>
        <v/>
      </c>
      <c r="AF105">
        <f>IF(OR(計分!AF105="",計分!$AP105=""),"",計分!$AP105-計分!AF105)</f>
        <v/>
      </c>
      <c r="AG105">
        <f>IF(OR(計分!AG105="",計分!$AP105=""),"",計分!$AP105-計分!AG105)</f>
        <v/>
      </c>
      <c r="AH105">
        <f>IF(OR(計分!AH105="",計分!$AP105=""),"",計分!$AP105-計分!AH105)</f>
        <v/>
      </c>
      <c r="AI105">
        <f>IF(OR(計分!AI105="",計分!$AP105=""),"",計分!$AP105-計分!AI105)</f>
        <v/>
      </c>
      <c r="AJ105">
        <f>IF(OR(計分!AJ105="",計分!$AP105=""),"",計分!$AP105-計分!AJ105)</f>
        <v/>
      </c>
      <c r="AK105">
        <f>IF(OR(計分!AK105="",計分!$AP105=""),"",計分!$AP105-計分!AK105)</f>
        <v/>
      </c>
      <c r="AL105">
        <f>IF(OR(計分!AL105="",計分!$AP105=""),"",計分!$AP105-計分!AL105)</f>
        <v/>
      </c>
      <c r="AM105">
        <f>IF(OR(計分!AM105="",計分!$AP105=""),"",計分!$AP105-計分!AM105)</f>
        <v/>
      </c>
      <c r="AN105">
        <f>IF(OR(計分!AN105="",計分!$AP105=""),"",計分!$AP105-計分!AN105)</f>
        <v/>
      </c>
      <c r="AO105">
        <f>IF(OR(計分!AO105="",計分!$AP105=""),"",計分!$AP105-計分!AO105)</f>
        <v/>
      </c>
    </row>
    <row r="106">
      <c r="A106">
        <f>計分!A106</f>
        <v/>
      </c>
      <c r="B106">
        <f>IF(OR(計分!B106="",計分!$AP106=""),"",計分!$AP106-計分!B106)</f>
        <v/>
      </c>
      <c r="C106">
        <f>IF(OR(計分!C106="",計分!$AP106=""),"",計分!$AP106-計分!C106)</f>
        <v/>
      </c>
      <c r="D106">
        <f>IF(OR(計分!D106="",計分!$AP106=""),"",計分!$AP106-計分!D106)</f>
        <v/>
      </c>
      <c r="E106">
        <f>IF(OR(計分!E106="",計分!$AP106=""),"",計分!$AP106-計分!E106)</f>
        <v/>
      </c>
      <c r="F106">
        <f>IF(OR(計分!F106="",計分!$AP106=""),"",計分!$AP106-計分!F106)</f>
        <v/>
      </c>
      <c r="G106">
        <f>IF(OR(計分!G106="",計分!$AP106=""),"",計分!$AP106-計分!G106)</f>
        <v/>
      </c>
      <c r="H106">
        <f>IF(OR(計分!H106="",計分!$AP106=""),"",計分!$AP106-計分!H106)</f>
        <v/>
      </c>
      <c r="I106">
        <f>IF(OR(計分!I106="",計分!$AP106=""),"",計分!$AP106-計分!I106)</f>
        <v/>
      </c>
      <c r="J106">
        <f>IF(OR(計分!J106="",計分!$AP106=""),"",計分!$AP106-計分!J106)</f>
        <v/>
      </c>
      <c r="K106">
        <f>IF(OR(計分!K106="",計分!$AP106=""),"",計分!$AP106-計分!K106)</f>
        <v/>
      </c>
      <c r="L106">
        <f>IF(OR(計分!L106="",計分!$AP106=""),"",計分!$AP106-計分!L106)</f>
        <v/>
      </c>
      <c r="M106">
        <f>IF(OR(計分!M106="",計分!$AP106=""),"",計分!$AP106-計分!M106)</f>
        <v/>
      </c>
      <c r="N106">
        <f>IF(OR(計分!N106="",計分!$AP106=""),"",計分!$AP106-計分!N106)</f>
        <v/>
      </c>
      <c r="O106">
        <f>IF(OR(計分!O106="",計分!$AP106=""),"",計分!$AP106-計分!O106)</f>
        <v/>
      </c>
      <c r="P106">
        <f>IF(OR(計分!P106="",計分!$AP106=""),"",計分!$AP106-計分!P106)</f>
        <v/>
      </c>
      <c r="Q106">
        <f>IF(OR(計分!Q106="",計分!$AP106=""),"",計分!$AP106-計分!Q106)</f>
        <v/>
      </c>
      <c r="R106">
        <f>IF(OR(計分!R106="",計分!$AP106=""),"",計分!$AP106-計分!R106)</f>
        <v/>
      </c>
      <c r="S106">
        <f>IF(OR(計分!S106="",計分!$AP106=""),"",計分!$AP106-計分!S106)</f>
        <v/>
      </c>
      <c r="T106">
        <f>IF(OR(計分!T106="",計分!$AP106=""),"",計分!$AP106-計分!T106)</f>
        <v/>
      </c>
      <c r="U106">
        <f>IF(OR(計分!U106="",計分!$AP106=""),"",計分!$AP106-計分!U106)</f>
        <v/>
      </c>
      <c r="V106">
        <f>IF(OR(計分!V106="",計分!$AP106=""),"",計分!$AP106-計分!V106)</f>
        <v/>
      </c>
      <c r="W106">
        <f>IF(OR(計分!W106="",計分!$AP106=""),"",計分!$AP106-計分!W106)</f>
        <v/>
      </c>
      <c r="X106">
        <f>IF(OR(計分!X106="",計分!$AP106=""),"",計分!$AP106-計分!X106)</f>
        <v/>
      </c>
      <c r="Y106">
        <f>IF(OR(計分!Y106="",計分!$AP106=""),"",計分!$AP106-計分!Y106)</f>
        <v/>
      </c>
      <c r="Z106">
        <f>IF(OR(計分!Z106="",計分!$AP106=""),"",計分!$AP106-計分!Z106)</f>
        <v/>
      </c>
      <c r="AA106">
        <f>IF(OR(計分!AA106="",計分!$AP106=""),"",計分!$AP106-計分!AA106)</f>
        <v/>
      </c>
      <c r="AB106">
        <f>IF(OR(計分!AB106="",計分!$AP106=""),"",計分!$AP106-計分!AB106)</f>
        <v/>
      </c>
      <c r="AC106">
        <f>IF(OR(計分!AC106="",計分!$AP106=""),"",計分!$AP106-計分!AC106)</f>
        <v/>
      </c>
      <c r="AD106">
        <f>IF(OR(計分!AD106="",計分!$AP106=""),"",計分!$AP106-計分!AD106)</f>
        <v/>
      </c>
      <c r="AE106">
        <f>IF(OR(計分!AE106="",計分!$AP106=""),"",計分!$AP106-計分!AE106)</f>
        <v/>
      </c>
      <c r="AF106">
        <f>IF(OR(計分!AF106="",計分!$AP106=""),"",計分!$AP106-計分!AF106)</f>
        <v/>
      </c>
      <c r="AG106">
        <f>IF(OR(計分!AG106="",計分!$AP106=""),"",計分!$AP106-計分!AG106)</f>
        <v/>
      </c>
      <c r="AH106">
        <f>IF(OR(計分!AH106="",計分!$AP106=""),"",計分!$AP106-計分!AH106)</f>
        <v/>
      </c>
      <c r="AI106">
        <f>IF(OR(計分!AI106="",計分!$AP106=""),"",計分!$AP106-計分!AI106)</f>
        <v/>
      </c>
      <c r="AJ106">
        <f>IF(OR(計分!AJ106="",計分!$AP106=""),"",計分!$AP106-計分!AJ106)</f>
        <v/>
      </c>
      <c r="AK106">
        <f>IF(OR(計分!AK106="",計分!$AP106=""),"",計分!$AP106-計分!AK106)</f>
        <v/>
      </c>
      <c r="AL106">
        <f>IF(OR(計分!AL106="",計分!$AP106=""),"",計分!$AP106-計分!AL106)</f>
        <v/>
      </c>
      <c r="AM106">
        <f>IF(OR(計分!AM106="",計分!$AP106=""),"",計分!$AP106-計分!AM106)</f>
        <v/>
      </c>
      <c r="AN106">
        <f>IF(OR(計分!AN106="",計分!$AP106=""),"",計分!$AP106-計分!AN106)</f>
        <v/>
      </c>
      <c r="AO106">
        <f>IF(OR(計分!AO106="",計分!$AP106=""),"",計分!$AP106-計分!AO106)</f>
        <v/>
      </c>
    </row>
    <row r="107">
      <c r="A107">
        <f>計分!A107</f>
        <v/>
      </c>
      <c r="B107">
        <f>IF(OR(計分!B107="",計分!$AP107=""),"",計分!$AP107-計分!B107)</f>
        <v/>
      </c>
      <c r="C107">
        <f>IF(OR(計分!C107="",計分!$AP107=""),"",計分!$AP107-計分!C107)</f>
        <v/>
      </c>
      <c r="D107">
        <f>IF(OR(計分!D107="",計分!$AP107=""),"",計分!$AP107-計分!D107)</f>
        <v/>
      </c>
      <c r="E107">
        <f>IF(OR(計分!E107="",計分!$AP107=""),"",計分!$AP107-計分!E107)</f>
        <v/>
      </c>
      <c r="F107">
        <f>IF(OR(計分!F107="",計分!$AP107=""),"",計分!$AP107-計分!F107)</f>
        <v/>
      </c>
      <c r="G107">
        <f>IF(OR(計分!G107="",計分!$AP107=""),"",計分!$AP107-計分!G107)</f>
        <v/>
      </c>
      <c r="H107">
        <f>IF(OR(計分!H107="",計分!$AP107=""),"",計分!$AP107-計分!H107)</f>
        <v/>
      </c>
      <c r="I107">
        <f>IF(OR(計分!I107="",計分!$AP107=""),"",計分!$AP107-計分!I107)</f>
        <v/>
      </c>
      <c r="J107">
        <f>IF(OR(計分!J107="",計分!$AP107=""),"",計分!$AP107-計分!J107)</f>
        <v/>
      </c>
      <c r="K107">
        <f>IF(OR(計分!K107="",計分!$AP107=""),"",計分!$AP107-計分!K107)</f>
        <v/>
      </c>
      <c r="L107">
        <f>IF(OR(計分!L107="",計分!$AP107=""),"",計分!$AP107-計分!L107)</f>
        <v/>
      </c>
      <c r="M107">
        <f>IF(OR(計分!M107="",計分!$AP107=""),"",計分!$AP107-計分!M107)</f>
        <v/>
      </c>
      <c r="N107">
        <f>IF(OR(計分!N107="",計分!$AP107=""),"",計分!$AP107-計分!N107)</f>
        <v/>
      </c>
      <c r="O107">
        <f>IF(OR(計分!O107="",計分!$AP107=""),"",計分!$AP107-計分!O107)</f>
        <v/>
      </c>
      <c r="P107">
        <f>IF(OR(計分!P107="",計分!$AP107=""),"",計分!$AP107-計分!P107)</f>
        <v/>
      </c>
      <c r="Q107">
        <f>IF(OR(計分!Q107="",計分!$AP107=""),"",計分!$AP107-計分!Q107)</f>
        <v/>
      </c>
      <c r="R107">
        <f>IF(OR(計分!R107="",計分!$AP107=""),"",計分!$AP107-計分!R107)</f>
        <v/>
      </c>
      <c r="S107">
        <f>IF(OR(計分!S107="",計分!$AP107=""),"",計分!$AP107-計分!S107)</f>
        <v/>
      </c>
      <c r="T107">
        <f>IF(OR(計分!T107="",計分!$AP107=""),"",計分!$AP107-計分!T107)</f>
        <v/>
      </c>
      <c r="U107">
        <f>IF(OR(計分!U107="",計分!$AP107=""),"",計分!$AP107-計分!U107)</f>
        <v/>
      </c>
      <c r="V107">
        <f>IF(OR(計分!V107="",計分!$AP107=""),"",計分!$AP107-計分!V107)</f>
        <v/>
      </c>
      <c r="W107">
        <f>IF(OR(計分!W107="",計分!$AP107=""),"",計分!$AP107-計分!W107)</f>
        <v/>
      </c>
      <c r="X107">
        <f>IF(OR(計分!X107="",計分!$AP107=""),"",計分!$AP107-計分!X107)</f>
        <v/>
      </c>
      <c r="Y107">
        <f>IF(OR(計分!Y107="",計分!$AP107=""),"",計分!$AP107-計分!Y107)</f>
        <v/>
      </c>
      <c r="Z107">
        <f>IF(OR(計分!Z107="",計分!$AP107=""),"",計分!$AP107-計分!Z107)</f>
        <v/>
      </c>
      <c r="AA107">
        <f>IF(OR(計分!AA107="",計分!$AP107=""),"",計分!$AP107-計分!AA107)</f>
        <v/>
      </c>
      <c r="AB107">
        <f>IF(OR(計分!AB107="",計分!$AP107=""),"",計分!$AP107-計分!AB107)</f>
        <v/>
      </c>
      <c r="AC107">
        <f>IF(OR(計分!AC107="",計分!$AP107=""),"",計分!$AP107-計分!AC107)</f>
        <v/>
      </c>
      <c r="AD107">
        <f>IF(OR(計分!AD107="",計分!$AP107=""),"",計分!$AP107-計分!AD107)</f>
        <v/>
      </c>
      <c r="AE107">
        <f>IF(OR(計分!AE107="",計分!$AP107=""),"",計分!$AP107-計分!AE107)</f>
        <v/>
      </c>
      <c r="AF107">
        <f>IF(OR(計分!AF107="",計分!$AP107=""),"",計分!$AP107-計分!AF107)</f>
        <v/>
      </c>
      <c r="AG107">
        <f>IF(OR(計分!AG107="",計分!$AP107=""),"",計分!$AP107-計分!AG107)</f>
        <v/>
      </c>
      <c r="AH107">
        <f>IF(OR(計分!AH107="",計分!$AP107=""),"",計分!$AP107-計分!AH107)</f>
        <v/>
      </c>
      <c r="AI107">
        <f>IF(OR(計分!AI107="",計分!$AP107=""),"",計分!$AP107-計分!AI107)</f>
        <v/>
      </c>
      <c r="AJ107">
        <f>IF(OR(計分!AJ107="",計分!$AP107=""),"",計分!$AP107-計分!AJ107)</f>
        <v/>
      </c>
      <c r="AK107">
        <f>IF(OR(計分!AK107="",計分!$AP107=""),"",計分!$AP107-計分!AK107)</f>
        <v/>
      </c>
      <c r="AL107">
        <f>IF(OR(計分!AL107="",計分!$AP107=""),"",計分!$AP107-計分!AL107)</f>
        <v/>
      </c>
      <c r="AM107">
        <f>IF(OR(計分!AM107="",計分!$AP107=""),"",計分!$AP107-計分!AM107)</f>
        <v/>
      </c>
      <c r="AN107">
        <f>IF(OR(計分!AN107="",計分!$AP107=""),"",計分!$AP107-計分!AN107)</f>
        <v/>
      </c>
      <c r="AO107">
        <f>IF(OR(計分!AO107="",計分!$AP107=""),"",計分!$AP107-計分!AO107)</f>
        <v/>
      </c>
    </row>
    <row r="108">
      <c r="A108">
        <f>計分!A108</f>
        <v/>
      </c>
      <c r="B108">
        <f>IF(OR(計分!B108="",計分!$AP108=""),"",計分!$AP108-計分!B108)</f>
        <v/>
      </c>
      <c r="C108">
        <f>IF(OR(計分!C108="",計分!$AP108=""),"",計分!$AP108-計分!C108)</f>
        <v/>
      </c>
      <c r="D108">
        <f>IF(OR(計分!D108="",計分!$AP108=""),"",計分!$AP108-計分!D108)</f>
        <v/>
      </c>
      <c r="E108">
        <f>IF(OR(計分!E108="",計分!$AP108=""),"",計分!$AP108-計分!E108)</f>
        <v/>
      </c>
      <c r="F108">
        <f>IF(OR(計分!F108="",計分!$AP108=""),"",計分!$AP108-計分!F108)</f>
        <v/>
      </c>
      <c r="G108">
        <f>IF(OR(計分!G108="",計分!$AP108=""),"",計分!$AP108-計分!G108)</f>
        <v/>
      </c>
      <c r="H108">
        <f>IF(OR(計分!H108="",計分!$AP108=""),"",計分!$AP108-計分!H108)</f>
        <v/>
      </c>
      <c r="I108">
        <f>IF(OR(計分!I108="",計分!$AP108=""),"",計分!$AP108-計分!I108)</f>
        <v/>
      </c>
      <c r="J108">
        <f>IF(OR(計分!J108="",計分!$AP108=""),"",計分!$AP108-計分!J108)</f>
        <v/>
      </c>
      <c r="K108">
        <f>IF(OR(計分!K108="",計分!$AP108=""),"",計分!$AP108-計分!K108)</f>
        <v/>
      </c>
      <c r="L108">
        <f>IF(OR(計分!L108="",計分!$AP108=""),"",計分!$AP108-計分!L108)</f>
        <v/>
      </c>
      <c r="M108">
        <f>IF(OR(計分!M108="",計分!$AP108=""),"",計分!$AP108-計分!M108)</f>
        <v/>
      </c>
      <c r="N108">
        <f>IF(OR(計分!N108="",計分!$AP108=""),"",計分!$AP108-計分!N108)</f>
        <v/>
      </c>
      <c r="O108">
        <f>IF(OR(計分!O108="",計分!$AP108=""),"",計分!$AP108-計分!O108)</f>
        <v/>
      </c>
      <c r="P108">
        <f>IF(OR(計分!P108="",計分!$AP108=""),"",計分!$AP108-計分!P108)</f>
        <v/>
      </c>
      <c r="Q108">
        <f>IF(OR(計分!Q108="",計分!$AP108=""),"",計分!$AP108-計分!Q108)</f>
        <v/>
      </c>
      <c r="R108">
        <f>IF(OR(計分!R108="",計分!$AP108=""),"",計分!$AP108-計分!R108)</f>
        <v/>
      </c>
      <c r="S108">
        <f>IF(OR(計分!S108="",計分!$AP108=""),"",計分!$AP108-計分!S108)</f>
        <v/>
      </c>
      <c r="T108">
        <f>IF(OR(計分!T108="",計分!$AP108=""),"",計分!$AP108-計分!T108)</f>
        <v/>
      </c>
      <c r="U108">
        <f>IF(OR(計分!U108="",計分!$AP108=""),"",計分!$AP108-計分!U108)</f>
        <v/>
      </c>
      <c r="V108">
        <f>IF(OR(計分!V108="",計分!$AP108=""),"",計分!$AP108-計分!V108)</f>
        <v/>
      </c>
      <c r="W108">
        <f>IF(OR(計分!W108="",計分!$AP108=""),"",計分!$AP108-計分!W108)</f>
        <v/>
      </c>
      <c r="X108">
        <f>IF(OR(計分!X108="",計分!$AP108=""),"",計分!$AP108-計分!X108)</f>
        <v/>
      </c>
      <c r="Y108">
        <f>IF(OR(計分!Y108="",計分!$AP108=""),"",計分!$AP108-計分!Y108)</f>
        <v/>
      </c>
      <c r="Z108">
        <f>IF(OR(計分!Z108="",計分!$AP108=""),"",計分!$AP108-計分!Z108)</f>
        <v/>
      </c>
      <c r="AA108">
        <f>IF(OR(計分!AA108="",計分!$AP108=""),"",計分!$AP108-計分!AA108)</f>
        <v/>
      </c>
      <c r="AB108">
        <f>IF(OR(計分!AB108="",計分!$AP108=""),"",計分!$AP108-計分!AB108)</f>
        <v/>
      </c>
      <c r="AC108">
        <f>IF(OR(計分!AC108="",計分!$AP108=""),"",計分!$AP108-計分!AC108)</f>
        <v/>
      </c>
      <c r="AD108">
        <f>IF(OR(計分!AD108="",計分!$AP108=""),"",計分!$AP108-計分!AD108)</f>
        <v/>
      </c>
      <c r="AE108">
        <f>IF(OR(計分!AE108="",計分!$AP108=""),"",計分!$AP108-計分!AE108)</f>
        <v/>
      </c>
      <c r="AF108">
        <f>IF(OR(計分!AF108="",計分!$AP108=""),"",計分!$AP108-計分!AF108)</f>
        <v/>
      </c>
      <c r="AG108">
        <f>IF(OR(計分!AG108="",計分!$AP108=""),"",計分!$AP108-計分!AG108)</f>
        <v/>
      </c>
      <c r="AH108">
        <f>IF(OR(計分!AH108="",計分!$AP108=""),"",計分!$AP108-計分!AH108)</f>
        <v/>
      </c>
      <c r="AI108">
        <f>IF(OR(計分!AI108="",計分!$AP108=""),"",計分!$AP108-計分!AI108)</f>
        <v/>
      </c>
      <c r="AJ108">
        <f>IF(OR(計分!AJ108="",計分!$AP108=""),"",計分!$AP108-計分!AJ108)</f>
        <v/>
      </c>
      <c r="AK108">
        <f>IF(OR(計分!AK108="",計分!$AP108=""),"",計分!$AP108-計分!AK108)</f>
        <v/>
      </c>
      <c r="AL108">
        <f>IF(OR(計分!AL108="",計分!$AP108=""),"",計分!$AP108-計分!AL108)</f>
        <v/>
      </c>
      <c r="AM108">
        <f>IF(OR(計分!AM108="",計分!$AP108=""),"",計分!$AP108-計分!AM108)</f>
        <v/>
      </c>
      <c r="AN108">
        <f>IF(OR(計分!AN108="",計分!$AP108=""),"",計分!$AP108-計分!AN108)</f>
        <v/>
      </c>
      <c r="AO108">
        <f>IF(OR(計分!AO108="",計分!$AP108=""),"",計分!$AP108-計分!AO108)</f>
        <v/>
      </c>
    </row>
    <row r="109">
      <c r="A109">
        <f>計分!A109</f>
        <v/>
      </c>
      <c r="B109">
        <f>IF(OR(計分!B109="",計分!$AP109=""),"",計分!$AP109-計分!B109)</f>
        <v/>
      </c>
      <c r="C109">
        <f>IF(OR(計分!C109="",計分!$AP109=""),"",計分!$AP109-計分!C109)</f>
        <v/>
      </c>
      <c r="D109">
        <f>IF(OR(計分!D109="",計分!$AP109=""),"",計分!$AP109-計分!D109)</f>
        <v/>
      </c>
      <c r="E109">
        <f>IF(OR(計分!E109="",計分!$AP109=""),"",計分!$AP109-計分!E109)</f>
        <v/>
      </c>
      <c r="F109">
        <f>IF(OR(計分!F109="",計分!$AP109=""),"",計分!$AP109-計分!F109)</f>
        <v/>
      </c>
      <c r="G109">
        <f>IF(OR(計分!G109="",計分!$AP109=""),"",計分!$AP109-計分!G109)</f>
        <v/>
      </c>
      <c r="H109">
        <f>IF(OR(計分!H109="",計分!$AP109=""),"",計分!$AP109-計分!H109)</f>
        <v/>
      </c>
      <c r="I109">
        <f>IF(OR(計分!I109="",計分!$AP109=""),"",計分!$AP109-計分!I109)</f>
        <v/>
      </c>
      <c r="J109">
        <f>IF(OR(計分!J109="",計分!$AP109=""),"",計分!$AP109-計分!J109)</f>
        <v/>
      </c>
      <c r="K109">
        <f>IF(OR(計分!K109="",計分!$AP109=""),"",計分!$AP109-計分!K109)</f>
        <v/>
      </c>
      <c r="L109">
        <f>IF(OR(計分!L109="",計分!$AP109=""),"",計分!$AP109-計分!L109)</f>
        <v/>
      </c>
      <c r="M109">
        <f>IF(OR(計分!M109="",計分!$AP109=""),"",計分!$AP109-計分!M109)</f>
        <v/>
      </c>
      <c r="N109">
        <f>IF(OR(計分!N109="",計分!$AP109=""),"",計分!$AP109-計分!N109)</f>
        <v/>
      </c>
      <c r="O109">
        <f>IF(OR(計分!O109="",計分!$AP109=""),"",計分!$AP109-計分!O109)</f>
        <v/>
      </c>
      <c r="P109">
        <f>IF(OR(計分!P109="",計分!$AP109=""),"",計分!$AP109-計分!P109)</f>
        <v/>
      </c>
      <c r="Q109">
        <f>IF(OR(計分!Q109="",計分!$AP109=""),"",計分!$AP109-計分!Q109)</f>
        <v/>
      </c>
      <c r="R109">
        <f>IF(OR(計分!R109="",計分!$AP109=""),"",計分!$AP109-計分!R109)</f>
        <v/>
      </c>
      <c r="S109">
        <f>IF(OR(計分!S109="",計分!$AP109=""),"",計分!$AP109-計分!S109)</f>
        <v/>
      </c>
      <c r="T109">
        <f>IF(OR(計分!T109="",計分!$AP109=""),"",計分!$AP109-計分!T109)</f>
        <v/>
      </c>
      <c r="U109">
        <f>IF(OR(計分!U109="",計分!$AP109=""),"",計分!$AP109-計分!U109)</f>
        <v/>
      </c>
      <c r="V109">
        <f>IF(OR(計分!V109="",計分!$AP109=""),"",計分!$AP109-計分!V109)</f>
        <v/>
      </c>
      <c r="W109">
        <f>IF(OR(計分!W109="",計分!$AP109=""),"",計分!$AP109-計分!W109)</f>
        <v/>
      </c>
      <c r="X109">
        <f>IF(OR(計分!X109="",計分!$AP109=""),"",計分!$AP109-計分!X109)</f>
        <v/>
      </c>
      <c r="Y109">
        <f>IF(OR(計分!Y109="",計分!$AP109=""),"",計分!$AP109-計分!Y109)</f>
        <v/>
      </c>
      <c r="Z109">
        <f>IF(OR(計分!Z109="",計分!$AP109=""),"",計分!$AP109-計分!Z109)</f>
        <v/>
      </c>
      <c r="AA109">
        <f>IF(OR(計分!AA109="",計分!$AP109=""),"",計分!$AP109-計分!AA109)</f>
        <v/>
      </c>
      <c r="AB109">
        <f>IF(OR(計分!AB109="",計分!$AP109=""),"",計分!$AP109-計分!AB109)</f>
        <v/>
      </c>
      <c r="AC109">
        <f>IF(OR(計分!AC109="",計分!$AP109=""),"",計分!$AP109-計分!AC109)</f>
        <v/>
      </c>
      <c r="AD109">
        <f>IF(OR(計分!AD109="",計分!$AP109=""),"",計分!$AP109-計分!AD109)</f>
        <v/>
      </c>
      <c r="AE109">
        <f>IF(OR(計分!AE109="",計分!$AP109=""),"",計分!$AP109-計分!AE109)</f>
        <v/>
      </c>
      <c r="AF109">
        <f>IF(OR(計分!AF109="",計分!$AP109=""),"",計分!$AP109-計分!AF109)</f>
        <v/>
      </c>
      <c r="AG109">
        <f>IF(OR(計分!AG109="",計分!$AP109=""),"",計分!$AP109-計分!AG109)</f>
        <v/>
      </c>
      <c r="AH109">
        <f>IF(OR(計分!AH109="",計分!$AP109=""),"",計分!$AP109-計分!AH109)</f>
        <v/>
      </c>
      <c r="AI109">
        <f>IF(OR(計分!AI109="",計分!$AP109=""),"",計分!$AP109-計分!AI109)</f>
        <v/>
      </c>
      <c r="AJ109">
        <f>IF(OR(計分!AJ109="",計分!$AP109=""),"",計分!$AP109-計分!AJ109)</f>
        <v/>
      </c>
      <c r="AK109">
        <f>IF(OR(計分!AK109="",計分!$AP109=""),"",計分!$AP109-計分!AK109)</f>
        <v/>
      </c>
      <c r="AL109">
        <f>IF(OR(計分!AL109="",計分!$AP109=""),"",計分!$AP109-計分!AL109)</f>
        <v/>
      </c>
      <c r="AM109">
        <f>IF(OR(計分!AM109="",計分!$AP109=""),"",計分!$AP109-計分!AM109)</f>
        <v/>
      </c>
      <c r="AN109">
        <f>IF(OR(計分!AN109="",計分!$AP109=""),"",計分!$AP109-計分!AN109)</f>
        <v/>
      </c>
      <c r="AO109">
        <f>IF(OR(計分!AO109="",計分!$AP109=""),"",計分!$AP109-計分!AO109)</f>
        <v/>
      </c>
    </row>
    <row r="110">
      <c r="A110">
        <f>計分!A110</f>
        <v/>
      </c>
      <c r="B110">
        <f>IF(OR(計分!B110="",計分!$AP110=""),"",計分!$AP110-計分!B110)</f>
        <v/>
      </c>
      <c r="C110">
        <f>IF(OR(計分!C110="",計分!$AP110=""),"",計分!$AP110-計分!C110)</f>
        <v/>
      </c>
      <c r="D110">
        <f>IF(OR(計分!D110="",計分!$AP110=""),"",計分!$AP110-計分!D110)</f>
        <v/>
      </c>
      <c r="E110">
        <f>IF(OR(計分!E110="",計分!$AP110=""),"",計分!$AP110-計分!E110)</f>
        <v/>
      </c>
      <c r="F110">
        <f>IF(OR(計分!F110="",計分!$AP110=""),"",計分!$AP110-計分!F110)</f>
        <v/>
      </c>
      <c r="G110">
        <f>IF(OR(計分!G110="",計分!$AP110=""),"",計分!$AP110-計分!G110)</f>
        <v/>
      </c>
      <c r="H110">
        <f>IF(OR(計分!H110="",計分!$AP110=""),"",計分!$AP110-計分!H110)</f>
        <v/>
      </c>
      <c r="I110">
        <f>IF(OR(計分!I110="",計分!$AP110=""),"",計分!$AP110-計分!I110)</f>
        <v/>
      </c>
      <c r="J110">
        <f>IF(OR(計分!J110="",計分!$AP110=""),"",計分!$AP110-計分!J110)</f>
        <v/>
      </c>
      <c r="K110">
        <f>IF(OR(計分!K110="",計分!$AP110=""),"",計分!$AP110-計分!K110)</f>
        <v/>
      </c>
      <c r="L110">
        <f>IF(OR(計分!L110="",計分!$AP110=""),"",計分!$AP110-計分!L110)</f>
        <v/>
      </c>
      <c r="M110">
        <f>IF(OR(計分!M110="",計分!$AP110=""),"",計分!$AP110-計分!M110)</f>
        <v/>
      </c>
      <c r="N110">
        <f>IF(OR(計分!N110="",計分!$AP110=""),"",計分!$AP110-計分!N110)</f>
        <v/>
      </c>
      <c r="O110">
        <f>IF(OR(計分!O110="",計分!$AP110=""),"",計分!$AP110-計分!O110)</f>
        <v/>
      </c>
      <c r="P110">
        <f>IF(OR(計分!P110="",計分!$AP110=""),"",計分!$AP110-計分!P110)</f>
        <v/>
      </c>
      <c r="Q110">
        <f>IF(OR(計分!Q110="",計分!$AP110=""),"",計分!$AP110-計分!Q110)</f>
        <v/>
      </c>
      <c r="R110">
        <f>IF(OR(計分!R110="",計分!$AP110=""),"",計分!$AP110-計分!R110)</f>
        <v/>
      </c>
      <c r="S110">
        <f>IF(OR(計分!S110="",計分!$AP110=""),"",計分!$AP110-計分!S110)</f>
        <v/>
      </c>
      <c r="T110">
        <f>IF(OR(計分!T110="",計分!$AP110=""),"",計分!$AP110-計分!T110)</f>
        <v/>
      </c>
      <c r="U110">
        <f>IF(OR(計分!U110="",計分!$AP110=""),"",計分!$AP110-計分!U110)</f>
        <v/>
      </c>
      <c r="V110">
        <f>IF(OR(計分!V110="",計分!$AP110=""),"",計分!$AP110-計分!V110)</f>
        <v/>
      </c>
      <c r="W110">
        <f>IF(OR(計分!W110="",計分!$AP110=""),"",計分!$AP110-計分!W110)</f>
        <v/>
      </c>
      <c r="X110">
        <f>IF(OR(計分!X110="",計分!$AP110=""),"",計分!$AP110-計分!X110)</f>
        <v/>
      </c>
      <c r="Y110">
        <f>IF(OR(計分!Y110="",計分!$AP110=""),"",計分!$AP110-計分!Y110)</f>
        <v/>
      </c>
      <c r="Z110">
        <f>IF(OR(計分!Z110="",計分!$AP110=""),"",計分!$AP110-計分!Z110)</f>
        <v/>
      </c>
      <c r="AA110">
        <f>IF(OR(計分!AA110="",計分!$AP110=""),"",計分!$AP110-計分!AA110)</f>
        <v/>
      </c>
      <c r="AB110">
        <f>IF(OR(計分!AB110="",計分!$AP110=""),"",計分!$AP110-計分!AB110)</f>
        <v/>
      </c>
      <c r="AC110">
        <f>IF(OR(計分!AC110="",計分!$AP110=""),"",計分!$AP110-計分!AC110)</f>
        <v/>
      </c>
      <c r="AD110">
        <f>IF(OR(計分!AD110="",計分!$AP110=""),"",計分!$AP110-計分!AD110)</f>
        <v/>
      </c>
      <c r="AE110">
        <f>IF(OR(計分!AE110="",計分!$AP110=""),"",計分!$AP110-計分!AE110)</f>
        <v/>
      </c>
      <c r="AF110">
        <f>IF(OR(計分!AF110="",計分!$AP110=""),"",計分!$AP110-計分!AF110)</f>
        <v/>
      </c>
      <c r="AG110">
        <f>IF(OR(計分!AG110="",計分!$AP110=""),"",計分!$AP110-計分!AG110)</f>
        <v/>
      </c>
      <c r="AH110">
        <f>IF(OR(計分!AH110="",計分!$AP110=""),"",計分!$AP110-計分!AH110)</f>
        <v/>
      </c>
      <c r="AI110">
        <f>IF(OR(計分!AI110="",計分!$AP110=""),"",計分!$AP110-計分!AI110)</f>
        <v/>
      </c>
      <c r="AJ110">
        <f>IF(OR(計分!AJ110="",計分!$AP110=""),"",計分!$AP110-計分!AJ110)</f>
        <v/>
      </c>
      <c r="AK110">
        <f>IF(OR(計分!AK110="",計分!$AP110=""),"",計分!$AP110-計分!AK110)</f>
        <v/>
      </c>
      <c r="AL110">
        <f>IF(OR(計分!AL110="",計分!$AP110=""),"",計分!$AP110-計分!AL110)</f>
        <v/>
      </c>
      <c r="AM110">
        <f>IF(OR(計分!AM110="",計分!$AP110=""),"",計分!$AP110-計分!AM110)</f>
        <v/>
      </c>
      <c r="AN110">
        <f>IF(OR(計分!AN110="",計分!$AP110=""),"",計分!$AP110-計分!AN110)</f>
        <v/>
      </c>
      <c r="AO110">
        <f>IF(OR(計分!AO110="",計分!$AP110=""),"",計分!$AP110-計分!AO110)</f>
        <v/>
      </c>
    </row>
    <row r="111">
      <c r="A111">
        <f>計分!A111</f>
        <v/>
      </c>
      <c r="B111">
        <f>IF(OR(計分!B111="",計分!$AP111=""),"",計分!$AP111-計分!B111)</f>
        <v/>
      </c>
      <c r="C111">
        <f>IF(OR(計分!C111="",計分!$AP111=""),"",計分!$AP111-計分!C111)</f>
        <v/>
      </c>
      <c r="D111">
        <f>IF(OR(計分!D111="",計分!$AP111=""),"",計分!$AP111-計分!D111)</f>
        <v/>
      </c>
      <c r="E111">
        <f>IF(OR(計分!E111="",計分!$AP111=""),"",計分!$AP111-計分!E111)</f>
        <v/>
      </c>
      <c r="F111">
        <f>IF(OR(計分!F111="",計分!$AP111=""),"",計分!$AP111-計分!F111)</f>
        <v/>
      </c>
      <c r="G111">
        <f>IF(OR(計分!G111="",計分!$AP111=""),"",計分!$AP111-計分!G111)</f>
        <v/>
      </c>
      <c r="H111">
        <f>IF(OR(計分!H111="",計分!$AP111=""),"",計分!$AP111-計分!H111)</f>
        <v/>
      </c>
      <c r="I111">
        <f>IF(OR(計分!I111="",計分!$AP111=""),"",計分!$AP111-計分!I111)</f>
        <v/>
      </c>
      <c r="J111">
        <f>IF(OR(計分!J111="",計分!$AP111=""),"",計分!$AP111-計分!J111)</f>
        <v/>
      </c>
      <c r="K111">
        <f>IF(OR(計分!K111="",計分!$AP111=""),"",計分!$AP111-計分!K111)</f>
        <v/>
      </c>
      <c r="L111">
        <f>IF(OR(計分!L111="",計分!$AP111=""),"",計分!$AP111-計分!L111)</f>
        <v/>
      </c>
      <c r="M111">
        <f>IF(OR(計分!M111="",計分!$AP111=""),"",計分!$AP111-計分!M111)</f>
        <v/>
      </c>
      <c r="N111">
        <f>IF(OR(計分!N111="",計分!$AP111=""),"",計分!$AP111-計分!N111)</f>
        <v/>
      </c>
      <c r="O111">
        <f>IF(OR(計分!O111="",計分!$AP111=""),"",計分!$AP111-計分!O111)</f>
        <v/>
      </c>
      <c r="P111">
        <f>IF(OR(計分!P111="",計分!$AP111=""),"",計分!$AP111-計分!P111)</f>
        <v/>
      </c>
      <c r="Q111">
        <f>IF(OR(計分!Q111="",計分!$AP111=""),"",計分!$AP111-計分!Q111)</f>
        <v/>
      </c>
      <c r="R111">
        <f>IF(OR(計分!R111="",計分!$AP111=""),"",計分!$AP111-計分!R111)</f>
        <v/>
      </c>
      <c r="S111">
        <f>IF(OR(計分!S111="",計分!$AP111=""),"",計分!$AP111-計分!S111)</f>
        <v/>
      </c>
      <c r="T111">
        <f>IF(OR(計分!T111="",計分!$AP111=""),"",計分!$AP111-計分!T111)</f>
        <v/>
      </c>
      <c r="U111">
        <f>IF(OR(計分!U111="",計分!$AP111=""),"",計分!$AP111-計分!U111)</f>
        <v/>
      </c>
      <c r="V111">
        <f>IF(OR(計分!V111="",計分!$AP111=""),"",計分!$AP111-計分!V111)</f>
        <v/>
      </c>
      <c r="W111">
        <f>IF(OR(計分!W111="",計分!$AP111=""),"",計分!$AP111-計分!W111)</f>
        <v/>
      </c>
      <c r="X111">
        <f>IF(OR(計分!X111="",計分!$AP111=""),"",計分!$AP111-計分!X111)</f>
        <v/>
      </c>
      <c r="Y111">
        <f>IF(OR(計分!Y111="",計分!$AP111=""),"",計分!$AP111-計分!Y111)</f>
        <v/>
      </c>
      <c r="Z111">
        <f>IF(OR(計分!Z111="",計分!$AP111=""),"",計分!$AP111-計分!Z111)</f>
        <v/>
      </c>
      <c r="AA111">
        <f>IF(OR(計分!AA111="",計分!$AP111=""),"",計分!$AP111-計分!AA111)</f>
        <v/>
      </c>
      <c r="AB111">
        <f>IF(OR(計分!AB111="",計分!$AP111=""),"",計分!$AP111-計分!AB111)</f>
        <v/>
      </c>
      <c r="AC111">
        <f>IF(OR(計分!AC111="",計分!$AP111=""),"",計分!$AP111-計分!AC111)</f>
        <v/>
      </c>
      <c r="AD111">
        <f>IF(OR(計分!AD111="",計分!$AP111=""),"",計分!$AP111-計分!AD111)</f>
        <v/>
      </c>
      <c r="AE111">
        <f>IF(OR(計分!AE111="",計分!$AP111=""),"",計分!$AP111-計分!AE111)</f>
        <v/>
      </c>
      <c r="AF111">
        <f>IF(OR(計分!AF111="",計分!$AP111=""),"",計分!$AP111-計分!AF111)</f>
        <v/>
      </c>
      <c r="AG111">
        <f>IF(OR(計分!AG111="",計分!$AP111=""),"",計分!$AP111-計分!AG111)</f>
        <v/>
      </c>
      <c r="AH111">
        <f>IF(OR(計分!AH111="",計分!$AP111=""),"",計分!$AP111-計分!AH111)</f>
        <v/>
      </c>
      <c r="AI111">
        <f>IF(OR(計分!AI111="",計分!$AP111=""),"",計分!$AP111-計分!AI111)</f>
        <v/>
      </c>
      <c r="AJ111">
        <f>IF(OR(計分!AJ111="",計分!$AP111=""),"",計分!$AP111-計分!AJ111)</f>
        <v/>
      </c>
      <c r="AK111">
        <f>IF(OR(計分!AK111="",計分!$AP111=""),"",計分!$AP111-計分!AK111)</f>
        <v/>
      </c>
      <c r="AL111">
        <f>IF(OR(計分!AL111="",計分!$AP111=""),"",計分!$AP111-計分!AL111)</f>
        <v/>
      </c>
      <c r="AM111">
        <f>IF(OR(計分!AM111="",計分!$AP111=""),"",計分!$AP111-計分!AM111)</f>
        <v/>
      </c>
      <c r="AN111">
        <f>IF(OR(計分!AN111="",計分!$AP111=""),"",計分!$AP111-計分!AN111)</f>
        <v/>
      </c>
      <c r="AO111">
        <f>IF(OR(計分!AO111="",計分!$AP111=""),"",計分!$AP111-計分!AO111)</f>
        <v/>
      </c>
    </row>
    <row r="112">
      <c r="A112">
        <f>計分!A112</f>
        <v/>
      </c>
      <c r="B112">
        <f>IF(OR(計分!B112="",計分!$AP112=""),"",計分!$AP112-計分!B112)</f>
        <v/>
      </c>
      <c r="C112">
        <f>IF(OR(計分!C112="",計分!$AP112=""),"",計分!$AP112-計分!C112)</f>
        <v/>
      </c>
      <c r="D112">
        <f>IF(OR(計分!D112="",計分!$AP112=""),"",計分!$AP112-計分!D112)</f>
        <v/>
      </c>
      <c r="E112">
        <f>IF(OR(計分!E112="",計分!$AP112=""),"",計分!$AP112-計分!E112)</f>
        <v/>
      </c>
      <c r="F112">
        <f>IF(OR(計分!F112="",計分!$AP112=""),"",計分!$AP112-計分!F112)</f>
        <v/>
      </c>
      <c r="G112">
        <f>IF(OR(計分!G112="",計分!$AP112=""),"",計分!$AP112-計分!G112)</f>
        <v/>
      </c>
      <c r="H112">
        <f>IF(OR(計分!H112="",計分!$AP112=""),"",計分!$AP112-計分!H112)</f>
        <v/>
      </c>
      <c r="I112">
        <f>IF(OR(計分!I112="",計分!$AP112=""),"",計分!$AP112-計分!I112)</f>
        <v/>
      </c>
      <c r="J112">
        <f>IF(OR(計分!J112="",計分!$AP112=""),"",計分!$AP112-計分!J112)</f>
        <v/>
      </c>
      <c r="K112">
        <f>IF(OR(計分!K112="",計分!$AP112=""),"",計分!$AP112-計分!K112)</f>
        <v/>
      </c>
      <c r="L112">
        <f>IF(OR(計分!L112="",計分!$AP112=""),"",計分!$AP112-計分!L112)</f>
        <v/>
      </c>
      <c r="M112">
        <f>IF(OR(計分!M112="",計分!$AP112=""),"",計分!$AP112-計分!M112)</f>
        <v/>
      </c>
      <c r="N112">
        <f>IF(OR(計分!N112="",計分!$AP112=""),"",計分!$AP112-計分!N112)</f>
        <v/>
      </c>
      <c r="O112">
        <f>IF(OR(計分!O112="",計分!$AP112=""),"",計分!$AP112-計分!O112)</f>
        <v/>
      </c>
      <c r="P112">
        <f>IF(OR(計分!P112="",計分!$AP112=""),"",計分!$AP112-計分!P112)</f>
        <v/>
      </c>
      <c r="Q112">
        <f>IF(OR(計分!Q112="",計分!$AP112=""),"",計分!$AP112-計分!Q112)</f>
        <v/>
      </c>
      <c r="R112">
        <f>IF(OR(計分!R112="",計分!$AP112=""),"",計分!$AP112-計分!R112)</f>
        <v/>
      </c>
      <c r="S112">
        <f>IF(OR(計分!S112="",計分!$AP112=""),"",計分!$AP112-計分!S112)</f>
        <v/>
      </c>
      <c r="T112">
        <f>IF(OR(計分!T112="",計分!$AP112=""),"",計分!$AP112-計分!T112)</f>
        <v/>
      </c>
      <c r="U112">
        <f>IF(OR(計分!U112="",計分!$AP112=""),"",計分!$AP112-計分!U112)</f>
        <v/>
      </c>
      <c r="V112">
        <f>IF(OR(計分!V112="",計分!$AP112=""),"",計分!$AP112-計分!V112)</f>
        <v/>
      </c>
      <c r="W112">
        <f>IF(OR(計分!W112="",計分!$AP112=""),"",計分!$AP112-計分!W112)</f>
        <v/>
      </c>
      <c r="X112">
        <f>IF(OR(計分!X112="",計分!$AP112=""),"",計分!$AP112-計分!X112)</f>
        <v/>
      </c>
      <c r="Y112">
        <f>IF(OR(計分!Y112="",計分!$AP112=""),"",計分!$AP112-計分!Y112)</f>
        <v/>
      </c>
      <c r="Z112">
        <f>IF(OR(計分!Z112="",計分!$AP112=""),"",計分!$AP112-計分!Z112)</f>
        <v/>
      </c>
      <c r="AA112">
        <f>IF(OR(計分!AA112="",計分!$AP112=""),"",計分!$AP112-計分!AA112)</f>
        <v/>
      </c>
      <c r="AB112">
        <f>IF(OR(計分!AB112="",計分!$AP112=""),"",計分!$AP112-計分!AB112)</f>
        <v/>
      </c>
      <c r="AC112">
        <f>IF(OR(計分!AC112="",計分!$AP112=""),"",計分!$AP112-計分!AC112)</f>
        <v/>
      </c>
      <c r="AD112">
        <f>IF(OR(計分!AD112="",計分!$AP112=""),"",計分!$AP112-計分!AD112)</f>
        <v/>
      </c>
      <c r="AE112">
        <f>IF(OR(計分!AE112="",計分!$AP112=""),"",計分!$AP112-計分!AE112)</f>
        <v/>
      </c>
      <c r="AF112">
        <f>IF(OR(計分!AF112="",計分!$AP112=""),"",計分!$AP112-計分!AF112)</f>
        <v/>
      </c>
      <c r="AG112">
        <f>IF(OR(計分!AG112="",計分!$AP112=""),"",計分!$AP112-計分!AG112)</f>
        <v/>
      </c>
      <c r="AH112">
        <f>IF(OR(計分!AH112="",計分!$AP112=""),"",計分!$AP112-計分!AH112)</f>
        <v/>
      </c>
      <c r="AI112">
        <f>IF(OR(計分!AI112="",計分!$AP112=""),"",計分!$AP112-計分!AI112)</f>
        <v/>
      </c>
      <c r="AJ112">
        <f>IF(OR(計分!AJ112="",計分!$AP112=""),"",計分!$AP112-計分!AJ112)</f>
        <v/>
      </c>
      <c r="AK112">
        <f>IF(OR(計分!AK112="",計分!$AP112=""),"",計分!$AP112-計分!AK112)</f>
        <v/>
      </c>
      <c r="AL112">
        <f>IF(OR(計分!AL112="",計分!$AP112=""),"",計分!$AP112-計分!AL112)</f>
        <v/>
      </c>
      <c r="AM112">
        <f>IF(OR(計分!AM112="",計分!$AP112=""),"",計分!$AP112-計分!AM112)</f>
        <v/>
      </c>
      <c r="AN112">
        <f>IF(OR(計分!AN112="",計分!$AP112=""),"",計分!$AP112-計分!AN112)</f>
        <v/>
      </c>
      <c r="AO112">
        <f>IF(OR(計分!AO112="",計分!$AP112=""),"",計分!$AP112-計分!AO112)</f>
        <v/>
      </c>
    </row>
    <row r="113">
      <c r="A113">
        <f>計分!A113</f>
        <v/>
      </c>
      <c r="B113">
        <f>IF(OR(計分!B113="",計分!$AP113=""),"",計分!$AP113-計分!B113)</f>
        <v/>
      </c>
      <c r="C113">
        <f>IF(OR(計分!C113="",計分!$AP113=""),"",計分!$AP113-計分!C113)</f>
        <v/>
      </c>
      <c r="D113">
        <f>IF(OR(計分!D113="",計分!$AP113=""),"",計分!$AP113-計分!D113)</f>
        <v/>
      </c>
      <c r="E113">
        <f>IF(OR(計分!E113="",計分!$AP113=""),"",計分!$AP113-計分!E113)</f>
        <v/>
      </c>
      <c r="F113">
        <f>IF(OR(計分!F113="",計分!$AP113=""),"",計分!$AP113-計分!F113)</f>
        <v/>
      </c>
      <c r="G113">
        <f>IF(OR(計分!G113="",計分!$AP113=""),"",計分!$AP113-計分!G113)</f>
        <v/>
      </c>
      <c r="H113">
        <f>IF(OR(計分!H113="",計分!$AP113=""),"",計分!$AP113-計分!H113)</f>
        <v/>
      </c>
      <c r="I113">
        <f>IF(OR(計分!I113="",計分!$AP113=""),"",計分!$AP113-計分!I113)</f>
        <v/>
      </c>
      <c r="J113">
        <f>IF(OR(計分!J113="",計分!$AP113=""),"",計分!$AP113-計分!J113)</f>
        <v/>
      </c>
      <c r="K113">
        <f>IF(OR(計分!K113="",計分!$AP113=""),"",計分!$AP113-計分!K113)</f>
        <v/>
      </c>
      <c r="L113">
        <f>IF(OR(計分!L113="",計分!$AP113=""),"",計分!$AP113-計分!L113)</f>
        <v/>
      </c>
      <c r="M113">
        <f>IF(OR(計分!M113="",計分!$AP113=""),"",計分!$AP113-計分!M113)</f>
        <v/>
      </c>
      <c r="N113">
        <f>IF(OR(計分!N113="",計分!$AP113=""),"",計分!$AP113-計分!N113)</f>
        <v/>
      </c>
      <c r="O113">
        <f>IF(OR(計分!O113="",計分!$AP113=""),"",計分!$AP113-計分!O113)</f>
        <v/>
      </c>
      <c r="P113">
        <f>IF(OR(計分!P113="",計分!$AP113=""),"",計分!$AP113-計分!P113)</f>
        <v/>
      </c>
      <c r="Q113">
        <f>IF(OR(計分!Q113="",計分!$AP113=""),"",計分!$AP113-計分!Q113)</f>
        <v/>
      </c>
      <c r="R113">
        <f>IF(OR(計分!R113="",計分!$AP113=""),"",計分!$AP113-計分!R113)</f>
        <v/>
      </c>
      <c r="S113">
        <f>IF(OR(計分!S113="",計分!$AP113=""),"",計分!$AP113-計分!S113)</f>
        <v/>
      </c>
      <c r="T113">
        <f>IF(OR(計分!T113="",計分!$AP113=""),"",計分!$AP113-計分!T113)</f>
        <v/>
      </c>
      <c r="U113">
        <f>IF(OR(計分!U113="",計分!$AP113=""),"",計分!$AP113-計分!U113)</f>
        <v/>
      </c>
      <c r="V113">
        <f>IF(OR(計分!V113="",計分!$AP113=""),"",計分!$AP113-計分!V113)</f>
        <v/>
      </c>
      <c r="W113">
        <f>IF(OR(計分!W113="",計分!$AP113=""),"",計分!$AP113-計分!W113)</f>
        <v/>
      </c>
      <c r="X113">
        <f>IF(OR(計分!X113="",計分!$AP113=""),"",計分!$AP113-計分!X113)</f>
        <v/>
      </c>
      <c r="Y113">
        <f>IF(OR(計分!Y113="",計分!$AP113=""),"",計分!$AP113-計分!Y113)</f>
        <v/>
      </c>
      <c r="Z113">
        <f>IF(OR(計分!Z113="",計分!$AP113=""),"",計分!$AP113-計分!Z113)</f>
        <v/>
      </c>
      <c r="AA113">
        <f>IF(OR(計分!AA113="",計分!$AP113=""),"",計分!$AP113-計分!AA113)</f>
        <v/>
      </c>
      <c r="AB113">
        <f>IF(OR(計分!AB113="",計分!$AP113=""),"",計分!$AP113-計分!AB113)</f>
        <v/>
      </c>
      <c r="AC113">
        <f>IF(OR(計分!AC113="",計分!$AP113=""),"",計分!$AP113-計分!AC113)</f>
        <v/>
      </c>
      <c r="AD113">
        <f>IF(OR(計分!AD113="",計分!$AP113=""),"",計分!$AP113-計分!AD113)</f>
        <v/>
      </c>
      <c r="AE113">
        <f>IF(OR(計分!AE113="",計分!$AP113=""),"",計分!$AP113-計分!AE113)</f>
        <v/>
      </c>
      <c r="AF113">
        <f>IF(OR(計分!AF113="",計分!$AP113=""),"",計分!$AP113-計分!AF113)</f>
        <v/>
      </c>
      <c r="AG113">
        <f>IF(OR(計分!AG113="",計分!$AP113=""),"",計分!$AP113-計分!AG113)</f>
        <v/>
      </c>
      <c r="AH113">
        <f>IF(OR(計分!AH113="",計分!$AP113=""),"",計分!$AP113-計分!AH113)</f>
        <v/>
      </c>
      <c r="AI113">
        <f>IF(OR(計分!AI113="",計分!$AP113=""),"",計分!$AP113-計分!AI113)</f>
        <v/>
      </c>
      <c r="AJ113">
        <f>IF(OR(計分!AJ113="",計分!$AP113=""),"",計分!$AP113-計分!AJ113)</f>
        <v/>
      </c>
      <c r="AK113">
        <f>IF(OR(計分!AK113="",計分!$AP113=""),"",計分!$AP113-計分!AK113)</f>
        <v/>
      </c>
      <c r="AL113">
        <f>IF(OR(計分!AL113="",計分!$AP113=""),"",計分!$AP113-計分!AL113)</f>
        <v/>
      </c>
      <c r="AM113">
        <f>IF(OR(計分!AM113="",計分!$AP113=""),"",計分!$AP113-計分!AM113)</f>
        <v/>
      </c>
      <c r="AN113">
        <f>IF(OR(計分!AN113="",計分!$AP113=""),"",計分!$AP113-計分!AN113)</f>
        <v/>
      </c>
      <c r="AO113">
        <f>IF(OR(計分!AO113="",計分!$AP113=""),"",計分!$AP113-計分!AO113)</f>
        <v/>
      </c>
    </row>
    <row r="114">
      <c r="A114">
        <f>計分!A114</f>
        <v/>
      </c>
      <c r="B114">
        <f>IF(OR(計分!B114="",計分!$AP114=""),"",計分!$AP114-計分!B114)</f>
        <v/>
      </c>
      <c r="C114">
        <f>IF(OR(計分!C114="",計分!$AP114=""),"",計分!$AP114-計分!C114)</f>
        <v/>
      </c>
      <c r="D114">
        <f>IF(OR(計分!D114="",計分!$AP114=""),"",計分!$AP114-計分!D114)</f>
        <v/>
      </c>
      <c r="E114">
        <f>IF(OR(計分!E114="",計分!$AP114=""),"",計分!$AP114-計分!E114)</f>
        <v/>
      </c>
      <c r="F114">
        <f>IF(OR(計分!F114="",計分!$AP114=""),"",計分!$AP114-計分!F114)</f>
        <v/>
      </c>
      <c r="G114">
        <f>IF(OR(計分!G114="",計分!$AP114=""),"",計分!$AP114-計分!G114)</f>
        <v/>
      </c>
      <c r="H114">
        <f>IF(OR(計分!H114="",計分!$AP114=""),"",計分!$AP114-計分!H114)</f>
        <v/>
      </c>
      <c r="I114">
        <f>IF(OR(計分!I114="",計分!$AP114=""),"",計分!$AP114-計分!I114)</f>
        <v/>
      </c>
      <c r="J114">
        <f>IF(OR(計分!J114="",計分!$AP114=""),"",計分!$AP114-計分!J114)</f>
        <v/>
      </c>
      <c r="K114">
        <f>IF(OR(計分!K114="",計分!$AP114=""),"",計分!$AP114-計分!K114)</f>
        <v/>
      </c>
      <c r="L114">
        <f>IF(OR(計分!L114="",計分!$AP114=""),"",計分!$AP114-計分!L114)</f>
        <v/>
      </c>
      <c r="M114">
        <f>IF(OR(計分!M114="",計分!$AP114=""),"",計分!$AP114-計分!M114)</f>
        <v/>
      </c>
      <c r="N114">
        <f>IF(OR(計分!N114="",計分!$AP114=""),"",計分!$AP114-計分!N114)</f>
        <v/>
      </c>
      <c r="O114">
        <f>IF(OR(計分!O114="",計分!$AP114=""),"",計分!$AP114-計分!O114)</f>
        <v/>
      </c>
      <c r="P114">
        <f>IF(OR(計分!P114="",計分!$AP114=""),"",計分!$AP114-計分!P114)</f>
        <v/>
      </c>
      <c r="Q114">
        <f>IF(OR(計分!Q114="",計分!$AP114=""),"",計分!$AP114-計分!Q114)</f>
        <v/>
      </c>
      <c r="R114">
        <f>IF(OR(計分!R114="",計分!$AP114=""),"",計分!$AP114-計分!R114)</f>
        <v/>
      </c>
      <c r="S114">
        <f>IF(OR(計分!S114="",計分!$AP114=""),"",計分!$AP114-計分!S114)</f>
        <v/>
      </c>
      <c r="T114">
        <f>IF(OR(計分!T114="",計分!$AP114=""),"",計分!$AP114-計分!T114)</f>
        <v/>
      </c>
      <c r="U114">
        <f>IF(OR(計分!U114="",計分!$AP114=""),"",計分!$AP114-計分!U114)</f>
        <v/>
      </c>
      <c r="V114">
        <f>IF(OR(計分!V114="",計分!$AP114=""),"",計分!$AP114-計分!V114)</f>
        <v/>
      </c>
      <c r="W114">
        <f>IF(OR(計分!W114="",計分!$AP114=""),"",計分!$AP114-計分!W114)</f>
        <v/>
      </c>
      <c r="X114">
        <f>IF(OR(計分!X114="",計分!$AP114=""),"",計分!$AP114-計分!X114)</f>
        <v/>
      </c>
      <c r="Y114">
        <f>IF(OR(計分!Y114="",計分!$AP114=""),"",計分!$AP114-計分!Y114)</f>
        <v/>
      </c>
      <c r="Z114">
        <f>IF(OR(計分!Z114="",計分!$AP114=""),"",計分!$AP114-計分!Z114)</f>
        <v/>
      </c>
      <c r="AA114">
        <f>IF(OR(計分!AA114="",計分!$AP114=""),"",計分!$AP114-計分!AA114)</f>
        <v/>
      </c>
      <c r="AB114">
        <f>IF(OR(計分!AB114="",計分!$AP114=""),"",計分!$AP114-計分!AB114)</f>
        <v/>
      </c>
      <c r="AC114">
        <f>IF(OR(計分!AC114="",計分!$AP114=""),"",計分!$AP114-計分!AC114)</f>
        <v/>
      </c>
      <c r="AD114">
        <f>IF(OR(計分!AD114="",計分!$AP114=""),"",計分!$AP114-計分!AD114)</f>
        <v/>
      </c>
      <c r="AE114">
        <f>IF(OR(計分!AE114="",計分!$AP114=""),"",計分!$AP114-計分!AE114)</f>
        <v/>
      </c>
      <c r="AF114">
        <f>IF(OR(計分!AF114="",計分!$AP114=""),"",計分!$AP114-計分!AF114)</f>
        <v/>
      </c>
      <c r="AG114">
        <f>IF(OR(計分!AG114="",計分!$AP114=""),"",計分!$AP114-計分!AG114)</f>
        <v/>
      </c>
      <c r="AH114">
        <f>IF(OR(計分!AH114="",計分!$AP114=""),"",計分!$AP114-計分!AH114)</f>
        <v/>
      </c>
      <c r="AI114">
        <f>IF(OR(計分!AI114="",計分!$AP114=""),"",計分!$AP114-計分!AI114)</f>
        <v/>
      </c>
      <c r="AJ114">
        <f>IF(OR(計分!AJ114="",計分!$AP114=""),"",計分!$AP114-計分!AJ114)</f>
        <v/>
      </c>
      <c r="AK114">
        <f>IF(OR(計分!AK114="",計分!$AP114=""),"",計分!$AP114-計分!AK114)</f>
        <v/>
      </c>
      <c r="AL114">
        <f>IF(OR(計分!AL114="",計分!$AP114=""),"",計分!$AP114-計分!AL114)</f>
        <v/>
      </c>
      <c r="AM114">
        <f>IF(OR(計分!AM114="",計分!$AP114=""),"",計分!$AP114-計分!AM114)</f>
        <v/>
      </c>
      <c r="AN114">
        <f>IF(OR(計分!AN114="",計分!$AP114=""),"",計分!$AP114-計分!AN114)</f>
        <v/>
      </c>
      <c r="AO114">
        <f>IF(OR(計分!AO114="",計分!$AP114=""),"",計分!$AP114-計分!AO114)</f>
        <v/>
      </c>
    </row>
    <row r="115">
      <c r="A115">
        <f>計分!A115</f>
        <v/>
      </c>
      <c r="B115">
        <f>IF(OR(計分!B115="",計分!$AP115=""),"",計分!$AP115-計分!B115)</f>
        <v/>
      </c>
      <c r="C115">
        <f>IF(OR(計分!C115="",計分!$AP115=""),"",計分!$AP115-計分!C115)</f>
        <v/>
      </c>
      <c r="D115">
        <f>IF(OR(計分!D115="",計分!$AP115=""),"",計分!$AP115-計分!D115)</f>
        <v/>
      </c>
      <c r="E115">
        <f>IF(OR(計分!E115="",計分!$AP115=""),"",計分!$AP115-計分!E115)</f>
        <v/>
      </c>
      <c r="F115">
        <f>IF(OR(計分!F115="",計分!$AP115=""),"",計分!$AP115-計分!F115)</f>
        <v/>
      </c>
      <c r="G115">
        <f>IF(OR(計分!G115="",計分!$AP115=""),"",計分!$AP115-計分!G115)</f>
        <v/>
      </c>
      <c r="H115">
        <f>IF(OR(計分!H115="",計分!$AP115=""),"",計分!$AP115-計分!H115)</f>
        <v/>
      </c>
      <c r="I115">
        <f>IF(OR(計分!I115="",計分!$AP115=""),"",計分!$AP115-計分!I115)</f>
        <v/>
      </c>
      <c r="J115">
        <f>IF(OR(計分!J115="",計分!$AP115=""),"",計分!$AP115-計分!J115)</f>
        <v/>
      </c>
      <c r="K115">
        <f>IF(OR(計分!K115="",計分!$AP115=""),"",計分!$AP115-計分!K115)</f>
        <v/>
      </c>
      <c r="L115">
        <f>IF(OR(計分!L115="",計分!$AP115=""),"",計分!$AP115-計分!L115)</f>
        <v/>
      </c>
      <c r="M115">
        <f>IF(OR(計分!M115="",計分!$AP115=""),"",計分!$AP115-計分!M115)</f>
        <v/>
      </c>
      <c r="N115">
        <f>IF(OR(計分!N115="",計分!$AP115=""),"",計分!$AP115-計分!N115)</f>
        <v/>
      </c>
      <c r="O115">
        <f>IF(OR(計分!O115="",計分!$AP115=""),"",計分!$AP115-計分!O115)</f>
        <v/>
      </c>
      <c r="P115">
        <f>IF(OR(計分!P115="",計分!$AP115=""),"",計分!$AP115-計分!P115)</f>
        <v/>
      </c>
      <c r="Q115">
        <f>IF(OR(計分!Q115="",計分!$AP115=""),"",計分!$AP115-計分!Q115)</f>
        <v/>
      </c>
      <c r="R115">
        <f>IF(OR(計分!R115="",計分!$AP115=""),"",計分!$AP115-計分!R115)</f>
        <v/>
      </c>
      <c r="S115">
        <f>IF(OR(計分!S115="",計分!$AP115=""),"",計分!$AP115-計分!S115)</f>
        <v/>
      </c>
      <c r="T115">
        <f>IF(OR(計分!T115="",計分!$AP115=""),"",計分!$AP115-計分!T115)</f>
        <v/>
      </c>
      <c r="U115">
        <f>IF(OR(計分!U115="",計分!$AP115=""),"",計分!$AP115-計分!U115)</f>
        <v/>
      </c>
      <c r="V115">
        <f>IF(OR(計分!V115="",計分!$AP115=""),"",計分!$AP115-計分!V115)</f>
        <v/>
      </c>
      <c r="W115">
        <f>IF(OR(計分!W115="",計分!$AP115=""),"",計分!$AP115-計分!W115)</f>
        <v/>
      </c>
      <c r="X115">
        <f>IF(OR(計分!X115="",計分!$AP115=""),"",計分!$AP115-計分!X115)</f>
        <v/>
      </c>
      <c r="Y115">
        <f>IF(OR(計分!Y115="",計分!$AP115=""),"",計分!$AP115-計分!Y115)</f>
        <v/>
      </c>
      <c r="Z115">
        <f>IF(OR(計分!Z115="",計分!$AP115=""),"",計分!$AP115-計分!Z115)</f>
        <v/>
      </c>
      <c r="AA115">
        <f>IF(OR(計分!AA115="",計分!$AP115=""),"",計分!$AP115-計分!AA115)</f>
        <v/>
      </c>
      <c r="AB115">
        <f>IF(OR(計分!AB115="",計分!$AP115=""),"",計分!$AP115-計分!AB115)</f>
        <v/>
      </c>
      <c r="AC115">
        <f>IF(OR(計分!AC115="",計分!$AP115=""),"",計分!$AP115-計分!AC115)</f>
        <v/>
      </c>
      <c r="AD115">
        <f>IF(OR(計分!AD115="",計分!$AP115=""),"",計分!$AP115-計分!AD115)</f>
        <v/>
      </c>
      <c r="AE115">
        <f>IF(OR(計分!AE115="",計分!$AP115=""),"",計分!$AP115-計分!AE115)</f>
        <v/>
      </c>
      <c r="AF115">
        <f>IF(OR(計分!AF115="",計分!$AP115=""),"",計分!$AP115-計分!AF115)</f>
        <v/>
      </c>
      <c r="AG115">
        <f>IF(OR(計分!AG115="",計分!$AP115=""),"",計分!$AP115-計分!AG115)</f>
        <v/>
      </c>
      <c r="AH115">
        <f>IF(OR(計分!AH115="",計分!$AP115=""),"",計分!$AP115-計分!AH115)</f>
        <v/>
      </c>
      <c r="AI115">
        <f>IF(OR(計分!AI115="",計分!$AP115=""),"",計分!$AP115-計分!AI115)</f>
        <v/>
      </c>
      <c r="AJ115">
        <f>IF(OR(計分!AJ115="",計分!$AP115=""),"",計分!$AP115-計分!AJ115)</f>
        <v/>
      </c>
      <c r="AK115">
        <f>IF(OR(計分!AK115="",計分!$AP115=""),"",計分!$AP115-計分!AK115)</f>
        <v/>
      </c>
      <c r="AL115">
        <f>IF(OR(計分!AL115="",計分!$AP115=""),"",計分!$AP115-計分!AL115)</f>
        <v/>
      </c>
      <c r="AM115">
        <f>IF(OR(計分!AM115="",計分!$AP115=""),"",計分!$AP115-計分!AM115)</f>
        <v/>
      </c>
      <c r="AN115">
        <f>IF(OR(計分!AN115="",計分!$AP115=""),"",計分!$AP115-計分!AN115)</f>
        <v/>
      </c>
      <c r="AO115">
        <f>IF(OR(計分!AO115="",計分!$AP115=""),"",計分!$AP115-計分!AO115)</f>
        <v/>
      </c>
    </row>
    <row r="116">
      <c r="A116">
        <f>計分!A116</f>
        <v/>
      </c>
      <c r="B116">
        <f>IF(OR(計分!B116="",計分!$AP116=""),"",計分!$AP116-計分!B116)</f>
        <v/>
      </c>
      <c r="C116">
        <f>IF(OR(計分!C116="",計分!$AP116=""),"",計分!$AP116-計分!C116)</f>
        <v/>
      </c>
      <c r="D116">
        <f>IF(OR(計分!D116="",計分!$AP116=""),"",計分!$AP116-計分!D116)</f>
        <v/>
      </c>
      <c r="E116">
        <f>IF(OR(計分!E116="",計分!$AP116=""),"",計分!$AP116-計分!E116)</f>
        <v/>
      </c>
      <c r="F116">
        <f>IF(OR(計分!F116="",計分!$AP116=""),"",計分!$AP116-計分!F116)</f>
        <v/>
      </c>
      <c r="G116">
        <f>IF(OR(計分!G116="",計分!$AP116=""),"",計分!$AP116-計分!G116)</f>
        <v/>
      </c>
      <c r="H116">
        <f>IF(OR(計分!H116="",計分!$AP116=""),"",計分!$AP116-計分!H116)</f>
        <v/>
      </c>
      <c r="I116">
        <f>IF(OR(計分!I116="",計分!$AP116=""),"",計分!$AP116-計分!I116)</f>
        <v/>
      </c>
      <c r="J116">
        <f>IF(OR(計分!J116="",計分!$AP116=""),"",計分!$AP116-計分!J116)</f>
        <v/>
      </c>
      <c r="K116">
        <f>IF(OR(計分!K116="",計分!$AP116=""),"",計分!$AP116-計分!K116)</f>
        <v/>
      </c>
      <c r="L116">
        <f>IF(OR(計分!L116="",計分!$AP116=""),"",計分!$AP116-計分!L116)</f>
        <v/>
      </c>
      <c r="M116">
        <f>IF(OR(計分!M116="",計分!$AP116=""),"",計分!$AP116-計分!M116)</f>
        <v/>
      </c>
      <c r="N116">
        <f>IF(OR(計分!N116="",計分!$AP116=""),"",計分!$AP116-計分!N116)</f>
        <v/>
      </c>
      <c r="O116">
        <f>IF(OR(計分!O116="",計分!$AP116=""),"",計分!$AP116-計分!O116)</f>
        <v/>
      </c>
      <c r="P116">
        <f>IF(OR(計分!P116="",計分!$AP116=""),"",計分!$AP116-計分!P116)</f>
        <v/>
      </c>
      <c r="Q116">
        <f>IF(OR(計分!Q116="",計分!$AP116=""),"",計分!$AP116-計分!Q116)</f>
        <v/>
      </c>
      <c r="R116">
        <f>IF(OR(計分!R116="",計分!$AP116=""),"",計分!$AP116-計分!R116)</f>
        <v/>
      </c>
      <c r="S116">
        <f>IF(OR(計分!S116="",計分!$AP116=""),"",計分!$AP116-計分!S116)</f>
        <v/>
      </c>
      <c r="T116">
        <f>IF(OR(計分!T116="",計分!$AP116=""),"",計分!$AP116-計分!T116)</f>
        <v/>
      </c>
      <c r="U116">
        <f>IF(OR(計分!U116="",計分!$AP116=""),"",計分!$AP116-計分!U116)</f>
        <v/>
      </c>
      <c r="V116">
        <f>IF(OR(計分!V116="",計分!$AP116=""),"",計分!$AP116-計分!V116)</f>
        <v/>
      </c>
      <c r="W116">
        <f>IF(OR(計分!W116="",計分!$AP116=""),"",計分!$AP116-計分!W116)</f>
        <v/>
      </c>
      <c r="X116">
        <f>IF(OR(計分!X116="",計分!$AP116=""),"",計分!$AP116-計分!X116)</f>
        <v/>
      </c>
      <c r="Y116">
        <f>IF(OR(計分!Y116="",計分!$AP116=""),"",計分!$AP116-計分!Y116)</f>
        <v/>
      </c>
      <c r="Z116">
        <f>IF(OR(計分!Z116="",計分!$AP116=""),"",計分!$AP116-計分!Z116)</f>
        <v/>
      </c>
      <c r="AA116">
        <f>IF(OR(計分!AA116="",計分!$AP116=""),"",計分!$AP116-計分!AA116)</f>
        <v/>
      </c>
      <c r="AB116">
        <f>IF(OR(計分!AB116="",計分!$AP116=""),"",計分!$AP116-計分!AB116)</f>
        <v/>
      </c>
      <c r="AC116">
        <f>IF(OR(計分!AC116="",計分!$AP116=""),"",計分!$AP116-計分!AC116)</f>
        <v/>
      </c>
      <c r="AD116">
        <f>IF(OR(計分!AD116="",計分!$AP116=""),"",計分!$AP116-計分!AD116)</f>
        <v/>
      </c>
      <c r="AE116">
        <f>IF(OR(計分!AE116="",計分!$AP116=""),"",計分!$AP116-計分!AE116)</f>
        <v/>
      </c>
      <c r="AF116">
        <f>IF(OR(計分!AF116="",計分!$AP116=""),"",計分!$AP116-計分!AF116)</f>
        <v/>
      </c>
      <c r="AG116">
        <f>IF(OR(計分!AG116="",計分!$AP116=""),"",計分!$AP116-計分!AG116)</f>
        <v/>
      </c>
      <c r="AH116">
        <f>IF(OR(計分!AH116="",計分!$AP116=""),"",計分!$AP116-計分!AH116)</f>
        <v/>
      </c>
      <c r="AI116">
        <f>IF(OR(計分!AI116="",計分!$AP116=""),"",計分!$AP116-計分!AI116)</f>
        <v/>
      </c>
      <c r="AJ116">
        <f>IF(OR(計分!AJ116="",計分!$AP116=""),"",計分!$AP116-計分!AJ116)</f>
        <v/>
      </c>
      <c r="AK116">
        <f>IF(OR(計分!AK116="",計分!$AP116=""),"",計分!$AP116-計分!AK116)</f>
        <v/>
      </c>
      <c r="AL116">
        <f>IF(OR(計分!AL116="",計分!$AP116=""),"",計分!$AP116-計分!AL116)</f>
        <v/>
      </c>
      <c r="AM116">
        <f>IF(OR(計分!AM116="",計分!$AP116=""),"",計分!$AP116-計分!AM116)</f>
        <v/>
      </c>
      <c r="AN116">
        <f>IF(OR(計分!AN116="",計分!$AP116=""),"",計分!$AP116-計分!AN116)</f>
        <v/>
      </c>
      <c r="AO116">
        <f>IF(OR(計分!AO116="",計分!$AP116=""),"",計分!$AP116-計分!AO116)</f>
        <v/>
      </c>
    </row>
    <row r="117">
      <c r="A117">
        <f>計分!A117</f>
        <v/>
      </c>
      <c r="B117">
        <f>IF(OR(計分!B117="",計分!$AP117=""),"",計分!$AP117-計分!B117)</f>
        <v/>
      </c>
      <c r="C117">
        <f>IF(OR(計分!C117="",計分!$AP117=""),"",計分!$AP117-計分!C117)</f>
        <v/>
      </c>
      <c r="D117">
        <f>IF(OR(計分!D117="",計分!$AP117=""),"",計分!$AP117-計分!D117)</f>
        <v/>
      </c>
      <c r="E117">
        <f>IF(OR(計分!E117="",計分!$AP117=""),"",計分!$AP117-計分!E117)</f>
        <v/>
      </c>
      <c r="F117">
        <f>IF(OR(計分!F117="",計分!$AP117=""),"",計分!$AP117-計分!F117)</f>
        <v/>
      </c>
      <c r="G117">
        <f>IF(OR(計分!G117="",計分!$AP117=""),"",計分!$AP117-計分!G117)</f>
        <v/>
      </c>
      <c r="H117">
        <f>IF(OR(計分!H117="",計分!$AP117=""),"",計分!$AP117-計分!H117)</f>
        <v/>
      </c>
      <c r="I117">
        <f>IF(OR(計分!I117="",計分!$AP117=""),"",計分!$AP117-計分!I117)</f>
        <v/>
      </c>
      <c r="J117">
        <f>IF(OR(計分!J117="",計分!$AP117=""),"",計分!$AP117-計分!J117)</f>
        <v/>
      </c>
      <c r="K117">
        <f>IF(OR(計分!K117="",計分!$AP117=""),"",計分!$AP117-計分!K117)</f>
        <v/>
      </c>
      <c r="L117">
        <f>IF(OR(計分!L117="",計分!$AP117=""),"",計分!$AP117-計分!L117)</f>
        <v/>
      </c>
      <c r="M117">
        <f>IF(OR(計分!M117="",計分!$AP117=""),"",計分!$AP117-計分!M117)</f>
        <v/>
      </c>
      <c r="N117">
        <f>IF(OR(計分!N117="",計分!$AP117=""),"",計分!$AP117-計分!N117)</f>
        <v/>
      </c>
      <c r="O117">
        <f>IF(OR(計分!O117="",計分!$AP117=""),"",計分!$AP117-計分!O117)</f>
        <v/>
      </c>
      <c r="P117">
        <f>IF(OR(計分!P117="",計分!$AP117=""),"",計分!$AP117-計分!P117)</f>
        <v/>
      </c>
      <c r="Q117">
        <f>IF(OR(計分!Q117="",計分!$AP117=""),"",計分!$AP117-計分!Q117)</f>
        <v/>
      </c>
      <c r="R117">
        <f>IF(OR(計分!R117="",計分!$AP117=""),"",計分!$AP117-計分!R117)</f>
        <v/>
      </c>
      <c r="S117">
        <f>IF(OR(計分!S117="",計分!$AP117=""),"",計分!$AP117-計分!S117)</f>
        <v/>
      </c>
      <c r="T117">
        <f>IF(OR(計分!T117="",計分!$AP117=""),"",計分!$AP117-計分!T117)</f>
        <v/>
      </c>
      <c r="U117">
        <f>IF(OR(計分!U117="",計分!$AP117=""),"",計分!$AP117-計分!U117)</f>
        <v/>
      </c>
      <c r="V117">
        <f>IF(OR(計分!V117="",計分!$AP117=""),"",計分!$AP117-計分!V117)</f>
        <v/>
      </c>
      <c r="W117">
        <f>IF(OR(計分!W117="",計分!$AP117=""),"",計分!$AP117-計分!W117)</f>
        <v/>
      </c>
      <c r="X117">
        <f>IF(OR(計分!X117="",計分!$AP117=""),"",計分!$AP117-計分!X117)</f>
        <v/>
      </c>
      <c r="Y117">
        <f>IF(OR(計分!Y117="",計分!$AP117=""),"",計分!$AP117-計分!Y117)</f>
        <v/>
      </c>
      <c r="Z117">
        <f>IF(OR(計分!Z117="",計分!$AP117=""),"",計分!$AP117-計分!Z117)</f>
        <v/>
      </c>
      <c r="AA117">
        <f>IF(OR(計分!AA117="",計分!$AP117=""),"",計分!$AP117-計分!AA117)</f>
        <v/>
      </c>
      <c r="AB117">
        <f>IF(OR(計分!AB117="",計分!$AP117=""),"",計分!$AP117-計分!AB117)</f>
        <v/>
      </c>
      <c r="AC117">
        <f>IF(OR(計分!AC117="",計分!$AP117=""),"",計分!$AP117-計分!AC117)</f>
        <v/>
      </c>
      <c r="AD117">
        <f>IF(OR(計分!AD117="",計分!$AP117=""),"",計分!$AP117-計分!AD117)</f>
        <v/>
      </c>
      <c r="AE117">
        <f>IF(OR(計分!AE117="",計分!$AP117=""),"",計分!$AP117-計分!AE117)</f>
        <v/>
      </c>
      <c r="AF117">
        <f>IF(OR(計分!AF117="",計分!$AP117=""),"",計分!$AP117-計分!AF117)</f>
        <v/>
      </c>
      <c r="AG117">
        <f>IF(OR(計分!AG117="",計分!$AP117=""),"",計分!$AP117-計分!AG117)</f>
        <v/>
      </c>
      <c r="AH117">
        <f>IF(OR(計分!AH117="",計分!$AP117=""),"",計分!$AP117-計分!AH117)</f>
        <v/>
      </c>
      <c r="AI117">
        <f>IF(OR(計分!AI117="",計分!$AP117=""),"",計分!$AP117-計分!AI117)</f>
        <v/>
      </c>
      <c r="AJ117">
        <f>IF(OR(計分!AJ117="",計分!$AP117=""),"",計分!$AP117-計分!AJ117)</f>
        <v/>
      </c>
      <c r="AK117">
        <f>IF(OR(計分!AK117="",計分!$AP117=""),"",計分!$AP117-計分!AK117)</f>
        <v/>
      </c>
      <c r="AL117">
        <f>IF(OR(計分!AL117="",計分!$AP117=""),"",計分!$AP117-計分!AL117)</f>
        <v/>
      </c>
      <c r="AM117">
        <f>IF(OR(計分!AM117="",計分!$AP117=""),"",計分!$AP117-計分!AM117)</f>
        <v/>
      </c>
      <c r="AN117">
        <f>IF(OR(計分!AN117="",計分!$AP117=""),"",計分!$AP117-計分!AN117)</f>
        <v/>
      </c>
      <c r="AO117">
        <f>IF(OR(計分!AO117="",計分!$AP117=""),"",計分!$AP117-計分!AO117)</f>
        <v/>
      </c>
    </row>
    <row r="118">
      <c r="A118">
        <f>計分!A118</f>
        <v/>
      </c>
      <c r="B118">
        <f>IF(OR(計分!B118="",計分!$AP118=""),"",計分!$AP118-計分!B118)</f>
        <v/>
      </c>
      <c r="C118">
        <f>IF(OR(計分!C118="",計分!$AP118=""),"",計分!$AP118-計分!C118)</f>
        <v/>
      </c>
      <c r="D118">
        <f>IF(OR(計分!D118="",計分!$AP118=""),"",計分!$AP118-計分!D118)</f>
        <v/>
      </c>
      <c r="E118">
        <f>IF(OR(計分!E118="",計分!$AP118=""),"",計分!$AP118-計分!E118)</f>
        <v/>
      </c>
      <c r="F118">
        <f>IF(OR(計分!F118="",計分!$AP118=""),"",計分!$AP118-計分!F118)</f>
        <v/>
      </c>
      <c r="G118">
        <f>IF(OR(計分!G118="",計分!$AP118=""),"",計分!$AP118-計分!G118)</f>
        <v/>
      </c>
      <c r="H118">
        <f>IF(OR(計分!H118="",計分!$AP118=""),"",計分!$AP118-計分!H118)</f>
        <v/>
      </c>
      <c r="I118">
        <f>IF(OR(計分!I118="",計分!$AP118=""),"",計分!$AP118-計分!I118)</f>
        <v/>
      </c>
      <c r="J118">
        <f>IF(OR(計分!J118="",計分!$AP118=""),"",計分!$AP118-計分!J118)</f>
        <v/>
      </c>
      <c r="K118">
        <f>IF(OR(計分!K118="",計分!$AP118=""),"",計分!$AP118-計分!K118)</f>
        <v/>
      </c>
      <c r="L118">
        <f>IF(OR(計分!L118="",計分!$AP118=""),"",計分!$AP118-計分!L118)</f>
        <v/>
      </c>
      <c r="M118">
        <f>IF(OR(計分!M118="",計分!$AP118=""),"",計分!$AP118-計分!M118)</f>
        <v/>
      </c>
      <c r="N118">
        <f>IF(OR(計分!N118="",計分!$AP118=""),"",計分!$AP118-計分!N118)</f>
        <v/>
      </c>
      <c r="O118">
        <f>IF(OR(計分!O118="",計分!$AP118=""),"",計分!$AP118-計分!O118)</f>
        <v/>
      </c>
      <c r="P118">
        <f>IF(OR(計分!P118="",計分!$AP118=""),"",計分!$AP118-計分!P118)</f>
        <v/>
      </c>
      <c r="Q118">
        <f>IF(OR(計分!Q118="",計分!$AP118=""),"",計分!$AP118-計分!Q118)</f>
        <v/>
      </c>
      <c r="R118">
        <f>IF(OR(計分!R118="",計分!$AP118=""),"",計分!$AP118-計分!R118)</f>
        <v/>
      </c>
      <c r="S118">
        <f>IF(OR(計分!S118="",計分!$AP118=""),"",計分!$AP118-計分!S118)</f>
        <v/>
      </c>
      <c r="T118">
        <f>IF(OR(計分!T118="",計分!$AP118=""),"",計分!$AP118-計分!T118)</f>
        <v/>
      </c>
      <c r="U118">
        <f>IF(OR(計分!U118="",計分!$AP118=""),"",計分!$AP118-計分!U118)</f>
        <v/>
      </c>
      <c r="V118">
        <f>IF(OR(計分!V118="",計分!$AP118=""),"",計分!$AP118-計分!V118)</f>
        <v/>
      </c>
      <c r="W118">
        <f>IF(OR(計分!W118="",計分!$AP118=""),"",計分!$AP118-計分!W118)</f>
        <v/>
      </c>
      <c r="X118">
        <f>IF(OR(計分!X118="",計分!$AP118=""),"",計分!$AP118-計分!X118)</f>
        <v/>
      </c>
      <c r="Y118">
        <f>IF(OR(計分!Y118="",計分!$AP118=""),"",計分!$AP118-計分!Y118)</f>
        <v/>
      </c>
      <c r="Z118">
        <f>IF(OR(計分!Z118="",計分!$AP118=""),"",計分!$AP118-計分!Z118)</f>
        <v/>
      </c>
      <c r="AA118">
        <f>IF(OR(計分!AA118="",計分!$AP118=""),"",計分!$AP118-計分!AA118)</f>
        <v/>
      </c>
      <c r="AB118">
        <f>IF(OR(計分!AB118="",計分!$AP118=""),"",計分!$AP118-計分!AB118)</f>
        <v/>
      </c>
      <c r="AC118">
        <f>IF(OR(計分!AC118="",計分!$AP118=""),"",計分!$AP118-計分!AC118)</f>
        <v/>
      </c>
      <c r="AD118">
        <f>IF(OR(計分!AD118="",計分!$AP118=""),"",計分!$AP118-計分!AD118)</f>
        <v/>
      </c>
      <c r="AE118">
        <f>IF(OR(計分!AE118="",計分!$AP118=""),"",計分!$AP118-計分!AE118)</f>
        <v/>
      </c>
      <c r="AF118">
        <f>IF(OR(計分!AF118="",計分!$AP118=""),"",計分!$AP118-計分!AF118)</f>
        <v/>
      </c>
      <c r="AG118">
        <f>IF(OR(計分!AG118="",計分!$AP118=""),"",計分!$AP118-計分!AG118)</f>
        <v/>
      </c>
      <c r="AH118">
        <f>IF(OR(計分!AH118="",計分!$AP118=""),"",計分!$AP118-計分!AH118)</f>
        <v/>
      </c>
      <c r="AI118">
        <f>IF(OR(計分!AI118="",計分!$AP118=""),"",計分!$AP118-計分!AI118)</f>
        <v/>
      </c>
      <c r="AJ118">
        <f>IF(OR(計分!AJ118="",計分!$AP118=""),"",計分!$AP118-計分!AJ118)</f>
        <v/>
      </c>
      <c r="AK118">
        <f>IF(OR(計分!AK118="",計分!$AP118=""),"",計分!$AP118-計分!AK118)</f>
        <v/>
      </c>
      <c r="AL118">
        <f>IF(OR(計分!AL118="",計分!$AP118=""),"",計分!$AP118-計分!AL118)</f>
        <v/>
      </c>
      <c r="AM118">
        <f>IF(OR(計分!AM118="",計分!$AP118=""),"",計分!$AP118-計分!AM118)</f>
        <v/>
      </c>
      <c r="AN118">
        <f>IF(OR(計分!AN118="",計分!$AP118=""),"",計分!$AP118-計分!AN118)</f>
        <v/>
      </c>
      <c r="AO118">
        <f>IF(OR(計分!AO118="",計分!$AP118=""),"",計分!$AP118-計分!AO118)</f>
        <v/>
      </c>
    </row>
    <row r="119">
      <c r="A119">
        <f>計分!A119</f>
        <v/>
      </c>
      <c r="B119">
        <f>IF(OR(計分!B119="",計分!$AP119=""),"",計分!$AP119-計分!B119)</f>
        <v/>
      </c>
      <c r="C119">
        <f>IF(OR(計分!C119="",計分!$AP119=""),"",計分!$AP119-計分!C119)</f>
        <v/>
      </c>
      <c r="D119">
        <f>IF(OR(計分!D119="",計分!$AP119=""),"",計分!$AP119-計分!D119)</f>
        <v/>
      </c>
      <c r="E119">
        <f>IF(OR(計分!E119="",計分!$AP119=""),"",計分!$AP119-計分!E119)</f>
        <v/>
      </c>
      <c r="F119">
        <f>IF(OR(計分!F119="",計分!$AP119=""),"",計分!$AP119-計分!F119)</f>
        <v/>
      </c>
      <c r="G119">
        <f>IF(OR(計分!G119="",計分!$AP119=""),"",計分!$AP119-計分!G119)</f>
        <v/>
      </c>
      <c r="H119">
        <f>IF(OR(計分!H119="",計分!$AP119=""),"",計分!$AP119-計分!H119)</f>
        <v/>
      </c>
      <c r="I119">
        <f>IF(OR(計分!I119="",計分!$AP119=""),"",計分!$AP119-計分!I119)</f>
        <v/>
      </c>
      <c r="J119">
        <f>IF(OR(計分!J119="",計分!$AP119=""),"",計分!$AP119-計分!J119)</f>
        <v/>
      </c>
      <c r="K119">
        <f>IF(OR(計分!K119="",計分!$AP119=""),"",計分!$AP119-計分!K119)</f>
        <v/>
      </c>
      <c r="L119">
        <f>IF(OR(計分!L119="",計分!$AP119=""),"",計分!$AP119-計分!L119)</f>
        <v/>
      </c>
      <c r="M119">
        <f>IF(OR(計分!M119="",計分!$AP119=""),"",計分!$AP119-計分!M119)</f>
        <v/>
      </c>
      <c r="N119">
        <f>IF(OR(計分!N119="",計分!$AP119=""),"",計分!$AP119-計分!N119)</f>
        <v/>
      </c>
      <c r="O119">
        <f>IF(OR(計分!O119="",計分!$AP119=""),"",計分!$AP119-計分!O119)</f>
        <v/>
      </c>
      <c r="P119">
        <f>IF(OR(計分!P119="",計分!$AP119=""),"",計分!$AP119-計分!P119)</f>
        <v/>
      </c>
      <c r="Q119">
        <f>IF(OR(計分!Q119="",計分!$AP119=""),"",計分!$AP119-計分!Q119)</f>
        <v/>
      </c>
      <c r="R119">
        <f>IF(OR(計分!R119="",計分!$AP119=""),"",計分!$AP119-計分!R119)</f>
        <v/>
      </c>
      <c r="S119">
        <f>IF(OR(計分!S119="",計分!$AP119=""),"",計分!$AP119-計分!S119)</f>
        <v/>
      </c>
      <c r="T119">
        <f>IF(OR(計分!T119="",計分!$AP119=""),"",計分!$AP119-計分!T119)</f>
        <v/>
      </c>
      <c r="U119">
        <f>IF(OR(計分!U119="",計分!$AP119=""),"",計分!$AP119-計分!U119)</f>
        <v/>
      </c>
      <c r="V119">
        <f>IF(OR(計分!V119="",計分!$AP119=""),"",計分!$AP119-計分!V119)</f>
        <v/>
      </c>
      <c r="W119">
        <f>IF(OR(計分!W119="",計分!$AP119=""),"",計分!$AP119-計分!W119)</f>
        <v/>
      </c>
      <c r="X119">
        <f>IF(OR(計分!X119="",計分!$AP119=""),"",計分!$AP119-計分!X119)</f>
        <v/>
      </c>
      <c r="Y119">
        <f>IF(OR(計分!Y119="",計分!$AP119=""),"",計分!$AP119-計分!Y119)</f>
        <v/>
      </c>
      <c r="Z119">
        <f>IF(OR(計分!Z119="",計分!$AP119=""),"",計分!$AP119-計分!Z119)</f>
        <v/>
      </c>
      <c r="AA119">
        <f>IF(OR(計分!AA119="",計分!$AP119=""),"",計分!$AP119-計分!AA119)</f>
        <v/>
      </c>
      <c r="AB119">
        <f>IF(OR(計分!AB119="",計分!$AP119=""),"",計分!$AP119-計分!AB119)</f>
        <v/>
      </c>
      <c r="AC119">
        <f>IF(OR(計分!AC119="",計分!$AP119=""),"",計分!$AP119-計分!AC119)</f>
        <v/>
      </c>
      <c r="AD119">
        <f>IF(OR(計分!AD119="",計分!$AP119=""),"",計分!$AP119-計分!AD119)</f>
        <v/>
      </c>
      <c r="AE119">
        <f>IF(OR(計分!AE119="",計分!$AP119=""),"",計分!$AP119-計分!AE119)</f>
        <v/>
      </c>
      <c r="AF119">
        <f>IF(OR(計分!AF119="",計分!$AP119=""),"",計分!$AP119-計分!AF119)</f>
        <v/>
      </c>
      <c r="AG119">
        <f>IF(OR(計分!AG119="",計分!$AP119=""),"",計分!$AP119-計分!AG119)</f>
        <v/>
      </c>
      <c r="AH119">
        <f>IF(OR(計分!AH119="",計分!$AP119=""),"",計分!$AP119-計分!AH119)</f>
        <v/>
      </c>
      <c r="AI119">
        <f>IF(OR(計分!AI119="",計分!$AP119=""),"",計分!$AP119-計分!AI119)</f>
        <v/>
      </c>
      <c r="AJ119">
        <f>IF(OR(計分!AJ119="",計分!$AP119=""),"",計分!$AP119-計分!AJ119)</f>
        <v/>
      </c>
      <c r="AK119">
        <f>IF(OR(計分!AK119="",計分!$AP119=""),"",計分!$AP119-計分!AK119)</f>
        <v/>
      </c>
      <c r="AL119">
        <f>IF(OR(計分!AL119="",計分!$AP119=""),"",計分!$AP119-計分!AL119)</f>
        <v/>
      </c>
      <c r="AM119">
        <f>IF(OR(計分!AM119="",計分!$AP119=""),"",計分!$AP119-計分!AM119)</f>
        <v/>
      </c>
      <c r="AN119">
        <f>IF(OR(計分!AN119="",計分!$AP119=""),"",計分!$AP119-計分!AN119)</f>
        <v/>
      </c>
      <c r="AO119">
        <f>IF(OR(計分!AO119="",計分!$AP119=""),"",計分!$AP119-計分!AO119)</f>
        <v/>
      </c>
    </row>
    <row r="120">
      <c r="A120">
        <f>計分!A120</f>
        <v/>
      </c>
      <c r="B120">
        <f>IF(OR(計分!B120="",計分!$AP120=""),"",計分!$AP120-計分!B120)</f>
        <v/>
      </c>
      <c r="C120">
        <f>IF(OR(計分!C120="",計分!$AP120=""),"",計分!$AP120-計分!C120)</f>
        <v/>
      </c>
      <c r="D120">
        <f>IF(OR(計分!D120="",計分!$AP120=""),"",計分!$AP120-計分!D120)</f>
        <v/>
      </c>
      <c r="E120">
        <f>IF(OR(計分!E120="",計分!$AP120=""),"",計分!$AP120-計分!E120)</f>
        <v/>
      </c>
      <c r="F120">
        <f>IF(OR(計分!F120="",計分!$AP120=""),"",計分!$AP120-計分!F120)</f>
        <v/>
      </c>
      <c r="G120">
        <f>IF(OR(計分!G120="",計分!$AP120=""),"",計分!$AP120-計分!G120)</f>
        <v/>
      </c>
      <c r="H120">
        <f>IF(OR(計分!H120="",計分!$AP120=""),"",計分!$AP120-計分!H120)</f>
        <v/>
      </c>
      <c r="I120">
        <f>IF(OR(計分!I120="",計分!$AP120=""),"",計分!$AP120-計分!I120)</f>
        <v/>
      </c>
      <c r="J120">
        <f>IF(OR(計分!J120="",計分!$AP120=""),"",計分!$AP120-計分!J120)</f>
        <v/>
      </c>
      <c r="K120">
        <f>IF(OR(計分!K120="",計分!$AP120=""),"",計分!$AP120-計分!K120)</f>
        <v/>
      </c>
      <c r="L120">
        <f>IF(OR(計分!L120="",計分!$AP120=""),"",計分!$AP120-計分!L120)</f>
        <v/>
      </c>
      <c r="M120">
        <f>IF(OR(計分!M120="",計分!$AP120=""),"",計分!$AP120-計分!M120)</f>
        <v/>
      </c>
      <c r="N120">
        <f>IF(OR(計分!N120="",計分!$AP120=""),"",計分!$AP120-計分!N120)</f>
        <v/>
      </c>
      <c r="O120">
        <f>IF(OR(計分!O120="",計分!$AP120=""),"",計分!$AP120-計分!O120)</f>
        <v/>
      </c>
      <c r="P120">
        <f>IF(OR(計分!P120="",計分!$AP120=""),"",計分!$AP120-計分!P120)</f>
        <v/>
      </c>
      <c r="Q120">
        <f>IF(OR(計分!Q120="",計分!$AP120=""),"",計分!$AP120-計分!Q120)</f>
        <v/>
      </c>
      <c r="R120">
        <f>IF(OR(計分!R120="",計分!$AP120=""),"",計分!$AP120-計分!R120)</f>
        <v/>
      </c>
      <c r="S120">
        <f>IF(OR(計分!S120="",計分!$AP120=""),"",計分!$AP120-計分!S120)</f>
        <v/>
      </c>
      <c r="T120">
        <f>IF(OR(計分!T120="",計分!$AP120=""),"",計分!$AP120-計分!T120)</f>
        <v/>
      </c>
      <c r="U120">
        <f>IF(OR(計分!U120="",計分!$AP120=""),"",計分!$AP120-計分!U120)</f>
        <v/>
      </c>
      <c r="V120">
        <f>IF(OR(計分!V120="",計分!$AP120=""),"",計分!$AP120-計分!V120)</f>
        <v/>
      </c>
      <c r="W120">
        <f>IF(OR(計分!W120="",計分!$AP120=""),"",計分!$AP120-計分!W120)</f>
        <v/>
      </c>
      <c r="X120">
        <f>IF(OR(計分!X120="",計分!$AP120=""),"",計分!$AP120-計分!X120)</f>
        <v/>
      </c>
      <c r="Y120">
        <f>IF(OR(計分!Y120="",計分!$AP120=""),"",計分!$AP120-計分!Y120)</f>
        <v/>
      </c>
      <c r="Z120">
        <f>IF(OR(計分!Z120="",計分!$AP120=""),"",計分!$AP120-計分!Z120)</f>
        <v/>
      </c>
      <c r="AA120">
        <f>IF(OR(計分!AA120="",計分!$AP120=""),"",計分!$AP120-計分!AA120)</f>
        <v/>
      </c>
      <c r="AB120">
        <f>IF(OR(計分!AB120="",計分!$AP120=""),"",計分!$AP120-計分!AB120)</f>
        <v/>
      </c>
      <c r="AC120">
        <f>IF(OR(計分!AC120="",計分!$AP120=""),"",計分!$AP120-計分!AC120)</f>
        <v/>
      </c>
      <c r="AD120">
        <f>IF(OR(計分!AD120="",計分!$AP120=""),"",計分!$AP120-計分!AD120)</f>
        <v/>
      </c>
      <c r="AE120">
        <f>IF(OR(計分!AE120="",計分!$AP120=""),"",計分!$AP120-計分!AE120)</f>
        <v/>
      </c>
      <c r="AF120">
        <f>IF(OR(計分!AF120="",計分!$AP120=""),"",計分!$AP120-計分!AF120)</f>
        <v/>
      </c>
      <c r="AG120">
        <f>IF(OR(計分!AG120="",計分!$AP120=""),"",計分!$AP120-計分!AG120)</f>
        <v/>
      </c>
      <c r="AH120">
        <f>IF(OR(計分!AH120="",計分!$AP120=""),"",計分!$AP120-計分!AH120)</f>
        <v/>
      </c>
      <c r="AI120">
        <f>IF(OR(計分!AI120="",計分!$AP120=""),"",計分!$AP120-計分!AI120)</f>
        <v/>
      </c>
      <c r="AJ120">
        <f>IF(OR(計分!AJ120="",計分!$AP120=""),"",計分!$AP120-計分!AJ120)</f>
        <v/>
      </c>
      <c r="AK120">
        <f>IF(OR(計分!AK120="",計分!$AP120=""),"",計分!$AP120-計分!AK120)</f>
        <v/>
      </c>
      <c r="AL120">
        <f>IF(OR(計分!AL120="",計分!$AP120=""),"",計分!$AP120-計分!AL120)</f>
        <v/>
      </c>
      <c r="AM120">
        <f>IF(OR(計分!AM120="",計分!$AP120=""),"",計分!$AP120-計分!AM120)</f>
        <v/>
      </c>
      <c r="AN120">
        <f>IF(OR(計分!AN120="",計分!$AP120=""),"",計分!$AP120-計分!AN120)</f>
        <v/>
      </c>
      <c r="AO120">
        <f>IF(OR(計分!AO120="",計分!$AP120=""),"",計分!$AP120-計分!AO120)</f>
        <v/>
      </c>
    </row>
    <row r="121">
      <c r="A121">
        <f>計分!A121</f>
        <v/>
      </c>
      <c r="B121">
        <f>IF(OR(計分!B121="",計分!$AP121=""),"",計分!$AP121-計分!B121)</f>
        <v/>
      </c>
      <c r="C121">
        <f>IF(OR(計分!C121="",計分!$AP121=""),"",計分!$AP121-計分!C121)</f>
        <v/>
      </c>
      <c r="D121">
        <f>IF(OR(計分!D121="",計分!$AP121=""),"",計分!$AP121-計分!D121)</f>
        <v/>
      </c>
      <c r="E121">
        <f>IF(OR(計分!E121="",計分!$AP121=""),"",計分!$AP121-計分!E121)</f>
        <v/>
      </c>
      <c r="F121">
        <f>IF(OR(計分!F121="",計分!$AP121=""),"",計分!$AP121-計分!F121)</f>
        <v/>
      </c>
      <c r="G121">
        <f>IF(OR(計分!G121="",計分!$AP121=""),"",計分!$AP121-計分!G121)</f>
        <v/>
      </c>
      <c r="H121">
        <f>IF(OR(計分!H121="",計分!$AP121=""),"",計分!$AP121-計分!H121)</f>
        <v/>
      </c>
      <c r="I121">
        <f>IF(OR(計分!I121="",計分!$AP121=""),"",計分!$AP121-計分!I121)</f>
        <v/>
      </c>
      <c r="J121">
        <f>IF(OR(計分!J121="",計分!$AP121=""),"",計分!$AP121-計分!J121)</f>
        <v/>
      </c>
      <c r="K121">
        <f>IF(OR(計分!K121="",計分!$AP121=""),"",計分!$AP121-計分!K121)</f>
        <v/>
      </c>
      <c r="L121">
        <f>IF(OR(計分!L121="",計分!$AP121=""),"",計分!$AP121-計分!L121)</f>
        <v/>
      </c>
      <c r="M121">
        <f>IF(OR(計分!M121="",計分!$AP121=""),"",計分!$AP121-計分!M121)</f>
        <v/>
      </c>
      <c r="N121">
        <f>IF(OR(計分!N121="",計分!$AP121=""),"",計分!$AP121-計分!N121)</f>
        <v/>
      </c>
      <c r="O121">
        <f>IF(OR(計分!O121="",計分!$AP121=""),"",計分!$AP121-計分!O121)</f>
        <v/>
      </c>
      <c r="P121">
        <f>IF(OR(計分!P121="",計分!$AP121=""),"",計分!$AP121-計分!P121)</f>
        <v/>
      </c>
      <c r="Q121">
        <f>IF(OR(計分!Q121="",計分!$AP121=""),"",計分!$AP121-計分!Q121)</f>
        <v/>
      </c>
      <c r="R121">
        <f>IF(OR(計分!R121="",計分!$AP121=""),"",計分!$AP121-計分!R121)</f>
        <v/>
      </c>
      <c r="S121">
        <f>IF(OR(計分!S121="",計分!$AP121=""),"",計分!$AP121-計分!S121)</f>
        <v/>
      </c>
      <c r="T121">
        <f>IF(OR(計分!T121="",計分!$AP121=""),"",計分!$AP121-計分!T121)</f>
        <v/>
      </c>
      <c r="U121">
        <f>IF(OR(計分!U121="",計分!$AP121=""),"",計分!$AP121-計分!U121)</f>
        <v/>
      </c>
      <c r="V121">
        <f>IF(OR(計分!V121="",計分!$AP121=""),"",計分!$AP121-計分!V121)</f>
        <v/>
      </c>
      <c r="W121">
        <f>IF(OR(計分!W121="",計分!$AP121=""),"",計分!$AP121-計分!W121)</f>
        <v/>
      </c>
      <c r="X121">
        <f>IF(OR(計分!X121="",計分!$AP121=""),"",計分!$AP121-計分!X121)</f>
        <v/>
      </c>
      <c r="Y121">
        <f>IF(OR(計分!Y121="",計分!$AP121=""),"",計分!$AP121-計分!Y121)</f>
        <v/>
      </c>
      <c r="Z121">
        <f>IF(OR(計分!Z121="",計分!$AP121=""),"",計分!$AP121-計分!Z121)</f>
        <v/>
      </c>
      <c r="AA121">
        <f>IF(OR(計分!AA121="",計分!$AP121=""),"",計分!$AP121-計分!AA121)</f>
        <v/>
      </c>
      <c r="AB121">
        <f>IF(OR(計分!AB121="",計分!$AP121=""),"",計分!$AP121-計分!AB121)</f>
        <v/>
      </c>
      <c r="AC121">
        <f>IF(OR(計分!AC121="",計分!$AP121=""),"",計分!$AP121-計分!AC121)</f>
        <v/>
      </c>
      <c r="AD121">
        <f>IF(OR(計分!AD121="",計分!$AP121=""),"",計分!$AP121-計分!AD121)</f>
        <v/>
      </c>
      <c r="AE121">
        <f>IF(OR(計分!AE121="",計分!$AP121=""),"",計分!$AP121-計分!AE121)</f>
        <v/>
      </c>
      <c r="AF121">
        <f>IF(OR(計分!AF121="",計分!$AP121=""),"",計分!$AP121-計分!AF121)</f>
        <v/>
      </c>
      <c r="AG121">
        <f>IF(OR(計分!AG121="",計分!$AP121=""),"",計分!$AP121-計分!AG121)</f>
        <v/>
      </c>
      <c r="AH121">
        <f>IF(OR(計分!AH121="",計分!$AP121=""),"",計分!$AP121-計分!AH121)</f>
        <v/>
      </c>
      <c r="AI121">
        <f>IF(OR(計分!AI121="",計分!$AP121=""),"",計分!$AP121-計分!AI121)</f>
        <v/>
      </c>
      <c r="AJ121">
        <f>IF(OR(計分!AJ121="",計分!$AP121=""),"",計分!$AP121-計分!AJ121)</f>
        <v/>
      </c>
      <c r="AK121">
        <f>IF(OR(計分!AK121="",計分!$AP121=""),"",計分!$AP121-計分!AK121)</f>
        <v/>
      </c>
      <c r="AL121">
        <f>IF(OR(計分!AL121="",計分!$AP121=""),"",計分!$AP121-計分!AL121)</f>
        <v/>
      </c>
      <c r="AM121">
        <f>IF(OR(計分!AM121="",計分!$AP121=""),"",計分!$AP121-計分!AM121)</f>
        <v/>
      </c>
      <c r="AN121">
        <f>IF(OR(計分!AN121="",計分!$AP121=""),"",計分!$AP121-計分!AN121)</f>
        <v/>
      </c>
      <c r="AO121">
        <f>IF(OR(計分!AO121="",計分!$AP121=""),"",計分!$AP121-計分!AO121)</f>
        <v/>
      </c>
    </row>
    <row r="122">
      <c r="A122">
        <f>計分!A122</f>
        <v/>
      </c>
      <c r="B122">
        <f>IF(OR(計分!B122="",計分!$AP122=""),"",計分!$AP122-計分!B122)</f>
        <v/>
      </c>
      <c r="C122">
        <f>IF(OR(計分!C122="",計分!$AP122=""),"",計分!$AP122-計分!C122)</f>
        <v/>
      </c>
      <c r="D122">
        <f>IF(OR(計分!D122="",計分!$AP122=""),"",計分!$AP122-計分!D122)</f>
        <v/>
      </c>
      <c r="E122">
        <f>IF(OR(計分!E122="",計分!$AP122=""),"",計分!$AP122-計分!E122)</f>
        <v/>
      </c>
      <c r="F122">
        <f>IF(OR(計分!F122="",計分!$AP122=""),"",計分!$AP122-計分!F122)</f>
        <v/>
      </c>
      <c r="G122">
        <f>IF(OR(計分!G122="",計分!$AP122=""),"",計分!$AP122-計分!G122)</f>
        <v/>
      </c>
      <c r="H122">
        <f>IF(OR(計分!H122="",計分!$AP122=""),"",計分!$AP122-計分!H122)</f>
        <v/>
      </c>
      <c r="I122">
        <f>IF(OR(計分!I122="",計分!$AP122=""),"",計分!$AP122-計分!I122)</f>
        <v/>
      </c>
      <c r="J122">
        <f>IF(OR(計分!J122="",計分!$AP122=""),"",計分!$AP122-計分!J122)</f>
        <v/>
      </c>
      <c r="K122">
        <f>IF(OR(計分!K122="",計分!$AP122=""),"",計分!$AP122-計分!K122)</f>
        <v/>
      </c>
      <c r="L122">
        <f>IF(OR(計分!L122="",計分!$AP122=""),"",計分!$AP122-計分!L122)</f>
        <v/>
      </c>
      <c r="M122">
        <f>IF(OR(計分!M122="",計分!$AP122=""),"",計分!$AP122-計分!M122)</f>
        <v/>
      </c>
      <c r="N122">
        <f>IF(OR(計分!N122="",計分!$AP122=""),"",計分!$AP122-計分!N122)</f>
        <v/>
      </c>
      <c r="O122">
        <f>IF(OR(計分!O122="",計分!$AP122=""),"",計分!$AP122-計分!O122)</f>
        <v/>
      </c>
      <c r="P122">
        <f>IF(OR(計分!P122="",計分!$AP122=""),"",計分!$AP122-計分!P122)</f>
        <v/>
      </c>
      <c r="Q122">
        <f>IF(OR(計分!Q122="",計分!$AP122=""),"",計分!$AP122-計分!Q122)</f>
        <v/>
      </c>
      <c r="R122">
        <f>IF(OR(計分!R122="",計分!$AP122=""),"",計分!$AP122-計分!R122)</f>
        <v/>
      </c>
      <c r="S122">
        <f>IF(OR(計分!S122="",計分!$AP122=""),"",計分!$AP122-計分!S122)</f>
        <v/>
      </c>
      <c r="T122">
        <f>IF(OR(計分!T122="",計分!$AP122=""),"",計分!$AP122-計分!T122)</f>
        <v/>
      </c>
      <c r="U122">
        <f>IF(OR(計分!U122="",計分!$AP122=""),"",計分!$AP122-計分!U122)</f>
        <v/>
      </c>
      <c r="V122">
        <f>IF(OR(計分!V122="",計分!$AP122=""),"",計分!$AP122-計分!V122)</f>
        <v/>
      </c>
      <c r="W122">
        <f>IF(OR(計分!W122="",計分!$AP122=""),"",計分!$AP122-計分!W122)</f>
        <v/>
      </c>
      <c r="X122">
        <f>IF(OR(計分!X122="",計分!$AP122=""),"",計分!$AP122-計分!X122)</f>
        <v/>
      </c>
      <c r="Y122">
        <f>IF(OR(計分!Y122="",計分!$AP122=""),"",計分!$AP122-計分!Y122)</f>
        <v/>
      </c>
      <c r="Z122">
        <f>IF(OR(計分!Z122="",計分!$AP122=""),"",計分!$AP122-計分!Z122)</f>
        <v/>
      </c>
      <c r="AA122">
        <f>IF(OR(計分!AA122="",計分!$AP122=""),"",計分!$AP122-計分!AA122)</f>
        <v/>
      </c>
      <c r="AB122">
        <f>IF(OR(計分!AB122="",計分!$AP122=""),"",計分!$AP122-計分!AB122)</f>
        <v/>
      </c>
      <c r="AC122">
        <f>IF(OR(計分!AC122="",計分!$AP122=""),"",計分!$AP122-計分!AC122)</f>
        <v/>
      </c>
      <c r="AD122">
        <f>IF(OR(計分!AD122="",計分!$AP122=""),"",計分!$AP122-計分!AD122)</f>
        <v/>
      </c>
      <c r="AE122">
        <f>IF(OR(計分!AE122="",計分!$AP122=""),"",計分!$AP122-計分!AE122)</f>
        <v/>
      </c>
      <c r="AF122">
        <f>IF(OR(計分!AF122="",計分!$AP122=""),"",計分!$AP122-計分!AF122)</f>
        <v/>
      </c>
      <c r="AG122">
        <f>IF(OR(計分!AG122="",計分!$AP122=""),"",計分!$AP122-計分!AG122)</f>
        <v/>
      </c>
      <c r="AH122">
        <f>IF(OR(計分!AH122="",計分!$AP122=""),"",計分!$AP122-計分!AH122)</f>
        <v/>
      </c>
      <c r="AI122">
        <f>IF(OR(計分!AI122="",計分!$AP122=""),"",計分!$AP122-計分!AI122)</f>
        <v/>
      </c>
      <c r="AJ122">
        <f>IF(OR(計分!AJ122="",計分!$AP122=""),"",計分!$AP122-計分!AJ122)</f>
        <v/>
      </c>
      <c r="AK122">
        <f>IF(OR(計分!AK122="",計分!$AP122=""),"",計分!$AP122-計分!AK122)</f>
        <v/>
      </c>
      <c r="AL122">
        <f>IF(OR(計分!AL122="",計分!$AP122=""),"",計分!$AP122-計分!AL122)</f>
        <v/>
      </c>
      <c r="AM122">
        <f>IF(OR(計分!AM122="",計分!$AP122=""),"",計分!$AP122-計分!AM122)</f>
        <v/>
      </c>
      <c r="AN122">
        <f>IF(OR(計分!AN122="",計分!$AP122=""),"",計分!$AP122-計分!AN122)</f>
        <v/>
      </c>
      <c r="AO122">
        <f>IF(OR(計分!AO122="",計分!$AP122=""),"",計分!$AP122-計分!AO122)</f>
        <v/>
      </c>
    </row>
    <row r="123">
      <c r="A123">
        <f>計分!A123</f>
        <v/>
      </c>
      <c r="B123">
        <f>IF(OR(計分!B123="",計分!$AP123=""),"",計分!$AP123-計分!B123)</f>
        <v/>
      </c>
      <c r="C123">
        <f>IF(OR(計分!C123="",計分!$AP123=""),"",計分!$AP123-計分!C123)</f>
        <v/>
      </c>
      <c r="D123">
        <f>IF(OR(計分!D123="",計分!$AP123=""),"",計分!$AP123-計分!D123)</f>
        <v/>
      </c>
      <c r="E123">
        <f>IF(OR(計分!E123="",計分!$AP123=""),"",計分!$AP123-計分!E123)</f>
        <v/>
      </c>
      <c r="F123">
        <f>IF(OR(計分!F123="",計分!$AP123=""),"",計分!$AP123-計分!F123)</f>
        <v/>
      </c>
      <c r="G123">
        <f>IF(OR(計分!G123="",計分!$AP123=""),"",計分!$AP123-計分!G123)</f>
        <v/>
      </c>
      <c r="H123">
        <f>IF(OR(計分!H123="",計分!$AP123=""),"",計分!$AP123-計分!H123)</f>
        <v/>
      </c>
      <c r="I123">
        <f>IF(OR(計分!I123="",計分!$AP123=""),"",計分!$AP123-計分!I123)</f>
        <v/>
      </c>
      <c r="J123">
        <f>IF(OR(計分!J123="",計分!$AP123=""),"",計分!$AP123-計分!J123)</f>
        <v/>
      </c>
      <c r="K123">
        <f>IF(OR(計分!K123="",計分!$AP123=""),"",計分!$AP123-計分!K123)</f>
        <v/>
      </c>
      <c r="L123">
        <f>IF(OR(計分!L123="",計分!$AP123=""),"",計分!$AP123-計分!L123)</f>
        <v/>
      </c>
      <c r="M123">
        <f>IF(OR(計分!M123="",計分!$AP123=""),"",計分!$AP123-計分!M123)</f>
        <v/>
      </c>
      <c r="N123">
        <f>IF(OR(計分!N123="",計分!$AP123=""),"",計分!$AP123-計分!N123)</f>
        <v/>
      </c>
      <c r="O123">
        <f>IF(OR(計分!O123="",計分!$AP123=""),"",計分!$AP123-計分!O123)</f>
        <v/>
      </c>
      <c r="P123">
        <f>IF(OR(計分!P123="",計分!$AP123=""),"",計分!$AP123-計分!P123)</f>
        <v/>
      </c>
      <c r="Q123">
        <f>IF(OR(計分!Q123="",計分!$AP123=""),"",計分!$AP123-計分!Q123)</f>
        <v/>
      </c>
      <c r="R123">
        <f>IF(OR(計分!R123="",計分!$AP123=""),"",計分!$AP123-計分!R123)</f>
        <v/>
      </c>
      <c r="S123">
        <f>IF(OR(計分!S123="",計分!$AP123=""),"",計分!$AP123-計分!S123)</f>
        <v/>
      </c>
      <c r="T123">
        <f>IF(OR(計分!T123="",計分!$AP123=""),"",計分!$AP123-計分!T123)</f>
        <v/>
      </c>
      <c r="U123">
        <f>IF(OR(計分!U123="",計分!$AP123=""),"",計分!$AP123-計分!U123)</f>
        <v/>
      </c>
      <c r="V123">
        <f>IF(OR(計分!V123="",計分!$AP123=""),"",計分!$AP123-計分!V123)</f>
        <v/>
      </c>
      <c r="W123">
        <f>IF(OR(計分!W123="",計分!$AP123=""),"",計分!$AP123-計分!W123)</f>
        <v/>
      </c>
      <c r="X123">
        <f>IF(OR(計分!X123="",計分!$AP123=""),"",計分!$AP123-計分!X123)</f>
        <v/>
      </c>
      <c r="Y123">
        <f>IF(OR(計分!Y123="",計分!$AP123=""),"",計分!$AP123-計分!Y123)</f>
        <v/>
      </c>
      <c r="Z123">
        <f>IF(OR(計分!Z123="",計分!$AP123=""),"",計分!$AP123-計分!Z123)</f>
        <v/>
      </c>
      <c r="AA123">
        <f>IF(OR(計分!AA123="",計分!$AP123=""),"",計分!$AP123-計分!AA123)</f>
        <v/>
      </c>
      <c r="AB123">
        <f>IF(OR(計分!AB123="",計分!$AP123=""),"",計分!$AP123-計分!AB123)</f>
        <v/>
      </c>
      <c r="AC123">
        <f>IF(OR(計分!AC123="",計分!$AP123=""),"",計分!$AP123-計分!AC123)</f>
        <v/>
      </c>
      <c r="AD123">
        <f>IF(OR(計分!AD123="",計分!$AP123=""),"",計分!$AP123-計分!AD123)</f>
        <v/>
      </c>
      <c r="AE123">
        <f>IF(OR(計分!AE123="",計分!$AP123=""),"",計分!$AP123-計分!AE123)</f>
        <v/>
      </c>
      <c r="AF123">
        <f>IF(OR(計分!AF123="",計分!$AP123=""),"",計分!$AP123-計分!AF123)</f>
        <v/>
      </c>
      <c r="AG123">
        <f>IF(OR(計分!AG123="",計分!$AP123=""),"",計分!$AP123-計分!AG123)</f>
        <v/>
      </c>
      <c r="AH123">
        <f>IF(OR(計分!AH123="",計分!$AP123=""),"",計分!$AP123-計分!AH123)</f>
        <v/>
      </c>
      <c r="AI123">
        <f>IF(OR(計分!AI123="",計分!$AP123=""),"",計分!$AP123-計分!AI123)</f>
        <v/>
      </c>
      <c r="AJ123">
        <f>IF(OR(計分!AJ123="",計分!$AP123=""),"",計分!$AP123-計分!AJ123)</f>
        <v/>
      </c>
      <c r="AK123">
        <f>IF(OR(計分!AK123="",計分!$AP123=""),"",計分!$AP123-計分!AK123)</f>
        <v/>
      </c>
      <c r="AL123">
        <f>IF(OR(計分!AL123="",計分!$AP123=""),"",計分!$AP123-計分!AL123)</f>
        <v/>
      </c>
      <c r="AM123">
        <f>IF(OR(計分!AM123="",計分!$AP123=""),"",計分!$AP123-計分!AM123)</f>
        <v/>
      </c>
      <c r="AN123">
        <f>IF(OR(計分!AN123="",計分!$AP123=""),"",計分!$AP123-計分!AN123)</f>
        <v/>
      </c>
      <c r="AO123">
        <f>IF(OR(計分!AO123="",計分!$AP123=""),"",計分!$AP123-計分!AO123)</f>
        <v/>
      </c>
    </row>
    <row r="124">
      <c r="A124">
        <f>計分!A124</f>
        <v/>
      </c>
      <c r="B124">
        <f>IF(OR(計分!B124="",計分!$AP124=""),"",計分!$AP124-計分!B124)</f>
        <v/>
      </c>
      <c r="C124">
        <f>IF(OR(計分!C124="",計分!$AP124=""),"",計分!$AP124-計分!C124)</f>
        <v/>
      </c>
      <c r="D124">
        <f>IF(OR(計分!D124="",計分!$AP124=""),"",計分!$AP124-計分!D124)</f>
        <v/>
      </c>
      <c r="E124">
        <f>IF(OR(計分!E124="",計分!$AP124=""),"",計分!$AP124-計分!E124)</f>
        <v/>
      </c>
      <c r="F124">
        <f>IF(OR(計分!F124="",計分!$AP124=""),"",計分!$AP124-計分!F124)</f>
        <v/>
      </c>
      <c r="G124">
        <f>IF(OR(計分!G124="",計分!$AP124=""),"",計分!$AP124-計分!G124)</f>
        <v/>
      </c>
      <c r="H124">
        <f>IF(OR(計分!H124="",計分!$AP124=""),"",計分!$AP124-計分!H124)</f>
        <v/>
      </c>
      <c r="I124">
        <f>IF(OR(計分!I124="",計分!$AP124=""),"",計分!$AP124-計分!I124)</f>
        <v/>
      </c>
      <c r="J124">
        <f>IF(OR(計分!J124="",計分!$AP124=""),"",計分!$AP124-計分!J124)</f>
        <v/>
      </c>
      <c r="K124">
        <f>IF(OR(計分!K124="",計分!$AP124=""),"",計分!$AP124-計分!K124)</f>
        <v/>
      </c>
      <c r="L124">
        <f>IF(OR(計分!L124="",計分!$AP124=""),"",計分!$AP124-計分!L124)</f>
        <v/>
      </c>
      <c r="M124">
        <f>IF(OR(計分!M124="",計分!$AP124=""),"",計分!$AP124-計分!M124)</f>
        <v/>
      </c>
      <c r="N124">
        <f>IF(OR(計分!N124="",計分!$AP124=""),"",計分!$AP124-計分!N124)</f>
        <v/>
      </c>
      <c r="O124">
        <f>IF(OR(計分!O124="",計分!$AP124=""),"",計分!$AP124-計分!O124)</f>
        <v/>
      </c>
      <c r="P124">
        <f>IF(OR(計分!P124="",計分!$AP124=""),"",計分!$AP124-計分!P124)</f>
        <v/>
      </c>
      <c r="Q124">
        <f>IF(OR(計分!Q124="",計分!$AP124=""),"",計分!$AP124-計分!Q124)</f>
        <v/>
      </c>
      <c r="R124">
        <f>IF(OR(計分!R124="",計分!$AP124=""),"",計分!$AP124-計分!R124)</f>
        <v/>
      </c>
      <c r="S124">
        <f>IF(OR(計分!S124="",計分!$AP124=""),"",計分!$AP124-計分!S124)</f>
        <v/>
      </c>
      <c r="T124">
        <f>IF(OR(計分!T124="",計分!$AP124=""),"",計分!$AP124-計分!T124)</f>
        <v/>
      </c>
      <c r="U124">
        <f>IF(OR(計分!U124="",計分!$AP124=""),"",計分!$AP124-計分!U124)</f>
        <v/>
      </c>
      <c r="V124">
        <f>IF(OR(計分!V124="",計分!$AP124=""),"",計分!$AP124-計分!V124)</f>
        <v/>
      </c>
      <c r="W124">
        <f>IF(OR(計分!W124="",計分!$AP124=""),"",計分!$AP124-計分!W124)</f>
        <v/>
      </c>
      <c r="X124">
        <f>IF(OR(計分!X124="",計分!$AP124=""),"",計分!$AP124-計分!X124)</f>
        <v/>
      </c>
      <c r="Y124">
        <f>IF(OR(計分!Y124="",計分!$AP124=""),"",計分!$AP124-計分!Y124)</f>
        <v/>
      </c>
      <c r="Z124">
        <f>IF(OR(計分!Z124="",計分!$AP124=""),"",計分!$AP124-計分!Z124)</f>
        <v/>
      </c>
      <c r="AA124">
        <f>IF(OR(計分!AA124="",計分!$AP124=""),"",計分!$AP124-計分!AA124)</f>
        <v/>
      </c>
      <c r="AB124">
        <f>IF(OR(計分!AB124="",計分!$AP124=""),"",計分!$AP124-計分!AB124)</f>
        <v/>
      </c>
      <c r="AC124">
        <f>IF(OR(計分!AC124="",計分!$AP124=""),"",計分!$AP124-計分!AC124)</f>
        <v/>
      </c>
      <c r="AD124">
        <f>IF(OR(計分!AD124="",計分!$AP124=""),"",計分!$AP124-計分!AD124)</f>
        <v/>
      </c>
      <c r="AE124">
        <f>IF(OR(計分!AE124="",計分!$AP124=""),"",計分!$AP124-計分!AE124)</f>
        <v/>
      </c>
      <c r="AF124">
        <f>IF(OR(計分!AF124="",計分!$AP124=""),"",計分!$AP124-計分!AF124)</f>
        <v/>
      </c>
      <c r="AG124">
        <f>IF(OR(計分!AG124="",計分!$AP124=""),"",計分!$AP124-計分!AG124)</f>
        <v/>
      </c>
      <c r="AH124">
        <f>IF(OR(計分!AH124="",計分!$AP124=""),"",計分!$AP124-計分!AH124)</f>
        <v/>
      </c>
      <c r="AI124">
        <f>IF(OR(計分!AI124="",計分!$AP124=""),"",計分!$AP124-計分!AI124)</f>
        <v/>
      </c>
      <c r="AJ124">
        <f>IF(OR(計分!AJ124="",計分!$AP124=""),"",計分!$AP124-計分!AJ124)</f>
        <v/>
      </c>
      <c r="AK124">
        <f>IF(OR(計分!AK124="",計分!$AP124=""),"",計分!$AP124-計分!AK124)</f>
        <v/>
      </c>
      <c r="AL124">
        <f>IF(OR(計分!AL124="",計分!$AP124=""),"",計分!$AP124-計分!AL124)</f>
        <v/>
      </c>
      <c r="AM124">
        <f>IF(OR(計分!AM124="",計分!$AP124=""),"",計分!$AP124-計分!AM124)</f>
        <v/>
      </c>
      <c r="AN124">
        <f>IF(OR(計分!AN124="",計分!$AP124=""),"",計分!$AP124-計分!AN124)</f>
        <v/>
      </c>
      <c r="AO124">
        <f>IF(OR(計分!AO124="",計分!$AP124=""),"",計分!$AP124-計分!AO124)</f>
        <v/>
      </c>
    </row>
    <row r="125">
      <c r="A125">
        <f>計分!A125</f>
        <v/>
      </c>
      <c r="B125">
        <f>IF(OR(計分!B125="",計分!$AP125=""),"",計分!$AP125-計分!B125)</f>
        <v/>
      </c>
      <c r="C125">
        <f>IF(OR(計分!C125="",計分!$AP125=""),"",計分!$AP125-計分!C125)</f>
        <v/>
      </c>
      <c r="D125">
        <f>IF(OR(計分!D125="",計分!$AP125=""),"",計分!$AP125-計分!D125)</f>
        <v/>
      </c>
      <c r="E125">
        <f>IF(OR(計分!E125="",計分!$AP125=""),"",計分!$AP125-計分!E125)</f>
        <v/>
      </c>
      <c r="F125">
        <f>IF(OR(計分!F125="",計分!$AP125=""),"",計分!$AP125-計分!F125)</f>
        <v/>
      </c>
      <c r="G125">
        <f>IF(OR(計分!G125="",計分!$AP125=""),"",計分!$AP125-計分!G125)</f>
        <v/>
      </c>
      <c r="H125">
        <f>IF(OR(計分!H125="",計分!$AP125=""),"",計分!$AP125-計分!H125)</f>
        <v/>
      </c>
      <c r="I125">
        <f>IF(OR(計分!I125="",計分!$AP125=""),"",計分!$AP125-計分!I125)</f>
        <v/>
      </c>
      <c r="J125">
        <f>IF(OR(計分!J125="",計分!$AP125=""),"",計分!$AP125-計分!J125)</f>
        <v/>
      </c>
      <c r="K125">
        <f>IF(OR(計分!K125="",計分!$AP125=""),"",計分!$AP125-計分!K125)</f>
        <v/>
      </c>
      <c r="L125">
        <f>IF(OR(計分!L125="",計分!$AP125=""),"",計分!$AP125-計分!L125)</f>
        <v/>
      </c>
      <c r="M125">
        <f>IF(OR(計分!M125="",計分!$AP125=""),"",計分!$AP125-計分!M125)</f>
        <v/>
      </c>
      <c r="N125">
        <f>IF(OR(計分!N125="",計分!$AP125=""),"",計分!$AP125-計分!N125)</f>
        <v/>
      </c>
      <c r="O125">
        <f>IF(OR(計分!O125="",計分!$AP125=""),"",計分!$AP125-計分!O125)</f>
        <v/>
      </c>
      <c r="P125">
        <f>IF(OR(計分!P125="",計分!$AP125=""),"",計分!$AP125-計分!P125)</f>
        <v/>
      </c>
      <c r="Q125">
        <f>IF(OR(計分!Q125="",計分!$AP125=""),"",計分!$AP125-計分!Q125)</f>
        <v/>
      </c>
      <c r="R125">
        <f>IF(OR(計分!R125="",計分!$AP125=""),"",計分!$AP125-計分!R125)</f>
        <v/>
      </c>
      <c r="S125">
        <f>IF(OR(計分!S125="",計分!$AP125=""),"",計分!$AP125-計分!S125)</f>
        <v/>
      </c>
      <c r="T125">
        <f>IF(OR(計分!T125="",計分!$AP125=""),"",計分!$AP125-計分!T125)</f>
        <v/>
      </c>
      <c r="U125">
        <f>IF(OR(計分!U125="",計分!$AP125=""),"",計分!$AP125-計分!U125)</f>
        <v/>
      </c>
      <c r="V125">
        <f>IF(OR(計分!V125="",計分!$AP125=""),"",計分!$AP125-計分!V125)</f>
        <v/>
      </c>
      <c r="W125">
        <f>IF(OR(計分!W125="",計分!$AP125=""),"",計分!$AP125-計分!W125)</f>
        <v/>
      </c>
      <c r="X125">
        <f>IF(OR(計分!X125="",計分!$AP125=""),"",計分!$AP125-計分!X125)</f>
        <v/>
      </c>
      <c r="Y125">
        <f>IF(OR(計分!Y125="",計分!$AP125=""),"",計分!$AP125-計分!Y125)</f>
        <v/>
      </c>
      <c r="Z125">
        <f>IF(OR(計分!Z125="",計分!$AP125=""),"",計分!$AP125-計分!Z125)</f>
        <v/>
      </c>
      <c r="AA125">
        <f>IF(OR(計分!AA125="",計分!$AP125=""),"",計分!$AP125-計分!AA125)</f>
        <v/>
      </c>
      <c r="AB125">
        <f>IF(OR(計分!AB125="",計分!$AP125=""),"",計分!$AP125-計分!AB125)</f>
        <v/>
      </c>
      <c r="AC125">
        <f>IF(OR(計分!AC125="",計分!$AP125=""),"",計分!$AP125-計分!AC125)</f>
        <v/>
      </c>
      <c r="AD125">
        <f>IF(OR(計分!AD125="",計分!$AP125=""),"",計分!$AP125-計分!AD125)</f>
        <v/>
      </c>
      <c r="AE125">
        <f>IF(OR(計分!AE125="",計分!$AP125=""),"",計分!$AP125-計分!AE125)</f>
        <v/>
      </c>
      <c r="AF125">
        <f>IF(OR(計分!AF125="",計分!$AP125=""),"",計分!$AP125-計分!AF125)</f>
        <v/>
      </c>
      <c r="AG125">
        <f>IF(OR(計分!AG125="",計分!$AP125=""),"",計分!$AP125-計分!AG125)</f>
        <v/>
      </c>
      <c r="AH125">
        <f>IF(OR(計分!AH125="",計分!$AP125=""),"",計分!$AP125-計分!AH125)</f>
        <v/>
      </c>
      <c r="AI125">
        <f>IF(OR(計分!AI125="",計分!$AP125=""),"",計分!$AP125-計分!AI125)</f>
        <v/>
      </c>
      <c r="AJ125">
        <f>IF(OR(計分!AJ125="",計分!$AP125=""),"",計分!$AP125-計分!AJ125)</f>
        <v/>
      </c>
      <c r="AK125">
        <f>IF(OR(計分!AK125="",計分!$AP125=""),"",計分!$AP125-計分!AK125)</f>
        <v/>
      </c>
      <c r="AL125">
        <f>IF(OR(計分!AL125="",計分!$AP125=""),"",計分!$AP125-計分!AL125)</f>
        <v/>
      </c>
      <c r="AM125">
        <f>IF(OR(計分!AM125="",計分!$AP125=""),"",計分!$AP125-計分!AM125)</f>
        <v/>
      </c>
      <c r="AN125">
        <f>IF(OR(計分!AN125="",計分!$AP125=""),"",計分!$AP125-計分!AN125)</f>
        <v/>
      </c>
      <c r="AO125">
        <f>IF(OR(計分!AO125="",計分!$AP125=""),"",計分!$AP125-計分!AO125)</f>
        <v/>
      </c>
    </row>
    <row r="126">
      <c r="A126">
        <f>計分!A126</f>
        <v/>
      </c>
      <c r="B126">
        <f>IF(OR(計分!B126="",計分!$AP126=""),"",計分!$AP126-計分!B126)</f>
        <v/>
      </c>
      <c r="C126">
        <f>IF(OR(計分!C126="",計分!$AP126=""),"",計分!$AP126-計分!C126)</f>
        <v/>
      </c>
      <c r="D126">
        <f>IF(OR(計分!D126="",計分!$AP126=""),"",計分!$AP126-計分!D126)</f>
        <v/>
      </c>
      <c r="E126">
        <f>IF(OR(計分!E126="",計分!$AP126=""),"",計分!$AP126-計分!E126)</f>
        <v/>
      </c>
      <c r="F126">
        <f>IF(OR(計分!F126="",計分!$AP126=""),"",計分!$AP126-計分!F126)</f>
        <v/>
      </c>
      <c r="G126">
        <f>IF(OR(計分!G126="",計分!$AP126=""),"",計分!$AP126-計分!G126)</f>
        <v/>
      </c>
      <c r="H126">
        <f>IF(OR(計分!H126="",計分!$AP126=""),"",計分!$AP126-計分!H126)</f>
        <v/>
      </c>
      <c r="I126">
        <f>IF(OR(計分!I126="",計分!$AP126=""),"",計分!$AP126-計分!I126)</f>
        <v/>
      </c>
      <c r="J126">
        <f>IF(OR(計分!J126="",計分!$AP126=""),"",計分!$AP126-計分!J126)</f>
        <v/>
      </c>
      <c r="K126">
        <f>IF(OR(計分!K126="",計分!$AP126=""),"",計分!$AP126-計分!K126)</f>
        <v/>
      </c>
      <c r="L126">
        <f>IF(OR(計分!L126="",計分!$AP126=""),"",計分!$AP126-計分!L126)</f>
        <v/>
      </c>
      <c r="M126">
        <f>IF(OR(計分!M126="",計分!$AP126=""),"",計分!$AP126-計分!M126)</f>
        <v/>
      </c>
      <c r="N126">
        <f>IF(OR(計分!N126="",計分!$AP126=""),"",計分!$AP126-計分!N126)</f>
        <v/>
      </c>
      <c r="O126">
        <f>IF(OR(計分!O126="",計分!$AP126=""),"",計分!$AP126-計分!O126)</f>
        <v/>
      </c>
      <c r="P126">
        <f>IF(OR(計分!P126="",計分!$AP126=""),"",計分!$AP126-計分!P126)</f>
        <v/>
      </c>
      <c r="Q126">
        <f>IF(OR(計分!Q126="",計分!$AP126=""),"",計分!$AP126-計分!Q126)</f>
        <v/>
      </c>
      <c r="R126">
        <f>IF(OR(計分!R126="",計分!$AP126=""),"",計分!$AP126-計分!R126)</f>
        <v/>
      </c>
      <c r="S126">
        <f>IF(OR(計分!S126="",計分!$AP126=""),"",計分!$AP126-計分!S126)</f>
        <v/>
      </c>
      <c r="T126">
        <f>IF(OR(計分!T126="",計分!$AP126=""),"",計分!$AP126-計分!T126)</f>
        <v/>
      </c>
      <c r="U126">
        <f>IF(OR(計分!U126="",計分!$AP126=""),"",計分!$AP126-計分!U126)</f>
        <v/>
      </c>
      <c r="V126">
        <f>IF(OR(計分!V126="",計分!$AP126=""),"",計分!$AP126-計分!V126)</f>
        <v/>
      </c>
      <c r="W126">
        <f>IF(OR(計分!W126="",計分!$AP126=""),"",計分!$AP126-計分!W126)</f>
        <v/>
      </c>
      <c r="X126">
        <f>IF(OR(計分!X126="",計分!$AP126=""),"",計分!$AP126-計分!X126)</f>
        <v/>
      </c>
      <c r="Y126">
        <f>IF(OR(計分!Y126="",計分!$AP126=""),"",計分!$AP126-計分!Y126)</f>
        <v/>
      </c>
      <c r="Z126">
        <f>IF(OR(計分!Z126="",計分!$AP126=""),"",計分!$AP126-計分!Z126)</f>
        <v/>
      </c>
      <c r="AA126">
        <f>IF(OR(計分!AA126="",計分!$AP126=""),"",計分!$AP126-計分!AA126)</f>
        <v/>
      </c>
      <c r="AB126">
        <f>IF(OR(計分!AB126="",計分!$AP126=""),"",計分!$AP126-計分!AB126)</f>
        <v/>
      </c>
      <c r="AC126">
        <f>IF(OR(計分!AC126="",計分!$AP126=""),"",計分!$AP126-計分!AC126)</f>
        <v/>
      </c>
      <c r="AD126">
        <f>IF(OR(計分!AD126="",計分!$AP126=""),"",計分!$AP126-計分!AD126)</f>
        <v/>
      </c>
      <c r="AE126">
        <f>IF(OR(計分!AE126="",計分!$AP126=""),"",計分!$AP126-計分!AE126)</f>
        <v/>
      </c>
      <c r="AF126">
        <f>IF(OR(計分!AF126="",計分!$AP126=""),"",計分!$AP126-計分!AF126)</f>
        <v/>
      </c>
      <c r="AG126">
        <f>IF(OR(計分!AG126="",計分!$AP126=""),"",計分!$AP126-計分!AG126)</f>
        <v/>
      </c>
      <c r="AH126">
        <f>IF(OR(計分!AH126="",計分!$AP126=""),"",計分!$AP126-計分!AH126)</f>
        <v/>
      </c>
      <c r="AI126">
        <f>IF(OR(計分!AI126="",計分!$AP126=""),"",計分!$AP126-計分!AI126)</f>
        <v/>
      </c>
      <c r="AJ126">
        <f>IF(OR(計分!AJ126="",計分!$AP126=""),"",計分!$AP126-計分!AJ126)</f>
        <v/>
      </c>
      <c r="AK126">
        <f>IF(OR(計分!AK126="",計分!$AP126=""),"",計分!$AP126-計分!AK126)</f>
        <v/>
      </c>
      <c r="AL126">
        <f>IF(OR(計分!AL126="",計分!$AP126=""),"",計分!$AP126-計分!AL126)</f>
        <v/>
      </c>
      <c r="AM126">
        <f>IF(OR(計分!AM126="",計分!$AP126=""),"",計分!$AP126-計分!AM126)</f>
        <v/>
      </c>
      <c r="AN126">
        <f>IF(OR(計分!AN126="",計分!$AP126=""),"",計分!$AP126-計分!AN126)</f>
        <v/>
      </c>
      <c r="AO126">
        <f>IF(OR(計分!AO126="",計分!$AP126=""),"",計分!$AP126-計分!AO126)</f>
        <v/>
      </c>
    </row>
    <row r="127">
      <c r="A127">
        <f>計分!A127</f>
        <v/>
      </c>
      <c r="B127">
        <f>IF(OR(計分!B127="",計分!$AP127=""),"",計分!$AP127-計分!B127)</f>
        <v/>
      </c>
      <c r="C127">
        <f>IF(OR(計分!C127="",計分!$AP127=""),"",計分!$AP127-計分!C127)</f>
        <v/>
      </c>
      <c r="D127">
        <f>IF(OR(計分!D127="",計分!$AP127=""),"",計分!$AP127-計分!D127)</f>
        <v/>
      </c>
      <c r="E127">
        <f>IF(OR(計分!E127="",計分!$AP127=""),"",計分!$AP127-計分!E127)</f>
        <v/>
      </c>
      <c r="F127">
        <f>IF(OR(計分!F127="",計分!$AP127=""),"",計分!$AP127-計分!F127)</f>
        <v/>
      </c>
      <c r="G127">
        <f>IF(OR(計分!G127="",計分!$AP127=""),"",計分!$AP127-計分!G127)</f>
        <v/>
      </c>
      <c r="H127">
        <f>IF(OR(計分!H127="",計分!$AP127=""),"",計分!$AP127-計分!H127)</f>
        <v/>
      </c>
      <c r="I127">
        <f>IF(OR(計分!I127="",計分!$AP127=""),"",計分!$AP127-計分!I127)</f>
        <v/>
      </c>
      <c r="J127">
        <f>IF(OR(計分!J127="",計分!$AP127=""),"",計分!$AP127-計分!J127)</f>
        <v/>
      </c>
      <c r="K127">
        <f>IF(OR(計分!K127="",計分!$AP127=""),"",計分!$AP127-計分!K127)</f>
        <v/>
      </c>
      <c r="L127">
        <f>IF(OR(計分!L127="",計分!$AP127=""),"",計分!$AP127-計分!L127)</f>
        <v/>
      </c>
      <c r="M127">
        <f>IF(OR(計分!M127="",計分!$AP127=""),"",計分!$AP127-計分!M127)</f>
        <v/>
      </c>
      <c r="N127">
        <f>IF(OR(計分!N127="",計分!$AP127=""),"",計分!$AP127-計分!N127)</f>
        <v/>
      </c>
      <c r="O127">
        <f>IF(OR(計分!O127="",計分!$AP127=""),"",計分!$AP127-計分!O127)</f>
        <v/>
      </c>
      <c r="P127">
        <f>IF(OR(計分!P127="",計分!$AP127=""),"",計分!$AP127-計分!P127)</f>
        <v/>
      </c>
      <c r="Q127">
        <f>IF(OR(計分!Q127="",計分!$AP127=""),"",計分!$AP127-計分!Q127)</f>
        <v/>
      </c>
      <c r="R127">
        <f>IF(OR(計分!R127="",計分!$AP127=""),"",計分!$AP127-計分!R127)</f>
        <v/>
      </c>
      <c r="S127">
        <f>IF(OR(計分!S127="",計分!$AP127=""),"",計分!$AP127-計分!S127)</f>
        <v/>
      </c>
      <c r="T127">
        <f>IF(OR(計分!T127="",計分!$AP127=""),"",計分!$AP127-計分!T127)</f>
        <v/>
      </c>
      <c r="U127">
        <f>IF(OR(計分!U127="",計分!$AP127=""),"",計分!$AP127-計分!U127)</f>
        <v/>
      </c>
      <c r="V127">
        <f>IF(OR(計分!V127="",計分!$AP127=""),"",計分!$AP127-計分!V127)</f>
        <v/>
      </c>
      <c r="W127">
        <f>IF(OR(計分!W127="",計分!$AP127=""),"",計分!$AP127-計分!W127)</f>
        <v/>
      </c>
      <c r="X127">
        <f>IF(OR(計分!X127="",計分!$AP127=""),"",計分!$AP127-計分!X127)</f>
        <v/>
      </c>
      <c r="Y127">
        <f>IF(OR(計分!Y127="",計分!$AP127=""),"",計分!$AP127-計分!Y127)</f>
        <v/>
      </c>
      <c r="Z127">
        <f>IF(OR(計分!Z127="",計分!$AP127=""),"",計分!$AP127-計分!Z127)</f>
        <v/>
      </c>
      <c r="AA127">
        <f>IF(OR(計分!AA127="",計分!$AP127=""),"",計分!$AP127-計分!AA127)</f>
        <v/>
      </c>
      <c r="AB127">
        <f>IF(OR(計分!AB127="",計分!$AP127=""),"",計分!$AP127-計分!AB127)</f>
        <v/>
      </c>
      <c r="AC127">
        <f>IF(OR(計分!AC127="",計分!$AP127=""),"",計分!$AP127-計分!AC127)</f>
        <v/>
      </c>
      <c r="AD127">
        <f>IF(OR(計分!AD127="",計分!$AP127=""),"",計分!$AP127-計分!AD127)</f>
        <v/>
      </c>
      <c r="AE127">
        <f>IF(OR(計分!AE127="",計分!$AP127=""),"",計分!$AP127-計分!AE127)</f>
        <v/>
      </c>
      <c r="AF127">
        <f>IF(OR(計分!AF127="",計分!$AP127=""),"",計分!$AP127-計分!AF127)</f>
        <v/>
      </c>
      <c r="AG127">
        <f>IF(OR(計分!AG127="",計分!$AP127=""),"",計分!$AP127-計分!AG127)</f>
        <v/>
      </c>
      <c r="AH127">
        <f>IF(OR(計分!AH127="",計分!$AP127=""),"",計分!$AP127-計分!AH127)</f>
        <v/>
      </c>
      <c r="AI127">
        <f>IF(OR(計分!AI127="",計分!$AP127=""),"",計分!$AP127-計分!AI127)</f>
        <v/>
      </c>
      <c r="AJ127">
        <f>IF(OR(計分!AJ127="",計分!$AP127=""),"",計分!$AP127-計分!AJ127)</f>
        <v/>
      </c>
      <c r="AK127">
        <f>IF(OR(計分!AK127="",計分!$AP127=""),"",計分!$AP127-計分!AK127)</f>
        <v/>
      </c>
      <c r="AL127">
        <f>IF(OR(計分!AL127="",計分!$AP127=""),"",計分!$AP127-計分!AL127)</f>
        <v/>
      </c>
      <c r="AM127">
        <f>IF(OR(計分!AM127="",計分!$AP127=""),"",計分!$AP127-計分!AM127)</f>
        <v/>
      </c>
      <c r="AN127">
        <f>IF(OR(計分!AN127="",計分!$AP127=""),"",計分!$AP127-計分!AN127)</f>
        <v/>
      </c>
      <c r="AO127">
        <f>IF(OR(計分!AO127="",計分!$AP127=""),"",計分!$AP127-計分!AO127)</f>
        <v/>
      </c>
    </row>
    <row r="128">
      <c r="A128">
        <f>計分!A128</f>
        <v/>
      </c>
      <c r="B128">
        <f>IF(OR(計分!B128="",計分!$AP128=""),"",計分!$AP128-計分!B128)</f>
        <v/>
      </c>
      <c r="C128">
        <f>IF(OR(計分!C128="",計分!$AP128=""),"",計分!$AP128-計分!C128)</f>
        <v/>
      </c>
      <c r="D128">
        <f>IF(OR(計分!D128="",計分!$AP128=""),"",計分!$AP128-計分!D128)</f>
        <v/>
      </c>
      <c r="E128">
        <f>IF(OR(計分!E128="",計分!$AP128=""),"",計分!$AP128-計分!E128)</f>
        <v/>
      </c>
      <c r="F128">
        <f>IF(OR(計分!F128="",計分!$AP128=""),"",計分!$AP128-計分!F128)</f>
        <v/>
      </c>
      <c r="G128">
        <f>IF(OR(計分!G128="",計分!$AP128=""),"",計分!$AP128-計分!G128)</f>
        <v/>
      </c>
      <c r="H128">
        <f>IF(OR(計分!H128="",計分!$AP128=""),"",計分!$AP128-計分!H128)</f>
        <v/>
      </c>
      <c r="I128">
        <f>IF(OR(計分!I128="",計分!$AP128=""),"",計分!$AP128-計分!I128)</f>
        <v/>
      </c>
      <c r="J128">
        <f>IF(OR(計分!J128="",計分!$AP128=""),"",計分!$AP128-計分!J128)</f>
        <v/>
      </c>
      <c r="K128">
        <f>IF(OR(計分!K128="",計分!$AP128=""),"",計分!$AP128-計分!K128)</f>
        <v/>
      </c>
      <c r="L128">
        <f>IF(OR(計分!L128="",計分!$AP128=""),"",計分!$AP128-計分!L128)</f>
        <v/>
      </c>
      <c r="M128">
        <f>IF(OR(計分!M128="",計分!$AP128=""),"",計分!$AP128-計分!M128)</f>
        <v/>
      </c>
      <c r="N128">
        <f>IF(OR(計分!N128="",計分!$AP128=""),"",計分!$AP128-計分!N128)</f>
        <v/>
      </c>
      <c r="O128">
        <f>IF(OR(計分!O128="",計分!$AP128=""),"",計分!$AP128-計分!O128)</f>
        <v/>
      </c>
      <c r="P128">
        <f>IF(OR(計分!P128="",計分!$AP128=""),"",計分!$AP128-計分!P128)</f>
        <v/>
      </c>
      <c r="Q128">
        <f>IF(OR(計分!Q128="",計分!$AP128=""),"",計分!$AP128-計分!Q128)</f>
        <v/>
      </c>
      <c r="R128">
        <f>IF(OR(計分!R128="",計分!$AP128=""),"",計分!$AP128-計分!R128)</f>
        <v/>
      </c>
      <c r="S128">
        <f>IF(OR(計分!S128="",計分!$AP128=""),"",計分!$AP128-計分!S128)</f>
        <v/>
      </c>
      <c r="T128">
        <f>IF(OR(計分!T128="",計分!$AP128=""),"",計分!$AP128-計分!T128)</f>
        <v/>
      </c>
      <c r="U128">
        <f>IF(OR(計分!U128="",計分!$AP128=""),"",計分!$AP128-計分!U128)</f>
        <v/>
      </c>
      <c r="V128">
        <f>IF(OR(計分!V128="",計分!$AP128=""),"",計分!$AP128-計分!V128)</f>
        <v/>
      </c>
      <c r="W128">
        <f>IF(OR(計分!W128="",計分!$AP128=""),"",計分!$AP128-計分!W128)</f>
        <v/>
      </c>
      <c r="X128">
        <f>IF(OR(計分!X128="",計分!$AP128=""),"",計分!$AP128-計分!X128)</f>
        <v/>
      </c>
      <c r="Y128">
        <f>IF(OR(計分!Y128="",計分!$AP128=""),"",計分!$AP128-計分!Y128)</f>
        <v/>
      </c>
      <c r="Z128">
        <f>IF(OR(計分!Z128="",計分!$AP128=""),"",計分!$AP128-計分!Z128)</f>
        <v/>
      </c>
      <c r="AA128">
        <f>IF(OR(計分!AA128="",計分!$AP128=""),"",計分!$AP128-計分!AA128)</f>
        <v/>
      </c>
      <c r="AB128">
        <f>IF(OR(計分!AB128="",計分!$AP128=""),"",計分!$AP128-計分!AB128)</f>
        <v/>
      </c>
      <c r="AC128">
        <f>IF(OR(計分!AC128="",計分!$AP128=""),"",計分!$AP128-計分!AC128)</f>
        <v/>
      </c>
      <c r="AD128">
        <f>IF(OR(計分!AD128="",計分!$AP128=""),"",計分!$AP128-計分!AD128)</f>
        <v/>
      </c>
      <c r="AE128">
        <f>IF(OR(計分!AE128="",計分!$AP128=""),"",計分!$AP128-計分!AE128)</f>
        <v/>
      </c>
      <c r="AF128">
        <f>IF(OR(計分!AF128="",計分!$AP128=""),"",計分!$AP128-計分!AF128)</f>
        <v/>
      </c>
      <c r="AG128">
        <f>IF(OR(計分!AG128="",計分!$AP128=""),"",計分!$AP128-計分!AG128)</f>
        <v/>
      </c>
      <c r="AH128">
        <f>IF(OR(計分!AH128="",計分!$AP128=""),"",計分!$AP128-計分!AH128)</f>
        <v/>
      </c>
      <c r="AI128">
        <f>IF(OR(計分!AI128="",計分!$AP128=""),"",計分!$AP128-計分!AI128)</f>
        <v/>
      </c>
      <c r="AJ128">
        <f>IF(OR(計分!AJ128="",計分!$AP128=""),"",計分!$AP128-計分!AJ128)</f>
        <v/>
      </c>
      <c r="AK128">
        <f>IF(OR(計分!AK128="",計分!$AP128=""),"",計分!$AP128-計分!AK128)</f>
        <v/>
      </c>
      <c r="AL128">
        <f>IF(OR(計分!AL128="",計分!$AP128=""),"",計分!$AP128-計分!AL128)</f>
        <v/>
      </c>
      <c r="AM128">
        <f>IF(OR(計分!AM128="",計分!$AP128=""),"",計分!$AP128-計分!AM128)</f>
        <v/>
      </c>
      <c r="AN128">
        <f>IF(OR(計分!AN128="",計分!$AP128=""),"",計分!$AP128-計分!AN128)</f>
        <v/>
      </c>
      <c r="AO128">
        <f>IF(OR(計分!AO128="",計分!$AP128=""),"",計分!$AP128-計分!AO128)</f>
        <v/>
      </c>
    </row>
    <row r="129">
      <c r="A129">
        <f>計分!A129</f>
        <v/>
      </c>
      <c r="B129">
        <f>IF(OR(計分!B129="",計分!$AP129=""),"",計分!$AP129-計分!B129)</f>
        <v/>
      </c>
      <c r="C129">
        <f>IF(OR(計分!C129="",計分!$AP129=""),"",計分!$AP129-計分!C129)</f>
        <v/>
      </c>
      <c r="D129">
        <f>IF(OR(計分!D129="",計分!$AP129=""),"",計分!$AP129-計分!D129)</f>
        <v/>
      </c>
      <c r="E129">
        <f>IF(OR(計分!E129="",計分!$AP129=""),"",計分!$AP129-計分!E129)</f>
        <v/>
      </c>
      <c r="F129">
        <f>IF(OR(計分!F129="",計分!$AP129=""),"",計分!$AP129-計分!F129)</f>
        <v/>
      </c>
      <c r="G129">
        <f>IF(OR(計分!G129="",計分!$AP129=""),"",計分!$AP129-計分!G129)</f>
        <v/>
      </c>
      <c r="H129">
        <f>IF(OR(計分!H129="",計分!$AP129=""),"",計分!$AP129-計分!H129)</f>
        <v/>
      </c>
      <c r="I129">
        <f>IF(OR(計分!I129="",計分!$AP129=""),"",計分!$AP129-計分!I129)</f>
        <v/>
      </c>
      <c r="J129">
        <f>IF(OR(計分!J129="",計分!$AP129=""),"",計分!$AP129-計分!J129)</f>
        <v/>
      </c>
      <c r="K129">
        <f>IF(OR(計分!K129="",計分!$AP129=""),"",計分!$AP129-計分!K129)</f>
        <v/>
      </c>
      <c r="L129">
        <f>IF(OR(計分!L129="",計分!$AP129=""),"",計分!$AP129-計分!L129)</f>
        <v/>
      </c>
      <c r="M129">
        <f>IF(OR(計分!M129="",計分!$AP129=""),"",計分!$AP129-計分!M129)</f>
        <v/>
      </c>
      <c r="N129">
        <f>IF(OR(計分!N129="",計分!$AP129=""),"",計分!$AP129-計分!N129)</f>
        <v/>
      </c>
      <c r="O129">
        <f>IF(OR(計分!O129="",計分!$AP129=""),"",計分!$AP129-計分!O129)</f>
        <v/>
      </c>
      <c r="P129">
        <f>IF(OR(計分!P129="",計分!$AP129=""),"",計分!$AP129-計分!P129)</f>
        <v/>
      </c>
      <c r="Q129">
        <f>IF(OR(計分!Q129="",計分!$AP129=""),"",計分!$AP129-計分!Q129)</f>
        <v/>
      </c>
      <c r="R129">
        <f>IF(OR(計分!R129="",計分!$AP129=""),"",計分!$AP129-計分!R129)</f>
        <v/>
      </c>
      <c r="S129">
        <f>IF(OR(計分!S129="",計分!$AP129=""),"",計分!$AP129-計分!S129)</f>
        <v/>
      </c>
      <c r="T129">
        <f>IF(OR(計分!T129="",計分!$AP129=""),"",計分!$AP129-計分!T129)</f>
        <v/>
      </c>
      <c r="U129">
        <f>IF(OR(計分!U129="",計分!$AP129=""),"",計分!$AP129-計分!U129)</f>
        <v/>
      </c>
      <c r="V129">
        <f>IF(OR(計分!V129="",計分!$AP129=""),"",計分!$AP129-計分!V129)</f>
        <v/>
      </c>
      <c r="W129">
        <f>IF(OR(計分!W129="",計分!$AP129=""),"",計分!$AP129-計分!W129)</f>
        <v/>
      </c>
      <c r="X129">
        <f>IF(OR(計分!X129="",計分!$AP129=""),"",計分!$AP129-計分!X129)</f>
        <v/>
      </c>
      <c r="Y129">
        <f>IF(OR(計分!Y129="",計分!$AP129=""),"",計分!$AP129-計分!Y129)</f>
        <v/>
      </c>
      <c r="Z129">
        <f>IF(OR(計分!Z129="",計分!$AP129=""),"",計分!$AP129-計分!Z129)</f>
        <v/>
      </c>
      <c r="AA129">
        <f>IF(OR(計分!AA129="",計分!$AP129=""),"",計分!$AP129-計分!AA129)</f>
        <v/>
      </c>
      <c r="AB129">
        <f>IF(OR(計分!AB129="",計分!$AP129=""),"",計分!$AP129-計分!AB129)</f>
        <v/>
      </c>
      <c r="AC129">
        <f>IF(OR(計分!AC129="",計分!$AP129=""),"",計分!$AP129-計分!AC129)</f>
        <v/>
      </c>
      <c r="AD129">
        <f>IF(OR(計分!AD129="",計分!$AP129=""),"",計分!$AP129-計分!AD129)</f>
        <v/>
      </c>
      <c r="AE129">
        <f>IF(OR(計分!AE129="",計分!$AP129=""),"",計分!$AP129-計分!AE129)</f>
        <v/>
      </c>
      <c r="AF129">
        <f>IF(OR(計分!AF129="",計分!$AP129=""),"",計分!$AP129-計分!AF129)</f>
        <v/>
      </c>
      <c r="AG129">
        <f>IF(OR(計分!AG129="",計分!$AP129=""),"",計分!$AP129-計分!AG129)</f>
        <v/>
      </c>
      <c r="AH129">
        <f>IF(OR(計分!AH129="",計分!$AP129=""),"",計分!$AP129-計分!AH129)</f>
        <v/>
      </c>
      <c r="AI129">
        <f>IF(OR(計分!AI129="",計分!$AP129=""),"",計分!$AP129-計分!AI129)</f>
        <v/>
      </c>
      <c r="AJ129">
        <f>IF(OR(計分!AJ129="",計分!$AP129=""),"",計分!$AP129-計分!AJ129)</f>
        <v/>
      </c>
      <c r="AK129">
        <f>IF(OR(計分!AK129="",計分!$AP129=""),"",計分!$AP129-計分!AK129)</f>
        <v/>
      </c>
      <c r="AL129">
        <f>IF(OR(計分!AL129="",計分!$AP129=""),"",計分!$AP129-計分!AL129)</f>
        <v/>
      </c>
      <c r="AM129">
        <f>IF(OR(計分!AM129="",計分!$AP129=""),"",計分!$AP129-計分!AM129)</f>
        <v/>
      </c>
      <c r="AN129">
        <f>IF(OR(計分!AN129="",計分!$AP129=""),"",計分!$AP129-計分!AN129)</f>
        <v/>
      </c>
      <c r="AO129">
        <f>IF(OR(計分!AO129="",計分!$AP129=""),"",計分!$AP129-計分!AO129)</f>
        <v/>
      </c>
    </row>
    <row r="130">
      <c r="A130">
        <f>計分!A130</f>
        <v/>
      </c>
      <c r="B130">
        <f>IF(OR(計分!B130="",計分!$AP130=""),"",計分!$AP130-計分!B130)</f>
        <v/>
      </c>
      <c r="C130">
        <f>IF(OR(計分!C130="",計分!$AP130=""),"",計分!$AP130-計分!C130)</f>
        <v/>
      </c>
      <c r="D130">
        <f>IF(OR(計分!D130="",計分!$AP130=""),"",計分!$AP130-計分!D130)</f>
        <v/>
      </c>
      <c r="E130">
        <f>IF(OR(計分!E130="",計分!$AP130=""),"",計分!$AP130-計分!E130)</f>
        <v/>
      </c>
      <c r="F130">
        <f>IF(OR(計分!F130="",計分!$AP130=""),"",計分!$AP130-計分!F130)</f>
        <v/>
      </c>
      <c r="G130">
        <f>IF(OR(計分!G130="",計分!$AP130=""),"",計分!$AP130-計分!G130)</f>
        <v/>
      </c>
      <c r="H130">
        <f>IF(OR(計分!H130="",計分!$AP130=""),"",計分!$AP130-計分!H130)</f>
        <v/>
      </c>
      <c r="I130">
        <f>IF(OR(計分!I130="",計分!$AP130=""),"",計分!$AP130-計分!I130)</f>
        <v/>
      </c>
      <c r="J130">
        <f>IF(OR(計分!J130="",計分!$AP130=""),"",計分!$AP130-計分!J130)</f>
        <v/>
      </c>
      <c r="K130">
        <f>IF(OR(計分!K130="",計分!$AP130=""),"",計分!$AP130-計分!K130)</f>
        <v/>
      </c>
      <c r="L130">
        <f>IF(OR(計分!L130="",計分!$AP130=""),"",計分!$AP130-計分!L130)</f>
        <v/>
      </c>
      <c r="M130">
        <f>IF(OR(計分!M130="",計分!$AP130=""),"",計分!$AP130-計分!M130)</f>
        <v/>
      </c>
      <c r="N130">
        <f>IF(OR(計分!N130="",計分!$AP130=""),"",計分!$AP130-計分!N130)</f>
        <v/>
      </c>
      <c r="O130">
        <f>IF(OR(計分!O130="",計分!$AP130=""),"",計分!$AP130-計分!O130)</f>
        <v/>
      </c>
      <c r="P130">
        <f>IF(OR(計分!P130="",計分!$AP130=""),"",計分!$AP130-計分!P130)</f>
        <v/>
      </c>
      <c r="Q130">
        <f>IF(OR(計分!Q130="",計分!$AP130=""),"",計分!$AP130-計分!Q130)</f>
        <v/>
      </c>
      <c r="R130">
        <f>IF(OR(計分!R130="",計分!$AP130=""),"",計分!$AP130-計分!R130)</f>
        <v/>
      </c>
      <c r="S130">
        <f>IF(OR(計分!S130="",計分!$AP130=""),"",計分!$AP130-計分!S130)</f>
        <v/>
      </c>
      <c r="T130">
        <f>IF(OR(計分!T130="",計分!$AP130=""),"",計分!$AP130-計分!T130)</f>
        <v/>
      </c>
      <c r="U130">
        <f>IF(OR(計分!U130="",計分!$AP130=""),"",計分!$AP130-計分!U130)</f>
        <v/>
      </c>
      <c r="V130">
        <f>IF(OR(計分!V130="",計分!$AP130=""),"",計分!$AP130-計分!V130)</f>
        <v/>
      </c>
      <c r="W130">
        <f>IF(OR(計分!W130="",計分!$AP130=""),"",計分!$AP130-計分!W130)</f>
        <v/>
      </c>
      <c r="X130">
        <f>IF(OR(計分!X130="",計分!$AP130=""),"",計分!$AP130-計分!X130)</f>
        <v/>
      </c>
      <c r="Y130">
        <f>IF(OR(計分!Y130="",計分!$AP130=""),"",計分!$AP130-計分!Y130)</f>
        <v/>
      </c>
      <c r="Z130">
        <f>IF(OR(計分!Z130="",計分!$AP130=""),"",計分!$AP130-計分!Z130)</f>
        <v/>
      </c>
      <c r="AA130">
        <f>IF(OR(計分!AA130="",計分!$AP130=""),"",計分!$AP130-計分!AA130)</f>
        <v/>
      </c>
      <c r="AB130">
        <f>IF(OR(計分!AB130="",計分!$AP130=""),"",計分!$AP130-計分!AB130)</f>
        <v/>
      </c>
      <c r="AC130">
        <f>IF(OR(計分!AC130="",計分!$AP130=""),"",計分!$AP130-計分!AC130)</f>
        <v/>
      </c>
      <c r="AD130">
        <f>IF(OR(計分!AD130="",計分!$AP130=""),"",計分!$AP130-計分!AD130)</f>
        <v/>
      </c>
      <c r="AE130">
        <f>IF(OR(計分!AE130="",計分!$AP130=""),"",計分!$AP130-計分!AE130)</f>
        <v/>
      </c>
      <c r="AF130">
        <f>IF(OR(計分!AF130="",計分!$AP130=""),"",計分!$AP130-計分!AF130)</f>
        <v/>
      </c>
      <c r="AG130">
        <f>IF(OR(計分!AG130="",計分!$AP130=""),"",計分!$AP130-計分!AG130)</f>
        <v/>
      </c>
      <c r="AH130">
        <f>IF(OR(計分!AH130="",計分!$AP130=""),"",計分!$AP130-計分!AH130)</f>
        <v/>
      </c>
      <c r="AI130">
        <f>IF(OR(計分!AI130="",計分!$AP130=""),"",計分!$AP130-計分!AI130)</f>
        <v/>
      </c>
      <c r="AJ130">
        <f>IF(OR(計分!AJ130="",計分!$AP130=""),"",計分!$AP130-計分!AJ130)</f>
        <v/>
      </c>
      <c r="AK130">
        <f>IF(OR(計分!AK130="",計分!$AP130=""),"",計分!$AP130-計分!AK130)</f>
        <v/>
      </c>
      <c r="AL130">
        <f>IF(OR(計分!AL130="",計分!$AP130=""),"",計分!$AP130-計分!AL130)</f>
        <v/>
      </c>
      <c r="AM130">
        <f>IF(OR(計分!AM130="",計分!$AP130=""),"",計分!$AP130-計分!AM130)</f>
        <v/>
      </c>
      <c r="AN130">
        <f>IF(OR(計分!AN130="",計分!$AP130=""),"",計分!$AP130-計分!AN130)</f>
        <v/>
      </c>
      <c r="AO130">
        <f>IF(OR(計分!AO130="",計分!$AP130=""),"",計分!$AP130-計分!AO130)</f>
        <v/>
      </c>
    </row>
    <row r="131">
      <c r="A131">
        <f>計分!A131</f>
        <v/>
      </c>
      <c r="B131">
        <f>IF(OR(計分!B131="",計分!$AP131=""),"",計分!$AP131-計分!B131)</f>
        <v/>
      </c>
      <c r="C131">
        <f>IF(OR(計分!C131="",計分!$AP131=""),"",計分!$AP131-計分!C131)</f>
        <v/>
      </c>
      <c r="D131">
        <f>IF(OR(計分!D131="",計分!$AP131=""),"",計分!$AP131-計分!D131)</f>
        <v/>
      </c>
      <c r="E131">
        <f>IF(OR(計分!E131="",計分!$AP131=""),"",計分!$AP131-計分!E131)</f>
        <v/>
      </c>
      <c r="F131">
        <f>IF(OR(計分!F131="",計分!$AP131=""),"",計分!$AP131-計分!F131)</f>
        <v/>
      </c>
      <c r="G131">
        <f>IF(OR(計分!G131="",計分!$AP131=""),"",計分!$AP131-計分!G131)</f>
        <v/>
      </c>
      <c r="H131">
        <f>IF(OR(計分!H131="",計分!$AP131=""),"",計分!$AP131-計分!H131)</f>
        <v/>
      </c>
      <c r="I131">
        <f>IF(OR(計分!I131="",計分!$AP131=""),"",計分!$AP131-計分!I131)</f>
        <v/>
      </c>
      <c r="J131">
        <f>IF(OR(計分!J131="",計分!$AP131=""),"",計分!$AP131-計分!J131)</f>
        <v/>
      </c>
      <c r="K131">
        <f>IF(OR(計分!K131="",計分!$AP131=""),"",計分!$AP131-計分!K131)</f>
        <v/>
      </c>
      <c r="L131">
        <f>IF(OR(計分!L131="",計分!$AP131=""),"",計分!$AP131-計分!L131)</f>
        <v/>
      </c>
      <c r="M131">
        <f>IF(OR(計分!M131="",計分!$AP131=""),"",計分!$AP131-計分!M131)</f>
        <v/>
      </c>
      <c r="N131">
        <f>IF(OR(計分!N131="",計分!$AP131=""),"",計分!$AP131-計分!N131)</f>
        <v/>
      </c>
      <c r="O131">
        <f>IF(OR(計分!O131="",計分!$AP131=""),"",計分!$AP131-計分!O131)</f>
        <v/>
      </c>
      <c r="P131">
        <f>IF(OR(計分!P131="",計分!$AP131=""),"",計分!$AP131-計分!P131)</f>
        <v/>
      </c>
      <c r="Q131">
        <f>IF(OR(計分!Q131="",計分!$AP131=""),"",計分!$AP131-計分!Q131)</f>
        <v/>
      </c>
      <c r="R131">
        <f>IF(OR(計分!R131="",計分!$AP131=""),"",計分!$AP131-計分!R131)</f>
        <v/>
      </c>
      <c r="S131">
        <f>IF(OR(計分!S131="",計分!$AP131=""),"",計分!$AP131-計分!S131)</f>
        <v/>
      </c>
      <c r="T131">
        <f>IF(OR(計分!T131="",計分!$AP131=""),"",計分!$AP131-計分!T131)</f>
        <v/>
      </c>
      <c r="U131">
        <f>IF(OR(計分!U131="",計分!$AP131=""),"",計分!$AP131-計分!U131)</f>
        <v/>
      </c>
      <c r="V131">
        <f>IF(OR(計分!V131="",計分!$AP131=""),"",計分!$AP131-計分!V131)</f>
        <v/>
      </c>
      <c r="W131">
        <f>IF(OR(計分!W131="",計分!$AP131=""),"",計分!$AP131-計分!W131)</f>
        <v/>
      </c>
      <c r="X131">
        <f>IF(OR(計分!X131="",計分!$AP131=""),"",計分!$AP131-計分!X131)</f>
        <v/>
      </c>
      <c r="Y131">
        <f>IF(OR(計分!Y131="",計分!$AP131=""),"",計分!$AP131-計分!Y131)</f>
        <v/>
      </c>
      <c r="Z131">
        <f>IF(OR(計分!Z131="",計分!$AP131=""),"",計分!$AP131-計分!Z131)</f>
        <v/>
      </c>
      <c r="AA131">
        <f>IF(OR(計分!AA131="",計分!$AP131=""),"",計分!$AP131-計分!AA131)</f>
        <v/>
      </c>
      <c r="AB131">
        <f>IF(OR(計分!AB131="",計分!$AP131=""),"",計分!$AP131-計分!AB131)</f>
        <v/>
      </c>
      <c r="AC131">
        <f>IF(OR(計分!AC131="",計分!$AP131=""),"",計分!$AP131-計分!AC131)</f>
        <v/>
      </c>
      <c r="AD131">
        <f>IF(OR(計分!AD131="",計分!$AP131=""),"",計分!$AP131-計分!AD131)</f>
        <v/>
      </c>
      <c r="AE131">
        <f>IF(OR(計分!AE131="",計分!$AP131=""),"",計分!$AP131-計分!AE131)</f>
        <v/>
      </c>
      <c r="AF131">
        <f>IF(OR(計分!AF131="",計分!$AP131=""),"",計分!$AP131-計分!AF131)</f>
        <v/>
      </c>
      <c r="AG131">
        <f>IF(OR(計分!AG131="",計分!$AP131=""),"",計分!$AP131-計分!AG131)</f>
        <v/>
      </c>
      <c r="AH131">
        <f>IF(OR(計分!AH131="",計分!$AP131=""),"",計分!$AP131-計分!AH131)</f>
        <v/>
      </c>
      <c r="AI131">
        <f>IF(OR(計分!AI131="",計分!$AP131=""),"",計分!$AP131-計分!AI131)</f>
        <v/>
      </c>
      <c r="AJ131">
        <f>IF(OR(計分!AJ131="",計分!$AP131=""),"",計分!$AP131-計分!AJ131)</f>
        <v/>
      </c>
      <c r="AK131">
        <f>IF(OR(計分!AK131="",計分!$AP131=""),"",計分!$AP131-計分!AK131)</f>
        <v/>
      </c>
      <c r="AL131">
        <f>IF(OR(計分!AL131="",計分!$AP131=""),"",計分!$AP131-計分!AL131)</f>
        <v/>
      </c>
      <c r="AM131">
        <f>IF(OR(計分!AM131="",計分!$AP131=""),"",計分!$AP131-計分!AM131)</f>
        <v/>
      </c>
      <c r="AN131">
        <f>IF(OR(計分!AN131="",計分!$AP131=""),"",計分!$AP131-計分!AN131)</f>
        <v/>
      </c>
      <c r="AO131">
        <f>IF(OR(計分!AO131="",計分!$AP131=""),"",計分!$AP131-計分!AO131)</f>
        <v/>
      </c>
    </row>
    <row r="132">
      <c r="A132">
        <f>計分!A132</f>
        <v/>
      </c>
      <c r="B132">
        <f>IF(OR(計分!B132="",計分!$AP132=""),"",計分!$AP132-計分!B132)</f>
        <v/>
      </c>
      <c r="C132">
        <f>IF(OR(計分!C132="",計分!$AP132=""),"",計分!$AP132-計分!C132)</f>
        <v/>
      </c>
      <c r="D132">
        <f>IF(OR(計分!D132="",計分!$AP132=""),"",計分!$AP132-計分!D132)</f>
        <v/>
      </c>
      <c r="E132">
        <f>IF(OR(計分!E132="",計分!$AP132=""),"",計分!$AP132-計分!E132)</f>
        <v/>
      </c>
      <c r="F132">
        <f>IF(OR(計分!F132="",計分!$AP132=""),"",計分!$AP132-計分!F132)</f>
        <v/>
      </c>
      <c r="G132">
        <f>IF(OR(計分!G132="",計分!$AP132=""),"",計分!$AP132-計分!G132)</f>
        <v/>
      </c>
      <c r="H132">
        <f>IF(OR(計分!H132="",計分!$AP132=""),"",計分!$AP132-計分!H132)</f>
        <v/>
      </c>
      <c r="I132">
        <f>IF(OR(計分!I132="",計分!$AP132=""),"",計分!$AP132-計分!I132)</f>
        <v/>
      </c>
      <c r="J132">
        <f>IF(OR(計分!J132="",計分!$AP132=""),"",計分!$AP132-計分!J132)</f>
        <v/>
      </c>
      <c r="K132">
        <f>IF(OR(計分!K132="",計分!$AP132=""),"",計分!$AP132-計分!K132)</f>
        <v/>
      </c>
      <c r="L132">
        <f>IF(OR(計分!L132="",計分!$AP132=""),"",計分!$AP132-計分!L132)</f>
        <v/>
      </c>
      <c r="M132">
        <f>IF(OR(計分!M132="",計分!$AP132=""),"",計分!$AP132-計分!M132)</f>
        <v/>
      </c>
      <c r="N132">
        <f>IF(OR(計分!N132="",計分!$AP132=""),"",計分!$AP132-計分!N132)</f>
        <v/>
      </c>
      <c r="O132">
        <f>IF(OR(計分!O132="",計分!$AP132=""),"",計分!$AP132-計分!O132)</f>
        <v/>
      </c>
      <c r="P132">
        <f>IF(OR(計分!P132="",計分!$AP132=""),"",計分!$AP132-計分!P132)</f>
        <v/>
      </c>
      <c r="Q132">
        <f>IF(OR(計分!Q132="",計分!$AP132=""),"",計分!$AP132-計分!Q132)</f>
        <v/>
      </c>
      <c r="R132">
        <f>IF(OR(計分!R132="",計分!$AP132=""),"",計分!$AP132-計分!R132)</f>
        <v/>
      </c>
      <c r="S132">
        <f>IF(OR(計分!S132="",計分!$AP132=""),"",計分!$AP132-計分!S132)</f>
        <v/>
      </c>
      <c r="T132">
        <f>IF(OR(計分!T132="",計分!$AP132=""),"",計分!$AP132-計分!T132)</f>
        <v/>
      </c>
      <c r="U132">
        <f>IF(OR(計分!U132="",計分!$AP132=""),"",計分!$AP132-計分!U132)</f>
        <v/>
      </c>
      <c r="V132">
        <f>IF(OR(計分!V132="",計分!$AP132=""),"",計分!$AP132-計分!V132)</f>
        <v/>
      </c>
      <c r="W132">
        <f>IF(OR(計分!W132="",計分!$AP132=""),"",計分!$AP132-計分!W132)</f>
        <v/>
      </c>
      <c r="X132">
        <f>IF(OR(計分!X132="",計分!$AP132=""),"",計分!$AP132-計分!X132)</f>
        <v/>
      </c>
      <c r="Y132">
        <f>IF(OR(計分!Y132="",計分!$AP132=""),"",計分!$AP132-計分!Y132)</f>
        <v/>
      </c>
      <c r="Z132">
        <f>IF(OR(計分!Z132="",計分!$AP132=""),"",計分!$AP132-計分!Z132)</f>
        <v/>
      </c>
      <c r="AA132">
        <f>IF(OR(計分!AA132="",計分!$AP132=""),"",計分!$AP132-計分!AA132)</f>
        <v/>
      </c>
      <c r="AB132">
        <f>IF(OR(計分!AB132="",計分!$AP132=""),"",計分!$AP132-計分!AB132)</f>
        <v/>
      </c>
      <c r="AC132">
        <f>IF(OR(計分!AC132="",計分!$AP132=""),"",計分!$AP132-計分!AC132)</f>
        <v/>
      </c>
      <c r="AD132">
        <f>IF(OR(計分!AD132="",計分!$AP132=""),"",計分!$AP132-計分!AD132)</f>
        <v/>
      </c>
      <c r="AE132">
        <f>IF(OR(計分!AE132="",計分!$AP132=""),"",計分!$AP132-計分!AE132)</f>
        <v/>
      </c>
      <c r="AF132">
        <f>IF(OR(計分!AF132="",計分!$AP132=""),"",計分!$AP132-計分!AF132)</f>
        <v/>
      </c>
      <c r="AG132">
        <f>IF(OR(計分!AG132="",計分!$AP132=""),"",計分!$AP132-計分!AG132)</f>
        <v/>
      </c>
      <c r="AH132">
        <f>IF(OR(計分!AH132="",計分!$AP132=""),"",計分!$AP132-計分!AH132)</f>
        <v/>
      </c>
      <c r="AI132">
        <f>IF(OR(計分!AI132="",計分!$AP132=""),"",計分!$AP132-計分!AI132)</f>
        <v/>
      </c>
      <c r="AJ132">
        <f>IF(OR(計分!AJ132="",計分!$AP132=""),"",計分!$AP132-計分!AJ132)</f>
        <v/>
      </c>
      <c r="AK132">
        <f>IF(OR(計分!AK132="",計分!$AP132=""),"",計分!$AP132-計分!AK132)</f>
        <v/>
      </c>
      <c r="AL132">
        <f>IF(OR(計分!AL132="",計分!$AP132=""),"",計分!$AP132-計分!AL132)</f>
        <v/>
      </c>
      <c r="AM132">
        <f>IF(OR(計分!AM132="",計分!$AP132=""),"",計分!$AP132-計分!AM132)</f>
        <v/>
      </c>
      <c r="AN132">
        <f>IF(OR(計分!AN132="",計分!$AP132=""),"",計分!$AP132-計分!AN132)</f>
        <v/>
      </c>
      <c r="AO132">
        <f>IF(OR(計分!AO132="",計分!$AP132=""),"",計分!$AP132-計分!AO132)</f>
        <v/>
      </c>
    </row>
    <row r="133">
      <c r="A133">
        <f>計分!A133</f>
        <v/>
      </c>
      <c r="B133">
        <f>IF(OR(計分!B133="",計分!$AP133=""),"",計分!$AP133-計分!B133)</f>
        <v/>
      </c>
      <c r="C133">
        <f>IF(OR(計分!C133="",計分!$AP133=""),"",計分!$AP133-計分!C133)</f>
        <v/>
      </c>
      <c r="D133">
        <f>IF(OR(計分!D133="",計分!$AP133=""),"",計分!$AP133-計分!D133)</f>
        <v/>
      </c>
      <c r="E133">
        <f>IF(OR(計分!E133="",計分!$AP133=""),"",計分!$AP133-計分!E133)</f>
        <v/>
      </c>
      <c r="F133">
        <f>IF(OR(計分!F133="",計分!$AP133=""),"",計分!$AP133-計分!F133)</f>
        <v/>
      </c>
      <c r="G133">
        <f>IF(OR(計分!G133="",計分!$AP133=""),"",計分!$AP133-計分!G133)</f>
        <v/>
      </c>
      <c r="H133">
        <f>IF(OR(計分!H133="",計分!$AP133=""),"",計分!$AP133-計分!H133)</f>
        <v/>
      </c>
      <c r="I133">
        <f>IF(OR(計分!I133="",計分!$AP133=""),"",計分!$AP133-計分!I133)</f>
        <v/>
      </c>
      <c r="J133">
        <f>IF(OR(計分!J133="",計分!$AP133=""),"",計分!$AP133-計分!J133)</f>
        <v/>
      </c>
      <c r="K133">
        <f>IF(OR(計分!K133="",計分!$AP133=""),"",計分!$AP133-計分!K133)</f>
        <v/>
      </c>
      <c r="L133">
        <f>IF(OR(計分!L133="",計分!$AP133=""),"",計分!$AP133-計分!L133)</f>
        <v/>
      </c>
      <c r="M133">
        <f>IF(OR(計分!M133="",計分!$AP133=""),"",計分!$AP133-計分!M133)</f>
        <v/>
      </c>
      <c r="N133">
        <f>IF(OR(計分!N133="",計分!$AP133=""),"",計分!$AP133-計分!N133)</f>
        <v/>
      </c>
      <c r="O133">
        <f>IF(OR(計分!O133="",計分!$AP133=""),"",計分!$AP133-計分!O133)</f>
        <v/>
      </c>
      <c r="P133">
        <f>IF(OR(計分!P133="",計分!$AP133=""),"",計分!$AP133-計分!P133)</f>
        <v/>
      </c>
      <c r="Q133">
        <f>IF(OR(計分!Q133="",計分!$AP133=""),"",計分!$AP133-計分!Q133)</f>
        <v/>
      </c>
      <c r="R133">
        <f>IF(OR(計分!R133="",計分!$AP133=""),"",計分!$AP133-計分!R133)</f>
        <v/>
      </c>
      <c r="S133">
        <f>IF(OR(計分!S133="",計分!$AP133=""),"",計分!$AP133-計分!S133)</f>
        <v/>
      </c>
      <c r="T133">
        <f>IF(OR(計分!T133="",計分!$AP133=""),"",計分!$AP133-計分!T133)</f>
        <v/>
      </c>
      <c r="U133">
        <f>IF(OR(計分!U133="",計分!$AP133=""),"",計分!$AP133-計分!U133)</f>
        <v/>
      </c>
      <c r="V133">
        <f>IF(OR(計分!V133="",計分!$AP133=""),"",計分!$AP133-計分!V133)</f>
        <v/>
      </c>
      <c r="W133">
        <f>IF(OR(計分!W133="",計分!$AP133=""),"",計分!$AP133-計分!W133)</f>
        <v/>
      </c>
      <c r="X133">
        <f>IF(OR(計分!X133="",計分!$AP133=""),"",計分!$AP133-計分!X133)</f>
        <v/>
      </c>
      <c r="Y133">
        <f>IF(OR(計分!Y133="",計分!$AP133=""),"",計分!$AP133-計分!Y133)</f>
        <v/>
      </c>
      <c r="Z133">
        <f>IF(OR(計分!Z133="",計分!$AP133=""),"",計分!$AP133-計分!Z133)</f>
        <v/>
      </c>
      <c r="AA133">
        <f>IF(OR(計分!AA133="",計分!$AP133=""),"",計分!$AP133-計分!AA133)</f>
        <v/>
      </c>
      <c r="AB133">
        <f>IF(OR(計分!AB133="",計分!$AP133=""),"",計分!$AP133-計分!AB133)</f>
        <v/>
      </c>
      <c r="AC133">
        <f>IF(OR(計分!AC133="",計分!$AP133=""),"",計分!$AP133-計分!AC133)</f>
        <v/>
      </c>
      <c r="AD133">
        <f>IF(OR(計分!AD133="",計分!$AP133=""),"",計分!$AP133-計分!AD133)</f>
        <v/>
      </c>
      <c r="AE133">
        <f>IF(OR(計分!AE133="",計分!$AP133=""),"",計分!$AP133-計分!AE133)</f>
        <v/>
      </c>
      <c r="AF133">
        <f>IF(OR(計分!AF133="",計分!$AP133=""),"",計分!$AP133-計分!AF133)</f>
        <v/>
      </c>
      <c r="AG133">
        <f>IF(OR(計分!AG133="",計分!$AP133=""),"",計分!$AP133-計分!AG133)</f>
        <v/>
      </c>
      <c r="AH133">
        <f>IF(OR(計分!AH133="",計分!$AP133=""),"",計分!$AP133-計分!AH133)</f>
        <v/>
      </c>
      <c r="AI133">
        <f>IF(OR(計分!AI133="",計分!$AP133=""),"",計分!$AP133-計分!AI133)</f>
        <v/>
      </c>
      <c r="AJ133">
        <f>IF(OR(計分!AJ133="",計分!$AP133=""),"",計分!$AP133-計分!AJ133)</f>
        <v/>
      </c>
      <c r="AK133">
        <f>IF(OR(計分!AK133="",計分!$AP133=""),"",計分!$AP133-計分!AK133)</f>
        <v/>
      </c>
      <c r="AL133">
        <f>IF(OR(計分!AL133="",計分!$AP133=""),"",計分!$AP133-計分!AL133)</f>
        <v/>
      </c>
      <c r="AM133">
        <f>IF(OR(計分!AM133="",計分!$AP133=""),"",計分!$AP133-計分!AM133)</f>
        <v/>
      </c>
      <c r="AN133">
        <f>IF(OR(計分!AN133="",計分!$AP133=""),"",計分!$AP133-計分!AN133)</f>
        <v/>
      </c>
      <c r="AO133">
        <f>IF(OR(計分!AO133="",計分!$AP133=""),"",計分!$AP133-計分!AO133)</f>
        <v/>
      </c>
    </row>
    <row r="134">
      <c r="A134">
        <f>計分!A134</f>
        <v/>
      </c>
      <c r="B134">
        <f>IF(OR(計分!B134="",計分!$AP134=""),"",計分!$AP134-計分!B134)</f>
        <v/>
      </c>
      <c r="C134">
        <f>IF(OR(計分!C134="",計分!$AP134=""),"",計分!$AP134-計分!C134)</f>
        <v/>
      </c>
      <c r="D134">
        <f>IF(OR(計分!D134="",計分!$AP134=""),"",計分!$AP134-計分!D134)</f>
        <v/>
      </c>
      <c r="E134">
        <f>IF(OR(計分!E134="",計分!$AP134=""),"",計分!$AP134-計分!E134)</f>
        <v/>
      </c>
      <c r="F134">
        <f>IF(OR(計分!F134="",計分!$AP134=""),"",計分!$AP134-計分!F134)</f>
        <v/>
      </c>
      <c r="G134">
        <f>IF(OR(計分!G134="",計分!$AP134=""),"",計分!$AP134-計分!G134)</f>
        <v/>
      </c>
      <c r="H134">
        <f>IF(OR(計分!H134="",計分!$AP134=""),"",計分!$AP134-計分!H134)</f>
        <v/>
      </c>
      <c r="I134">
        <f>IF(OR(計分!I134="",計分!$AP134=""),"",計分!$AP134-計分!I134)</f>
        <v/>
      </c>
      <c r="J134">
        <f>IF(OR(計分!J134="",計分!$AP134=""),"",計分!$AP134-計分!J134)</f>
        <v/>
      </c>
      <c r="K134">
        <f>IF(OR(計分!K134="",計分!$AP134=""),"",計分!$AP134-計分!K134)</f>
        <v/>
      </c>
      <c r="L134">
        <f>IF(OR(計分!L134="",計分!$AP134=""),"",計分!$AP134-計分!L134)</f>
        <v/>
      </c>
      <c r="M134">
        <f>IF(OR(計分!M134="",計分!$AP134=""),"",計分!$AP134-計分!M134)</f>
        <v/>
      </c>
      <c r="N134">
        <f>IF(OR(計分!N134="",計分!$AP134=""),"",計分!$AP134-計分!N134)</f>
        <v/>
      </c>
      <c r="O134">
        <f>IF(OR(計分!O134="",計分!$AP134=""),"",計分!$AP134-計分!O134)</f>
        <v/>
      </c>
      <c r="P134">
        <f>IF(OR(計分!P134="",計分!$AP134=""),"",計分!$AP134-計分!P134)</f>
        <v/>
      </c>
      <c r="Q134">
        <f>IF(OR(計分!Q134="",計分!$AP134=""),"",計分!$AP134-計分!Q134)</f>
        <v/>
      </c>
      <c r="R134">
        <f>IF(OR(計分!R134="",計分!$AP134=""),"",計分!$AP134-計分!R134)</f>
        <v/>
      </c>
      <c r="S134">
        <f>IF(OR(計分!S134="",計分!$AP134=""),"",計分!$AP134-計分!S134)</f>
        <v/>
      </c>
      <c r="T134">
        <f>IF(OR(計分!T134="",計分!$AP134=""),"",計分!$AP134-計分!T134)</f>
        <v/>
      </c>
      <c r="U134">
        <f>IF(OR(計分!U134="",計分!$AP134=""),"",計分!$AP134-計分!U134)</f>
        <v/>
      </c>
      <c r="V134">
        <f>IF(OR(計分!V134="",計分!$AP134=""),"",計分!$AP134-計分!V134)</f>
        <v/>
      </c>
      <c r="W134">
        <f>IF(OR(計分!W134="",計分!$AP134=""),"",計分!$AP134-計分!W134)</f>
        <v/>
      </c>
      <c r="X134">
        <f>IF(OR(計分!X134="",計分!$AP134=""),"",計分!$AP134-計分!X134)</f>
        <v/>
      </c>
      <c r="Y134">
        <f>IF(OR(計分!Y134="",計分!$AP134=""),"",計分!$AP134-計分!Y134)</f>
        <v/>
      </c>
      <c r="Z134">
        <f>IF(OR(計分!Z134="",計分!$AP134=""),"",計分!$AP134-計分!Z134)</f>
        <v/>
      </c>
      <c r="AA134">
        <f>IF(OR(計分!AA134="",計分!$AP134=""),"",計分!$AP134-計分!AA134)</f>
        <v/>
      </c>
      <c r="AB134">
        <f>IF(OR(計分!AB134="",計分!$AP134=""),"",計分!$AP134-計分!AB134)</f>
        <v/>
      </c>
      <c r="AC134">
        <f>IF(OR(計分!AC134="",計分!$AP134=""),"",計分!$AP134-計分!AC134)</f>
        <v/>
      </c>
      <c r="AD134">
        <f>IF(OR(計分!AD134="",計分!$AP134=""),"",計分!$AP134-計分!AD134)</f>
        <v/>
      </c>
      <c r="AE134">
        <f>IF(OR(計分!AE134="",計分!$AP134=""),"",計分!$AP134-計分!AE134)</f>
        <v/>
      </c>
      <c r="AF134">
        <f>IF(OR(計分!AF134="",計分!$AP134=""),"",計分!$AP134-計分!AF134)</f>
        <v/>
      </c>
      <c r="AG134">
        <f>IF(OR(計分!AG134="",計分!$AP134=""),"",計分!$AP134-計分!AG134)</f>
        <v/>
      </c>
      <c r="AH134">
        <f>IF(OR(計分!AH134="",計分!$AP134=""),"",計分!$AP134-計分!AH134)</f>
        <v/>
      </c>
      <c r="AI134">
        <f>IF(OR(計分!AI134="",計分!$AP134=""),"",計分!$AP134-計分!AI134)</f>
        <v/>
      </c>
      <c r="AJ134">
        <f>IF(OR(計分!AJ134="",計分!$AP134=""),"",計分!$AP134-計分!AJ134)</f>
        <v/>
      </c>
      <c r="AK134">
        <f>IF(OR(計分!AK134="",計分!$AP134=""),"",計分!$AP134-計分!AK134)</f>
        <v/>
      </c>
      <c r="AL134">
        <f>IF(OR(計分!AL134="",計分!$AP134=""),"",計分!$AP134-計分!AL134)</f>
        <v/>
      </c>
      <c r="AM134">
        <f>IF(OR(計分!AM134="",計分!$AP134=""),"",計分!$AP134-計分!AM134)</f>
        <v/>
      </c>
      <c r="AN134">
        <f>IF(OR(計分!AN134="",計分!$AP134=""),"",計分!$AP134-計分!AN134)</f>
        <v/>
      </c>
      <c r="AO134">
        <f>IF(OR(計分!AO134="",計分!$AP134=""),"",計分!$AP134-計分!AO134)</f>
        <v/>
      </c>
    </row>
    <row r="135">
      <c r="A135">
        <f>計分!A135</f>
        <v/>
      </c>
      <c r="B135">
        <f>IF(OR(計分!B135="",計分!$AP135=""),"",計分!$AP135-計分!B135)</f>
        <v/>
      </c>
      <c r="C135">
        <f>IF(OR(計分!C135="",計分!$AP135=""),"",計分!$AP135-計分!C135)</f>
        <v/>
      </c>
      <c r="D135">
        <f>IF(OR(計分!D135="",計分!$AP135=""),"",計分!$AP135-計分!D135)</f>
        <v/>
      </c>
      <c r="E135">
        <f>IF(OR(計分!E135="",計分!$AP135=""),"",計分!$AP135-計分!E135)</f>
        <v/>
      </c>
      <c r="F135">
        <f>IF(OR(計分!F135="",計分!$AP135=""),"",計分!$AP135-計分!F135)</f>
        <v/>
      </c>
      <c r="G135">
        <f>IF(OR(計分!G135="",計分!$AP135=""),"",計分!$AP135-計分!G135)</f>
        <v/>
      </c>
      <c r="H135">
        <f>IF(OR(計分!H135="",計分!$AP135=""),"",計分!$AP135-計分!H135)</f>
        <v/>
      </c>
      <c r="I135">
        <f>IF(OR(計分!I135="",計分!$AP135=""),"",計分!$AP135-計分!I135)</f>
        <v/>
      </c>
      <c r="J135">
        <f>IF(OR(計分!J135="",計分!$AP135=""),"",計分!$AP135-計分!J135)</f>
        <v/>
      </c>
      <c r="K135">
        <f>IF(OR(計分!K135="",計分!$AP135=""),"",計分!$AP135-計分!K135)</f>
        <v/>
      </c>
      <c r="L135">
        <f>IF(OR(計分!L135="",計分!$AP135=""),"",計分!$AP135-計分!L135)</f>
        <v/>
      </c>
      <c r="M135">
        <f>IF(OR(計分!M135="",計分!$AP135=""),"",計分!$AP135-計分!M135)</f>
        <v/>
      </c>
      <c r="N135">
        <f>IF(OR(計分!N135="",計分!$AP135=""),"",計分!$AP135-計分!N135)</f>
        <v/>
      </c>
      <c r="O135">
        <f>IF(OR(計分!O135="",計分!$AP135=""),"",計分!$AP135-計分!O135)</f>
        <v/>
      </c>
      <c r="P135">
        <f>IF(OR(計分!P135="",計分!$AP135=""),"",計分!$AP135-計分!P135)</f>
        <v/>
      </c>
      <c r="Q135">
        <f>IF(OR(計分!Q135="",計分!$AP135=""),"",計分!$AP135-計分!Q135)</f>
        <v/>
      </c>
      <c r="R135">
        <f>IF(OR(計分!R135="",計分!$AP135=""),"",計分!$AP135-計分!R135)</f>
        <v/>
      </c>
      <c r="S135">
        <f>IF(OR(計分!S135="",計分!$AP135=""),"",計分!$AP135-計分!S135)</f>
        <v/>
      </c>
      <c r="T135">
        <f>IF(OR(計分!T135="",計分!$AP135=""),"",計分!$AP135-計分!T135)</f>
        <v/>
      </c>
      <c r="U135">
        <f>IF(OR(計分!U135="",計分!$AP135=""),"",計分!$AP135-計分!U135)</f>
        <v/>
      </c>
      <c r="V135">
        <f>IF(OR(計分!V135="",計分!$AP135=""),"",計分!$AP135-計分!V135)</f>
        <v/>
      </c>
      <c r="W135">
        <f>IF(OR(計分!W135="",計分!$AP135=""),"",計分!$AP135-計分!W135)</f>
        <v/>
      </c>
      <c r="X135">
        <f>IF(OR(計分!X135="",計分!$AP135=""),"",計分!$AP135-計分!X135)</f>
        <v/>
      </c>
      <c r="Y135">
        <f>IF(OR(計分!Y135="",計分!$AP135=""),"",計分!$AP135-計分!Y135)</f>
        <v/>
      </c>
      <c r="Z135">
        <f>IF(OR(計分!Z135="",計分!$AP135=""),"",計分!$AP135-計分!Z135)</f>
        <v/>
      </c>
      <c r="AA135">
        <f>IF(OR(計分!AA135="",計分!$AP135=""),"",計分!$AP135-計分!AA135)</f>
        <v/>
      </c>
      <c r="AB135">
        <f>IF(OR(計分!AB135="",計分!$AP135=""),"",計分!$AP135-計分!AB135)</f>
        <v/>
      </c>
      <c r="AC135">
        <f>IF(OR(計分!AC135="",計分!$AP135=""),"",計分!$AP135-計分!AC135)</f>
        <v/>
      </c>
      <c r="AD135">
        <f>IF(OR(計分!AD135="",計分!$AP135=""),"",計分!$AP135-計分!AD135)</f>
        <v/>
      </c>
      <c r="AE135">
        <f>IF(OR(計分!AE135="",計分!$AP135=""),"",計分!$AP135-計分!AE135)</f>
        <v/>
      </c>
      <c r="AF135">
        <f>IF(OR(計分!AF135="",計分!$AP135=""),"",計分!$AP135-計分!AF135)</f>
        <v/>
      </c>
      <c r="AG135">
        <f>IF(OR(計分!AG135="",計分!$AP135=""),"",計分!$AP135-計分!AG135)</f>
        <v/>
      </c>
      <c r="AH135">
        <f>IF(OR(計分!AH135="",計分!$AP135=""),"",計分!$AP135-計分!AH135)</f>
        <v/>
      </c>
      <c r="AI135">
        <f>IF(OR(計分!AI135="",計分!$AP135=""),"",計分!$AP135-計分!AI135)</f>
        <v/>
      </c>
      <c r="AJ135">
        <f>IF(OR(計分!AJ135="",計分!$AP135=""),"",計分!$AP135-計分!AJ135)</f>
        <v/>
      </c>
      <c r="AK135">
        <f>IF(OR(計分!AK135="",計分!$AP135=""),"",計分!$AP135-計分!AK135)</f>
        <v/>
      </c>
      <c r="AL135">
        <f>IF(OR(計分!AL135="",計分!$AP135=""),"",計分!$AP135-計分!AL135)</f>
        <v/>
      </c>
      <c r="AM135">
        <f>IF(OR(計分!AM135="",計分!$AP135=""),"",計分!$AP135-計分!AM135)</f>
        <v/>
      </c>
      <c r="AN135">
        <f>IF(OR(計分!AN135="",計分!$AP135=""),"",計分!$AP135-計分!AN135)</f>
        <v/>
      </c>
      <c r="AO135">
        <f>IF(OR(計分!AO135="",計分!$AP135=""),"",計分!$AP135-計分!AO135)</f>
        <v/>
      </c>
    </row>
    <row r="136">
      <c r="A136">
        <f>計分!A136</f>
        <v/>
      </c>
      <c r="B136">
        <f>IF(OR(計分!B136="",計分!$AP136=""),"",計分!$AP136-計分!B136)</f>
        <v/>
      </c>
      <c r="C136">
        <f>IF(OR(計分!C136="",計分!$AP136=""),"",計分!$AP136-計分!C136)</f>
        <v/>
      </c>
      <c r="D136">
        <f>IF(OR(計分!D136="",計分!$AP136=""),"",計分!$AP136-計分!D136)</f>
        <v/>
      </c>
      <c r="E136">
        <f>IF(OR(計分!E136="",計分!$AP136=""),"",計分!$AP136-計分!E136)</f>
        <v/>
      </c>
      <c r="F136">
        <f>IF(OR(計分!F136="",計分!$AP136=""),"",計分!$AP136-計分!F136)</f>
        <v/>
      </c>
      <c r="G136">
        <f>IF(OR(計分!G136="",計分!$AP136=""),"",計分!$AP136-計分!G136)</f>
        <v/>
      </c>
      <c r="H136">
        <f>IF(OR(計分!H136="",計分!$AP136=""),"",計分!$AP136-計分!H136)</f>
        <v/>
      </c>
      <c r="I136">
        <f>IF(OR(計分!I136="",計分!$AP136=""),"",計分!$AP136-計分!I136)</f>
        <v/>
      </c>
      <c r="J136">
        <f>IF(OR(計分!J136="",計分!$AP136=""),"",計分!$AP136-計分!J136)</f>
        <v/>
      </c>
      <c r="K136">
        <f>IF(OR(計分!K136="",計分!$AP136=""),"",計分!$AP136-計分!K136)</f>
        <v/>
      </c>
      <c r="L136">
        <f>IF(OR(計分!L136="",計分!$AP136=""),"",計分!$AP136-計分!L136)</f>
        <v/>
      </c>
      <c r="M136">
        <f>IF(OR(計分!M136="",計分!$AP136=""),"",計分!$AP136-計分!M136)</f>
        <v/>
      </c>
      <c r="N136">
        <f>IF(OR(計分!N136="",計分!$AP136=""),"",計分!$AP136-計分!N136)</f>
        <v/>
      </c>
      <c r="O136">
        <f>IF(OR(計分!O136="",計分!$AP136=""),"",計分!$AP136-計分!O136)</f>
        <v/>
      </c>
      <c r="P136">
        <f>IF(OR(計分!P136="",計分!$AP136=""),"",計分!$AP136-計分!P136)</f>
        <v/>
      </c>
      <c r="Q136">
        <f>IF(OR(計分!Q136="",計分!$AP136=""),"",計分!$AP136-計分!Q136)</f>
        <v/>
      </c>
      <c r="R136">
        <f>IF(OR(計分!R136="",計分!$AP136=""),"",計分!$AP136-計分!R136)</f>
        <v/>
      </c>
      <c r="S136">
        <f>IF(OR(計分!S136="",計分!$AP136=""),"",計分!$AP136-計分!S136)</f>
        <v/>
      </c>
      <c r="T136">
        <f>IF(OR(計分!T136="",計分!$AP136=""),"",計分!$AP136-計分!T136)</f>
        <v/>
      </c>
      <c r="U136">
        <f>IF(OR(計分!U136="",計分!$AP136=""),"",計分!$AP136-計分!U136)</f>
        <v/>
      </c>
      <c r="V136">
        <f>IF(OR(計分!V136="",計分!$AP136=""),"",計分!$AP136-計分!V136)</f>
        <v/>
      </c>
      <c r="W136">
        <f>IF(OR(計分!W136="",計分!$AP136=""),"",計分!$AP136-計分!W136)</f>
        <v/>
      </c>
      <c r="X136">
        <f>IF(OR(計分!X136="",計分!$AP136=""),"",計分!$AP136-計分!X136)</f>
        <v/>
      </c>
      <c r="Y136">
        <f>IF(OR(計分!Y136="",計分!$AP136=""),"",計分!$AP136-計分!Y136)</f>
        <v/>
      </c>
      <c r="Z136">
        <f>IF(OR(計分!Z136="",計分!$AP136=""),"",計分!$AP136-計分!Z136)</f>
        <v/>
      </c>
      <c r="AA136">
        <f>IF(OR(計分!AA136="",計分!$AP136=""),"",計分!$AP136-計分!AA136)</f>
        <v/>
      </c>
      <c r="AB136">
        <f>IF(OR(計分!AB136="",計分!$AP136=""),"",計分!$AP136-計分!AB136)</f>
        <v/>
      </c>
      <c r="AC136">
        <f>IF(OR(計分!AC136="",計分!$AP136=""),"",計分!$AP136-計分!AC136)</f>
        <v/>
      </c>
      <c r="AD136">
        <f>IF(OR(計分!AD136="",計分!$AP136=""),"",計分!$AP136-計分!AD136)</f>
        <v/>
      </c>
      <c r="AE136">
        <f>IF(OR(計分!AE136="",計分!$AP136=""),"",計分!$AP136-計分!AE136)</f>
        <v/>
      </c>
      <c r="AF136">
        <f>IF(OR(計分!AF136="",計分!$AP136=""),"",計分!$AP136-計分!AF136)</f>
        <v/>
      </c>
      <c r="AG136">
        <f>IF(OR(計分!AG136="",計分!$AP136=""),"",計分!$AP136-計分!AG136)</f>
        <v/>
      </c>
      <c r="AH136">
        <f>IF(OR(計分!AH136="",計分!$AP136=""),"",計分!$AP136-計分!AH136)</f>
        <v/>
      </c>
      <c r="AI136">
        <f>IF(OR(計分!AI136="",計分!$AP136=""),"",計分!$AP136-計分!AI136)</f>
        <v/>
      </c>
      <c r="AJ136">
        <f>IF(OR(計分!AJ136="",計分!$AP136=""),"",計分!$AP136-計分!AJ136)</f>
        <v/>
      </c>
      <c r="AK136">
        <f>IF(OR(計分!AK136="",計分!$AP136=""),"",計分!$AP136-計分!AK136)</f>
        <v/>
      </c>
      <c r="AL136">
        <f>IF(OR(計分!AL136="",計分!$AP136=""),"",計分!$AP136-計分!AL136)</f>
        <v/>
      </c>
      <c r="AM136">
        <f>IF(OR(計分!AM136="",計分!$AP136=""),"",計分!$AP136-計分!AM136)</f>
        <v/>
      </c>
      <c r="AN136">
        <f>IF(OR(計分!AN136="",計分!$AP136=""),"",計分!$AP136-計分!AN136)</f>
        <v/>
      </c>
      <c r="AO136">
        <f>IF(OR(計分!AO136="",計分!$AP136=""),"",計分!$AP136-計分!AO136)</f>
        <v/>
      </c>
    </row>
    <row r="137">
      <c r="A137">
        <f>計分!A137</f>
        <v/>
      </c>
      <c r="B137">
        <f>IF(OR(計分!B137="",計分!$AP137=""),"",計分!$AP137-計分!B137)</f>
        <v/>
      </c>
      <c r="C137">
        <f>IF(OR(計分!C137="",計分!$AP137=""),"",計分!$AP137-計分!C137)</f>
        <v/>
      </c>
      <c r="D137">
        <f>IF(OR(計分!D137="",計分!$AP137=""),"",計分!$AP137-計分!D137)</f>
        <v/>
      </c>
      <c r="E137">
        <f>IF(OR(計分!E137="",計分!$AP137=""),"",計分!$AP137-計分!E137)</f>
        <v/>
      </c>
      <c r="F137">
        <f>IF(OR(計分!F137="",計分!$AP137=""),"",計分!$AP137-計分!F137)</f>
        <v/>
      </c>
      <c r="G137">
        <f>IF(OR(計分!G137="",計分!$AP137=""),"",計分!$AP137-計分!G137)</f>
        <v/>
      </c>
      <c r="H137">
        <f>IF(OR(計分!H137="",計分!$AP137=""),"",計分!$AP137-計分!H137)</f>
        <v/>
      </c>
      <c r="I137">
        <f>IF(OR(計分!I137="",計分!$AP137=""),"",計分!$AP137-計分!I137)</f>
        <v/>
      </c>
      <c r="J137">
        <f>IF(OR(計分!J137="",計分!$AP137=""),"",計分!$AP137-計分!J137)</f>
        <v/>
      </c>
      <c r="K137">
        <f>IF(OR(計分!K137="",計分!$AP137=""),"",計分!$AP137-計分!K137)</f>
        <v/>
      </c>
      <c r="L137">
        <f>IF(OR(計分!L137="",計分!$AP137=""),"",計分!$AP137-計分!L137)</f>
        <v/>
      </c>
      <c r="M137">
        <f>IF(OR(計分!M137="",計分!$AP137=""),"",計分!$AP137-計分!M137)</f>
        <v/>
      </c>
      <c r="N137">
        <f>IF(OR(計分!N137="",計分!$AP137=""),"",計分!$AP137-計分!N137)</f>
        <v/>
      </c>
      <c r="O137">
        <f>IF(OR(計分!O137="",計分!$AP137=""),"",計分!$AP137-計分!O137)</f>
        <v/>
      </c>
      <c r="P137">
        <f>IF(OR(計分!P137="",計分!$AP137=""),"",計分!$AP137-計分!P137)</f>
        <v/>
      </c>
      <c r="Q137">
        <f>IF(OR(計分!Q137="",計分!$AP137=""),"",計分!$AP137-計分!Q137)</f>
        <v/>
      </c>
      <c r="R137">
        <f>IF(OR(計分!R137="",計分!$AP137=""),"",計分!$AP137-計分!R137)</f>
        <v/>
      </c>
      <c r="S137">
        <f>IF(OR(計分!S137="",計分!$AP137=""),"",計分!$AP137-計分!S137)</f>
        <v/>
      </c>
      <c r="T137">
        <f>IF(OR(計分!T137="",計分!$AP137=""),"",計分!$AP137-計分!T137)</f>
        <v/>
      </c>
      <c r="U137">
        <f>IF(OR(計分!U137="",計分!$AP137=""),"",計分!$AP137-計分!U137)</f>
        <v/>
      </c>
      <c r="V137">
        <f>IF(OR(計分!V137="",計分!$AP137=""),"",計分!$AP137-計分!V137)</f>
        <v/>
      </c>
      <c r="W137">
        <f>IF(OR(計分!W137="",計分!$AP137=""),"",計分!$AP137-計分!W137)</f>
        <v/>
      </c>
      <c r="X137">
        <f>IF(OR(計分!X137="",計分!$AP137=""),"",計分!$AP137-計分!X137)</f>
        <v/>
      </c>
      <c r="Y137">
        <f>IF(OR(計分!Y137="",計分!$AP137=""),"",計分!$AP137-計分!Y137)</f>
        <v/>
      </c>
      <c r="Z137">
        <f>IF(OR(計分!Z137="",計分!$AP137=""),"",計分!$AP137-計分!Z137)</f>
        <v/>
      </c>
      <c r="AA137">
        <f>IF(OR(計分!AA137="",計分!$AP137=""),"",計分!$AP137-計分!AA137)</f>
        <v/>
      </c>
      <c r="AB137">
        <f>IF(OR(計分!AB137="",計分!$AP137=""),"",計分!$AP137-計分!AB137)</f>
        <v/>
      </c>
      <c r="AC137">
        <f>IF(OR(計分!AC137="",計分!$AP137=""),"",計分!$AP137-計分!AC137)</f>
        <v/>
      </c>
      <c r="AD137">
        <f>IF(OR(計分!AD137="",計分!$AP137=""),"",計分!$AP137-計分!AD137)</f>
        <v/>
      </c>
      <c r="AE137">
        <f>IF(OR(計分!AE137="",計分!$AP137=""),"",計分!$AP137-計分!AE137)</f>
        <v/>
      </c>
      <c r="AF137">
        <f>IF(OR(計分!AF137="",計分!$AP137=""),"",計分!$AP137-計分!AF137)</f>
        <v/>
      </c>
      <c r="AG137">
        <f>IF(OR(計分!AG137="",計分!$AP137=""),"",計分!$AP137-計分!AG137)</f>
        <v/>
      </c>
      <c r="AH137">
        <f>IF(OR(計分!AH137="",計分!$AP137=""),"",計分!$AP137-計分!AH137)</f>
        <v/>
      </c>
      <c r="AI137">
        <f>IF(OR(計分!AI137="",計分!$AP137=""),"",計分!$AP137-計分!AI137)</f>
        <v/>
      </c>
      <c r="AJ137">
        <f>IF(OR(計分!AJ137="",計分!$AP137=""),"",計分!$AP137-計分!AJ137)</f>
        <v/>
      </c>
      <c r="AK137">
        <f>IF(OR(計分!AK137="",計分!$AP137=""),"",計分!$AP137-計分!AK137)</f>
        <v/>
      </c>
      <c r="AL137">
        <f>IF(OR(計分!AL137="",計分!$AP137=""),"",計分!$AP137-計分!AL137)</f>
        <v/>
      </c>
      <c r="AM137">
        <f>IF(OR(計分!AM137="",計分!$AP137=""),"",計分!$AP137-計分!AM137)</f>
        <v/>
      </c>
      <c r="AN137">
        <f>IF(OR(計分!AN137="",計分!$AP137=""),"",計分!$AP137-計分!AN137)</f>
        <v/>
      </c>
      <c r="AO137">
        <f>IF(OR(計分!AO137="",計分!$AP137=""),"",計分!$AP137-計分!AO137)</f>
        <v/>
      </c>
    </row>
    <row r="138">
      <c r="A138">
        <f>計分!A138</f>
        <v/>
      </c>
      <c r="B138">
        <f>IF(OR(計分!B138="",計分!$AP138=""),"",計分!$AP138-計分!B138)</f>
        <v/>
      </c>
      <c r="C138">
        <f>IF(OR(計分!C138="",計分!$AP138=""),"",計分!$AP138-計分!C138)</f>
        <v/>
      </c>
      <c r="D138">
        <f>IF(OR(計分!D138="",計分!$AP138=""),"",計分!$AP138-計分!D138)</f>
        <v/>
      </c>
      <c r="E138">
        <f>IF(OR(計分!E138="",計分!$AP138=""),"",計分!$AP138-計分!E138)</f>
        <v/>
      </c>
      <c r="F138">
        <f>IF(OR(計分!F138="",計分!$AP138=""),"",計分!$AP138-計分!F138)</f>
        <v/>
      </c>
      <c r="G138">
        <f>IF(OR(計分!G138="",計分!$AP138=""),"",計分!$AP138-計分!G138)</f>
        <v/>
      </c>
      <c r="H138">
        <f>IF(OR(計分!H138="",計分!$AP138=""),"",計分!$AP138-計分!H138)</f>
        <v/>
      </c>
      <c r="I138">
        <f>IF(OR(計分!I138="",計分!$AP138=""),"",計分!$AP138-計分!I138)</f>
        <v/>
      </c>
      <c r="J138">
        <f>IF(OR(計分!J138="",計分!$AP138=""),"",計分!$AP138-計分!J138)</f>
        <v/>
      </c>
      <c r="K138">
        <f>IF(OR(計分!K138="",計分!$AP138=""),"",計分!$AP138-計分!K138)</f>
        <v/>
      </c>
      <c r="L138">
        <f>IF(OR(計分!L138="",計分!$AP138=""),"",計分!$AP138-計分!L138)</f>
        <v/>
      </c>
      <c r="M138">
        <f>IF(OR(計分!M138="",計分!$AP138=""),"",計分!$AP138-計分!M138)</f>
        <v/>
      </c>
      <c r="N138">
        <f>IF(OR(計分!N138="",計分!$AP138=""),"",計分!$AP138-計分!N138)</f>
        <v/>
      </c>
      <c r="O138">
        <f>IF(OR(計分!O138="",計分!$AP138=""),"",計分!$AP138-計分!O138)</f>
        <v/>
      </c>
      <c r="P138">
        <f>IF(OR(計分!P138="",計分!$AP138=""),"",計分!$AP138-計分!P138)</f>
        <v/>
      </c>
      <c r="Q138">
        <f>IF(OR(計分!Q138="",計分!$AP138=""),"",計分!$AP138-計分!Q138)</f>
        <v/>
      </c>
      <c r="R138">
        <f>IF(OR(計分!R138="",計分!$AP138=""),"",計分!$AP138-計分!R138)</f>
        <v/>
      </c>
      <c r="S138">
        <f>IF(OR(計分!S138="",計分!$AP138=""),"",計分!$AP138-計分!S138)</f>
        <v/>
      </c>
      <c r="T138">
        <f>IF(OR(計分!T138="",計分!$AP138=""),"",計分!$AP138-計分!T138)</f>
        <v/>
      </c>
      <c r="U138">
        <f>IF(OR(計分!U138="",計分!$AP138=""),"",計分!$AP138-計分!U138)</f>
        <v/>
      </c>
      <c r="V138">
        <f>IF(OR(計分!V138="",計分!$AP138=""),"",計分!$AP138-計分!V138)</f>
        <v/>
      </c>
      <c r="W138">
        <f>IF(OR(計分!W138="",計分!$AP138=""),"",計分!$AP138-計分!W138)</f>
        <v/>
      </c>
      <c r="X138">
        <f>IF(OR(計分!X138="",計分!$AP138=""),"",計分!$AP138-計分!X138)</f>
        <v/>
      </c>
      <c r="Y138">
        <f>IF(OR(計分!Y138="",計分!$AP138=""),"",計分!$AP138-計分!Y138)</f>
        <v/>
      </c>
      <c r="Z138">
        <f>IF(OR(計分!Z138="",計分!$AP138=""),"",計分!$AP138-計分!Z138)</f>
        <v/>
      </c>
      <c r="AA138">
        <f>IF(OR(計分!AA138="",計分!$AP138=""),"",計分!$AP138-計分!AA138)</f>
        <v/>
      </c>
      <c r="AB138">
        <f>IF(OR(計分!AB138="",計分!$AP138=""),"",計分!$AP138-計分!AB138)</f>
        <v/>
      </c>
      <c r="AC138">
        <f>IF(OR(計分!AC138="",計分!$AP138=""),"",計分!$AP138-計分!AC138)</f>
        <v/>
      </c>
      <c r="AD138">
        <f>IF(OR(計分!AD138="",計分!$AP138=""),"",計分!$AP138-計分!AD138)</f>
        <v/>
      </c>
      <c r="AE138">
        <f>IF(OR(計分!AE138="",計分!$AP138=""),"",計分!$AP138-計分!AE138)</f>
        <v/>
      </c>
      <c r="AF138">
        <f>IF(OR(計分!AF138="",計分!$AP138=""),"",計分!$AP138-計分!AF138)</f>
        <v/>
      </c>
      <c r="AG138">
        <f>IF(OR(計分!AG138="",計分!$AP138=""),"",計分!$AP138-計分!AG138)</f>
        <v/>
      </c>
      <c r="AH138">
        <f>IF(OR(計分!AH138="",計分!$AP138=""),"",計分!$AP138-計分!AH138)</f>
        <v/>
      </c>
      <c r="AI138">
        <f>IF(OR(計分!AI138="",計分!$AP138=""),"",計分!$AP138-計分!AI138)</f>
        <v/>
      </c>
      <c r="AJ138">
        <f>IF(OR(計分!AJ138="",計分!$AP138=""),"",計分!$AP138-計分!AJ138)</f>
        <v/>
      </c>
      <c r="AK138">
        <f>IF(OR(計分!AK138="",計分!$AP138=""),"",計分!$AP138-計分!AK138)</f>
        <v/>
      </c>
      <c r="AL138">
        <f>IF(OR(計分!AL138="",計分!$AP138=""),"",計分!$AP138-計分!AL138)</f>
        <v/>
      </c>
      <c r="AM138">
        <f>IF(OR(計分!AM138="",計分!$AP138=""),"",計分!$AP138-計分!AM138)</f>
        <v/>
      </c>
      <c r="AN138">
        <f>IF(OR(計分!AN138="",計分!$AP138=""),"",計分!$AP138-計分!AN138)</f>
        <v/>
      </c>
      <c r="AO138">
        <f>IF(OR(計分!AO138="",計分!$AP138=""),"",計分!$AP138-計分!AO138)</f>
        <v/>
      </c>
    </row>
    <row r="139">
      <c r="A139">
        <f>計分!A139</f>
        <v/>
      </c>
      <c r="B139">
        <f>IF(OR(計分!B139="",計分!$AP139=""),"",計分!$AP139-計分!B139)</f>
        <v/>
      </c>
      <c r="C139">
        <f>IF(OR(計分!C139="",計分!$AP139=""),"",計分!$AP139-計分!C139)</f>
        <v/>
      </c>
      <c r="D139">
        <f>IF(OR(計分!D139="",計分!$AP139=""),"",計分!$AP139-計分!D139)</f>
        <v/>
      </c>
      <c r="E139">
        <f>IF(OR(計分!E139="",計分!$AP139=""),"",計分!$AP139-計分!E139)</f>
        <v/>
      </c>
      <c r="F139">
        <f>IF(OR(計分!F139="",計分!$AP139=""),"",計分!$AP139-計分!F139)</f>
        <v/>
      </c>
      <c r="G139">
        <f>IF(OR(計分!G139="",計分!$AP139=""),"",計分!$AP139-計分!G139)</f>
        <v/>
      </c>
      <c r="H139">
        <f>IF(OR(計分!H139="",計分!$AP139=""),"",計分!$AP139-計分!H139)</f>
        <v/>
      </c>
      <c r="I139">
        <f>IF(OR(計分!I139="",計分!$AP139=""),"",計分!$AP139-計分!I139)</f>
        <v/>
      </c>
      <c r="J139">
        <f>IF(OR(計分!J139="",計分!$AP139=""),"",計分!$AP139-計分!J139)</f>
        <v/>
      </c>
      <c r="K139">
        <f>IF(OR(計分!K139="",計分!$AP139=""),"",計分!$AP139-計分!K139)</f>
        <v/>
      </c>
      <c r="L139">
        <f>IF(OR(計分!L139="",計分!$AP139=""),"",計分!$AP139-計分!L139)</f>
        <v/>
      </c>
      <c r="M139">
        <f>IF(OR(計分!M139="",計分!$AP139=""),"",計分!$AP139-計分!M139)</f>
        <v/>
      </c>
      <c r="N139">
        <f>IF(OR(計分!N139="",計分!$AP139=""),"",計分!$AP139-計分!N139)</f>
        <v/>
      </c>
      <c r="O139">
        <f>IF(OR(計分!O139="",計分!$AP139=""),"",計分!$AP139-計分!O139)</f>
        <v/>
      </c>
      <c r="P139">
        <f>IF(OR(計分!P139="",計分!$AP139=""),"",計分!$AP139-計分!P139)</f>
        <v/>
      </c>
      <c r="Q139">
        <f>IF(OR(計分!Q139="",計分!$AP139=""),"",計分!$AP139-計分!Q139)</f>
        <v/>
      </c>
      <c r="R139">
        <f>IF(OR(計分!R139="",計分!$AP139=""),"",計分!$AP139-計分!R139)</f>
        <v/>
      </c>
      <c r="S139">
        <f>IF(OR(計分!S139="",計分!$AP139=""),"",計分!$AP139-計分!S139)</f>
        <v/>
      </c>
      <c r="T139">
        <f>IF(OR(計分!T139="",計分!$AP139=""),"",計分!$AP139-計分!T139)</f>
        <v/>
      </c>
      <c r="U139">
        <f>IF(OR(計分!U139="",計分!$AP139=""),"",計分!$AP139-計分!U139)</f>
        <v/>
      </c>
      <c r="V139">
        <f>IF(OR(計分!V139="",計分!$AP139=""),"",計分!$AP139-計分!V139)</f>
        <v/>
      </c>
      <c r="W139">
        <f>IF(OR(計分!W139="",計分!$AP139=""),"",計分!$AP139-計分!W139)</f>
        <v/>
      </c>
      <c r="X139">
        <f>IF(OR(計分!X139="",計分!$AP139=""),"",計分!$AP139-計分!X139)</f>
        <v/>
      </c>
      <c r="Y139">
        <f>IF(OR(計分!Y139="",計分!$AP139=""),"",計分!$AP139-計分!Y139)</f>
        <v/>
      </c>
      <c r="Z139">
        <f>IF(OR(計分!Z139="",計分!$AP139=""),"",計分!$AP139-計分!Z139)</f>
        <v/>
      </c>
      <c r="AA139">
        <f>IF(OR(計分!AA139="",計分!$AP139=""),"",計分!$AP139-計分!AA139)</f>
        <v/>
      </c>
      <c r="AB139">
        <f>IF(OR(計分!AB139="",計分!$AP139=""),"",計分!$AP139-計分!AB139)</f>
        <v/>
      </c>
      <c r="AC139">
        <f>IF(OR(計分!AC139="",計分!$AP139=""),"",計分!$AP139-計分!AC139)</f>
        <v/>
      </c>
      <c r="AD139">
        <f>IF(OR(計分!AD139="",計分!$AP139=""),"",計分!$AP139-計分!AD139)</f>
        <v/>
      </c>
      <c r="AE139">
        <f>IF(OR(計分!AE139="",計分!$AP139=""),"",計分!$AP139-計分!AE139)</f>
        <v/>
      </c>
      <c r="AF139">
        <f>IF(OR(計分!AF139="",計分!$AP139=""),"",計分!$AP139-計分!AF139)</f>
        <v/>
      </c>
      <c r="AG139">
        <f>IF(OR(計分!AG139="",計分!$AP139=""),"",計分!$AP139-計分!AG139)</f>
        <v/>
      </c>
      <c r="AH139">
        <f>IF(OR(計分!AH139="",計分!$AP139=""),"",計分!$AP139-計分!AH139)</f>
        <v/>
      </c>
      <c r="AI139">
        <f>IF(OR(計分!AI139="",計分!$AP139=""),"",計分!$AP139-計分!AI139)</f>
        <v/>
      </c>
      <c r="AJ139">
        <f>IF(OR(計分!AJ139="",計分!$AP139=""),"",計分!$AP139-計分!AJ139)</f>
        <v/>
      </c>
      <c r="AK139">
        <f>IF(OR(計分!AK139="",計分!$AP139=""),"",計分!$AP139-計分!AK139)</f>
        <v/>
      </c>
      <c r="AL139">
        <f>IF(OR(計分!AL139="",計分!$AP139=""),"",計分!$AP139-計分!AL139)</f>
        <v/>
      </c>
      <c r="AM139">
        <f>IF(OR(計分!AM139="",計分!$AP139=""),"",計分!$AP139-計分!AM139)</f>
        <v/>
      </c>
      <c r="AN139">
        <f>IF(OR(計分!AN139="",計分!$AP139=""),"",計分!$AP139-計分!AN139)</f>
        <v/>
      </c>
      <c r="AO139">
        <f>IF(OR(計分!AO139="",計分!$AP139=""),"",計分!$AP139-計分!AO139)</f>
        <v/>
      </c>
    </row>
    <row r="140">
      <c r="A140">
        <f>計分!A140</f>
        <v/>
      </c>
      <c r="B140">
        <f>IF(OR(計分!B140="",計分!$AP140=""),"",計分!$AP140-計分!B140)</f>
        <v/>
      </c>
      <c r="C140">
        <f>IF(OR(計分!C140="",計分!$AP140=""),"",計分!$AP140-計分!C140)</f>
        <v/>
      </c>
      <c r="D140">
        <f>IF(OR(計分!D140="",計分!$AP140=""),"",計分!$AP140-計分!D140)</f>
        <v/>
      </c>
      <c r="E140">
        <f>IF(OR(計分!E140="",計分!$AP140=""),"",計分!$AP140-計分!E140)</f>
        <v/>
      </c>
      <c r="F140">
        <f>IF(OR(計分!F140="",計分!$AP140=""),"",計分!$AP140-計分!F140)</f>
        <v/>
      </c>
      <c r="G140">
        <f>IF(OR(計分!G140="",計分!$AP140=""),"",計分!$AP140-計分!G140)</f>
        <v/>
      </c>
      <c r="H140">
        <f>IF(OR(計分!H140="",計分!$AP140=""),"",計分!$AP140-計分!H140)</f>
        <v/>
      </c>
      <c r="I140">
        <f>IF(OR(計分!I140="",計分!$AP140=""),"",計分!$AP140-計分!I140)</f>
        <v/>
      </c>
      <c r="J140">
        <f>IF(OR(計分!J140="",計分!$AP140=""),"",計分!$AP140-計分!J140)</f>
        <v/>
      </c>
      <c r="K140">
        <f>IF(OR(計分!K140="",計分!$AP140=""),"",計分!$AP140-計分!K140)</f>
        <v/>
      </c>
      <c r="L140">
        <f>IF(OR(計分!L140="",計分!$AP140=""),"",計分!$AP140-計分!L140)</f>
        <v/>
      </c>
      <c r="M140">
        <f>IF(OR(計分!M140="",計分!$AP140=""),"",計分!$AP140-計分!M140)</f>
        <v/>
      </c>
      <c r="N140">
        <f>IF(OR(計分!N140="",計分!$AP140=""),"",計分!$AP140-計分!N140)</f>
        <v/>
      </c>
      <c r="O140">
        <f>IF(OR(計分!O140="",計分!$AP140=""),"",計分!$AP140-計分!O140)</f>
        <v/>
      </c>
      <c r="P140">
        <f>IF(OR(計分!P140="",計分!$AP140=""),"",計分!$AP140-計分!P140)</f>
        <v/>
      </c>
      <c r="Q140">
        <f>IF(OR(計分!Q140="",計分!$AP140=""),"",計分!$AP140-計分!Q140)</f>
        <v/>
      </c>
      <c r="R140">
        <f>IF(OR(計分!R140="",計分!$AP140=""),"",計分!$AP140-計分!R140)</f>
        <v/>
      </c>
      <c r="S140">
        <f>IF(OR(計分!S140="",計分!$AP140=""),"",計分!$AP140-計分!S140)</f>
        <v/>
      </c>
      <c r="T140">
        <f>IF(OR(計分!T140="",計分!$AP140=""),"",計分!$AP140-計分!T140)</f>
        <v/>
      </c>
      <c r="U140">
        <f>IF(OR(計分!U140="",計分!$AP140=""),"",計分!$AP140-計分!U140)</f>
        <v/>
      </c>
      <c r="V140">
        <f>IF(OR(計分!V140="",計分!$AP140=""),"",計分!$AP140-計分!V140)</f>
        <v/>
      </c>
      <c r="W140">
        <f>IF(OR(計分!W140="",計分!$AP140=""),"",計分!$AP140-計分!W140)</f>
        <v/>
      </c>
      <c r="X140">
        <f>IF(OR(計分!X140="",計分!$AP140=""),"",計分!$AP140-計分!X140)</f>
        <v/>
      </c>
      <c r="Y140">
        <f>IF(OR(計分!Y140="",計分!$AP140=""),"",計分!$AP140-計分!Y140)</f>
        <v/>
      </c>
      <c r="Z140">
        <f>IF(OR(計分!Z140="",計分!$AP140=""),"",計分!$AP140-計分!Z140)</f>
        <v/>
      </c>
      <c r="AA140">
        <f>IF(OR(計分!AA140="",計分!$AP140=""),"",計分!$AP140-計分!AA140)</f>
        <v/>
      </c>
      <c r="AB140">
        <f>IF(OR(計分!AB140="",計分!$AP140=""),"",計分!$AP140-計分!AB140)</f>
        <v/>
      </c>
      <c r="AC140">
        <f>IF(OR(計分!AC140="",計分!$AP140=""),"",計分!$AP140-計分!AC140)</f>
        <v/>
      </c>
      <c r="AD140">
        <f>IF(OR(計分!AD140="",計分!$AP140=""),"",計分!$AP140-計分!AD140)</f>
        <v/>
      </c>
      <c r="AE140">
        <f>IF(OR(計分!AE140="",計分!$AP140=""),"",計分!$AP140-計分!AE140)</f>
        <v/>
      </c>
      <c r="AF140">
        <f>IF(OR(計分!AF140="",計分!$AP140=""),"",計分!$AP140-計分!AF140)</f>
        <v/>
      </c>
      <c r="AG140">
        <f>IF(OR(計分!AG140="",計分!$AP140=""),"",計分!$AP140-計分!AG140)</f>
        <v/>
      </c>
      <c r="AH140">
        <f>IF(OR(計分!AH140="",計分!$AP140=""),"",計分!$AP140-計分!AH140)</f>
        <v/>
      </c>
      <c r="AI140">
        <f>IF(OR(計分!AI140="",計分!$AP140=""),"",計分!$AP140-計分!AI140)</f>
        <v/>
      </c>
      <c r="AJ140">
        <f>IF(OR(計分!AJ140="",計分!$AP140=""),"",計分!$AP140-計分!AJ140)</f>
        <v/>
      </c>
      <c r="AK140">
        <f>IF(OR(計分!AK140="",計分!$AP140=""),"",計分!$AP140-計分!AK140)</f>
        <v/>
      </c>
      <c r="AL140">
        <f>IF(OR(計分!AL140="",計分!$AP140=""),"",計分!$AP140-計分!AL140)</f>
        <v/>
      </c>
      <c r="AM140">
        <f>IF(OR(計分!AM140="",計分!$AP140=""),"",計分!$AP140-計分!AM140)</f>
        <v/>
      </c>
      <c r="AN140">
        <f>IF(OR(計分!AN140="",計分!$AP140=""),"",計分!$AP140-計分!AN140)</f>
        <v/>
      </c>
      <c r="AO140">
        <f>IF(OR(計分!AO140="",計分!$AP140=""),"",計分!$AP140-計分!AO140)</f>
        <v/>
      </c>
    </row>
    <row r="141">
      <c r="A141">
        <f>計分!A141</f>
        <v/>
      </c>
      <c r="B141">
        <f>IF(OR(計分!B141="",計分!$AP141=""),"",計分!$AP141-計分!B141)</f>
        <v/>
      </c>
      <c r="C141">
        <f>IF(OR(計分!C141="",計分!$AP141=""),"",計分!$AP141-計分!C141)</f>
        <v/>
      </c>
      <c r="D141">
        <f>IF(OR(計分!D141="",計分!$AP141=""),"",計分!$AP141-計分!D141)</f>
        <v/>
      </c>
      <c r="E141">
        <f>IF(OR(計分!E141="",計分!$AP141=""),"",計分!$AP141-計分!E141)</f>
        <v/>
      </c>
      <c r="F141">
        <f>IF(OR(計分!F141="",計分!$AP141=""),"",計分!$AP141-計分!F141)</f>
        <v/>
      </c>
      <c r="G141">
        <f>IF(OR(計分!G141="",計分!$AP141=""),"",計分!$AP141-計分!G141)</f>
        <v/>
      </c>
      <c r="H141">
        <f>IF(OR(計分!H141="",計分!$AP141=""),"",計分!$AP141-計分!H141)</f>
        <v/>
      </c>
      <c r="I141">
        <f>IF(OR(計分!I141="",計分!$AP141=""),"",計分!$AP141-計分!I141)</f>
        <v/>
      </c>
      <c r="J141">
        <f>IF(OR(計分!J141="",計分!$AP141=""),"",計分!$AP141-計分!J141)</f>
        <v/>
      </c>
      <c r="K141">
        <f>IF(OR(計分!K141="",計分!$AP141=""),"",計分!$AP141-計分!K141)</f>
        <v/>
      </c>
      <c r="L141">
        <f>IF(OR(計分!L141="",計分!$AP141=""),"",計分!$AP141-計分!L141)</f>
        <v/>
      </c>
      <c r="M141">
        <f>IF(OR(計分!M141="",計分!$AP141=""),"",計分!$AP141-計分!M141)</f>
        <v/>
      </c>
      <c r="N141">
        <f>IF(OR(計分!N141="",計分!$AP141=""),"",計分!$AP141-計分!N141)</f>
        <v/>
      </c>
      <c r="O141">
        <f>IF(OR(計分!O141="",計分!$AP141=""),"",計分!$AP141-計分!O141)</f>
        <v/>
      </c>
      <c r="P141">
        <f>IF(OR(計分!P141="",計分!$AP141=""),"",計分!$AP141-計分!P141)</f>
        <v/>
      </c>
      <c r="Q141">
        <f>IF(OR(計分!Q141="",計分!$AP141=""),"",計分!$AP141-計分!Q141)</f>
        <v/>
      </c>
      <c r="R141">
        <f>IF(OR(計分!R141="",計分!$AP141=""),"",計分!$AP141-計分!R141)</f>
        <v/>
      </c>
      <c r="S141">
        <f>IF(OR(計分!S141="",計分!$AP141=""),"",計分!$AP141-計分!S141)</f>
        <v/>
      </c>
      <c r="T141">
        <f>IF(OR(計分!T141="",計分!$AP141=""),"",計分!$AP141-計分!T141)</f>
        <v/>
      </c>
      <c r="U141">
        <f>IF(OR(計分!U141="",計分!$AP141=""),"",計分!$AP141-計分!U141)</f>
        <v/>
      </c>
      <c r="V141">
        <f>IF(OR(計分!V141="",計分!$AP141=""),"",計分!$AP141-計分!V141)</f>
        <v/>
      </c>
      <c r="W141">
        <f>IF(OR(計分!W141="",計分!$AP141=""),"",計分!$AP141-計分!W141)</f>
        <v/>
      </c>
      <c r="X141">
        <f>IF(OR(計分!X141="",計分!$AP141=""),"",計分!$AP141-計分!X141)</f>
        <v/>
      </c>
      <c r="Y141">
        <f>IF(OR(計分!Y141="",計分!$AP141=""),"",計分!$AP141-計分!Y141)</f>
        <v/>
      </c>
      <c r="Z141">
        <f>IF(OR(計分!Z141="",計分!$AP141=""),"",計分!$AP141-計分!Z141)</f>
        <v/>
      </c>
      <c r="AA141">
        <f>IF(OR(計分!AA141="",計分!$AP141=""),"",計分!$AP141-計分!AA141)</f>
        <v/>
      </c>
      <c r="AB141">
        <f>IF(OR(計分!AB141="",計分!$AP141=""),"",計分!$AP141-計分!AB141)</f>
        <v/>
      </c>
      <c r="AC141">
        <f>IF(OR(計分!AC141="",計分!$AP141=""),"",計分!$AP141-計分!AC141)</f>
        <v/>
      </c>
      <c r="AD141">
        <f>IF(OR(計分!AD141="",計分!$AP141=""),"",計分!$AP141-計分!AD141)</f>
        <v/>
      </c>
      <c r="AE141">
        <f>IF(OR(計分!AE141="",計分!$AP141=""),"",計分!$AP141-計分!AE141)</f>
        <v/>
      </c>
      <c r="AF141">
        <f>IF(OR(計分!AF141="",計分!$AP141=""),"",計分!$AP141-計分!AF141)</f>
        <v/>
      </c>
      <c r="AG141">
        <f>IF(OR(計分!AG141="",計分!$AP141=""),"",計分!$AP141-計分!AG141)</f>
        <v/>
      </c>
      <c r="AH141">
        <f>IF(OR(計分!AH141="",計分!$AP141=""),"",計分!$AP141-計分!AH141)</f>
        <v/>
      </c>
      <c r="AI141">
        <f>IF(OR(計分!AI141="",計分!$AP141=""),"",計分!$AP141-計分!AI141)</f>
        <v/>
      </c>
      <c r="AJ141">
        <f>IF(OR(計分!AJ141="",計分!$AP141=""),"",計分!$AP141-計分!AJ141)</f>
        <v/>
      </c>
      <c r="AK141">
        <f>IF(OR(計分!AK141="",計分!$AP141=""),"",計分!$AP141-計分!AK141)</f>
        <v/>
      </c>
      <c r="AL141">
        <f>IF(OR(計分!AL141="",計分!$AP141=""),"",計分!$AP141-計分!AL141)</f>
        <v/>
      </c>
      <c r="AM141">
        <f>IF(OR(計分!AM141="",計分!$AP141=""),"",計分!$AP141-計分!AM141)</f>
        <v/>
      </c>
      <c r="AN141">
        <f>IF(OR(計分!AN141="",計分!$AP141=""),"",計分!$AP141-計分!AN141)</f>
        <v/>
      </c>
      <c r="AO141">
        <f>IF(OR(計分!AO141="",計分!$AP141=""),"",計分!$AP141-計分!AO141)</f>
        <v/>
      </c>
    </row>
    <row r="142">
      <c r="A142">
        <f>計分!A142</f>
        <v/>
      </c>
      <c r="B142">
        <f>IF(OR(計分!B142="",計分!$AP142=""),"",計分!$AP142-計分!B142)</f>
        <v/>
      </c>
      <c r="C142">
        <f>IF(OR(計分!C142="",計分!$AP142=""),"",計分!$AP142-計分!C142)</f>
        <v/>
      </c>
      <c r="D142">
        <f>IF(OR(計分!D142="",計分!$AP142=""),"",計分!$AP142-計分!D142)</f>
        <v/>
      </c>
      <c r="E142">
        <f>IF(OR(計分!E142="",計分!$AP142=""),"",計分!$AP142-計分!E142)</f>
        <v/>
      </c>
      <c r="F142">
        <f>IF(OR(計分!F142="",計分!$AP142=""),"",計分!$AP142-計分!F142)</f>
        <v/>
      </c>
      <c r="G142">
        <f>IF(OR(計分!G142="",計分!$AP142=""),"",計分!$AP142-計分!G142)</f>
        <v/>
      </c>
      <c r="H142">
        <f>IF(OR(計分!H142="",計分!$AP142=""),"",計分!$AP142-計分!H142)</f>
        <v/>
      </c>
      <c r="I142">
        <f>IF(OR(計分!I142="",計分!$AP142=""),"",計分!$AP142-計分!I142)</f>
        <v/>
      </c>
      <c r="J142">
        <f>IF(OR(計分!J142="",計分!$AP142=""),"",計分!$AP142-計分!J142)</f>
        <v/>
      </c>
      <c r="K142">
        <f>IF(OR(計分!K142="",計分!$AP142=""),"",計分!$AP142-計分!K142)</f>
        <v/>
      </c>
      <c r="L142">
        <f>IF(OR(計分!L142="",計分!$AP142=""),"",計分!$AP142-計分!L142)</f>
        <v/>
      </c>
      <c r="M142">
        <f>IF(OR(計分!M142="",計分!$AP142=""),"",計分!$AP142-計分!M142)</f>
        <v/>
      </c>
      <c r="N142">
        <f>IF(OR(計分!N142="",計分!$AP142=""),"",計分!$AP142-計分!N142)</f>
        <v/>
      </c>
      <c r="O142">
        <f>IF(OR(計分!O142="",計分!$AP142=""),"",計分!$AP142-計分!O142)</f>
        <v/>
      </c>
      <c r="P142">
        <f>IF(OR(計分!P142="",計分!$AP142=""),"",計分!$AP142-計分!P142)</f>
        <v/>
      </c>
      <c r="Q142">
        <f>IF(OR(計分!Q142="",計分!$AP142=""),"",計分!$AP142-計分!Q142)</f>
        <v/>
      </c>
      <c r="R142">
        <f>IF(OR(計分!R142="",計分!$AP142=""),"",計分!$AP142-計分!R142)</f>
        <v/>
      </c>
      <c r="S142">
        <f>IF(OR(計分!S142="",計分!$AP142=""),"",計分!$AP142-計分!S142)</f>
        <v/>
      </c>
      <c r="T142">
        <f>IF(OR(計分!T142="",計分!$AP142=""),"",計分!$AP142-計分!T142)</f>
        <v/>
      </c>
      <c r="U142">
        <f>IF(OR(計分!U142="",計分!$AP142=""),"",計分!$AP142-計分!U142)</f>
        <v/>
      </c>
      <c r="V142">
        <f>IF(OR(計分!V142="",計分!$AP142=""),"",計分!$AP142-計分!V142)</f>
        <v/>
      </c>
      <c r="W142">
        <f>IF(OR(計分!W142="",計分!$AP142=""),"",計分!$AP142-計分!W142)</f>
        <v/>
      </c>
      <c r="X142">
        <f>IF(OR(計分!X142="",計分!$AP142=""),"",計分!$AP142-計分!X142)</f>
        <v/>
      </c>
      <c r="Y142">
        <f>IF(OR(計分!Y142="",計分!$AP142=""),"",計分!$AP142-計分!Y142)</f>
        <v/>
      </c>
      <c r="Z142">
        <f>IF(OR(計分!Z142="",計分!$AP142=""),"",計分!$AP142-計分!Z142)</f>
        <v/>
      </c>
      <c r="AA142">
        <f>IF(OR(計分!AA142="",計分!$AP142=""),"",計分!$AP142-計分!AA142)</f>
        <v/>
      </c>
      <c r="AB142">
        <f>IF(OR(計分!AB142="",計分!$AP142=""),"",計分!$AP142-計分!AB142)</f>
        <v/>
      </c>
      <c r="AC142">
        <f>IF(OR(計分!AC142="",計分!$AP142=""),"",計分!$AP142-計分!AC142)</f>
        <v/>
      </c>
      <c r="AD142">
        <f>IF(OR(計分!AD142="",計分!$AP142=""),"",計分!$AP142-計分!AD142)</f>
        <v/>
      </c>
      <c r="AE142">
        <f>IF(OR(計分!AE142="",計分!$AP142=""),"",計分!$AP142-計分!AE142)</f>
        <v/>
      </c>
      <c r="AF142">
        <f>IF(OR(計分!AF142="",計分!$AP142=""),"",計分!$AP142-計分!AF142)</f>
        <v/>
      </c>
      <c r="AG142">
        <f>IF(OR(計分!AG142="",計分!$AP142=""),"",計分!$AP142-計分!AG142)</f>
        <v/>
      </c>
      <c r="AH142">
        <f>IF(OR(計分!AH142="",計分!$AP142=""),"",計分!$AP142-計分!AH142)</f>
        <v/>
      </c>
      <c r="AI142">
        <f>IF(OR(計分!AI142="",計分!$AP142=""),"",計分!$AP142-計分!AI142)</f>
        <v/>
      </c>
      <c r="AJ142">
        <f>IF(OR(計分!AJ142="",計分!$AP142=""),"",計分!$AP142-計分!AJ142)</f>
        <v/>
      </c>
      <c r="AK142">
        <f>IF(OR(計分!AK142="",計分!$AP142=""),"",計分!$AP142-計分!AK142)</f>
        <v/>
      </c>
      <c r="AL142">
        <f>IF(OR(計分!AL142="",計分!$AP142=""),"",計分!$AP142-計分!AL142)</f>
        <v/>
      </c>
      <c r="AM142">
        <f>IF(OR(計分!AM142="",計分!$AP142=""),"",計分!$AP142-計分!AM142)</f>
        <v/>
      </c>
      <c r="AN142">
        <f>IF(OR(計分!AN142="",計分!$AP142=""),"",計分!$AP142-計分!AN142)</f>
        <v/>
      </c>
      <c r="AO142">
        <f>IF(OR(計分!AO142="",計分!$AP142=""),"",計分!$AP142-計分!AO142)</f>
        <v/>
      </c>
    </row>
    <row r="143">
      <c r="A143">
        <f>計分!A143</f>
        <v/>
      </c>
      <c r="B143">
        <f>IF(OR(計分!B143="",計分!$AP143=""),"",計分!$AP143-計分!B143)</f>
        <v/>
      </c>
      <c r="C143">
        <f>IF(OR(計分!C143="",計分!$AP143=""),"",計分!$AP143-計分!C143)</f>
        <v/>
      </c>
      <c r="D143">
        <f>IF(OR(計分!D143="",計分!$AP143=""),"",計分!$AP143-計分!D143)</f>
        <v/>
      </c>
      <c r="E143">
        <f>IF(OR(計分!E143="",計分!$AP143=""),"",計分!$AP143-計分!E143)</f>
        <v/>
      </c>
      <c r="F143">
        <f>IF(OR(計分!F143="",計分!$AP143=""),"",計分!$AP143-計分!F143)</f>
        <v/>
      </c>
      <c r="G143">
        <f>IF(OR(計分!G143="",計分!$AP143=""),"",計分!$AP143-計分!G143)</f>
        <v/>
      </c>
      <c r="H143">
        <f>IF(OR(計分!H143="",計分!$AP143=""),"",計分!$AP143-計分!H143)</f>
        <v/>
      </c>
      <c r="I143">
        <f>IF(OR(計分!I143="",計分!$AP143=""),"",計分!$AP143-計分!I143)</f>
        <v/>
      </c>
      <c r="J143">
        <f>IF(OR(計分!J143="",計分!$AP143=""),"",計分!$AP143-計分!J143)</f>
        <v/>
      </c>
      <c r="K143">
        <f>IF(OR(計分!K143="",計分!$AP143=""),"",計分!$AP143-計分!K143)</f>
        <v/>
      </c>
      <c r="L143">
        <f>IF(OR(計分!L143="",計分!$AP143=""),"",計分!$AP143-計分!L143)</f>
        <v/>
      </c>
      <c r="M143">
        <f>IF(OR(計分!M143="",計分!$AP143=""),"",計分!$AP143-計分!M143)</f>
        <v/>
      </c>
      <c r="N143">
        <f>IF(OR(計分!N143="",計分!$AP143=""),"",計分!$AP143-計分!N143)</f>
        <v/>
      </c>
      <c r="O143">
        <f>IF(OR(計分!O143="",計分!$AP143=""),"",計分!$AP143-計分!O143)</f>
        <v/>
      </c>
      <c r="P143">
        <f>IF(OR(計分!P143="",計分!$AP143=""),"",計分!$AP143-計分!P143)</f>
        <v/>
      </c>
      <c r="Q143">
        <f>IF(OR(計分!Q143="",計分!$AP143=""),"",計分!$AP143-計分!Q143)</f>
        <v/>
      </c>
      <c r="R143">
        <f>IF(OR(計分!R143="",計分!$AP143=""),"",計分!$AP143-計分!R143)</f>
        <v/>
      </c>
      <c r="S143">
        <f>IF(OR(計分!S143="",計分!$AP143=""),"",計分!$AP143-計分!S143)</f>
        <v/>
      </c>
      <c r="T143">
        <f>IF(OR(計分!T143="",計分!$AP143=""),"",計分!$AP143-計分!T143)</f>
        <v/>
      </c>
      <c r="U143">
        <f>IF(OR(計分!U143="",計分!$AP143=""),"",計分!$AP143-計分!U143)</f>
        <v/>
      </c>
      <c r="V143">
        <f>IF(OR(計分!V143="",計分!$AP143=""),"",計分!$AP143-計分!V143)</f>
        <v/>
      </c>
      <c r="W143">
        <f>IF(OR(計分!W143="",計分!$AP143=""),"",計分!$AP143-計分!W143)</f>
        <v/>
      </c>
      <c r="X143">
        <f>IF(OR(計分!X143="",計分!$AP143=""),"",計分!$AP143-計分!X143)</f>
        <v/>
      </c>
      <c r="Y143">
        <f>IF(OR(計分!Y143="",計分!$AP143=""),"",計分!$AP143-計分!Y143)</f>
        <v/>
      </c>
      <c r="Z143">
        <f>IF(OR(計分!Z143="",計分!$AP143=""),"",計分!$AP143-計分!Z143)</f>
        <v/>
      </c>
      <c r="AA143">
        <f>IF(OR(計分!AA143="",計分!$AP143=""),"",計分!$AP143-計分!AA143)</f>
        <v/>
      </c>
      <c r="AB143">
        <f>IF(OR(計分!AB143="",計分!$AP143=""),"",計分!$AP143-計分!AB143)</f>
        <v/>
      </c>
      <c r="AC143">
        <f>IF(OR(計分!AC143="",計分!$AP143=""),"",計分!$AP143-計分!AC143)</f>
        <v/>
      </c>
      <c r="AD143">
        <f>IF(OR(計分!AD143="",計分!$AP143=""),"",計分!$AP143-計分!AD143)</f>
        <v/>
      </c>
      <c r="AE143">
        <f>IF(OR(計分!AE143="",計分!$AP143=""),"",計分!$AP143-計分!AE143)</f>
        <v/>
      </c>
      <c r="AF143">
        <f>IF(OR(計分!AF143="",計分!$AP143=""),"",計分!$AP143-計分!AF143)</f>
        <v/>
      </c>
      <c r="AG143">
        <f>IF(OR(計分!AG143="",計分!$AP143=""),"",計分!$AP143-計分!AG143)</f>
        <v/>
      </c>
      <c r="AH143">
        <f>IF(OR(計分!AH143="",計分!$AP143=""),"",計分!$AP143-計分!AH143)</f>
        <v/>
      </c>
      <c r="AI143">
        <f>IF(OR(計分!AI143="",計分!$AP143=""),"",計分!$AP143-計分!AI143)</f>
        <v/>
      </c>
      <c r="AJ143">
        <f>IF(OR(計分!AJ143="",計分!$AP143=""),"",計分!$AP143-計分!AJ143)</f>
        <v/>
      </c>
      <c r="AK143">
        <f>IF(OR(計分!AK143="",計分!$AP143=""),"",計分!$AP143-計分!AK143)</f>
        <v/>
      </c>
      <c r="AL143">
        <f>IF(OR(計分!AL143="",計分!$AP143=""),"",計分!$AP143-計分!AL143)</f>
        <v/>
      </c>
      <c r="AM143">
        <f>IF(OR(計分!AM143="",計分!$AP143=""),"",計分!$AP143-計分!AM143)</f>
        <v/>
      </c>
      <c r="AN143">
        <f>IF(OR(計分!AN143="",計分!$AP143=""),"",計分!$AP143-計分!AN143)</f>
        <v/>
      </c>
      <c r="AO143">
        <f>IF(OR(計分!AO143="",計分!$AP143=""),"",計分!$AP143-計分!AO143)</f>
        <v/>
      </c>
    </row>
    <row r="144">
      <c r="A144">
        <f>計分!A144</f>
        <v/>
      </c>
      <c r="B144">
        <f>IF(OR(計分!B144="",計分!$AP144=""),"",計分!$AP144-計分!B144)</f>
        <v/>
      </c>
      <c r="C144">
        <f>IF(OR(計分!C144="",計分!$AP144=""),"",計分!$AP144-計分!C144)</f>
        <v/>
      </c>
      <c r="D144">
        <f>IF(OR(計分!D144="",計分!$AP144=""),"",計分!$AP144-計分!D144)</f>
        <v/>
      </c>
      <c r="E144">
        <f>IF(OR(計分!E144="",計分!$AP144=""),"",計分!$AP144-計分!E144)</f>
        <v/>
      </c>
      <c r="F144">
        <f>IF(OR(計分!F144="",計分!$AP144=""),"",計分!$AP144-計分!F144)</f>
        <v/>
      </c>
      <c r="G144">
        <f>IF(OR(計分!G144="",計分!$AP144=""),"",計分!$AP144-計分!G144)</f>
        <v/>
      </c>
      <c r="H144">
        <f>IF(OR(計分!H144="",計分!$AP144=""),"",計分!$AP144-計分!H144)</f>
        <v/>
      </c>
      <c r="I144">
        <f>IF(OR(計分!I144="",計分!$AP144=""),"",計分!$AP144-計分!I144)</f>
        <v/>
      </c>
      <c r="J144">
        <f>IF(OR(計分!J144="",計分!$AP144=""),"",計分!$AP144-計分!J144)</f>
        <v/>
      </c>
      <c r="K144">
        <f>IF(OR(計分!K144="",計分!$AP144=""),"",計分!$AP144-計分!K144)</f>
        <v/>
      </c>
      <c r="L144">
        <f>IF(OR(計分!L144="",計分!$AP144=""),"",計分!$AP144-計分!L144)</f>
        <v/>
      </c>
      <c r="M144">
        <f>IF(OR(計分!M144="",計分!$AP144=""),"",計分!$AP144-計分!M144)</f>
        <v/>
      </c>
      <c r="N144">
        <f>IF(OR(計分!N144="",計分!$AP144=""),"",計分!$AP144-計分!N144)</f>
        <v/>
      </c>
      <c r="O144">
        <f>IF(OR(計分!O144="",計分!$AP144=""),"",計分!$AP144-計分!O144)</f>
        <v/>
      </c>
      <c r="P144">
        <f>IF(OR(計分!P144="",計分!$AP144=""),"",計分!$AP144-計分!P144)</f>
        <v/>
      </c>
      <c r="Q144">
        <f>IF(OR(計分!Q144="",計分!$AP144=""),"",計分!$AP144-計分!Q144)</f>
        <v/>
      </c>
      <c r="R144">
        <f>IF(OR(計分!R144="",計分!$AP144=""),"",計分!$AP144-計分!R144)</f>
        <v/>
      </c>
      <c r="S144">
        <f>IF(OR(計分!S144="",計分!$AP144=""),"",計分!$AP144-計分!S144)</f>
        <v/>
      </c>
      <c r="T144">
        <f>IF(OR(計分!T144="",計分!$AP144=""),"",計分!$AP144-計分!T144)</f>
        <v/>
      </c>
      <c r="U144">
        <f>IF(OR(計分!U144="",計分!$AP144=""),"",計分!$AP144-計分!U144)</f>
        <v/>
      </c>
      <c r="V144">
        <f>IF(OR(計分!V144="",計分!$AP144=""),"",計分!$AP144-計分!V144)</f>
        <v/>
      </c>
      <c r="W144">
        <f>IF(OR(計分!W144="",計分!$AP144=""),"",計分!$AP144-計分!W144)</f>
        <v/>
      </c>
      <c r="X144">
        <f>IF(OR(計分!X144="",計分!$AP144=""),"",計分!$AP144-計分!X144)</f>
        <v/>
      </c>
      <c r="Y144">
        <f>IF(OR(計分!Y144="",計分!$AP144=""),"",計分!$AP144-計分!Y144)</f>
        <v/>
      </c>
      <c r="Z144">
        <f>IF(OR(計分!Z144="",計分!$AP144=""),"",計分!$AP144-計分!Z144)</f>
        <v/>
      </c>
      <c r="AA144">
        <f>IF(OR(計分!AA144="",計分!$AP144=""),"",計分!$AP144-計分!AA144)</f>
        <v/>
      </c>
      <c r="AB144">
        <f>IF(OR(計分!AB144="",計分!$AP144=""),"",計分!$AP144-計分!AB144)</f>
        <v/>
      </c>
      <c r="AC144">
        <f>IF(OR(計分!AC144="",計分!$AP144=""),"",計分!$AP144-計分!AC144)</f>
        <v/>
      </c>
      <c r="AD144">
        <f>IF(OR(計分!AD144="",計分!$AP144=""),"",計分!$AP144-計分!AD144)</f>
        <v/>
      </c>
      <c r="AE144">
        <f>IF(OR(計分!AE144="",計分!$AP144=""),"",計分!$AP144-計分!AE144)</f>
        <v/>
      </c>
      <c r="AF144">
        <f>IF(OR(計分!AF144="",計分!$AP144=""),"",計分!$AP144-計分!AF144)</f>
        <v/>
      </c>
      <c r="AG144">
        <f>IF(OR(計分!AG144="",計分!$AP144=""),"",計分!$AP144-計分!AG144)</f>
        <v/>
      </c>
      <c r="AH144">
        <f>IF(OR(計分!AH144="",計分!$AP144=""),"",計分!$AP144-計分!AH144)</f>
        <v/>
      </c>
      <c r="AI144">
        <f>IF(OR(計分!AI144="",計分!$AP144=""),"",計分!$AP144-計分!AI144)</f>
        <v/>
      </c>
      <c r="AJ144">
        <f>IF(OR(計分!AJ144="",計分!$AP144=""),"",計分!$AP144-計分!AJ144)</f>
        <v/>
      </c>
      <c r="AK144">
        <f>IF(OR(計分!AK144="",計分!$AP144=""),"",計分!$AP144-計分!AK144)</f>
        <v/>
      </c>
      <c r="AL144">
        <f>IF(OR(計分!AL144="",計分!$AP144=""),"",計分!$AP144-計分!AL144)</f>
        <v/>
      </c>
      <c r="AM144">
        <f>IF(OR(計分!AM144="",計分!$AP144=""),"",計分!$AP144-計分!AM144)</f>
        <v/>
      </c>
      <c r="AN144">
        <f>IF(OR(計分!AN144="",計分!$AP144=""),"",計分!$AP144-計分!AN144)</f>
        <v/>
      </c>
      <c r="AO144">
        <f>IF(OR(計分!AO144="",計分!$AP144=""),"",計分!$AP144-計分!AO144)</f>
        <v/>
      </c>
    </row>
    <row r="145">
      <c r="A145">
        <f>計分!A145</f>
        <v/>
      </c>
      <c r="B145">
        <f>IF(OR(計分!B145="",計分!$AP145=""),"",計分!$AP145-計分!B145)</f>
        <v/>
      </c>
      <c r="C145">
        <f>IF(OR(計分!C145="",計分!$AP145=""),"",計分!$AP145-計分!C145)</f>
        <v/>
      </c>
      <c r="D145">
        <f>IF(OR(計分!D145="",計分!$AP145=""),"",計分!$AP145-計分!D145)</f>
        <v/>
      </c>
      <c r="E145">
        <f>IF(OR(計分!E145="",計分!$AP145=""),"",計分!$AP145-計分!E145)</f>
        <v/>
      </c>
      <c r="F145">
        <f>IF(OR(計分!F145="",計分!$AP145=""),"",計分!$AP145-計分!F145)</f>
        <v/>
      </c>
      <c r="G145">
        <f>IF(OR(計分!G145="",計分!$AP145=""),"",計分!$AP145-計分!G145)</f>
        <v/>
      </c>
      <c r="H145">
        <f>IF(OR(計分!H145="",計分!$AP145=""),"",計分!$AP145-計分!H145)</f>
        <v/>
      </c>
      <c r="I145">
        <f>IF(OR(計分!I145="",計分!$AP145=""),"",計分!$AP145-計分!I145)</f>
        <v/>
      </c>
      <c r="J145">
        <f>IF(OR(計分!J145="",計分!$AP145=""),"",計分!$AP145-計分!J145)</f>
        <v/>
      </c>
      <c r="K145">
        <f>IF(OR(計分!K145="",計分!$AP145=""),"",計分!$AP145-計分!K145)</f>
        <v/>
      </c>
      <c r="L145">
        <f>IF(OR(計分!L145="",計分!$AP145=""),"",計分!$AP145-計分!L145)</f>
        <v/>
      </c>
      <c r="M145">
        <f>IF(OR(計分!M145="",計分!$AP145=""),"",計分!$AP145-計分!M145)</f>
        <v/>
      </c>
      <c r="N145">
        <f>IF(OR(計分!N145="",計分!$AP145=""),"",計分!$AP145-計分!N145)</f>
        <v/>
      </c>
      <c r="O145">
        <f>IF(OR(計分!O145="",計分!$AP145=""),"",計分!$AP145-計分!O145)</f>
        <v/>
      </c>
      <c r="P145">
        <f>IF(OR(計分!P145="",計分!$AP145=""),"",計分!$AP145-計分!P145)</f>
        <v/>
      </c>
      <c r="Q145">
        <f>IF(OR(計分!Q145="",計分!$AP145=""),"",計分!$AP145-計分!Q145)</f>
        <v/>
      </c>
      <c r="R145">
        <f>IF(OR(計分!R145="",計分!$AP145=""),"",計分!$AP145-計分!R145)</f>
        <v/>
      </c>
      <c r="S145">
        <f>IF(OR(計分!S145="",計分!$AP145=""),"",計分!$AP145-計分!S145)</f>
        <v/>
      </c>
      <c r="T145">
        <f>IF(OR(計分!T145="",計分!$AP145=""),"",計分!$AP145-計分!T145)</f>
        <v/>
      </c>
      <c r="U145">
        <f>IF(OR(計分!U145="",計分!$AP145=""),"",計分!$AP145-計分!U145)</f>
        <v/>
      </c>
      <c r="V145">
        <f>IF(OR(計分!V145="",計分!$AP145=""),"",計分!$AP145-計分!V145)</f>
        <v/>
      </c>
      <c r="W145">
        <f>IF(OR(計分!W145="",計分!$AP145=""),"",計分!$AP145-計分!W145)</f>
        <v/>
      </c>
      <c r="X145">
        <f>IF(OR(計分!X145="",計分!$AP145=""),"",計分!$AP145-計分!X145)</f>
        <v/>
      </c>
      <c r="Y145">
        <f>IF(OR(計分!Y145="",計分!$AP145=""),"",計分!$AP145-計分!Y145)</f>
        <v/>
      </c>
      <c r="Z145">
        <f>IF(OR(計分!Z145="",計分!$AP145=""),"",計分!$AP145-計分!Z145)</f>
        <v/>
      </c>
      <c r="AA145">
        <f>IF(OR(計分!AA145="",計分!$AP145=""),"",計分!$AP145-計分!AA145)</f>
        <v/>
      </c>
      <c r="AB145">
        <f>IF(OR(計分!AB145="",計分!$AP145=""),"",計分!$AP145-計分!AB145)</f>
        <v/>
      </c>
      <c r="AC145">
        <f>IF(OR(計分!AC145="",計分!$AP145=""),"",計分!$AP145-計分!AC145)</f>
        <v/>
      </c>
      <c r="AD145">
        <f>IF(OR(計分!AD145="",計分!$AP145=""),"",計分!$AP145-計分!AD145)</f>
        <v/>
      </c>
      <c r="AE145">
        <f>IF(OR(計分!AE145="",計分!$AP145=""),"",計分!$AP145-計分!AE145)</f>
        <v/>
      </c>
      <c r="AF145">
        <f>IF(OR(計分!AF145="",計分!$AP145=""),"",計分!$AP145-計分!AF145)</f>
        <v/>
      </c>
      <c r="AG145">
        <f>IF(OR(計分!AG145="",計分!$AP145=""),"",計分!$AP145-計分!AG145)</f>
        <v/>
      </c>
      <c r="AH145">
        <f>IF(OR(計分!AH145="",計分!$AP145=""),"",計分!$AP145-計分!AH145)</f>
        <v/>
      </c>
      <c r="AI145">
        <f>IF(OR(計分!AI145="",計分!$AP145=""),"",計分!$AP145-計分!AI145)</f>
        <v/>
      </c>
      <c r="AJ145">
        <f>IF(OR(計分!AJ145="",計分!$AP145=""),"",計分!$AP145-計分!AJ145)</f>
        <v/>
      </c>
      <c r="AK145">
        <f>IF(OR(計分!AK145="",計分!$AP145=""),"",計分!$AP145-計分!AK145)</f>
        <v/>
      </c>
      <c r="AL145">
        <f>IF(OR(計分!AL145="",計分!$AP145=""),"",計分!$AP145-計分!AL145)</f>
        <v/>
      </c>
      <c r="AM145">
        <f>IF(OR(計分!AM145="",計分!$AP145=""),"",計分!$AP145-計分!AM145)</f>
        <v/>
      </c>
      <c r="AN145">
        <f>IF(OR(計分!AN145="",計分!$AP145=""),"",計分!$AP145-計分!AN145)</f>
        <v/>
      </c>
      <c r="AO145">
        <f>IF(OR(計分!AO145="",計分!$AP145=""),"",計分!$AP145-計分!AO145)</f>
        <v/>
      </c>
    </row>
    <row r="146">
      <c r="A146">
        <f>計分!A146</f>
        <v/>
      </c>
      <c r="B146">
        <f>IF(OR(計分!B146="",計分!$AP146=""),"",計分!$AP146-計分!B146)</f>
        <v/>
      </c>
      <c r="C146">
        <f>IF(OR(計分!C146="",計分!$AP146=""),"",計分!$AP146-計分!C146)</f>
        <v/>
      </c>
      <c r="D146">
        <f>IF(OR(計分!D146="",計分!$AP146=""),"",計分!$AP146-計分!D146)</f>
        <v/>
      </c>
      <c r="E146">
        <f>IF(OR(計分!E146="",計分!$AP146=""),"",計分!$AP146-計分!E146)</f>
        <v/>
      </c>
      <c r="F146">
        <f>IF(OR(計分!F146="",計分!$AP146=""),"",計分!$AP146-計分!F146)</f>
        <v/>
      </c>
      <c r="G146">
        <f>IF(OR(計分!G146="",計分!$AP146=""),"",計分!$AP146-計分!G146)</f>
        <v/>
      </c>
      <c r="H146">
        <f>IF(OR(計分!H146="",計分!$AP146=""),"",計分!$AP146-計分!H146)</f>
        <v/>
      </c>
      <c r="I146">
        <f>IF(OR(計分!I146="",計分!$AP146=""),"",計分!$AP146-計分!I146)</f>
        <v/>
      </c>
      <c r="J146">
        <f>IF(OR(計分!J146="",計分!$AP146=""),"",計分!$AP146-計分!J146)</f>
        <v/>
      </c>
      <c r="K146">
        <f>IF(OR(計分!K146="",計分!$AP146=""),"",計分!$AP146-計分!K146)</f>
        <v/>
      </c>
      <c r="L146">
        <f>IF(OR(計分!L146="",計分!$AP146=""),"",計分!$AP146-計分!L146)</f>
        <v/>
      </c>
      <c r="M146">
        <f>IF(OR(計分!M146="",計分!$AP146=""),"",計分!$AP146-計分!M146)</f>
        <v/>
      </c>
      <c r="N146">
        <f>IF(OR(計分!N146="",計分!$AP146=""),"",計分!$AP146-計分!N146)</f>
        <v/>
      </c>
      <c r="O146">
        <f>IF(OR(計分!O146="",計分!$AP146=""),"",計分!$AP146-計分!O146)</f>
        <v/>
      </c>
      <c r="P146">
        <f>IF(OR(計分!P146="",計分!$AP146=""),"",計分!$AP146-計分!P146)</f>
        <v/>
      </c>
      <c r="Q146">
        <f>IF(OR(計分!Q146="",計分!$AP146=""),"",計分!$AP146-計分!Q146)</f>
        <v/>
      </c>
      <c r="R146">
        <f>IF(OR(計分!R146="",計分!$AP146=""),"",計分!$AP146-計分!R146)</f>
        <v/>
      </c>
      <c r="S146">
        <f>IF(OR(計分!S146="",計分!$AP146=""),"",計分!$AP146-計分!S146)</f>
        <v/>
      </c>
      <c r="T146">
        <f>IF(OR(計分!T146="",計分!$AP146=""),"",計分!$AP146-計分!T146)</f>
        <v/>
      </c>
      <c r="U146">
        <f>IF(OR(計分!U146="",計分!$AP146=""),"",計分!$AP146-計分!U146)</f>
        <v/>
      </c>
      <c r="V146">
        <f>IF(OR(計分!V146="",計分!$AP146=""),"",計分!$AP146-計分!V146)</f>
        <v/>
      </c>
      <c r="W146">
        <f>IF(OR(計分!W146="",計分!$AP146=""),"",計分!$AP146-計分!W146)</f>
        <v/>
      </c>
      <c r="X146">
        <f>IF(OR(計分!X146="",計分!$AP146=""),"",計分!$AP146-計分!X146)</f>
        <v/>
      </c>
      <c r="Y146">
        <f>IF(OR(計分!Y146="",計分!$AP146=""),"",計分!$AP146-計分!Y146)</f>
        <v/>
      </c>
      <c r="Z146">
        <f>IF(OR(計分!Z146="",計分!$AP146=""),"",計分!$AP146-計分!Z146)</f>
        <v/>
      </c>
      <c r="AA146">
        <f>IF(OR(計分!AA146="",計分!$AP146=""),"",計分!$AP146-計分!AA146)</f>
        <v/>
      </c>
      <c r="AB146">
        <f>IF(OR(計分!AB146="",計分!$AP146=""),"",計分!$AP146-計分!AB146)</f>
        <v/>
      </c>
      <c r="AC146">
        <f>IF(OR(計分!AC146="",計分!$AP146=""),"",計分!$AP146-計分!AC146)</f>
        <v/>
      </c>
      <c r="AD146">
        <f>IF(OR(計分!AD146="",計分!$AP146=""),"",計分!$AP146-計分!AD146)</f>
        <v/>
      </c>
      <c r="AE146">
        <f>IF(OR(計分!AE146="",計分!$AP146=""),"",計分!$AP146-計分!AE146)</f>
        <v/>
      </c>
      <c r="AF146">
        <f>IF(OR(計分!AF146="",計分!$AP146=""),"",計分!$AP146-計分!AF146)</f>
        <v/>
      </c>
      <c r="AG146">
        <f>IF(OR(計分!AG146="",計分!$AP146=""),"",計分!$AP146-計分!AG146)</f>
        <v/>
      </c>
      <c r="AH146">
        <f>IF(OR(計分!AH146="",計分!$AP146=""),"",計分!$AP146-計分!AH146)</f>
        <v/>
      </c>
      <c r="AI146">
        <f>IF(OR(計分!AI146="",計分!$AP146=""),"",計分!$AP146-計分!AI146)</f>
        <v/>
      </c>
      <c r="AJ146">
        <f>IF(OR(計分!AJ146="",計分!$AP146=""),"",計分!$AP146-計分!AJ146)</f>
        <v/>
      </c>
      <c r="AK146">
        <f>IF(OR(計分!AK146="",計分!$AP146=""),"",計分!$AP146-計分!AK146)</f>
        <v/>
      </c>
      <c r="AL146">
        <f>IF(OR(計分!AL146="",計分!$AP146=""),"",計分!$AP146-計分!AL146)</f>
        <v/>
      </c>
      <c r="AM146">
        <f>IF(OR(計分!AM146="",計分!$AP146=""),"",計分!$AP146-計分!AM146)</f>
        <v/>
      </c>
      <c r="AN146">
        <f>IF(OR(計分!AN146="",計分!$AP146=""),"",計分!$AP146-計分!AN146)</f>
        <v/>
      </c>
      <c r="AO146">
        <f>IF(OR(計分!AO146="",計分!$AP146=""),"",計分!$AP146-計分!AO146)</f>
        <v/>
      </c>
    </row>
    <row r="147">
      <c r="A147">
        <f>計分!A147</f>
        <v/>
      </c>
      <c r="B147">
        <f>IF(OR(計分!B147="",計分!$AP147=""),"",計分!$AP147-計分!B147)</f>
        <v/>
      </c>
      <c r="C147">
        <f>IF(OR(計分!C147="",計分!$AP147=""),"",計分!$AP147-計分!C147)</f>
        <v/>
      </c>
      <c r="D147">
        <f>IF(OR(計分!D147="",計分!$AP147=""),"",計分!$AP147-計分!D147)</f>
        <v/>
      </c>
      <c r="E147">
        <f>IF(OR(計分!E147="",計分!$AP147=""),"",計分!$AP147-計分!E147)</f>
        <v/>
      </c>
      <c r="F147">
        <f>IF(OR(計分!F147="",計分!$AP147=""),"",計分!$AP147-計分!F147)</f>
        <v/>
      </c>
      <c r="G147">
        <f>IF(OR(計分!G147="",計分!$AP147=""),"",計分!$AP147-計分!G147)</f>
        <v/>
      </c>
      <c r="H147">
        <f>IF(OR(計分!H147="",計分!$AP147=""),"",計分!$AP147-計分!H147)</f>
        <v/>
      </c>
      <c r="I147">
        <f>IF(OR(計分!I147="",計分!$AP147=""),"",計分!$AP147-計分!I147)</f>
        <v/>
      </c>
      <c r="J147">
        <f>IF(OR(計分!J147="",計分!$AP147=""),"",計分!$AP147-計分!J147)</f>
        <v/>
      </c>
      <c r="K147">
        <f>IF(OR(計分!K147="",計分!$AP147=""),"",計分!$AP147-計分!K147)</f>
        <v/>
      </c>
      <c r="L147">
        <f>IF(OR(計分!L147="",計分!$AP147=""),"",計分!$AP147-計分!L147)</f>
        <v/>
      </c>
      <c r="M147">
        <f>IF(OR(計分!M147="",計分!$AP147=""),"",計分!$AP147-計分!M147)</f>
        <v/>
      </c>
      <c r="N147">
        <f>IF(OR(計分!N147="",計分!$AP147=""),"",計分!$AP147-計分!N147)</f>
        <v/>
      </c>
      <c r="O147">
        <f>IF(OR(計分!O147="",計分!$AP147=""),"",計分!$AP147-計分!O147)</f>
        <v/>
      </c>
      <c r="P147">
        <f>IF(OR(計分!P147="",計分!$AP147=""),"",計分!$AP147-計分!P147)</f>
        <v/>
      </c>
      <c r="Q147">
        <f>IF(OR(計分!Q147="",計分!$AP147=""),"",計分!$AP147-計分!Q147)</f>
        <v/>
      </c>
      <c r="R147">
        <f>IF(OR(計分!R147="",計分!$AP147=""),"",計分!$AP147-計分!R147)</f>
        <v/>
      </c>
      <c r="S147">
        <f>IF(OR(計分!S147="",計分!$AP147=""),"",計分!$AP147-計分!S147)</f>
        <v/>
      </c>
      <c r="T147">
        <f>IF(OR(計分!T147="",計分!$AP147=""),"",計分!$AP147-計分!T147)</f>
        <v/>
      </c>
      <c r="U147">
        <f>IF(OR(計分!U147="",計分!$AP147=""),"",計分!$AP147-計分!U147)</f>
        <v/>
      </c>
      <c r="V147">
        <f>IF(OR(計分!V147="",計分!$AP147=""),"",計分!$AP147-計分!V147)</f>
        <v/>
      </c>
      <c r="W147">
        <f>IF(OR(計分!W147="",計分!$AP147=""),"",計分!$AP147-計分!W147)</f>
        <v/>
      </c>
      <c r="X147">
        <f>IF(OR(計分!X147="",計分!$AP147=""),"",計分!$AP147-計分!X147)</f>
        <v/>
      </c>
      <c r="Y147">
        <f>IF(OR(計分!Y147="",計分!$AP147=""),"",計分!$AP147-計分!Y147)</f>
        <v/>
      </c>
      <c r="Z147">
        <f>IF(OR(計分!Z147="",計分!$AP147=""),"",計分!$AP147-計分!Z147)</f>
        <v/>
      </c>
      <c r="AA147">
        <f>IF(OR(計分!AA147="",計分!$AP147=""),"",計分!$AP147-計分!AA147)</f>
        <v/>
      </c>
      <c r="AB147">
        <f>IF(OR(計分!AB147="",計分!$AP147=""),"",計分!$AP147-計分!AB147)</f>
        <v/>
      </c>
      <c r="AC147">
        <f>IF(OR(計分!AC147="",計分!$AP147=""),"",計分!$AP147-計分!AC147)</f>
        <v/>
      </c>
      <c r="AD147">
        <f>IF(OR(計分!AD147="",計分!$AP147=""),"",計分!$AP147-計分!AD147)</f>
        <v/>
      </c>
      <c r="AE147">
        <f>IF(OR(計分!AE147="",計分!$AP147=""),"",計分!$AP147-計分!AE147)</f>
        <v/>
      </c>
      <c r="AF147">
        <f>IF(OR(計分!AF147="",計分!$AP147=""),"",計分!$AP147-計分!AF147)</f>
        <v/>
      </c>
      <c r="AG147">
        <f>IF(OR(計分!AG147="",計分!$AP147=""),"",計分!$AP147-計分!AG147)</f>
        <v/>
      </c>
      <c r="AH147">
        <f>IF(OR(計分!AH147="",計分!$AP147=""),"",計分!$AP147-計分!AH147)</f>
        <v/>
      </c>
      <c r="AI147">
        <f>IF(OR(計分!AI147="",計分!$AP147=""),"",計分!$AP147-計分!AI147)</f>
        <v/>
      </c>
      <c r="AJ147">
        <f>IF(OR(計分!AJ147="",計分!$AP147=""),"",計分!$AP147-計分!AJ147)</f>
        <v/>
      </c>
      <c r="AK147">
        <f>IF(OR(計分!AK147="",計分!$AP147=""),"",計分!$AP147-計分!AK147)</f>
        <v/>
      </c>
      <c r="AL147">
        <f>IF(OR(計分!AL147="",計分!$AP147=""),"",計分!$AP147-計分!AL147)</f>
        <v/>
      </c>
      <c r="AM147">
        <f>IF(OR(計分!AM147="",計分!$AP147=""),"",計分!$AP147-計分!AM147)</f>
        <v/>
      </c>
      <c r="AN147">
        <f>IF(OR(計分!AN147="",計分!$AP147=""),"",計分!$AP147-計分!AN147)</f>
        <v/>
      </c>
      <c r="AO147">
        <f>IF(OR(計分!AO147="",計分!$AP147=""),"",計分!$AP147-計分!AO147)</f>
        <v/>
      </c>
    </row>
    <row r="148">
      <c r="A148">
        <f>計分!A148</f>
        <v/>
      </c>
      <c r="B148">
        <f>IF(OR(計分!B148="",計分!$AP148=""),"",計分!$AP148-計分!B148)</f>
        <v/>
      </c>
      <c r="C148">
        <f>IF(OR(計分!C148="",計分!$AP148=""),"",計分!$AP148-計分!C148)</f>
        <v/>
      </c>
      <c r="D148">
        <f>IF(OR(計分!D148="",計分!$AP148=""),"",計分!$AP148-計分!D148)</f>
        <v/>
      </c>
      <c r="E148">
        <f>IF(OR(計分!E148="",計分!$AP148=""),"",計分!$AP148-計分!E148)</f>
        <v/>
      </c>
      <c r="F148">
        <f>IF(OR(計分!F148="",計分!$AP148=""),"",計分!$AP148-計分!F148)</f>
        <v/>
      </c>
      <c r="G148">
        <f>IF(OR(計分!G148="",計分!$AP148=""),"",計分!$AP148-計分!G148)</f>
        <v/>
      </c>
      <c r="H148">
        <f>IF(OR(計分!H148="",計分!$AP148=""),"",計分!$AP148-計分!H148)</f>
        <v/>
      </c>
      <c r="I148">
        <f>IF(OR(計分!I148="",計分!$AP148=""),"",計分!$AP148-計分!I148)</f>
        <v/>
      </c>
      <c r="J148">
        <f>IF(OR(計分!J148="",計分!$AP148=""),"",計分!$AP148-計分!J148)</f>
        <v/>
      </c>
      <c r="K148">
        <f>IF(OR(計分!K148="",計分!$AP148=""),"",計分!$AP148-計分!K148)</f>
        <v/>
      </c>
      <c r="L148">
        <f>IF(OR(計分!L148="",計分!$AP148=""),"",計分!$AP148-計分!L148)</f>
        <v/>
      </c>
      <c r="M148">
        <f>IF(OR(計分!M148="",計分!$AP148=""),"",計分!$AP148-計分!M148)</f>
        <v/>
      </c>
      <c r="N148">
        <f>IF(OR(計分!N148="",計分!$AP148=""),"",計分!$AP148-計分!N148)</f>
        <v/>
      </c>
      <c r="O148">
        <f>IF(OR(計分!O148="",計分!$AP148=""),"",計分!$AP148-計分!O148)</f>
        <v/>
      </c>
      <c r="P148">
        <f>IF(OR(計分!P148="",計分!$AP148=""),"",計分!$AP148-計分!P148)</f>
        <v/>
      </c>
      <c r="Q148">
        <f>IF(OR(計分!Q148="",計分!$AP148=""),"",計分!$AP148-計分!Q148)</f>
        <v/>
      </c>
      <c r="R148">
        <f>IF(OR(計分!R148="",計分!$AP148=""),"",計分!$AP148-計分!R148)</f>
        <v/>
      </c>
      <c r="S148">
        <f>IF(OR(計分!S148="",計分!$AP148=""),"",計分!$AP148-計分!S148)</f>
        <v/>
      </c>
      <c r="T148">
        <f>IF(OR(計分!T148="",計分!$AP148=""),"",計分!$AP148-計分!T148)</f>
        <v/>
      </c>
      <c r="U148">
        <f>IF(OR(計分!U148="",計分!$AP148=""),"",計分!$AP148-計分!U148)</f>
        <v/>
      </c>
      <c r="V148">
        <f>IF(OR(計分!V148="",計分!$AP148=""),"",計分!$AP148-計分!V148)</f>
        <v/>
      </c>
      <c r="W148">
        <f>IF(OR(計分!W148="",計分!$AP148=""),"",計分!$AP148-計分!W148)</f>
        <v/>
      </c>
      <c r="X148">
        <f>IF(OR(計分!X148="",計分!$AP148=""),"",計分!$AP148-計分!X148)</f>
        <v/>
      </c>
      <c r="Y148">
        <f>IF(OR(計分!Y148="",計分!$AP148=""),"",計分!$AP148-計分!Y148)</f>
        <v/>
      </c>
      <c r="Z148">
        <f>IF(OR(計分!Z148="",計分!$AP148=""),"",計分!$AP148-計分!Z148)</f>
        <v/>
      </c>
      <c r="AA148">
        <f>IF(OR(計分!AA148="",計分!$AP148=""),"",計分!$AP148-計分!AA148)</f>
        <v/>
      </c>
      <c r="AB148">
        <f>IF(OR(計分!AB148="",計分!$AP148=""),"",計分!$AP148-計分!AB148)</f>
        <v/>
      </c>
      <c r="AC148">
        <f>IF(OR(計分!AC148="",計分!$AP148=""),"",計分!$AP148-計分!AC148)</f>
        <v/>
      </c>
      <c r="AD148">
        <f>IF(OR(計分!AD148="",計分!$AP148=""),"",計分!$AP148-計分!AD148)</f>
        <v/>
      </c>
      <c r="AE148">
        <f>IF(OR(計分!AE148="",計分!$AP148=""),"",計分!$AP148-計分!AE148)</f>
        <v/>
      </c>
      <c r="AF148">
        <f>IF(OR(計分!AF148="",計分!$AP148=""),"",計分!$AP148-計分!AF148)</f>
        <v/>
      </c>
      <c r="AG148">
        <f>IF(OR(計分!AG148="",計分!$AP148=""),"",計分!$AP148-計分!AG148)</f>
        <v/>
      </c>
      <c r="AH148">
        <f>IF(OR(計分!AH148="",計分!$AP148=""),"",計分!$AP148-計分!AH148)</f>
        <v/>
      </c>
      <c r="AI148">
        <f>IF(OR(計分!AI148="",計分!$AP148=""),"",計分!$AP148-計分!AI148)</f>
        <v/>
      </c>
      <c r="AJ148">
        <f>IF(OR(計分!AJ148="",計分!$AP148=""),"",計分!$AP148-計分!AJ148)</f>
        <v/>
      </c>
      <c r="AK148">
        <f>IF(OR(計分!AK148="",計分!$AP148=""),"",計分!$AP148-計分!AK148)</f>
        <v/>
      </c>
      <c r="AL148">
        <f>IF(OR(計分!AL148="",計分!$AP148=""),"",計分!$AP148-計分!AL148)</f>
        <v/>
      </c>
      <c r="AM148">
        <f>IF(OR(計分!AM148="",計分!$AP148=""),"",計分!$AP148-計分!AM148)</f>
        <v/>
      </c>
      <c r="AN148">
        <f>IF(OR(計分!AN148="",計分!$AP148=""),"",計分!$AP148-計分!AN148)</f>
        <v/>
      </c>
      <c r="AO148">
        <f>IF(OR(計分!AO148="",計分!$AP148=""),"",計分!$AP148-計分!AO148)</f>
        <v/>
      </c>
    </row>
    <row r="149">
      <c r="A149">
        <f>計分!A149</f>
        <v/>
      </c>
      <c r="B149">
        <f>IF(OR(計分!B149="",計分!$AP149=""),"",計分!$AP149-計分!B149)</f>
        <v/>
      </c>
      <c r="C149">
        <f>IF(OR(計分!C149="",計分!$AP149=""),"",計分!$AP149-計分!C149)</f>
        <v/>
      </c>
      <c r="D149">
        <f>IF(OR(計分!D149="",計分!$AP149=""),"",計分!$AP149-計分!D149)</f>
        <v/>
      </c>
      <c r="E149">
        <f>IF(OR(計分!E149="",計分!$AP149=""),"",計分!$AP149-計分!E149)</f>
        <v/>
      </c>
      <c r="F149">
        <f>IF(OR(計分!F149="",計分!$AP149=""),"",計分!$AP149-計分!F149)</f>
        <v/>
      </c>
      <c r="G149">
        <f>IF(OR(計分!G149="",計分!$AP149=""),"",計分!$AP149-計分!G149)</f>
        <v/>
      </c>
      <c r="H149">
        <f>IF(OR(計分!H149="",計分!$AP149=""),"",計分!$AP149-計分!H149)</f>
        <v/>
      </c>
      <c r="I149">
        <f>IF(OR(計分!I149="",計分!$AP149=""),"",計分!$AP149-計分!I149)</f>
        <v/>
      </c>
      <c r="J149">
        <f>IF(OR(計分!J149="",計分!$AP149=""),"",計分!$AP149-計分!J149)</f>
        <v/>
      </c>
      <c r="K149">
        <f>IF(OR(計分!K149="",計分!$AP149=""),"",計分!$AP149-計分!K149)</f>
        <v/>
      </c>
      <c r="L149">
        <f>IF(OR(計分!L149="",計分!$AP149=""),"",計分!$AP149-計分!L149)</f>
        <v/>
      </c>
      <c r="M149">
        <f>IF(OR(計分!M149="",計分!$AP149=""),"",計分!$AP149-計分!M149)</f>
        <v/>
      </c>
      <c r="N149">
        <f>IF(OR(計分!N149="",計分!$AP149=""),"",計分!$AP149-計分!N149)</f>
        <v/>
      </c>
      <c r="O149">
        <f>IF(OR(計分!O149="",計分!$AP149=""),"",計分!$AP149-計分!O149)</f>
        <v/>
      </c>
      <c r="P149">
        <f>IF(OR(計分!P149="",計分!$AP149=""),"",計分!$AP149-計分!P149)</f>
        <v/>
      </c>
      <c r="Q149">
        <f>IF(OR(計分!Q149="",計分!$AP149=""),"",計分!$AP149-計分!Q149)</f>
        <v/>
      </c>
      <c r="R149">
        <f>IF(OR(計分!R149="",計分!$AP149=""),"",計分!$AP149-計分!R149)</f>
        <v/>
      </c>
      <c r="S149">
        <f>IF(OR(計分!S149="",計分!$AP149=""),"",計分!$AP149-計分!S149)</f>
        <v/>
      </c>
      <c r="T149">
        <f>IF(OR(計分!T149="",計分!$AP149=""),"",計分!$AP149-計分!T149)</f>
        <v/>
      </c>
      <c r="U149">
        <f>IF(OR(計分!U149="",計分!$AP149=""),"",計分!$AP149-計分!U149)</f>
        <v/>
      </c>
      <c r="V149">
        <f>IF(OR(計分!V149="",計分!$AP149=""),"",計分!$AP149-計分!V149)</f>
        <v/>
      </c>
      <c r="W149">
        <f>IF(OR(計分!W149="",計分!$AP149=""),"",計分!$AP149-計分!W149)</f>
        <v/>
      </c>
      <c r="X149">
        <f>IF(OR(計分!X149="",計分!$AP149=""),"",計分!$AP149-計分!X149)</f>
        <v/>
      </c>
      <c r="Y149">
        <f>IF(OR(計分!Y149="",計分!$AP149=""),"",計分!$AP149-計分!Y149)</f>
        <v/>
      </c>
      <c r="Z149">
        <f>IF(OR(計分!Z149="",計分!$AP149=""),"",計分!$AP149-計分!Z149)</f>
        <v/>
      </c>
      <c r="AA149">
        <f>IF(OR(計分!AA149="",計分!$AP149=""),"",計分!$AP149-計分!AA149)</f>
        <v/>
      </c>
      <c r="AB149">
        <f>IF(OR(計分!AB149="",計分!$AP149=""),"",計分!$AP149-計分!AB149)</f>
        <v/>
      </c>
      <c r="AC149">
        <f>IF(OR(計分!AC149="",計分!$AP149=""),"",計分!$AP149-計分!AC149)</f>
        <v/>
      </c>
      <c r="AD149">
        <f>IF(OR(計分!AD149="",計分!$AP149=""),"",計分!$AP149-計分!AD149)</f>
        <v/>
      </c>
      <c r="AE149">
        <f>IF(OR(計分!AE149="",計分!$AP149=""),"",計分!$AP149-計分!AE149)</f>
        <v/>
      </c>
      <c r="AF149">
        <f>IF(OR(計分!AF149="",計分!$AP149=""),"",計分!$AP149-計分!AF149)</f>
        <v/>
      </c>
      <c r="AG149">
        <f>IF(OR(計分!AG149="",計分!$AP149=""),"",計分!$AP149-計分!AG149)</f>
        <v/>
      </c>
      <c r="AH149">
        <f>IF(OR(計分!AH149="",計分!$AP149=""),"",計分!$AP149-計分!AH149)</f>
        <v/>
      </c>
      <c r="AI149">
        <f>IF(OR(計分!AI149="",計分!$AP149=""),"",計分!$AP149-計分!AI149)</f>
        <v/>
      </c>
      <c r="AJ149">
        <f>IF(OR(計分!AJ149="",計分!$AP149=""),"",計分!$AP149-計分!AJ149)</f>
        <v/>
      </c>
      <c r="AK149">
        <f>IF(OR(計分!AK149="",計分!$AP149=""),"",計分!$AP149-計分!AK149)</f>
        <v/>
      </c>
      <c r="AL149">
        <f>IF(OR(計分!AL149="",計分!$AP149=""),"",計分!$AP149-計分!AL149)</f>
        <v/>
      </c>
      <c r="AM149">
        <f>IF(OR(計分!AM149="",計分!$AP149=""),"",計分!$AP149-計分!AM149)</f>
        <v/>
      </c>
      <c r="AN149">
        <f>IF(OR(計分!AN149="",計分!$AP149=""),"",計分!$AP149-計分!AN149)</f>
        <v/>
      </c>
      <c r="AO149">
        <f>IF(OR(計分!AO149="",計分!$AP149=""),"",計分!$AP149-計分!AO149)</f>
        <v/>
      </c>
    </row>
    <row r="150">
      <c r="A150">
        <f>計分!A150</f>
        <v/>
      </c>
      <c r="B150">
        <f>IF(OR(計分!B150="",計分!$AP150=""),"",計分!$AP150-計分!B150)</f>
        <v/>
      </c>
      <c r="C150">
        <f>IF(OR(計分!C150="",計分!$AP150=""),"",計分!$AP150-計分!C150)</f>
        <v/>
      </c>
      <c r="D150">
        <f>IF(OR(計分!D150="",計分!$AP150=""),"",計分!$AP150-計分!D150)</f>
        <v/>
      </c>
      <c r="E150">
        <f>IF(OR(計分!E150="",計分!$AP150=""),"",計分!$AP150-計分!E150)</f>
        <v/>
      </c>
      <c r="F150">
        <f>IF(OR(計分!F150="",計分!$AP150=""),"",計分!$AP150-計分!F150)</f>
        <v/>
      </c>
      <c r="G150">
        <f>IF(OR(計分!G150="",計分!$AP150=""),"",計分!$AP150-計分!G150)</f>
        <v/>
      </c>
      <c r="H150">
        <f>IF(OR(計分!H150="",計分!$AP150=""),"",計分!$AP150-計分!H150)</f>
        <v/>
      </c>
      <c r="I150">
        <f>IF(OR(計分!I150="",計分!$AP150=""),"",計分!$AP150-計分!I150)</f>
        <v/>
      </c>
      <c r="J150">
        <f>IF(OR(計分!J150="",計分!$AP150=""),"",計分!$AP150-計分!J150)</f>
        <v/>
      </c>
      <c r="K150">
        <f>IF(OR(計分!K150="",計分!$AP150=""),"",計分!$AP150-計分!K150)</f>
        <v/>
      </c>
      <c r="L150">
        <f>IF(OR(計分!L150="",計分!$AP150=""),"",計分!$AP150-計分!L150)</f>
        <v/>
      </c>
      <c r="M150">
        <f>IF(OR(計分!M150="",計分!$AP150=""),"",計分!$AP150-計分!M150)</f>
        <v/>
      </c>
      <c r="N150">
        <f>IF(OR(計分!N150="",計分!$AP150=""),"",計分!$AP150-計分!N150)</f>
        <v/>
      </c>
      <c r="O150">
        <f>IF(OR(計分!O150="",計分!$AP150=""),"",計分!$AP150-計分!O150)</f>
        <v/>
      </c>
      <c r="P150">
        <f>IF(OR(計分!P150="",計分!$AP150=""),"",計分!$AP150-計分!P150)</f>
        <v/>
      </c>
      <c r="Q150">
        <f>IF(OR(計分!Q150="",計分!$AP150=""),"",計分!$AP150-計分!Q150)</f>
        <v/>
      </c>
      <c r="R150">
        <f>IF(OR(計分!R150="",計分!$AP150=""),"",計分!$AP150-計分!R150)</f>
        <v/>
      </c>
      <c r="S150">
        <f>IF(OR(計分!S150="",計分!$AP150=""),"",計分!$AP150-計分!S150)</f>
        <v/>
      </c>
      <c r="T150">
        <f>IF(OR(計分!T150="",計分!$AP150=""),"",計分!$AP150-計分!T150)</f>
        <v/>
      </c>
      <c r="U150">
        <f>IF(OR(計分!U150="",計分!$AP150=""),"",計分!$AP150-計分!U150)</f>
        <v/>
      </c>
      <c r="V150">
        <f>IF(OR(計分!V150="",計分!$AP150=""),"",計分!$AP150-計分!V150)</f>
        <v/>
      </c>
      <c r="W150">
        <f>IF(OR(計分!W150="",計分!$AP150=""),"",計分!$AP150-計分!W150)</f>
        <v/>
      </c>
      <c r="X150">
        <f>IF(OR(計分!X150="",計分!$AP150=""),"",計分!$AP150-計分!X150)</f>
        <v/>
      </c>
      <c r="Y150">
        <f>IF(OR(計分!Y150="",計分!$AP150=""),"",計分!$AP150-計分!Y150)</f>
        <v/>
      </c>
      <c r="Z150">
        <f>IF(OR(計分!Z150="",計分!$AP150=""),"",計分!$AP150-計分!Z150)</f>
        <v/>
      </c>
      <c r="AA150">
        <f>IF(OR(計分!AA150="",計分!$AP150=""),"",計分!$AP150-計分!AA150)</f>
        <v/>
      </c>
      <c r="AB150">
        <f>IF(OR(計分!AB150="",計分!$AP150=""),"",計分!$AP150-計分!AB150)</f>
        <v/>
      </c>
      <c r="AC150">
        <f>IF(OR(計分!AC150="",計分!$AP150=""),"",計分!$AP150-計分!AC150)</f>
        <v/>
      </c>
      <c r="AD150">
        <f>IF(OR(計分!AD150="",計分!$AP150=""),"",計分!$AP150-計分!AD150)</f>
        <v/>
      </c>
      <c r="AE150">
        <f>IF(OR(計分!AE150="",計分!$AP150=""),"",計分!$AP150-計分!AE150)</f>
        <v/>
      </c>
      <c r="AF150">
        <f>IF(OR(計分!AF150="",計分!$AP150=""),"",計分!$AP150-計分!AF150)</f>
        <v/>
      </c>
      <c r="AG150">
        <f>IF(OR(計分!AG150="",計分!$AP150=""),"",計分!$AP150-計分!AG150)</f>
        <v/>
      </c>
      <c r="AH150">
        <f>IF(OR(計分!AH150="",計分!$AP150=""),"",計分!$AP150-計分!AH150)</f>
        <v/>
      </c>
      <c r="AI150">
        <f>IF(OR(計分!AI150="",計分!$AP150=""),"",計分!$AP150-計分!AI150)</f>
        <v/>
      </c>
      <c r="AJ150">
        <f>IF(OR(計分!AJ150="",計分!$AP150=""),"",計分!$AP150-計分!AJ150)</f>
        <v/>
      </c>
      <c r="AK150">
        <f>IF(OR(計分!AK150="",計分!$AP150=""),"",計分!$AP150-計分!AK150)</f>
        <v/>
      </c>
      <c r="AL150">
        <f>IF(OR(計分!AL150="",計分!$AP150=""),"",計分!$AP150-計分!AL150)</f>
        <v/>
      </c>
      <c r="AM150">
        <f>IF(OR(計分!AM150="",計分!$AP150=""),"",計分!$AP150-計分!AM150)</f>
        <v/>
      </c>
      <c r="AN150">
        <f>IF(OR(計分!AN150="",計分!$AP150=""),"",計分!$AP150-計分!AN150)</f>
        <v/>
      </c>
      <c r="AO150">
        <f>IF(OR(計分!AO150="",計分!$AP150=""),"",計分!$AP150-計分!AO150)</f>
        <v/>
      </c>
    </row>
    <row r="151">
      <c r="A151">
        <f>計分!A151</f>
        <v/>
      </c>
      <c r="B151">
        <f>IF(OR(計分!B151="",計分!$AP151=""),"",計分!$AP151-計分!B151)</f>
        <v/>
      </c>
      <c r="C151">
        <f>IF(OR(計分!C151="",計分!$AP151=""),"",計分!$AP151-計分!C151)</f>
        <v/>
      </c>
      <c r="D151">
        <f>IF(OR(計分!D151="",計分!$AP151=""),"",計分!$AP151-計分!D151)</f>
        <v/>
      </c>
      <c r="E151">
        <f>IF(OR(計分!E151="",計分!$AP151=""),"",計分!$AP151-計分!E151)</f>
        <v/>
      </c>
      <c r="F151">
        <f>IF(OR(計分!F151="",計分!$AP151=""),"",計分!$AP151-計分!F151)</f>
        <v/>
      </c>
      <c r="G151">
        <f>IF(OR(計分!G151="",計分!$AP151=""),"",計分!$AP151-計分!G151)</f>
        <v/>
      </c>
      <c r="H151">
        <f>IF(OR(計分!H151="",計分!$AP151=""),"",計分!$AP151-計分!H151)</f>
        <v/>
      </c>
      <c r="I151">
        <f>IF(OR(計分!I151="",計分!$AP151=""),"",計分!$AP151-計分!I151)</f>
        <v/>
      </c>
      <c r="J151">
        <f>IF(OR(計分!J151="",計分!$AP151=""),"",計分!$AP151-計分!J151)</f>
        <v/>
      </c>
      <c r="K151">
        <f>IF(OR(計分!K151="",計分!$AP151=""),"",計分!$AP151-計分!K151)</f>
        <v/>
      </c>
      <c r="L151">
        <f>IF(OR(計分!L151="",計分!$AP151=""),"",計分!$AP151-計分!L151)</f>
        <v/>
      </c>
      <c r="M151">
        <f>IF(OR(計分!M151="",計分!$AP151=""),"",計分!$AP151-計分!M151)</f>
        <v/>
      </c>
      <c r="N151">
        <f>IF(OR(計分!N151="",計分!$AP151=""),"",計分!$AP151-計分!N151)</f>
        <v/>
      </c>
      <c r="O151">
        <f>IF(OR(計分!O151="",計分!$AP151=""),"",計分!$AP151-計分!O151)</f>
        <v/>
      </c>
      <c r="P151">
        <f>IF(OR(計分!P151="",計分!$AP151=""),"",計分!$AP151-計分!P151)</f>
        <v/>
      </c>
      <c r="Q151">
        <f>IF(OR(計分!Q151="",計分!$AP151=""),"",計分!$AP151-計分!Q151)</f>
        <v/>
      </c>
      <c r="R151">
        <f>IF(OR(計分!R151="",計分!$AP151=""),"",計分!$AP151-計分!R151)</f>
        <v/>
      </c>
      <c r="S151">
        <f>IF(OR(計分!S151="",計分!$AP151=""),"",計分!$AP151-計分!S151)</f>
        <v/>
      </c>
      <c r="T151">
        <f>IF(OR(計分!T151="",計分!$AP151=""),"",計分!$AP151-計分!T151)</f>
        <v/>
      </c>
      <c r="U151">
        <f>IF(OR(計分!U151="",計分!$AP151=""),"",計分!$AP151-計分!U151)</f>
        <v/>
      </c>
      <c r="V151">
        <f>IF(OR(計分!V151="",計分!$AP151=""),"",計分!$AP151-計分!V151)</f>
        <v/>
      </c>
      <c r="W151">
        <f>IF(OR(計分!W151="",計分!$AP151=""),"",計分!$AP151-計分!W151)</f>
        <v/>
      </c>
      <c r="X151">
        <f>IF(OR(計分!X151="",計分!$AP151=""),"",計分!$AP151-計分!X151)</f>
        <v/>
      </c>
      <c r="Y151">
        <f>IF(OR(計分!Y151="",計分!$AP151=""),"",計分!$AP151-計分!Y151)</f>
        <v/>
      </c>
      <c r="Z151">
        <f>IF(OR(計分!Z151="",計分!$AP151=""),"",計分!$AP151-計分!Z151)</f>
        <v/>
      </c>
      <c r="AA151">
        <f>IF(OR(計分!AA151="",計分!$AP151=""),"",計分!$AP151-計分!AA151)</f>
        <v/>
      </c>
      <c r="AB151">
        <f>IF(OR(計分!AB151="",計分!$AP151=""),"",計分!$AP151-計分!AB151)</f>
        <v/>
      </c>
      <c r="AC151">
        <f>IF(OR(計分!AC151="",計分!$AP151=""),"",計分!$AP151-計分!AC151)</f>
        <v/>
      </c>
      <c r="AD151">
        <f>IF(OR(計分!AD151="",計分!$AP151=""),"",計分!$AP151-計分!AD151)</f>
        <v/>
      </c>
      <c r="AE151">
        <f>IF(OR(計分!AE151="",計分!$AP151=""),"",計分!$AP151-計分!AE151)</f>
        <v/>
      </c>
      <c r="AF151">
        <f>IF(OR(計分!AF151="",計分!$AP151=""),"",計分!$AP151-計分!AF151)</f>
        <v/>
      </c>
      <c r="AG151">
        <f>IF(OR(計分!AG151="",計分!$AP151=""),"",計分!$AP151-計分!AG151)</f>
        <v/>
      </c>
      <c r="AH151">
        <f>IF(OR(計分!AH151="",計分!$AP151=""),"",計分!$AP151-計分!AH151)</f>
        <v/>
      </c>
      <c r="AI151">
        <f>IF(OR(計分!AI151="",計分!$AP151=""),"",計分!$AP151-計分!AI151)</f>
        <v/>
      </c>
      <c r="AJ151">
        <f>IF(OR(計分!AJ151="",計分!$AP151=""),"",計分!$AP151-計分!AJ151)</f>
        <v/>
      </c>
      <c r="AK151">
        <f>IF(OR(計分!AK151="",計分!$AP151=""),"",計分!$AP151-計分!AK151)</f>
        <v/>
      </c>
      <c r="AL151">
        <f>IF(OR(計分!AL151="",計分!$AP151=""),"",計分!$AP151-計分!AL151)</f>
        <v/>
      </c>
      <c r="AM151">
        <f>IF(OR(計分!AM151="",計分!$AP151=""),"",計分!$AP151-計分!AM151)</f>
        <v/>
      </c>
      <c r="AN151">
        <f>IF(OR(計分!AN151="",計分!$AP151=""),"",計分!$AP151-計分!AN151)</f>
        <v/>
      </c>
      <c r="AO151">
        <f>IF(OR(計分!AO151="",計分!$AP151=""),"",計分!$AP151-計分!AO151)</f>
        <v/>
      </c>
    </row>
    <row r="152">
      <c r="A152">
        <f>計分!A152</f>
        <v/>
      </c>
      <c r="B152">
        <f>IF(OR(計分!B152="",計分!$AP152=""),"",計分!$AP152-計分!B152)</f>
        <v/>
      </c>
      <c r="C152">
        <f>IF(OR(計分!C152="",計分!$AP152=""),"",計分!$AP152-計分!C152)</f>
        <v/>
      </c>
      <c r="D152">
        <f>IF(OR(計分!D152="",計分!$AP152=""),"",計分!$AP152-計分!D152)</f>
        <v/>
      </c>
      <c r="E152">
        <f>IF(OR(計分!E152="",計分!$AP152=""),"",計分!$AP152-計分!E152)</f>
        <v/>
      </c>
      <c r="F152">
        <f>IF(OR(計分!F152="",計分!$AP152=""),"",計分!$AP152-計分!F152)</f>
        <v/>
      </c>
      <c r="G152">
        <f>IF(OR(計分!G152="",計分!$AP152=""),"",計分!$AP152-計分!G152)</f>
        <v/>
      </c>
      <c r="H152">
        <f>IF(OR(計分!H152="",計分!$AP152=""),"",計分!$AP152-計分!H152)</f>
        <v/>
      </c>
      <c r="I152">
        <f>IF(OR(計分!I152="",計分!$AP152=""),"",計分!$AP152-計分!I152)</f>
        <v/>
      </c>
      <c r="J152">
        <f>IF(OR(計分!J152="",計分!$AP152=""),"",計分!$AP152-計分!J152)</f>
        <v/>
      </c>
      <c r="K152">
        <f>IF(OR(計分!K152="",計分!$AP152=""),"",計分!$AP152-計分!K152)</f>
        <v/>
      </c>
      <c r="L152">
        <f>IF(OR(計分!L152="",計分!$AP152=""),"",計分!$AP152-計分!L152)</f>
        <v/>
      </c>
      <c r="M152">
        <f>IF(OR(計分!M152="",計分!$AP152=""),"",計分!$AP152-計分!M152)</f>
        <v/>
      </c>
      <c r="N152">
        <f>IF(OR(計分!N152="",計分!$AP152=""),"",計分!$AP152-計分!N152)</f>
        <v/>
      </c>
      <c r="O152">
        <f>IF(OR(計分!O152="",計分!$AP152=""),"",計分!$AP152-計分!O152)</f>
        <v/>
      </c>
      <c r="P152">
        <f>IF(OR(計分!P152="",計分!$AP152=""),"",計分!$AP152-計分!P152)</f>
        <v/>
      </c>
      <c r="Q152">
        <f>IF(OR(計分!Q152="",計分!$AP152=""),"",計分!$AP152-計分!Q152)</f>
        <v/>
      </c>
      <c r="R152">
        <f>IF(OR(計分!R152="",計分!$AP152=""),"",計分!$AP152-計分!R152)</f>
        <v/>
      </c>
      <c r="S152">
        <f>IF(OR(計分!S152="",計分!$AP152=""),"",計分!$AP152-計分!S152)</f>
        <v/>
      </c>
      <c r="T152">
        <f>IF(OR(計分!T152="",計分!$AP152=""),"",計分!$AP152-計分!T152)</f>
        <v/>
      </c>
      <c r="U152">
        <f>IF(OR(計分!U152="",計分!$AP152=""),"",計分!$AP152-計分!U152)</f>
        <v/>
      </c>
      <c r="V152">
        <f>IF(OR(計分!V152="",計分!$AP152=""),"",計分!$AP152-計分!V152)</f>
        <v/>
      </c>
      <c r="W152">
        <f>IF(OR(計分!W152="",計分!$AP152=""),"",計分!$AP152-計分!W152)</f>
        <v/>
      </c>
      <c r="X152">
        <f>IF(OR(計分!X152="",計分!$AP152=""),"",計分!$AP152-計分!X152)</f>
        <v/>
      </c>
      <c r="Y152">
        <f>IF(OR(計分!Y152="",計分!$AP152=""),"",計分!$AP152-計分!Y152)</f>
        <v/>
      </c>
      <c r="Z152">
        <f>IF(OR(計分!Z152="",計分!$AP152=""),"",計分!$AP152-計分!Z152)</f>
        <v/>
      </c>
      <c r="AA152">
        <f>IF(OR(計分!AA152="",計分!$AP152=""),"",計分!$AP152-計分!AA152)</f>
        <v/>
      </c>
      <c r="AB152">
        <f>IF(OR(計分!AB152="",計分!$AP152=""),"",計分!$AP152-計分!AB152)</f>
        <v/>
      </c>
      <c r="AC152">
        <f>IF(OR(計分!AC152="",計分!$AP152=""),"",計分!$AP152-計分!AC152)</f>
        <v/>
      </c>
      <c r="AD152">
        <f>IF(OR(計分!AD152="",計分!$AP152=""),"",計分!$AP152-計分!AD152)</f>
        <v/>
      </c>
      <c r="AE152">
        <f>IF(OR(計分!AE152="",計分!$AP152=""),"",計分!$AP152-計分!AE152)</f>
        <v/>
      </c>
      <c r="AF152">
        <f>IF(OR(計分!AF152="",計分!$AP152=""),"",計分!$AP152-計分!AF152)</f>
        <v/>
      </c>
      <c r="AG152">
        <f>IF(OR(計分!AG152="",計分!$AP152=""),"",計分!$AP152-計分!AG152)</f>
        <v/>
      </c>
      <c r="AH152">
        <f>IF(OR(計分!AH152="",計分!$AP152=""),"",計分!$AP152-計分!AH152)</f>
        <v/>
      </c>
      <c r="AI152">
        <f>IF(OR(計分!AI152="",計分!$AP152=""),"",計分!$AP152-計分!AI152)</f>
        <v/>
      </c>
      <c r="AJ152">
        <f>IF(OR(計分!AJ152="",計分!$AP152=""),"",計分!$AP152-計分!AJ152)</f>
        <v/>
      </c>
      <c r="AK152">
        <f>IF(OR(計分!AK152="",計分!$AP152=""),"",計分!$AP152-計分!AK152)</f>
        <v/>
      </c>
      <c r="AL152">
        <f>IF(OR(計分!AL152="",計分!$AP152=""),"",計分!$AP152-計分!AL152)</f>
        <v/>
      </c>
      <c r="AM152">
        <f>IF(OR(計分!AM152="",計分!$AP152=""),"",計分!$AP152-計分!AM152)</f>
        <v/>
      </c>
      <c r="AN152">
        <f>IF(OR(計分!AN152="",計分!$AP152=""),"",計分!$AP152-計分!AN152)</f>
        <v/>
      </c>
      <c r="AO152">
        <f>IF(OR(計分!AO152="",計分!$AP152=""),"",計分!$AP152-計分!AO152)</f>
        <v/>
      </c>
    </row>
    <row r="153">
      <c r="A153">
        <f>計分!A153</f>
        <v/>
      </c>
      <c r="B153">
        <f>IF(OR(計分!B153="",計分!$AP153=""),"",計分!$AP153-計分!B153)</f>
        <v/>
      </c>
      <c r="C153">
        <f>IF(OR(計分!C153="",計分!$AP153=""),"",計分!$AP153-計分!C153)</f>
        <v/>
      </c>
      <c r="D153">
        <f>IF(OR(計分!D153="",計分!$AP153=""),"",計分!$AP153-計分!D153)</f>
        <v/>
      </c>
      <c r="E153">
        <f>IF(OR(計分!E153="",計分!$AP153=""),"",計分!$AP153-計分!E153)</f>
        <v/>
      </c>
      <c r="F153">
        <f>IF(OR(計分!F153="",計分!$AP153=""),"",計分!$AP153-計分!F153)</f>
        <v/>
      </c>
      <c r="G153">
        <f>IF(OR(計分!G153="",計分!$AP153=""),"",計分!$AP153-計分!G153)</f>
        <v/>
      </c>
      <c r="H153">
        <f>IF(OR(計分!H153="",計分!$AP153=""),"",計分!$AP153-計分!H153)</f>
        <v/>
      </c>
      <c r="I153">
        <f>IF(OR(計分!I153="",計分!$AP153=""),"",計分!$AP153-計分!I153)</f>
        <v/>
      </c>
      <c r="J153">
        <f>IF(OR(計分!J153="",計分!$AP153=""),"",計分!$AP153-計分!J153)</f>
        <v/>
      </c>
      <c r="K153">
        <f>IF(OR(計分!K153="",計分!$AP153=""),"",計分!$AP153-計分!K153)</f>
        <v/>
      </c>
      <c r="L153">
        <f>IF(OR(計分!L153="",計分!$AP153=""),"",計分!$AP153-計分!L153)</f>
        <v/>
      </c>
      <c r="M153">
        <f>IF(OR(計分!M153="",計分!$AP153=""),"",計分!$AP153-計分!M153)</f>
        <v/>
      </c>
      <c r="N153">
        <f>IF(OR(計分!N153="",計分!$AP153=""),"",計分!$AP153-計分!N153)</f>
        <v/>
      </c>
      <c r="O153">
        <f>IF(OR(計分!O153="",計分!$AP153=""),"",計分!$AP153-計分!O153)</f>
        <v/>
      </c>
      <c r="P153">
        <f>IF(OR(計分!P153="",計分!$AP153=""),"",計分!$AP153-計分!P153)</f>
        <v/>
      </c>
      <c r="Q153">
        <f>IF(OR(計分!Q153="",計分!$AP153=""),"",計分!$AP153-計分!Q153)</f>
        <v/>
      </c>
      <c r="R153">
        <f>IF(OR(計分!R153="",計分!$AP153=""),"",計分!$AP153-計分!R153)</f>
        <v/>
      </c>
      <c r="S153">
        <f>IF(OR(計分!S153="",計分!$AP153=""),"",計分!$AP153-計分!S153)</f>
        <v/>
      </c>
      <c r="T153">
        <f>IF(OR(計分!T153="",計分!$AP153=""),"",計分!$AP153-計分!T153)</f>
        <v/>
      </c>
      <c r="U153">
        <f>IF(OR(計分!U153="",計分!$AP153=""),"",計分!$AP153-計分!U153)</f>
        <v/>
      </c>
      <c r="V153">
        <f>IF(OR(計分!V153="",計分!$AP153=""),"",計分!$AP153-計分!V153)</f>
        <v/>
      </c>
      <c r="W153">
        <f>IF(OR(計分!W153="",計分!$AP153=""),"",計分!$AP153-計分!W153)</f>
        <v/>
      </c>
      <c r="X153">
        <f>IF(OR(計分!X153="",計分!$AP153=""),"",計分!$AP153-計分!X153)</f>
        <v/>
      </c>
      <c r="Y153">
        <f>IF(OR(計分!Y153="",計分!$AP153=""),"",計分!$AP153-計分!Y153)</f>
        <v/>
      </c>
      <c r="Z153">
        <f>IF(OR(計分!Z153="",計分!$AP153=""),"",計分!$AP153-計分!Z153)</f>
        <v/>
      </c>
      <c r="AA153">
        <f>IF(OR(計分!AA153="",計分!$AP153=""),"",計分!$AP153-計分!AA153)</f>
        <v/>
      </c>
      <c r="AB153">
        <f>IF(OR(計分!AB153="",計分!$AP153=""),"",計分!$AP153-計分!AB153)</f>
        <v/>
      </c>
      <c r="AC153">
        <f>IF(OR(計分!AC153="",計分!$AP153=""),"",計分!$AP153-計分!AC153)</f>
        <v/>
      </c>
      <c r="AD153">
        <f>IF(OR(計分!AD153="",計分!$AP153=""),"",計分!$AP153-計分!AD153)</f>
        <v/>
      </c>
      <c r="AE153">
        <f>IF(OR(計分!AE153="",計分!$AP153=""),"",計分!$AP153-計分!AE153)</f>
        <v/>
      </c>
      <c r="AF153">
        <f>IF(OR(計分!AF153="",計分!$AP153=""),"",計分!$AP153-計分!AF153)</f>
        <v/>
      </c>
      <c r="AG153">
        <f>IF(OR(計分!AG153="",計分!$AP153=""),"",計分!$AP153-計分!AG153)</f>
        <v/>
      </c>
      <c r="AH153">
        <f>IF(OR(計分!AH153="",計分!$AP153=""),"",計分!$AP153-計分!AH153)</f>
        <v/>
      </c>
      <c r="AI153">
        <f>IF(OR(計分!AI153="",計分!$AP153=""),"",計分!$AP153-計分!AI153)</f>
        <v/>
      </c>
      <c r="AJ153">
        <f>IF(OR(計分!AJ153="",計分!$AP153=""),"",計分!$AP153-計分!AJ153)</f>
        <v/>
      </c>
      <c r="AK153">
        <f>IF(OR(計分!AK153="",計分!$AP153=""),"",計分!$AP153-計分!AK153)</f>
        <v/>
      </c>
      <c r="AL153">
        <f>IF(OR(計分!AL153="",計分!$AP153=""),"",計分!$AP153-計分!AL153)</f>
        <v/>
      </c>
      <c r="AM153">
        <f>IF(OR(計分!AM153="",計分!$AP153=""),"",計分!$AP153-計分!AM153)</f>
        <v/>
      </c>
      <c r="AN153">
        <f>IF(OR(計分!AN153="",計分!$AP153=""),"",計分!$AP153-計分!AN153)</f>
        <v/>
      </c>
      <c r="AO153">
        <f>IF(OR(計分!AO153="",計分!$AP153=""),"",計分!$AP153-計分!AO153)</f>
        <v/>
      </c>
    </row>
    <row r="154">
      <c r="A154">
        <f>計分!A154</f>
        <v/>
      </c>
      <c r="B154">
        <f>IF(OR(計分!B154="",計分!$AP154=""),"",計分!$AP154-計分!B154)</f>
        <v/>
      </c>
      <c r="C154">
        <f>IF(OR(計分!C154="",計分!$AP154=""),"",計分!$AP154-計分!C154)</f>
        <v/>
      </c>
      <c r="D154">
        <f>IF(OR(計分!D154="",計分!$AP154=""),"",計分!$AP154-計分!D154)</f>
        <v/>
      </c>
      <c r="E154">
        <f>IF(OR(計分!E154="",計分!$AP154=""),"",計分!$AP154-計分!E154)</f>
        <v/>
      </c>
      <c r="F154">
        <f>IF(OR(計分!F154="",計分!$AP154=""),"",計分!$AP154-計分!F154)</f>
        <v/>
      </c>
      <c r="G154">
        <f>IF(OR(計分!G154="",計分!$AP154=""),"",計分!$AP154-計分!G154)</f>
        <v/>
      </c>
      <c r="H154">
        <f>IF(OR(計分!H154="",計分!$AP154=""),"",計分!$AP154-計分!H154)</f>
        <v/>
      </c>
      <c r="I154">
        <f>IF(OR(計分!I154="",計分!$AP154=""),"",計分!$AP154-計分!I154)</f>
        <v/>
      </c>
      <c r="J154">
        <f>IF(OR(計分!J154="",計分!$AP154=""),"",計分!$AP154-計分!J154)</f>
        <v/>
      </c>
      <c r="K154">
        <f>IF(OR(計分!K154="",計分!$AP154=""),"",計分!$AP154-計分!K154)</f>
        <v/>
      </c>
      <c r="L154">
        <f>IF(OR(計分!L154="",計分!$AP154=""),"",計分!$AP154-計分!L154)</f>
        <v/>
      </c>
      <c r="M154">
        <f>IF(OR(計分!M154="",計分!$AP154=""),"",計分!$AP154-計分!M154)</f>
        <v/>
      </c>
      <c r="N154">
        <f>IF(OR(計分!N154="",計分!$AP154=""),"",計分!$AP154-計分!N154)</f>
        <v/>
      </c>
      <c r="O154">
        <f>IF(OR(計分!O154="",計分!$AP154=""),"",計分!$AP154-計分!O154)</f>
        <v/>
      </c>
      <c r="P154">
        <f>IF(OR(計分!P154="",計分!$AP154=""),"",計分!$AP154-計分!P154)</f>
        <v/>
      </c>
      <c r="Q154">
        <f>IF(OR(計分!Q154="",計分!$AP154=""),"",計分!$AP154-計分!Q154)</f>
        <v/>
      </c>
      <c r="R154">
        <f>IF(OR(計分!R154="",計分!$AP154=""),"",計分!$AP154-計分!R154)</f>
        <v/>
      </c>
      <c r="S154">
        <f>IF(OR(計分!S154="",計分!$AP154=""),"",計分!$AP154-計分!S154)</f>
        <v/>
      </c>
      <c r="T154">
        <f>IF(OR(計分!T154="",計分!$AP154=""),"",計分!$AP154-計分!T154)</f>
        <v/>
      </c>
      <c r="U154">
        <f>IF(OR(計分!U154="",計分!$AP154=""),"",計分!$AP154-計分!U154)</f>
        <v/>
      </c>
      <c r="V154">
        <f>IF(OR(計分!V154="",計分!$AP154=""),"",計分!$AP154-計分!V154)</f>
        <v/>
      </c>
      <c r="W154">
        <f>IF(OR(計分!W154="",計分!$AP154=""),"",計分!$AP154-計分!W154)</f>
        <v/>
      </c>
      <c r="X154">
        <f>IF(OR(計分!X154="",計分!$AP154=""),"",計分!$AP154-計分!X154)</f>
        <v/>
      </c>
      <c r="Y154">
        <f>IF(OR(計分!Y154="",計分!$AP154=""),"",計分!$AP154-計分!Y154)</f>
        <v/>
      </c>
      <c r="Z154">
        <f>IF(OR(計分!Z154="",計分!$AP154=""),"",計分!$AP154-計分!Z154)</f>
        <v/>
      </c>
      <c r="AA154">
        <f>IF(OR(計分!AA154="",計分!$AP154=""),"",計分!$AP154-計分!AA154)</f>
        <v/>
      </c>
      <c r="AB154">
        <f>IF(OR(計分!AB154="",計分!$AP154=""),"",計分!$AP154-計分!AB154)</f>
        <v/>
      </c>
      <c r="AC154">
        <f>IF(OR(計分!AC154="",計分!$AP154=""),"",計分!$AP154-計分!AC154)</f>
        <v/>
      </c>
      <c r="AD154">
        <f>IF(OR(計分!AD154="",計分!$AP154=""),"",計分!$AP154-計分!AD154)</f>
        <v/>
      </c>
      <c r="AE154">
        <f>IF(OR(計分!AE154="",計分!$AP154=""),"",計分!$AP154-計分!AE154)</f>
        <v/>
      </c>
      <c r="AF154">
        <f>IF(OR(計分!AF154="",計分!$AP154=""),"",計分!$AP154-計分!AF154)</f>
        <v/>
      </c>
      <c r="AG154">
        <f>IF(OR(計分!AG154="",計分!$AP154=""),"",計分!$AP154-計分!AG154)</f>
        <v/>
      </c>
      <c r="AH154">
        <f>IF(OR(計分!AH154="",計分!$AP154=""),"",計分!$AP154-計分!AH154)</f>
        <v/>
      </c>
      <c r="AI154">
        <f>IF(OR(計分!AI154="",計分!$AP154=""),"",計分!$AP154-計分!AI154)</f>
        <v/>
      </c>
      <c r="AJ154">
        <f>IF(OR(計分!AJ154="",計分!$AP154=""),"",計分!$AP154-計分!AJ154)</f>
        <v/>
      </c>
      <c r="AK154">
        <f>IF(OR(計分!AK154="",計分!$AP154=""),"",計分!$AP154-計分!AK154)</f>
        <v/>
      </c>
      <c r="AL154">
        <f>IF(OR(計分!AL154="",計分!$AP154=""),"",計分!$AP154-計分!AL154)</f>
        <v/>
      </c>
      <c r="AM154">
        <f>IF(OR(計分!AM154="",計分!$AP154=""),"",計分!$AP154-計分!AM154)</f>
        <v/>
      </c>
      <c r="AN154">
        <f>IF(OR(計分!AN154="",計分!$AP154=""),"",計分!$AP154-計分!AN154)</f>
        <v/>
      </c>
      <c r="AO154">
        <f>IF(OR(計分!AO154="",計分!$AP154=""),"",計分!$AP154-計分!AO154)</f>
        <v/>
      </c>
    </row>
    <row r="155">
      <c r="A155">
        <f>計分!A155</f>
        <v/>
      </c>
      <c r="B155">
        <f>IF(OR(計分!B155="",計分!$AP155=""),"",計分!$AP155-計分!B155)</f>
        <v/>
      </c>
      <c r="C155">
        <f>IF(OR(計分!C155="",計分!$AP155=""),"",計分!$AP155-計分!C155)</f>
        <v/>
      </c>
      <c r="D155">
        <f>IF(OR(計分!D155="",計分!$AP155=""),"",計分!$AP155-計分!D155)</f>
        <v/>
      </c>
      <c r="E155">
        <f>IF(OR(計分!E155="",計分!$AP155=""),"",計分!$AP155-計分!E155)</f>
        <v/>
      </c>
      <c r="F155">
        <f>IF(OR(計分!F155="",計分!$AP155=""),"",計分!$AP155-計分!F155)</f>
        <v/>
      </c>
      <c r="G155">
        <f>IF(OR(計分!G155="",計分!$AP155=""),"",計分!$AP155-計分!G155)</f>
        <v/>
      </c>
      <c r="H155">
        <f>IF(OR(計分!H155="",計分!$AP155=""),"",計分!$AP155-計分!H155)</f>
        <v/>
      </c>
      <c r="I155">
        <f>IF(OR(計分!I155="",計分!$AP155=""),"",計分!$AP155-計分!I155)</f>
        <v/>
      </c>
      <c r="J155">
        <f>IF(OR(計分!J155="",計分!$AP155=""),"",計分!$AP155-計分!J155)</f>
        <v/>
      </c>
      <c r="K155">
        <f>IF(OR(計分!K155="",計分!$AP155=""),"",計分!$AP155-計分!K155)</f>
        <v/>
      </c>
      <c r="L155">
        <f>IF(OR(計分!L155="",計分!$AP155=""),"",計分!$AP155-計分!L155)</f>
        <v/>
      </c>
      <c r="M155">
        <f>IF(OR(計分!M155="",計分!$AP155=""),"",計分!$AP155-計分!M155)</f>
        <v/>
      </c>
      <c r="N155">
        <f>IF(OR(計分!N155="",計分!$AP155=""),"",計分!$AP155-計分!N155)</f>
        <v/>
      </c>
      <c r="O155">
        <f>IF(OR(計分!O155="",計分!$AP155=""),"",計分!$AP155-計分!O155)</f>
        <v/>
      </c>
      <c r="P155">
        <f>IF(OR(計分!P155="",計分!$AP155=""),"",計分!$AP155-計分!P155)</f>
        <v/>
      </c>
      <c r="Q155">
        <f>IF(OR(計分!Q155="",計分!$AP155=""),"",計分!$AP155-計分!Q155)</f>
        <v/>
      </c>
      <c r="R155">
        <f>IF(OR(計分!R155="",計分!$AP155=""),"",計分!$AP155-計分!R155)</f>
        <v/>
      </c>
      <c r="S155">
        <f>IF(OR(計分!S155="",計分!$AP155=""),"",計分!$AP155-計分!S155)</f>
        <v/>
      </c>
      <c r="T155">
        <f>IF(OR(計分!T155="",計分!$AP155=""),"",計分!$AP155-計分!T155)</f>
        <v/>
      </c>
      <c r="U155">
        <f>IF(OR(計分!U155="",計分!$AP155=""),"",計分!$AP155-計分!U155)</f>
        <v/>
      </c>
      <c r="V155">
        <f>IF(OR(計分!V155="",計分!$AP155=""),"",計分!$AP155-計分!V155)</f>
        <v/>
      </c>
      <c r="W155">
        <f>IF(OR(計分!W155="",計分!$AP155=""),"",計分!$AP155-計分!W155)</f>
        <v/>
      </c>
      <c r="X155">
        <f>IF(OR(計分!X155="",計分!$AP155=""),"",計分!$AP155-計分!X155)</f>
        <v/>
      </c>
      <c r="Y155">
        <f>IF(OR(計分!Y155="",計分!$AP155=""),"",計分!$AP155-計分!Y155)</f>
        <v/>
      </c>
      <c r="Z155">
        <f>IF(OR(計分!Z155="",計分!$AP155=""),"",計分!$AP155-計分!Z155)</f>
        <v/>
      </c>
      <c r="AA155">
        <f>IF(OR(計分!AA155="",計分!$AP155=""),"",計分!$AP155-計分!AA155)</f>
        <v/>
      </c>
      <c r="AB155">
        <f>IF(OR(計分!AB155="",計分!$AP155=""),"",計分!$AP155-計分!AB155)</f>
        <v/>
      </c>
      <c r="AC155">
        <f>IF(OR(計分!AC155="",計分!$AP155=""),"",計分!$AP155-計分!AC155)</f>
        <v/>
      </c>
      <c r="AD155">
        <f>IF(OR(計分!AD155="",計分!$AP155=""),"",計分!$AP155-計分!AD155)</f>
        <v/>
      </c>
      <c r="AE155">
        <f>IF(OR(計分!AE155="",計分!$AP155=""),"",計分!$AP155-計分!AE155)</f>
        <v/>
      </c>
      <c r="AF155">
        <f>IF(OR(計分!AF155="",計分!$AP155=""),"",計分!$AP155-計分!AF155)</f>
        <v/>
      </c>
      <c r="AG155">
        <f>IF(OR(計分!AG155="",計分!$AP155=""),"",計分!$AP155-計分!AG155)</f>
        <v/>
      </c>
      <c r="AH155">
        <f>IF(OR(計分!AH155="",計分!$AP155=""),"",計分!$AP155-計分!AH155)</f>
        <v/>
      </c>
      <c r="AI155">
        <f>IF(OR(計分!AI155="",計分!$AP155=""),"",計分!$AP155-計分!AI155)</f>
        <v/>
      </c>
      <c r="AJ155">
        <f>IF(OR(計分!AJ155="",計分!$AP155=""),"",計分!$AP155-計分!AJ155)</f>
        <v/>
      </c>
      <c r="AK155">
        <f>IF(OR(計分!AK155="",計分!$AP155=""),"",計分!$AP155-計分!AK155)</f>
        <v/>
      </c>
      <c r="AL155">
        <f>IF(OR(計分!AL155="",計分!$AP155=""),"",計分!$AP155-計分!AL155)</f>
        <v/>
      </c>
      <c r="AM155">
        <f>IF(OR(計分!AM155="",計分!$AP155=""),"",計分!$AP155-計分!AM155)</f>
        <v/>
      </c>
      <c r="AN155">
        <f>IF(OR(計分!AN155="",計分!$AP155=""),"",計分!$AP155-計分!AN155)</f>
        <v/>
      </c>
      <c r="AO155">
        <f>IF(OR(計分!AO155="",計分!$AP155=""),"",計分!$AP155-計分!AO155)</f>
        <v/>
      </c>
    </row>
    <row r="156">
      <c r="A156">
        <f>計分!A156</f>
        <v/>
      </c>
      <c r="B156">
        <f>IF(OR(計分!B156="",計分!$AP156=""),"",計分!$AP156-計分!B156)</f>
        <v/>
      </c>
      <c r="C156">
        <f>IF(OR(計分!C156="",計分!$AP156=""),"",計分!$AP156-計分!C156)</f>
        <v/>
      </c>
      <c r="D156">
        <f>IF(OR(計分!D156="",計分!$AP156=""),"",計分!$AP156-計分!D156)</f>
        <v/>
      </c>
      <c r="E156">
        <f>IF(OR(計分!E156="",計分!$AP156=""),"",計分!$AP156-計分!E156)</f>
        <v/>
      </c>
      <c r="F156">
        <f>IF(OR(計分!F156="",計分!$AP156=""),"",計分!$AP156-計分!F156)</f>
        <v/>
      </c>
      <c r="G156">
        <f>IF(OR(計分!G156="",計分!$AP156=""),"",計分!$AP156-計分!G156)</f>
        <v/>
      </c>
      <c r="H156">
        <f>IF(OR(計分!H156="",計分!$AP156=""),"",計分!$AP156-計分!H156)</f>
        <v/>
      </c>
      <c r="I156">
        <f>IF(OR(計分!I156="",計分!$AP156=""),"",計分!$AP156-計分!I156)</f>
        <v/>
      </c>
      <c r="J156">
        <f>IF(OR(計分!J156="",計分!$AP156=""),"",計分!$AP156-計分!J156)</f>
        <v/>
      </c>
      <c r="K156">
        <f>IF(OR(計分!K156="",計分!$AP156=""),"",計分!$AP156-計分!K156)</f>
        <v/>
      </c>
      <c r="L156">
        <f>IF(OR(計分!L156="",計分!$AP156=""),"",計分!$AP156-計分!L156)</f>
        <v/>
      </c>
      <c r="M156">
        <f>IF(OR(計分!M156="",計分!$AP156=""),"",計分!$AP156-計分!M156)</f>
        <v/>
      </c>
      <c r="N156">
        <f>IF(OR(計分!N156="",計分!$AP156=""),"",計分!$AP156-計分!N156)</f>
        <v/>
      </c>
      <c r="O156">
        <f>IF(OR(計分!O156="",計分!$AP156=""),"",計分!$AP156-計分!O156)</f>
        <v/>
      </c>
      <c r="P156">
        <f>IF(OR(計分!P156="",計分!$AP156=""),"",計分!$AP156-計分!P156)</f>
        <v/>
      </c>
      <c r="Q156">
        <f>IF(OR(計分!Q156="",計分!$AP156=""),"",計分!$AP156-計分!Q156)</f>
        <v/>
      </c>
      <c r="R156">
        <f>IF(OR(計分!R156="",計分!$AP156=""),"",計分!$AP156-計分!R156)</f>
        <v/>
      </c>
      <c r="S156">
        <f>IF(OR(計分!S156="",計分!$AP156=""),"",計分!$AP156-計分!S156)</f>
        <v/>
      </c>
      <c r="T156">
        <f>IF(OR(計分!T156="",計分!$AP156=""),"",計分!$AP156-計分!T156)</f>
        <v/>
      </c>
      <c r="U156">
        <f>IF(OR(計分!U156="",計分!$AP156=""),"",計分!$AP156-計分!U156)</f>
        <v/>
      </c>
      <c r="V156">
        <f>IF(OR(計分!V156="",計分!$AP156=""),"",計分!$AP156-計分!V156)</f>
        <v/>
      </c>
      <c r="W156">
        <f>IF(OR(計分!W156="",計分!$AP156=""),"",計分!$AP156-計分!W156)</f>
        <v/>
      </c>
      <c r="X156">
        <f>IF(OR(計分!X156="",計分!$AP156=""),"",計分!$AP156-計分!X156)</f>
        <v/>
      </c>
      <c r="Y156">
        <f>IF(OR(計分!Y156="",計分!$AP156=""),"",計分!$AP156-計分!Y156)</f>
        <v/>
      </c>
      <c r="Z156">
        <f>IF(OR(計分!Z156="",計分!$AP156=""),"",計分!$AP156-計分!Z156)</f>
        <v/>
      </c>
      <c r="AA156">
        <f>IF(OR(計分!AA156="",計分!$AP156=""),"",計分!$AP156-計分!AA156)</f>
        <v/>
      </c>
      <c r="AB156">
        <f>IF(OR(計分!AB156="",計分!$AP156=""),"",計分!$AP156-計分!AB156)</f>
        <v/>
      </c>
      <c r="AC156">
        <f>IF(OR(計分!AC156="",計分!$AP156=""),"",計分!$AP156-計分!AC156)</f>
        <v/>
      </c>
      <c r="AD156">
        <f>IF(OR(計分!AD156="",計分!$AP156=""),"",計分!$AP156-計分!AD156)</f>
        <v/>
      </c>
      <c r="AE156">
        <f>IF(OR(計分!AE156="",計分!$AP156=""),"",計分!$AP156-計分!AE156)</f>
        <v/>
      </c>
      <c r="AF156">
        <f>IF(OR(計分!AF156="",計分!$AP156=""),"",計分!$AP156-計分!AF156)</f>
        <v/>
      </c>
      <c r="AG156">
        <f>IF(OR(計分!AG156="",計分!$AP156=""),"",計分!$AP156-計分!AG156)</f>
        <v/>
      </c>
      <c r="AH156">
        <f>IF(OR(計分!AH156="",計分!$AP156=""),"",計分!$AP156-計分!AH156)</f>
        <v/>
      </c>
      <c r="AI156">
        <f>IF(OR(計分!AI156="",計分!$AP156=""),"",計分!$AP156-計分!AI156)</f>
        <v/>
      </c>
      <c r="AJ156">
        <f>IF(OR(計分!AJ156="",計分!$AP156=""),"",計分!$AP156-計分!AJ156)</f>
        <v/>
      </c>
      <c r="AK156">
        <f>IF(OR(計分!AK156="",計分!$AP156=""),"",計分!$AP156-計分!AK156)</f>
        <v/>
      </c>
      <c r="AL156">
        <f>IF(OR(計分!AL156="",計分!$AP156=""),"",計分!$AP156-計分!AL156)</f>
        <v/>
      </c>
      <c r="AM156">
        <f>IF(OR(計分!AM156="",計分!$AP156=""),"",計分!$AP156-計分!AM156)</f>
        <v/>
      </c>
      <c r="AN156">
        <f>IF(OR(計分!AN156="",計分!$AP156=""),"",計分!$AP156-計分!AN156)</f>
        <v/>
      </c>
      <c r="AO156">
        <f>IF(OR(計分!AO156="",計分!$AP156=""),"",計分!$AP156-計分!AO156)</f>
        <v/>
      </c>
    </row>
    <row r="157">
      <c r="A157">
        <f>計分!A157</f>
        <v/>
      </c>
      <c r="B157">
        <f>IF(OR(計分!B157="",計分!$AP157=""),"",計分!$AP157-計分!B157)</f>
        <v/>
      </c>
      <c r="C157">
        <f>IF(OR(計分!C157="",計分!$AP157=""),"",計分!$AP157-計分!C157)</f>
        <v/>
      </c>
      <c r="D157">
        <f>IF(OR(計分!D157="",計分!$AP157=""),"",計分!$AP157-計分!D157)</f>
        <v/>
      </c>
      <c r="E157">
        <f>IF(OR(計分!E157="",計分!$AP157=""),"",計分!$AP157-計分!E157)</f>
        <v/>
      </c>
      <c r="F157">
        <f>IF(OR(計分!F157="",計分!$AP157=""),"",計分!$AP157-計分!F157)</f>
        <v/>
      </c>
      <c r="G157">
        <f>IF(OR(計分!G157="",計分!$AP157=""),"",計分!$AP157-計分!G157)</f>
        <v/>
      </c>
      <c r="H157">
        <f>IF(OR(計分!H157="",計分!$AP157=""),"",計分!$AP157-計分!H157)</f>
        <v/>
      </c>
      <c r="I157">
        <f>IF(OR(計分!I157="",計分!$AP157=""),"",計分!$AP157-計分!I157)</f>
        <v/>
      </c>
      <c r="J157">
        <f>IF(OR(計分!J157="",計分!$AP157=""),"",計分!$AP157-計分!J157)</f>
        <v/>
      </c>
      <c r="K157">
        <f>IF(OR(計分!K157="",計分!$AP157=""),"",計分!$AP157-計分!K157)</f>
        <v/>
      </c>
      <c r="L157">
        <f>IF(OR(計分!L157="",計分!$AP157=""),"",計分!$AP157-計分!L157)</f>
        <v/>
      </c>
      <c r="M157">
        <f>IF(OR(計分!M157="",計分!$AP157=""),"",計分!$AP157-計分!M157)</f>
        <v/>
      </c>
      <c r="N157">
        <f>IF(OR(計分!N157="",計分!$AP157=""),"",計分!$AP157-計分!N157)</f>
        <v/>
      </c>
      <c r="O157">
        <f>IF(OR(計分!O157="",計分!$AP157=""),"",計分!$AP157-計分!O157)</f>
        <v/>
      </c>
      <c r="P157">
        <f>IF(OR(計分!P157="",計分!$AP157=""),"",計分!$AP157-計分!P157)</f>
        <v/>
      </c>
      <c r="Q157">
        <f>IF(OR(計分!Q157="",計分!$AP157=""),"",計分!$AP157-計分!Q157)</f>
        <v/>
      </c>
      <c r="R157">
        <f>IF(OR(計分!R157="",計分!$AP157=""),"",計分!$AP157-計分!R157)</f>
        <v/>
      </c>
      <c r="S157">
        <f>IF(OR(計分!S157="",計分!$AP157=""),"",計分!$AP157-計分!S157)</f>
        <v/>
      </c>
      <c r="T157">
        <f>IF(OR(計分!T157="",計分!$AP157=""),"",計分!$AP157-計分!T157)</f>
        <v/>
      </c>
      <c r="U157">
        <f>IF(OR(計分!U157="",計分!$AP157=""),"",計分!$AP157-計分!U157)</f>
        <v/>
      </c>
      <c r="V157">
        <f>IF(OR(計分!V157="",計分!$AP157=""),"",計分!$AP157-計分!V157)</f>
        <v/>
      </c>
      <c r="W157">
        <f>IF(OR(計分!W157="",計分!$AP157=""),"",計分!$AP157-計分!W157)</f>
        <v/>
      </c>
      <c r="X157">
        <f>IF(OR(計分!X157="",計分!$AP157=""),"",計分!$AP157-計分!X157)</f>
        <v/>
      </c>
      <c r="Y157">
        <f>IF(OR(計分!Y157="",計分!$AP157=""),"",計分!$AP157-計分!Y157)</f>
        <v/>
      </c>
      <c r="Z157">
        <f>IF(OR(計分!Z157="",計分!$AP157=""),"",計分!$AP157-計分!Z157)</f>
        <v/>
      </c>
      <c r="AA157">
        <f>IF(OR(計分!AA157="",計分!$AP157=""),"",計分!$AP157-計分!AA157)</f>
        <v/>
      </c>
      <c r="AB157">
        <f>IF(OR(計分!AB157="",計分!$AP157=""),"",計分!$AP157-計分!AB157)</f>
        <v/>
      </c>
      <c r="AC157">
        <f>IF(OR(計分!AC157="",計分!$AP157=""),"",計分!$AP157-計分!AC157)</f>
        <v/>
      </c>
      <c r="AD157">
        <f>IF(OR(計分!AD157="",計分!$AP157=""),"",計分!$AP157-計分!AD157)</f>
        <v/>
      </c>
      <c r="AE157">
        <f>IF(OR(計分!AE157="",計分!$AP157=""),"",計分!$AP157-計分!AE157)</f>
        <v/>
      </c>
      <c r="AF157">
        <f>IF(OR(計分!AF157="",計分!$AP157=""),"",計分!$AP157-計分!AF157)</f>
        <v/>
      </c>
      <c r="AG157">
        <f>IF(OR(計分!AG157="",計分!$AP157=""),"",計分!$AP157-計分!AG157)</f>
        <v/>
      </c>
      <c r="AH157">
        <f>IF(OR(計分!AH157="",計分!$AP157=""),"",計分!$AP157-計分!AH157)</f>
        <v/>
      </c>
      <c r="AI157">
        <f>IF(OR(計分!AI157="",計分!$AP157=""),"",計分!$AP157-計分!AI157)</f>
        <v/>
      </c>
      <c r="AJ157">
        <f>IF(OR(計分!AJ157="",計分!$AP157=""),"",計分!$AP157-計分!AJ157)</f>
        <v/>
      </c>
      <c r="AK157">
        <f>IF(OR(計分!AK157="",計分!$AP157=""),"",計分!$AP157-計分!AK157)</f>
        <v/>
      </c>
      <c r="AL157">
        <f>IF(OR(計分!AL157="",計分!$AP157=""),"",計分!$AP157-計分!AL157)</f>
        <v/>
      </c>
      <c r="AM157">
        <f>IF(OR(計分!AM157="",計分!$AP157=""),"",計分!$AP157-計分!AM157)</f>
        <v/>
      </c>
      <c r="AN157">
        <f>IF(OR(計分!AN157="",計分!$AP157=""),"",計分!$AP157-計分!AN157)</f>
        <v/>
      </c>
      <c r="AO157">
        <f>IF(OR(計分!AO157="",計分!$AP157=""),"",計分!$AP157-計分!AO157)</f>
        <v/>
      </c>
    </row>
    <row r="158">
      <c r="A158">
        <f>計分!A158</f>
        <v/>
      </c>
      <c r="B158">
        <f>IF(OR(計分!B158="",計分!$AP158=""),"",計分!$AP158-計分!B158)</f>
        <v/>
      </c>
      <c r="C158">
        <f>IF(OR(計分!C158="",計分!$AP158=""),"",計分!$AP158-計分!C158)</f>
        <v/>
      </c>
      <c r="D158">
        <f>IF(OR(計分!D158="",計分!$AP158=""),"",計分!$AP158-計分!D158)</f>
        <v/>
      </c>
      <c r="E158">
        <f>IF(OR(計分!E158="",計分!$AP158=""),"",計分!$AP158-計分!E158)</f>
        <v/>
      </c>
      <c r="F158">
        <f>IF(OR(計分!F158="",計分!$AP158=""),"",計分!$AP158-計分!F158)</f>
        <v/>
      </c>
      <c r="G158">
        <f>IF(OR(計分!G158="",計分!$AP158=""),"",計分!$AP158-計分!G158)</f>
        <v/>
      </c>
      <c r="H158">
        <f>IF(OR(計分!H158="",計分!$AP158=""),"",計分!$AP158-計分!H158)</f>
        <v/>
      </c>
      <c r="I158">
        <f>IF(OR(計分!I158="",計分!$AP158=""),"",計分!$AP158-計分!I158)</f>
        <v/>
      </c>
      <c r="J158">
        <f>IF(OR(計分!J158="",計分!$AP158=""),"",計分!$AP158-計分!J158)</f>
        <v/>
      </c>
      <c r="K158">
        <f>IF(OR(計分!K158="",計分!$AP158=""),"",計分!$AP158-計分!K158)</f>
        <v/>
      </c>
      <c r="L158">
        <f>IF(OR(計分!L158="",計分!$AP158=""),"",計分!$AP158-計分!L158)</f>
        <v/>
      </c>
      <c r="M158">
        <f>IF(OR(計分!M158="",計分!$AP158=""),"",計分!$AP158-計分!M158)</f>
        <v/>
      </c>
      <c r="N158">
        <f>IF(OR(計分!N158="",計分!$AP158=""),"",計分!$AP158-計分!N158)</f>
        <v/>
      </c>
      <c r="O158">
        <f>IF(OR(計分!O158="",計分!$AP158=""),"",計分!$AP158-計分!O158)</f>
        <v/>
      </c>
      <c r="P158">
        <f>IF(OR(計分!P158="",計分!$AP158=""),"",計分!$AP158-計分!P158)</f>
        <v/>
      </c>
      <c r="Q158">
        <f>IF(OR(計分!Q158="",計分!$AP158=""),"",計分!$AP158-計分!Q158)</f>
        <v/>
      </c>
      <c r="R158">
        <f>IF(OR(計分!R158="",計分!$AP158=""),"",計分!$AP158-計分!R158)</f>
        <v/>
      </c>
      <c r="S158">
        <f>IF(OR(計分!S158="",計分!$AP158=""),"",計分!$AP158-計分!S158)</f>
        <v/>
      </c>
      <c r="T158">
        <f>IF(OR(計分!T158="",計分!$AP158=""),"",計分!$AP158-計分!T158)</f>
        <v/>
      </c>
      <c r="U158">
        <f>IF(OR(計分!U158="",計分!$AP158=""),"",計分!$AP158-計分!U158)</f>
        <v/>
      </c>
      <c r="V158">
        <f>IF(OR(計分!V158="",計分!$AP158=""),"",計分!$AP158-計分!V158)</f>
        <v/>
      </c>
      <c r="W158">
        <f>IF(OR(計分!W158="",計分!$AP158=""),"",計分!$AP158-計分!W158)</f>
        <v/>
      </c>
      <c r="X158">
        <f>IF(OR(計分!X158="",計分!$AP158=""),"",計分!$AP158-計分!X158)</f>
        <v/>
      </c>
      <c r="Y158">
        <f>IF(OR(計分!Y158="",計分!$AP158=""),"",計分!$AP158-計分!Y158)</f>
        <v/>
      </c>
      <c r="Z158">
        <f>IF(OR(計分!Z158="",計分!$AP158=""),"",計分!$AP158-計分!Z158)</f>
        <v/>
      </c>
      <c r="AA158">
        <f>IF(OR(計分!AA158="",計分!$AP158=""),"",計分!$AP158-計分!AA158)</f>
        <v/>
      </c>
      <c r="AB158">
        <f>IF(OR(計分!AB158="",計分!$AP158=""),"",計分!$AP158-計分!AB158)</f>
        <v/>
      </c>
      <c r="AC158">
        <f>IF(OR(計分!AC158="",計分!$AP158=""),"",計分!$AP158-計分!AC158)</f>
        <v/>
      </c>
      <c r="AD158">
        <f>IF(OR(計分!AD158="",計分!$AP158=""),"",計分!$AP158-計分!AD158)</f>
        <v/>
      </c>
      <c r="AE158">
        <f>IF(OR(計分!AE158="",計分!$AP158=""),"",計分!$AP158-計分!AE158)</f>
        <v/>
      </c>
      <c r="AF158">
        <f>IF(OR(計分!AF158="",計分!$AP158=""),"",計分!$AP158-計分!AF158)</f>
        <v/>
      </c>
      <c r="AG158">
        <f>IF(OR(計分!AG158="",計分!$AP158=""),"",計分!$AP158-計分!AG158)</f>
        <v/>
      </c>
      <c r="AH158">
        <f>IF(OR(計分!AH158="",計分!$AP158=""),"",計分!$AP158-計分!AH158)</f>
        <v/>
      </c>
      <c r="AI158">
        <f>IF(OR(計分!AI158="",計分!$AP158=""),"",計分!$AP158-計分!AI158)</f>
        <v/>
      </c>
      <c r="AJ158">
        <f>IF(OR(計分!AJ158="",計分!$AP158=""),"",計分!$AP158-計分!AJ158)</f>
        <v/>
      </c>
      <c r="AK158">
        <f>IF(OR(計分!AK158="",計分!$AP158=""),"",計分!$AP158-計分!AK158)</f>
        <v/>
      </c>
      <c r="AL158">
        <f>IF(OR(計分!AL158="",計分!$AP158=""),"",計分!$AP158-計分!AL158)</f>
        <v/>
      </c>
      <c r="AM158">
        <f>IF(OR(計分!AM158="",計分!$AP158=""),"",計分!$AP158-計分!AM158)</f>
        <v/>
      </c>
      <c r="AN158">
        <f>IF(OR(計分!AN158="",計分!$AP158=""),"",計分!$AP158-計分!AN158)</f>
        <v/>
      </c>
      <c r="AO158">
        <f>IF(OR(計分!AO158="",計分!$AP158=""),"",計分!$AP158-計分!AO158)</f>
        <v/>
      </c>
    </row>
    <row r="159">
      <c r="A159">
        <f>計分!A159</f>
        <v/>
      </c>
      <c r="B159">
        <f>IF(OR(計分!B159="",計分!$AP159=""),"",計分!$AP159-計分!B159)</f>
        <v/>
      </c>
      <c r="C159">
        <f>IF(OR(計分!C159="",計分!$AP159=""),"",計分!$AP159-計分!C159)</f>
        <v/>
      </c>
      <c r="D159">
        <f>IF(OR(計分!D159="",計分!$AP159=""),"",計分!$AP159-計分!D159)</f>
        <v/>
      </c>
      <c r="E159">
        <f>IF(OR(計分!E159="",計分!$AP159=""),"",計分!$AP159-計分!E159)</f>
        <v/>
      </c>
      <c r="F159">
        <f>IF(OR(計分!F159="",計分!$AP159=""),"",計分!$AP159-計分!F159)</f>
        <v/>
      </c>
      <c r="G159">
        <f>IF(OR(計分!G159="",計分!$AP159=""),"",計分!$AP159-計分!G159)</f>
        <v/>
      </c>
      <c r="H159">
        <f>IF(OR(計分!H159="",計分!$AP159=""),"",計分!$AP159-計分!H159)</f>
        <v/>
      </c>
      <c r="I159">
        <f>IF(OR(計分!I159="",計分!$AP159=""),"",計分!$AP159-計分!I159)</f>
        <v/>
      </c>
      <c r="J159">
        <f>IF(OR(計分!J159="",計分!$AP159=""),"",計分!$AP159-計分!J159)</f>
        <v/>
      </c>
      <c r="K159">
        <f>IF(OR(計分!K159="",計分!$AP159=""),"",計分!$AP159-計分!K159)</f>
        <v/>
      </c>
      <c r="L159">
        <f>IF(OR(計分!L159="",計分!$AP159=""),"",計分!$AP159-計分!L159)</f>
        <v/>
      </c>
      <c r="M159">
        <f>IF(OR(計分!M159="",計分!$AP159=""),"",計分!$AP159-計分!M159)</f>
        <v/>
      </c>
      <c r="N159">
        <f>IF(OR(計分!N159="",計分!$AP159=""),"",計分!$AP159-計分!N159)</f>
        <v/>
      </c>
      <c r="O159">
        <f>IF(OR(計分!O159="",計分!$AP159=""),"",計分!$AP159-計分!O159)</f>
        <v/>
      </c>
      <c r="P159">
        <f>IF(OR(計分!P159="",計分!$AP159=""),"",計分!$AP159-計分!P159)</f>
        <v/>
      </c>
      <c r="Q159">
        <f>IF(OR(計分!Q159="",計分!$AP159=""),"",計分!$AP159-計分!Q159)</f>
        <v/>
      </c>
      <c r="R159">
        <f>IF(OR(計分!R159="",計分!$AP159=""),"",計分!$AP159-計分!R159)</f>
        <v/>
      </c>
      <c r="S159">
        <f>IF(OR(計分!S159="",計分!$AP159=""),"",計分!$AP159-計分!S159)</f>
        <v/>
      </c>
      <c r="T159">
        <f>IF(OR(計分!T159="",計分!$AP159=""),"",計分!$AP159-計分!T159)</f>
        <v/>
      </c>
      <c r="U159">
        <f>IF(OR(計分!U159="",計分!$AP159=""),"",計分!$AP159-計分!U159)</f>
        <v/>
      </c>
      <c r="V159">
        <f>IF(OR(計分!V159="",計分!$AP159=""),"",計分!$AP159-計分!V159)</f>
        <v/>
      </c>
      <c r="W159">
        <f>IF(OR(計分!W159="",計分!$AP159=""),"",計分!$AP159-計分!W159)</f>
        <v/>
      </c>
      <c r="X159">
        <f>IF(OR(計分!X159="",計分!$AP159=""),"",計分!$AP159-計分!X159)</f>
        <v/>
      </c>
      <c r="Y159">
        <f>IF(OR(計分!Y159="",計分!$AP159=""),"",計分!$AP159-計分!Y159)</f>
        <v/>
      </c>
      <c r="Z159">
        <f>IF(OR(計分!Z159="",計分!$AP159=""),"",計分!$AP159-計分!Z159)</f>
        <v/>
      </c>
      <c r="AA159">
        <f>IF(OR(計分!AA159="",計分!$AP159=""),"",計分!$AP159-計分!AA159)</f>
        <v/>
      </c>
      <c r="AB159">
        <f>IF(OR(計分!AB159="",計分!$AP159=""),"",計分!$AP159-計分!AB159)</f>
        <v/>
      </c>
      <c r="AC159">
        <f>IF(OR(計分!AC159="",計分!$AP159=""),"",計分!$AP159-計分!AC159)</f>
        <v/>
      </c>
      <c r="AD159">
        <f>IF(OR(計分!AD159="",計分!$AP159=""),"",計分!$AP159-計分!AD159)</f>
        <v/>
      </c>
      <c r="AE159">
        <f>IF(OR(計分!AE159="",計分!$AP159=""),"",計分!$AP159-計分!AE159)</f>
        <v/>
      </c>
      <c r="AF159">
        <f>IF(OR(計分!AF159="",計分!$AP159=""),"",計分!$AP159-計分!AF159)</f>
        <v/>
      </c>
      <c r="AG159">
        <f>IF(OR(計分!AG159="",計分!$AP159=""),"",計分!$AP159-計分!AG159)</f>
        <v/>
      </c>
      <c r="AH159">
        <f>IF(OR(計分!AH159="",計分!$AP159=""),"",計分!$AP159-計分!AH159)</f>
        <v/>
      </c>
      <c r="AI159">
        <f>IF(OR(計分!AI159="",計分!$AP159=""),"",計分!$AP159-計分!AI159)</f>
        <v/>
      </c>
      <c r="AJ159">
        <f>IF(OR(計分!AJ159="",計分!$AP159=""),"",計分!$AP159-計分!AJ159)</f>
        <v/>
      </c>
      <c r="AK159">
        <f>IF(OR(計分!AK159="",計分!$AP159=""),"",計分!$AP159-計分!AK159)</f>
        <v/>
      </c>
      <c r="AL159">
        <f>IF(OR(計分!AL159="",計分!$AP159=""),"",計分!$AP159-計分!AL159)</f>
        <v/>
      </c>
      <c r="AM159">
        <f>IF(OR(計分!AM159="",計分!$AP159=""),"",計分!$AP159-計分!AM159)</f>
        <v/>
      </c>
      <c r="AN159">
        <f>IF(OR(計分!AN159="",計分!$AP159=""),"",計分!$AP159-計分!AN159)</f>
        <v/>
      </c>
      <c r="AO159">
        <f>IF(OR(計分!AO159="",計分!$AP159=""),"",計分!$AP159-計分!AO159)</f>
        <v/>
      </c>
    </row>
    <row r="160">
      <c r="A160">
        <f>計分!A160</f>
        <v/>
      </c>
      <c r="B160">
        <f>IF(OR(計分!B160="",計分!$AP160=""),"",計分!$AP160-計分!B160)</f>
        <v/>
      </c>
      <c r="C160">
        <f>IF(OR(計分!C160="",計分!$AP160=""),"",計分!$AP160-計分!C160)</f>
        <v/>
      </c>
      <c r="D160">
        <f>IF(OR(計分!D160="",計分!$AP160=""),"",計分!$AP160-計分!D160)</f>
        <v/>
      </c>
      <c r="E160">
        <f>IF(OR(計分!E160="",計分!$AP160=""),"",計分!$AP160-計分!E160)</f>
        <v/>
      </c>
      <c r="F160">
        <f>IF(OR(計分!F160="",計分!$AP160=""),"",計分!$AP160-計分!F160)</f>
        <v/>
      </c>
      <c r="G160">
        <f>IF(OR(計分!G160="",計分!$AP160=""),"",計分!$AP160-計分!G160)</f>
        <v/>
      </c>
      <c r="H160">
        <f>IF(OR(計分!H160="",計分!$AP160=""),"",計分!$AP160-計分!H160)</f>
        <v/>
      </c>
      <c r="I160">
        <f>IF(OR(計分!I160="",計分!$AP160=""),"",計分!$AP160-計分!I160)</f>
        <v/>
      </c>
      <c r="J160">
        <f>IF(OR(計分!J160="",計分!$AP160=""),"",計分!$AP160-計分!J160)</f>
        <v/>
      </c>
      <c r="K160">
        <f>IF(OR(計分!K160="",計分!$AP160=""),"",計分!$AP160-計分!K160)</f>
        <v/>
      </c>
      <c r="L160">
        <f>IF(OR(計分!L160="",計分!$AP160=""),"",計分!$AP160-計分!L160)</f>
        <v/>
      </c>
      <c r="M160">
        <f>IF(OR(計分!M160="",計分!$AP160=""),"",計分!$AP160-計分!M160)</f>
        <v/>
      </c>
      <c r="N160">
        <f>IF(OR(計分!N160="",計分!$AP160=""),"",計分!$AP160-計分!N160)</f>
        <v/>
      </c>
      <c r="O160">
        <f>IF(OR(計分!O160="",計分!$AP160=""),"",計分!$AP160-計分!O160)</f>
        <v/>
      </c>
      <c r="P160">
        <f>IF(OR(計分!P160="",計分!$AP160=""),"",計分!$AP160-計分!P160)</f>
        <v/>
      </c>
      <c r="Q160">
        <f>IF(OR(計分!Q160="",計分!$AP160=""),"",計分!$AP160-計分!Q160)</f>
        <v/>
      </c>
      <c r="R160">
        <f>IF(OR(計分!R160="",計分!$AP160=""),"",計分!$AP160-計分!R160)</f>
        <v/>
      </c>
      <c r="S160">
        <f>IF(OR(計分!S160="",計分!$AP160=""),"",計分!$AP160-計分!S160)</f>
        <v/>
      </c>
      <c r="T160">
        <f>IF(OR(計分!T160="",計分!$AP160=""),"",計分!$AP160-計分!T160)</f>
        <v/>
      </c>
      <c r="U160">
        <f>IF(OR(計分!U160="",計分!$AP160=""),"",計分!$AP160-計分!U160)</f>
        <v/>
      </c>
      <c r="V160">
        <f>IF(OR(計分!V160="",計分!$AP160=""),"",計分!$AP160-計分!V160)</f>
        <v/>
      </c>
      <c r="W160">
        <f>IF(OR(計分!W160="",計分!$AP160=""),"",計分!$AP160-計分!W160)</f>
        <v/>
      </c>
      <c r="X160">
        <f>IF(OR(計分!X160="",計分!$AP160=""),"",計分!$AP160-計分!X160)</f>
        <v/>
      </c>
      <c r="Y160">
        <f>IF(OR(計分!Y160="",計分!$AP160=""),"",計分!$AP160-計分!Y160)</f>
        <v/>
      </c>
      <c r="Z160">
        <f>IF(OR(計分!Z160="",計分!$AP160=""),"",計分!$AP160-計分!Z160)</f>
        <v/>
      </c>
      <c r="AA160">
        <f>IF(OR(計分!AA160="",計分!$AP160=""),"",計分!$AP160-計分!AA160)</f>
        <v/>
      </c>
      <c r="AB160">
        <f>IF(OR(計分!AB160="",計分!$AP160=""),"",計分!$AP160-計分!AB160)</f>
        <v/>
      </c>
      <c r="AC160">
        <f>IF(OR(計分!AC160="",計分!$AP160=""),"",計分!$AP160-計分!AC160)</f>
        <v/>
      </c>
      <c r="AD160">
        <f>IF(OR(計分!AD160="",計分!$AP160=""),"",計分!$AP160-計分!AD160)</f>
        <v/>
      </c>
      <c r="AE160">
        <f>IF(OR(計分!AE160="",計分!$AP160=""),"",計分!$AP160-計分!AE160)</f>
        <v/>
      </c>
      <c r="AF160">
        <f>IF(OR(計分!AF160="",計分!$AP160=""),"",計分!$AP160-計分!AF160)</f>
        <v/>
      </c>
      <c r="AG160">
        <f>IF(OR(計分!AG160="",計分!$AP160=""),"",計分!$AP160-計分!AG160)</f>
        <v/>
      </c>
      <c r="AH160">
        <f>IF(OR(計分!AH160="",計分!$AP160=""),"",計分!$AP160-計分!AH160)</f>
        <v/>
      </c>
      <c r="AI160">
        <f>IF(OR(計分!AI160="",計分!$AP160=""),"",計分!$AP160-計分!AI160)</f>
        <v/>
      </c>
      <c r="AJ160">
        <f>IF(OR(計分!AJ160="",計分!$AP160=""),"",計分!$AP160-計分!AJ160)</f>
        <v/>
      </c>
      <c r="AK160">
        <f>IF(OR(計分!AK160="",計分!$AP160=""),"",計分!$AP160-計分!AK160)</f>
        <v/>
      </c>
      <c r="AL160">
        <f>IF(OR(計分!AL160="",計分!$AP160=""),"",計分!$AP160-計分!AL160)</f>
        <v/>
      </c>
      <c r="AM160">
        <f>IF(OR(計分!AM160="",計分!$AP160=""),"",計分!$AP160-計分!AM160)</f>
        <v/>
      </c>
      <c r="AN160">
        <f>IF(OR(計分!AN160="",計分!$AP160=""),"",計分!$AP160-計分!AN160)</f>
        <v/>
      </c>
      <c r="AO160">
        <f>IF(OR(計分!AO160="",計分!$AP160=""),"",計分!$AP160-計分!AO160)</f>
        <v/>
      </c>
    </row>
    <row r="161">
      <c r="A161">
        <f>計分!A161</f>
        <v/>
      </c>
      <c r="B161">
        <f>IF(OR(計分!B161="",計分!$AP161=""),"",計分!$AP161-計分!B161)</f>
        <v/>
      </c>
      <c r="C161">
        <f>IF(OR(計分!C161="",計分!$AP161=""),"",計分!$AP161-計分!C161)</f>
        <v/>
      </c>
      <c r="D161">
        <f>IF(OR(計分!D161="",計分!$AP161=""),"",計分!$AP161-計分!D161)</f>
        <v/>
      </c>
      <c r="E161">
        <f>IF(OR(計分!E161="",計分!$AP161=""),"",計分!$AP161-計分!E161)</f>
        <v/>
      </c>
      <c r="F161">
        <f>IF(OR(計分!F161="",計分!$AP161=""),"",計分!$AP161-計分!F161)</f>
        <v/>
      </c>
      <c r="G161">
        <f>IF(OR(計分!G161="",計分!$AP161=""),"",計分!$AP161-計分!G161)</f>
        <v/>
      </c>
      <c r="H161">
        <f>IF(OR(計分!H161="",計分!$AP161=""),"",計分!$AP161-計分!H161)</f>
        <v/>
      </c>
      <c r="I161">
        <f>IF(OR(計分!I161="",計分!$AP161=""),"",計分!$AP161-計分!I161)</f>
        <v/>
      </c>
      <c r="J161">
        <f>IF(OR(計分!J161="",計分!$AP161=""),"",計分!$AP161-計分!J161)</f>
        <v/>
      </c>
      <c r="K161">
        <f>IF(OR(計分!K161="",計分!$AP161=""),"",計分!$AP161-計分!K161)</f>
        <v/>
      </c>
      <c r="L161">
        <f>IF(OR(計分!L161="",計分!$AP161=""),"",計分!$AP161-計分!L161)</f>
        <v/>
      </c>
      <c r="M161">
        <f>IF(OR(計分!M161="",計分!$AP161=""),"",計分!$AP161-計分!M161)</f>
        <v/>
      </c>
      <c r="N161">
        <f>IF(OR(計分!N161="",計分!$AP161=""),"",計分!$AP161-計分!N161)</f>
        <v/>
      </c>
      <c r="O161">
        <f>IF(OR(計分!O161="",計分!$AP161=""),"",計分!$AP161-計分!O161)</f>
        <v/>
      </c>
      <c r="P161">
        <f>IF(OR(計分!P161="",計分!$AP161=""),"",計分!$AP161-計分!P161)</f>
        <v/>
      </c>
      <c r="Q161">
        <f>IF(OR(計分!Q161="",計分!$AP161=""),"",計分!$AP161-計分!Q161)</f>
        <v/>
      </c>
      <c r="R161">
        <f>IF(OR(計分!R161="",計分!$AP161=""),"",計分!$AP161-計分!R161)</f>
        <v/>
      </c>
      <c r="S161">
        <f>IF(OR(計分!S161="",計分!$AP161=""),"",計分!$AP161-計分!S161)</f>
        <v/>
      </c>
      <c r="T161">
        <f>IF(OR(計分!T161="",計分!$AP161=""),"",計分!$AP161-計分!T161)</f>
        <v/>
      </c>
      <c r="U161">
        <f>IF(OR(計分!U161="",計分!$AP161=""),"",計分!$AP161-計分!U161)</f>
        <v/>
      </c>
      <c r="V161">
        <f>IF(OR(計分!V161="",計分!$AP161=""),"",計分!$AP161-計分!V161)</f>
        <v/>
      </c>
      <c r="W161">
        <f>IF(OR(計分!W161="",計分!$AP161=""),"",計分!$AP161-計分!W161)</f>
        <v/>
      </c>
      <c r="X161">
        <f>IF(OR(計分!X161="",計分!$AP161=""),"",計分!$AP161-計分!X161)</f>
        <v/>
      </c>
      <c r="Y161">
        <f>IF(OR(計分!Y161="",計分!$AP161=""),"",計分!$AP161-計分!Y161)</f>
        <v/>
      </c>
      <c r="Z161">
        <f>IF(OR(計分!Z161="",計分!$AP161=""),"",計分!$AP161-計分!Z161)</f>
        <v/>
      </c>
      <c r="AA161">
        <f>IF(OR(計分!AA161="",計分!$AP161=""),"",計分!$AP161-計分!AA161)</f>
        <v/>
      </c>
      <c r="AB161">
        <f>IF(OR(計分!AB161="",計分!$AP161=""),"",計分!$AP161-計分!AB161)</f>
        <v/>
      </c>
      <c r="AC161">
        <f>IF(OR(計分!AC161="",計分!$AP161=""),"",計分!$AP161-計分!AC161)</f>
        <v/>
      </c>
      <c r="AD161">
        <f>IF(OR(計分!AD161="",計分!$AP161=""),"",計分!$AP161-計分!AD161)</f>
        <v/>
      </c>
      <c r="AE161">
        <f>IF(OR(計分!AE161="",計分!$AP161=""),"",計分!$AP161-計分!AE161)</f>
        <v/>
      </c>
      <c r="AF161">
        <f>IF(OR(計分!AF161="",計分!$AP161=""),"",計分!$AP161-計分!AF161)</f>
        <v/>
      </c>
      <c r="AG161">
        <f>IF(OR(計分!AG161="",計分!$AP161=""),"",計分!$AP161-計分!AG161)</f>
        <v/>
      </c>
      <c r="AH161">
        <f>IF(OR(計分!AH161="",計分!$AP161=""),"",計分!$AP161-計分!AH161)</f>
        <v/>
      </c>
      <c r="AI161">
        <f>IF(OR(計分!AI161="",計分!$AP161=""),"",計分!$AP161-計分!AI161)</f>
        <v/>
      </c>
      <c r="AJ161">
        <f>IF(OR(計分!AJ161="",計分!$AP161=""),"",計分!$AP161-計分!AJ161)</f>
        <v/>
      </c>
      <c r="AK161">
        <f>IF(OR(計分!AK161="",計分!$AP161=""),"",計分!$AP161-計分!AK161)</f>
        <v/>
      </c>
      <c r="AL161">
        <f>IF(OR(計分!AL161="",計分!$AP161=""),"",計分!$AP161-計分!AL161)</f>
        <v/>
      </c>
      <c r="AM161">
        <f>IF(OR(計分!AM161="",計分!$AP161=""),"",計分!$AP161-計分!AM161)</f>
        <v/>
      </c>
      <c r="AN161">
        <f>IF(OR(計分!AN161="",計分!$AP161=""),"",計分!$AP161-計分!AN161)</f>
        <v/>
      </c>
      <c r="AO161">
        <f>IF(OR(計分!AO161="",計分!$AP161=""),"",計分!$AP161-計分!AO161)</f>
        <v/>
      </c>
    </row>
    <row r="162">
      <c r="A162">
        <f>計分!A162</f>
        <v/>
      </c>
      <c r="B162">
        <f>IF(OR(計分!B162="",計分!$AP162=""),"",計分!$AP162-計分!B162)</f>
        <v/>
      </c>
      <c r="C162">
        <f>IF(OR(計分!C162="",計分!$AP162=""),"",計分!$AP162-計分!C162)</f>
        <v/>
      </c>
      <c r="D162">
        <f>IF(OR(計分!D162="",計分!$AP162=""),"",計分!$AP162-計分!D162)</f>
        <v/>
      </c>
      <c r="E162">
        <f>IF(OR(計分!E162="",計分!$AP162=""),"",計分!$AP162-計分!E162)</f>
        <v/>
      </c>
      <c r="F162">
        <f>IF(OR(計分!F162="",計分!$AP162=""),"",計分!$AP162-計分!F162)</f>
        <v/>
      </c>
      <c r="G162">
        <f>IF(OR(計分!G162="",計分!$AP162=""),"",計分!$AP162-計分!G162)</f>
        <v/>
      </c>
      <c r="H162">
        <f>IF(OR(計分!H162="",計分!$AP162=""),"",計分!$AP162-計分!H162)</f>
        <v/>
      </c>
      <c r="I162">
        <f>IF(OR(計分!I162="",計分!$AP162=""),"",計分!$AP162-計分!I162)</f>
        <v/>
      </c>
      <c r="J162">
        <f>IF(OR(計分!J162="",計分!$AP162=""),"",計分!$AP162-計分!J162)</f>
        <v/>
      </c>
      <c r="K162">
        <f>IF(OR(計分!K162="",計分!$AP162=""),"",計分!$AP162-計分!K162)</f>
        <v/>
      </c>
      <c r="L162">
        <f>IF(OR(計分!L162="",計分!$AP162=""),"",計分!$AP162-計分!L162)</f>
        <v/>
      </c>
      <c r="M162">
        <f>IF(OR(計分!M162="",計分!$AP162=""),"",計分!$AP162-計分!M162)</f>
        <v/>
      </c>
      <c r="N162">
        <f>IF(OR(計分!N162="",計分!$AP162=""),"",計分!$AP162-計分!N162)</f>
        <v/>
      </c>
      <c r="O162">
        <f>IF(OR(計分!O162="",計分!$AP162=""),"",計分!$AP162-計分!O162)</f>
        <v/>
      </c>
      <c r="P162">
        <f>IF(OR(計分!P162="",計分!$AP162=""),"",計分!$AP162-計分!P162)</f>
        <v/>
      </c>
      <c r="Q162">
        <f>IF(OR(計分!Q162="",計分!$AP162=""),"",計分!$AP162-計分!Q162)</f>
        <v/>
      </c>
      <c r="R162">
        <f>IF(OR(計分!R162="",計分!$AP162=""),"",計分!$AP162-計分!R162)</f>
        <v/>
      </c>
      <c r="S162">
        <f>IF(OR(計分!S162="",計分!$AP162=""),"",計分!$AP162-計分!S162)</f>
        <v/>
      </c>
      <c r="T162">
        <f>IF(OR(計分!T162="",計分!$AP162=""),"",計分!$AP162-計分!T162)</f>
        <v/>
      </c>
      <c r="U162">
        <f>IF(OR(計分!U162="",計分!$AP162=""),"",計分!$AP162-計分!U162)</f>
        <v/>
      </c>
      <c r="V162">
        <f>IF(OR(計分!V162="",計分!$AP162=""),"",計分!$AP162-計分!V162)</f>
        <v/>
      </c>
      <c r="W162">
        <f>IF(OR(計分!W162="",計分!$AP162=""),"",計分!$AP162-計分!W162)</f>
        <v/>
      </c>
      <c r="X162">
        <f>IF(OR(計分!X162="",計分!$AP162=""),"",計分!$AP162-計分!X162)</f>
        <v/>
      </c>
      <c r="Y162">
        <f>IF(OR(計分!Y162="",計分!$AP162=""),"",計分!$AP162-計分!Y162)</f>
        <v/>
      </c>
      <c r="Z162">
        <f>IF(OR(計分!Z162="",計分!$AP162=""),"",計分!$AP162-計分!Z162)</f>
        <v/>
      </c>
      <c r="AA162">
        <f>IF(OR(計分!AA162="",計分!$AP162=""),"",計分!$AP162-計分!AA162)</f>
        <v/>
      </c>
      <c r="AB162">
        <f>IF(OR(計分!AB162="",計分!$AP162=""),"",計分!$AP162-計分!AB162)</f>
        <v/>
      </c>
      <c r="AC162">
        <f>IF(OR(計分!AC162="",計分!$AP162=""),"",計分!$AP162-計分!AC162)</f>
        <v/>
      </c>
      <c r="AD162">
        <f>IF(OR(計分!AD162="",計分!$AP162=""),"",計分!$AP162-計分!AD162)</f>
        <v/>
      </c>
      <c r="AE162">
        <f>IF(OR(計分!AE162="",計分!$AP162=""),"",計分!$AP162-計分!AE162)</f>
        <v/>
      </c>
      <c r="AF162">
        <f>IF(OR(計分!AF162="",計分!$AP162=""),"",計分!$AP162-計分!AF162)</f>
        <v/>
      </c>
      <c r="AG162">
        <f>IF(OR(計分!AG162="",計分!$AP162=""),"",計分!$AP162-計分!AG162)</f>
        <v/>
      </c>
      <c r="AH162">
        <f>IF(OR(計分!AH162="",計分!$AP162=""),"",計分!$AP162-計分!AH162)</f>
        <v/>
      </c>
      <c r="AI162">
        <f>IF(OR(計分!AI162="",計分!$AP162=""),"",計分!$AP162-計分!AI162)</f>
        <v/>
      </c>
      <c r="AJ162">
        <f>IF(OR(計分!AJ162="",計分!$AP162=""),"",計分!$AP162-計分!AJ162)</f>
        <v/>
      </c>
      <c r="AK162">
        <f>IF(OR(計分!AK162="",計分!$AP162=""),"",計分!$AP162-計分!AK162)</f>
        <v/>
      </c>
      <c r="AL162">
        <f>IF(OR(計分!AL162="",計分!$AP162=""),"",計分!$AP162-計分!AL162)</f>
        <v/>
      </c>
      <c r="AM162">
        <f>IF(OR(計分!AM162="",計分!$AP162=""),"",計分!$AP162-計分!AM162)</f>
        <v/>
      </c>
      <c r="AN162">
        <f>IF(OR(計分!AN162="",計分!$AP162=""),"",計分!$AP162-計分!AN162)</f>
        <v/>
      </c>
      <c r="AO162">
        <f>IF(OR(計分!AO162="",計分!$AP162=""),"",計分!$AP162-計分!AO162)</f>
        <v/>
      </c>
    </row>
    <row r="163">
      <c r="A163">
        <f>計分!A163</f>
        <v/>
      </c>
      <c r="B163">
        <f>IF(OR(計分!B163="",計分!$AP163=""),"",計分!$AP163-計分!B163)</f>
        <v/>
      </c>
      <c r="C163">
        <f>IF(OR(計分!C163="",計分!$AP163=""),"",計分!$AP163-計分!C163)</f>
        <v/>
      </c>
      <c r="D163">
        <f>IF(OR(計分!D163="",計分!$AP163=""),"",計分!$AP163-計分!D163)</f>
        <v/>
      </c>
      <c r="E163">
        <f>IF(OR(計分!E163="",計分!$AP163=""),"",計分!$AP163-計分!E163)</f>
        <v/>
      </c>
      <c r="F163">
        <f>IF(OR(計分!F163="",計分!$AP163=""),"",計分!$AP163-計分!F163)</f>
        <v/>
      </c>
      <c r="G163">
        <f>IF(OR(計分!G163="",計分!$AP163=""),"",計分!$AP163-計分!G163)</f>
        <v/>
      </c>
      <c r="H163">
        <f>IF(OR(計分!H163="",計分!$AP163=""),"",計分!$AP163-計分!H163)</f>
        <v/>
      </c>
      <c r="I163">
        <f>IF(OR(計分!I163="",計分!$AP163=""),"",計分!$AP163-計分!I163)</f>
        <v/>
      </c>
      <c r="J163">
        <f>IF(OR(計分!J163="",計分!$AP163=""),"",計分!$AP163-計分!J163)</f>
        <v/>
      </c>
      <c r="K163">
        <f>IF(OR(計分!K163="",計分!$AP163=""),"",計分!$AP163-計分!K163)</f>
        <v/>
      </c>
      <c r="L163">
        <f>IF(OR(計分!L163="",計分!$AP163=""),"",計分!$AP163-計分!L163)</f>
        <v/>
      </c>
      <c r="M163">
        <f>IF(OR(計分!M163="",計分!$AP163=""),"",計分!$AP163-計分!M163)</f>
        <v/>
      </c>
      <c r="N163">
        <f>IF(OR(計分!N163="",計分!$AP163=""),"",計分!$AP163-計分!N163)</f>
        <v/>
      </c>
      <c r="O163">
        <f>IF(OR(計分!O163="",計分!$AP163=""),"",計分!$AP163-計分!O163)</f>
        <v/>
      </c>
      <c r="P163">
        <f>IF(OR(計分!P163="",計分!$AP163=""),"",計分!$AP163-計分!P163)</f>
        <v/>
      </c>
      <c r="Q163">
        <f>IF(OR(計分!Q163="",計分!$AP163=""),"",計分!$AP163-計分!Q163)</f>
        <v/>
      </c>
      <c r="R163">
        <f>IF(OR(計分!R163="",計分!$AP163=""),"",計分!$AP163-計分!R163)</f>
        <v/>
      </c>
      <c r="S163">
        <f>IF(OR(計分!S163="",計分!$AP163=""),"",計分!$AP163-計分!S163)</f>
        <v/>
      </c>
      <c r="T163">
        <f>IF(OR(計分!T163="",計分!$AP163=""),"",計分!$AP163-計分!T163)</f>
        <v/>
      </c>
      <c r="U163">
        <f>IF(OR(計分!U163="",計分!$AP163=""),"",計分!$AP163-計分!U163)</f>
        <v/>
      </c>
      <c r="V163">
        <f>IF(OR(計分!V163="",計分!$AP163=""),"",計分!$AP163-計分!V163)</f>
        <v/>
      </c>
      <c r="W163">
        <f>IF(OR(計分!W163="",計分!$AP163=""),"",計分!$AP163-計分!W163)</f>
        <v/>
      </c>
      <c r="X163">
        <f>IF(OR(計分!X163="",計分!$AP163=""),"",計分!$AP163-計分!X163)</f>
        <v/>
      </c>
      <c r="Y163">
        <f>IF(OR(計分!Y163="",計分!$AP163=""),"",計分!$AP163-計分!Y163)</f>
        <v/>
      </c>
      <c r="Z163">
        <f>IF(OR(計分!Z163="",計分!$AP163=""),"",計分!$AP163-計分!Z163)</f>
        <v/>
      </c>
      <c r="AA163">
        <f>IF(OR(計分!AA163="",計分!$AP163=""),"",計分!$AP163-計分!AA163)</f>
        <v/>
      </c>
      <c r="AB163">
        <f>IF(OR(計分!AB163="",計分!$AP163=""),"",計分!$AP163-計分!AB163)</f>
        <v/>
      </c>
      <c r="AC163">
        <f>IF(OR(計分!AC163="",計分!$AP163=""),"",計分!$AP163-計分!AC163)</f>
        <v/>
      </c>
      <c r="AD163">
        <f>IF(OR(計分!AD163="",計分!$AP163=""),"",計分!$AP163-計分!AD163)</f>
        <v/>
      </c>
      <c r="AE163">
        <f>IF(OR(計分!AE163="",計分!$AP163=""),"",計分!$AP163-計分!AE163)</f>
        <v/>
      </c>
      <c r="AF163">
        <f>IF(OR(計分!AF163="",計分!$AP163=""),"",計分!$AP163-計分!AF163)</f>
        <v/>
      </c>
      <c r="AG163">
        <f>IF(OR(計分!AG163="",計分!$AP163=""),"",計分!$AP163-計分!AG163)</f>
        <v/>
      </c>
      <c r="AH163">
        <f>IF(OR(計分!AH163="",計分!$AP163=""),"",計分!$AP163-計分!AH163)</f>
        <v/>
      </c>
      <c r="AI163">
        <f>IF(OR(計分!AI163="",計分!$AP163=""),"",計分!$AP163-計分!AI163)</f>
        <v/>
      </c>
      <c r="AJ163">
        <f>IF(OR(計分!AJ163="",計分!$AP163=""),"",計分!$AP163-計分!AJ163)</f>
        <v/>
      </c>
      <c r="AK163">
        <f>IF(OR(計分!AK163="",計分!$AP163=""),"",計分!$AP163-計分!AK163)</f>
        <v/>
      </c>
      <c r="AL163">
        <f>IF(OR(計分!AL163="",計分!$AP163=""),"",計分!$AP163-計分!AL163)</f>
        <v/>
      </c>
      <c r="AM163">
        <f>IF(OR(計分!AM163="",計分!$AP163=""),"",計分!$AP163-計分!AM163)</f>
        <v/>
      </c>
      <c r="AN163">
        <f>IF(OR(計分!AN163="",計分!$AP163=""),"",計分!$AP163-計分!AN163)</f>
        <v/>
      </c>
      <c r="AO163">
        <f>IF(OR(計分!AO163="",計分!$AP163=""),"",計分!$AP163-計分!AO163)</f>
        <v/>
      </c>
    </row>
    <row r="164">
      <c r="A164">
        <f>計分!A164</f>
        <v/>
      </c>
      <c r="B164">
        <f>IF(OR(計分!B164="",計分!$AP164=""),"",計分!$AP164-計分!B164)</f>
        <v/>
      </c>
      <c r="C164">
        <f>IF(OR(計分!C164="",計分!$AP164=""),"",計分!$AP164-計分!C164)</f>
        <v/>
      </c>
      <c r="D164">
        <f>IF(OR(計分!D164="",計分!$AP164=""),"",計分!$AP164-計分!D164)</f>
        <v/>
      </c>
      <c r="E164">
        <f>IF(OR(計分!E164="",計分!$AP164=""),"",計分!$AP164-計分!E164)</f>
        <v/>
      </c>
      <c r="F164">
        <f>IF(OR(計分!F164="",計分!$AP164=""),"",計分!$AP164-計分!F164)</f>
        <v/>
      </c>
      <c r="G164">
        <f>IF(OR(計分!G164="",計分!$AP164=""),"",計分!$AP164-計分!G164)</f>
        <v/>
      </c>
      <c r="H164">
        <f>IF(OR(計分!H164="",計分!$AP164=""),"",計分!$AP164-計分!H164)</f>
        <v/>
      </c>
      <c r="I164">
        <f>IF(OR(計分!I164="",計分!$AP164=""),"",計分!$AP164-計分!I164)</f>
        <v/>
      </c>
      <c r="J164">
        <f>IF(OR(計分!J164="",計分!$AP164=""),"",計分!$AP164-計分!J164)</f>
        <v/>
      </c>
      <c r="K164">
        <f>IF(OR(計分!K164="",計分!$AP164=""),"",計分!$AP164-計分!K164)</f>
        <v/>
      </c>
      <c r="L164">
        <f>IF(OR(計分!L164="",計分!$AP164=""),"",計分!$AP164-計分!L164)</f>
        <v/>
      </c>
      <c r="M164">
        <f>IF(OR(計分!M164="",計分!$AP164=""),"",計分!$AP164-計分!M164)</f>
        <v/>
      </c>
      <c r="N164">
        <f>IF(OR(計分!N164="",計分!$AP164=""),"",計分!$AP164-計分!N164)</f>
        <v/>
      </c>
      <c r="O164">
        <f>IF(OR(計分!O164="",計分!$AP164=""),"",計分!$AP164-計分!O164)</f>
        <v/>
      </c>
      <c r="P164">
        <f>IF(OR(計分!P164="",計分!$AP164=""),"",計分!$AP164-計分!P164)</f>
        <v/>
      </c>
      <c r="Q164">
        <f>IF(OR(計分!Q164="",計分!$AP164=""),"",計分!$AP164-計分!Q164)</f>
        <v/>
      </c>
      <c r="R164">
        <f>IF(OR(計分!R164="",計分!$AP164=""),"",計分!$AP164-計分!R164)</f>
        <v/>
      </c>
      <c r="S164">
        <f>IF(OR(計分!S164="",計分!$AP164=""),"",計分!$AP164-計分!S164)</f>
        <v/>
      </c>
      <c r="T164">
        <f>IF(OR(計分!T164="",計分!$AP164=""),"",計分!$AP164-計分!T164)</f>
        <v/>
      </c>
      <c r="U164">
        <f>IF(OR(計分!U164="",計分!$AP164=""),"",計分!$AP164-計分!U164)</f>
        <v/>
      </c>
      <c r="V164">
        <f>IF(OR(計分!V164="",計分!$AP164=""),"",計分!$AP164-計分!V164)</f>
        <v/>
      </c>
      <c r="W164">
        <f>IF(OR(計分!W164="",計分!$AP164=""),"",計分!$AP164-計分!W164)</f>
        <v/>
      </c>
      <c r="X164">
        <f>IF(OR(計分!X164="",計分!$AP164=""),"",計分!$AP164-計分!X164)</f>
        <v/>
      </c>
      <c r="Y164">
        <f>IF(OR(計分!Y164="",計分!$AP164=""),"",計分!$AP164-計分!Y164)</f>
        <v/>
      </c>
      <c r="Z164">
        <f>IF(OR(計分!Z164="",計分!$AP164=""),"",計分!$AP164-計分!Z164)</f>
        <v/>
      </c>
      <c r="AA164">
        <f>IF(OR(計分!AA164="",計分!$AP164=""),"",計分!$AP164-計分!AA164)</f>
        <v/>
      </c>
      <c r="AB164">
        <f>IF(OR(計分!AB164="",計分!$AP164=""),"",計分!$AP164-計分!AB164)</f>
        <v/>
      </c>
      <c r="AC164">
        <f>IF(OR(計分!AC164="",計分!$AP164=""),"",計分!$AP164-計分!AC164)</f>
        <v/>
      </c>
      <c r="AD164">
        <f>IF(OR(計分!AD164="",計分!$AP164=""),"",計分!$AP164-計分!AD164)</f>
        <v/>
      </c>
      <c r="AE164">
        <f>IF(OR(計分!AE164="",計分!$AP164=""),"",計分!$AP164-計分!AE164)</f>
        <v/>
      </c>
      <c r="AF164">
        <f>IF(OR(計分!AF164="",計分!$AP164=""),"",計分!$AP164-計分!AF164)</f>
        <v/>
      </c>
      <c r="AG164">
        <f>IF(OR(計分!AG164="",計分!$AP164=""),"",計分!$AP164-計分!AG164)</f>
        <v/>
      </c>
      <c r="AH164">
        <f>IF(OR(計分!AH164="",計分!$AP164=""),"",計分!$AP164-計分!AH164)</f>
        <v/>
      </c>
      <c r="AI164">
        <f>IF(OR(計分!AI164="",計分!$AP164=""),"",計分!$AP164-計分!AI164)</f>
        <v/>
      </c>
      <c r="AJ164">
        <f>IF(OR(計分!AJ164="",計分!$AP164=""),"",計分!$AP164-計分!AJ164)</f>
        <v/>
      </c>
      <c r="AK164">
        <f>IF(OR(計分!AK164="",計分!$AP164=""),"",計分!$AP164-計分!AK164)</f>
        <v/>
      </c>
      <c r="AL164">
        <f>IF(OR(計分!AL164="",計分!$AP164=""),"",計分!$AP164-計分!AL164)</f>
        <v/>
      </c>
      <c r="AM164">
        <f>IF(OR(計分!AM164="",計分!$AP164=""),"",計分!$AP164-計分!AM164)</f>
        <v/>
      </c>
      <c r="AN164">
        <f>IF(OR(計分!AN164="",計分!$AP164=""),"",計分!$AP164-計分!AN164)</f>
        <v/>
      </c>
      <c r="AO164">
        <f>IF(OR(計分!AO164="",計分!$AP164=""),"",計分!$AP164-計分!AO164)</f>
        <v/>
      </c>
    </row>
    <row r="165">
      <c r="A165">
        <f>計分!A165</f>
        <v/>
      </c>
      <c r="B165">
        <f>IF(OR(計分!B165="",計分!$AP165=""),"",計分!$AP165-計分!B165)</f>
        <v/>
      </c>
      <c r="C165">
        <f>IF(OR(計分!C165="",計分!$AP165=""),"",計分!$AP165-計分!C165)</f>
        <v/>
      </c>
      <c r="D165">
        <f>IF(OR(計分!D165="",計分!$AP165=""),"",計分!$AP165-計分!D165)</f>
        <v/>
      </c>
      <c r="E165">
        <f>IF(OR(計分!E165="",計分!$AP165=""),"",計分!$AP165-計分!E165)</f>
        <v/>
      </c>
      <c r="F165">
        <f>IF(OR(計分!F165="",計分!$AP165=""),"",計分!$AP165-計分!F165)</f>
        <v/>
      </c>
      <c r="G165">
        <f>IF(OR(計分!G165="",計分!$AP165=""),"",計分!$AP165-計分!G165)</f>
        <v/>
      </c>
      <c r="H165">
        <f>IF(OR(計分!H165="",計分!$AP165=""),"",計分!$AP165-計分!H165)</f>
        <v/>
      </c>
      <c r="I165">
        <f>IF(OR(計分!I165="",計分!$AP165=""),"",計分!$AP165-計分!I165)</f>
        <v/>
      </c>
      <c r="J165">
        <f>IF(OR(計分!J165="",計分!$AP165=""),"",計分!$AP165-計分!J165)</f>
        <v/>
      </c>
      <c r="K165">
        <f>IF(OR(計分!K165="",計分!$AP165=""),"",計分!$AP165-計分!K165)</f>
        <v/>
      </c>
      <c r="L165">
        <f>IF(OR(計分!L165="",計分!$AP165=""),"",計分!$AP165-計分!L165)</f>
        <v/>
      </c>
      <c r="M165">
        <f>IF(OR(計分!M165="",計分!$AP165=""),"",計分!$AP165-計分!M165)</f>
        <v/>
      </c>
      <c r="N165">
        <f>IF(OR(計分!N165="",計分!$AP165=""),"",計分!$AP165-計分!N165)</f>
        <v/>
      </c>
      <c r="O165">
        <f>IF(OR(計分!O165="",計分!$AP165=""),"",計分!$AP165-計分!O165)</f>
        <v/>
      </c>
      <c r="P165">
        <f>IF(OR(計分!P165="",計分!$AP165=""),"",計分!$AP165-計分!P165)</f>
        <v/>
      </c>
      <c r="Q165">
        <f>IF(OR(計分!Q165="",計分!$AP165=""),"",計分!$AP165-計分!Q165)</f>
        <v/>
      </c>
      <c r="R165">
        <f>IF(OR(計分!R165="",計分!$AP165=""),"",計分!$AP165-計分!R165)</f>
        <v/>
      </c>
      <c r="S165">
        <f>IF(OR(計分!S165="",計分!$AP165=""),"",計分!$AP165-計分!S165)</f>
        <v/>
      </c>
      <c r="T165">
        <f>IF(OR(計分!T165="",計分!$AP165=""),"",計分!$AP165-計分!T165)</f>
        <v/>
      </c>
      <c r="U165">
        <f>IF(OR(計分!U165="",計分!$AP165=""),"",計分!$AP165-計分!U165)</f>
        <v/>
      </c>
      <c r="V165">
        <f>IF(OR(計分!V165="",計分!$AP165=""),"",計分!$AP165-計分!V165)</f>
        <v/>
      </c>
      <c r="W165">
        <f>IF(OR(計分!W165="",計分!$AP165=""),"",計分!$AP165-計分!W165)</f>
        <v/>
      </c>
      <c r="X165">
        <f>IF(OR(計分!X165="",計分!$AP165=""),"",計分!$AP165-計分!X165)</f>
        <v/>
      </c>
      <c r="Y165">
        <f>IF(OR(計分!Y165="",計分!$AP165=""),"",計分!$AP165-計分!Y165)</f>
        <v/>
      </c>
      <c r="Z165">
        <f>IF(OR(計分!Z165="",計分!$AP165=""),"",計分!$AP165-計分!Z165)</f>
        <v/>
      </c>
      <c r="AA165">
        <f>IF(OR(計分!AA165="",計分!$AP165=""),"",計分!$AP165-計分!AA165)</f>
        <v/>
      </c>
      <c r="AB165">
        <f>IF(OR(計分!AB165="",計分!$AP165=""),"",計分!$AP165-計分!AB165)</f>
        <v/>
      </c>
      <c r="AC165">
        <f>IF(OR(計分!AC165="",計分!$AP165=""),"",計分!$AP165-計分!AC165)</f>
        <v/>
      </c>
      <c r="AD165">
        <f>IF(OR(計分!AD165="",計分!$AP165=""),"",計分!$AP165-計分!AD165)</f>
        <v/>
      </c>
      <c r="AE165">
        <f>IF(OR(計分!AE165="",計分!$AP165=""),"",計分!$AP165-計分!AE165)</f>
        <v/>
      </c>
      <c r="AF165">
        <f>IF(OR(計分!AF165="",計分!$AP165=""),"",計分!$AP165-計分!AF165)</f>
        <v/>
      </c>
      <c r="AG165">
        <f>IF(OR(計分!AG165="",計分!$AP165=""),"",計分!$AP165-計分!AG165)</f>
        <v/>
      </c>
      <c r="AH165">
        <f>IF(OR(計分!AH165="",計分!$AP165=""),"",計分!$AP165-計分!AH165)</f>
        <v/>
      </c>
      <c r="AI165">
        <f>IF(OR(計分!AI165="",計分!$AP165=""),"",計分!$AP165-計分!AI165)</f>
        <v/>
      </c>
      <c r="AJ165">
        <f>IF(OR(計分!AJ165="",計分!$AP165=""),"",計分!$AP165-計分!AJ165)</f>
        <v/>
      </c>
      <c r="AK165">
        <f>IF(OR(計分!AK165="",計分!$AP165=""),"",計分!$AP165-計分!AK165)</f>
        <v/>
      </c>
      <c r="AL165">
        <f>IF(OR(計分!AL165="",計分!$AP165=""),"",計分!$AP165-計分!AL165)</f>
        <v/>
      </c>
      <c r="AM165">
        <f>IF(OR(計分!AM165="",計分!$AP165=""),"",計分!$AP165-計分!AM165)</f>
        <v/>
      </c>
      <c r="AN165">
        <f>IF(OR(計分!AN165="",計分!$AP165=""),"",計分!$AP165-計分!AN165)</f>
        <v/>
      </c>
      <c r="AO165">
        <f>IF(OR(計分!AO165="",計分!$AP165=""),"",計分!$AP165-計分!AO165)</f>
        <v/>
      </c>
    </row>
    <row r="166">
      <c r="A166">
        <f>計分!A166</f>
        <v/>
      </c>
      <c r="B166">
        <f>IF(OR(計分!B166="",計分!$AP166=""),"",計分!$AP166-計分!B166)</f>
        <v/>
      </c>
      <c r="C166">
        <f>IF(OR(計分!C166="",計分!$AP166=""),"",計分!$AP166-計分!C166)</f>
        <v/>
      </c>
      <c r="D166">
        <f>IF(OR(計分!D166="",計分!$AP166=""),"",計分!$AP166-計分!D166)</f>
        <v/>
      </c>
      <c r="E166">
        <f>IF(OR(計分!E166="",計分!$AP166=""),"",計分!$AP166-計分!E166)</f>
        <v/>
      </c>
      <c r="F166">
        <f>IF(OR(計分!F166="",計分!$AP166=""),"",計分!$AP166-計分!F166)</f>
        <v/>
      </c>
      <c r="G166">
        <f>IF(OR(計分!G166="",計分!$AP166=""),"",計分!$AP166-計分!G166)</f>
        <v/>
      </c>
      <c r="H166">
        <f>IF(OR(計分!H166="",計分!$AP166=""),"",計分!$AP166-計分!H166)</f>
        <v/>
      </c>
      <c r="I166">
        <f>IF(OR(計分!I166="",計分!$AP166=""),"",計分!$AP166-計分!I166)</f>
        <v/>
      </c>
      <c r="J166">
        <f>IF(OR(計分!J166="",計分!$AP166=""),"",計分!$AP166-計分!J166)</f>
        <v/>
      </c>
      <c r="K166">
        <f>IF(OR(計分!K166="",計分!$AP166=""),"",計分!$AP166-計分!K166)</f>
        <v/>
      </c>
      <c r="L166">
        <f>IF(OR(計分!L166="",計分!$AP166=""),"",計分!$AP166-計分!L166)</f>
        <v/>
      </c>
      <c r="M166">
        <f>IF(OR(計分!M166="",計分!$AP166=""),"",計分!$AP166-計分!M166)</f>
        <v/>
      </c>
      <c r="N166">
        <f>IF(OR(計分!N166="",計分!$AP166=""),"",計分!$AP166-計分!N166)</f>
        <v/>
      </c>
      <c r="O166">
        <f>IF(OR(計分!O166="",計分!$AP166=""),"",計分!$AP166-計分!O166)</f>
        <v/>
      </c>
      <c r="P166">
        <f>IF(OR(計分!P166="",計分!$AP166=""),"",計分!$AP166-計分!P166)</f>
        <v/>
      </c>
      <c r="Q166">
        <f>IF(OR(計分!Q166="",計分!$AP166=""),"",計分!$AP166-計分!Q166)</f>
        <v/>
      </c>
      <c r="R166">
        <f>IF(OR(計分!R166="",計分!$AP166=""),"",計分!$AP166-計分!R166)</f>
        <v/>
      </c>
      <c r="S166">
        <f>IF(OR(計分!S166="",計分!$AP166=""),"",計分!$AP166-計分!S166)</f>
        <v/>
      </c>
      <c r="T166">
        <f>IF(OR(計分!T166="",計分!$AP166=""),"",計分!$AP166-計分!T166)</f>
        <v/>
      </c>
      <c r="U166">
        <f>IF(OR(計分!U166="",計分!$AP166=""),"",計分!$AP166-計分!U166)</f>
        <v/>
      </c>
      <c r="V166">
        <f>IF(OR(計分!V166="",計分!$AP166=""),"",計分!$AP166-計分!V166)</f>
        <v/>
      </c>
      <c r="W166">
        <f>IF(OR(計分!W166="",計分!$AP166=""),"",計分!$AP166-計分!W166)</f>
        <v/>
      </c>
      <c r="X166">
        <f>IF(OR(計分!X166="",計分!$AP166=""),"",計分!$AP166-計分!X166)</f>
        <v/>
      </c>
      <c r="Y166">
        <f>IF(OR(計分!Y166="",計分!$AP166=""),"",計分!$AP166-計分!Y166)</f>
        <v/>
      </c>
      <c r="Z166">
        <f>IF(OR(計分!Z166="",計分!$AP166=""),"",計分!$AP166-計分!Z166)</f>
        <v/>
      </c>
      <c r="AA166">
        <f>IF(OR(計分!AA166="",計分!$AP166=""),"",計分!$AP166-計分!AA166)</f>
        <v/>
      </c>
      <c r="AB166">
        <f>IF(OR(計分!AB166="",計分!$AP166=""),"",計分!$AP166-計分!AB166)</f>
        <v/>
      </c>
      <c r="AC166">
        <f>IF(OR(計分!AC166="",計分!$AP166=""),"",計分!$AP166-計分!AC166)</f>
        <v/>
      </c>
      <c r="AD166">
        <f>IF(OR(計分!AD166="",計分!$AP166=""),"",計分!$AP166-計分!AD166)</f>
        <v/>
      </c>
      <c r="AE166">
        <f>IF(OR(計分!AE166="",計分!$AP166=""),"",計分!$AP166-計分!AE166)</f>
        <v/>
      </c>
      <c r="AF166">
        <f>IF(OR(計分!AF166="",計分!$AP166=""),"",計分!$AP166-計分!AF166)</f>
        <v/>
      </c>
      <c r="AG166">
        <f>IF(OR(計分!AG166="",計分!$AP166=""),"",計分!$AP166-計分!AG166)</f>
        <v/>
      </c>
      <c r="AH166">
        <f>IF(OR(計分!AH166="",計分!$AP166=""),"",計分!$AP166-計分!AH166)</f>
        <v/>
      </c>
      <c r="AI166">
        <f>IF(OR(計分!AI166="",計分!$AP166=""),"",計分!$AP166-計分!AI166)</f>
        <v/>
      </c>
      <c r="AJ166">
        <f>IF(OR(計分!AJ166="",計分!$AP166=""),"",計分!$AP166-計分!AJ166)</f>
        <v/>
      </c>
      <c r="AK166">
        <f>IF(OR(計分!AK166="",計分!$AP166=""),"",計分!$AP166-計分!AK166)</f>
        <v/>
      </c>
      <c r="AL166">
        <f>IF(OR(計分!AL166="",計分!$AP166=""),"",計分!$AP166-計分!AL166)</f>
        <v/>
      </c>
      <c r="AM166">
        <f>IF(OR(計分!AM166="",計分!$AP166=""),"",計分!$AP166-計分!AM166)</f>
        <v/>
      </c>
      <c r="AN166">
        <f>IF(OR(計分!AN166="",計分!$AP166=""),"",計分!$AP166-計分!AN166)</f>
        <v/>
      </c>
      <c r="AO166">
        <f>IF(OR(計分!AO166="",計分!$AP166=""),"",計分!$AP166-計分!AO166)</f>
        <v/>
      </c>
    </row>
    <row r="167">
      <c r="A167">
        <f>計分!A167</f>
        <v/>
      </c>
      <c r="B167">
        <f>IF(OR(計分!B167="",計分!$AP167=""),"",計分!$AP167-計分!B167)</f>
        <v/>
      </c>
      <c r="C167">
        <f>IF(OR(計分!C167="",計分!$AP167=""),"",計分!$AP167-計分!C167)</f>
        <v/>
      </c>
      <c r="D167">
        <f>IF(OR(計分!D167="",計分!$AP167=""),"",計分!$AP167-計分!D167)</f>
        <v/>
      </c>
      <c r="E167">
        <f>IF(OR(計分!E167="",計分!$AP167=""),"",計分!$AP167-計分!E167)</f>
        <v/>
      </c>
      <c r="F167">
        <f>IF(OR(計分!F167="",計分!$AP167=""),"",計分!$AP167-計分!F167)</f>
        <v/>
      </c>
      <c r="G167">
        <f>IF(OR(計分!G167="",計分!$AP167=""),"",計分!$AP167-計分!G167)</f>
        <v/>
      </c>
      <c r="H167">
        <f>IF(OR(計分!H167="",計分!$AP167=""),"",計分!$AP167-計分!H167)</f>
        <v/>
      </c>
      <c r="I167">
        <f>IF(OR(計分!I167="",計分!$AP167=""),"",計分!$AP167-計分!I167)</f>
        <v/>
      </c>
      <c r="J167">
        <f>IF(OR(計分!J167="",計分!$AP167=""),"",計分!$AP167-計分!J167)</f>
        <v/>
      </c>
      <c r="K167">
        <f>IF(OR(計分!K167="",計分!$AP167=""),"",計分!$AP167-計分!K167)</f>
        <v/>
      </c>
      <c r="L167">
        <f>IF(OR(計分!L167="",計分!$AP167=""),"",計分!$AP167-計分!L167)</f>
        <v/>
      </c>
      <c r="M167">
        <f>IF(OR(計分!M167="",計分!$AP167=""),"",計分!$AP167-計分!M167)</f>
        <v/>
      </c>
      <c r="N167">
        <f>IF(OR(計分!N167="",計分!$AP167=""),"",計分!$AP167-計分!N167)</f>
        <v/>
      </c>
      <c r="O167">
        <f>IF(OR(計分!O167="",計分!$AP167=""),"",計分!$AP167-計分!O167)</f>
        <v/>
      </c>
      <c r="P167">
        <f>IF(OR(計分!P167="",計分!$AP167=""),"",計分!$AP167-計分!P167)</f>
        <v/>
      </c>
      <c r="Q167">
        <f>IF(OR(計分!Q167="",計分!$AP167=""),"",計分!$AP167-計分!Q167)</f>
        <v/>
      </c>
      <c r="R167">
        <f>IF(OR(計分!R167="",計分!$AP167=""),"",計分!$AP167-計分!R167)</f>
        <v/>
      </c>
      <c r="S167">
        <f>IF(OR(計分!S167="",計分!$AP167=""),"",計分!$AP167-計分!S167)</f>
        <v/>
      </c>
      <c r="T167">
        <f>IF(OR(計分!T167="",計分!$AP167=""),"",計分!$AP167-計分!T167)</f>
        <v/>
      </c>
      <c r="U167">
        <f>IF(OR(計分!U167="",計分!$AP167=""),"",計分!$AP167-計分!U167)</f>
        <v/>
      </c>
      <c r="V167">
        <f>IF(OR(計分!V167="",計分!$AP167=""),"",計分!$AP167-計分!V167)</f>
        <v/>
      </c>
      <c r="W167">
        <f>IF(OR(計分!W167="",計分!$AP167=""),"",計分!$AP167-計分!W167)</f>
        <v/>
      </c>
      <c r="X167">
        <f>IF(OR(計分!X167="",計分!$AP167=""),"",計分!$AP167-計分!X167)</f>
        <v/>
      </c>
      <c r="Y167">
        <f>IF(OR(計分!Y167="",計分!$AP167=""),"",計分!$AP167-計分!Y167)</f>
        <v/>
      </c>
      <c r="Z167">
        <f>IF(OR(計分!Z167="",計分!$AP167=""),"",計分!$AP167-計分!Z167)</f>
        <v/>
      </c>
      <c r="AA167">
        <f>IF(OR(計分!AA167="",計分!$AP167=""),"",計分!$AP167-計分!AA167)</f>
        <v/>
      </c>
      <c r="AB167">
        <f>IF(OR(計分!AB167="",計分!$AP167=""),"",計分!$AP167-計分!AB167)</f>
        <v/>
      </c>
      <c r="AC167">
        <f>IF(OR(計分!AC167="",計分!$AP167=""),"",計分!$AP167-計分!AC167)</f>
        <v/>
      </c>
      <c r="AD167">
        <f>IF(OR(計分!AD167="",計分!$AP167=""),"",計分!$AP167-計分!AD167)</f>
        <v/>
      </c>
      <c r="AE167">
        <f>IF(OR(計分!AE167="",計分!$AP167=""),"",計分!$AP167-計分!AE167)</f>
        <v/>
      </c>
      <c r="AF167">
        <f>IF(OR(計分!AF167="",計分!$AP167=""),"",計分!$AP167-計分!AF167)</f>
        <v/>
      </c>
      <c r="AG167">
        <f>IF(OR(計分!AG167="",計分!$AP167=""),"",計分!$AP167-計分!AG167)</f>
        <v/>
      </c>
      <c r="AH167">
        <f>IF(OR(計分!AH167="",計分!$AP167=""),"",計分!$AP167-計分!AH167)</f>
        <v/>
      </c>
      <c r="AI167">
        <f>IF(OR(計分!AI167="",計分!$AP167=""),"",計分!$AP167-計分!AI167)</f>
        <v/>
      </c>
      <c r="AJ167">
        <f>IF(OR(計分!AJ167="",計分!$AP167=""),"",計分!$AP167-計分!AJ167)</f>
        <v/>
      </c>
      <c r="AK167">
        <f>IF(OR(計分!AK167="",計分!$AP167=""),"",計分!$AP167-計分!AK167)</f>
        <v/>
      </c>
      <c r="AL167">
        <f>IF(OR(計分!AL167="",計分!$AP167=""),"",計分!$AP167-計分!AL167)</f>
        <v/>
      </c>
      <c r="AM167">
        <f>IF(OR(計分!AM167="",計分!$AP167=""),"",計分!$AP167-計分!AM167)</f>
        <v/>
      </c>
      <c r="AN167">
        <f>IF(OR(計分!AN167="",計分!$AP167=""),"",計分!$AP167-計分!AN167)</f>
        <v/>
      </c>
      <c r="AO167">
        <f>IF(OR(計分!AO167="",計分!$AP167=""),"",計分!$AP167-計分!AO167)</f>
        <v/>
      </c>
    </row>
    <row r="168">
      <c r="A168">
        <f>計分!A168</f>
        <v/>
      </c>
      <c r="B168">
        <f>IF(OR(計分!B168="",計分!$AP168=""),"",計分!$AP168-計分!B168)</f>
        <v/>
      </c>
      <c r="C168">
        <f>IF(OR(計分!C168="",計分!$AP168=""),"",計分!$AP168-計分!C168)</f>
        <v/>
      </c>
      <c r="D168">
        <f>IF(OR(計分!D168="",計分!$AP168=""),"",計分!$AP168-計分!D168)</f>
        <v/>
      </c>
      <c r="E168">
        <f>IF(OR(計分!E168="",計分!$AP168=""),"",計分!$AP168-計分!E168)</f>
        <v/>
      </c>
      <c r="F168">
        <f>IF(OR(計分!F168="",計分!$AP168=""),"",計分!$AP168-計分!F168)</f>
        <v/>
      </c>
      <c r="G168">
        <f>IF(OR(計分!G168="",計分!$AP168=""),"",計分!$AP168-計分!G168)</f>
        <v/>
      </c>
      <c r="H168">
        <f>IF(OR(計分!H168="",計分!$AP168=""),"",計分!$AP168-計分!H168)</f>
        <v/>
      </c>
      <c r="I168">
        <f>IF(OR(計分!I168="",計分!$AP168=""),"",計分!$AP168-計分!I168)</f>
        <v/>
      </c>
      <c r="J168">
        <f>IF(OR(計分!J168="",計分!$AP168=""),"",計分!$AP168-計分!J168)</f>
        <v/>
      </c>
      <c r="K168">
        <f>IF(OR(計分!K168="",計分!$AP168=""),"",計分!$AP168-計分!K168)</f>
        <v/>
      </c>
      <c r="L168">
        <f>IF(OR(計分!L168="",計分!$AP168=""),"",計分!$AP168-計分!L168)</f>
        <v/>
      </c>
      <c r="M168">
        <f>IF(OR(計分!M168="",計分!$AP168=""),"",計分!$AP168-計分!M168)</f>
        <v/>
      </c>
      <c r="N168">
        <f>IF(OR(計分!N168="",計分!$AP168=""),"",計分!$AP168-計分!N168)</f>
        <v/>
      </c>
      <c r="O168">
        <f>IF(OR(計分!O168="",計分!$AP168=""),"",計分!$AP168-計分!O168)</f>
        <v/>
      </c>
      <c r="P168">
        <f>IF(OR(計分!P168="",計分!$AP168=""),"",計分!$AP168-計分!P168)</f>
        <v/>
      </c>
      <c r="Q168">
        <f>IF(OR(計分!Q168="",計分!$AP168=""),"",計分!$AP168-計分!Q168)</f>
        <v/>
      </c>
      <c r="R168">
        <f>IF(OR(計分!R168="",計分!$AP168=""),"",計分!$AP168-計分!R168)</f>
        <v/>
      </c>
      <c r="S168">
        <f>IF(OR(計分!S168="",計分!$AP168=""),"",計分!$AP168-計分!S168)</f>
        <v/>
      </c>
      <c r="T168">
        <f>IF(OR(計分!T168="",計分!$AP168=""),"",計分!$AP168-計分!T168)</f>
        <v/>
      </c>
      <c r="U168">
        <f>IF(OR(計分!U168="",計分!$AP168=""),"",計分!$AP168-計分!U168)</f>
        <v/>
      </c>
      <c r="V168">
        <f>IF(OR(計分!V168="",計分!$AP168=""),"",計分!$AP168-計分!V168)</f>
        <v/>
      </c>
      <c r="W168">
        <f>IF(OR(計分!W168="",計分!$AP168=""),"",計分!$AP168-計分!W168)</f>
        <v/>
      </c>
      <c r="X168">
        <f>IF(OR(計分!X168="",計分!$AP168=""),"",計分!$AP168-計分!X168)</f>
        <v/>
      </c>
      <c r="Y168">
        <f>IF(OR(計分!Y168="",計分!$AP168=""),"",計分!$AP168-計分!Y168)</f>
        <v/>
      </c>
      <c r="Z168">
        <f>IF(OR(計分!Z168="",計分!$AP168=""),"",計分!$AP168-計分!Z168)</f>
        <v/>
      </c>
      <c r="AA168">
        <f>IF(OR(計分!AA168="",計分!$AP168=""),"",計分!$AP168-計分!AA168)</f>
        <v/>
      </c>
      <c r="AB168">
        <f>IF(OR(計分!AB168="",計分!$AP168=""),"",計分!$AP168-計分!AB168)</f>
        <v/>
      </c>
      <c r="AC168">
        <f>IF(OR(計分!AC168="",計分!$AP168=""),"",計分!$AP168-計分!AC168)</f>
        <v/>
      </c>
      <c r="AD168">
        <f>IF(OR(計分!AD168="",計分!$AP168=""),"",計分!$AP168-計分!AD168)</f>
        <v/>
      </c>
      <c r="AE168">
        <f>IF(OR(計分!AE168="",計分!$AP168=""),"",計分!$AP168-計分!AE168)</f>
        <v/>
      </c>
      <c r="AF168">
        <f>IF(OR(計分!AF168="",計分!$AP168=""),"",計分!$AP168-計分!AF168)</f>
        <v/>
      </c>
      <c r="AG168">
        <f>IF(OR(計分!AG168="",計分!$AP168=""),"",計分!$AP168-計分!AG168)</f>
        <v/>
      </c>
      <c r="AH168">
        <f>IF(OR(計分!AH168="",計分!$AP168=""),"",計分!$AP168-計分!AH168)</f>
        <v/>
      </c>
      <c r="AI168">
        <f>IF(OR(計分!AI168="",計分!$AP168=""),"",計分!$AP168-計分!AI168)</f>
        <v/>
      </c>
      <c r="AJ168">
        <f>IF(OR(計分!AJ168="",計分!$AP168=""),"",計分!$AP168-計分!AJ168)</f>
        <v/>
      </c>
      <c r="AK168">
        <f>IF(OR(計分!AK168="",計分!$AP168=""),"",計分!$AP168-計分!AK168)</f>
        <v/>
      </c>
      <c r="AL168">
        <f>IF(OR(計分!AL168="",計分!$AP168=""),"",計分!$AP168-計分!AL168)</f>
        <v/>
      </c>
      <c r="AM168">
        <f>IF(OR(計分!AM168="",計分!$AP168=""),"",計分!$AP168-計分!AM168)</f>
        <v/>
      </c>
      <c r="AN168">
        <f>IF(OR(計分!AN168="",計分!$AP168=""),"",計分!$AP168-計分!AN168)</f>
        <v/>
      </c>
      <c r="AO168">
        <f>IF(OR(計分!AO168="",計分!$AP168=""),"",計分!$AP168-計分!AO168)</f>
        <v/>
      </c>
    </row>
    <row r="169">
      <c r="A169">
        <f>計分!A169</f>
        <v/>
      </c>
      <c r="B169">
        <f>IF(OR(計分!B169="",計分!$AP169=""),"",計分!$AP169-計分!B169)</f>
        <v/>
      </c>
      <c r="C169">
        <f>IF(OR(計分!C169="",計分!$AP169=""),"",計分!$AP169-計分!C169)</f>
        <v/>
      </c>
      <c r="D169">
        <f>IF(OR(計分!D169="",計分!$AP169=""),"",計分!$AP169-計分!D169)</f>
        <v/>
      </c>
      <c r="E169">
        <f>IF(OR(計分!E169="",計分!$AP169=""),"",計分!$AP169-計分!E169)</f>
        <v/>
      </c>
      <c r="F169">
        <f>IF(OR(計分!F169="",計分!$AP169=""),"",計分!$AP169-計分!F169)</f>
        <v/>
      </c>
      <c r="G169">
        <f>IF(OR(計分!G169="",計分!$AP169=""),"",計分!$AP169-計分!G169)</f>
        <v/>
      </c>
      <c r="H169">
        <f>IF(OR(計分!H169="",計分!$AP169=""),"",計分!$AP169-計分!H169)</f>
        <v/>
      </c>
      <c r="I169">
        <f>IF(OR(計分!I169="",計分!$AP169=""),"",計分!$AP169-計分!I169)</f>
        <v/>
      </c>
      <c r="J169">
        <f>IF(OR(計分!J169="",計分!$AP169=""),"",計分!$AP169-計分!J169)</f>
        <v/>
      </c>
      <c r="K169">
        <f>IF(OR(計分!K169="",計分!$AP169=""),"",計分!$AP169-計分!K169)</f>
        <v/>
      </c>
      <c r="L169">
        <f>IF(OR(計分!L169="",計分!$AP169=""),"",計分!$AP169-計分!L169)</f>
        <v/>
      </c>
      <c r="M169">
        <f>IF(OR(計分!M169="",計分!$AP169=""),"",計分!$AP169-計分!M169)</f>
        <v/>
      </c>
      <c r="N169">
        <f>IF(OR(計分!N169="",計分!$AP169=""),"",計分!$AP169-計分!N169)</f>
        <v/>
      </c>
      <c r="O169">
        <f>IF(OR(計分!O169="",計分!$AP169=""),"",計分!$AP169-計分!O169)</f>
        <v/>
      </c>
      <c r="P169">
        <f>IF(OR(計分!P169="",計分!$AP169=""),"",計分!$AP169-計分!P169)</f>
        <v/>
      </c>
      <c r="Q169">
        <f>IF(OR(計分!Q169="",計分!$AP169=""),"",計分!$AP169-計分!Q169)</f>
        <v/>
      </c>
      <c r="R169">
        <f>IF(OR(計分!R169="",計分!$AP169=""),"",計分!$AP169-計分!R169)</f>
        <v/>
      </c>
      <c r="S169">
        <f>IF(OR(計分!S169="",計分!$AP169=""),"",計分!$AP169-計分!S169)</f>
        <v/>
      </c>
      <c r="T169">
        <f>IF(OR(計分!T169="",計分!$AP169=""),"",計分!$AP169-計分!T169)</f>
        <v/>
      </c>
      <c r="U169">
        <f>IF(OR(計分!U169="",計分!$AP169=""),"",計分!$AP169-計分!U169)</f>
        <v/>
      </c>
      <c r="V169">
        <f>IF(OR(計分!V169="",計分!$AP169=""),"",計分!$AP169-計分!V169)</f>
        <v/>
      </c>
      <c r="W169">
        <f>IF(OR(計分!W169="",計分!$AP169=""),"",計分!$AP169-計分!W169)</f>
        <v/>
      </c>
      <c r="X169">
        <f>IF(OR(計分!X169="",計分!$AP169=""),"",計分!$AP169-計分!X169)</f>
        <v/>
      </c>
      <c r="Y169">
        <f>IF(OR(計分!Y169="",計分!$AP169=""),"",計分!$AP169-計分!Y169)</f>
        <v/>
      </c>
      <c r="Z169">
        <f>IF(OR(計分!Z169="",計分!$AP169=""),"",計分!$AP169-計分!Z169)</f>
        <v/>
      </c>
      <c r="AA169">
        <f>IF(OR(計分!AA169="",計分!$AP169=""),"",計分!$AP169-計分!AA169)</f>
        <v/>
      </c>
      <c r="AB169">
        <f>IF(OR(計分!AB169="",計分!$AP169=""),"",計分!$AP169-計分!AB169)</f>
        <v/>
      </c>
      <c r="AC169">
        <f>IF(OR(計分!AC169="",計分!$AP169=""),"",計分!$AP169-計分!AC169)</f>
        <v/>
      </c>
      <c r="AD169">
        <f>IF(OR(計分!AD169="",計分!$AP169=""),"",計分!$AP169-計分!AD169)</f>
        <v/>
      </c>
      <c r="AE169">
        <f>IF(OR(計分!AE169="",計分!$AP169=""),"",計分!$AP169-計分!AE169)</f>
        <v/>
      </c>
      <c r="AF169">
        <f>IF(OR(計分!AF169="",計分!$AP169=""),"",計分!$AP169-計分!AF169)</f>
        <v/>
      </c>
      <c r="AG169">
        <f>IF(OR(計分!AG169="",計分!$AP169=""),"",計分!$AP169-計分!AG169)</f>
        <v/>
      </c>
      <c r="AH169">
        <f>IF(OR(計分!AH169="",計分!$AP169=""),"",計分!$AP169-計分!AH169)</f>
        <v/>
      </c>
      <c r="AI169">
        <f>IF(OR(計分!AI169="",計分!$AP169=""),"",計分!$AP169-計分!AI169)</f>
        <v/>
      </c>
      <c r="AJ169">
        <f>IF(OR(計分!AJ169="",計分!$AP169=""),"",計分!$AP169-計分!AJ169)</f>
        <v/>
      </c>
      <c r="AK169">
        <f>IF(OR(計分!AK169="",計分!$AP169=""),"",計分!$AP169-計分!AK169)</f>
        <v/>
      </c>
      <c r="AL169">
        <f>IF(OR(計分!AL169="",計分!$AP169=""),"",計分!$AP169-計分!AL169)</f>
        <v/>
      </c>
      <c r="AM169">
        <f>IF(OR(計分!AM169="",計分!$AP169=""),"",計分!$AP169-計分!AM169)</f>
        <v/>
      </c>
      <c r="AN169">
        <f>IF(OR(計分!AN169="",計分!$AP169=""),"",計分!$AP169-計分!AN169)</f>
        <v/>
      </c>
      <c r="AO169">
        <f>IF(OR(計分!AO169="",計分!$AP169=""),"",計分!$AP169-計分!AO169)</f>
        <v/>
      </c>
    </row>
    <row r="170">
      <c r="A170">
        <f>計分!A170</f>
        <v/>
      </c>
      <c r="B170">
        <f>IF(OR(計分!B170="",計分!$AP170=""),"",計分!$AP170-計分!B170)</f>
        <v/>
      </c>
      <c r="C170">
        <f>IF(OR(計分!C170="",計分!$AP170=""),"",計分!$AP170-計分!C170)</f>
        <v/>
      </c>
      <c r="D170">
        <f>IF(OR(計分!D170="",計分!$AP170=""),"",計分!$AP170-計分!D170)</f>
        <v/>
      </c>
      <c r="E170">
        <f>IF(OR(計分!E170="",計分!$AP170=""),"",計分!$AP170-計分!E170)</f>
        <v/>
      </c>
      <c r="F170">
        <f>IF(OR(計分!F170="",計分!$AP170=""),"",計分!$AP170-計分!F170)</f>
        <v/>
      </c>
      <c r="G170">
        <f>IF(OR(計分!G170="",計分!$AP170=""),"",計分!$AP170-計分!G170)</f>
        <v/>
      </c>
      <c r="H170">
        <f>IF(OR(計分!H170="",計分!$AP170=""),"",計分!$AP170-計分!H170)</f>
        <v/>
      </c>
      <c r="I170">
        <f>IF(OR(計分!I170="",計分!$AP170=""),"",計分!$AP170-計分!I170)</f>
        <v/>
      </c>
      <c r="J170">
        <f>IF(OR(計分!J170="",計分!$AP170=""),"",計分!$AP170-計分!J170)</f>
        <v/>
      </c>
      <c r="K170">
        <f>IF(OR(計分!K170="",計分!$AP170=""),"",計分!$AP170-計分!K170)</f>
        <v/>
      </c>
      <c r="L170">
        <f>IF(OR(計分!L170="",計分!$AP170=""),"",計分!$AP170-計分!L170)</f>
        <v/>
      </c>
      <c r="M170">
        <f>IF(OR(計分!M170="",計分!$AP170=""),"",計分!$AP170-計分!M170)</f>
        <v/>
      </c>
      <c r="N170">
        <f>IF(OR(計分!N170="",計分!$AP170=""),"",計分!$AP170-計分!N170)</f>
        <v/>
      </c>
      <c r="O170">
        <f>IF(OR(計分!O170="",計分!$AP170=""),"",計分!$AP170-計分!O170)</f>
        <v/>
      </c>
      <c r="P170">
        <f>IF(OR(計分!P170="",計分!$AP170=""),"",計分!$AP170-計分!P170)</f>
        <v/>
      </c>
      <c r="Q170">
        <f>IF(OR(計分!Q170="",計分!$AP170=""),"",計分!$AP170-計分!Q170)</f>
        <v/>
      </c>
      <c r="R170">
        <f>IF(OR(計分!R170="",計分!$AP170=""),"",計分!$AP170-計分!R170)</f>
        <v/>
      </c>
      <c r="S170">
        <f>IF(OR(計分!S170="",計分!$AP170=""),"",計分!$AP170-計分!S170)</f>
        <v/>
      </c>
      <c r="T170">
        <f>IF(OR(計分!T170="",計分!$AP170=""),"",計分!$AP170-計分!T170)</f>
        <v/>
      </c>
      <c r="U170">
        <f>IF(OR(計分!U170="",計分!$AP170=""),"",計分!$AP170-計分!U170)</f>
        <v/>
      </c>
      <c r="V170">
        <f>IF(OR(計分!V170="",計分!$AP170=""),"",計分!$AP170-計分!V170)</f>
        <v/>
      </c>
      <c r="W170">
        <f>IF(OR(計分!W170="",計分!$AP170=""),"",計分!$AP170-計分!W170)</f>
        <v/>
      </c>
      <c r="X170">
        <f>IF(OR(計分!X170="",計分!$AP170=""),"",計分!$AP170-計分!X170)</f>
        <v/>
      </c>
      <c r="Y170">
        <f>IF(OR(計分!Y170="",計分!$AP170=""),"",計分!$AP170-計分!Y170)</f>
        <v/>
      </c>
      <c r="Z170">
        <f>IF(OR(計分!Z170="",計分!$AP170=""),"",計分!$AP170-計分!Z170)</f>
        <v/>
      </c>
      <c r="AA170">
        <f>IF(OR(計分!AA170="",計分!$AP170=""),"",計分!$AP170-計分!AA170)</f>
        <v/>
      </c>
      <c r="AB170">
        <f>IF(OR(計分!AB170="",計分!$AP170=""),"",計分!$AP170-計分!AB170)</f>
        <v/>
      </c>
      <c r="AC170">
        <f>IF(OR(計分!AC170="",計分!$AP170=""),"",計分!$AP170-計分!AC170)</f>
        <v/>
      </c>
      <c r="AD170">
        <f>IF(OR(計分!AD170="",計分!$AP170=""),"",計分!$AP170-計分!AD170)</f>
        <v/>
      </c>
      <c r="AE170">
        <f>IF(OR(計分!AE170="",計分!$AP170=""),"",計分!$AP170-計分!AE170)</f>
        <v/>
      </c>
      <c r="AF170">
        <f>IF(OR(計分!AF170="",計分!$AP170=""),"",計分!$AP170-計分!AF170)</f>
        <v/>
      </c>
      <c r="AG170">
        <f>IF(OR(計分!AG170="",計分!$AP170=""),"",計分!$AP170-計分!AG170)</f>
        <v/>
      </c>
      <c r="AH170">
        <f>IF(OR(計分!AH170="",計分!$AP170=""),"",計分!$AP170-計分!AH170)</f>
        <v/>
      </c>
      <c r="AI170">
        <f>IF(OR(計分!AI170="",計分!$AP170=""),"",計分!$AP170-計分!AI170)</f>
        <v/>
      </c>
      <c r="AJ170">
        <f>IF(OR(計分!AJ170="",計分!$AP170=""),"",計分!$AP170-計分!AJ170)</f>
        <v/>
      </c>
      <c r="AK170">
        <f>IF(OR(計分!AK170="",計分!$AP170=""),"",計分!$AP170-計分!AK170)</f>
        <v/>
      </c>
      <c r="AL170">
        <f>IF(OR(計分!AL170="",計分!$AP170=""),"",計分!$AP170-計分!AL170)</f>
        <v/>
      </c>
      <c r="AM170">
        <f>IF(OR(計分!AM170="",計分!$AP170=""),"",計分!$AP170-計分!AM170)</f>
        <v/>
      </c>
      <c r="AN170">
        <f>IF(OR(計分!AN170="",計分!$AP170=""),"",計分!$AP170-計分!AN170)</f>
        <v/>
      </c>
      <c r="AO170">
        <f>IF(OR(計分!AO170="",計分!$AP170=""),"",計分!$AP170-計分!AO170)</f>
        <v/>
      </c>
    </row>
    <row r="171">
      <c r="A171">
        <f>計分!A171</f>
        <v/>
      </c>
      <c r="B171">
        <f>IF(OR(計分!B171="",計分!$AP171=""),"",計分!$AP171-計分!B171)</f>
        <v/>
      </c>
      <c r="C171">
        <f>IF(OR(計分!C171="",計分!$AP171=""),"",計分!$AP171-計分!C171)</f>
        <v/>
      </c>
      <c r="D171">
        <f>IF(OR(計分!D171="",計分!$AP171=""),"",計分!$AP171-計分!D171)</f>
        <v/>
      </c>
      <c r="E171">
        <f>IF(OR(計分!E171="",計分!$AP171=""),"",計分!$AP171-計分!E171)</f>
        <v/>
      </c>
      <c r="F171">
        <f>IF(OR(計分!F171="",計分!$AP171=""),"",計分!$AP171-計分!F171)</f>
        <v/>
      </c>
      <c r="G171">
        <f>IF(OR(計分!G171="",計分!$AP171=""),"",計分!$AP171-計分!G171)</f>
        <v/>
      </c>
      <c r="H171">
        <f>IF(OR(計分!H171="",計分!$AP171=""),"",計分!$AP171-計分!H171)</f>
        <v/>
      </c>
      <c r="I171">
        <f>IF(OR(計分!I171="",計分!$AP171=""),"",計分!$AP171-計分!I171)</f>
        <v/>
      </c>
      <c r="J171">
        <f>IF(OR(計分!J171="",計分!$AP171=""),"",計分!$AP171-計分!J171)</f>
        <v/>
      </c>
      <c r="K171">
        <f>IF(OR(計分!K171="",計分!$AP171=""),"",計分!$AP171-計分!K171)</f>
        <v/>
      </c>
      <c r="L171">
        <f>IF(OR(計分!L171="",計分!$AP171=""),"",計分!$AP171-計分!L171)</f>
        <v/>
      </c>
      <c r="M171">
        <f>IF(OR(計分!M171="",計分!$AP171=""),"",計分!$AP171-計分!M171)</f>
        <v/>
      </c>
      <c r="N171">
        <f>IF(OR(計分!N171="",計分!$AP171=""),"",計分!$AP171-計分!N171)</f>
        <v/>
      </c>
      <c r="O171">
        <f>IF(OR(計分!O171="",計分!$AP171=""),"",計分!$AP171-計分!O171)</f>
        <v/>
      </c>
      <c r="P171">
        <f>IF(OR(計分!P171="",計分!$AP171=""),"",計分!$AP171-計分!P171)</f>
        <v/>
      </c>
      <c r="Q171">
        <f>IF(OR(計分!Q171="",計分!$AP171=""),"",計分!$AP171-計分!Q171)</f>
        <v/>
      </c>
      <c r="R171">
        <f>IF(OR(計分!R171="",計分!$AP171=""),"",計分!$AP171-計分!R171)</f>
        <v/>
      </c>
      <c r="S171">
        <f>IF(OR(計分!S171="",計分!$AP171=""),"",計分!$AP171-計分!S171)</f>
        <v/>
      </c>
      <c r="T171">
        <f>IF(OR(計分!T171="",計分!$AP171=""),"",計分!$AP171-計分!T171)</f>
        <v/>
      </c>
      <c r="U171">
        <f>IF(OR(計分!U171="",計分!$AP171=""),"",計分!$AP171-計分!U171)</f>
        <v/>
      </c>
      <c r="V171">
        <f>IF(OR(計分!V171="",計分!$AP171=""),"",計分!$AP171-計分!V171)</f>
        <v/>
      </c>
      <c r="W171">
        <f>IF(OR(計分!W171="",計分!$AP171=""),"",計分!$AP171-計分!W171)</f>
        <v/>
      </c>
      <c r="X171">
        <f>IF(OR(計分!X171="",計分!$AP171=""),"",計分!$AP171-計分!X171)</f>
        <v/>
      </c>
      <c r="Y171">
        <f>IF(OR(計分!Y171="",計分!$AP171=""),"",計分!$AP171-計分!Y171)</f>
        <v/>
      </c>
      <c r="Z171">
        <f>IF(OR(計分!Z171="",計分!$AP171=""),"",計分!$AP171-計分!Z171)</f>
        <v/>
      </c>
      <c r="AA171">
        <f>IF(OR(計分!AA171="",計分!$AP171=""),"",計分!$AP171-計分!AA171)</f>
        <v/>
      </c>
      <c r="AB171">
        <f>IF(OR(計分!AB171="",計分!$AP171=""),"",計分!$AP171-計分!AB171)</f>
        <v/>
      </c>
      <c r="AC171">
        <f>IF(OR(計分!AC171="",計分!$AP171=""),"",計分!$AP171-計分!AC171)</f>
        <v/>
      </c>
      <c r="AD171">
        <f>IF(OR(計分!AD171="",計分!$AP171=""),"",計分!$AP171-計分!AD171)</f>
        <v/>
      </c>
      <c r="AE171">
        <f>IF(OR(計分!AE171="",計分!$AP171=""),"",計分!$AP171-計分!AE171)</f>
        <v/>
      </c>
      <c r="AF171">
        <f>IF(OR(計分!AF171="",計分!$AP171=""),"",計分!$AP171-計分!AF171)</f>
        <v/>
      </c>
      <c r="AG171">
        <f>IF(OR(計分!AG171="",計分!$AP171=""),"",計分!$AP171-計分!AG171)</f>
        <v/>
      </c>
      <c r="AH171">
        <f>IF(OR(計分!AH171="",計分!$AP171=""),"",計分!$AP171-計分!AH171)</f>
        <v/>
      </c>
      <c r="AI171">
        <f>IF(OR(計分!AI171="",計分!$AP171=""),"",計分!$AP171-計分!AI171)</f>
        <v/>
      </c>
      <c r="AJ171">
        <f>IF(OR(計分!AJ171="",計分!$AP171=""),"",計分!$AP171-計分!AJ171)</f>
        <v/>
      </c>
      <c r="AK171">
        <f>IF(OR(計分!AK171="",計分!$AP171=""),"",計分!$AP171-計分!AK171)</f>
        <v/>
      </c>
      <c r="AL171">
        <f>IF(OR(計分!AL171="",計分!$AP171=""),"",計分!$AP171-計分!AL171)</f>
        <v/>
      </c>
      <c r="AM171">
        <f>IF(OR(計分!AM171="",計分!$AP171=""),"",計分!$AP171-計分!AM171)</f>
        <v/>
      </c>
      <c r="AN171">
        <f>IF(OR(計分!AN171="",計分!$AP171=""),"",計分!$AP171-計分!AN171)</f>
        <v/>
      </c>
      <c r="AO171">
        <f>IF(OR(計分!AO171="",計分!$AP171=""),"",計分!$AP171-計分!AO171)</f>
        <v/>
      </c>
    </row>
    <row r="172">
      <c r="A172">
        <f>計分!A172</f>
        <v/>
      </c>
      <c r="B172">
        <f>IF(OR(計分!B172="",計分!$AP172=""),"",計分!$AP172-計分!B172)</f>
        <v/>
      </c>
      <c r="C172">
        <f>IF(OR(計分!C172="",計分!$AP172=""),"",計分!$AP172-計分!C172)</f>
        <v/>
      </c>
      <c r="D172">
        <f>IF(OR(計分!D172="",計分!$AP172=""),"",計分!$AP172-計分!D172)</f>
        <v/>
      </c>
      <c r="E172">
        <f>IF(OR(計分!E172="",計分!$AP172=""),"",計分!$AP172-計分!E172)</f>
        <v/>
      </c>
      <c r="F172">
        <f>IF(OR(計分!F172="",計分!$AP172=""),"",計分!$AP172-計分!F172)</f>
        <v/>
      </c>
      <c r="G172">
        <f>IF(OR(計分!G172="",計分!$AP172=""),"",計分!$AP172-計分!G172)</f>
        <v/>
      </c>
      <c r="H172">
        <f>IF(OR(計分!H172="",計分!$AP172=""),"",計分!$AP172-計分!H172)</f>
        <v/>
      </c>
      <c r="I172">
        <f>IF(OR(計分!I172="",計分!$AP172=""),"",計分!$AP172-計分!I172)</f>
        <v/>
      </c>
      <c r="J172">
        <f>IF(OR(計分!J172="",計分!$AP172=""),"",計分!$AP172-計分!J172)</f>
        <v/>
      </c>
      <c r="K172">
        <f>IF(OR(計分!K172="",計分!$AP172=""),"",計分!$AP172-計分!K172)</f>
        <v/>
      </c>
      <c r="L172">
        <f>IF(OR(計分!L172="",計分!$AP172=""),"",計分!$AP172-計分!L172)</f>
        <v/>
      </c>
      <c r="M172">
        <f>IF(OR(計分!M172="",計分!$AP172=""),"",計分!$AP172-計分!M172)</f>
        <v/>
      </c>
      <c r="N172">
        <f>IF(OR(計分!N172="",計分!$AP172=""),"",計分!$AP172-計分!N172)</f>
        <v/>
      </c>
      <c r="O172">
        <f>IF(OR(計分!O172="",計分!$AP172=""),"",計分!$AP172-計分!O172)</f>
        <v/>
      </c>
      <c r="P172">
        <f>IF(OR(計分!P172="",計分!$AP172=""),"",計分!$AP172-計分!P172)</f>
        <v/>
      </c>
      <c r="Q172">
        <f>IF(OR(計分!Q172="",計分!$AP172=""),"",計分!$AP172-計分!Q172)</f>
        <v/>
      </c>
      <c r="R172">
        <f>IF(OR(計分!R172="",計分!$AP172=""),"",計分!$AP172-計分!R172)</f>
        <v/>
      </c>
      <c r="S172">
        <f>IF(OR(計分!S172="",計分!$AP172=""),"",計分!$AP172-計分!S172)</f>
        <v/>
      </c>
      <c r="T172">
        <f>IF(OR(計分!T172="",計分!$AP172=""),"",計分!$AP172-計分!T172)</f>
        <v/>
      </c>
      <c r="U172">
        <f>IF(OR(計分!U172="",計分!$AP172=""),"",計分!$AP172-計分!U172)</f>
        <v/>
      </c>
      <c r="V172">
        <f>IF(OR(計分!V172="",計分!$AP172=""),"",計分!$AP172-計分!V172)</f>
        <v/>
      </c>
      <c r="W172">
        <f>IF(OR(計分!W172="",計分!$AP172=""),"",計分!$AP172-計分!W172)</f>
        <v/>
      </c>
      <c r="X172">
        <f>IF(OR(計分!X172="",計分!$AP172=""),"",計分!$AP172-計分!X172)</f>
        <v/>
      </c>
      <c r="Y172">
        <f>IF(OR(計分!Y172="",計分!$AP172=""),"",計分!$AP172-計分!Y172)</f>
        <v/>
      </c>
      <c r="Z172">
        <f>IF(OR(計分!Z172="",計分!$AP172=""),"",計分!$AP172-計分!Z172)</f>
        <v/>
      </c>
      <c r="AA172">
        <f>IF(OR(計分!AA172="",計分!$AP172=""),"",計分!$AP172-計分!AA172)</f>
        <v/>
      </c>
      <c r="AB172">
        <f>IF(OR(計分!AB172="",計分!$AP172=""),"",計分!$AP172-計分!AB172)</f>
        <v/>
      </c>
      <c r="AC172">
        <f>IF(OR(計分!AC172="",計分!$AP172=""),"",計分!$AP172-計分!AC172)</f>
        <v/>
      </c>
      <c r="AD172">
        <f>IF(OR(計分!AD172="",計分!$AP172=""),"",計分!$AP172-計分!AD172)</f>
        <v/>
      </c>
      <c r="AE172">
        <f>IF(OR(計分!AE172="",計分!$AP172=""),"",計分!$AP172-計分!AE172)</f>
        <v/>
      </c>
      <c r="AF172">
        <f>IF(OR(計分!AF172="",計分!$AP172=""),"",計分!$AP172-計分!AF172)</f>
        <v/>
      </c>
      <c r="AG172">
        <f>IF(OR(計分!AG172="",計分!$AP172=""),"",計分!$AP172-計分!AG172)</f>
        <v/>
      </c>
      <c r="AH172">
        <f>IF(OR(計分!AH172="",計分!$AP172=""),"",計分!$AP172-計分!AH172)</f>
        <v/>
      </c>
      <c r="AI172">
        <f>IF(OR(計分!AI172="",計分!$AP172=""),"",計分!$AP172-計分!AI172)</f>
        <v/>
      </c>
      <c r="AJ172">
        <f>IF(OR(計分!AJ172="",計分!$AP172=""),"",計分!$AP172-計分!AJ172)</f>
        <v/>
      </c>
      <c r="AK172">
        <f>IF(OR(計分!AK172="",計分!$AP172=""),"",計分!$AP172-計分!AK172)</f>
        <v/>
      </c>
      <c r="AL172">
        <f>IF(OR(計分!AL172="",計分!$AP172=""),"",計分!$AP172-計分!AL172)</f>
        <v/>
      </c>
      <c r="AM172">
        <f>IF(OR(計分!AM172="",計分!$AP172=""),"",計分!$AP172-計分!AM172)</f>
        <v/>
      </c>
      <c r="AN172">
        <f>IF(OR(計分!AN172="",計分!$AP172=""),"",計分!$AP172-計分!AN172)</f>
        <v/>
      </c>
      <c r="AO172">
        <f>IF(OR(計分!AO172="",計分!$AP172=""),"",計分!$AP172-計分!AO172)</f>
        <v/>
      </c>
    </row>
    <row r="173">
      <c r="A173">
        <f>計分!A173</f>
        <v/>
      </c>
      <c r="B173">
        <f>IF(OR(計分!B173="",計分!$AP173=""),"",計分!$AP173-計分!B173)</f>
        <v/>
      </c>
      <c r="C173">
        <f>IF(OR(計分!C173="",計分!$AP173=""),"",計分!$AP173-計分!C173)</f>
        <v/>
      </c>
      <c r="D173">
        <f>IF(OR(計分!D173="",計分!$AP173=""),"",計分!$AP173-計分!D173)</f>
        <v/>
      </c>
      <c r="E173">
        <f>IF(OR(計分!E173="",計分!$AP173=""),"",計分!$AP173-計分!E173)</f>
        <v/>
      </c>
      <c r="F173">
        <f>IF(OR(計分!F173="",計分!$AP173=""),"",計分!$AP173-計分!F173)</f>
        <v/>
      </c>
      <c r="G173">
        <f>IF(OR(計分!G173="",計分!$AP173=""),"",計分!$AP173-計分!G173)</f>
        <v/>
      </c>
      <c r="H173">
        <f>IF(OR(計分!H173="",計分!$AP173=""),"",計分!$AP173-計分!H173)</f>
        <v/>
      </c>
      <c r="I173">
        <f>IF(OR(計分!I173="",計分!$AP173=""),"",計分!$AP173-計分!I173)</f>
        <v/>
      </c>
      <c r="J173">
        <f>IF(OR(計分!J173="",計分!$AP173=""),"",計分!$AP173-計分!J173)</f>
        <v/>
      </c>
      <c r="K173">
        <f>IF(OR(計分!K173="",計分!$AP173=""),"",計分!$AP173-計分!K173)</f>
        <v/>
      </c>
      <c r="L173">
        <f>IF(OR(計分!L173="",計分!$AP173=""),"",計分!$AP173-計分!L173)</f>
        <v/>
      </c>
      <c r="M173">
        <f>IF(OR(計分!M173="",計分!$AP173=""),"",計分!$AP173-計分!M173)</f>
        <v/>
      </c>
      <c r="N173">
        <f>IF(OR(計分!N173="",計分!$AP173=""),"",計分!$AP173-計分!N173)</f>
        <v/>
      </c>
      <c r="O173">
        <f>IF(OR(計分!O173="",計分!$AP173=""),"",計分!$AP173-計分!O173)</f>
        <v/>
      </c>
      <c r="P173">
        <f>IF(OR(計分!P173="",計分!$AP173=""),"",計分!$AP173-計分!P173)</f>
        <v/>
      </c>
      <c r="Q173">
        <f>IF(OR(計分!Q173="",計分!$AP173=""),"",計分!$AP173-計分!Q173)</f>
        <v/>
      </c>
      <c r="R173">
        <f>IF(OR(計分!R173="",計分!$AP173=""),"",計分!$AP173-計分!R173)</f>
        <v/>
      </c>
      <c r="S173">
        <f>IF(OR(計分!S173="",計分!$AP173=""),"",計分!$AP173-計分!S173)</f>
        <v/>
      </c>
      <c r="T173">
        <f>IF(OR(計分!T173="",計分!$AP173=""),"",計分!$AP173-計分!T173)</f>
        <v/>
      </c>
      <c r="U173">
        <f>IF(OR(計分!U173="",計分!$AP173=""),"",計分!$AP173-計分!U173)</f>
        <v/>
      </c>
      <c r="V173">
        <f>IF(OR(計分!V173="",計分!$AP173=""),"",計分!$AP173-計分!V173)</f>
        <v/>
      </c>
      <c r="W173">
        <f>IF(OR(計分!W173="",計分!$AP173=""),"",計分!$AP173-計分!W173)</f>
        <v/>
      </c>
      <c r="X173">
        <f>IF(OR(計分!X173="",計分!$AP173=""),"",計分!$AP173-計分!X173)</f>
        <v/>
      </c>
      <c r="Y173">
        <f>IF(OR(計分!Y173="",計分!$AP173=""),"",計分!$AP173-計分!Y173)</f>
        <v/>
      </c>
      <c r="Z173">
        <f>IF(OR(計分!Z173="",計分!$AP173=""),"",計分!$AP173-計分!Z173)</f>
        <v/>
      </c>
      <c r="AA173">
        <f>IF(OR(計分!AA173="",計分!$AP173=""),"",計分!$AP173-計分!AA173)</f>
        <v/>
      </c>
      <c r="AB173">
        <f>IF(OR(計分!AB173="",計分!$AP173=""),"",計分!$AP173-計分!AB173)</f>
        <v/>
      </c>
      <c r="AC173">
        <f>IF(OR(計分!AC173="",計分!$AP173=""),"",計分!$AP173-計分!AC173)</f>
        <v/>
      </c>
      <c r="AD173">
        <f>IF(OR(計分!AD173="",計分!$AP173=""),"",計分!$AP173-計分!AD173)</f>
        <v/>
      </c>
      <c r="AE173">
        <f>IF(OR(計分!AE173="",計分!$AP173=""),"",計分!$AP173-計分!AE173)</f>
        <v/>
      </c>
      <c r="AF173">
        <f>IF(OR(計分!AF173="",計分!$AP173=""),"",計分!$AP173-計分!AF173)</f>
        <v/>
      </c>
      <c r="AG173">
        <f>IF(OR(計分!AG173="",計分!$AP173=""),"",計分!$AP173-計分!AG173)</f>
        <v/>
      </c>
      <c r="AH173">
        <f>IF(OR(計分!AH173="",計分!$AP173=""),"",計分!$AP173-計分!AH173)</f>
        <v/>
      </c>
      <c r="AI173">
        <f>IF(OR(計分!AI173="",計分!$AP173=""),"",計分!$AP173-計分!AI173)</f>
        <v/>
      </c>
      <c r="AJ173">
        <f>IF(OR(計分!AJ173="",計分!$AP173=""),"",計分!$AP173-計分!AJ173)</f>
        <v/>
      </c>
      <c r="AK173">
        <f>IF(OR(計分!AK173="",計分!$AP173=""),"",計分!$AP173-計分!AK173)</f>
        <v/>
      </c>
      <c r="AL173">
        <f>IF(OR(計分!AL173="",計分!$AP173=""),"",計分!$AP173-計分!AL173)</f>
        <v/>
      </c>
      <c r="AM173">
        <f>IF(OR(計分!AM173="",計分!$AP173=""),"",計分!$AP173-計分!AM173)</f>
        <v/>
      </c>
      <c r="AN173">
        <f>IF(OR(計分!AN173="",計分!$AP173=""),"",計分!$AP173-計分!AN173)</f>
        <v/>
      </c>
      <c r="AO173">
        <f>IF(OR(計分!AO173="",計分!$AP173=""),"",計分!$AP173-計分!AO173)</f>
        <v/>
      </c>
    </row>
    <row r="174">
      <c r="A174">
        <f>計分!A174</f>
        <v/>
      </c>
      <c r="B174">
        <f>IF(OR(計分!B174="",計分!$AP174=""),"",計分!$AP174-計分!B174)</f>
        <v/>
      </c>
      <c r="C174">
        <f>IF(OR(計分!C174="",計分!$AP174=""),"",計分!$AP174-計分!C174)</f>
        <v/>
      </c>
      <c r="D174">
        <f>IF(OR(計分!D174="",計分!$AP174=""),"",計分!$AP174-計分!D174)</f>
        <v/>
      </c>
      <c r="E174">
        <f>IF(OR(計分!E174="",計分!$AP174=""),"",計分!$AP174-計分!E174)</f>
        <v/>
      </c>
      <c r="F174">
        <f>IF(OR(計分!F174="",計分!$AP174=""),"",計分!$AP174-計分!F174)</f>
        <v/>
      </c>
      <c r="G174">
        <f>IF(OR(計分!G174="",計分!$AP174=""),"",計分!$AP174-計分!G174)</f>
        <v/>
      </c>
      <c r="H174">
        <f>IF(OR(計分!H174="",計分!$AP174=""),"",計分!$AP174-計分!H174)</f>
        <v/>
      </c>
      <c r="I174">
        <f>IF(OR(計分!I174="",計分!$AP174=""),"",計分!$AP174-計分!I174)</f>
        <v/>
      </c>
      <c r="J174">
        <f>IF(OR(計分!J174="",計分!$AP174=""),"",計分!$AP174-計分!J174)</f>
        <v/>
      </c>
      <c r="K174">
        <f>IF(OR(計分!K174="",計分!$AP174=""),"",計分!$AP174-計分!K174)</f>
        <v/>
      </c>
      <c r="L174">
        <f>IF(OR(計分!L174="",計分!$AP174=""),"",計分!$AP174-計分!L174)</f>
        <v/>
      </c>
      <c r="M174">
        <f>IF(OR(計分!M174="",計分!$AP174=""),"",計分!$AP174-計分!M174)</f>
        <v/>
      </c>
      <c r="N174">
        <f>IF(OR(計分!N174="",計分!$AP174=""),"",計分!$AP174-計分!N174)</f>
        <v/>
      </c>
      <c r="O174">
        <f>IF(OR(計分!O174="",計分!$AP174=""),"",計分!$AP174-計分!O174)</f>
        <v/>
      </c>
      <c r="P174">
        <f>IF(OR(計分!P174="",計分!$AP174=""),"",計分!$AP174-計分!P174)</f>
        <v/>
      </c>
      <c r="Q174">
        <f>IF(OR(計分!Q174="",計分!$AP174=""),"",計分!$AP174-計分!Q174)</f>
        <v/>
      </c>
      <c r="R174">
        <f>IF(OR(計分!R174="",計分!$AP174=""),"",計分!$AP174-計分!R174)</f>
        <v/>
      </c>
      <c r="S174">
        <f>IF(OR(計分!S174="",計分!$AP174=""),"",計分!$AP174-計分!S174)</f>
        <v/>
      </c>
      <c r="T174">
        <f>IF(OR(計分!T174="",計分!$AP174=""),"",計分!$AP174-計分!T174)</f>
        <v/>
      </c>
      <c r="U174">
        <f>IF(OR(計分!U174="",計分!$AP174=""),"",計分!$AP174-計分!U174)</f>
        <v/>
      </c>
      <c r="V174">
        <f>IF(OR(計分!V174="",計分!$AP174=""),"",計分!$AP174-計分!V174)</f>
        <v/>
      </c>
      <c r="W174">
        <f>IF(OR(計分!W174="",計分!$AP174=""),"",計分!$AP174-計分!W174)</f>
        <v/>
      </c>
      <c r="X174">
        <f>IF(OR(計分!X174="",計分!$AP174=""),"",計分!$AP174-計分!X174)</f>
        <v/>
      </c>
      <c r="Y174">
        <f>IF(OR(計分!Y174="",計分!$AP174=""),"",計分!$AP174-計分!Y174)</f>
        <v/>
      </c>
      <c r="Z174">
        <f>IF(OR(計分!Z174="",計分!$AP174=""),"",計分!$AP174-計分!Z174)</f>
        <v/>
      </c>
      <c r="AA174">
        <f>IF(OR(計分!AA174="",計分!$AP174=""),"",計分!$AP174-計分!AA174)</f>
        <v/>
      </c>
      <c r="AB174">
        <f>IF(OR(計分!AB174="",計分!$AP174=""),"",計分!$AP174-計分!AB174)</f>
        <v/>
      </c>
      <c r="AC174">
        <f>IF(OR(計分!AC174="",計分!$AP174=""),"",計分!$AP174-計分!AC174)</f>
        <v/>
      </c>
      <c r="AD174">
        <f>IF(OR(計分!AD174="",計分!$AP174=""),"",計分!$AP174-計分!AD174)</f>
        <v/>
      </c>
      <c r="AE174">
        <f>IF(OR(計分!AE174="",計分!$AP174=""),"",計分!$AP174-計分!AE174)</f>
        <v/>
      </c>
      <c r="AF174">
        <f>IF(OR(計分!AF174="",計分!$AP174=""),"",計分!$AP174-計分!AF174)</f>
        <v/>
      </c>
      <c r="AG174">
        <f>IF(OR(計分!AG174="",計分!$AP174=""),"",計分!$AP174-計分!AG174)</f>
        <v/>
      </c>
      <c r="AH174">
        <f>IF(OR(計分!AH174="",計分!$AP174=""),"",計分!$AP174-計分!AH174)</f>
        <v/>
      </c>
      <c r="AI174">
        <f>IF(OR(計分!AI174="",計分!$AP174=""),"",計分!$AP174-計分!AI174)</f>
        <v/>
      </c>
      <c r="AJ174">
        <f>IF(OR(計分!AJ174="",計分!$AP174=""),"",計分!$AP174-計分!AJ174)</f>
        <v/>
      </c>
      <c r="AK174">
        <f>IF(OR(計分!AK174="",計分!$AP174=""),"",計分!$AP174-計分!AK174)</f>
        <v/>
      </c>
      <c r="AL174">
        <f>IF(OR(計分!AL174="",計分!$AP174=""),"",計分!$AP174-計分!AL174)</f>
        <v/>
      </c>
      <c r="AM174">
        <f>IF(OR(計分!AM174="",計分!$AP174=""),"",計分!$AP174-計分!AM174)</f>
        <v/>
      </c>
      <c r="AN174">
        <f>IF(OR(計分!AN174="",計分!$AP174=""),"",計分!$AP174-計分!AN174)</f>
        <v/>
      </c>
      <c r="AO174">
        <f>IF(OR(計分!AO174="",計分!$AP174=""),"",計分!$AP174-計分!AO174)</f>
        <v/>
      </c>
    </row>
    <row r="175">
      <c r="A175">
        <f>計分!A175</f>
        <v/>
      </c>
      <c r="B175">
        <f>IF(OR(計分!B175="",計分!$AP175=""),"",計分!$AP175-計分!B175)</f>
        <v/>
      </c>
      <c r="C175">
        <f>IF(OR(計分!C175="",計分!$AP175=""),"",計分!$AP175-計分!C175)</f>
        <v/>
      </c>
      <c r="D175">
        <f>IF(OR(計分!D175="",計分!$AP175=""),"",計分!$AP175-計分!D175)</f>
        <v/>
      </c>
      <c r="E175">
        <f>IF(OR(計分!E175="",計分!$AP175=""),"",計分!$AP175-計分!E175)</f>
        <v/>
      </c>
      <c r="F175">
        <f>IF(OR(計分!F175="",計分!$AP175=""),"",計分!$AP175-計分!F175)</f>
        <v/>
      </c>
      <c r="G175">
        <f>IF(OR(計分!G175="",計分!$AP175=""),"",計分!$AP175-計分!G175)</f>
        <v/>
      </c>
      <c r="H175">
        <f>IF(OR(計分!H175="",計分!$AP175=""),"",計分!$AP175-計分!H175)</f>
        <v/>
      </c>
      <c r="I175">
        <f>IF(OR(計分!I175="",計分!$AP175=""),"",計分!$AP175-計分!I175)</f>
        <v/>
      </c>
      <c r="J175">
        <f>IF(OR(計分!J175="",計分!$AP175=""),"",計分!$AP175-計分!J175)</f>
        <v/>
      </c>
      <c r="K175">
        <f>IF(OR(計分!K175="",計分!$AP175=""),"",計分!$AP175-計分!K175)</f>
        <v/>
      </c>
      <c r="L175">
        <f>IF(OR(計分!L175="",計分!$AP175=""),"",計分!$AP175-計分!L175)</f>
        <v/>
      </c>
      <c r="M175">
        <f>IF(OR(計分!M175="",計分!$AP175=""),"",計分!$AP175-計分!M175)</f>
        <v/>
      </c>
      <c r="N175">
        <f>IF(OR(計分!N175="",計分!$AP175=""),"",計分!$AP175-計分!N175)</f>
        <v/>
      </c>
      <c r="O175">
        <f>IF(OR(計分!O175="",計分!$AP175=""),"",計分!$AP175-計分!O175)</f>
        <v/>
      </c>
      <c r="P175">
        <f>IF(OR(計分!P175="",計分!$AP175=""),"",計分!$AP175-計分!P175)</f>
        <v/>
      </c>
      <c r="Q175">
        <f>IF(OR(計分!Q175="",計分!$AP175=""),"",計分!$AP175-計分!Q175)</f>
        <v/>
      </c>
      <c r="R175">
        <f>IF(OR(計分!R175="",計分!$AP175=""),"",計分!$AP175-計分!R175)</f>
        <v/>
      </c>
      <c r="S175">
        <f>IF(OR(計分!S175="",計分!$AP175=""),"",計分!$AP175-計分!S175)</f>
        <v/>
      </c>
      <c r="T175">
        <f>IF(OR(計分!T175="",計分!$AP175=""),"",計分!$AP175-計分!T175)</f>
        <v/>
      </c>
      <c r="U175">
        <f>IF(OR(計分!U175="",計分!$AP175=""),"",計分!$AP175-計分!U175)</f>
        <v/>
      </c>
      <c r="V175">
        <f>IF(OR(計分!V175="",計分!$AP175=""),"",計分!$AP175-計分!V175)</f>
        <v/>
      </c>
      <c r="W175">
        <f>IF(OR(計分!W175="",計分!$AP175=""),"",計分!$AP175-計分!W175)</f>
        <v/>
      </c>
      <c r="X175">
        <f>IF(OR(計分!X175="",計分!$AP175=""),"",計分!$AP175-計分!X175)</f>
        <v/>
      </c>
      <c r="Y175">
        <f>IF(OR(計分!Y175="",計分!$AP175=""),"",計分!$AP175-計分!Y175)</f>
        <v/>
      </c>
      <c r="Z175">
        <f>IF(OR(計分!Z175="",計分!$AP175=""),"",計分!$AP175-計分!Z175)</f>
        <v/>
      </c>
      <c r="AA175">
        <f>IF(OR(計分!AA175="",計分!$AP175=""),"",計分!$AP175-計分!AA175)</f>
        <v/>
      </c>
      <c r="AB175">
        <f>IF(OR(計分!AB175="",計分!$AP175=""),"",計分!$AP175-計分!AB175)</f>
        <v/>
      </c>
      <c r="AC175">
        <f>IF(OR(計分!AC175="",計分!$AP175=""),"",計分!$AP175-計分!AC175)</f>
        <v/>
      </c>
      <c r="AD175">
        <f>IF(OR(計分!AD175="",計分!$AP175=""),"",計分!$AP175-計分!AD175)</f>
        <v/>
      </c>
      <c r="AE175">
        <f>IF(OR(計分!AE175="",計分!$AP175=""),"",計分!$AP175-計分!AE175)</f>
        <v/>
      </c>
      <c r="AF175">
        <f>IF(OR(計分!AF175="",計分!$AP175=""),"",計分!$AP175-計分!AF175)</f>
        <v/>
      </c>
      <c r="AG175">
        <f>IF(OR(計分!AG175="",計分!$AP175=""),"",計分!$AP175-計分!AG175)</f>
        <v/>
      </c>
      <c r="AH175">
        <f>IF(OR(計分!AH175="",計分!$AP175=""),"",計分!$AP175-計分!AH175)</f>
        <v/>
      </c>
      <c r="AI175">
        <f>IF(OR(計分!AI175="",計分!$AP175=""),"",計分!$AP175-計分!AI175)</f>
        <v/>
      </c>
      <c r="AJ175">
        <f>IF(OR(計分!AJ175="",計分!$AP175=""),"",計分!$AP175-計分!AJ175)</f>
        <v/>
      </c>
      <c r="AK175">
        <f>IF(OR(計分!AK175="",計分!$AP175=""),"",計分!$AP175-計分!AK175)</f>
        <v/>
      </c>
      <c r="AL175">
        <f>IF(OR(計分!AL175="",計分!$AP175=""),"",計分!$AP175-計分!AL175)</f>
        <v/>
      </c>
      <c r="AM175">
        <f>IF(OR(計分!AM175="",計分!$AP175=""),"",計分!$AP175-計分!AM175)</f>
        <v/>
      </c>
      <c r="AN175">
        <f>IF(OR(計分!AN175="",計分!$AP175=""),"",計分!$AP175-計分!AN175)</f>
        <v/>
      </c>
      <c r="AO175">
        <f>IF(OR(計分!AO175="",計分!$AP175=""),"",計分!$AP175-計分!AO175)</f>
        <v/>
      </c>
    </row>
    <row r="176">
      <c r="A176">
        <f>計分!A176</f>
        <v/>
      </c>
      <c r="B176">
        <f>IF(OR(計分!B176="",計分!$AP176=""),"",計分!$AP176-計分!B176)</f>
        <v/>
      </c>
      <c r="C176">
        <f>IF(OR(計分!C176="",計分!$AP176=""),"",計分!$AP176-計分!C176)</f>
        <v/>
      </c>
      <c r="D176">
        <f>IF(OR(計分!D176="",計分!$AP176=""),"",計分!$AP176-計分!D176)</f>
        <v/>
      </c>
      <c r="E176">
        <f>IF(OR(計分!E176="",計分!$AP176=""),"",計分!$AP176-計分!E176)</f>
        <v/>
      </c>
      <c r="F176">
        <f>IF(OR(計分!F176="",計分!$AP176=""),"",計分!$AP176-計分!F176)</f>
        <v/>
      </c>
      <c r="G176">
        <f>IF(OR(計分!G176="",計分!$AP176=""),"",計分!$AP176-計分!G176)</f>
        <v/>
      </c>
      <c r="H176">
        <f>IF(OR(計分!H176="",計分!$AP176=""),"",計分!$AP176-計分!H176)</f>
        <v/>
      </c>
      <c r="I176">
        <f>IF(OR(計分!I176="",計分!$AP176=""),"",計分!$AP176-計分!I176)</f>
        <v/>
      </c>
      <c r="J176">
        <f>IF(OR(計分!J176="",計分!$AP176=""),"",計分!$AP176-計分!J176)</f>
        <v/>
      </c>
      <c r="K176">
        <f>IF(OR(計分!K176="",計分!$AP176=""),"",計分!$AP176-計分!K176)</f>
        <v/>
      </c>
      <c r="L176">
        <f>IF(OR(計分!L176="",計分!$AP176=""),"",計分!$AP176-計分!L176)</f>
        <v/>
      </c>
      <c r="M176">
        <f>IF(OR(計分!M176="",計分!$AP176=""),"",計分!$AP176-計分!M176)</f>
        <v/>
      </c>
      <c r="N176">
        <f>IF(OR(計分!N176="",計分!$AP176=""),"",計分!$AP176-計分!N176)</f>
        <v/>
      </c>
      <c r="O176">
        <f>IF(OR(計分!O176="",計分!$AP176=""),"",計分!$AP176-計分!O176)</f>
        <v/>
      </c>
      <c r="P176">
        <f>IF(OR(計分!P176="",計分!$AP176=""),"",計分!$AP176-計分!P176)</f>
        <v/>
      </c>
      <c r="Q176">
        <f>IF(OR(計分!Q176="",計分!$AP176=""),"",計分!$AP176-計分!Q176)</f>
        <v/>
      </c>
      <c r="R176">
        <f>IF(OR(計分!R176="",計分!$AP176=""),"",計分!$AP176-計分!R176)</f>
        <v/>
      </c>
      <c r="S176">
        <f>IF(OR(計分!S176="",計分!$AP176=""),"",計分!$AP176-計分!S176)</f>
        <v/>
      </c>
      <c r="T176">
        <f>IF(OR(計分!T176="",計分!$AP176=""),"",計分!$AP176-計分!T176)</f>
        <v/>
      </c>
      <c r="U176">
        <f>IF(OR(計分!U176="",計分!$AP176=""),"",計分!$AP176-計分!U176)</f>
        <v/>
      </c>
      <c r="V176">
        <f>IF(OR(計分!V176="",計分!$AP176=""),"",計分!$AP176-計分!V176)</f>
        <v/>
      </c>
      <c r="W176">
        <f>IF(OR(計分!W176="",計分!$AP176=""),"",計分!$AP176-計分!W176)</f>
        <v/>
      </c>
      <c r="X176">
        <f>IF(OR(計分!X176="",計分!$AP176=""),"",計分!$AP176-計分!X176)</f>
        <v/>
      </c>
      <c r="Y176">
        <f>IF(OR(計分!Y176="",計分!$AP176=""),"",計分!$AP176-計分!Y176)</f>
        <v/>
      </c>
      <c r="Z176">
        <f>IF(OR(計分!Z176="",計分!$AP176=""),"",計分!$AP176-計分!Z176)</f>
        <v/>
      </c>
      <c r="AA176">
        <f>IF(OR(計分!AA176="",計分!$AP176=""),"",計分!$AP176-計分!AA176)</f>
        <v/>
      </c>
      <c r="AB176">
        <f>IF(OR(計分!AB176="",計分!$AP176=""),"",計分!$AP176-計分!AB176)</f>
        <v/>
      </c>
      <c r="AC176">
        <f>IF(OR(計分!AC176="",計分!$AP176=""),"",計分!$AP176-計分!AC176)</f>
        <v/>
      </c>
      <c r="AD176">
        <f>IF(OR(計分!AD176="",計分!$AP176=""),"",計分!$AP176-計分!AD176)</f>
        <v/>
      </c>
      <c r="AE176">
        <f>IF(OR(計分!AE176="",計分!$AP176=""),"",計分!$AP176-計分!AE176)</f>
        <v/>
      </c>
      <c r="AF176">
        <f>IF(OR(計分!AF176="",計分!$AP176=""),"",計分!$AP176-計分!AF176)</f>
        <v/>
      </c>
      <c r="AG176">
        <f>IF(OR(計分!AG176="",計分!$AP176=""),"",計分!$AP176-計分!AG176)</f>
        <v/>
      </c>
      <c r="AH176">
        <f>IF(OR(計分!AH176="",計分!$AP176=""),"",計分!$AP176-計分!AH176)</f>
        <v/>
      </c>
      <c r="AI176">
        <f>IF(OR(計分!AI176="",計分!$AP176=""),"",計分!$AP176-計分!AI176)</f>
        <v/>
      </c>
      <c r="AJ176">
        <f>IF(OR(計分!AJ176="",計分!$AP176=""),"",計分!$AP176-計分!AJ176)</f>
        <v/>
      </c>
      <c r="AK176">
        <f>IF(OR(計分!AK176="",計分!$AP176=""),"",計分!$AP176-計分!AK176)</f>
        <v/>
      </c>
      <c r="AL176">
        <f>IF(OR(計分!AL176="",計分!$AP176=""),"",計分!$AP176-計分!AL176)</f>
        <v/>
      </c>
      <c r="AM176">
        <f>IF(OR(計分!AM176="",計分!$AP176=""),"",計分!$AP176-計分!AM176)</f>
        <v/>
      </c>
      <c r="AN176">
        <f>IF(OR(計分!AN176="",計分!$AP176=""),"",計分!$AP176-計分!AN176)</f>
        <v/>
      </c>
      <c r="AO176">
        <f>IF(OR(計分!AO176="",計分!$AP176=""),"",計分!$AP176-計分!AO176)</f>
        <v/>
      </c>
    </row>
    <row r="177">
      <c r="A177">
        <f>計分!A177</f>
        <v/>
      </c>
      <c r="B177">
        <f>IF(OR(計分!B177="",計分!$AP177=""),"",計分!$AP177-計分!B177)</f>
        <v/>
      </c>
      <c r="C177">
        <f>IF(OR(計分!C177="",計分!$AP177=""),"",計分!$AP177-計分!C177)</f>
        <v/>
      </c>
      <c r="D177">
        <f>IF(OR(計分!D177="",計分!$AP177=""),"",計分!$AP177-計分!D177)</f>
        <v/>
      </c>
      <c r="E177">
        <f>IF(OR(計分!E177="",計分!$AP177=""),"",計分!$AP177-計分!E177)</f>
        <v/>
      </c>
      <c r="F177">
        <f>IF(OR(計分!F177="",計分!$AP177=""),"",計分!$AP177-計分!F177)</f>
        <v/>
      </c>
      <c r="G177">
        <f>IF(OR(計分!G177="",計分!$AP177=""),"",計分!$AP177-計分!G177)</f>
        <v/>
      </c>
      <c r="H177">
        <f>IF(OR(計分!H177="",計分!$AP177=""),"",計分!$AP177-計分!H177)</f>
        <v/>
      </c>
      <c r="I177">
        <f>IF(OR(計分!I177="",計分!$AP177=""),"",計分!$AP177-計分!I177)</f>
        <v/>
      </c>
      <c r="J177">
        <f>IF(OR(計分!J177="",計分!$AP177=""),"",計分!$AP177-計分!J177)</f>
        <v/>
      </c>
      <c r="K177">
        <f>IF(OR(計分!K177="",計分!$AP177=""),"",計分!$AP177-計分!K177)</f>
        <v/>
      </c>
      <c r="L177">
        <f>IF(OR(計分!L177="",計分!$AP177=""),"",計分!$AP177-計分!L177)</f>
        <v/>
      </c>
      <c r="M177">
        <f>IF(OR(計分!M177="",計分!$AP177=""),"",計分!$AP177-計分!M177)</f>
        <v/>
      </c>
      <c r="N177">
        <f>IF(OR(計分!N177="",計分!$AP177=""),"",計分!$AP177-計分!N177)</f>
        <v/>
      </c>
      <c r="O177">
        <f>IF(OR(計分!O177="",計分!$AP177=""),"",計分!$AP177-計分!O177)</f>
        <v/>
      </c>
      <c r="P177">
        <f>IF(OR(計分!P177="",計分!$AP177=""),"",計分!$AP177-計分!P177)</f>
        <v/>
      </c>
      <c r="Q177">
        <f>IF(OR(計分!Q177="",計分!$AP177=""),"",計分!$AP177-計分!Q177)</f>
        <v/>
      </c>
      <c r="R177">
        <f>IF(OR(計分!R177="",計分!$AP177=""),"",計分!$AP177-計分!R177)</f>
        <v/>
      </c>
      <c r="S177">
        <f>IF(OR(計分!S177="",計分!$AP177=""),"",計分!$AP177-計分!S177)</f>
        <v/>
      </c>
      <c r="T177">
        <f>IF(OR(計分!T177="",計分!$AP177=""),"",計分!$AP177-計分!T177)</f>
        <v/>
      </c>
      <c r="U177">
        <f>IF(OR(計分!U177="",計分!$AP177=""),"",計分!$AP177-計分!U177)</f>
        <v/>
      </c>
      <c r="V177">
        <f>IF(OR(計分!V177="",計分!$AP177=""),"",計分!$AP177-計分!V177)</f>
        <v/>
      </c>
      <c r="W177">
        <f>IF(OR(計分!W177="",計分!$AP177=""),"",計分!$AP177-計分!W177)</f>
        <v/>
      </c>
      <c r="X177">
        <f>IF(OR(計分!X177="",計分!$AP177=""),"",計分!$AP177-計分!X177)</f>
        <v/>
      </c>
      <c r="Y177">
        <f>IF(OR(計分!Y177="",計分!$AP177=""),"",計分!$AP177-計分!Y177)</f>
        <v/>
      </c>
      <c r="Z177">
        <f>IF(OR(計分!Z177="",計分!$AP177=""),"",計分!$AP177-計分!Z177)</f>
        <v/>
      </c>
      <c r="AA177">
        <f>IF(OR(計分!AA177="",計分!$AP177=""),"",計分!$AP177-計分!AA177)</f>
        <v/>
      </c>
      <c r="AB177">
        <f>IF(OR(計分!AB177="",計分!$AP177=""),"",計分!$AP177-計分!AB177)</f>
        <v/>
      </c>
      <c r="AC177">
        <f>IF(OR(計分!AC177="",計分!$AP177=""),"",計分!$AP177-計分!AC177)</f>
        <v/>
      </c>
      <c r="AD177">
        <f>IF(OR(計分!AD177="",計分!$AP177=""),"",計分!$AP177-計分!AD177)</f>
        <v/>
      </c>
      <c r="AE177">
        <f>IF(OR(計分!AE177="",計分!$AP177=""),"",計分!$AP177-計分!AE177)</f>
        <v/>
      </c>
      <c r="AF177">
        <f>IF(OR(計分!AF177="",計分!$AP177=""),"",計分!$AP177-計分!AF177)</f>
        <v/>
      </c>
      <c r="AG177">
        <f>IF(OR(計分!AG177="",計分!$AP177=""),"",計分!$AP177-計分!AG177)</f>
        <v/>
      </c>
      <c r="AH177">
        <f>IF(OR(計分!AH177="",計分!$AP177=""),"",計分!$AP177-計分!AH177)</f>
        <v/>
      </c>
      <c r="AI177">
        <f>IF(OR(計分!AI177="",計分!$AP177=""),"",計分!$AP177-計分!AI177)</f>
        <v/>
      </c>
      <c r="AJ177">
        <f>IF(OR(計分!AJ177="",計分!$AP177=""),"",計分!$AP177-計分!AJ177)</f>
        <v/>
      </c>
      <c r="AK177">
        <f>IF(OR(計分!AK177="",計分!$AP177=""),"",計分!$AP177-計分!AK177)</f>
        <v/>
      </c>
      <c r="AL177">
        <f>IF(OR(計分!AL177="",計分!$AP177=""),"",計分!$AP177-計分!AL177)</f>
        <v/>
      </c>
      <c r="AM177">
        <f>IF(OR(計分!AM177="",計分!$AP177=""),"",計分!$AP177-計分!AM177)</f>
        <v/>
      </c>
      <c r="AN177">
        <f>IF(OR(計分!AN177="",計分!$AP177=""),"",計分!$AP177-計分!AN177)</f>
        <v/>
      </c>
      <c r="AO177">
        <f>IF(OR(計分!AO177="",計分!$AP177=""),"",計分!$AP177-計分!AO177)</f>
        <v/>
      </c>
    </row>
    <row r="178">
      <c r="A178">
        <f>計分!A178</f>
        <v/>
      </c>
      <c r="B178">
        <f>IF(OR(計分!B178="",計分!$AP178=""),"",計分!$AP178-計分!B178)</f>
        <v/>
      </c>
      <c r="C178">
        <f>IF(OR(計分!C178="",計分!$AP178=""),"",計分!$AP178-計分!C178)</f>
        <v/>
      </c>
      <c r="D178">
        <f>IF(OR(計分!D178="",計分!$AP178=""),"",計分!$AP178-計分!D178)</f>
        <v/>
      </c>
      <c r="E178">
        <f>IF(OR(計分!E178="",計分!$AP178=""),"",計分!$AP178-計分!E178)</f>
        <v/>
      </c>
      <c r="F178">
        <f>IF(OR(計分!F178="",計分!$AP178=""),"",計分!$AP178-計分!F178)</f>
        <v/>
      </c>
      <c r="G178">
        <f>IF(OR(計分!G178="",計分!$AP178=""),"",計分!$AP178-計分!G178)</f>
        <v/>
      </c>
      <c r="H178">
        <f>IF(OR(計分!H178="",計分!$AP178=""),"",計分!$AP178-計分!H178)</f>
        <v/>
      </c>
      <c r="I178">
        <f>IF(OR(計分!I178="",計分!$AP178=""),"",計分!$AP178-計分!I178)</f>
        <v/>
      </c>
      <c r="J178">
        <f>IF(OR(計分!J178="",計分!$AP178=""),"",計分!$AP178-計分!J178)</f>
        <v/>
      </c>
      <c r="K178">
        <f>IF(OR(計分!K178="",計分!$AP178=""),"",計分!$AP178-計分!K178)</f>
        <v/>
      </c>
      <c r="L178">
        <f>IF(OR(計分!L178="",計分!$AP178=""),"",計分!$AP178-計分!L178)</f>
        <v/>
      </c>
      <c r="M178">
        <f>IF(OR(計分!M178="",計分!$AP178=""),"",計分!$AP178-計分!M178)</f>
        <v/>
      </c>
      <c r="N178">
        <f>IF(OR(計分!N178="",計分!$AP178=""),"",計分!$AP178-計分!N178)</f>
        <v/>
      </c>
      <c r="O178">
        <f>IF(OR(計分!O178="",計分!$AP178=""),"",計分!$AP178-計分!O178)</f>
        <v/>
      </c>
      <c r="P178">
        <f>IF(OR(計分!P178="",計分!$AP178=""),"",計分!$AP178-計分!P178)</f>
        <v/>
      </c>
      <c r="Q178">
        <f>IF(OR(計分!Q178="",計分!$AP178=""),"",計分!$AP178-計分!Q178)</f>
        <v/>
      </c>
      <c r="R178">
        <f>IF(OR(計分!R178="",計分!$AP178=""),"",計分!$AP178-計分!R178)</f>
        <v/>
      </c>
      <c r="S178">
        <f>IF(OR(計分!S178="",計分!$AP178=""),"",計分!$AP178-計分!S178)</f>
        <v/>
      </c>
      <c r="T178">
        <f>IF(OR(計分!T178="",計分!$AP178=""),"",計分!$AP178-計分!T178)</f>
        <v/>
      </c>
      <c r="U178">
        <f>IF(OR(計分!U178="",計分!$AP178=""),"",計分!$AP178-計分!U178)</f>
        <v/>
      </c>
      <c r="V178">
        <f>IF(OR(計分!V178="",計分!$AP178=""),"",計分!$AP178-計分!V178)</f>
        <v/>
      </c>
      <c r="W178">
        <f>IF(OR(計分!W178="",計分!$AP178=""),"",計分!$AP178-計分!W178)</f>
        <v/>
      </c>
      <c r="X178">
        <f>IF(OR(計分!X178="",計分!$AP178=""),"",計分!$AP178-計分!X178)</f>
        <v/>
      </c>
      <c r="Y178">
        <f>IF(OR(計分!Y178="",計分!$AP178=""),"",計分!$AP178-計分!Y178)</f>
        <v/>
      </c>
      <c r="Z178">
        <f>IF(OR(計分!Z178="",計分!$AP178=""),"",計分!$AP178-計分!Z178)</f>
        <v/>
      </c>
      <c r="AA178">
        <f>IF(OR(計分!AA178="",計分!$AP178=""),"",計分!$AP178-計分!AA178)</f>
        <v/>
      </c>
      <c r="AB178">
        <f>IF(OR(計分!AB178="",計分!$AP178=""),"",計分!$AP178-計分!AB178)</f>
        <v/>
      </c>
      <c r="AC178">
        <f>IF(OR(計分!AC178="",計分!$AP178=""),"",計分!$AP178-計分!AC178)</f>
        <v/>
      </c>
      <c r="AD178">
        <f>IF(OR(計分!AD178="",計分!$AP178=""),"",計分!$AP178-計分!AD178)</f>
        <v/>
      </c>
      <c r="AE178">
        <f>IF(OR(計分!AE178="",計分!$AP178=""),"",計分!$AP178-計分!AE178)</f>
        <v/>
      </c>
      <c r="AF178">
        <f>IF(OR(計分!AF178="",計分!$AP178=""),"",計分!$AP178-計分!AF178)</f>
        <v/>
      </c>
      <c r="AG178">
        <f>IF(OR(計分!AG178="",計分!$AP178=""),"",計分!$AP178-計分!AG178)</f>
        <v/>
      </c>
      <c r="AH178">
        <f>IF(OR(計分!AH178="",計分!$AP178=""),"",計分!$AP178-計分!AH178)</f>
        <v/>
      </c>
      <c r="AI178">
        <f>IF(OR(計分!AI178="",計分!$AP178=""),"",計分!$AP178-計分!AI178)</f>
        <v/>
      </c>
      <c r="AJ178">
        <f>IF(OR(計分!AJ178="",計分!$AP178=""),"",計分!$AP178-計分!AJ178)</f>
        <v/>
      </c>
      <c r="AK178">
        <f>IF(OR(計分!AK178="",計分!$AP178=""),"",計分!$AP178-計分!AK178)</f>
        <v/>
      </c>
      <c r="AL178">
        <f>IF(OR(計分!AL178="",計分!$AP178=""),"",計分!$AP178-計分!AL178)</f>
        <v/>
      </c>
      <c r="AM178">
        <f>IF(OR(計分!AM178="",計分!$AP178=""),"",計分!$AP178-計分!AM178)</f>
        <v/>
      </c>
      <c r="AN178">
        <f>IF(OR(計分!AN178="",計分!$AP178=""),"",計分!$AP178-計分!AN178)</f>
        <v/>
      </c>
      <c r="AO178">
        <f>IF(OR(計分!AO178="",計分!$AP178=""),"",計分!$AP178-計分!AO178)</f>
        <v/>
      </c>
    </row>
    <row r="179">
      <c r="A179">
        <f>計分!A179</f>
        <v/>
      </c>
      <c r="B179">
        <f>IF(OR(計分!B179="",計分!$AP179=""),"",計分!$AP179-計分!B179)</f>
        <v/>
      </c>
      <c r="C179">
        <f>IF(OR(計分!C179="",計分!$AP179=""),"",計分!$AP179-計分!C179)</f>
        <v/>
      </c>
      <c r="D179">
        <f>IF(OR(計分!D179="",計分!$AP179=""),"",計分!$AP179-計分!D179)</f>
        <v/>
      </c>
      <c r="E179">
        <f>IF(OR(計分!E179="",計分!$AP179=""),"",計分!$AP179-計分!E179)</f>
        <v/>
      </c>
      <c r="F179">
        <f>IF(OR(計分!F179="",計分!$AP179=""),"",計分!$AP179-計分!F179)</f>
        <v/>
      </c>
      <c r="G179">
        <f>IF(OR(計分!G179="",計分!$AP179=""),"",計分!$AP179-計分!G179)</f>
        <v/>
      </c>
      <c r="H179">
        <f>IF(OR(計分!H179="",計分!$AP179=""),"",計分!$AP179-計分!H179)</f>
        <v/>
      </c>
      <c r="I179">
        <f>IF(OR(計分!I179="",計分!$AP179=""),"",計分!$AP179-計分!I179)</f>
        <v/>
      </c>
      <c r="J179">
        <f>IF(OR(計分!J179="",計分!$AP179=""),"",計分!$AP179-計分!J179)</f>
        <v/>
      </c>
      <c r="K179">
        <f>IF(OR(計分!K179="",計分!$AP179=""),"",計分!$AP179-計分!K179)</f>
        <v/>
      </c>
      <c r="L179">
        <f>IF(OR(計分!L179="",計分!$AP179=""),"",計分!$AP179-計分!L179)</f>
        <v/>
      </c>
      <c r="M179">
        <f>IF(OR(計分!M179="",計分!$AP179=""),"",計分!$AP179-計分!M179)</f>
        <v/>
      </c>
      <c r="N179">
        <f>IF(OR(計分!N179="",計分!$AP179=""),"",計分!$AP179-計分!N179)</f>
        <v/>
      </c>
      <c r="O179">
        <f>IF(OR(計分!O179="",計分!$AP179=""),"",計分!$AP179-計分!O179)</f>
        <v/>
      </c>
      <c r="P179">
        <f>IF(OR(計分!P179="",計分!$AP179=""),"",計分!$AP179-計分!P179)</f>
        <v/>
      </c>
      <c r="Q179">
        <f>IF(OR(計分!Q179="",計分!$AP179=""),"",計分!$AP179-計分!Q179)</f>
        <v/>
      </c>
      <c r="R179">
        <f>IF(OR(計分!R179="",計分!$AP179=""),"",計分!$AP179-計分!R179)</f>
        <v/>
      </c>
      <c r="S179">
        <f>IF(OR(計分!S179="",計分!$AP179=""),"",計分!$AP179-計分!S179)</f>
        <v/>
      </c>
      <c r="T179">
        <f>IF(OR(計分!T179="",計分!$AP179=""),"",計分!$AP179-計分!T179)</f>
        <v/>
      </c>
      <c r="U179">
        <f>IF(OR(計分!U179="",計分!$AP179=""),"",計分!$AP179-計分!U179)</f>
        <v/>
      </c>
      <c r="V179">
        <f>IF(OR(計分!V179="",計分!$AP179=""),"",計分!$AP179-計分!V179)</f>
        <v/>
      </c>
      <c r="W179">
        <f>IF(OR(計分!W179="",計分!$AP179=""),"",計分!$AP179-計分!W179)</f>
        <v/>
      </c>
      <c r="X179">
        <f>IF(OR(計分!X179="",計分!$AP179=""),"",計分!$AP179-計分!X179)</f>
        <v/>
      </c>
      <c r="Y179">
        <f>IF(OR(計分!Y179="",計分!$AP179=""),"",計分!$AP179-計分!Y179)</f>
        <v/>
      </c>
      <c r="Z179">
        <f>IF(OR(計分!Z179="",計分!$AP179=""),"",計分!$AP179-計分!Z179)</f>
        <v/>
      </c>
      <c r="AA179">
        <f>IF(OR(計分!AA179="",計分!$AP179=""),"",計分!$AP179-計分!AA179)</f>
        <v/>
      </c>
      <c r="AB179">
        <f>IF(OR(計分!AB179="",計分!$AP179=""),"",計分!$AP179-計分!AB179)</f>
        <v/>
      </c>
      <c r="AC179">
        <f>IF(OR(計分!AC179="",計分!$AP179=""),"",計分!$AP179-計分!AC179)</f>
        <v/>
      </c>
      <c r="AD179">
        <f>IF(OR(計分!AD179="",計分!$AP179=""),"",計分!$AP179-計分!AD179)</f>
        <v/>
      </c>
      <c r="AE179">
        <f>IF(OR(計分!AE179="",計分!$AP179=""),"",計分!$AP179-計分!AE179)</f>
        <v/>
      </c>
      <c r="AF179">
        <f>IF(OR(計分!AF179="",計分!$AP179=""),"",計分!$AP179-計分!AF179)</f>
        <v/>
      </c>
      <c r="AG179">
        <f>IF(OR(計分!AG179="",計分!$AP179=""),"",計分!$AP179-計分!AG179)</f>
        <v/>
      </c>
      <c r="AH179">
        <f>IF(OR(計分!AH179="",計分!$AP179=""),"",計分!$AP179-計分!AH179)</f>
        <v/>
      </c>
      <c r="AI179">
        <f>IF(OR(計分!AI179="",計分!$AP179=""),"",計分!$AP179-計分!AI179)</f>
        <v/>
      </c>
      <c r="AJ179">
        <f>IF(OR(計分!AJ179="",計分!$AP179=""),"",計分!$AP179-計分!AJ179)</f>
        <v/>
      </c>
      <c r="AK179">
        <f>IF(OR(計分!AK179="",計分!$AP179=""),"",計分!$AP179-計分!AK179)</f>
        <v/>
      </c>
      <c r="AL179">
        <f>IF(OR(計分!AL179="",計分!$AP179=""),"",計分!$AP179-計分!AL179)</f>
        <v/>
      </c>
      <c r="AM179">
        <f>IF(OR(計分!AM179="",計分!$AP179=""),"",計分!$AP179-計分!AM179)</f>
        <v/>
      </c>
      <c r="AN179">
        <f>IF(OR(計分!AN179="",計分!$AP179=""),"",計分!$AP179-計分!AN179)</f>
        <v/>
      </c>
      <c r="AO179">
        <f>IF(OR(計分!AO179="",計分!$AP179=""),"",計分!$AP179-計分!AO179)</f>
        <v/>
      </c>
    </row>
    <row r="180">
      <c r="A180">
        <f>計分!A180</f>
        <v/>
      </c>
      <c r="B180">
        <f>IF(OR(計分!B180="",計分!$AP180=""),"",計分!$AP180-計分!B180)</f>
        <v/>
      </c>
      <c r="C180">
        <f>IF(OR(計分!C180="",計分!$AP180=""),"",計分!$AP180-計分!C180)</f>
        <v/>
      </c>
      <c r="D180">
        <f>IF(OR(計分!D180="",計分!$AP180=""),"",計分!$AP180-計分!D180)</f>
        <v/>
      </c>
      <c r="E180">
        <f>IF(OR(計分!E180="",計分!$AP180=""),"",計分!$AP180-計分!E180)</f>
        <v/>
      </c>
      <c r="F180">
        <f>IF(OR(計分!F180="",計分!$AP180=""),"",計分!$AP180-計分!F180)</f>
        <v/>
      </c>
      <c r="G180">
        <f>IF(OR(計分!G180="",計分!$AP180=""),"",計分!$AP180-計分!G180)</f>
        <v/>
      </c>
      <c r="H180">
        <f>IF(OR(計分!H180="",計分!$AP180=""),"",計分!$AP180-計分!H180)</f>
        <v/>
      </c>
      <c r="I180">
        <f>IF(OR(計分!I180="",計分!$AP180=""),"",計分!$AP180-計分!I180)</f>
        <v/>
      </c>
      <c r="J180">
        <f>IF(OR(計分!J180="",計分!$AP180=""),"",計分!$AP180-計分!J180)</f>
        <v/>
      </c>
      <c r="K180">
        <f>IF(OR(計分!K180="",計分!$AP180=""),"",計分!$AP180-計分!K180)</f>
        <v/>
      </c>
      <c r="L180">
        <f>IF(OR(計分!L180="",計分!$AP180=""),"",計分!$AP180-計分!L180)</f>
        <v/>
      </c>
      <c r="M180">
        <f>IF(OR(計分!M180="",計分!$AP180=""),"",計分!$AP180-計分!M180)</f>
        <v/>
      </c>
      <c r="N180">
        <f>IF(OR(計分!N180="",計分!$AP180=""),"",計分!$AP180-計分!N180)</f>
        <v/>
      </c>
      <c r="O180">
        <f>IF(OR(計分!O180="",計分!$AP180=""),"",計分!$AP180-計分!O180)</f>
        <v/>
      </c>
      <c r="P180">
        <f>IF(OR(計分!P180="",計分!$AP180=""),"",計分!$AP180-計分!P180)</f>
        <v/>
      </c>
      <c r="Q180">
        <f>IF(OR(計分!Q180="",計分!$AP180=""),"",計分!$AP180-計分!Q180)</f>
        <v/>
      </c>
      <c r="R180">
        <f>IF(OR(計分!R180="",計分!$AP180=""),"",計分!$AP180-計分!R180)</f>
        <v/>
      </c>
      <c r="S180">
        <f>IF(OR(計分!S180="",計分!$AP180=""),"",計分!$AP180-計分!S180)</f>
        <v/>
      </c>
      <c r="T180">
        <f>IF(OR(計分!T180="",計分!$AP180=""),"",計分!$AP180-計分!T180)</f>
        <v/>
      </c>
      <c r="U180">
        <f>IF(OR(計分!U180="",計分!$AP180=""),"",計分!$AP180-計分!U180)</f>
        <v/>
      </c>
      <c r="V180">
        <f>IF(OR(計分!V180="",計分!$AP180=""),"",計分!$AP180-計分!V180)</f>
        <v/>
      </c>
      <c r="W180">
        <f>IF(OR(計分!W180="",計分!$AP180=""),"",計分!$AP180-計分!W180)</f>
        <v/>
      </c>
      <c r="X180">
        <f>IF(OR(計分!X180="",計分!$AP180=""),"",計分!$AP180-計分!X180)</f>
        <v/>
      </c>
      <c r="Y180">
        <f>IF(OR(計分!Y180="",計分!$AP180=""),"",計分!$AP180-計分!Y180)</f>
        <v/>
      </c>
      <c r="Z180">
        <f>IF(OR(計分!Z180="",計分!$AP180=""),"",計分!$AP180-計分!Z180)</f>
        <v/>
      </c>
      <c r="AA180">
        <f>IF(OR(計分!AA180="",計分!$AP180=""),"",計分!$AP180-計分!AA180)</f>
        <v/>
      </c>
      <c r="AB180">
        <f>IF(OR(計分!AB180="",計分!$AP180=""),"",計分!$AP180-計分!AB180)</f>
        <v/>
      </c>
      <c r="AC180">
        <f>IF(OR(計分!AC180="",計分!$AP180=""),"",計分!$AP180-計分!AC180)</f>
        <v/>
      </c>
      <c r="AD180">
        <f>IF(OR(計分!AD180="",計分!$AP180=""),"",計分!$AP180-計分!AD180)</f>
        <v/>
      </c>
      <c r="AE180">
        <f>IF(OR(計分!AE180="",計分!$AP180=""),"",計分!$AP180-計分!AE180)</f>
        <v/>
      </c>
      <c r="AF180">
        <f>IF(OR(計分!AF180="",計分!$AP180=""),"",計分!$AP180-計分!AF180)</f>
        <v/>
      </c>
      <c r="AG180">
        <f>IF(OR(計分!AG180="",計分!$AP180=""),"",計分!$AP180-計分!AG180)</f>
        <v/>
      </c>
      <c r="AH180">
        <f>IF(OR(計分!AH180="",計分!$AP180=""),"",計分!$AP180-計分!AH180)</f>
        <v/>
      </c>
      <c r="AI180">
        <f>IF(OR(計分!AI180="",計分!$AP180=""),"",計分!$AP180-計分!AI180)</f>
        <v/>
      </c>
      <c r="AJ180">
        <f>IF(OR(計分!AJ180="",計分!$AP180=""),"",計分!$AP180-計分!AJ180)</f>
        <v/>
      </c>
      <c r="AK180">
        <f>IF(OR(計分!AK180="",計分!$AP180=""),"",計分!$AP180-計分!AK180)</f>
        <v/>
      </c>
      <c r="AL180">
        <f>IF(OR(計分!AL180="",計分!$AP180=""),"",計分!$AP180-計分!AL180)</f>
        <v/>
      </c>
      <c r="AM180">
        <f>IF(OR(計分!AM180="",計分!$AP180=""),"",計分!$AP180-計分!AM180)</f>
        <v/>
      </c>
      <c r="AN180">
        <f>IF(OR(計分!AN180="",計分!$AP180=""),"",計分!$AP180-計分!AN180)</f>
        <v/>
      </c>
      <c r="AO180">
        <f>IF(OR(計分!AO180="",計分!$AP180=""),"",計分!$AP180-計分!AO180)</f>
        <v/>
      </c>
    </row>
    <row r="181">
      <c r="A181">
        <f>計分!A181</f>
        <v/>
      </c>
      <c r="B181">
        <f>IF(OR(計分!B181="",計分!$AP181=""),"",計分!$AP181-計分!B181)</f>
        <v/>
      </c>
      <c r="C181">
        <f>IF(OR(計分!C181="",計分!$AP181=""),"",計分!$AP181-計分!C181)</f>
        <v/>
      </c>
      <c r="D181">
        <f>IF(OR(計分!D181="",計分!$AP181=""),"",計分!$AP181-計分!D181)</f>
        <v/>
      </c>
      <c r="E181">
        <f>IF(OR(計分!E181="",計分!$AP181=""),"",計分!$AP181-計分!E181)</f>
        <v/>
      </c>
      <c r="F181">
        <f>IF(OR(計分!F181="",計分!$AP181=""),"",計分!$AP181-計分!F181)</f>
        <v/>
      </c>
      <c r="G181">
        <f>IF(OR(計分!G181="",計分!$AP181=""),"",計分!$AP181-計分!G181)</f>
        <v/>
      </c>
      <c r="H181">
        <f>IF(OR(計分!H181="",計分!$AP181=""),"",計分!$AP181-計分!H181)</f>
        <v/>
      </c>
      <c r="I181">
        <f>IF(OR(計分!I181="",計分!$AP181=""),"",計分!$AP181-計分!I181)</f>
        <v/>
      </c>
      <c r="J181">
        <f>IF(OR(計分!J181="",計分!$AP181=""),"",計分!$AP181-計分!J181)</f>
        <v/>
      </c>
      <c r="K181">
        <f>IF(OR(計分!K181="",計分!$AP181=""),"",計分!$AP181-計分!K181)</f>
        <v/>
      </c>
      <c r="L181">
        <f>IF(OR(計分!L181="",計分!$AP181=""),"",計分!$AP181-計分!L181)</f>
        <v/>
      </c>
      <c r="M181">
        <f>IF(OR(計分!M181="",計分!$AP181=""),"",計分!$AP181-計分!M181)</f>
        <v/>
      </c>
      <c r="N181">
        <f>IF(OR(計分!N181="",計分!$AP181=""),"",計分!$AP181-計分!N181)</f>
        <v/>
      </c>
      <c r="O181">
        <f>IF(OR(計分!O181="",計分!$AP181=""),"",計分!$AP181-計分!O181)</f>
        <v/>
      </c>
      <c r="P181">
        <f>IF(OR(計分!P181="",計分!$AP181=""),"",計分!$AP181-計分!P181)</f>
        <v/>
      </c>
      <c r="Q181">
        <f>IF(OR(計分!Q181="",計分!$AP181=""),"",計分!$AP181-計分!Q181)</f>
        <v/>
      </c>
      <c r="R181">
        <f>IF(OR(計分!R181="",計分!$AP181=""),"",計分!$AP181-計分!R181)</f>
        <v/>
      </c>
      <c r="S181">
        <f>IF(OR(計分!S181="",計分!$AP181=""),"",計分!$AP181-計分!S181)</f>
        <v/>
      </c>
      <c r="T181">
        <f>IF(OR(計分!T181="",計分!$AP181=""),"",計分!$AP181-計分!T181)</f>
        <v/>
      </c>
      <c r="U181">
        <f>IF(OR(計分!U181="",計分!$AP181=""),"",計分!$AP181-計分!U181)</f>
        <v/>
      </c>
      <c r="V181">
        <f>IF(OR(計分!V181="",計分!$AP181=""),"",計分!$AP181-計分!V181)</f>
        <v/>
      </c>
      <c r="W181">
        <f>IF(OR(計分!W181="",計分!$AP181=""),"",計分!$AP181-計分!W181)</f>
        <v/>
      </c>
      <c r="X181">
        <f>IF(OR(計分!X181="",計分!$AP181=""),"",計分!$AP181-計分!X181)</f>
        <v/>
      </c>
      <c r="Y181">
        <f>IF(OR(計分!Y181="",計分!$AP181=""),"",計分!$AP181-計分!Y181)</f>
        <v/>
      </c>
      <c r="Z181">
        <f>IF(OR(計分!Z181="",計分!$AP181=""),"",計分!$AP181-計分!Z181)</f>
        <v/>
      </c>
      <c r="AA181">
        <f>IF(OR(計分!AA181="",計分!$AP181=""),"",計分!$AP181-計分!AA181)</f>
        <v/>
      </c>
      <c r="AB181">
        <f>IF(OR(計分!AB181="",計分!$AP181=""),"",計分!$AP181-計分!AB181)</f>
        <v/>
      </c>
      <c r="AC181">
        <f>IF(OR(計分!AC181="",計分!$AP181=""),"",計分!$AP181-計分!AC181)</f>
        <v/>
      </c>
      <c r="AD181">
        <f>IF(OR(計分!AD181="",計分!$AP181=""),"",計分!$AP181-計分!AD181)</f>
        <v/>
      </c>
      <c r="AE181">
        <f>IF(OR(計分!AE181="",計分!$AP181=""),"",計分!$AP181-計分!AE181)</f>
        <v/>
      </c>
      <c r="AF181">
        <f>IF(OR(計分!AF181="",計分!$AP181=""),"",計分!$AP181-計分!AF181)</f>
        <v/>
      </c>
      <c r="AG181">
        <f>IF(OR(計分!AG181="",計分!$AP181=""),"",計分!$AP181-計分!AG181)</f>
        <v/>
      </c>
      <c r="AH181">
        <f>IF(OR(計分!AH181="",計分!$AP181=""),"",計分!$AP181-計分!AH181)</f>
        <v/>
      </c>
      <c r="AI181">
        <f>IF(OR(計分!AI181="",計分!$AP181=""),"",計分!$AP181-計分!AI181)</f>
        <v/>
      </c>
      <c r="AJ181">
        <f>IF(OR(計分!AJ181="",計分!$AP181=""),"",計分!$AP181-計分!AJ181)</f>
        <v/>
      </c>
      <c r="AK181">
        <f>IF(OR(計分!AK181="",計分!$AP181=""),"",計分!$AP181-計分!AK181)</f>
        <v/>
      </c>
      <c r="AL181">
        <f>IF(OR(計分!AL181="",計分!$AP181=""),"",計分!$AP181-計分!AL181)</f>
        <v/>
      </c>
      <c r="AM181">
        <f>IF(OR(計分!AM181="",計分!$AP181=""),"",計分!$AP181-計分!AM181)</f>
        <v/>
      </c>
      <c r="AN181">
        <f>IF(OR(計分!AN181="",計分!$AP181=""),"",計分!$AP181-計分!AN181)</f>
        <v/>
      </c>
      <c r="AO181">
        <f>IF(OR(計分!AO181="",計分!$AP181=""),"",計分!$AP181-計分!AO181)</f>
        <v/>
      </c>
    </row>
    <row r="182">
      <c r="A182">
        <f>計分!A182</f>
        <v/>
      </c>
      <c r="B182">
        <f>IF(OR(計分!B182="",計分!$AP182=""),"",計分!$AP182-計分!B182)</f>
        <v/>
      </c>
      <c r="C182">
        <f>IF(OR(計分!C182="",計分!$AP182=""),"",計分!$AP182-計分!C182)</f>
        <v/>
      </c>
      <c r="D182">
        <f>IF(OR(計分!D182="",計分!$AP182=""),"",計分!$AP182-計分!D182)</f>
        <v/>
      </c>
      <c r="E182">
        <f>IF(OR(計分!E182="",計分!$AP182=""),"",計分!$AP182-計分!E182)</f>
        <v/>
      </c>
      <c r="F182">
        <f>IF(OR(計分!F182="",計分!$AP182=""),"",計分!$AP182-計分!F182)</f>
        <v/>
      </c>
      <c r="G182">
        <f>IF(OR(計分!G182="",計分!$AP182=""),"",計分!$AP182-計分!G182)</f>
        <v/>
      </c>
      <c r="H182">
        <f>IF(OR(計分!H182="",計分!$AP182=""),"",計分!$AP182-計分!H182)</f>
        <v/>
      </c>
      <c r="I182">
        <f>IF(OR(計分!I182="",計分!$AP182=""),"",計分!$AP182-計分!I182)</f>
        <v/>
      </c>
      <c r="J182">
        <f>IF(OR(計分!J182="",計分!$AP182=""),"",計分!$AP182-計分!J182)</f>
        <v/>
      </c>
      <c r="K182">
        <f>IF(OR(計分!K182="",計分!$AP182=""),"",計分!$AP182-計分!K182)</f>
        <v/>
      </c>
      <c r="L182">
        <f>IF(OR(計分!L182="",計分!$AP182=""),"",計分!$AP182-計分!L182)</f>
        <v/>
      </c>
      <c r="M182">
        <f>IF(OR(計分!M182="",計分!$AP182=""),"",計分!$AP182-計分!M182)</f>
        <v/>
      </c>
      <c r="N182">
        <f>IF(OR(計分!N182="",計分!$AP182=""),"",計分!$AP182-計分!N182)</f>
        <v/>
      </c>
      <c r="O182">
        <f>IF(OR(計分!O182="",計分!$AP182=""),"",計分!$AP182-計分!O182)</f>
        <v/>
      </c>
      <c r="P182">
        <f>IF(OR(計分!P182="",計分!$AP182=""),"",計分!$AP182-計分!P182)</f>
        <v/>
      </c>
      <c r="Q182">
        <f>IF(OR(計分!Q182="",計分!$AP182=""),"",計分!$AP182-計分!Q182)</f>
        <v/>
      </c>
      <c r="R182">
        <f>IF(OR(計分!R182="",計分!$AP182=""),"",計分!$AP182-計分!R182)</f>
        <v/>
      </c>
      <c r="S182">
        <f>IF(OR(計分!S182="",計分!$AP182=""),"",計分!$AP182-計分!S182)</f>
        <v/>
      </c>
      <c r="T182">
        <f>IF(OR(計分!T182="",計分!$AP182=""),"",計分!$AP182-計分!T182)</f>
        <v/>
      </c>
      <c r="U182">
        <f>IF(OR(計分!U182="",計分!$AP182=""),"",計分!$AP182-計分!U182)</f>
        <v/>
      </c>
      <c r="V182">
        <f>IF(OR(計分!V182="",計分!$AP182=""),"",計分!$AP182-計分!V182)</f>
        <v/>
      </c>
      <c r="W182">
        <f>IF(OR(計分!W182="",計分!$AP182=""),"",計分!$AP182-計分!W182)</f>
        <v/>
      </c>
      <c r="X182">
        <f>IF(OR(計分!X182="",計分!$AP182=""),"",計分!$AP182-計分!X182)</f>
        <v/>
      </c>
      <c r="Y182">
        <f>IF(OR(計分!Y182="",計分!$AP182=""),"",計分!$AP182-計分!Y182)</f>
        <v/>
      </c>
      <c r="Z182">
        <f>IF(OR(計分!Z182="",計分!$AP182=""),"",計分!$AP182-計分!Z182)</f>
        <v/>
      </c>
      <c r="AA182">
        <f>IF(OR(計分!AA182="",計分!$AP182=""),"",計分!$AP182-計分!AA182)</f>
        <v/>
      </c>
      <c r="AB182">
        <f>IF(OR(計分!AB182="",計分!$AP182=""),"",計分!$AP182-計分!AB182)</f>
        <v/>
      </c>
      <c r="AC182">
        <f>IF(OR(計分!AC182="",計分!$AP182=""),"",計分!$AP182-計分!AC182)</f>
        <v/>
      </c>
      <c r="AD182">
        <f>IF(OR(計分!AD182="",計分!$AP182=""),"",計分!$AP182-計分!AD182)</f>
        <v/>
      </c>
      <c r="AE182">
        <f>IF(OR(計分!AE182="",計分!$AP182=""),"",計分!$AP182-計分!AE182)</f>
        <v/>
      </c>
      <c r="AF182">
        <f>IF(OR(計分!AF182="",計分!$AP182=""),"",計分!$AP182-計分!AF182)</f>
        <v/>
      </c>
      <c r="AG182">
        <f>IF(OR(計分!AG182="",計分!$AP182=""),"",計分!$AP182-計分!AG182)</f>
        <v/>
      </c>
      <c r="AH182">
        <f>IF(OR(計分!AH182="",計分!$AP182=""),"",計分!$AP182-計分!AH182)</f>
        <v/>
      </c>
      <c r="AI182">
        <f>IF(OR(計分!AI182="",計分!$AP182=""),"",計分!$AP182-計分!AI182)</f>
        <v/>
      </c>
      <c r="AJ182">
        <f>IF(OR(計分!AJ182="",計分!$AP182=""),"",計分!$AP182-計分!AJ182)</f>
        <v/>
      </c>
      <c r="AK182">
        <f>IF(OR(計分!AK182="",計分!$AP182=""),"",計分!$AP182-計分!AK182)</f>
        <v/>
      </c>
      <c r="AL182">
        <f>IF(OR(計分!AL182="",計分!$AP182=""),"",計分!$AP182-計分!AL182)</f>
        <v/>
      </c>
      <c r="AM182">
        <f>IF(OR(計分!AM182="",計分!$AP182=""),"",計分!$AP182-計分!AM182)</f>
        <v/>
      </c>
      <c r="AN182">
        <f>IF(OR(計分!AN182="",計分!$AP182=""),"",計分!$AP182-計分!AN182)</f>
        <v/>
      </c>
      <c r="AO182">
        <f>IF(OR(計分!AO182="",計分!$AP182=""),"",計分!$AP182-計分!AO182)</f>
        <v/>
      </c>
    </row>
    <row r="183">
      <c r="A183">
        <f>計分!A183</f>
        <v/>
      </c>
      <c r="B183">
        <f>IF(OR(計分!B183="",計分!$AP183=""),"",計分!$AP183-計分!B183)</f>
        <v/>
      </c>
      <c r="C183">
        <f>IF(OR(計分!C183="",計分!$AP183=""),"",計分!$AP183-計分!C183)</f>
        <v/>
      </c>
      <c r="D183">
        <f>IF(OR(計分!D183="",計分!$AP183=""),"",計分!$AP183-計分!D183)</f>
        <v/>
      </c>
      <c r="E183">
        <f>IF(OR(計分!E183="",計分!$AP183=""),"",計分!$AP183-計分!E183)</f>
        <v/>
      </c>
      <c r="F183">
        <f>IF(OR(計分!F183="",計分!$AP183=""),"",計分!$AP183-計分!F183)</f>
        <v/>
      </c>
      <c r="G183">
        <f>IF(OR(計分!G183="",計分!$AP183=""),"",計分!$AP183-計分!G183)</f>
        <v/>
      </c>
      <c r="H183">
        <f>IF(OR(計分!H183="",計分!$AP183=""),"",計分!$AP183-計分!H183)</f>
        <v/>
      </c>
      <c r="I183">
        <f>IF(OR(計分!I183="",計分!$AP183=""),"",計分!$AP183-計分!I183)</f>
        <v/>
      </c>
      <c r="J183">
        <f>IF(OR(計分!J183="",計分!$AP183=""),"",計分!$AP183-計分!J183)</f>
        <v/>
      </c>
      <c r="K183">
        <f>IF(OR(計分!K183="",計分!$AP183=""),"",計分!$AP183-計分!K183)</f>
        <v/>
      </c>
      <c r="L183">
        <f>IF(OR(計分!L183="",計分!$AP183=""),"",計分!$AP183-計分!L183)</f>
        <v/>
      </c>
      <c r="M183">
        <f>IF(OR(計分!M183="",計分!$AP183=""),"",計分!$AP183-計分!M183)</f>
        <v/>
      </c>
      <c r="N183">
        <f>IF(OR(計分!N183="",計分!$AP183=""),"",計分!$AP183-計分!N183)</f>
        <v/>
      </c>
      <c r="O183">
        <f>IF(OR(計分!O183="",計分!$AP183=""),"",計分!$AP183-計分!O183)</f>
        <v/>
      </c>
      <c r="P183">
        <f>IF(OR(計分!P183="",計分!$AP183=""),"",計分!$AP183-計分!P183)</f>
        <v/>
      </c>
      <c r="Q183">
        <f>IF(OR(計分!Q183="",計分!$AP183=""),"",計分!$AP183-計分!Q183)</f>
        <v/>
      </c>
      <c r="R183">
        <f>IF(OR(計分!R183="",計分!$AP183=""),"",計分!$AP183-計分!R183)</f>
        <v/>
      </c>
      <c r="S183">
        <f>IF(OR(計分!S183="",計分!$AP183=""),"",計分!$AP183-計分!S183)</f>
        <v/>
      </c>
      <c r="T183">
        <f>IF(OR(計分!T183="",計分!$AP183=""),"",計分!$AP183-計分!T183)</f>
        <v/>
      </c>
      <c r="U183">
        <f>IF(OR(計分!U183="",計分!$AP183=""),"",計分!$AP183-計分!U183)</f>
        <v/>
      </c>
      <c r="V183">
        <f>IF(OR(計分!V183="",計分!$AP183=""),"",計分!$AP183-計分!V183)</f>
        <v/>
      </c>
      <c r="W183">
        <f>IF(OR(計分!W183="",計分!$AP183=""),"",計分!$AP183-計分!W183)</f>
        <v/>
      </c>
      <c r="X183">
        <f>IF(OR(計分!X183="",計分!$AP183=""),"",計分!$AP183-計分!X183)</f>
        <v/>
      </c>
      <c r="Y183">
        <f>IF(OR(計分!Y183="",計分!$AP183=""),"",計分!$AP183-計分!Y183)</f>
        <v/>
      </c>
      <c r="Z183">
        <f>IF(OR(計分!Z183="",計分!$AP183=""),"",計分!$AP183-計分!Z183)</f>
        <v/>
      </c>
      <c r="AA183">
        <f>IF(OR(計分!AA183="",計分!$AP183=""),"",計分!$AP183-計分!AA183)</f>
        <v/>
      </c>
      <c r="AB183">
        <f>IF(OR(計分!AB183="",計分!$AP183=""),"",計分!$AP183-計分!AB183)</f>
        <v/>
      </c>
      <c r="AC183">
        <f>IF(OR(計分!AC183="",計分!$AP183=""),"",計分!$AP183-計分!AC183)</f>
        <v/>
      </c>
      <c r="AD183">
        <f>IF(OR(計分!AD183="",計分!$AP183=""),"",計分!$AP183-計分!AD183)</f>
        <v/>
      </c>
      <c r="AE183">
        <f>IF(OR(計分!AE183="",計分!$AP183=""),"",計分!$AP183-計分!AE183)</f>
        <v/>
      </c>
      <c r="AF183">
        <f>IF(OR(計分!AF183="",計分!$AP183=""),"",計分!$AP183-計分!AF183)</f>
        <v/>
      </c>
      <c r="AG183">
        <f>IF(OR(計分!AG183="",計分!$AP183=""),"",計分!$AP183-計分!AG183)</f>
        <v/>
      </c>
      <c r="AH183">
        <f>IF(OR(計分!AH183="",計分!$AP183=""),"",計分!$AP183-計分!AH183)</f>
        <v/>
      </c>
      <c r="AI183">
        <f>IF(OR(計分!AI183="",計分!$AP183=""),"",計分!$AP183-計分!AI183)</f>
        <v/>
      </c>
      <c r="AJ183">
        <f>IF(OR(計分!AJ183="",計分!$AP183=""),"",計分!$AP183-計分!AJ183)</f>
        <v/>
      </c>
      <c r="AK183">
        <f>IF(OR(計分!AK183="",計分!$AP183=""),"",計分!$AP183-計分!AK183)</f>
        <v/>
      </c>
      <c r="AL183">
        <f>IF(OR(計分!AL183="",計分!$AP183=""),"",計分!$AP183-計分!AL183)</f>
        <v/>
      </c>
      <c r="AM183">
        <f>IF(OR(計分!AM183="",計分!$AP183=""),"",計分!$AP183-計分!AM183)</f>
        <v/>
      </c>
      <c r="AN183">
        <f>IF(OR(計分!AN183="",計分!$AP183=""),"",計分!$AP183-計分!AN183)</f>
        <v/>
      </c>
      <c r="AO183">
        <f>IF(OR(計分!AO183="",計分!$AP183=""),"",計分!$AP183-計分!AO183)</f>
        <v/>
      </c>
    </row>
    <row r="184">
      <c r="A184">
        <f>計分!A184</f>
        <v/>
      </c>
      <c r="B184">
        <f>IF(OR(計分!B184="",計分!$AP184=""),"",計分!$AP184-計分!B184)</f>
        <v/>
      </c>
      <c r="C184">
        <f>IF(OR(計分!C184="",計分!$AP184=""),"",計分!$AP184-計分!C184)</f>
        <v/>
      </c>
      <c r="D184">
        <f>IF(OR(計分!D184="",計分!$AP184=""),"",計分!$AP184-計分!D184)</f>
        <v/>
      </c>
      <c r="E184">
        <f>IF(OR(計分!E184="",計分!$AP184=""),"",計分!$AP184-計分!E184)</f>
        <v/>
      </c>
      <c r="F184">
        <f>IF(OR(計分!F184="",計分!$AP184=""),"",計分!$AP184-計分!F184)</f>
        <v/>
      </c>
      <c r="G184">
        <f>IF(OR(計分!G184="",計分!$AP184=""),"",計分!$AP184-計分!G184)</f>
        <v/>
      </c>
      <c r="H184">
        <f>IF(OR(計分!H184="",計分!$AP184=""),"",計分!$AP184-計分!H184)</f>
        <v/>
      </c>
      <c r="I184">
        <f>IF(OR(計分!I184="",計分!$AP184=""),"",計分!$AP184-計分!I184)</f>
        <v/>
      </c>
      <c r="J184">
        <f>IF(OR(計分!J184="",計分!$AP184=""),"",計分!$AP184-計分!J184)</f>
        <v/>
      </c>
      <c r="K184">
        <f>IF(OR(計分!K184="",計分!$AP184=""),"",計分!$AP184-計分!K184)</f>
        <v/>
      </c>
      <c r="L184">
        <f>IF(OR(計分!L184="",計分!$AP184=""),"",計分!$AP184-計分!L184)</f>
        <v/>
      </c>
      <c r="M184">
        <f>IF(OR(計分!M184="",計分!$AP184=""),"",計分!$AP184-計分!M184)</f>
        <v/>
      </c>
      <c r="N184">
        <f>IF(OR(計分!N184="",計分!$AP184=""),"",計分!$AP184-計分!N184)</f>
        <v/>
      </c>
      <c r="O184">
        <f>IF(OR(計分!O184="",計分!$AP184=""),"",計分!$AP184-計分!O184)</f>
        <v/>
      </c>
      <c r="P184">
        <f>IF(OR(計分!P184="",計分!$AP184=""),"",計分!$AP184-計分!P184)</f>
        <v/>
      </c>
      <c r="Q184">
        <f>IF(OR(計分!Q184="",計分!$AP184=""),"",計分!$AP184-計分!Q184)</f>
        <v/>
      </c>
      <c r="R184">
        <f>IF(OR(計分!R184="",計分!$AP184=""),"",計分!$AP184-計分!R184)</f>
        <v/>
      </c>
      <c r="S184">
        <f>IF(OR(計分!S184="",計分!$AP184=""),"",計分!$AP184-計分!S184)</f>
        <v/>
      </c>
      <c r="T184">
        <f>IF(OR(計分!T184="",計分!$AP184=""),"",計分!$AP184-計分!T184)</f>
        <v/>
      </c>
      <c r="U184">
        <f>IF(OR(計分!U184="",計分!$AP184=""),"",計分!$AP184-計分!U184)</f>
        <v/>
      </c>
      <c r="V184">
        <f>IF(OR(計分!V184="",計分!$AP184=""),"",計分!$AP184-計分!V184)</f>
        <v/>
      </c>
      <c r="W184">
        <f>IF(OR(計分!W184="",計分!$AP184=""),"",計分!$AP184-計分!W184)</f>
        <v/>
      </c>
      <c r="X184">
        <f>IF(OR(計分!X184="",計分!$AP184=""),"",計分!$AP184-計分!X184)</f>
        <v/>
      </c>
      <c r="Y184">
        <f>IF(OR(計分!Y184="",計分!$AP184=""),"",計分!$AP184-計分!Y184)</f>
        <v/>
      </c>
      <c r="Z184">
        <f>IF(OR(計分!Z184="",計分!$AP184=""),"",計分!$AP184-計分!Z184)</f>
        <v/>
      </c>
      <c r="AA184">
        <f>IF(OR(計分!AA184="",計分!$AP184=""),"",計分!$AP184-計分!AA184)</f>
        <v/>
      </c>
      <c r="AB184">
        <f>IF(OR(計分!AB184="",計分!$AP184=""),"",計分!$AP184-計分!AB184)</f>
        <v/>
      </c>
      <c r="AC184">
        <f>IF(OR(計分!AC184="",計分!$AP184=""),"",計分!$AP184-計分!AC184)</f>
        <v/>
      </c>
      <c r="AD184">
        <f>IF(OR(計分!AD184="",計分!$AP184=""),"",計分!$AP184-計分!AD184)</f>
        <v/>
      </c>
      <c r="AE184">
        <f>IF(OR(計分!AE184="",計分!$AP184=""),"",計分!$AP184-計分!AE184)</f>
        <v/>
      </c>
      <c r="AF184">
        <f>IF(OR(計分!AF184="",計分!$AP184=""),"",計分!$AP184-計分!AF184)</f>
        <v/>
      </c>
      <c r="AG184">
        <f>IF(OR(計分!AG184="",計分!$AP184=""),"",計分!$AP184-計分!AG184)</f>
        <v/>
      </c>
      <c r="AH184">
        <f>IF(OR(計分!AH184="",計分!$AP184=""),"",計分!$AP184-計分!AH184)</f>
        <v/>
      </c>
      <c r="AI184">
        <f>IF(OR(計分!AI184="",計分!$AP184=""),"",計分!$AP184-計分!AI184)</f>
        <v/>
      </c>
      <c r="AJ184">
        <f>IF(OR(計分!AJ184="",計分!$AP184=""),"",計分!$AP184-計分!AJ184)</f>
        <v/>
      </c>
      <c r="AK184">
        <f>IF(OR(計分!AK184="",計分!$AP184=""),"",計分!$AP184-計分!AK184)</f>
        <v/>
      </c>
      <c r="AL184">
        <f>IF(OR(計分!AL184="",計分!$AP184=""),"",計分!$AP184-計分!AL184)</f>
        <v/>
      </c>
      <c r="AM184">
        <f>IF(OR(計分!AM184="",計分!$AP184=""),"",計分!$AP184-計分!AM184)</f>
        <v/>
      </c>
      <c r="AN184">
        <f>IF(OR(計分!AN184="",計分!$AP184=""),"",計分!$AP184-計分!AN184)</f>
        <v/>
      </c>
      <c r="AO184">
        <f>IF(OR(計分!AO184="",計分!$AP184=""),"",計分!$AP184-計分!AO184)</f>
        <v/>
      </c>
    </row>
    <row r="185">
      <c r="A185">
        <f>計分!A185</f>
        <v/>
      </c>
      <c r="B185">
        <f>IF(OR(計分!B185="",計分!$AP185=""),"",計分!$AP185-計分!B185)</f>
        <v/>
      </c>
      <c r="C185">
        <f>IF(OR(計分!C185="",計分!$AP185=""),"",計分!$AP185-計分!C185)</f>
        <v/>
      </c>
      <c r="D185">
        <f>IF(OR(計分!D185="",計分!$AP185=""),"",計分!$AP185-計分!D185)</f>
        <v/>
      </c>
      <c r="E185">
        <f>IF(OR(計分!E185="",計分!$AP185=""),"",計分!$AP185-計分!E185)</f>
        <v/>
      </c>
      <c r="F185">
        <f>IF(OR(計分!F185="",計分!$AP185=""),"",計分!$AP185-計分!F185)</f>
        <v/>
      </c>
      <c r="G185">
        <f>IF(OR(計分!G185="",計分!$AP185=""),"",計分!$AP185-計分!G185)</f>
        <v/>
      </c>
      <c r="H185">
        <f>IF(OR(計分!H185="",計分!$AP185=""),"",計分!$AP185-計分!H185)</f>
        <v/>
      </c>
      <c r="I185">
        <f>IF(OR(計分!I185="",計分!$AP185=""),"",計分!$AP185-計分!I185)</f>
        <v/>
      </c>
      <c r="J185">
        <f>IF(OR(計分!J185="",計分!$AP185=""),"",計分!$AP185-計分!J185)</f>
        <v/>
      </c>
      <c r="K185">
        <f>IF(OR(計分!K185="",計分!$AP185=""),"",計分!$AP185-計分!K185)</f>
        <v/>
      </c>
      <c r="L185">
        <f>IF(OR(計分!L185="",計分!$AP185=""),"",計分!$AP185-計分!L185)</f>
        <v/>
      </c>
      <c r="M185">
        <f>IF(OR(計分!M185="",計分!$AP185=""),"",計分!$AP185-計分!M185)</f>
        <v/>
      </c>
      <c r="N185">
        <f>IF(OR(計分!N185="",計分!$AP185=""),"",計分!$AP185-計分!N185)</f>
        <v/>
      </c>
      <c r="O185">
        <f>IF(OR(計分!O185="",計分!$AP185=""),"",計分!$AP185-計分!O185)</f>
        <v/>
      </c>
      <c r="P185">
        <f>IF(OR(計分!P185="",計分!$AP185=""),"",計分!$AP185-計分!P185)</f>
        <v/>
      </c>
      <c r="Q185">
        <f>IF(OR(計分!Q185="",計分!$AP185=""),"",計分!$AP185-計分!Q185)</f>
        <v/>
      </c>
      <c r="R185">
        <f>IF(OR(計分!R185="",計分!$AP185=""),"",計分!$AP185-計分!R185)</f>
        <v/>
      </c>
      <c r="S185">
        <f>IF(OR(計分!S185="",計分!$AP185=""),"",計分!$AP185-計分!S185)</f>
        <v/>
      </c>
      <c r="T185">
        <f>IF(OR(計分!T185="",計分!$AP185=""),"",計分!$AP185-計分!T185)</f>
        <v/>
      </c>
      <c r="U185">
        <f>IF(OR(計分!U185="",計分!$AP185=""),"",計分!$AP185-計分!U185)</f>
        <v/>
      </c>
      <c r="V185">
        <f>IF(OR(計分!V185="",計分!$AP185=""),"",計分!$AP185-計分!V185)</f>
        <v/>
      </c>
      <c r="W185">
        <f>IF(OR(計分!W185="",計分!$AP185=""),"",計分!$AP185-計分!W185)</f>
        <v/>
      </c>
      <c r="X185">
        <f>IF(OR(計分!X185="",計分!$AP185=""),"",計分!$AP185-計分!X185)</f>
        <v/>
      </c>
      <c r="Y185">
        <f>IF(OR(計分!Y185="",計分!$AP185=""),"",計分!$AP185-計分!Y185)</f>
        <v/>
      </c>
      <c r="Z185">
        <f>IF(OR(計分!Z185="",計分!$AP185=""),"",計分!$AP185-計分!Z185)</f>
        <v/>
      </c>
      <c r="AA185">
        <f>IF(OR(計分!AA185="",計分!$AP185=""),"",計分!$AP185-計分!AA185)</f>
        <v/>
      </c>
      <c r="AB185">
        <f>IF(OR(計分!AB185="",計分!$AP185=""),"",計分!$AP185-計分!AB185)</f>
        <v/>
      </c>
      <c r="AC185">
        <f>IF(OR(計分!AC185="",計分!$AP185=""),"",計分!$AP185-計分!AC185)</f>
        <v/>
      </c>
      <c r="AD185">
        <f>IF(OR(計分!AD185="",計分!$AP185=""),"",計分!$AP185-計分!AD185)</f>
        <v/>
      </c>
      <c r="AE185">
        <f>IF(OR(計分!AE185="",計分!$AP185=""),"",計分!$AP185-計分!AE185)</f>
        <v/>
      </c>
      <c r="AF185">
        <f>IF(OR(計分!AF185="",計分!$AP185=""),"",計分!$AP185-計分!AF185)</f>
        <v/>
      </c>
      <c r="AG185">
        <f>IF(OR(計分!AG185="",計分!$AP185=""),"",計分!$AP185-計分!AG185)</f>
        <v/>
      </c>
      <c r="AH185">
        <f>IF(OR(計分!AH185="",計分!$AP185=""),"",計分!$AP185-計分!AH185)</f>
        <v/>
      </c>
      <c r="AI185">
        <f>IF(OR(計分!AI185="",計分!$AP185=""),"",計分!$AP185-計分!AI185)</f>
        <v/>
      </c>
      <c r="AJ185">
        <f>IF(OR(計分!AJ185="",計分!$AP185=""),"",計分!$AP185-計分!AJ185)</f>
        <v/>
      </c>
      <c r="AK185">
        <f>IF(OR(計分!AK185="",計分!$AP185=""),"",計分!$AP185-計分!AK185)</f>
        <v/>
      </c>
      <c r="AL185">
        <f>IF(OR(計分!AL185="",計分!$AP185=""),"",計分!$AP185-計分!AL185)</f>
        <v/>
      </c>
      <c r="AM185">
        <f>IF(OR(計分!AM185="",計分!$AP185=""),"",計分!$AP185-計分!AM185)</f>
        <v/>
      </c>
      <c r="AN185">
        <f>IF(OR(計分!AN185="",計分!$AP185=""),"",計分!$AP185-計分!AN185)</f>
        <v/>
      </c>
      <c r="AO185">
        <f>IF(OR(計分!AO185="",計分!$AP185=""),"",計分!$AP185-計分!AO185)</f>
        <v/>
      </c>
    </row>
    <row r="186">
      <c r="A186">
        <f>計分!A186</f>
        <v/>
      </c>
      <c r="B186">
        <f>IF(OR(計分!B186="",計分!$AP186=""),"",計分!$AP186-計分!B186)</f>
        <v/>
      </c>
      <c r="C186">
        <f>IF(OR(計分!C186="",計分!$AP186=""),"",計分!$AP186-計分!C186)</f>
        <v/>
      </c>
      <c r="D186">
        <f>IF(OR(計分!D186="",計分!$AP186=""),"",計分!$AP186-計分!D186)</f>
        <v/>
      </c>
      <c r="E186">
        <f>IF(OR(計分!E186="",計分!$AP186=""),"",計分!$AP186-計分!E186)</f>
        <v/>
      </c>
      <c r="F186">
        <f>IF(OR(計分!F186="",計分!$AP186=""),"",計分!$AP186-計分!F186)</f>
        <v/>
      </c>
      <c r="G186">
        <f>IF(OR(計分!G186="",計分!$AP186=""),"",計分!$AP186-計分!G186)</f>
        <v/>
      </c>
      <c r="H186">
        <f>IF(OR(計分!H186="",計分!$AP186=""),"",計分!$AP186-計分!H186)</f>
        <v/>
      </c>
      <c r="I186">
        <f>IF(OR(計分!I186="",計分!$AP186=""),"",計分!$AP186-計分!I186)</f>
        <v/>
      </c>
      <c r="J186">
        <f>IF(OR(計分!J186="",計分!$AP186=""),"",計分!$AP186-計分!J186)</f>
        <v/>
      </c>
      <c r="K186">
        <f>IF(OR(計分!K186="",計分!$AP186=""),"",計分!$AP186-計分!K186)</f>
        <v/>
      </c>
      <c r="L186">
        <f>IF(OR(計分!L186="",計分!$AP186=""),"",計分!$AP186-計分!L186)</f>
        <v/>
      </c>
      <c r="M186">
        <f>IF(OR(計分!M186="",計分!$AP186=""),"",計分!$AP186-計分!M186)</f>
        <v/>
      </c>
      <c r="N186">
        <f>IF(OR(計分!N186="",計分!$AP186=""),"",計分!$AP186-計分!N186)</f>
        <v/>
      </c>
      <c r="O186">
        <f>IF(OR(計分!O186="",計分!$AP186=""),"",計分!$AP186-計分!O186)</f>
        <v/>
      </c>
      <c r="P186">
        <f>IF(OR(計分!P186="",計分!$AP186=""),"",計分!$AP186-計分!P186)</f>
        <v/>
      </c>
      <c r="Q186">
        <f>IF(OR(計分!Q186="",計分!$AP186=""),"",計分!$AP186-計分!Q186)</f>
        <v/>
      </c>
      <c r="R186">
        <f>IF(OR(計分!R186="",計分!$AP186=""),"",計分!$AP186-計分!R186)</f>
        <v/>
      </c>
      <c r="S186">
        <f>IF(OR(計分!S186="",計分!$AP186=""),"",計分!$AP186-計分!S186)</f>
        <v/>
      </c>
      <c r="T186">
        <f>IF(OR(計分!T186="",計分!$AP186=""),"",計分!$AP186-計分!T186)</f>
        <v/>
      </c>
      <c r="U186">
        <f>IF(OR(計分!U186="",計分!$AP186=""),"",計分!$AP186-計分!U186)</f>
        <v/>
      </c>
      <c r="V186">
        <f>IF(OR(計分!V186="",計分!$AP186=""),"",計分!$AP186-計分!V186)</f>
        <v/>
      </c>
      <c r="W186">
        <f>IF(OR(計分!W186="",計分!$AP186=""),"",計分!$AP186-計分!W186)</f>
        <v/>
      </c>
      <c r="X186">
        <f>IF(OR(計分!X186="",計分!$AP186=""),"",計分!$AP186-計分!X186)</f>
        <v/>
      </c>
      <c r="Y186">
        <f>IF(OR(計分!Y186="",計分!$AP186=""),"",計分!$AP186-計分!Y186)</f>
        <v/>
      </c>
      <c r="Z186">
        <f>IF(OR(計分!Z186="",計分!$AP186=""),"",計分!$AP186-計分!Z186)</f>
        <v/>
      </c>
      <c r="AA186">
        <f>IF(OR(計分!AA186="",計分!$AP186=""),"",計分!$AP186-計分!AA186)</f>
        <v/>
      </c>
      <c r="AB186">
        <f>IF(OR(計分!AB186="",計分!$AP186=""),"",計分!$AP186-計分!AB186)</f>
        <v/>
      </c>
      <c r="AC186">
        <f>IF(OR(計分!AC186="",計分!$AP186=""),"",計分!$AP186-計分!AC186)</f>
        <v/>
      </c>
      <c r="AD186">
        <f>IF(OR(計分!AD186="",計分!$AP186=""),"",計分!$AP186-計分!AD186)</f>
        <v/>
      </c>
      <c r="AE186">
        <f>IF(OR(計分!AE186="",計分!$AP186=""),"",計分!$AP186-計分!AE186)</f>
        <v/>
      </c>
      <c r="AF186">
        <f>IF(OR(計分!AF186="",計分!$AP186=""),"",計分!$AP186-計分!AF186)</f>
        <v/>
      </c>
      <c r="AG186">
        <f>IF(OR(計分!AG186="",計分!$AP186=""),"",計分!$AP186-計分!AG186)</f>
        <v/>
      </c>
      <c r="AH186">
        <f>IF(OR(計分!AH186="",計分!$AP186=""),"",計分!$AP186-計分!AH186)</f>
        <v/>
      </c>
      <c r="AI186">
        <f>IF(OR(計分!AI186="",計分!$AP186=""),"",計分!$AP186-計分!AI186)</f>
        <v/>
      </c>
      <c r="AJ186">
        <f>IF(OR(計分!AJ186="",計分!$AP186=""),"",計分!$AP186-計分!AJ186)</f>
        <v/>
      </c>
      <c r="AK186">
        <f>IF(OR(計分!AK186="",計分!$AP186=""),"",計分!$AP186-計分!AK186)</f>
        <v/>
      </c>
      <c r="AL186">
        <f>IF(OR(計分!AL186="",計分!$AP186=""),"",計分!$AP186-計分!AL186)</f>
        <v/>
      </c>
      <c r="AM186">
        <f>IF(OR(計分!AM186="",計分!$AP186=""),"",計分!$AP186-計分!AM186)</f>
        <v/>
      </c>
      <c r="AN186">
        <f>IF(OR(計分!AN186="",計分!$AP186=""),"",計分!$AP186-計分!AN186)</f>
        <v/>
      </c>
      <c r="AO186">
        <f>IF(OR(計分!AO186="",計分!$AP186=""),"",計分!$AP186-計分!AO186)</f>
        <v/>
      </c>
    </row>
    <row r="187">
      <c r="A187">
        <f>計分!A187</f>
        <v/>
      </c>
      <c r="B187">
        <f>IF(OR(計分!B187="",計分!$AP187=""),"",計分!$AP187-計分!B187)</f>
        <v/>
      </c>
      <c r="C187">
        <f>IF(OR(計分!C187="",計分!$AP187=""),"",計分!$AP187-計分!C187)</f>
        <v/>
      </c>
      <c r="D187">
        <f>IF(OR(計分!D187="",計分!$AP187=""),"",計分!$AP187-計分!D187)</f>
        <v/>
      </c>
      <c r="E187">
        <f>IF(OR(計分!E187="",計分!$AP187=""),"",計分!$AP187-計分!E187)</f>
        <v/>
      </c>
      <c r="F187">
        <f>IF(OR(計分!F187="",計分!$AP187=""),"",計分!$AP187-計分!F187)</f>
        <v/>
      </c>
      <c r="G187">
        <f>IF(OR(計分!G187="",計分!$AP187=""),"",計分!$AP187-計分!G187)</f>
        <v/>
      </c>
      <c r="H187">
        <f>IF(OR(計分!H187="",計分!$AP187=""),"",計分!$AP187-計分!H187)</f>
        <v/>
      </c>
      <c r="I187">
        <f>IF(OR(計分!I187="",計分!$AP187=""),"",計分!$AP187-計分!I187)</f>
        <v/>
      </c>
      <c r="J187">
        <f>IF(OR(計分!J187="",計分!$AP187=""),"",計分!$AP187-計分!J187)</f>
        <v/>
      </c>
      <c r="K187">
        <f>IF(OR(計分!K187="",計分!$AP187=""),"",計分!$AP187-計分!K187)</f>
        <v/>
      </c>
      <c r="L187">
        <f>IF(OR(計分!L187="",計分!$AP187=""),"",計分!$AP187-計分!L187)</f>
        <v/>
      </c>
      <c r="M187">
        <f>IF(OR(計分!M187="",計分!$AP187=""),"",計分!$AP187-計分!M187)</f>
        <v/>
      </c>
      <c r="N187">
        <f>IF(OR(計分!N187="",計分!$AP187=""),"",計分!$AP187-計分!N187)</f>
        <v/>
      </c>
      <c r="O187">
        <f>IF(OR(計分!O187="",計分!$AP187=""),"",計分!$AP187-計分!O187)</f>
        <v/>
      </c>
      <c r="P187">
        <f>IF(OR(計分!P187="",計分!$AP187=""),"",計分!$AP187-計分!P187)</f>
        <v/>
      </c>
      <c r="Q187">
        <f>IF(OR(計分!Q187="",計分!$AP187=""),"",計分!$AP187-計分!Q187)</f>
        <v/>
      </c>
      <c r="R187">
        <f>IF(OR(計分!R187="",計分!$AP187=""),"",計分!$AP187-計分!R187)</f>
        <v/>
      </c>
      <c r="S187">
        <f>IF(OR(計分!S187="",計分!$AP187=""),"",計分!$AP187-計分!S187)</f>
        <v/>
      </c>
      <c r="T187">
        <f>IF(OR(計分!T187="",計分!$AP187=""),"",計分!$AP187-計分!T187)</f>
        <v/>
      </c>
      <c r="U187">
        <f>IF(OR(計分!U187="",計分!$AP187=""),"",計分!$AP187-計分!U187)</f>
        <v/>
      </c>
      <c r="V187">
        <f>IF(OR(計分!V187="",計分!$AP187=""),"",計分!$AP187-計分!V187)</f>
        <v/>
      </c>
      <c r="W187">
        <f>IF(OR(計分!W187="",計分!$AP187=""),"",計分!$AP187-計分!W187)</f>
        <v/>
      </c>
      <c r="X187">
        <f>IF(OR(計分!X187="",計分!$AP187=""),"",計分!$AP187-計分!X187)</f>
        <v/>
      </c>
      <c r="Y187">
        <f>IF(OR(計分!Y187="",計分!$AP187=""),"",計分!$AP187-計分!Y187)</f>
        <v/>
      </c>
      <c r="Z187">
        <f>IF(OR(計分!Z187="",計分!$AP187=""),"",計分!$AP187-計分!Z187)</f>
        <v/>
      </c>
      <c r="AA187">
        <f>IF(OR(計分!AA187="",計分!$AP187=""),"",計分!$AP187-計分!AA187)</f>
        <v/>
      </c>
      <c r="AB187">
        <f>IF(OR(計分!AB187="",計分!$AP187=""),"",計分!$AP187-計分!AB187)</f>
        <v/>
      </c>
      <c r="AC187">
        <f>IF(OR(計分!AC187="",計分!$AP187=""),"",計分!$AP187-計分!AC187)</f>
        <v/>
      </c>
      <c r="AD187">
        <f>IF(OR(計分!AD187="",計分!$AP187=""),"",計分!$AP187-計分!AD187)</f>
        <v/>
      </c>
      <c r="AE187">
        <f>IF(OR(計分!AE187="",計分!$AP187=""),"",計分!$AP187-計分!AE187)</f>
        <v/>
      </c>
      <c r="AF187">
        <f>IF(OR(計分!AF187="",計分!$AP187=""),"",計分!$AP187-計分!AF187)</f>
        <v/>
      </c>
      <c r="AG187">
        <f>IF(OR(計分!AG187="",計分!$AP187=""),"",計分!$AP187-計分!AG187)</f>
        <v/>
      </c>
      <c r="AH187">
        <f>IF(OR(計分!AH187="",計分!$AP187=""),"",計分!$AP187-計分!AH187)</f>
        <v/>
      </c>
      <c r="AI187">
        <f>IF(OR(計分!AI187="",計分!$AP187=""),"",計分!$AP187-計分!AI187)</f>
        <v/>
      </c>
      <c r="AJ187">
        <f>IF(OR(計分!AJ187="",計分!$AP187=""),"",計分!$AP187-計分!AJ187)</f>
        <v/>
      </c>
      <c r="AK187">
        <f>IF(OR(計分!AK187="",計分!$AP187=""),"",計分!$AP187-計分!AK187)</f>
        <v/>
      </c>
      <c r="AL187">
        <f>IF(OR(計分!AL187="",計分!$AP187=""),"",計分!$AP187-計分!AL187)</f>
        <v/>
      </c>
      <c r="AM187">
        <f>IF(OR(計分!AM187="",計分!$AP187=""),"",計分!$AP187-計分!AM187)</f>
        <v/>
      </c>
      <c r="AN187">
        <f>IF(OR(計分!AN187="",計分!$AP187=""),"",計分!$AP187-計分!AN187)</f>
        <v/>
      </c>
      <c r="AO187">
        <f>IF(OR(計分!AO187="",計分!$AP187=""),"",計分!$AP187-計分!AO187)</f>
        <v/>
      </c>
    </row>
    <row r="188">
      <c r="A188">
        <f>計分!A188</f>
        <v/>
      </c>
      <c r="B188">
        <f>IF(OR(計分!B188="",計分!$AP188=""),"",計分!$AP188-計分!B188)</f>
        <v/>
      </c>
      <c r="C188">
        <f>IF(OR(計分!C188="",計分!$AP188=""),"",計分!$AP188-計分!C188)</f>
        <v/>
      </c>
      <c r="D188">
        <f>IF(OR(計分!D188="",計分!$AP188=""),"",計分!$AP188-計分!D188)</f>
        <v/>
      </c>
      <c r="E188">
        <f>IF(OR(計分!E188="",計分!$AP188=""),"",計分!$AP188-計分!E188)</f>
        <v/>
      </c>
      <c r="F188">
        <f>IF(OR(計分!F188="",計分!$AP188=""),"",計分!$AP188-計分!F188)</f>
        <v/>
      </c>
      <c r="G188">
        <f>IF(OR(計分!G188="",計分!$AP188=""),"",計分!$AP188-計分!G188)</f>
        <v/>
      </c>
      <c r="H188">
        <f>IF(OR(計分!H188="",計分!$AP188=""),"",計分!$AP188-計分!H188)</f>
        <v/>
      </c>
      <c r="I188">
        <f>IF(OR(計分!I188="",計分!$AP188=""),"",計分!$AP188-計分!I188)</f>
        <v/>
      </c>
      <c r="J188">
        <f>IF(OR(計分!J188="",計分!$AP188=""),"",計分!$AP188-計分!J188)</f>
        <v/>
      </c>
      <c r="K188">
        <f>IF(OR(計分!K188="",計分!$AP188=""),"",計分!$AP188-計分!K188)</f>
        <v/>
      </c>
      <c r="L188">
        <f>IF(OR(計分!L188="",計分!$AP188=""),"",計分!$AP188-計分!L188)</f>
        <v/>
      </c>
      <c r="M188">
        <f>IF(OR(計分!M188="",計分!$AP188=""),"",計分!$AP188-計分!M188)</f>
        <v/>
      </c>
      <c r="N188">
        <f>IF(OR(計分!N188="",計分!$AP188=""),"",計分!$AP188-計分!N188)</f>
        <v/>
      </c>
      <c r="O188">
        <f>IF(OR(計分!O188="",計分!$AP188=""),"",計分!$AP188-計分!O188)</f>
        <v/>
      </c>
      <c r="P188">
        <f>IF(OR(計分!P188="",計分!$AP188=""),"",計分!$AP188-計分!P188)</f>
        <v/>
      </c>
      <c r="Q188">
        <f>IF(OR(計分!Q188="",計分!$AP188=""),"",計分!$AP188-計分!Q188)</f>
        <v/>
      </c>
      <c r="R188">
        <f>IF(OR(計分!R188="",計分!$AP188=""),"",計分!$AP188-計分!R188)</f>
        <v/>
      </c>
      <c r="S188">
        <f>IF(OR(計分!S188="",計分!$AP188=""),"",計分!$AP188-計分!S188)</f>
        <v/>
      </c>
      <c r="T188">
        <f>IF(OR(計分!T188="",計分!$AP188=""),"",計分!$AP188-計分!T188)</f>
        <v/>
      </c>
      <c r="U188">
        <f>IF(OR(計分!U188="",計分!$AP188=""),"",計分!$AP188-計分!U188)</f>
        <v/>
      </c>
      <c r="V188">
        <f>IF(OR(計分!V188="",計分!$AP188=""),"",計分!$AP188-計分!V188)</f>
        <v/>
      </c>
      <c r="W188">
        <f>IF(OR(計分!W188="",計分!$AP188=""),"",計分!$AP188-計分!W188)</f>
        <v/>
      </c>
      <c r="X188">
        <f>IF(OR(計分!X188="",計分!$AP188=""),"",計分!$AP188-計分!X188)</f>
        <v/>
      </c>
      <c r="Y188">
        <f>IF(OR(計分!Y188="",計分!$AP188=""),"",計分!$AP188-計分!Y188)</f>
        <v/>
      </c>
      <c r="Z188">
        <f>IF(OR(計分!Z188="",計分!$AP188=""),"",計分!$AP188-計分!Z188)</f>
        <v/>
      </c>
      <c r="AA188">
        <f>IF(OR(計分!AA188="",計分!$AP188=""),"",計分!$AP188-計分!AA188)</f>
        <v/>
      </c>
      <c r="AB188">
        <f>IF(OR(計分!AB188="",計分!$AP188=""),"",計分!$AP188-計分!AB188)</f>
        <v/>
      </c>
      <c r="AC188">
        <f>IF(OR(計分!AC188="",計分!$AP188=""),"",計分!$AP188-計分!AC188)</f>
        <v/>
      </c>
      <c r="AD188">
        <f>IF(OR(計分!AD188="",計分!$AP188=""),"",計分!$AP188-計分!AD188)</f>
        <v/>
      </c>
      <c r="AE188">
        <f>IF(OR(計分!AE188="",計分!$AP188=""),"",計分!$AP188-計分!AE188)</f>
        <v/>
      </c>
      <c r="AF188">
        <f>IF(OR(計分!AF188="",計分!$AP188=""),"",計分!$AP188-計分!AF188)</f>
        <v/>
      </c>
      <c r="AG188">
        <f>IF(OR(計分!AG188="",計分!$AP188=""),"",計分!$AP188-計分!AG188)</f>
        <v/>
      </c>
      <c r="AH188">
        <f>IF(OR(計分!AH188="",計分!$AP188=""),"",計分!$AP188-計分!AH188)</f>
        <v/>
      </c>
      <c r="AI188">
        <f>IF(OR(計分!AI188="",計分!$AP188=""),"",計分!$AP188-計分!AI188)</f>
        <v/>
      </c>
      <c r="AJ188">
        <f>IF(OR(計分!AJ188="",計分!$AP188=""),"",計分!$AP188-計分!AJ188)</f>
        <v/>
      </c>
      <c r="AK188">
        <f>IF(OR(計分!AK188="",計分!$AP188=""),"",計分!$AP188-計分!AK188)</f>
        <v/>
      </c>
      <c r="AL188">
        <f>IF(OR(計分!AL188="",計分!$AP188=""),"",計分!$AP188-計分!AL188)</f>
        <v/>
      </c>
      <c r="AM188">
        <f>IF(OR(計分!AM188="",計分!$AP188=""),"",計分!$AP188-計分!AM188)</f>
        <v/>
      </c>
      <c r="AN188">
        <f>IF(OR(計分!AN188="",計分!$AP188=""),"",計分!$AP188-計分!AN188)</f>
        <v/>
      </c>
      <c r="AO188">
        <f>IF(OR(計分!AO188="",計分!$AP188=""),"",計分!$AP188-計分!AO188)</f>
        <v/>
      </c>
    </row>
    <row r="189">
      <c r="A189">
        <f>計分!A189</f>
        <v/>
      </c>
      <c r="B189">
        <f>IF(OR(計分!B189="",計分!$AP189=""),"",計分!$AP189-計分!B189)</f>
        <v/>
      </c>
      <c r="C189">
        <f>IF(OR(計分!C189="",計分!$AP189=""),"",計分!$AP189-計分!C189)</f>
        <v/>
      </c>
      <c r="D189">
        <f>IF(OR(計分!D189="",計分!$AP189=""),"",計分!$AP189-計分!D189)</f>
        <v/>
      </c>
      <c r="E189">
        <f>IF(OR(計分!E189="",計分!$AP189=""),"",計分!$AP189-計分!E189)</f>
        <v/>
      </c>
      <c r="F189">
        <f>IF(OR(計分!F189="",計分!$AP189=""),"",計分!$AP189-計分!F189)</f>
        <v/>
      </c>
      <c r="G189">
        <f>IF(OR(計分!G189="",計分!$AP189=""),"",計分!$AP189-計分!G189)</f>
        <v/>
      </c>
      <c r="H189">
        <f>IF(OR(計分!H189="",計分!$AP189=""),"",計分!$AP189-計分!H189)</f>
        <v/>
      </c>
      <c r="I189">
        <f>IF(OR(計分!I189="",計分!$AP189=""),"",計分!$AP189-計分!I189)</f>
        <v/>
      </c>
      <c r="J189">
        <f>IF(OR(計分!J189="",計分!$AP189=""),"",計分!$AP189-計分!J189)</f>
        <v/>
      </c>
      <c r="K189">
        <f>IF(OR(計分!K189="",計分!$AP189=""),"",計分!$AP189-計分!K189)</f>
        <v/>
      </c>
      <c r="L189">
        <f>IF(OR(計分!L189="",計分!$AP189=""),"",計分!$AP189-計分!L189)</f>
        <v/>
      </c>
      <c r="M189">
        <f>IF(OR(計分!M189="",計分!$AP189=""),"",計分!$AP189-計分!M189)</f>
        <v/>
      </c>
      <c r="N189">
        <f>IF(OR(計分!N189="",計分!$AP189=""),"",計分!$AP189-計分!N189)</f>
        <v/>
      </c>
      <c r="O189">
        <f>IF(OR(計分!O189="",計分!$AP189=""),"",計分!$AP189-計分!O189)</f>
        <v/>
      </c>
      <c r="P189">
        <f>IF(OR(計分!P189="",計分!$AP189=""),"",計分!$AP189-計分!P189)</f>
        <v/>
      </c>
      <c r="Q189">
        <f>IF(OR(計分!Q189="",計分!$AP189=""),"",計分!$AP189-計分!Q189)</f>
        <v/>
      </c>
      <c r="R189">
        <f>IF(OR(計分!R189="",計分!$AP189=""),"",計分!$AP189-計分!R189)</f>
        <v/>
      </c>
      <c r="S189">
        <f>IF(OR(計分!S189="",計分!$AP189=""),"",計分!$AP189-計分!S189)</f>
        <v/>
      </c>
      <c r="T189">
        <f>IF(OR(計分!T189="",計分!$AP189=""),"",計分!$AP189-計分!T189)</f>
        <v/>
      </c>
      <c r="U189">
        <f>IF(OR(計分!U189="",計分!$AP189=""),"",計分!$AP189-計分!U189)</f>
        <v/>
      </c>
      <c r="V189">
        <f>IF(OR(計分!V189="",計分!$AP189=""),"",計分!$AP189-計分!V189)</f>
        <v/>
      </c>
      <c r="W189">
        <f>IF(OR(計分!W189="",計分!$AP189=""),"",計分!$AP189-計分!W189)</f>
        <v/>
      </c>
      <c r="X189">
        <f>IF(OR(計分!X189="",計分!$AP189=""),"",計分!$AP189-計分!X189)</f>
        <v/>
      </c>
      <c r="Y189">
        <f>IF(OR(計分!Y189="",計分!$AP189=""),"",計分!$AP189-計分!Y189)</f>
        <v/>
      </c>
      <c r="Z189">
        <f>IF(OR(計分!Z189="",計分!$AP189=""),"",計分!$AP189-計分!Z189)</f>
        <v/>
      </c>
      <c r="AA189">
        <f>IF(OR(計分!AA189="",計分!$AP189=""),"",計分!$AP189-計分!AA189)</f>
        <v/>
      </c>
      <c r="AB189">
        <f>IF(OR(計分!AB189="",計分!$AP189=""),"",計分!$AP189-計分!AB189)</f>
        <v/>
      </c>
      <c r="AC189">
        <f>IF(OR(計分!AC189="",計分!$AP189=""),"",計分!$AP189-計分!AC189)</f>
        <v/>
      </c>
      <c r="AD189">
        <f>IF(OR(計分!AD189="",計分!$AP189=""),"",計分!$AP189-計分!AD189)</f>
        <v/>
      </c>
      <c r="AE189">
        <f>IF(OR(計分!AE189="",計分!$AP189=""),"",計分!$AP189-計分!AE189)</f>
        <v/>
      </c>
      <c r="AF189">
        <f>IF(OR(計分!AF189="",計分!$AP189=""),"",計分!$AP189-計分!AF189)</f>
        <v/>
      </c>
      <c r="AG189">
        <f>IF(OR(計分!AG189="",計分!$AP189=""),"",計分!$AP189-計分!AG189)</f>
        <v/>
      </c>
      <c r="AH189">
        <f>IF(OR(計分!AH189="",計分!$AP189=""),"",計分!$AP189-計分!AH189)</f>
        <v/>
      </c>
      <c r="AI189">
        <f>IF(OR(計分!AI189="",計分!$AP189=""),"",計分!$AP189-計分!AI189)</f>
        <v/>
      </c>
      <c r="AJ189">
        <f>IF(OR(計分!AJ189="",計分!$AP189=""),"",計分!$AP189-計分!AJ189)</f>
        <v/>
      </c>
      <c r="AK189">
        <f>IF(OR(計分!AK189="",計分!$AP189=""),"",計分!$AP189-計分!AK189)</f>
        <v/>
      </c>
      <c r="AL189">
        <f>IF(OR(計分!AL189="",計分!$AP189=""),"",計分!$AP189-計分!AL189)</f>
        <v/>
      </c>
      <c r="AM189">
        <f>IF(OR(計分!AM189="",計分!$AP189=""),"",計分!$AP189-計分!AM189)</f>
        <v/>
      </c>
      <c r="AN189">
        <f>IF(OR(計分!AN189="",計分!$AP189=""),"",計分!$AP189-計分!AN189)</f>
        <v/>
      </c>
      <c r="AO189">
        <f>IF(OR(計分!AO189="",計分!$AP189=""),"",計分!$AP189-計分!AO189)</f>
        <v/>
      </c>
    </row>
    <row r="190">
      <c r="A190">
        <f>計分!A190</f>
        <v/>
      </c>
      <c r="B190">
        <f>IF(OR(計分!B190="",計分!$AP190=""),"",計分!$AP190-計分!B190)</f>
        <v/>
      </c>
      <c r="C190">
        <f>IF(OR(計分!C190="",計分!$AP190=""),"",計分!$AP190-計分!C190)</f>
        <v/>
      </c>
      <c r="D190">
        <f>IF(OR(計分!D190="",計分!$AP190=""),"",計分!$AP190-計分!D190)</f>
        <v/>
      </c>
      <c r="E190">
        <f>IF(OR(計分!E190="",計分!$AP190=""),"",計分!$AP190-計分!E190)</f>
        <v/>
      </c>
      <c r="F190">
        <f>IF(OR(計分!F190="",計分!$AP190=""),"",計分!$AP190-計分!F190)</f>
        <v/>
      </c>
      <c r="G190">
        <f>IF(OR(計分!G190="",計分!$AP190=""),"",計分!$AP190-計分!G190)</f>
        <v/>
      </c>
      <c r="H190">
        <f>IF(OR(計分!H190="",計分!$AP190=""),"",計分!$AP190-計分!H190)</f>
        <v/>
      </c>
      <c r="I190">
        <f>IF(OR(計分!I190="",計分!$AP190=""),"",計分!$AP190-計分!I190)</f>
        <v/>
      </c>
      <c r="J190">
        <f>IF(OR(計分!J190="",計分!$AP190=""),"",計分!$AP190-計分!J190)</f>
        <v/>
      </c>
      <c r="K190">
        <f>IF(OR(計分!K190="",計分!$AP190=""),"",計分!$AP190-計分!K190)</f>
        <v/>
      </c>
      <c r="L190">
        <f>IF(OR(計分!L190="",計分!$AP190=""),"",計分!$AP190-計分!L190)</f>
        <v/>
      </c>
      <c r="M190">
        <f>IF(OR(計分!M190="",計分!$AP190=""),"",計分!$AP190-計分!M190)</f>
        <v/>
      </c>
      <c r="N190">
        <f>IF(OR(計分!N190="",計分!$AP190=""),"",計分!$AP190-計分!N190)</f>
        <v/>
      </c>
      <c r="O190">
        <f>IF(OR(計分!O190="",計分!$AP190=""),"",計分!$AP190-計分!O190)</f>
        <v/>
      </c>
      <c r="P190">
        <f>IF(OR(計分!P190="",計分!$AP190=""),"",計分!$AP190-計分!P190)</f>
        <v/>
      </c>
      <c r="Q190">
        <f>IF(OR(計分!Q190="",計分!$AP190=""),"",計分!$AP190-計分!Q190)</f>
        <v/>
      </c>
      <c r="R190">
        <f>IF(OR(計分!R190="",計分!$AP190=""),"",計分!$AP190-計分!R190)</f>
        <v/>
      </c>
      <c r="S190">
        <f>IF(OR(計分!S190="",計分!$AP190=""),"",計分!$AP190-計分!S190)</f>
        <v/>
      </c>
      <c r="T190">
        <f>IF(OR(計分!T190="",計分!$AP190=""),"",計分!$AP190-計分!T190)</f>
        <v/>
      </c>
      <c r="U190">
        <f>IF(OR(計分!U190="",計分!$AP190=""),"",計分!$AP190-計分!U190)</f>
        <v/>
      </c>
      <c r="V190">
        <f>IF(OR(計分!V190="",計分!$AP190=""),"",計分!$AP190-計分!V190)</f>
        <v/>
      </c>
      <c r="W190">
        <f>IF(OR(計分!W190="",計分!$AP190=""),"",計分!$AP190-計分!W190)</f>
        <v/>
      </c>
      <c r="X190">
        <f>IF(OR(計分!X190="",計分!$AP190=""),"",計分!$AP190-計分!X190)</f>
        <v/>
      </c>
      <c r="Y190">
        <f>IF(OR(計分!Y190="",計分!$AP190=""),"",計分!$AP190-計分!Y190)</f>
        <v/>
      </c>
      <c r="Z190">
        <f>IF(OR(計分!Z190="",計分!$AP190=""),"",計分!$AP190-計分!Z190)</f>
        <v/>
      </c>
      <c r="AA190">
        <f>IF(OR(計分!AA190="",計分!$AP190=""),"",計分!$AP190-計分!AA190)</f>
        <v/>
      </c>
      <c r="AB190">
        <f>IF(OR(計分!AB190="",計分!$AP190=""),"",計分!$AP190-計分!AB190)</f>
        <v/>
      </c>
      <c r="AC190">
        <f>IF(OR(計分!AC190="",計分!$AP190=""),"",計分!$AP190-計分!AC190)</f>
        <v/>
      </c>
      <c r="AD190">
        <f>IF(OR(計分!AD190="",計分!$AP190=""),"",計分!$AP190-計分!AD190)</f>
        <v/>
      </c>
      <c r="AE190">
        <f>IF(OR(計分!AE190="",計分!$AP190=""),"",計分!$AP190-計分!AE190)</f>
        <v/>
      </c>
      <c r="AF190">
        <f>IF(OR(計分!AF190="",計分!$AP190=""),"",計分!$AP190-計分!AF190)</f>
        <v/>
      </c>
      <c r="AG190">
        <f>IF(OR(計分!AG190="",計分!$AP190=""),"",計分!$AP190-計分!AG190)</f>
        <v/>
      </c>
      <c r="AH190">
        <f>IF(OR(計分!AH190="",計分!$AP190=""),"",計分!$AP190-計分!AH190)</f>
        <v/>
      </c>
      <c r="AI190">
        <f>IF(OR(計分!AI190="",計分!$AP190=""),"",計分!$AP190-計分!AI190)</f>
        <v/>
      </c>
      <c r="AJ190">
        <f>IF(OR(計分!AJ190="",計分!$AP190=""),"",計分!$AP190-計分!AJ190)</f>
        <v/>
      </c>
      <c r="AK190">
        <f>IF(OR(計分!AK190="",計分!$AP190=""),"",計分!$AP190-計分!AK190)</f>
        <v/>
      </c>
      <c r="AL190">
        <f>IF(OR(計分!AL190="",計分!$AP190=""),"",計分!$AP190-計分!AL190)</f>
        <v/>
      </c>
      <c r="AM190">
        <f>IF(OR(計分!AM190="",計分!$AP190=""),"",計分!$AP190-計分!AM190)</f>
        <v/>
      </c>
      <c r="AN190">
        <f>IF(OR(計分!AN190="",計分!$AP190=""),"",計分!$AP190-計分!AN190)</f>
        <v/>
      </c>
      <c r="AO190">
        <f>IF(OR(計分!AO190="",計分!$AP190=""),"",計分!$AP190-計分!AO190)</f>
        <v/>
      </c>
    </row>
    <row r="191">
      <c r="A191">
        <f>計分!A191</f>
        <v/>
      </c>
      <c r="B191">
        <f>IF(OR(計分!B191="",計分!$AP191=""),"",計分!$AP191-計分!B191)</f>
        <v/>
      </c>
      <c r="C191">
        <f>IF(OR(計分!C191="",計分!$AP191=""),"",計分!$AP191-計分!C191)</f>
        <v/>
      </c>
      <c r="D191">
        <f>IF(OR(計分!D191="",計分!$AP191=""),"",計分!$AP191-計分!D191)</f>
        <v/>
      </c>
      <c r="E191">
        <f>IF(OR(計分!E191="",計分!$AP191=""),"",計分!$AP191-計分!E191)</f>
        <v/>
      </c>
      <c r="F191">
        <f>IF(OR(計分!F191="",計分!$AP191=""),"",計分!$AP191-計分!F191)</f>
        <v/>
      </c>
      <c r="G191">
        <f>IF(OR(計分!G191="",計分!$AP191=""),"",計分!$AP191-計分!G191)</f>
        <v/>
      </c>
      <c r="H191">
        <f>IF(OR(計分!H191="",計分!$AP191=""),"",計分!$AP191-計分!H191)</f>
        <v/>
      </c>
      <c r="I191">
        <f>IF(OR(計分!I191="",計分!$AP191=""),"",計分!$AP191-計分!I191)</f>
        <v/>
      </c>
      <c r="J191">
        <f>IF(OR(計分!J191="",計分!$AP191=""),"",計分!$AP191-計分!J191)</f>
        <v/>
      </c>
      <c r="K191">
        <f>IF(OR(計分!K191="",計分!$AP191=""),"",計分!$AP191-計分!K191)</f>
        <v/>
      </c>
      <c r="L191">
        <f>IF(OR(計分!L191="",計分!$AP191=""),"",計分!$AP191-計分!L191)</f>
        <v/>
      </c>
      <c r="M191">
        <f>IF(OR(計分!M191="",計分!$AP191=""),"",計分!$AP191-計分!M191)</f>
        <v/>
      </c>
      <c r="N191">
        <f>IF(OR(計分!N191="",計分!$AP191=""),"",計分!$AP191-計分!N191)</f>
        <v/>
      </c>
      <c r="O191">
        <f>IF(OR(計分!O191="",計分!$AP191=""),"",計分!$AP191-計分!O191)</f>
        <v/>
      </c>
      <c r="P191">
        <f>IF(OR(計分!P191="",計分!$AP191=""),"",計分!$AP191-計分!P191)</f>
        <v/>
      </c>
      <c r="Q191">
        <f>IF(OR(計分!Q191="",計分!$AP191=""),"",計分!$AP191-計分!Q191)</f>
        <v/>
      </c>
      <c r="R191">
        <f>IF(OR(計分!R191="",計分!$AP191=""),"",計分!$AP191-計分!R191)</f>
        <v/>
      </c>
      <c r="S191">
        <f>IF(OR(計分!S191="",計分!$AP191=""),"",計分!$AP191-計分!S191)</f>
        <v/>
      </c>
      <c r="T191">
        <f>IF(OR(計分!T191="",計分!$AP191=""),"",計分!$AP191-計分!T191)</f>
        <v/>
      </c>
      <c r="U191">
        <f>IF(OR(計分!U191="",計分!$AP191=""),"",計分!$AP191-計分!U191)</f>
        <v/>
      </c>
      <c r="V191">
        <f>IF(OR(計分!V191="",計分!$AP191=""),"",計分!$AP191-計分!V191)</f>
        <v/>
      </c>
      <c r="W191">
        <f>IF(OR(計分!W191="",計分!$AP191=""),"",計分!$AP191-計分!W191)</f>
        <v/>
      </c>
      <c r="X191">
        <f>IF(OR(計分!X191="",計分!$AP191=""),"",計分!$AP191-計分!X191)</f>
        <v/>
      </c>
      <c r="Y191">
        <f>IF(OR(計分!Y191="",計分!$AP191=""),"",計分!$AP191-計分!Y191)</f>
        <v/>
      </c>
      <c r="Z191">
        <f>IF(OR(計分!Z191="",計分!$AP191=""),"",計分!$AP191-計分!Z191)</f>
        <v/>
      </c>
      <c r="AA191">
        <f>IF(OR(計分!AA191="",計分!$AP191=""),"",計分!$AP191-計分!AA191)</f>
        <v/>
      </c>
      <c r="AB191">
        <f>IF(OR(計分!AB191="",計分!$AP191=""),"",計分!$AP191-計分!AB191)</f>
        <v/>
      </c>
      <c r="AC191">
        <f>IF(OR(計分!AC191="",計分!$AP191=""),"",計分!$AP191-計分!AC191)</f>
        <v/>
      </c>
      <c r="AD191">
        <f>IF(OR(計分!AD191="",計分!$AP191=""),"",計分!$AP191-計分!AD191)</f>
        <v/>
      </c>
      <c r="AE191">
        <f>IF(OR(計分!AE191="",計分!$AP191=""),"",計分!$AP191-計分!AE191)</f>
        <v/>
      </c>
      <c r="AF191">
        <f>IF(OR(計分!AF191="",計分!$AP191=""),"",計分!$AP191-計分!AF191)</f>
        <v/>
      </c>
      <c r="AG191">
        <f>IF(OR(計分!AG191="",計分!$AP191=""),"",計分!$AP191-計分!AG191)</f>
        <v/>
      </c>
      <c r="AH191">
        <f>IF(OR(計分!AH191="",計分!$AP191=""),"",計分!$AP191-計分!AH191)</f>
        <v/>
      </c>
      <c r="AI191">
        <f>IF(OR(計分!AI191="",計分!$AP191=""),"",計分!$AP191-計分!AI191)</f>
        <v/>
      </c>
      <c r="AJ191">
        <f>IF(OR(計分!AJ191="",計分!$AP191=""),"",計分!$AP191-計分!AJ191)</f>
        <v/>
      </c>
      <c r="AK191">
        <f>IF(OR(計分!AK191="",計分!$AP191=""),"",計分!$AP191-計分!AK191)</f>
        <v/>
      </c>
      <c r="AL191">
        <f>IF(OR(計分!AL191="",計分!$AP191=""),"",計分!$AP191-計分!AL191)</f>
        <v/>
      </c>
      <c r="AM191">
        <f>IF(OR(計分!AM191="",計分!$AP191=""),"",計分!$AP191-計分!AM191)</f>
        <v/>
      </c>
      <c r="AN191">
        <f>IF(OR(計分!AN191="",計分!$AP191=""),"",計分!$AP191-計分!AN191)</f>
        <v/>
      </c>
      <c r="AO191">
        <f>IF(OR(計分!AO191="",計分!$AP191=""),"",計分!$AP191-計分!AO191)</f>
        <v/>
      </c>
    </row>
    <row r="192">
      <c r="A192">
        <f>計分!A192</f>
        <v/>
      </c>
      <c r="B192">
        <f>IF(OR(計分!B192="",計分!$AP192=""),"",計分!$AP192-計分!B192)</f>
        <v/>
      </c>
      <c r="C192">
        <f>IF(OR(計分!C192="",計分!$AP192=""),"",計分!$AP192-計分!C192)</f>
        <v/>
      </c>
      <c r="D192">
        <f>IF(OR(計分!D192="",計分!$AP192=""),"",計分!$AP192-計分!D192)</f>
        <v/>
      </c>
      <c r="E192">
        <f>IF(OR(計分!E192="",計分!$AP192=""),"",計分!$AP192-計分!E192)</f>
        <v/>
      </c>
      <c r="F192">
        <f>IF(OR(計分!F192="",計分!$AP192=""),"",計分!$AP192-計分!F192)</f>
        <v/>
      </c>
      <c r="G192">
        <f>IF(OR(計分!G192="",計分!$AP192=""),"",計分!$AP192-計分!G192)</f>
        <v/>
      </c>
      <c r="H192">
        <f>IF(OR(計分!H192="",計分!$AP192=""),"",計分!$AP192-計分!H192)</f>
        <v/>
      </c>
      <c r="I192">
        <f>IF(OR(計分!I192="",計分!$AP192=""),"",計分!$AP192-計分!I192)</f>
        <v/>
      </c>
      <c r="J192">
        <f>IF(OR(計分!J192="",計分!$AP192=""),"",計分!$AP192-計分!J192)</f>
        <v/>
      </c>
      <c r="K192">
        <f>IF(OR(計分!K192="",計分!$AP192=""),"",計分!$AP192-計分!K192)</f>
        <v/>
      </c>
      <c r="L192">
        <f>IF(OR(計分!L192="",計分!$AP192=""),"",計分!$AP192-計分!L192)</f>
        <v/>
      </c>
      <c r="M192">
        <f>IF(OR(計分!M192="",計分!$AP192=""),"",計分!$AP192-計分!M192)</f>
        <v/>
      </c>
      <c r="N192">
        <f>IF(OR(計分!N192="",計分!$AP192=""),"",計分!$AP192-計分!N192)</f>
        <v/>
      </c>
      <c r="O192">
        <f>IF(OR(計分!O192="",計分!$AP192=""),"",計分!$AP192-計分!O192)</f>
        <v/>
      </c>
      <c r="P192">
        <f>IF(OR(計分!P192="",計分!$AP192=""),"",計分!$AP192-計分!P192)</f>
        <v/>
      </c>
      <c r="Q192">
        <f>IF(OR(計分!Q192="",計分!$AP192=""),"",計分!$AP192-計分!Q192)</f>
        <v/>
      </c>
      <c r="R192">
        <f>IF(OR(計分!R192="",計分!$AP192=""),"",計分!$AP192-計分!R192)</f>
        <v/>
      </c>
      <c r="S192">
        <f>IF(OR(計分!S192="",計分!$AP192=""),"",計分!$AP192-計分!S192)</f>
        <v/>
      </c>
      <c r="T192">
        <f>IF(OR(計分!T192="",計分!$AP192=""),"",計分!$AP192-計分!T192)</f>
        <v/>
      </c>
      <c r="U192">
        <f>IF(OR(計分!U192="",計分!$AP192=""),"",計分!$AP192-計分!U192)</f>
        <v/>
      </c>
      <c r="V192">
        <f>IF(OR(計分!V192="",計分!$AP192=""),"",計分!$AP192-計分!V192)</f>
        <v/>
      </c>
      <c r="W192">
        <f>IF(OR(計分!W192="",計分!$AP192=""),"",計分!$AP192-計分!W192)</f>
        <v/>
      </c>
      <c r="X192">
        <f>IF(OR(計分!X192="",計分!$AP192=""),"",計分!$AP192-計分!X192)</f>
        <v/>
      </c>
      <c r="Y192">
        <f>IF(OR(計分!Y192="",計分!$AP192=""),"",計分!$AP192-計分!Y192)</f>
        <v/>
      </c>
      <c r="Z192">
        <f>IF(OR(計分!Z192="",計分!$AP192=""),"",計分!$AP192-計分!Z192)</f>
        <v/>
      </c>
      <c r="AA192">
        <f>IF(OR(計分!AA192="",計分!$AP192=""),"",計分!$AP192-計分!AA192)</f>
        <v/>
      </c>
      <c r="AB192">
        <f>IF(OR(計分!AB192="",計分!$AP192=""),"",計分!$AP192-計分!AB192)</f>
        <v/>
      </c>
      <c r="AC192">
        <f>IF(OR(計分!AC192="",計分!$AP192=""),"",計分!$AP192-計分!AC192)</f>
        <v/>
      </c>
      <c r="AD192">
        <f>IF(OR(計分!AD192="",計分!$AP192=""),"",計分!$AP192-計分!AD192)</f>
        <v/>
      </c>
      <c r="AE192">
        <f>IF(OR(計分!AE192="",計分!$AP192=""),"",計分!$AP192-計分!AE192)</f>
        <v/>
      </c>
      <c r="AF192">
        <f>IF(OR(計分!AF192="",計分!$AP192=""),"",計分!$AP192-計分!AF192)</f>
        <v/>
      </c>
      <c r="AG192">
        <f>IF(OR(計分!AG192="",計分!$AP192=""),"",計分!$AP192-計分!AG192)</f>
        <v/>
      </c>
      <c r="AH192">
        <f>IF(OR(計分!AH192="",計分!$AP192=""),"",計分!$AP192-計分!AH192)</f>
        <v/>
      </c>
      <c r="AI192">
        <f>IF(OR(計分!AI192="",計分!$AP192=""),"",計分!$AP192-計分!AI192)</f>
        <v/>
      </c>
      <c r="AJ192">
        <f>IF(OR(計分!AJ192="",計分!$AP192=""),"",計分!$AP192-計分!AJ192)</f>
        <v/>
      </c>
      <c r="AK192">
        <f>IF(OR(計分!AK192="",計分!$AP192=""),"",計分!$AP192-計分!AK192)</f>
        <v/>
      </c>
      <c r="AL192">
        <f>IF(OR(計分!AL192="",計分!$AP192=""),"",計分!$AP192-計分!AL192)</f>
        <v/>
      </c>
      <c r="AM192">
        <f>IF(OR(計分!AM192="",計分!$AP192=""),"",計分!$AP192-計分!AM192)</f>
        <v/>
      </c>
      <c r="AN192">
        <f>IF(OR(計分!AN192="",計分!$AP192=""),"",計分!$AP192-計分!AN192)</f>
        <v/>
      </c>
      <c r="AO192">
        <f>IF(OR(計分!AO192="",計分!$AP192=""),"",計分!$AP192-計分!AO192)</f>
        <v/>
      </c>
    </row>
    <row r="193">
      <c r="A193">
        <f>計分!A193</f>
        <v/>
      </c>
      <c r="B193">
        <f>IF(OR(計分!B193="",計分!$AP193=""),"",計分!$AP193-計分!B193)</f>
        <v/>
      </c>
      <c r="C193">
        <f>IF(OR(計分!C193="",計分!$AP193=""),"",計分!$AP193-計分!C193)</f>
        <v/>
      </c>
      <c r="D193">
        <f>IF(OR(計分!D193="",計分!$AP193=""),"",計分!$AP193-計分!D193)</f>
        <v/>
      </c>
      <c r="E193">
        <f>IF(OR(計分!E193="",計分!$AP193=""),"",計分!$AP193-計分!E193)</f>
        <v/>
      </c>
      <c r="F193">
        <f>IF(OR(計分!F193="",計分!$AP193=""),"",計分!$AP193-計分!F193)</f>
        <v/>
      </c>
      <c r="G193">
        <f>IF(OR(計分!G193="",計分!$AP193=""),"",計分!$AP193-計分!G193)</f>
        <v/>
      </c>
      <c r="H193">
        <f>IF(OR(計分!H193="",計分!$AP193=""),"",計分!$AP193-計分!H193)</f>
        <v/>
      </c>
      <c r="I193">
        <f>IF(OR(計分!I193="",計分!$AP193=""),"",計分!$AP193-計分!I193)</f>
        <v/>
      </c>
      <c r="J193">
        <f>IF(OR(計分!J193="",計分!$AP193=""),"",計分!$AP193-計分!J193)</f>
        <v/>
      </c>
      <c r="K193">
        <f>IF(OR(計分!K193="",計分!$AP193=""),"",計分!$AP193-計分!K193)</f>
        <v/>
      </c>
      <c r="L193">
        <f>IF(OR(計分!L193="",計分!$AP193=""),"",計分!$AP193-計分!L193)</f>
        <v/>
      </c>
      <c r="M193">
        <f>IF(OR(計分!M193="",計分!$AP193=""),"",計分!$AP193-計分!M193)</f>
        <v/>
      </c>
      <c r="N193">
        <f>IF(OR(計分!N193="",計分!$AP193=""),"",計分!$AP193-計分!N193)</f>
        <v/>
      </c>
      <c r="O193">
        <f>IF(OR(計分!O193="",計分!$AP193=""),"",計分!$AP193-計分!O193)</f>
        <v/>
      </c>
      <c r="P193">
        <f>IF(OR(計分!P193="",計分!$AP193=""),"",計分!$AP193-計分!P193)</f>
        <v/>
      </c>
      <c r="Q193">
        <f>IF(OR(計分!Q193="",計分!$AP193=""),"",計分!$AP193-計分!Q193)</f>
        <v/>
      </c>
      <c r="R193">
        <f>IF(OR(計分!R193="",計分!$AP193=""),"",計分!$AP193-計分!R193)</f>
        <v/>
      </c>
      <c r="S193">
        <f>IF(OR(計分!S193="",計分!$AP193=""),"",計分!$AP193-計分!S193)</f>
        <v/>
      </c>
      <c r="T193">
        <f>IF(OR(計分!T193="",計分!$AP193=""),"",計分!$AP193-計分!T193)</f>
        <v/>
      </c>
      <c r="U193">
        <f>IF(OR(計分!U193="",計分!$AP193=""),"",計分!$AP193-計分!U193)</f>
        <v/>
      </c>
      <c r="V193">
        <f>IF(OR(計分!V193="",計分!$AP193=""),"",計分!$AP193-計分!V193)</f>
        <v/>
      </c>
      <c r="W193">
        <f>IF(OR(計分!W193="",計分!$AP193=""),"",計分!$AP193-計分!W193)</f>
        <v/>
      </c>
      <c r="X193">
        <f>IF(OR(計分!X193="",計分!$AP193=""),"",計分!$AP193-計分!X193)</f>
        <v/>
      </c>
      <c r="Y193">
        <f>IF(OR(計分!Y193="",計分!$AP193=""),"",計分!$AP193-計分!Y193)</f>
        <v/>
      </c>
      <c r="Z193">
        <f>IF(OR(計分!Z193="",計分!$AP193=""),"",計分!$AP193-計分!Z193)</f>
        <v/>
      </c>
      <c r="AA193">
        <f>IF(OR(計分!AA193="",計分!$AP193=""),"",計分!$AP193-計分!AA193)</f>
        <v/>
      </c>
      <c r="AB193">
        <f>IF(OR(計分!AB193="",計分!$AP193=""),"",計分!$AP193-計分!AB193)</f>
        <v/>
      </c>
      <c r="AC193">
        <f>IF(OR(計分!AC193="",計分!$AP193=""),"",計分!$AP193-計分!AC193)</f>
        <v/>
      </c>
      <c r="AD193">
        <f>IF(OR(計分!AD193="",計分!$AP193=""),"",計分!$AP193-計分!AD193)</f>
        <v/>
      </c>
      <c r="AE193">
        <f>IF(OR(計分!AE193="",計分!$AP193=""),"",計分!$AP193-計分!AE193)</f>
        <v/>
      </c>
      <c r="AF193">
        <f>IF(OR(計分!AF193="",計分!$AP193=""),"",計分!$AP193-計分!AF193)</f>
        <v/>
      </c>
      <c r="AG193">
        <f>IF(OR(計分!AG193="",計分!$AP193=""),"",計分!$AP193-計分!AG193)</f>
        <v/>
      </c>
      <c r="AH193">
        <f>IF(OR(計分!AH193="",計分!$AP193=""),"",計分!$AP193-計分!AH193)</f>
        <v/>
      </c>
      <c r="AI193">
        <f>IF(OR(計分!AI193="",計分!$AP193=""),"",計分!$AP193-計分!AI193)</f>
        <v/>
      </c>
      <c r="AJ193">
        <f>IF(OR(計分!AJ193="",計分!$AP193=""),"",計分!$AP193-計分!AJ193)</f>
        <v/>
      </c>
      <c r="AK193">
        <f>IF(OR(計分!AK193="",計分!$AP193=""),"",計分!$AP193-計分!AK193)</f>
        <v/>
      </c>
      <c r="AL193">
        <f>IF(OR(計分!AL193="",計分!$AP193=""),"",計分!$AP193-計分!AL193)</f>
        <v/>
      </c>
      <c r="AM193">
        <f>IF(OR(計分!AM193="",計分!$AP193=""),"",計分!$AP193-計分!AM193)</f>
        <v/>
      </c>
      <c r="AN193">
        <f>IF(OR(計分!AN193="",計分!$AP193=""),"",計分!$AP193-計分!AN193)</f>
        <v/>
      </c>
      <c r="AO193">
        <f>IF(OR(計分!AO193="",計分!$AP193=""),"",計分!$AP193-計分!AO193)</f>
        <v/>
      </c>
    </row>
    <row r="194">
      <c r="A194">
        <f>計分!A194</f>
        <v/>
      </c>
      <c r="B194">
        <f>IF(OR(計分!B194="",計分!$AP194=""),"",計分!$AP194-計分!B194)</f>
        <v/>
      </c>
      <c r="C194">
        <f>IF(OR(計分!C194="",計分!$AP194=""),"",計分!$AP194-計分!C194)</f>
        <v/>
      </c>
      <c r="D194">
        <f>IF(OR(計分!D194="",計分!$AP194=""),"",計分!$AP194-計分!D194)</f>
        <v/>
      </c>
      <c r="E194">
        <f>IF(OR(計分!E194="",計分!$AP194=""),"",計分!$AP194-計分!E194)</f>
        <v/>
      </c>
      <c r="F194">
        <f>IF(OR(計分!F194="",計分!$AP194=""),"",計分!$AP194-計分!F194)</f>
        <v/>
      </c>
      <c r="G194">
        <f>IF(OR(計分!G194="",計分!$AP194=""),"",計分!$AP194-計分!G194)</f>
        <v/>
      </c>
      <c r="H194">
        <f>IF(OR(計分!H194="",計分!$AP194=""),"",計分!$AP194-計分!H194)</f>
        <v/>
      </c>
      <c r="I194">
        <f>IF(OR(計分!I194="",計分!$AP194=""),"",計分!$AP194-計分!I194)</f>
        <v/>
      </c>
      <c r="J194">
        <f>IF(OR(計分!J194="",計分!$AP194=""),"",計分!$AP194-計分!J194)</f>
        <v/>
      </c>
      <c r="K194">
        <f>IF(OR(計分!K194="",計分!$AP194=""),"",計分!$AP194-計分!K194)</f>
        <v/>
      </c>
      <c r="L194">
        <f>IF(OR(計分!L194="",計分!$AP194=""),"",計分!$AP194-計分!L194)</f>
        <v/>
      </c>
      <c r="M194">
        <f>IF(OR(計分!M194="",計分!$AP194=""),"",計分!$AP194-計分!M194)</f>
        <v/>
      </c>
      <c r="N194">
        <f>IF(OR(計分!N194="",計分!$AP194=""),"",計分!$AP194-計分!N194)</f>
        <v/>
      </c>
      <c r="O194">
        <f>IF(OR(計分!O194="",計分!$AP194=""),"",計分!$AP194-計分!O194)</f>
        <v/>
      </c>
      <c r="P194">
        <f>IF(OR(計分!P194="",計分!$AP194=""),"",計分!$AP194-計分!P194)</f>
        <v/>
      </c>
      <c r="Q194">
        <f>IF(OR(計分!Q194="",計分!$AP194=""),"",計分!$AP194-計分!Q194)</f>
        <v/>
      </c>
      <c r="R194">
        <f>IF(OR(計分!R194="",計分!$AP194=""),"",計分!$AP194-計分!R194)</f>
        <v/>
      </c>
      <c r="S194">
        <f>IF(OR(計分!S194="",計分!$AP194=""),"",計分!$AP194-計分!S194)</f>
        <v/>
      </c>
      <c r="T194">
        <f>IF(OR(計分!T194="",計分!$AP194=""),"",計分!$AP194-計分!T194)</f>
        <v/>
      </c>
      <c r="U194">
        <f>IF(OR(計分!U194="",計分!$AP194=""),"",計分!$AP194-計分!U194)</f>
        <v/>
      </c>
      <c r="V194">
        <f>IF(OR(計分!V194="",計分!$AP194=""),"",計分!$AP194-計分!V194)</f>
        <v/>
      </c>
      <c r="W194">
        <f>IF(OR(計分!W194="",計分!$AP194=""),"",計分!$AP194-計分!W194)</f>
        <v/>
      </c>
      <c r="X194">
        <f>IF(OR(計分!X194="",計分!$AP194=""),"",計分!$AP194-計分!X194)</f>
        <v/>
      </c>
      <c r="Y194">
        <f>IF(OR(計分!Y194="",計分!$AP194=""),"",計分!$AP194-計分!Y194)</f>
        <v/>
      </c>
      <c r="Z194">
        <f>IF(OR(計分!Z194="",計分!$AP194=""),"",計分!$AP194-計分!Z194)</f>
        <v/>
      </c>
      <c r="AA194">
        <f>IF(OR(計分!AA194="",計分!$AP194=""),"",計分!$AP194-計分!AA194)</f>
        <v/>
      </c>
      <c r="AB194">
        <f>IF(OR(計分!AB194="",計分!$AP194=""),"",計分!$AP194-計分!AB194)</f>
        <v/>
      </c>
      <c r="AC194">
        <f>IF(OR(計分!AC194="",計分!$AP194=""),"",計分!$AP194-計分!AC194)</f>
        <v/>
      </c>
      <c r="AD194">
        <f>IF(OR(計分!AD194="",計分!$AP194=""),"",計分!$AP194-計分!AD194)</f>
        <v/>
      </c>
      <c r="AE194">
        <f>IF(OR(計分!AE194="",計分!$AP194=""),"",計分!$AP194-計分!AE194)</f>
        <v/>
      </c>
      <c r="AF194">
        <f>IF(OR(計分!AF194="",計分!$AP194=""),"",計分!$AP194-計分!AF194)</f>
        <v/>
      </c>
      <c r="AG194">
        <f>IF(OR(計分!AG194="",計分!$AP194=""),"",計分!$AP194-計分!AG194)</f>
        <v/>
      </c>
      <c r="AH194">
        <f>IF(OR(計分!AH194="",計分!$AP194=""),"",計分!$AP194-計分!AH194)</f>
        <v/>
      </c>
      <c r="AI194">
        <f>IF(OR(計分!AI194="",計分!$AP194=""),"",計分!$AP194-計分!AI194)</f>
        <v/>
      </c>
      <c r="AJ194">
        <f>IF(OR(計分!AJ194="",計分!$AP194=""),"",計分!$AP194-計分!AJ194)</f>
        <v/>
      </c>
      <c r="AK194">
        <f>IF(OR(計分!AK194="",計分!$AP194=""),"",計分!$AP194-計分!AK194)</f>
        <v/>
      </c>
      <c r="AL194">
        <f>IF(OR(計分!AL194="",計分!$AP194=""),"",計分!$AP194-計分!AL194)</f>
        <v/>
      </c>
      <c r="AM194">
        <f>IF(OR(計分!AM194="",計分!$AP194=""),"",計分!$AP194-計分!AM194)</f>
        <v/>
      </c>
      <c r="AN194">
        <f>IF(OR(計分!AN194="",計分!$AP194=""),"",計分!$AP194-計分!AN194)</f>
        <v/>
      </c>
      <c r="AO194">
        <f>IF(OR(計分!AO194="",計分!$AP194=""),"",計分!$AP194-計分!AO194)</f>
        <v/>
      </c>
    </row>
    <row r="195">
      <c r="A195">
        <f>計分!A195</f>
        <v/>
      </c>
      <c r="B195">
        <f>IF(OR(計分!B195="",計分!$AP195=""),"",計分!$AP195-計分!B195)</f>
        <v/>
      </c>
      <c r="C195">
        <f>IF(OR(計分!C195="",計分!$AP195=""),"",計分!$AP195-計分!C195)</f>
        <v/>
      </c>
      <c r="D195">
        <f>IF(OR(計分!D195="",計分!$AP195=""),"",計分!$AP195-計分!D195)</f>
        <v/>
      </c>
      <c r="E195">
        <f>IF(OR(計分!E195="",計分!$AP195=""),"",計分!$AP195-計分!E195)</f>
        <v/>
      </c>
      <c r="F195">
        <f>IF(OR(計分!F195="",計分!$AP195=""),"",計分!$AP195-計分!F195)</f>
        <v/>
      </c>
      <c r="G195">
        <f>IF(OR(計分!G195="",計分!$AP195=""),"",計分!$AP195-計分!G195)</f>
        <v/>
      </c>
      <c r="H195">
        <f>IF(OR(計分!H195="",計分!$AP195=""),"",計分!$AP195-計分!H195)</f>
        <v/>
      </c>
      <c r="I195">
        <f>IF(OR(計分!I195="",計分!$AP195=""),"",計分!$AP195-計分!I195)</f>
        <v/>
      </c>
      <c r="J195">
        <f>IF(OR(計分!J195="",計分!$AP195=""),"",計分!$AP195-計分!J195)</f>
        <v/>
      </c>
      <c r="K195">
        <f>IF(OR(計分!K195="",計分!$AP195=""),"",計分!$AP195-計分!K195)</f>
        <v/>
      </c>
      <c r="L195">
        <f>IF(OR(計分!L195="",計分!$AP195=""),"",計分!$AP195-計分!L195)</f>
        <v/>
      </c>
      <c r="M195">
        <f>IF(OR(計分!M195="",計分!$AP195=""),"",計分!$AP195-計分!M195)</f>
        <v/>
      </c>
      <c r="N195">
        <f>IF(OR(計分!N195="",計分!$AP195=""),"",計分!$AP195-計分!N195)</f>
        <v/>
      </c>
      <c r="O195">
        <f>IF(OR(計分!O195="",計分!$AP195=""),"",計分!$AP195-計分!O195)</f>
        <v/>
      </c>
      <c r="P195">
        <f>IF(OR(計分!P195="",計分!$AP195=""),"",計分!$AP195-計分!P195)</f>
        <v/>
      </c>
      <c r="Q195">
        <f>IF(OR(計分!Q195="",計分!$AP195=""),"",計分!$AP195-計分!Q195)</f>
        <v/>
      </c>
      <c r="R195">
        <f>IF(OR(計分!R195="",計分!$AP195=""),"",計分!$AP195-計分!R195)</f>
        <v/>
      </c>
      <c r="S195">
        <f>IF(OR(計分!S195="",計分!$AP195=""),"",計分!$AP195-計分!S195)</f>
        <v/>
      </c>
      <c r="T195">
        <f>IF(OR(計分!T195="",計分!$AP195=""),"",計分!$AP195-計分!T195)</f>
        <v/>
      </c>
      <c r="U195">
        <f>IF(OR(計分!U195="",計分!$AP195=""),"",計分!$AP195-計分!U195)</f>
        <v/>
      </c>
      <c r="V195">
        <f>IF(OR(計分!V195="",計分!$AP195=""),"",計分!$AP195-計分!V195)</f>
        <v/>
      </c>
      <c r="W195">
        <f>IF(OR(計分!W195="",計分!$AP195=""),"",計分!$AP195-計分!W195)</f>
        <v/>
      </c>
      <c r="X195">
        <f>IF(OR(計分!X195="",計分!$AP195=""),"",計分!$AP195-計分!X195)</f>
        <v/>
      </c>
      <c r="Y195">
        <f>IF(OR(計分!Y195="",計分!$AP195=""),"",計分!$AP195-計分!Y195)</f>
        <v/>
      </c>
      <c r="Z195">
        <f>IF(OR(計分!Z195="",計分!$AP195=""),"",計分!$AP195-計分!Z195)</f>
        <v/>
      </c>
      <c r="AA195">
        <f>IF(OR(計分!AA195="",計分!$AP195=""),"",計分!$AP195-計分!AA195)</f>
        <v/>
      </c>
      <c r="AB195">
        <f>IF(OR(計分!AB195="",計分!$AP195=""),"",計分!$AP195-計分!AB195)</f>
        <v/>
      </c>
      <c r="AC195">
        <f>IF(OR(計分!AC195="",計分!$AP195=""),"",計分!$AP195-計分!AC195)</f>
        <v/>
      </c>
      <c r="AD195">
        <f>IF(OR(計分!AD195="",計分!$AP195=""),"",計分!$AP195-計分!AD195)</f>
        <v/>
      </c>
      <c r="AE195">
        <f>IF(OR(計分!AE195="",計分!$AP195=""),"",計分!$AP195-計分!AE195)</f>
        <v/>
      </c>
      <c r="AF195">
        <f>IF(OR(計分!AF195="",計分!$AP195=""),"",計分!$AP195-計分!AF195)</f>
        <v/>
      </c>
      <c r="AG195">
        <f>IF(OR(計分!AG195="",計分!$AP195=""),"",計分!$AP195-計分!AG195)</f>
        <v/>
      </c>
      <c r="AH195">
        <f>IF(OR(計分!AH195="",計分!$AP195=""),"",計分!$AP195-計分!AH195)</f>
        <v/>
      </c>
      <c r="AI195">
        <f>IF(OR(計分!AI195="",計分!$AP195=""),"",計分!$AP195-計分!AI195)</f>
        <v/>
      </c>
      <c r="AJ195">
        <f>IF(OR(計分!AJ195="",計分!$AP195=""),"",計分!$AP195-計分!AJ195)</f>
        <v/>
      </c>
      <c r="AK195">
        <f>IF(OR(計分!AK195="",計分!$AP195=""),"",計分!$AP195-計分!AK195)</f>
        <v/>
      </c>
      <c r="AL195">
        <f>IF(OR(計分!AL195="",計分!$AP195=""),"",計分!$AP195-計分!AL195)</f>
        <v/>
      </c>
      <c r="AM195">
        <f>IF(OR(計分!AM195="",計分!$AP195=""),"",計分!$AP195-計分!AM195)</f>
        <v/>
      </c>
      <c r="AN195">
        <f>IF(OR(計分!AN195="",計分!$AP195=""),"",計分!$AP195-計分!AN195)</f>
        <v/>
      </c>
      <c r="AO195">
        <f>IF(OR(計分!AO195="",計分!$AP195=""),"",計分!$AP195-計分!AO195)</f>
        <v/>
      </c>
    </row>
    <row r="196">
      <c r="A196">
        <f>計分!A196</f>
        <v/>
      </c>
      <c r="B196">
        <f>IF(OR(計分!B196="",計分!$AP196=""),"",計分!$AP196-計分!B196)</f>
        <v/>
      </c>
      <c r="C196">
        <f>IF(OR(計分!C196="",計分!$AP196=""),"",計分!$AP196-計分!C196)</f>
        <v/>
      </c>
      <c r="D196">
        <f>IF(OR(計分!D196="",計分!$AP196=""),"",計分!$AP196-計分!D196)</f>
        <v/>
      </c>
      <c r="E196">
        <f>IF(OR(計分!E196="",計分!$AP196=""),"",計分!$AP196-計分!E196)</f>
        <v/>
      </c>
      <c r="F196">
        <f>IF(OR(計分!F196="",計分!$AP196=""),"",計分!$AP196-計分!F196)</f>
        <v/>
      </c>
      <c r="G196">
        <f>IF(OR(計分!G196="",計分!$AP196=""),"",計分!$AP196-計分!G196)</f>
        <v/>
      </c>
      <c r="H196">
        <f>IF(OR(計分!H196="",計分!$AP196=""),"",計分!$AP196-計分!H196)</f>
        <v/>
      </c>
      <c r="I196">
        <f>IF(OR(計分!I196="",計分!$AP196=""),"",計分!$AP196-計分!I196)</f>
        <v/>
      </c>
      <c r="J196">
        <f>IF(OR(計分!J196="",計分!$AP196=""),"",計分!$AP196-計分!J196)</f>
        <v/>
      </c>
      <c r="K196">
        <f>IF(OR(計分!K196="",計分!$AP196=""),"",計分!$AP196-計分!K196)</f>
        <v/>
      </c>
      <c r="L196">
        <f>IF(OR(計分!L196="",計分!$AP196=""),"",計分!$AP196-計分!L196)</f>
        <v/>
      </c>
      <c r="M196">
        <f>IF(OR(計分!M196="",計分!$AP196=""),"",計分!$AP196-計分!M196)</f>
        <v/>
      </c>
      <c r="N196">
        <f>IF(OR(計分!N196="",計分!$AP196=""),"",計分!$AP196-計分!N196)</f>
        <v/>
      </c>
      <c r="O196">
        <f>IF(OR(計分!O196="",計分!$AP196=""),"",計分!$AP196-計分!O196)</f>
        <v/>
      </c>
      <c r="P196">
        <f>IF(OR(計分!P196="",計分!$AP196=""),"",計分!$AP196-計分!P196)</f>
        <v/>
      </c>
      <c r="Q196">
        <f>IF(OR(計分!Q196="",計分!$AP196=""),"",計分!$AP196-計分!Q196)</f>
        <v/>
      </c>
      <c r="R196">
        <f>IF(OR(計分!R196="",計分!$AP196=""),"",計分!$AP196-計分!R196)</f>
        <v/>
      </c>
      <c r="S196">
        <f>IF(OR(計分!S196="",計分!$AP196=""),"",計分!$AP196-計分!S196)</f>
        <v/>
      </c>
      <c r="T196">
        <f>IF(OR(計分!T196="",計分!$AP196=""),"",計分!$AP196-計分!T196)</f>
        <v/>
      </c>
      <c r="U196">
        <f>IF(OR(計分!U196="",計分!$AP196=""),"",計分!$AP196-計分!U196)</f>
        <v/>
      </c>
      <c r="V196">
        <f>IF(OR(計分!V196="",計分!$AP196=""),"",計分!$AP196-計分!V196)</f>
        <v/>
      </c>
      <c r="W196">
        <f>IF(OR(計分!W196="",計分!$AP196=""),"",計分!$AP196-計分!W196)</f>
        <v/>
      </c>
      <c r="X196">
        <f>IF(OR(計分!X196="",計分!$AP196=""),"",計分!$AP196-計分!X196)</f>
        <v/>
      </c>
      <c r="Y196">
        <f>IF(OR(計分!Y196="",計分!$AP196=""),"",計分!$AP196-計分!Y196)</f>
        <v/>
      </c>
      <c r="Z196">
        <f>IF(OR(計分!Z196="",計分!$AP196=""),"",計分!$AP196-計分!Z196)</f>
        <v/>
      </c>
      <c r="AA196">
        <f>IF(OR(計分!AA196="",計分!$AP196=""),"",計分!$AP196-計分!AA196)</f>
        <v/>
      </c>
      <c r="AB196">
        <f>IF(OR(計分!AB196="",計分!$AP196=""),"",計分!$AP196-計分!AB196)</f>
        <v/>
      </c>
      <c r="AC196">
        <f>IF(OR(計分!AC196="",計分!$AP196=""),"",計分!$AP196-計分!AC196)</f>
        <v/>
      </c>
      <c r="AD196">
        <f>IF(OR(計分!AD196="",計分!$AP196=""),"",計分!$AP196-計分!AD196)</f>
        <v/>
      </c>
      <c r="AE196">
        <f>IF(OR(計分!AE196="",計分!$AP196=""),"",計分!$AP196-計分!AE196)</f>
        <v/>
      </c>
      <c r="AF196">
        <f>IF(OR(計分!AF196="",計分!$AP196=""),"",計分!$AP196-計分!AF196)</f>
        <v/>
      </c>
      <c r="AG196">
        <f>IF(OR(計分!AG196="",計分!$AP196=""),"",計分!$AP196-計分!AG196)</f>
        <v/>
      </c>
      <c r="AH196">
        <f>IF(OR(計分!AH196="",計分!$AP196=""),"",計分!$AP196-計分!AH196)</f>
        <v/>
      </c>
      <c r="AI196">
        <f>IF(OR(計分!AI196="",計分!$AP196=""),"",計分!$AP196-計分!AI196)</f>
        <v/>
      </c>
      <c r="AJ196">
        <f>IF(OR(計分!AJ196="",計分!$AP196=""),"",計分!$AP196-計分!AJ196)</f>
        <v/>
      </c>
      <c r="AK196">
        <f>IF(OR(計分!AK196="",計分!$AP196=""),"",計分!$AP196-計分!AK196)</f>
        <v/>
      </c>
      <c r="AL196">
        <f>IF(OR(計分!AL196="",計分!$AP196=""),"",計分!$AP196-計分!AL196)</f>
        <v/>
      </c>
      <c r="AM196">
        <f>IF(OR(計分!AM196="",計分!$AP196=""),"",計分!$AP196-計分!AM196)</f>
        <v/>
      </c>
      <c r="AN196">
        <f>IF(OR(計分!AN196="",計分!$AP196=""),"",計分!$AP196-計分!AN196)</f>
        <v/>
      </c>
      <c r="AO196">
        <f>IF(OR(計分!AO196="",計分!$AP196=""),"",計分!$AP196-計分!AO196)</f>
        <v/>
      </c>
    </row>
    <row r="197">
      <c r="A197">
        <f>計分!A197</f>
        <v/>
      </c>
      <c r="B197">
        <f>IF(OR(計分!B197="",計分!$AP197=""),"",計分!$AP197-計分!B197)</f>
        <v/>
      </c>
      <c r="C197">
        <f>IF(OR(計分!C197="",計分!$AP197=""),"",計分!$AP197-計分!C197)</f>
        <v/>
      </c>
      <c r="D197">
        <f>IF(OR(計分!D197="",計分!$AP197=""),"",計分!$AP197-計分!D197)</f>
        <v/>
      </c>
      <c r="E197">
        <f>IF(OR(計分!E197="",計分!$AP197=""),"",計分!$AP197-計分!E197)</f>
        <v/>
      </c>
      <c r="F197">
        <f>IF(OR(計分!F197="",計分!$AP197=""),"",計分!$AP197-計分!F197)</f>
        <v/>
      </c>
      <c r="G197">
        <f>IF(OR(計分!G197="",計分!$AP197=""),"",計分!$AP197-計分!G197)</f>
        <v/>
      </c>
      <c r="H197">
        <f>IF(OR(計分!H197="",計分!$AP197=""),"",計分!$AP197-計分!H197)</f>
        <v/>
      </c>
      <c r="I197">
        <f>IF(OR(計分!I197="",計分!$AP197=""),"",計分!$AP197-計分!I197)</f>
        <v/>
      </c>
      <c r="J197">
        <f>IF(OR(計分!J197="",計分!$AP197=""),"",計分!$AP197-計分!J197)</f>
        <v/>
      </c>
      <c r="K197">
        <f>IF(OR(計分!K197="",計分!$AP197=""),"",計分!$AP197-計分!K197)</f>
        <v/>
      </c>
      <c r="L197">
        <f>IF(OR(計分!L197="",計分!$AP197=""),"",計分!$AP197-計分!L197)</f>
        <v/>
      </c>
      <c r="M197">
        <f>IF(OR(計分!M197="",計分!$AP197=""),"",計分!$AP197-計分!M197)</f>
        <v/>
      </c>
      <c r="N197">
        <f>IF(OR(計分!N197="",計分!$AP197=""),"",計分!$AP197-計分!N197)</f>
        <v/>
      </c>
      <c r="O197">
        <f>IF(OR(計分!O197="",計分!$AP197=""),"",計分!$AP197-計分!O197)</f>
        <v/>
      </c>
      <c r="P197">
        <f>IF(OR(計分!P197="",計分!$AP197=""),"",計分!$AP197-計分!P197)</f>
        <v/>
      </c>
      <c r="Q197">
        <f>IF(OR(計分!Q197="",計分!$AP197=""),"",計分!$AP197-計分!Q197)</f>
        <v/>
      </c>
      <c r="R197">
        <f>IF(OR(計分!R197="",計分!$AP197=""),"",計分!$AP197-計分!R197)</f>
        <v/>
      </c>
      <c r="S197">
        <f>IF(OR(計分!S197="",計分!$AP197=""),"",計分!$AP197-計分!S197)</f>
        <v/>
      </c>
      <c r="T197">
        <f>IF(OR(計分!T197="",計分!$AP197=""),"",計分!$AP197-計分!T197)</f>
        <v/>
      </c>
      <c r="U197">
        <f>IF(OR(計分!U197="",計分!$AP197=""),"",計分!$AP197-計分!U197)</f>
        <v/>
      </c>
      <c r="V197">
        <f>IF(OR(計分!V197="",計分!$AP197=""),"",計分!$AP197-計分!V197)</f>
        <v/>
      </c>
      <c r="W197">
        <f>IF(OR(計分!W197="",計分!$AP197=""),"",計分!$AP197-計分!W197)</f>
        <v/>
      </c>
      <c r="X197">
        <f>IF(OR(計分!X197="",計分!$AP197=""),"",計分!$AP197-計分!X197)</f>
        <v/>
      </c>
      <c r="Y197">
        <f>IF(OR(計分!Y197="",計分!$AP197=""),"",計分!$AP197-計分!Y197)</f>
        <v/>
      </c>
      <c r="Z197">
        <f>IF(OR(計分!Z197="",計分!$AP197=""),"",計分!$AP197-計分!Z197)</f>
        <v/>
      </c>
      <c r="AA197">
        <f>IF(OR(計分!AA197="",計分!$AP197=""),"",計分!$AP197-計分!AA197)</f>
        <v/>
      </c>
      <c r="AB197">
        <f>IF(OR(計分!AB197="",計分!$AP197=""),"",計分!$AP197-計分!AB197)</f>
        <v/>
      </c>
      <c r="AC197">
        <f>IF(OR(計分!AC197="",計分!$AP197=""),"",計分!$AP197-計分!AC197)</f>
        <v/>
      </c>
      <c r="AD197">
        <f>IF(OR(計分!AD197="",計分!$AP197=""),"",計分!$AP197-計分!AD197)</f>
        <v/>
      </c>
      <c r="AE197">
        <f>IF(OR(計分!AE197="",計分!$AP197=""),"",計分!$AP197-計分!AE197)</f>
        <v/>
      </c>
      <c r="AF197">
        <f>IF(OR(計分!AF197="",計分!$AP197=""),"",計分!$AP197-計分!AF197)</f>
        <v/>
      </c>
      <c r="AG197">
        <f>IF(OR(計分!AG197="",計分!$AP197=""),"",計分!$AP197-計分!AG197)</f>
        <v/>
      </c>
      <c r="AH197">
        <f>IF(OR(計分!AH197="",計分!$AP197=""),"",計分!$AP197-計分!AH197)</f>
        <v/>
      </c>
      <c r="AI197">
        <f>IF(OR(計分!AI197="",計分!$AP197=""),"",計分!$AP197-計分!AI197)</f>
        <v/>
      </c>
      <c r="AJ197">
        <f>IF(OR(計分!AJ197="",計分!$AP197=""),"",計分!$AP197-計分!AJ197)</f>
        <v/>
      </c>
      <c r="AK197">
        <f>IF(OR(計分!AK197="",計分!$AP197=""),"",計分!$AP197-計分!AK197)</f>
        <v/>
      </c>
      <c r="AL197">
        <f>IF(OR(計分!AL197="",計分!$AP197=""),"",計分!$AP197-計分!AL197)</f>
        <v/>
      </c>
      <c r="AM197">
        <f>IF(OR(計分!AM197="",計分!$AP197=""),"",計分!$AP197-計分!AM197)</f>
        <v/>
      </c>
      <c r="AN197">
        <f>IF(OR(計分!AN197="",計分!$AP197=""),"",計分!$AP197-計分!AN197)</f>
        <v/>
      </c>
      <c r="AO197">
        <f>IF(OR(計分!AO197="",計分!$AP197=""),"",計分!$AP197-計分!AO197)</f>
        <v/>
      </c>
    </row>
    <row r="198">
      <c r="A198">
        <f>計分!A198</f>
        <v/>
      </c>
      <c r="B198">
        <f>IF(OR(計分!B198="",計分!$AP198=""),"",計分!$AP198-計分!B198)</f>
        <v/>
      </c>
      <c r="C198">
        <f>IF(OR(計分!C198="",計分!$AP198=""),"",計分!$AP198-計分!C198)</f>
        <v/>
      </c>
      <c r="D198">
        <f>IF(OR(計分!D198="",計分!$AP198=""),"",計分!$AP198-計分!D198)</f>
        <v/>
      </c>
      <c r="E198">
        <f>IF(OR(計分!E198="",計分!$AP198=""),"",計分!$AP198-計分!E198)</f>
        <v/>
      </c>
      <c r="F198">
        <f>IF(OR(計分!F198="",計分!$AP198=""),"",計分!$AP198-計分!F198)</f>
        <v/>
      </c>
      <c r="G198">
        <f>IF(OR(計分!G198="",計分!$AP198=""),"",計分!$AP198-計分!G198)</f>
        <v/>
      </c>
      <c r="H198">
        <f>IF(OR(計分!H198="",計分!$AP198=""),"",計分!$AP198-計分!H198)</f>
        <v/>
      </c>
      <c r="I198">
        <f>IF(OR(計分!I198="",計分!$AP198=""),"",計分!$AP198-計分!I198)</f>
        <v/>
      </c>
      <c r="J198">
        <f>IF(OR(計分!J198="",計分!$AP198=""),"",計分!$AP198-計分!J198)</f>
        <v/>
      </c>
      <c r="K198">
        <f>IF(OR(計分!K198="",計分!$AP198=""),"",計分!$AP198-計分!K198)</f>
        <v/>
      </c>
      <c r="L198">
        <f>IF(OR(計分!L198="",計分!$AP198=""),"",計分!$AP198-計分!L198)</f>
        <v/>
      </c>
      <c r="M198">
        <f>IF(OR(計分!M198="",計分!$AP198=""),"",計分!$AP198-計分!M198)</f>
        <v/>
      </c>
      <c r="N198">
        <f>IF(OR(計分!N198="",計分!$AP198=""),"",計分!$AP198-計分!N198)</f>
        <v/>
      </c>
      <c r="O198">
        <f>IF(OR(計分!O198="",計分!$AP198=""),"",計分!$AP198-計分!O198)</f>
        <v/>
      </c>
      <c r="P198">
        <f>IF(OR(計分!P198="",計分!$AP198=""),"",計分!$AP198-計分!P198)</f>
        <v/>
      </c>
      <c r="Q198">
        <f>IF(OR(計分!Q198="",計分!$AP198=""),"",計分!$AP198-計分!Q198)</f>
        <v/>
      </c>
      <c r="R198">
        <f>IF(OR(計分!R198="",計分!$AP198=""),"",計分!$AP198-計分!R198)</f>
        <v/>
      </c>
      <c r="S198">
        <f>IF(OR(計分!S198="",計分!$AP198=""),"",計分!$AP198-計分!S198)</f>
        <v/>
      </c>
      <c r="T198">
        <f>IF(OR(計分!T198="",計分!$AP198=""),"",計分!$AP198-計分!T198)</f>
        <v/>
      </c>
      <c r="U198">
        <f>IF(OR(計分!U198="",計分!$AP198=""),"",計分!$AP198-計分!U198)</f>
        <v/>
      </c>
      <c r="V198">
        <f>IF(OR(計分!V198="",計分!$AP198=""),"",計分!$AP198-計分!V198)</f>
        <v/>
      </c>
      <c r="W198">
        <f>IF(OR(計分!W198="",計分!$AP198=""),"",計分!$AP198-計分!W198)</f>
        <v/>
      </c>
      <c r="X198">
        <f>IF(OR(計分!X198="",計分!$AP198=""),"",計分!$AP198-計分!X198)</f>
        <v/>
      </c>
      <c r="Y198">
        <f>IF(OR(計分!Y198="",計分!$AP198=""),"",計分!$AP198-計分!Y198)</f>
        <v/>
      </c>
      <c r="Z198">
        <f>IF(OR(計分!Z198="",計分!$AP198=""),"",計分!$AP198-計分!Z198)</f>
        <v/>
      </c>
      <c r="AA198">
        <f>IF(OR(計分!AA198="",計分!$AP198=""),"",計分!$AP198-計分!AA198)</f>
        <v/>
      </c>
      <c r="AB198">
        <f>IF(OR(計分!AB198="",計分!$AP198=""),"",計分!$AP198-計分!AB198)</f>
        <v/>
      </c>
      <c r="AC198">
        <f>IF(OR(計分!AC198="",計分!$AP198=""),"",計分!$AP198-計分!AC198)</f>
        <v/>
      </c>
      <c r="AD198">
        <f>IF(OR(計分!AD198="",計分!$AP198=""),"",計分!$AP198-計分!AD198)</f>
        <v/>
      </c>
      <c r="AE198">
        <f>IF(OR(計分!AE198="",計分!$AP198=""),"",計分!$AP198-計分!AE198)</f>
        <v/>
      </c>
      <c r="AF198">
        <f>IF(OR(計分!AF198="",計分!$AP198=""),"",計分!$AP198-計分!AF198)</f>
        <v/>
      </c>
      <c r="AG198">
        <f>IF(OR(計分!AG198="",計分!$AP198=""),"",計分!$AP198-計分!AG198)</f>
        <v/>
      </c>
      <c r="AH198">
        <f>IF(OR(計分!AH198="",計分!$AP198=""),"",計分!$AP198-計分!AH198)</f>
        <v/>
      </c>
      <c r="AI198">
        <f>IF(OR(計分!AI198="",計分!$AP198=""),"",計分!$AP198-計分!AI198)</f>
        <v/>
      </c>
      <c r="AJ198">
        <f>IF(OR(計分!AJ198="",計分!$AP198=""),"",計分!$AP198-計分!AJ198)</f>
        <v/>
      </c>
      <c r="AK198">
        <f>IF(OR(計分!AK198="",計分!$AP198=""),"",計分!$AP198-計分!AK198)</f>
        <v/>
      </c>
      <c r="AL198">
        <f>IF(OR(計分!AL198="",計分!$AP198=""),"",計分!$AP198-計分!AL198)</f>
        <v/>
      </c>
      <c r="AM198">
        <f>IF(OR(計分!AM198="",計分!$AP198=""),"",計分!$AP198-計分!AM198)</f>
        <v/>
      </c>
      <c r="AN198">
        <f>IF(OR(計分!AN198="",計分!$AP198=""),"",計分!$AP198-計分!AN198)</f>
        <v/>
      </c>
      <c r="AO198">
        <f>IF(OR(計分!AO198="",計分!$AP198=""),"",計分!$AP198-計分!AO198)</f>
        <v/>
      </c>
    </row>
    <row r="199">
      <c r="A199">
        <f>計分!A199</f>
        <v/>
      </c>
      <c r="B199">
        <f>IF(OR(計分!B199="",計分!$AP199=""),"",計分!$AP199-計分!B199)</f>
        <v/>
      </c>
      <c r="C199">
        <f>IF(OR(計分!C199="",計分!$AP199=""),"",計分!$AP199-計分!C199)</f>
        <v/>
      </c>
      <c r="D199">
        <f>IF(OR(計分!D199="",計分!$AP199=""),"",計分!$AP199-計分!D199)</f>
        <v/>
      </c>
      <c r="E199">
        <f>IF(OR(計分!E199="",計分!$AP199=""),"",計分!$AP199-計分!E199)</f>
        <v/>
      </c>
      <c r="F199">
        <f>IF(OR(計分!F199="",計分!$AP199=""),"",計分!$AP199-計分!F199)</f>
        <v/>
      </c>
      <c r="G199">
        <f>IF(OR(計分!G199="",計分!$AP199=""),"",計分!$AP199-計分!G199)</f>
        <v/>
      </c>
      <c r="H199">
        <f>IF(OR(計分!H199="",計分!$AP199=""),"",計分!$AP199-計分!H199)</f>
        <v/>
      </c>
      <c r="I199">
        <f>IF(OR(計分!I199="",計分!$AP199=""),"",計分!$AP199-計分!I199)</f>
        <v/>
      </c>
      <c r="J199">
        <f>IF(OR(計分!J199="",計分!$AP199=""),"",計分!$AP199-計分!J199)</f>
        <v/>
      </c>
      <c r="K199">
        <f>IF(OR(計分!K199="",計分!$AP199=""),"",計分!$AP199-計分!K199)</f>
        <v/>
      </c>
      <c r="L199">
        <f>IF(OR(計分!L199="",計分!$AP199=""),"",計分!$AP199-計分!L199)</f>
        <v/>
      </c>
      <c r="M199">
        <f>IF(OR(計分!M199="",計分!$AP199=""),"",計分!$AP199-計分!M199)</f>
        <v/>
      </c>
      <c r="N199">
        <f>IF(OR(計分!N199="",計分!$AP199=""),"",計分!$AP199-計分!N199)</f>
        <v/>
      </c>
      <c r="O199">
        <f>IF(OR(計分!O199="",計分!$AP199=""),"",計分!$AP199-計分!O199)</f>
        <v/>
      </c>
      <c r="P199">
        <f>IF(OR(計分!P199="",計分!$AP199=""),"",計分!$AP199-計分!P199)</f>
        <v/>
      </c>
      <c r="Q199">
        <f>IF(OR(計分!Q199="",計分!$AP199=""),"",計分!$AP199-計分!Q199)</f>
        <v/>
      </c>
      <c r="R199">
        <f>IF(OR(計分!R199="",計分!$AP199=""),"",計分!$AP199-計分!R199)</f>
        <v/>
      </c>
      <c r="S199">
        <f>IF(OR(計分!S199="",計分!$AP199=""),"",計分!$AP199-計分!S199)</f>
        <v/>
      </c>
      <c r="T199">
        <f>IF(OR(計分!T199="",計分!$AP199=""),"",計分!$AP199-計分!T199)</f>
        <v/>
      </c>
      <c r="U199">
        <f>IF(OR(計分!U199="",計分!$AP199=""),"",計分!$AP199-計分!U199)</f>
        <v/>
      </c>
      <c r="V199">
        <f>IF(OR(計分!V199="",計分!$AP199=""),"",計分!$AP199-計分!V199)</f>
        <v/>
      </c>
      <c r="W199">
        <f>IF(OR(計分!W199="",計分!$AP199=""),"",計分!$AP199-計分!W199)</f>
        <v/>
      </c>
      <c r="X199">
        <f>IF(OR(計分!X199="",計分!$AP199=""),"",計分!$AP199-計分!X199)</f>
        <v/>
      </c>
      <c r="Y199">
        <f>IF(OR(計分!Y199="",計分!$AP199=""),"",計分!$AP199-計分!Y199)</f>
        <v/>
      </c>
      <c r="Z199">
        <f>IF(OR(計分!Z199="",計分!$AP199=""),"",計分!$AP199-計分!Z199)</f>
        <v/>
      </c>
      <c r="AA199">
        <f>IF(OR(計分!AA199="",計分!$AP199=""),"",計分!$AP199-計分!AA199)</f>
        <v/>
      </c>
      <c r="AB199">
        <f>IF(OR(計分!AB199="",計分!$AP199=""),"",計分!$AP199-計分!AB199)</f>
        <v/>
      </c>
      <c r="AC199">
        <f>IF(OR(計分!AC199="",計分!$AP199=""),"",計分!$AP199-計分!AC199)</f>
        <v/>
      </c>
      <c r="AD199">
        <f>IF(OR(計分!AD199="",計分!$AP199=""),"",計分!$AP199-計分!AD199)</f>
        <v/>
      </c>
      <c r="AE199">
        <f>IF(OR(計分!AE199="",計分!$AP199=""),"",計分!$AP199-計分!AE199)</f>
        <v/>
      </c>
      <c r="AF199">
        <f>IF(OR(計分!AF199="",計分!$AP199=""),"",計分!$AP199-計分!AF199)</f>
        <v/>
      </c>
      <c r="AG199">
        <f>IF(OR(計分!AG199="",計分!$AP199=""),"",計分!$AP199-計分!AG199)</f>
        <v/>
      </c>
      <c r="AH199">
        <f>IF(OR(計分!AH199="",計分!$AP199=""),"",計分!$AP199-計分!AH199)</f>
        <v/>
      </c>
      <c r="AI199">
        <f>IF(OR(計分!AI199="",計分!$AP199=""),"",計分!$AP199-計分!AI199)</f>
        <v/>
      </c>
      <c r="AJ199">
        <f>IF(OR(計分!AJ199="",計分!$AP199=""),"",計分!$AP199-計分!AJ199)</f>
        <v/>
      </c>
      <c r="AK199">
        <f>IF(OR(計分!AK199="",計分!$AP199=""),"",計分!$AP199-計分!AK199)</f>
        <v/>
      </c>
      <c r="AL199">
        <f>IF(OR(計分!AL199="",計分!$AP199=""),"",計分!$AP199-計分!AL199)</f>
        <v/>
      </c>
      <c r="AM199">
        <f>IF(OR(計分!AM199="",計分!$AP199=""),"",計分!$AP199-計分!AM199)</f>
        <v/>
      </c>
      <c r="AN199">
        <f>IF(OR(計分!AN199="",計分!$AP199=""),"",計分!$AP199-計分!AN199)</f>
        <v/>
      </c>
      <c r="AO199">
        <f>IF(OR(計分!AO199="",計分!$AP199=""),"",計分!$AP199-計分!AO199)</f>
        <v/>
      </c>
    </row>
    <row r="200">
      <c r="A200">
        <f>計分!A200</f>
        <v/>
      </c>
      <c r="B200">
        <f>IF(OR(計分!B200="",計分!$AP200=""),"",計分!$AP200-計分!B200)</f>
        <v/>
      </c>
      <c r="C200">
        <f>IF(OR(計分!C200="",計分!$AP200=""),"",計分!$AP200-計分!C200)</f>
        <v/>
      </c>
      <c r="D200">
        <f>IF(OR(計分!D200="",計分!$AP200=""),"",計分!$AP200-計分!D200)</f>
        <v/>
      </c>
      <c r="E200">
        <f>IF(OR(計分!E200="",計分!$AP200=""),"",計分!$AP200-計分!E200)</f>
        <v/>
      </c>
      <c r="F200">
        <f>IF(OR(計分!F200="",計分!$AP200=""),"",計分!$AP200-計分!F200)</f>
        <v/>
      </c>
      <c r="G200">
        <f>IF(OR(計分!G200="",計分!$AP200=""),"",計分!$AP200-計分!G200)</f>
        <v/>
      </c>
      <c r="H200">
        <f>IF(OR(計分!H200="",計分!$AP200=""),"",計分!$AP200-計分!H200)</f>
        <v/>
      </c>
      <c r="I200">
        <f>IF(OR(計分!I200="",計分!$AP200=""),"",計分!$AP200-計分!I200)</f>
        <v/>
      </c>
      <c r="J200">
        <f>IF(OR(計分!J200="",計分!$AP200=""),"",計分!$AP200-計分!J200)</f>
        <v/>
      </c>
      <c r="K200">
        <f>IF(OR(計分!K200="",計分!$AP200=""),"",計分!$AP200-計分!K200)</f>
        <v/>
      </c>
      <c r="L200">
        <f>IF(OR(計分!L200="",計分!$AP200=""),"",計分!$AP200-計分!L200)</f>
        <v/>
      </c>
      <c r="M200">
        <f>IF(OR(計分!M200="",計分!$AP200=""),"",計分!$AP200-計分!M200)</f>
        <v/>
      </c>
      <c r="N200">
        <f>IF(OR(計分!N200="",計分!$AP200=""),"",計分!$AP200-計分!N200)</f>
        <v/>
      </c>
      <c r="O200">
        <f>IF(OR(計分!O200="",計分!$AP200=""),"",計分!$AP200-計分!O200)</f>
        <v/>
      </c>
      <c r="P200">
        <f>IF(OR(計分!P200="",計分!$AP200=""),"",計分!$AP200-計分!P200)</f>
        <v/>
      </c>
      <c r="Q200">
        <f>IF(OR(計分!Q200="",計分!$AP200=""),"",計分!$AP200-計分!Q200)</f>
        <v/>
      </c>
      <c r="R200">
        <f>IF(OR(計分!R200="",計分!$AP200=""),"",計分!$AP200-計分!R200)</f>
        <v/>
      </c>
      <c r="S200">
        <f>IF(OR(計分!S200="",計分!$AP200=""),"",計分!$AP200-計分!S200)</f>
        <v/>
      </c>
      <c r="T200">
        <f>IF(OR(計分!T200="",計分!$AP200=""),"",計分!$AP200-計分!T200)</f>
        <v/>
      </c>
      <c r="U200">
        <f>IF(OR(計分!U200="",計分!$AP200=""),"",計分!$AP200-計分!U200)</f>
        <v/>
      </c>
      <c r="V200">
        <f>IF(OR(計分!V200="",計分!$AP200=""),"",計分!$AP200-計分!V200)</f>
        <v/>
      </c>
      <c r="W200">
        <f>IF(OR(計分!W200="",計分!$AP200=""),"",計分!$AP200-計分!W200)</f>
        <v/>
      </c>
      <c r="X200">
        <f>IF(OR(計分!X200="",計分!$AP200=""),"",計分!$AP200-計分!X200)</f>
        <v/>
      </c>
      <c r="Y200">
        <f>IF(OR(計分!Y200="",計分!$AP200=""),"",計分!$AP200-計分!Y200)</f>
        <v/>
      </c>
      <c r="Z200">
        <f>IF(OR(計分!Z200="",計分!$AP200=""),"",計分!$AP200-計分!Z200)</f>
        <v/>
      </c>
      <c r="AA200">
        <f>IF(OR(計分!AA200="",計分!$AP200=""),"",計分!$AP200-計分!AA200)</f>
        <v/>
      </c>
      <c r="AB200">
        <f>IF(OR(計分!AB200="",計分!$AP200=""),"",計分!$AP200-計分!AB200)</f>
        <v/>
      </c>
      <c r="AC200">
        <f>IF(OR(計分!AC200="",計分!$AP200=""),"",計分!$AP200-計分!AC200)</f>
        <v/>
      </c>
      <c r="AD200">
        <f>IF(OR(計分!AD200="",計分!$AP200=""),"",計分!$AP200-計分!AD200)</f>
        <v/>
      </c>
      <c r="AE200">
        <f>IF(OR(計分!AE200="",計分!$AP200=""),"",計分!$AP200-計分!AE200)</f>
        <v/>
      </c>
      <c r="AF200">
        <f>IF(OR(計分!AF200="",計分!$AP200=""),"",計分!$AP200-計分!AF200)</f>
        <v/>
      </c>
      <c r="AG200">
        <f>IF(OR(計分!AG200="",計分!$AP200=""),"",計分!$AP200-計分!AG200)</f>
        <v/>
      </c>
      <c r="AH200">
        <f>IF(OR(計分!AH200="",計分!$AP200=""),"",計分!$AP200-計分!AH200)</f>
        <v/>
      </c>
      <c r="AI200">
        <f>IF(OR(計分!AI200="",計分!$AP200=""),"",計分!$AP200-計分!AI200)</f>
        <v/>
      </c>
      <c r="AJ200">
        <f>IF(OR(計分!AJ200="",計分!$AP200=""),"",計分!$AP200-計分!AJ200)</f>
        <v/>
      </c>
      <c r="AK200">
        <f>IF(OR(計分!AK200="",計分!$AP200=""),"",計分!$AP200-計分!AK200)</f>
        <v/>
      </c>
      <c r="AL200">
        <f>IF(OR(計分!AL200="",計分!$AP200=""),"",計分!$AP200-計分!AL200)</f>
        <v/>
      </c>
      <c r="AM200">
        <f>IF(OR(計分!AM200="",計分!$AP200=""),"",計分!$AP200-計分!AM200)</f>
        <v/>
      </c>
      <c r="AN200">
        <f>IF(OR(計分!AN200="",計分!$AP200=""),"",計分!$AP200-計分!AN200)</f>
        <v/>
      </c>
      <c r="AO200">
        <f>IF(OR(計分!AO200="",計分!$AP200=""),"",計分!$AP200-計分!AO200)</f>
        <v/>
      </c>
    </row>
    <row r="201">
      <c r="A201">
        <f>計分!A201</f>
        <v/>
      </c>
      <c r="B201">
        <f>IF(OR(計分!B201="",計分!$AP201=""),"",計分!$AP201-計分!B201)</f>
        <v/>
      </c>
      <c r="C201">
        <f>IF(OR(計分!C201="",計分!$AP201=""),"",計分!$AP201-計分!C201)</f>
        <v/>
      </c>
      <c r="D201">
        <f>IF(OR(計分!D201="",計分!$AP201=""),"",計分!$AP201-計分!D201)</f>
        <v/>
      </c>
      <c r="E201">
        <f>IF(OR(計分!E201="",計分!$AP201=""),"",計分!$AP201-計分!E201)</f>
        <v/>
      </c>
      <c r="F201">
        <f>IF(OR(計分!F201="",計分!$AP201=""),"",計分!$AP201-計分!F201)</f>
        <v/>
      </c>
      <c r="G201">
        <f>IF(OR(計分!G201="",計分!$AP201=""),"",計分!$AP201-計分!G201)</f>
        <v/>
      </c>
      <c r="H201">
        <f>IF(OR(計分!H201="",計分!$AP201=""),"",計分!$AP201-計分!H201)</f>
        <v/>
      </c>
      <c r="I201">
        <f>IF(OR(計分!I201="",計分!$AP201=""),"",計分!$AP201-計分!I201)</f>
        <v/>
      </c>
      <c r="J201">
        <f>IF(OR(計分!J201="",計分!$AP201=""),"",計分!$AP201-計分!J201)</f>
        <v/>
      </c>
      <c r="K201">
        <f>IF(OR(計分!K201="",計分!$AP201=""),"",計分!$AP201-計分!K201)</f>
        <v/>
      </c>
      <c r="L201">
        <f>IF(OR(計分!L201="",計分!$AP201=""),"",計分!$AP201-計分!L201)</f>
        <v/>
      </c>
      <c r="M201">
        <f>IF(OR(計分!M201="",計分!$AP201=""),"",計分!$AP201-計分!M201)</f>
        <v/>
      </c>
      <c r="N201">
        <f>IF(OR(計分!N201="",計分!$AP201=""),"",計分!$AP201-計分!N201)</f>
        <v/>
      </c>
      <c r="O201">
        <f>IF(OR(計分!O201="",計分!$AP201=""),"",計分!$AP201-計分!O201)</f>
        <v/>
      </c>
      <c r="P201">
        <f>IF(OR(計分!P201="",計分!$AP201=""),"",計分!$AP201-計分!P201)</f>
        <v/>
      </c>
      <c r="Q201">
        <f>IF(OR(計分!Q201="",計分!$AP201=""),"",計分!$AP201-計分!Q201)</f>
        <v/>
      </c>
      <c r="R201">
        <f>IF(OR(計分!R201="",計分!$AP201=""),"",計分!$AP201-計分!R201)</f>
        <v/>
      </c>
      <c r="S201">
        <f>IF(OR(計分!S201="",計分!$AP201=""),"",計分!$AP201-計分!S201)</f>
        <v/>
      </c>
      <c r="T201">
        <f>IF(OR(計分!T201="",計分!$AP201=""),"",計分!$AP201-計分!T201)</f>
        <v/>
      </c>
      <c r="U201">
        <f>IF(OR(計分!U201="",計分!$AP201=""),"",計分!$AP201-計分!U201)</f>
        <v/>
      </c>
      <c r="V201">
        <f>IF(OR(計分!V201="",計分!$AP201=""),"",計分!$AP201-計分!V201)</f>
        <v/>
      </c>
      <c r="W201">
        <f>IF(OR(計分!W201="",計分!$AP201=""),"",計分!$AP201-計分!W201)</f>
        <v/>
      </c>
      <c r="X201">
        <f>IF(OR(計分!X201="",計分!$AP201=""),"",計分!$AP201-計分!X201)</f>
        <v/>
      </c>
      <c r="Y201">
        <f>IF(OR(計分!Y201="",計分!$AP201=""),"",計分!$AP201-計分!Y201)</f>
        <v/>
      </c>
      <c r="Z201">
        <f>IF(OR(計分!Z201="",計分!$AP201=""),"",計分!$AP201-計分!Z201)</f>
        <v/>
      </c>
      <c r="AA201">
        <f>IF(OR(計分!AA201="",計分!$AP201=""),"",計分!$AP201-計分!AA201)</f>
        <v/>
      </c>
      <c r="AB201">
        <f>IF(OR(計分!AB201="",計分!$AP201=""),"",計分!$AP201-計分!AB201)</f>
        <v/>
      </c>
      <c r="AC201">
        <f>IF(OR(計分!AC201="",計分!$AP201=""),"",計分!$AP201-計分!AC201)</f>
        <v/>
      </c>
      <c r="AD201">
        <f>IF(OR(計分!AD201="",計分!$AP201=""),"",計分!$AP201-計分!AD201)</f>
        <v/>
      </c>
      <c r="AE201">
        <f>IF(OR(計分!AE201="",計分!$AP201=""),"",計分!$AP201-計分!AE201)</f>
        <v/>
      </c>
      <c r="AF201">
        <f>IF(OR(計分!AF201="",計分!$AP201=""),"",計分!$AP201-計分!AF201)</f>
        <v/>
      </c>
      <c r="AG201">
        <f>IF(OR(計分!AG201="",計分!$AP201=""),"",計分!$AP201-計分!AG201)</f>
        <v/>
      </c>
      <c r="AH201">
        <f>IF(OR(計分!AH201="",計分!$AP201=""),"",計分!$AP201-計分!AH201)</f>
        <v/>
      </c>
      <c r="AI201">
        <f>IF(OR(計分!AI201="",計分!$AP201=""),"",計分!$AP201-計分!AI201)</f>
        <v/>
      </c>
      <c r="AJ201">
        <f>IF(OR(計分!AJ201="",計分!$AP201=""),"",計分!$AP201-計分!AJ201)</f>
        <v/>
      </c>
      <c r="AK201">
        <f>IF(OR(計分!AK201="",計分!$AP201=""),"",計分!$AP201-計分!AK201)</f>
        <v/>
      </c>
      <c r="AL201">
        <f>IF(OR(計分!AL201="",計分!$AP201=""),"",計分!$AP201-計分!AL201)</f>
        <v/>
      </c>
      <c r="AM201">
        <f>IF(OR(計分!AM201="",計分!$AP201=""),"",計分!$AP201-計分!AM201)</f>
        <v/>
      </c>
      <c r="AN201">
        <f>IF(OR(計分!AN201="",計分!$AP201=""),"",計分!$AP201-計分!AN201)</f>
        <v/>
      </c>
      <c r="AO201">
        <f>IF(OR(計分!AO201="",計分!$AP201=""),"",計分!$AP201-計分!AO201)</f>
        <v/>
      </c>
    </row>
    <row r="202">
      <c r="A202">
        <f>計分!A202</f>
        <v/>
      </c>
      <c r="B202">
        <f>IF(OR(計分!B202="",計分!$AP202=""),"",計分!$AP202-計分!B202)</f>
        <v/>
      </c>
      <c r="C202">
        <f>IF(OR(計分!C202="",計分!$AP202=""),"",計分!$AP202-計分!C202)</f>
        <v/>
      </c>
      <c r="D202">
        <f>IF(OR(計分!D202="",計分!$AP202=""),"",計分!$AP202-計分!D202)</f>
        <v/>
      </c>
      <c r="E202">
        <f>IF(OR(計分!E202="",計分!$AP202=""),"",計分!$AP202-計分!E202)</f>
        <v/>
      </c>
      <c r="F202">
        <f>IF(OR(計分!F202="",計分!$AP202=""),"",計分!$AP202-計分!F202)</f>
        <v/>
      </c>
      <c r="G202">
        <f>IF(OR(計分!G202="",計分!$AP202=""),"",計分!$AP202-計分!G202)</f>
        <v/>
      </c>
      <c r="H202">
        <f>IF(OR(計分!H202="",計分!$AP202=""),"",計分!$AP202-計分!H202)</f>
        <v/>
      </c>
      <c r="I202">
        <f>IF(OR(計分!I202="",計分!$AP202=""),"",計分!$AP202-計分!I202)</f>
        <v/>
      </c>
      <c r="J202">
        <f>IF(OR(計分!J202="",計分!$AP202=""),"",計分!$AP202-計分!J202)</f>
        <v/>
      </c>
      <c r="K202">
        <f>IF(OR(計分!K202="",計分!$AP202=""),"",計分!$AP202-計分!K202)</f>
        <v/>
      </c>
      <c r="L202">
        <f>IF(OR(計分!L202="",計分!$AP202=""),"",計分!$AP202-計分!L202)</f>
        <v/>
      </c>
      <c r="M202">
        <f>IF(OR(計分!M202="",計分!$AP202=""),"",計分!$AP202-計分!M202)</f>
        <v/>
      </c>
      <c r="N202">
        <f>IF(OR(計分!N202="",計分!$AP202=""),"",計分!$AP202-計分!N202)</f>
        <v/>
      </c>
      <c r="O202">
        <f>IF(OR(計分!O202="",計分!$AP202=""),"",計分!$AP202-計分!O202)</f>
        <v/>
      </c>
      <c r="P202">
        <f>IF(OR(計分!P202="",計分!$AP202=""),"",計分!$AP202-計分!P202)</f>
        <v/>
      </c>
      <c r="Q202">
        <f>IF(OR(計分!Q202="",計分!$AP202=""),"",計分!$AP202-計分!Q202)</f>
        <v/>
      </c>
      <c r="R202">
        <f>IF(OR(計分!R202="",計分!$AP202=""),"",計分!$AP202-計分!R202)</f>
        <v/>
      </c>
      <c r="S202">
        <f>IF(OR(計分!S202="",計分!$AP202=""),"",計分!$AP202-計分!S202)</f>
        <v/>
      </c>
      <c r="T202">
        <f>IF(OR(計分!T202="",計分!$AP202=""),"",計分!$AP202-計分!T202)</f>
        <v/>
      </c>
      <c r="U202">
        <f>IF(OR(計分!U202="",計分!$AP202=""),"",計分!$AP202-計分!U202)</f>
        <v/>
      </c>
      <c r="V202">
        <f>IF(OR(計分!V202="",計分!$AP202=""),"",計分!$AP202-計分!V202)</f>
        <v/>
      </c>
      <c r="W202">
        <f>IF(OR(計分!W202="",計分!$AP202=""),"",計分!$AP202-計分!W202)</f>
        <v/>
      </c>
      <c r="X202">
        <f>IF(OR(計分!X202="",計分!$AP202=""),"",計分!$AP202-計分!X202)</f>
        <v/>
      </c>
      <c r="Y202">
        <f>IF(OR(計分!Y202="",計分!$AP202=""),"",計分!$AP202-計分!Y202)</f>
        <v/>
      </c>
      <c r="Z202">
        <f>IF(OR(計分!Z202="",計分!$AP202=""),"",計分!$AP202-計分!Z202)</f>
        <v/>
      </c>
      <c r="AA202">
        <f>IF(OR(計分!AA202="",計分!$AP202=""),"",計分!$AP202-計分!AA202)</f>
        <v/>
      </c>
      <c r="AB202">
        <f>IF(OR(計分!AB202="",計分!$AP202=""),"",計分!$AP202-計分!AB202)</f>
        <v/>
      </c>
      <c r="AC202">
        <f>IF(OR(計分!AC202="",計分!$AP202=""),"",計分!$AP202-計分!AC202)</f>
        <v/>
      </c>
      <c r="AD202">
        <f>IF(OR(計分!AD202="",計分!$AP202=""),"",計分!$AP202-計分!AD202)</f>
        <v/>
      </c>
      <c r="AE202">
        <f>IF(OR(計分!AE202="",計分!$AP202=""),"",計分!$AP202-計分!AE202)</f>
        <v/>
      </c>
      <c r="AF202">
        <f>IF(OR(計分!AF202="",計分!$AP202=""),"",計分!$AP202-計分!AF202)</f>
        <v/>
      </c>
      <c r="AG202">
        <f>IF(OR(計分!AG202="",計分!$AP202=""),"",計分!$AP202-計分!AG202)</f>
        <v/>
      </c>
      <c r="AH202">
        <f>IF(OR(計分!AH202="",計分!$AP202=""),"",計分!$AP202-計分!AH202)</f>
        <v/>
      </c>
      <c r="AI202">
        <f>IF(OR(計分!AI202="",計分!$AP202=""),"",計分!$AP202-計分!AI202)</f>
        <v/>
      </c>
      <c r="AJ202">
        <f>IF(OR(計分!AJ202="",計分!$AP202=""),"",計分!$AP202-計分!AJ202)</f>
        <v/>
      </c>
      <c r="AK202">
        <f>IF(OR(計分!AK202="",計分!$AP202=""),"",計分!$AP202-計分!AK202)</f>
        <v/>
      </c>
      <c r="AL202">
        <f>IF(OR(計分!AL202="",計分!$AP202=""),"",計分!$AP202-計分!AL202)</f>
        <v/>
      </c>
      <c r="AM202">
        <f>IF(OR(計分!AM202="",計分!$AP202=""),"",計分!$AP202-計分!AM202)</f>
        <v/>
      </c>
      <c r="AN202">
        <f>IF(OR(計分!AN202="",計分!$AP202=""),"",計分!$AP202-計分!AN202)</f>
        <v/>
      </c>
      <c r="AO202">
        <f>IF(OR(計分!AO202="",計分!$AP202=""),"",計分!$AP202-計分!AO202)</f>
        <v/>
      </c>
    </row>
    <row r="203">
      <c r="A203">
        <f>計分!A203</f>
        <v/>
      </c>
      <c r="B203">
        <f>IF(OR(計分!B203="",計分!$AP203=""),"",計分!$AP203-計分!B203)</f>
        <v/>
      </c>
      <c r="C203">
        <f>IF(OR(計分!C203="",計分!$AP203=""),"",計分!$AP203-計分!C203)</f>
        <v/>
      </c>
      <c r="D203">
        <f>IF(OR(計分!D203="",計分!$AP203=""),"",計分!$AP203-計分!D203)</f>
        <v/>
      </c>
      <c r="E203">
        <f>IF(OR(計分!E203="",計分!$AP203=""),"",計分!$AP203-計分!E203)</f>
        <v/>
      </c>
      <c r="F203">
        <f>IF(OR(計分!F203="",計分!$AP203=""),"",計分!$AP203-計分!F203)</f>
        <v/>
      </c>
      <c r="G203">
        <f>IF(OR(計分!G203="",計分!$AP203=""),"",計分!$AP203-計分!G203)</f>
        <v/>
      </c>
      <c r="H203">
        <f>IF(OR(計分!H203="",計分!$AP203=""),"",計分!$AP203-計分!H203)</f>
        <v/>
      </c>
      <c r="I203">
        <f>IF(OR(計分!I203="",計分!$AP203=""),"",計分!$AP203-計分!I203)</f>
        <v/>
      </c>
      <c r="J203">
        <f>IF(OR(計分!J203="",計分!$AP203=""),"",計分!$AP203-計分!J203)</f>
        <v/>
      </c>
      <c r="K203">
        <f>IF(OR(計分!K203="",計分!$AP203=""),"",計分!$AP203-計分!K203)</f>
        <v/>
      </c>
      <c r="L203">
        <f>IF(OR(計分!L203="",計分!$AP203=""),"",計分!$AP203-計分!L203)</f>
        <v/>
      </c>
      <c r="M203">
        <f>IF(OR(計分!M203="",計分!$AP203=""),"",計分!$AP203-計分!M203)</f>
        <v/>
      </c>
      <c r="N203">
        <f>IF(OR(計分!N203="",計分!$AP203=""),"",計分!$AP203-計分!N203)</f>
        <v/>
      </c>
      <c r="O203">
        <f>IF(OR(計分!O203="",計分!$AP203=""),"",計分!$AP203-計分!O203)</f>
        <v/>
      </c>
      <c r="P203">
        <f>IF(OR(計分!P203="",計分!$AP203=""),"",計分!$AP203-計分!P203)</f>
        <v/>
      </c>
      <c r="Q203">
        <f>IF(OR(計分!Q203="",計分!$AP203=""),"",計分!$AP203-計分!Q203)</f>
        <v/>
      </c>
      <c r="R203">
        <f>IF(OR(計分!R203="",計分!$AP203=""),"",計分!$AP203-計分!R203)</f>
        <v/>
      </c>
      <c r="S203">
        <f>IF(OR(計分!S203="",計分!$AP203=""),"",計分!$AP203-計分!S203)</f>
        <v/>
      </c>
      <c r="T203">
        <f>IF(OR(計分!T203="",計分!$AP203=""),"",計分!$AP203-計分!T203)</f>
        <v/>
      </c>
      <c r="U203">
        <f>IF(OR(計分!U203="",計分!$AP203=""),"",計分!$AP203-計分!U203)</f>
        <v/>
      </c>
      <c r="V203">
        <f>IF(OR(計分!V203="",計分!$AP203=""),"",計分!$AP203-計分!V203)</f>
        <v/>
      </c>
      <c r="W203">
        <f>IF(OR(計分!W203="",計分!$AP203=""),"",計分!$AP203-計分!W203)</f>
        <v/>
      </c>
      <c r="X203">
        <f>IF(OR(計分!X203="",計分!$AP203=""),"",計分!$AP203-計分!X203)</f>
        <v/>
      </c>
      <c r="Y203">
        <f>IF(OR(計分!Y203="",計分!$AP203=""),"",計分!$AP203-計分!Y203)</f>
        <v/>
      </c>
      <c r="Z203">
        <f>IF(OR(計分!Z203="",計分!$AP203=""),"",計分!$AP203-計分!Z203)</f>
        <v/>
      </c>
      <c r="AA203">
        <f>IF(OR(計分!AA203="",計分!$AP203=""),"",計分!$AP203-計分!AA203)</f>
        <v/>
      </c>
      <c r="AB203">
        <f>IF(OR(計分!AB203="",計分!$AP203=""),"",計分!$AP203-計分!AB203)</f>
        <v/>
      </c>
      <c r="AC203">
        <f>IF(OR(計分!AC203="",計分!$AP203=""),"",計分!$AP203-計分!AC203)</f>
        <v/>
      </c>
      <c r="AD203">
        <f>IF(OR(計分!AD203="",計分!$AP203=""),"",計分!$AP203-計分!AD203)</f>
        <v/>
      </c>
      <c r="AE203">
        <f>IF(OR(計分!AE203="",計分!$AP203=""),"",計分!$AP203-計分!AE203)</f>
        <v/>
      </c>
      <c r="AF203">
        <f>IF(OR(計分!AF203="",計分!$AP203=""),"",計分!$AP203-計分!AF203)</f>
        <v/>
      </c>
      <c r="AG203">
        <f>IF(OR(計分!AG203="",計分!$AP203=""),"",計分!$AP203-計分!AG203)</f>
        <v/>
      </c>
      <c r="AH203">
        <f>IF(OR(計分!AH203="",計分!$AP203=""),"",計分!$AP203-計分!AH203)</f>
        <v/>
      </c>
      <c r="AI203">
        <f>IF(OR(計分!AI203="",計分!$AP203=""),"",計分!$AP203-計分!AI203)</f>
        <v/>
      </c>
      <c r="AJ203">
        <f>IF(OR(計分!AJ203="",計分!$AP203=""),"",計分!$AP203-計分!AJ203)</f>
        <v/>
      </c>
      <c r="AK203">
        <f>IF(OR(計分!AK203="",計分!$AP203=""),"",計分!$AP203-計分!AK203)</f>
        <v/>
      </c>
      <c r="AL203">
        <f>IF(OR(計分!AL203="",計分!$AP203=""),"",計分!$AP203-計分!AL203)</f>
        <v/>
      </c>
      <c r="AM203">
        <f>IF(OR(計分!AM203="",計分!$AP203=""),"",計分!$AP203-計分!AM203)</f>
        <v/>
      </c>
      <c r="AN203">
        <f>IF(OR(計分!AN203="",計分!$AP203=""),"",計分!$AP203-計分!AN203)</f>
        <v/>
      </c>
      <c r="AO203">
        <f>IF(OR(計分!AO203="",計分!$AP203=""),"",計分!$AP203-計分!AO203)</f>
        <v/>
      </c>
    </row>
    <row r="204">
      <c r="A204">
        <f>計分!A204</f>
        <v/>
      </c>
      <c r="B204">
        <f>IF(OR(計分!B204="",計分!$AP204=""),"",計分!$AP204-計分!B204)</f>
        <v/>
      </c>
      <c r="C204">
        <f>IF(OR(計分!C204="",計分!$AP204=""),"",計分!$AP204-計分!C204)</f>
        <v/>
      </c>
      <c r="D204">
        <f>IF(OR(計分!D204="",計分!$AP204=""),"",計分!$AP204-計分!D204)</f>
        <v/>
      </c>
      <c r="E204">
        <f>IF(OR(計分!E204="",計分!$AP204=""),"",計分!$AP204-計分!E204)</f>
        <v/>
      </c>
      <c r="F204">
        <f>IF(OR(計分!F204="",計分!$AP204=""),"",計分!$AP204-計分!F204)</f>
        <v/>
      </c>
      <c r="G204">
        <f>IF(OR(計分!G204="",計分!$AP204=""),"",計分!$AP204-計分!G204)</f>
        <v/>
      </c>
      <c r="H204">
        <f>IF(OR(計分!H204="",計分!$AP204=""),"",計分!$AP204-計分!H204)</f>
        <v/>
      </c>
      <c r="I204">
        <f>IF(OR(計分!I204="",計分!$AP204=""),"",計分!$AP204-計分!I204)</f>
        <v/>
      </c>
      <c r="J204">
        <f>IF(OR(計分!J204="",計分!$AP204=""),"",計分!$AP204-計分!J204)</f>
        <v/>
      </c>
      <c r="K204">
        <f>IF(OR(計分!K204="",計分!$AP204=""),"",計分!$AP204-計分!K204)</f>
        <v/>
      </c>
      <c r="L204">
        <f>IF(OR(計分!L204="",計分!$AP204=""),"",計分!$AP204-計分!L204)</f>
        <v/>
      </c>
      <c r="M204">
        <f>IF(OR(計分!M204="",計分!$AP204=""),"",計分!$AP204-計分!M204)</f>
        <v/>
      </c>
      <c r="N204">
        <f>IF(OR(計分!N204="",計分!$AP204=""),"",計分!$AP204-計分!N204)</f>
        <v/>
      </c>
      <c r="O204">
        <f>IF(OR(計分!O204="",計分!$AP204=""),"",計分!$AP204-計分!O204)</f>
        <v/>
      </c>
      <c r="P204">
        <f>IF(OR(計分!P204="",計分!$AP204=""),"",計分!$AP204-計分!P204)</f>
        <v/>
      </c>
      <c r="Q204">
        <f>IF(OR(計分!Q204="",計分!$AP204=""),"",計分!$AP204-計分!Q204)</f>
        <v/>
      </c>
      <c r="R204">
        <f>IF(OR(計分!R204="",計分!$AP204=""),"",計分!$AP204-計分!R204)</f>
        <v/>
      </c>
      <c r="S204">
        <f>IF(OR(計分!S204="",計分!$AP204=""),"",計分!$AP204-計分!S204)</f>
        <v/>
      </c>
      <c r="T204">
        <f>IF(OR(計分!T204="",計分!$AP204=""),"",計分!$AP204-計分!T204)</f>
        <v/>
      </c>
      <c r="U204">
        <f>IF(OR(計分!U204="",計分!$AP204=""),"",計分!$AP204-計分!U204)</f>
        <v/>
      </c>
      <c r="V204">
        <f>IF(OR(計分!V204="",計分!$AP204=""),"",計分!$AP204-計分!V204)</f>
        <v/>
      </c>
      <c r="W204">
        <f>IF(OR(計分!W204="",計分!$AP204=""),"",計分!$AP204-計分!W204)</f>
        <v/>
      </c>
      <c r="X204">
        <f>IF(OR(計分!X204="",計分!$AP204=""),"",計分!$AP204-計分!X204)</f>
        <v/>
      </c>
      <c r="Y204">
        <f>IF(OR(計分!Y204="",計分!$AP204=""),"",計分!$AP204-計分!Y204)</f>
        <v/>
      </c>
      <c r="Z204">
        <f>IF(OR(計分!Z204="",計分!$AP204=""),"",計分!$AP204-計分!Z204)</f>
        <v/>
      </c>
      <c r="AA204">
        <f>IF(OR(計分!AA204="",計分!$AP204=""),"",計分!$AP204-計分!AA204)</f>
        <v/>
      </c>
      <c r="AB204">
        <f>IF(OR(計分!AB204="",計分!$AP204=""),"",計分!$AP204-計分!AB204)</f>
        <v/>
      </c>
      <c r="AC204">
        <f>IF(OR(計分!AC204="",計分!$AP204=""),"",計分!$AP204-計分!AC204)</f>
        <v/>
      </c>
      <c r="AD204">
        <f>IF(OR(計分!AD204="",計分!$AP204=""),"",計分!$AP204-計分!AD204)</f>
        <v/>
      </c>
      <c r="AE204">
        <f>IF(OR(計分!AE204="",計分!$AP204=""),"",計分!$AP204-計分!AE204)</f>
        <v/>
      </c>
      <c r="AF204">
        <f>IF(OR(計分!AF204="",計分!$AP204=""),"",計分!$AP204-計分!AF204)</f>
        <v/>
      </c>
      <c r="AG204">
        <f>IF(OR(計分!AG204="",計分!$AP204=""),"",計分!$AP204-計分!AG204)</f>
        <v/>
      </c>
      <c r="AH204">
        <f>IF(OR(計分!AH204="",計分!$AP204=""),"",計分!$AP204-計分!AH204)</f>
        <v/>
      </c>
      <c r="AI204">
        <f>IF(OR(計分!AI204="",計分!$AP204=""),"",計分!$AP204-計分!AI204)</f>
        <v/>
      </c>
      <c r="AJ204">
        <f>IF(OR(計分!AJ204="",計分!$AP204=""),"",計分!$AP204-計分!AJ204)</f>
        <v/>
      </c>
      <c r="AK204">
        <f>IF(OR(計分!AK204="",計分!$AP204=""),"",計分!$AP204-計分!AK204)</f>
        <v/>
      </c>
      <c r="AL204">
        <f>IF(OR(計分!AL204="",計分!$AP204=""),"",計分!$AP204-計分!AL204)</f>
        <v/>
      </c>
      <c r="AM204">
        <f>IF(OR(計分!AM204="",計分!$AP204=""),"",計分!$AP204-計分!AM204)</f>
        <v/>
      </c>
      <c r="AN204">
        <f>IF(OR(計分!AN204="",計分!$AP204=""),"",計分!$AP204-計分!AN204)</f>
        <v/>
      </c>
      <c r="AO204">
        <f>IF(OR(計分!AO204="",計分!$AP204=""),"",計分!$AP204-計分!AO204)</f>
        <v/>
      </c>
    </row>
    <row r="205">
      <c r="A205">
        <f>計分!A205</f>
        <v/>
      </c>
      <c r="B205">
        <f>IF(OR(計分!B205="",計分!$AP205=""),"",計分!$AP205-計分!B205)</f>
        <v/>
      </c>
      <c r="C205">
        <f>IF(OR(計分!C205="",計分!$AP205=""),"",計分!$AP205-計分!C205)</f>
        <v/>
      </c>
      <c r="D205">
        <f>IF(OR(計分!D205="",計分!$AP205=""),"",計分!$AP205-計分!D205)</f>
        <v/>
      </c>
      <c r="E205">
        <f>IF(OR(計分!E205="",計分!$AP205=""),"",計分!$AP205-計分!E205)</f>
        <v/>
      </c>
      <c r="F205">
        <f>IF(OR(計分!F205="",計分!$AP205=""),"",計分!$AP205-計分!F205)</f>
        <v/>
      </c>
      <c r="G205">
        <f>IF(OR(計分!G205="",計分!$AP205=""),"",計分!$AP205-計分!G205)</f>
        <v/>
      </c>
      <c r="H205">
        <f>IF(OR(計分!H205="",計分!$AP205=""),"",計分!$AP205-計分!H205)</f>
        <v/>
      </c>
      <c r="I205">
        <f>IF(OR(計分!I205="",計分!$AP205=""),"",計分!$AP205-計分!I205)</f>
        <v/>
      </c>
      <c r="J205">
        <f>IF(OR(計分!J205="",計分!$AP205=""),"",計分!$AP205-計分!J205)</f>
        <v/>
      </c>
      <c r="K205">
        <f>IF(OR(計分!K205="",計分!$AP205=""),"",計分!$AP205-計分!K205)</f>
        <v/>
      </c>
      <c r="L205">
        <f>IF(OR(計分!L205="",計分!$AP205=""),"",計分!$AP205-計分!L205)</f>
        <v/>
      </c>
      <c r="M205">
        <f>IF(OR(計分!M205="",計分!$AP205=""),"",計分!$AP205-計分!M205)</f>
        <v/>
      </c>
      <c r="N205">
        <f>IF(OR(計分!N205="",計分!$AP205=""),"",計分!$AP205-計分!N205)</f>
        <v/>
      </c>
      <c r="O205">
        <f>IF(OR(計分!O205="",計分!$AP205=""),"",計分!$AP205-計分!O205)</f>
        <v/>
      </c>
      <c r="P205">
        <f>IF(OR(計分!P205="",計分!$AP205=""),"",計分!$AP205-計分!P205)</f>
        <v/>
      </c>
      <c r="Q205">
        <f>IF(OR(計分!Q205="",計分!$AP205=""),"",計分!$AP205-計分!Q205)</f>
        <v/>
      </c>
      <c r="R205">
        <f>IF(OR(計分!R205="",計分!$AP205=""),"",計分!$AP205-計分!R205)</f>
        <v/>
      </c>
      <c r="S205">
        <f>IF(OR(計分!S205="",計分!$AP205=""),"",計分!$AP205-計分!S205)</f>
        <v/>
      </c>
      <c r="T205">
        <f>IF(OR(計分!T205="",計分!$AP205=""),"",計分!$AP205-計分!T205)</f>
        <v/>
      </c>
      <c r="U205">
        <f>IF(OR(計分!U205="",計分!$AP205=""),"",計分!$AP205-計分!U205)</f>
        <v/>
      </c>
      <c r="V205">
        <f>IF(OR(計分!V205="",計分!$AP205=""),"",計分!$AP205-計分!V205)</f>
        <v/>
      </c>
      <c r="W205">
        <f>IF(OR(計分!W205="",計分!$AP205=""),"",計分!$AP205-計分!W205)</f>
        <v/>
      </c>
      <c r="X205">
        <f>IF(OR(計分!X205="",計分!$AP205=""),"",計分!$AP205-計分!X205)</f>
        <v/>
      </c>
      <c r="Y205">
        <f>IF(OR(計分!Y205="",計分!$AP205=""),"",計分!$AP205-計分!Y205)</f>
        <v/>
      </c>
      <c r="Z205">
        <f>IF(OR(計分!Z205="",計分!$AP205=""),"",計分!$AP205-計分!Z205)</f>
        <v/>
      </c>
      <c r="AA205">
        <f>IF(OR(計分!AA205="",計分!$AP205=""),"",計分!$AP205-計分!AA205)</f>
        <v/>
      </c>
      <c r="AB205">
        <f>IF(OR(計分!AB205="",計分!$AP205=""),"",計分!$AP205-計分!AB205)</f>
        <v/>
      </c>
      <c r="AC205">
        <f>IF(OR(計分!AC205="",計分!$AP205=""),"",計分!$AP205-計分!AC205)</f>
        <v/>
      </c>
      <c r="AD205">
        <f>IF(OR(計分!AD205="",計分!$AP205=""),"",計分!$AP205-計分!AD205)</f>
        <v/>
      </c>
      <c r="AE205">
        <f>IF(OR(計分!AE205="",計分!$AP205=""),"",計分!$AP205-計分!AE205)</f>
        <v/>
      </c>
      <c r="AF205">
        <f>IF(OR(計分!AF205="",計分!$AP205=""),"",計分!$AP205-計分!AF205)</f>
        <v/>
      </c>
      <c r="AG205">
        <f>IF(OR(計分!AG205="",計分!$AP205=""),"",計分!$AP205-計分!AG205)</f>
        <v/>
      </c>
      <c r="AH205">
        <f>IF(OR(計分!AH205="",計分!$AP205=""),"",計分!$AP205-計分!AH205)</f>
        <v/>
      </c>
      <c r="AI205">
        <f>IF(OR(計分!AI205="",計分!$AP205=""),"",計分!$AP205-計分!AI205)</f>
        <v/>
      </c>
      <c r="AJ205">
        <f>IF(OR(計分!AJ205="",計分!$AP205=""),"",計分!$AP205-計分!AJ205)</f>
        <v/>
      </c>
      <c r="AK205">
        <f>IF(OR(計分!AK205="",計分!$AP205=""),"",計分!$AP205-計分!AK205)</f>
        <v/>
      </c>
      <c r="AL205">
        <f>IF(OR(計分!AL205="",計分!$AP205=""),"",計分!$AP205-計分!AL205)</f>
        <v/>
      </c>
      <c r="AM205">
        <f>IF(OR(計分!AM205="",計分!$AP205=""),"",計分!$AP205-計分!AM205)</f>
        <v/>
      </c>
      <c r="AN205">
        <f>IF(OR(計分!AN205="",計分!$AP205=""),"",計分!$AP205-計分!AN205)</f>
        <v/>
      </c>
      <c r="AO205">
        <f>IF(OR(計分!AO205="",計分!$AP205=""),"",計分!$AP205-計分!AO205)</f>
        <v/>
      </c>
    </row>
    <row r="206">
      <c r="A206">
        <f>計分!A206</f>
        <v/>
      </c>
      <c r="B206">
        <f>IF(OR(計分!B206="",計分!$AP206=""),"",計分!$AP206-計分!B206)</f>
        <v/>
      </c>
      <c r="C206">
        <f>IF(OR(計分!C206="",計分!$AP206=""),"",計分!$AP206-計分!C206)</f>
        <v/>
      </c>
      <c r="D206">
        <f>IF(OR(計分!D206="",計分!$AP206=""),"",計分!$AP206-計分!D206)</f>
        <v/>
      </c>
      <c r="E206">
        <f>IF(OR(計分!E206="",計分!$AP206=""),"",計分!$AP206-計分!E206)</f>
        <v/>
      </c>
      <c r="F206">
        <f>IF(OR(計分!F206="",計分!$AP206=""),"",計分!$AP206-計分!F206)</f>
        <v/>
      </c>
      <c r="G206">
        <f>IF(OR(計分!G206="",計分!$AP206=""),"",計分!$AP206-計分!G206)</f>
        <v/>
      </c>
      <c r="H206">
        <f>IF(OR(計分!H206="",計分!$AP206=""),"",計分!$AP206-計分!H206)</f>
        <v/>
      </c>
      <c r="I206">
        <f>IF(OR(計分!I206="",計分!$AP206=""),"",計分!$AP206-計分!I206)</f>
        <v/>
      </c>
      <c r="J206">
        <f>IF(OR(計分!J206="",計分!$AP206=""),"",計分!$AP206-計分!J206)</f>
        <v/>
      </c>
      <c r="K206">
        <f>IF(OR(計分!K206="",計分!$AP206=""),"",計分!$AP206-計分!K206)</f>
        <v/>
      </c>
      <c r="L206">
        <f>IF(OR(計分!L206="",計分!$AP206=""),"",計分!$AP206-計分!L206)</f>
        <v/>
      </c>
      <c r="M206">
        <f>IF(OR(計分!M206="",計分!$AP206=""),"",計分!$AP206-計分!M206)</f>
        <v/>
      </c>
      <c r="N206">
        <f>IF(OR(計分!N206="",計分!$AP206=""),"",計分!$AP206-計分!N206)</f>
        <v/>
      </c>
      <c r="O206">
        <f>IF(OR(計分!O206="",計分!$AP206=""),"",計分!$AP206-計分!O206)</f>
        <v/>
      </c>
      <c r="P206">
        <f>IF(OR(計分!P206="",計分!$AP206=""),"",計分!$AP206-計分!P206)</f>
        <v/>
      </c>
      <c r="Q206">
        <f>IF(OR(計分!Q206="",計分!$AP206=""),"",計分!$AP206-計分!Q206)</f>
        <v/>
      </c>
      <c r="R206">
        <f>IF(OR(計分!R206="",計分!$AP206=""),"",計分!$AP206-計分!R206)</f>
        <v/>
      </c>
      <c r="S206">
        <f>IF(OR(計分!S206="",計分!$AP206=""),"",計分!$AP206-計分!S206)</f>
        <v/>
      </c>
      <c r="T206">
        <f>IF(OR(計分!T206="",計分!$AP206=""),"",計分!$AP206-計分!T206)</f>
        <v/>
      </c>
      <c r="U206">
        <f>IF(OR(計分!U206="",計分!$AP206=""),"",計分!$AP206-計分!U206)</f>
        <v/>
      </c>
      <c r="V206">
        <f>IF(OR(計分!V206="",計分!$AP206=""),"",計分!$AP206-計分!V206)</f>
        <v/>
      </c>
      <c r="W206">
        <f>IF(OR(計分!W206="",計分!$AP206=""),"",計分!$AP206-計分!W206)</f>
        <v/>
      </c>
      <c r="X206">
        <f>IF(OR(計分!X206="",計分!$AP206=""),"",計分!$AP206-計分!X206)</f>
        <v/>
      </c>
      <c r="Y206">
        <f>IF(OR(計分!Y206="",計分!$AP206=""),"",計分!$AP206-計分!Y206)</f>
        <v/>
      </c>
      <c r="Z206">
        <f>IF(OR(計分!Z206="",計分!$AP206=""),"",計分!$AP206-計分!Z206)</f>
        <v/>
      </c>
      <c r="AA206">
        <f>IF(OR(計分!AA206="",計分!$AP206=""),"",計分!$AP206-計分!AA206)</f>
        <v/>
      </c>
      <c r="AB206">
        <f>IF(OR(計分!AB206="",計分!$AP206=""),"",計分!$AP206-計分!AB206)</f>
        <v/>
      </c>
      <c r="AC206">
        <f>IF(OR(計分!AC206="",計分!$AP206=""),"",計分!$AP206-計分!AC206)</f>
        <v/>
      </c>
      <c r="AD206">
        <f>IF(OR(計分!AD206="",計分!$AP206=""),"",計分!$AP206-計分!AD206)</f>
        <v/>
      </c>
      <c r="AE206">
        <f>IF(OR(計分!AE206="",計分!$AP206=""),"",計分!$AP206-計分!AE206)</f>
        <v/>
      </c>
      <c r="AF206">
        <f>IF(OR(計分!AF206="",計分!$AP206=""),"",計分!$AP206-計分!AF206)</f>
        <v/>
      </c>
      <c r="AG206">
        <f>IF(OR(計分!AG206="",計分!$AP206=""),"",計分!$AP206-計分!AG206)</f>
        <v/>
      </c>
      <c r="AH206">
        <f>IF(OR(計分!AH206="",計分!$AP206=""),"",計分!$AP206-計分!AH206)</f>
        <v/>
      </c>
      <c r="AI206">
        <f>IF(OR(計分!AI206="",計分!$AP206=""),"",計分!$AP206-計分!AI206)</f>
        <v/>
      </c>
      <c r="AJ206">
        <f>IF(OR(計分!AJ206="",計分!$AP206=""),"",計分!$AP206-計分!AJ206)</f>
        <v/>
      </c>
      <c r="AK206">
        <f>IF(OR(計分!AK206="",計分!$AP206=""),"",計分!$AP206-計分!AK206)</f>
        <v/>
      </c>
      <c r="AL206">
        <f>IF(OR(計分!AL206="",計分!$AP206=""),"",計分!$AP206-計分!AL206)</f>
        <v/>
      </c>
      <c r="AM206">
        <f>IF(OR(計分!AM206="",計分!$AP206=""),"",計分!$AP206-計分!AM206)</f>
        <v/>
      </c>
      <c r="AN206">
        <f>IF(OR(計分!AN206="",計分!$AP206=""),"",計分!$AP206-計分!AN206)</f>
        <v/>
      </c>
      <c r="AO206">
        <f>IF(OR(計分!AO206="",計分!$AP206=""),"",計分!$AP206-計分!AO206)</f>
        <v/>
      </c>
    </row>
    <row r="207">
      <c r="A207">
        <f>計分!A207</f>
        <v/>
      </c>
      <c r="B207">
        <f>IF(OR(計分!B207="",計分!$AP207=""),"",計分!$AP207-計分!B207)</f>
        <v/>
      </c>
      <c r="C207">
        <f>IF(OR(計分!C207="",計分!$AP207=""),"",計分!$AP207-計分!C207)</f>
        <v/>
      </c>
      <c r="D207">
        <f>IF(OR(計分!D207="",計分!$AP207=""),"",計分!$AP207-計分!D207)</f>
        <v/>
      </c>
      <c r="E207">
        <f>IF(OR(計分!E207="",計分!$AP207=""),"",計分!$AP207-計分!E207)</f>
        <v/>
      </c>
      <c r="F207">
        <f>IF(OR(計分!F207="",計分!$AP207=""),"",計分!$AP207-計分!F207)</f>
        <v/>
      </c>
      <c r="G207">
        <f>IF(OR(計分!G207="",計分!$AP207=""),"",計分!$AP207-計分!G207)</f>
        <v/>
      </c>
      <c r="H207">
        <f>IF(OR(計分!H207="",計分!$AP207=""),"",計分!$AP207-計分!H207)</f>
        <v/>
      </c>
      <c r="I207">
        <f>IF(OR(計分!I207="",計分!$AP207=""),"",計分!$AP207-計分!I207)</f>
        <v/>
      </c>
      <c r="J207">
        <f>IF(OR(計分!J207="",計分!$AP207=""),"",計分!$AP207-計分!J207)</f>
        <v/>
      </c>
      <c r="K207">
        <f>IF(OR(計分!K207="",計分!$AP207=""),"",計分!$AP207-計分!K207)</f>
        <v/>
      </c>
      <c r="L207">
        <f>IF(OR(計分!L207="",計分!$AP207=""),"",計分!$AP207-計分!L207)</f>
        <v/>
      </c>
      <c r="M207">
        <f>IF(OR(計分!M207="",計分!$AP207=""),"",計分!$AP207-計分!M207)</f>
        <v/>
      </c>
      <c r="N207">
        <f>IF(OR(計分!N207="",計分!$AP207=""),"",計分!$AP207-計分!N207)</f>
        <v/>
      </c>
      <c r="O207">
        <f>IF(OR(計分!O207="",計分!$AP207=""),"",計分!$AP207-計分!O207)</f>
        <v/>
      </c>
      <c r="P207">
        <f>IF(OR(計分!P207="",計分!$AP207=""),"",計分!$AP207-計分!P207)</f>
        <v/>
      </c>
      <c r="Q207">
        <f>IF(OR(計分!Q207="",計分!$AP207=""),"",計分!$AP207-計分!Q207)</f>
        <v/>
      </c>
      <c r="R207">
        <f>IF(OR(計分!R207="",計分!$AP207=""),"",計分!$AP207-計分!R207)</f>
        <v/>
      </c>
      <c r="S207">
        <f>IF(OR(計分!S207="",計分!$AP207=""),"",計分!$AP207-計分!S207)</f>
        <v/>
      </c>
      <c r="T207">
        <f>IF(OR(計分!T207="",計分!$AP207=""),"",計分!$AP207-計分!T207)</f>
        <v/>
      </c>
      <c r="U207">
        <f>IF(OR(計分!U207="",計分!$AP207=""),"",計分!$AP207-計分!U207)</f>
        <v/>
      </c>
      <c r="V207">
        <f>IF(OR(計分!V207="",計分!$AP207=""),"",計分!$AP207-計分!V207)</f>
        <v/>
      </c>
      <c r="W207">
        <f>IF(OR(計分!W207="",計分!$AP207=""),"",計分!$AP207-計分!W207)</f>
        <v/>
      </c>
      <c r="X207">
        <f>IF(OR(計分!X207="",計分!$AP207=""),"",計分!$AP207-計分!X207)</f>
        <v/>
      </c>
      <c r="Y207">
        <f>IF(OR(計分!Y207="",計分!$AP207=""),"",計分!$AP207-計分!Y207)</f>
        <v/>
      </c>
      <c r="Z207">
        <f>IF(OR(計分!Z207="",計分!$AP207=""),"",計分!$AP207-計分!Z207)</f>
        <v/>
      </c>
      <c r="AA207">
        <f>IF(OR(計分!AA207="",計分!$AP207=""),"",計分!$AP207-計分!AA207)</f>
        <v/>
      </c>
      <c r="AB207">
        <f>IF(OR(計分!AB207="",計分!$AP207=""),"",計分!$AP207-計分!AB207)</f>
        <v/>
      </c>
      <c r="AC207">
        <f>IF(OR(計分!AC207="",計分!$AP207=""),"",計分!$AP207-計分!AC207)</f>
        <v/>
      </c>
      <c r="AD207">
        <f>IF(OR(計分!AD207="",計分!$AP207=""),"",計分!$AP207-計分!AD207)</f>
        <v/>
      </c>
      <c r="AE207">
        <f>IF(OR(計分!AE207="",計分!$AP207=""),"",計分!$AP207-計分!AE207)</f>
        <v/>
      </c>
      <c r="AF207">
        <f>IF(OR(計分!AF207="",計分!$AP207=""),"",計分!$AP207-計分!AF207)</f>
        <v/>
      </c>
      <c r="AG207">
        <f>IF(OR(計分!AG207="",計分!$AP207=""),"",計分!$AP207-計分!AG207)</f>
        <v/>
      </c>
      <c r="AH207">
        <f>IF(OR(計分!AH207="",計分!$AP207=""),"",計分!$AP207-計分!AH207)</f>
        <v/>
      </c>
      <c r="AI207">
        <f>IF(OR(計分!AI207="",計分!$AP207=""),"",計分!$AP207-計分!AI207)</f>
        <v/>
      </c>
      <c r="AJ207">
        <f>IF(OR(計分!AJ207="",計分!$AP207=""),"",計分!$AP207-計分!AJ207)</f>
        <v/>
      </c>
      <c r="AK207">
        <f>IF(OR(計分!AK207="",計分!$AP207=""),"",計分!$AP207-計分!AK207)</f>
        <v/>
      </c>
      <c r="AL207">
        <f>IF(OR(計分!AL207="",計分!$AP207=""),"",計分!$AP207-計分!AL207)</f>
        <v/>
      </c>
      <c r="AM207">
        <f>IF(OR(計分!AM207="",計分!$AP207=""),"",計分!$AP207-計分!AM207)</f>
        <v/>
      </c>
      <c r="AN207">
        <f>IF(OR(計分!AN207="",計分!$AP207=""),"",計分!$AP207-計分!AN207)</f>
        <v/>
      </c>
      <c r="AO207">
        <f>IF(OR(計分!AO207="",計分!$AP207=""),"",計分!$AP207-計分!AO207)</f>
        <v/>
      </c>
    </row>
    <row r="208">
      <c r="A208">
        <f>計分!A208</f>
        <v/>
      </c>
      <c r="B208">
        <f>IF(OR(計分!B208="",計分!$AP208=""),"",計分!$AP208-計分!B208)</f>
        <v/>
      </c>
      <c r="C208">
        <f>IF(OR(計分!C208="",計分!$AP208=""),"",計分!$AP208-計分!C208)</f>
        <v/>
      </c>
      <c r="D208">
        <f>IF(OR(計分!D208="",計分!$AP208=""),"",計分!$AP208-計分!D208)</f>
        <v/>
      </c>
      <c r="E208">
        <f>IF(OR(計分!E208="",計分!$AP208=""),"",計分!$AP208-計分!E208)</f>
        <v/>
      </c>
      <c r="F208">
        <f>IF(OR(計分!F208="",計分!$AP208=""),"",計分!$AP208-計分!F208)</f>
        <v/>
      </c>
      <c r="G208">
        <f>IF(OR(計分!G208="",計分!$AP208=""),"",計分!$AP208-計分!G208)</f>
        <v/>
      </c>
      <c r="H208">
        <f>IF(OR(計分!H208="",計分!$AP208=""),"",計分!$AP208-計分!H208)</f>
        <v/>
      </c>
      <c r="I208">
        <f>IF(OR(計分!I208="",計分!$AP208=""),"",計分!$AP208-計分!I208)</f>
        <v/>
      </c>
      <c r="J208">
        <f>IF(OR(計分!J208="",計分!$AP208=""),"",計分!$AP208-計分!J208)</f>
        <v/>
      </c>
      <c r="K208">
        <f>IF(OR(計分!K208="",計分!$AP208=""),"",計分!$AP208-計分!K208)</f>
        <v/>
      </c>
      <c r="L208">
        <f>IF(OR(計分!L208="",計分!$AP208=""),"",計分!$AP208-計分!L208)</f>
        <v/>
      </c>
      <c r="M208">
        <f>IF(OR(計分!M208="",計分!$AP208=""),"",計分!$AP208-計分!M208)</f>
        <v/>
      </c>
      <c r="N208">
        <f>IF(OR(計分!N208="",計分!$AP208=""),"",計分!$AP208-計分!N208)</f>
        <v/>
      </c>
      <c r="O208">
        <f>IF(OR(計分!O208="",計分!$AP208=""),"",計分!$AP208-計分!O208)</f>
        <v/>
      </c>
      <c r="P208">
        <f>IF(OR(計分!P208="",計分!$AP208=""),"",計分!$AP208-計分!P208)</f>
        <v/>
      </c>
      <c r="Q208">
        <f>IF(OR(計分!Q208="",計分!$AP208=""),"",計分!$AP208-計分!Q208)</f>
        <v/>
      </c>
      <c r="R208">
        <f>IF(OR(計分!R208="",計分!$AP208=""),"",計分!$AP208-計分!R208)</f>
        <v/>
      </c>
      <c r="S208">
        <f>IF(OR(計分!S208="",計分!$AP208=""),"",計分!$AP208-計分!S208)</f>
        <v/>
      </c>
      <c r="T208">
        <f>IF(OR(計分!T208="",計分!$AP208=""),"",計分!$AP208-計分!T208)</f>
        <v/>
      </c>
      <c r="U208">
        <f>IF(OR(計分!U208="",計分!$AP208=""),"",計分!$AP208-計分!U208)</f>
        <v/>
      </c>
      <c r="V208">
        <f>IF(OR(計分!V208="",計分!$AP208=""),"",計分!$AP208-計分!V208)</f>
        <v/>
      </c>
      <c r="W208">
        <f>IF(OR(計分!W208="",計分!$AP208=""),"",計分!$AP208-計分!W208)</f>
        <v/>
      </c>
      <c r="X208">
        <f>IF(OR(計分!X208="",計分!$AP208=""),"",計分!$AP208-計分!X208)</f>
        <v/>
      </c>
      <c r="Y208">
        <f>IF(OR(計分!Y208="",計分!$AP208=""),"",計分!$AP208-計分!Y208)</f>
        <v/>
      </c>
      <c r="Z208">
        <f>IF(OR(計分!Z208="",計分!$AP208=""),"",計分!$AP208-計分!Z208)</f>
        <v/>
      </c>
      <c r="AA208">
        <f>IF(OR(計分!AA208="",計分!$AP208=""),"",計分!$AP208-計分!AA208)</f>
        <v/>
      </c>
      <c r="AB208">
        <f>IF(OR(計分!AB208="",計分!$AP208=""),"",計分!$AP208-計分!AB208)</f>
        <v/>
      </c>
      <c r="AC208">
        <f>IF(OR(計分!AC208="",計分!$AP208=""),"",計分!$AP208-計分!AC208)</f>
        <v/>
      </c>
      <c r="AD208">
        <f>IF(OR(計分!AD208="",計分!$AP208=""),"",計分!$AP208-計分!AD208)</f>
        <v/>
      </c>
      <c r="AE208">
        <f>IF(OR(計分!AE208="",計分!$AP208=""),"",計分!$AP208-計分!AE208)</f>
        <v/>
      </c>
      <c r="AF208">
        <f>IF(OR(計分!AF208="",計分!$AP208=""),"",計分!$AP208-計分!AF208)</f>
        <v/>
      </c>
      <c r="AG208">
        <f>IF(OR(計分!AG208="",計分!$AP208=""),"",計分!$AP208-計分!AG208)</f>
        <v/>
      </c>
      <c r="AH208">
        <f>IF(OR(計分!AH208="",計分!$AP208=""),"",計分!$AP208-計分!AH208)</f>
        <v/>
      </c>
      <c r="AI208">
        <f>IF(OR(計分!AI208="",計分!$AP208=""),"",計分!$AP208-計分!AI208)</f>
        <v/>
      </c>
      <c r="AJ208">
        <f>IF(OR(計分!AJ208="",計分!$AP208=""),"",計分!$AP208-計分!AJ208)</f>
        <v/>
      </c>
      <c r="AK208">
        <f>IF(OR(計分!AK208="",計分!$AP208=""),"",計分!$AP208-計分!AK208)</f>
        <v/>
      </c>
      <c r="AL208">
        <f>IF(OR(計分!AL208="",計分!$AP208=""),"",計分!$AP208-計分!AL208)</f>
        <v/>
      </c>
      <c r="AM208">
        <f>IF(OR(計分!AM208="",計分!$AP208=""),"",計分!$AP208-計分!AM208)</f>
        <v/>
      </c>
      <c r="AN208">
        <f>IF(OR(計分!AN208="",計分!$AP208=""),"",計分!$AP208-計分!AN208)</f>
        <v/>
      </c>
      <c r="AO208">
        <f>IF(OR(計分!AO208="",計分!$AP208=""),"",計分!$AP208-計分!AO208)</f>
        <v/>
      </c>
    </row>
    <row r="209">
      <c r="A209">
        <f>計分!A209</f>
        <v/>
      </c>
      <c r="B209">
        <f>IF(OR(計分!B209="",計分!$AP209=""),"",計分!$AP209-計分!B209)</f>
        <v/>
      </c>
      <c r="C209">
        <f>IF(OR(計分!C209="",計分!$AP209=""),"",計分!$AP209-計分!C209)</f>
        <v/>
      </c>
      <c r="D209">
        <f>IF(OR(計分!D209="",計分!$AP209=""),"",計分!$AP209-計分!D209)</f>
        <v/>
      </c>
      <c r="E209">
        <f>IF(OR(計分!E209="",計分!$AP209=""),"",計分!$AP209-計分!E209)</f>
        <v/>
      </c>
      <c r="F209">
        <f>IF(OR(計分!F209="",計分!$AP209=""),"",計分!$AP209-計分!F209)</f>
        <v/>
      </c>
      <c r="G209">
        <f>IF(OR(計分!G209="",計分!$AP209=""),"",計分!$AP209-計分!G209)</f>
        <v/>
      </c>
      <c r="H209">
        <f>IF(OR(計分!H209="",計分!$AP209=""),"",計分!$AP209-計分!H209)</f>
        <v/>
      </c>
      <c r="I209">
        <f>IF(OR(計分!I209="",計分!$AP209=""),"",計分!$AP209-計分!I209)</f>
        <v/>
      </c>
      <c r="J209">
        <f>IF(OR(計分!J209="",計分!$AP209=""),"",計分!$AP209-計分!J209)</f>
        <v/>
      </c>
      <c r="K209">
        <f>IF(OR(計分!K209="",計分!$AP209=""),"",計分!$AP209-計分!K209)</f>
        <v/>
      </c>
      <c r="L209">
        <f>IF(OR(計分!L209="",計分!$AP209=""),"",計分!$AP209-計分!L209)</f>
        <v/>
      </c>
      <c r="M209">
        <f>IF(OR(計分!M209="",計分!$AP209=""),"",計分!$AP209-計分!M209)</f>
        <v/>
      </c>
      <c r="N209">
        <f>IF(OR(計分!N209="",計分!$AP209=""),"",計分!$AP209-計分!N209)</f>
        <v/>
      </c>
      <c r="O209">
        <f>IF(OR(計分!O209="",計分!$AP209=""),"",計分!$AP209-計分!O209)</f>
        <v/>
      </c>
      <c r="P209">
        <f>IF(OR(計分!P209="",計分!$AP209=""),"",計分!$AP209-計分!P209)</f>
        <v/>
      </c>
      <c r="Q209">
        <f>IF(OR(計分!Q209="",計分!$AP209=""),"",計分!$AP209-計分!Q209)</f>
        <v/>
      </c>
      <c r="R209">
        <f>IF(OR(計分!R209="",計分!$AP209=""),"",計分!$AP209-計分!R209)</f>
        <v/>
      </c>
      <c r="S209">
        <f>IF(OR(計分!S209="",計分!$AP209=""),"",計分!$AP209-計分!S209)</f>
        <v/>
      </c>
      <c r="T209">
        <f>IF(OR(計分!T209="",計分!$AP209=""),"",計分!$AP209-計分!T209)</f>
        <v/>
      </c>
      <c r="U209">
        <f>IF(OR(計分!U209="",計分!$AP209=""),"",計分!$AP209-計分!U209)</f>
        <v/>
      </c>
      <c r="V209">
        <f>IF(OR(計分!V209="",計分!$AP209=""),"",計分!$AP209-計分!V209)</f>
        <v/>
      </c>
      <c r="W209">
        <f>IF(OR(計分!W209="",計分!$AP209=""),"",計分!$AP209-計分!W209)</f>
        <v/>
      </c>
      <c r="X209">
        <f>IF(OR(計分!X209="",計分!$AP209=""),"",計分!$AP209-計分!X209)</f>
        <v/>
      </c>
      <c r="Y209">
        <f>IF(OR(計分!Y209="",計分!$AP209=""),"",計分!$AP209-計分!Y209)</f>
        <v/>
      </c>
      <c r="Z209">
        <f>IF(OR(計分!Z209="",計分!$AP209=""),"",計分!$AP209-計分!Z209)</f>
        <v/>
      </c>
      <c r="AA209">
        <f>IF(OR(計分!AA209="",計分!$AP209=""),"",計分!$AP209-計分!AA209)</f>
        <v/>
      </c>
      <c r="AB209">
        <f>IF(OR(計分!AB209="",計分!$AP209=""),"",計分!$AP209-計分!AB209)</f>
        <v/>
      </c>
      <c r="AC209">
        <f>IF(OR(計分!AC209="",計分!$AP209=""),"",計分!$AP209-計分!AC209)</f>
        <v/>
      </c>
      <c r="AD209">
        <f>IF(OR(計分!AD209="",計分!$AP209=""),"",計分!$AP209-計分!AD209)</f>
        <v/>
      </c>
      <c r="AE209">
        <f>IF(OR(計分!AE209="",計分!$AP209=""),"",計分!$AP209-計分!AE209)</f>
        <v/>
      </c>
      <c r="AF209">
        <f>IF(OR(計分!AF209="",計分!$AP209=""),"",計分!$AP209-計分!AF209)</f>
        <v/>
      </c>
      <c r="AG209">
        <f>IF(OR(計分!AG209="",計分!$AP209=""),"",計分!$AP209-計分!AG209)</f>
        <v/>
      </c>
      <c r="AH209">
        <f>IF(OR(計分!AH209="",計分!$AP209=""),"",計分!$AP209-計分!AH209)</f>
        <v/>
      </c>
      <c r="AI209">
        <f>IF(OR(計分!AI209="",計分!$AP209=""),"",計分!$AP209-計分!AI209)</f>
        <v/>
      </c>
      <c r="AJ209">
        <f>IF(OR(計分!AJ209="",計分!$AP209=""),"",計分!$AP209-計分!AJ209)</f>
        <v/>
      </c>
      <c r="AK209">
        <f>IF(OR(計分!AK209="",計分!$AP209=""),"",計分!$AP209-計分!AK209)</f>
        <v/>
      </c>
      <c r="AL209">
        <f>IF(OR(計分!AL209="",計分!$AP209=""),"",計分!$AP209-計分!AL209)</f>
        <v/>
      </c>
      <c r="AM209">
        <f>IF(OR(計分!AM209="",計分!$AP209=""),"",計分!$AP209-計分!AM209)</f>
        <v/>
      </c>
      <c r="AN209">
        <f>IF(OR(計分!AN209="",計分!$AP209=""),"",計分!$AP209-計分!AN209)</f>
        <v/>
      </c>
      <c r="AO209">
        <f>IF(OR(計分!AO209="",計分!$AP209=""),"",計分!$AP209-計分!AO209)</f>
        <v/>
      </c>
    </row>
    <row r="210">
      <c r="A210">
        <f>計分!A210</f>
        <v/>
      </c>
      <c r="B210">
        <f>IF(OR(計分!B210="",計分!$AP210=""),"",計分!$AP210-計分!B210)</f>
        <v/>
      </c>
      <c r="C210">
        <f>IF(OR(計分!C210="",計分!$AP210=""),"",計分!$AP210-計分!C210)</f>
        <v/>
      </c>
      <c r="D210">
        <f>IF(OR(計分!D210="",計分!$AP210=""),"",計分!$AP210-計分!D210)</f>
        <v/>
      </c>
      <c r="E210">
        <f>IF(OR(計分!E210="",計分!$AP210=""),"",計分!$AP210-計分!E210)</f>
        <v/>
      </c>
      <c r="F210">
        <f>IF(OR(計分!F210="",計分!$AP210=""),"",計分!$AP210-計分!F210)</f>
        <v/>
      </c>
      <c r="G210">
        <f>IF(OR(計分!G210="",計分!$AP210=""),"",計分!$AP210-計分!G210)</f>
        <v/>
      </c>
      <c r="H210">
        <f>IF(OR(計分!H210="",計分!$AP210=""),"",計分!$AP210-計分!H210)</f>
        <v/>
      </c>
      <c r="I210">
        <f>IF(OR(計分!I210="",計分!$AP210=""),"",計分!$AP210-計分!I210)</f>
        <v/>
      </c>
      <c r="J210">
        <f>IF(OR(計分!J210="",計分!$AP210=""),"",計分!$AP210-計分!J210)</f>
        <v/>
      </c>
      <c r="K210">
        <f>IF(OR(計分!K210="",計分!$AP210=""),"",計分!$AP210-計分!K210)</f>
        <v/>
      </c>
      <c r="L210">
        <f>IF(OR(計分!L210="",計分!$AP210=""),"",計分!$AP210-計分!L210)</f>
        <v/>
      </c>
      <c r="M210">
        <f>IF(OR(計分!M210="",計分!$AP210=""),"",計分!$AP210-計分!M210)</f>
        <v/>
      </c>
      <c r="N210">
        <f>IF(OR(計分!N210="",計分!$AP210=""),"",計分!$AP210-計分!N210)</f>
        <v/>
      </c>
      <c r="O210">
        <f>IF(OR(計分!O210="",計分!$AP210=""),"",計分!$AP210-計分!O210)</f>
        <v/>
      </c>
      <c r="P210">
        <f>IF(OR(計分!P210="",計分!$AP210=""),"",計分!$AP210-計分!P210)</f>
        <v/>
      </c>
      <c r="Q210">
        <f>IF(OR(計分!Q210="",計分!$AP210=""),"",計分!$AP210-計分!Q210)</f>
        <v/>
      </c>
      <c r="R210">
        <f>IF(OR(計分!R210="",計分!$AP210=""),"",計分!$AP210-計分!R210)</f>
        <v/>
      </c>
      <c r="S210">
        <f>IF(OR(計分!S210="",計分!$AP210=""),"",計分!$AP210-計分!S210)</f>
        <v/>
      </c>
      <c r="T210">
        <f>IF(OR(計分!T210="",計分!$AP210=""),"",計分!$AP210-計分!T210)</f>
        <v/>
      </c>
      <c r="U210">
        <f>IF(OR(計分!U210="",計分!$AP210=""),"",計分!$AP210-計分!U210)</f>
        <v/>
      </c>
      <c r="V210">
        <f>IF(OR(計分!V210="",計分!$AP210=""),"",計分!$AP210-計分!V210)</f>
        <v/>
      </c>
      <c r="W210">
        <f>IF(OR(計分!W210="",計分!$AP210=""),"",計分!$AP210-計分!W210)</f>
        <v/>
      </c>
      <c r="X210">
        <f>IF(OR(計分!X210="",計分!$AP210=""),"",計分!$AP210-計分!X210)</f>
        <v/>
      </c>
      <c r="Y210">
        <f>IF(OR(計分!Y210="",計分!$AP210=""),"",計分!$AP210-計分!Y210)</f>
        <v/>
      </c>
      <c r="Z210">
        <f>IF(OR(計分!Z210="",計分!$AP210=""),"",計分!$AP210-計分!Z210)</f>
        <v/>
      </c>
      <c r="AA210">
        <f>IF(OR(計分!AA210="",計分!$AP210=""),"",計分!$AP210-計分!AA210)</f>
        <v/>
      </c>
      <c r="AB210">
        <f>IF(OR(計分!AB210="",計分!$AP210=""),"",計分!$AP210-計分!AB210)</f>
        <v/>
      </c>
      <c r="AC210">
        <f>IF(OR(計分!AC210="",計分!$AP210=""),"",計分!$AP210-計分!AC210)</f>
        <v/>
      </c>
      <c r="AD210">
        <f>IF(OR(計分!AD210="",計分!$AP210=""),"",計分!$AP210-計分!AD210)</f>
        <v/>
      </c>
      <c r="AE210">
        <f>IF(OR(計分!AE210="",計分!$AP210=""),"",計分!$AP210-計分!AE210)</f>
        <v/>
      </c>
      <c r="AF210">
        <f>IF(OR(計分!AF210="",計分!$AP210=""),"",計分!$AP210-計分!AF210)</f>
        <v/>
      </c>
      <c r="AG210">
        <f>IF(OR(計分!AG210="",計分!$AP210=""),"",計分!$AP210-計分!AG210)</f>
        <v/>
      </c>
      <c r="AH210">
        <f>IF(OR(計分!AH210="",計分!$AP210=""),"",計分!$AP210-計分!AH210)</f>
        <v/>
      </c>
      <c r="AI210">
        <f>IF(OR(計分!AI210="",計分!$AP210=""),"",計分!$AP210-計分!AI210)</f>
        <v/>
      </c>
      <c r="AJ210">
        <f>IF(OR(計分!AJ210="",計分!$AP210=""),"",計分!$AP210-計分!AJ210)</f>
        <v/>
      </c>
      <c r="AK210">
        <f>IF(OR(計分!AK210="",計分!$AP210=""),"",計分!$AP210-計分!AK210)</f>
        <v/>
      </c>
      <c r="AL210">
        <f>IF(OR(計分!AL210="",計分!$AP210=""),"",計分!$AP210-計分!AL210)</f>
        <v/>
      </c>
      <c r="AM210">
        <f>IF(OR(計分!AM210="",計分!$AP210=""),"",計分!$AP210-計分!AM210)</f>
        <v/>
      </c>
      <c r="AN210">
        <f>IF(OR(計分!AN210="",計分!$AP210=""),"",計分!$AP210-計分!AN210)</f>
        <v/>
      </c>
      <c r="AO210">
        <f>IF(OR(計分!AO210="",計分!$AP210=""),"",計分!$AP210-計分!AO210)</f>
        <v/>
      </c>
    </row>
    <row r="211">
      <c r="A211">
        <f>計分!A211</f>
        <v/>
      </c>
      <c r="B211">
        <f>IF(OR(計分!B211="",計分!$AP211=""),"",計分!$AP211-計分!B211)</f>
        <v/>
      </c>
      <c r="C211">
        <f>IF(OR(計分!C211="",計分!$AP211=""),"",計分!$AP211-計分!C211)</f>
        <v/>
      </c>
      <c r="D211">
        <f>IF(OR(計分!D211="",計分!$AP211=""),"",計分!$AP211-計分!D211)</f>
        <v/>
      </c>
      <c r="E211">
        <f>IF(OR(計分!E211="",計分!$AP211=""),"",計分!$AP211-計分!E211)</f>
        <v/>
      </c>
      <c r="F211">
        <f>IF(OR(計分!F211="",計分!$AP211=""),"",計分!$AP211-計分!F211)</f>
        <v/>
      </c>
      <c r="G211">
        <f>IF(OR(計分!G211="",計分!$AP211=""),"",計分!$AP211-計分!G211)</f>
        <v/>
      </c>
      <c r="H211">
        <f>IF(OR(計分!H211="",計分!$AP211=""),"",計分!$AP211-計分!H211)</f>
        <v/>
      </c>
      <c r="I211">
        <f>IF(OR(計分!I211="",計分!$AP211=""),"",計分!$AP211-計分!I211)</f>
        <v/>
      </c>
      <c r="J211">
        <f>IF(OR(計分!J211="",計分!$AP211=""),"",計分!$AP211-計分!J211)</f>
        <v/>
      </c>
      <c r="K211">
        <f>IF(OR(計分!K211="",計分!$AP211=""),"",計分!$AP211-計分!K211)</f>
        <v/>
      </c>
      <c r="L211">
        <f>IF(OR(計分!L211="",計分!$AP211=""),"",計分!$AP211-計分!L211)</f>
        <v/>
      </c>
      <c r="M211">
        <f>IF(OR(計分!M211="",計分!$AP211=""),"",計分!$AP211-計分!M211)</f>
        <v/>
      </c>
      <c r="N211">
        <f>IF(OR(計分!N211="",計分!$AP211=""),"",計分!$AP211-計分!N211)</f>
        <v/>
      </c>
      <c r="O211">
        <f>IF(OR(計分!O211="",計分!$AP211=""),"",計分!$AP211-計分!O211)</f>
        <v/>
      </c>
      <c r="P211">
        <f>IF(OR(計分!P211="",計分!$AP211=""),"",計分!$AP211-計分!P211)</f>
        <v/>
      </c>
      <c r="Q211">
        <f>IF(OR(計分!Q211="",計分!$AP211=""),"",計分!$AP211-計分!Q211)</f>
        <v/>
      </c>
      <c r="R211">
        <f>IF(OR(計分!R211="",計分!$AP211=""),"",計分!$AP211-計分!R211)</f>
        <v/>
      </c>
      <c r="S211">
        <f>IF(OR(計分!S211="",計分!$AP211=""),"",計分!$AP211-計分!S211)</f>
        <v/>
      </c>
      <c r="T211">
        <f>IF(OR(計分!T211="",計分!$AP211=""),"",計分!$AP211-計分!T211)</f>
        <v/>
      </c>
      <c r="U211">
        <f>IF(OR(計分!U211="",計分!$AP211=""),"",計分!$AP211-計分!U211)</f>
        <v/>
      </c>
      <c r="V211">
        <f>IF(OR(計分!V211="",計分!$AP211=""),"",計分!$AP211-計分!V211)</f>
        <v/>
      </c>
      <c r="W211">
        <f>IF(OR(計分!W211="",計分!$AP211=""),"",計分!$AP211-計分!W211)</f>
        <v/>
      </c>
      <c r="X211">
        <f>IF(OR(計分!X211="",計分!$AP211=""),"",計分!$AP211-計分!X211)</f>
        <v/>
      </c>
      <c r="Y211">
        <f>IF(OR(計分!Y211="",計分!$AP211=""),"",計分!$AP211-計分!Y211)</f>
        <v/>
      </c>
      <c r="Z211">
        <f>IF(OR(計分!Z211="",計分!$AP211=""),"",計分!$AP211-計分!Z211)</f>
        <v/>
      </c>
      <c r="AA211">
        <f>IF(OR(計分!AA211="",計分!$AP211=""),"",計分!$AP211-計分!AA211)</f>
        <v/>
      </c>
      <c r="AB211">
        <f>IF(OR(計分!AB211="",計分!$AP211=""),"",計分!$AP211-計分!AB211)</f>
        <v/>
      </c>
      <c r="AC211">
        <f>IF(OR(計分!AC211="",計分!$AP211=""),"",計分!$AP211-計分!AC211)</f>
        <v/>
      </c>
      <c r="AD211">
        <f>IF(OR(計分!AD211="",計分!$AP211=""),"",計分!$AP211-計分!AD211)</f>
        <v/>
      </c>
      <c r="AE211">
        <f>IF(OR(計分!AE211="",計分!$AP211=""),"",計分!$AP211-計分!AE211)</f>
        <v/>
      </c>
      <c r="AF211">
        <f>IF(OR(計分!AF211="",計分!$AP211=""),"",計分!$AP211-計分!AF211)</f>
        <v/>
      </c>
      <c r="AG211">
        <f>IF(OR(計分!AG211="",計分!$AP211=""),"",計分!$AP211-計分!AG211)</f>
        <v/>
      </c>
      <c r="AH211">
        <f>IF(OR(計分!AH211="",計分!$AP211=""),"",計分!$AP211-計分!AH211)</f>
        <v/>
      </c>
      <c r="AI211">
        <f>IF(OR(計分!AI211="",計分!$AP211=""),"",計分!$AP211-計分!AI211)</f>
        <v/>
      </c>
      <c r="AJ211">
        <f>IF(OR(計分!AJ211="",計分!$AP211=""),"",計分!$AP211-計分!AJ211)</f>
        <v/>
      </c>
      <c r="AK211">
        <f>IF(OR(計分!AK211="",計分!$AP211=""),"",計分!$AP211-計分!AK211)</f>
        <v/>
      </c>
      <c r="AL211">
        <f>IF(OR(計分!AL211="",計分!$AP211=""),"",計分!$AP211-計分!AL211)</f>
        <v/>
      </c>
      <c r="AM211">
        <f>IF(OR(計分!AM211="",計分!$AP211=""),"",計分!$AP211-計分!AM211)</f>
        <v/>
      </c>
      <c r="AN211">
        <f>IF(OR(計分!AN211="",計分!$AP211=""),"",計分!$AP211-計分!AN211)</f>
        <v/>
      </c>
      <c r="AO211">
        <f>IF(OR(計分!AO211="",計分!$AP211=""),"",計分!$AP211-計分!AO211)</f>
        <v/>
      </c>
    </row>
    <row r="212">
      <c r="A212">
        <f>計分!A212</f>
        <v/>
      </c>
      <c r="B212">
        <f>IF(OR(計分!B212="",計分!$AP212=""),"",計分!$AP212-計分!B212)</f>
        <v/>
      </c>
      <c r="C212">
        <f>IF(OR(計分!C212="",計分!$AP212=""),"",計分!$AP212-計分!C212)</f>
        <v/>
      </c>
      <c r="D212">
        <f>IF(OR(計分!D212="",計分!$AP212=""),"",計分!$AP212-計分!D212)</f>
        <v/>
      </c>
      <c r="E212">
        <f>IF(OR(計分!E212="",計分!$AP212=""),"",計分!$AP212-計分!E212)</f>
        <v/>
      </c>
      <c r="F212">
        <f>IF(OR(計分!F212="",計分!$AP212=""),"",計分!$AP212-計分!F212)</f>
        <v/>
      </c>
      <c r="G212">
        <f>IF(OR(計分!G212="",計分!$AP212=""),"",計分!$AP212-計分!G212)</f>
        <v/>
      </c>
      <c r="H212">
        <f>IF(OR(計分!H212="",計分!$AP212=""),"",計分!$AP212-計分!H212)</f>
        <v/>
      </c>
      <c r="I212">
        <f>IF(OR(計分!I212="",計分!$AP212=""),"",計分!$AP212-計分!I212)</f>
        <v/>
      </c>
      <c r="J212">
        <f>IF(OR(計分!J212="",計分!$AP212=""),"",計分!$AP212-計分!J212)</f>
        <v/>
      </c>
      <c r="K212">
        <f>IF(OR(計分!K212="",計分!$AP212=""),"",計分!$AP212-計分!K212)</f>
        <v/>
      </c>
      <c r="L212">
        <f>IF(OR(計分!L212="",計分!$AP212=""),"",計分!$AP212-計分!L212)</f>
        <v/>
      </c>
      <c r="M212">
        <f>IF(OR(計分!M212="",計分!$AP212=""),"",計分!$AP212-計分!M212)</f>
        <v/>
      </c>
      <c r="N212">
        <f>IF(OR(計分!N212="",計分!$AP212=""),"",計分!$AP212-計分!N212)</f>
        <v/>
      </c>
      <c r="O212">
        <f>IF(OR(計分!O212="",計分!$AP212=""),"",計分!$AP212-計分!O212)</f>
        <v/>
      </c>
      <c r="P212">
        <f>IF(OR(計分!P212="",計分!$AP212=""),"",計分!$AP212-計分!P212)</f>
        <v/>
      </c>
      <c r="Q212">
        <f>IF(OR(計分!Q212="",計分!$AP212=""),"",計分!$AP212-計分!Q212)</f>
        <v/>
      </c>
      <c r="R212">
        <f>IF(OR(計分!R212="",計分!$AP212=""),"",計分!$AP212-計分!R212)</f>
        <v/>
      </c>
      <c r="S212">
        <f>IF(OR(計分!S212="",計分!$AP212=""),"",計分!$AP212-計分!S212)</f>
        <v/>
      </c>
      <c r="T212">
        <f>IF(OR(計分!T212="",計分!$AP212=""),"",計分!$AP212-計分!T212)</f>
        <v/>
      </c>
      <c r="U212">
        <f>IF(OR(計分!U212="",計分!$AP212=""),"",計分!$AP212-計分!U212)</f>
        <v/>
      </c>
      <c r="V212">
        <f>IF(OR(計分!V212="",計分!$AP212=""),"",計分!$AP212-計分!V212)</f>
        <v/>
      </c>
      <c r="W212">
        <f>IF(OR(計分!W212="",計分!$AP212=""),"",計分!$AP212-計分!W212)</f>
        <v/>
      </c>
      <c r="X212">
        <f>IF(OR(計分!X212="",計分!$AP212=""),"",計分!$AP212-計分!X212)</f>
        <v/>
      </c>
      <c r="Y212">
        <f>IF(OR(計分!Y212="",計分!$AP212=""),"",計分!$AP212-計分!Y212)</f>
        <v/>
      </c>
      <c r="Z212">
        <f>IF(OR(計分!Z212="",計分!$AP212=""),"",計分!$AP212-計分!Z212)</f>
        <v/>
      </c>
      <c r="AA212">
        <f>IF(OR(計分!AA212="",計分!$AP212=""),"",計分!$AP212-計分!AA212)</f>
        <v/>
      </c>
      <c r="AB212">
        <f>IF(OR(計分!AB212="",計分!$AP212=""),"",計分!$AP212-計分!AB212)</f>
        <v/>
      </c>
      <c r="AC212">
        <f>IF(OR(計分!AC212="",計分!$AP212=""),"",計分!$AP212-計分!AC212)</f>
        <v/>
      </c>
      <c r="AD212">
        <f>IF(OR(計分!AD212="",計分!$AP212=""),"",計分!$AP212-計分!AD212)</f>
        <v/>
      </c>
      <c r="AE212">
        <f>IF(OR(計分!AE212="",計分!$AP212=""),"",計分!$AP212-計分!AE212)</f>
        <v/>
      </c>
      <c r="AF212">
        <f>IF(OR(計分!AF212="",計分!$AP212=""),"",計分!$AP212-計分!AF212)</f>
        <v/>
      </c>
      <c r="AG212">
        <f>IF(OR(計分!AG212="",計分!$AP212=""),"",計分!$AP212-計分!AG212)</f>
        <v/>
      </c>
      <c r="AH212">
        <f>IF(OR(計分!AH212="",計分!$AP212=""),"",計分!$AP212-計分!AH212)</f>
        <v/>
      </c>
      <c r="AI212">
        <f>IF(OR(計分!AI212="",計分!$AP212=""),"",計分!$AP212-計分!AI212)</f>
        <v/>
      </c>
      <c r="AJ212">
        <f>IF(OR(計分!AJ212="",計分!$AP212=""),"",計分!$AP212-計分!AJ212)</f>
        <v/>
      </c>
      <c r="AK212">
        <f>IF(OR(計分!AK212="",計分!$AP212=""),"",計分!$AP212-計分!AK212)</f>
        <v/>
      </c>
      <c r="AL212">
        <f>IF(OR(計分!AL212="",計分!$AP212=""),"",計分!$AP212-計分!AL212)</f>
        <v/>
      </c>
      <c r="AM212">
        <f>IF(OR(計分!AM212="",計分!$AP212=""),"",計分!$AP212-計分!AM212)</f>
        <v/>
      </c>
      <c r="AN212">
        <f>IF(OR(計分!AN212="",計分!$AP212=""),"",計分!$AP212-計分!AN212)</f>
        <v/>
      </c>
      <c r="AO212">
        <f>IF(OR(計分!AO212="",計分!$AP212=""),"",計分!$AP212-計分!AO212)</f>
        <v/>
      </c>
    </row>
    <row r="213">
      <c r="A213">
        <f>計分!A213</f>
        <v/>
      </c>
      <c r="B213">
        <f>IF(OR(計分!B213="",計分!$AP213=""),"",計分!$AP213-計分!B213)</f>
        <v/>
      </c>
      <c r="C213">
        <f>IF(OR(計分!C213="",計分!$AP213=""),"",計分!$AP213-計分!C213)</f>
        <v/>
      </c>
      <c r="D213">
        <f>IF(OR(計分!D213="",計分!$AP213=""),"",計分!$AP213-計分!D213)</f>
        <v/>
      </c>
      <c r="E213">
        <f>IF(OR(計分!E213="",計分!$AP213=""),"",計分!$AP213-計分!E213)</f>
        <v/>
      </c>
      <c r="F213">
        <f>IF(OR(計分!F213="",計分!$AP213=""),"",計分!$AP213-計分!F213)</f>
        <v/>
      </c>
      <c r="G213">
        <f>IF(OR(計分!G213="",計分!$AP213=""),"",計分!$AP213-計分!G213)</f>
        <v/>
      </c>
      <c r="H213">
        <f>IF(OR(計分!H213="",計分!$AP213=""),"",計分!$AP213-計分!H213)</f>
        <v/>
      </c>
      <c r="I213">
        <f>IF(OR(計分!I213="",計分!$AP213=""),"",計分!$AP213-計分!I213)</f>
        <v/>
      </c>
      <c r="J213">
        <f>IF(OR(計分!J213="",計分!$AP213=""),"",計分!$AP213-計分!J213)</f>
        <v/>
      </c>
      <c r="K213">
        <f>IF(OR(計分!K213="",計分!$AP213=""),"",計分!$AP213-計分!K213)</f>
        <v/>
      </c>
      <c r="L213">
        <f>IF(OR(計分!L213="",計分!$AP213=""),"",計分!$AP213-計分!L213)</f>
        <v/>
      </c>
      <c r="M213">
        <f>IF(OR(計分!M213="",計分!$AP213=""),"",計分!$AP213-計分!M213)</f>
        <v/>
      </c>
      <c r="N213">
        <f>IF(OR(計分!N213="",計分!$AP213=""),"",計分!$AP213-計分!N213)</f>
        <v/>
      </c>
      <c r="O213">
        <f>IF(OR(計分!O213="",計分!$AP213=""),"",計分!$AP213-計分!O213)</f>
        <v/>
      </c>
      <c r="P213">
        <f>IF(OR(計分!P213="",計分!$AP213=""),"",計分!$AP213-計分!P213)</f>
        <v/>
      </c>
      <c r="Q213">
        <f>IF(OR(計分!Q213="",計分!$AP213=""),"",計分!$AP213-計分!Q213)</f>
        <v/>
      </c>
      <c r="R213">
        <f>IF(OR(計分!R213="",計分!$AP213=""),"",計分!$AP213-計分!R213)</f>
        <v/>
      </c>
      <c r="S213">
        <f>IF(OR(計分!S213="",計分!$AP213=""),"",計分!$AP213-計分!S213)</f>
        <v/>
      </c>
      <c r="T213">
        <f>IF(OR(計分!T213="",計分!$AP213=""),"",計分!$AP213-計分!T213)</f>
        <v/>
      </c>
      <c r="U213">
        <f>IF(OR(計分!U213="",計分!$AP213=""),"",計分!$AP213-計分!U213)</f>
        <v/>
      </c>
      <c r="V213">
        <f>IF(OR(計分!V213="",計分!$AP213=""),"",計分!$AP213-計分!V213)</f>
        <v/>
      </c>
      <c r="W213">
        <f>IF(OR(計分!W213="",計分!$AP213=""),"",計分!$AP213-計分!W213)</f>
        <v/>
      </c>
      <c r="X213">
        <f>IF(OR(計分!X213="",計分!$AP213=""),"",計分!$AP213-計分!X213)</f>
        <v/>
      </c>
      <c r="Y213">
        <f>IF(OR(計分!Y213="",計分!$AP213=""),"",計分!$AP213-計分!Y213)</f>
        <v/>
      </c>
      <c r="Z213">
        <f>IF(OR(計分!Z213="",計分!$AP213=""),"",計分!$AP213-計分!Z213)</f>
        <v/>
      </c>
      <c r="AA213">
        <f>IF(OR(計分!AA213="",計分!$AP213=""),"",計分!$AP213-計分!AA213)</f>
        <v/>
      </c>
      <c r="AB213">
        <f>IF(OR(計分!AB213="",計分!$AP213=""),"",計分!$AP213-計分!AB213)</f>
        <v/>
      </c>
      <c r="AC213">
        <f>IF(OR(計分!AC213="",計分!$AP213=""),"",計分!$AP213-計分!AC213)</f>
        <v/>
      </c>
      <c r="AD213">
        <f>IF(OR(計分!AD213="",計分!$AP213=""),"",計分!$AP213-計分!AD213)</f>
        <v/>
      </c>
      <c r="AE213">
        <f>IF(OR(計分!AE213="",計分!$AP213=""),"",計分!$AP213-計分!AE213)</f>
        <v/>
      </c>
      <c r="AF213">
        <f>IF(OR(計分!AF213="",計分!$AP213=""),"",計分!$AP213-計分!AF213)</f>
        <v/>
      </c>
      <c r="AG213">
        <f>IF(OR(計分!AG213="",計分!$AP213=""),"",計分!$AP213-計分!AG213)</f>
        <v/>
      </c>
      <c r="AH213">
        <f>IF(OR(計分!AH213="",計分!$AP213=""),"",計分!$AP213-計分!AH213)</f>
        <v/>
      </c>
      <c r="AI213">
        <f>IF(OR(計分!AI213="",計分!$AP213=""),"",計分!$AP213-計分!AI213)</f>
        <v/>
      </c>
      <c r="AJ213">
        <f>IF(OR(計分!AJ213="",計分!$AP213=""),"",計分!$AP213-計分!AJ213)</f>
        <v/>
      </c>
      <c r="AK213">
        <f>IF(OR(計分!AK213="",計分!$AP213=""),"",計分!$AP213-計分!AK213)</f>
        <v/>
      </c>
      <c r="AL213">
        <f>IF(OR(計分!AL213="",計分!$AP213=""),"",計分!$AP213-計分!AL213)</f>
        <v/>
      </c>
      <c r="AM213">
        <f>IF(OR(計分!AM213="",計分!$AP213=""),"",計分!$AP213-計分!AM213)</f>
        <v/>
      </c>
      <c r="AN213">
        <f>IF(OR(計分!AN213="",計分!$AP213=""),"",計分!$AP213-計分!AN213)</f>
        <v/>
      </c>
      <c r="AO213">
        <f>IF(OR(計分!AO213="",計分!$AP213=""),"",計分!$AP213-計分!AO213)</f>
        <v/>
      </c>
    </row>
    <row r="214">
      <c r="A214">
        <f>計分!A214</f>
        <v/>
      </c>
      <c r="B214">
        <f>IF(OR(計分!B214="",計分!$AP214=""),"",計分!$AP214-計分!B214)</f>
        <v/>
      </c>
      <c r="C214">
        <f>IF(OR(計分!C214="",計分!$AP214=""),"",計分!$AP214-計分!C214)</f>
        <v/>
      </c>
      <c r="D214">
        <f>IF(OR(計分!D214="",計分!$AP214=""),"",計分!$AP214-計分!D214)</f>
        <v/>
      </c>
      <c r="E214">
        <f>IF(OR(計分!E214="",計分!$AP214=""),"",計分!$AP214-計分!E214)</f>
        <v/>
      </c>
      <c r="F214">
        <f>IF(OR(計分!F214="",計分!$AP214=""),"",計分!$AP214-計分!F214)</f>
        <v/>
      </c>
      <c r="G214">
        <f>IF(OR(計分!G214="",計分!$AP214=""),"",計分!$AP214-計分!G214)</f>
        <v/>
      </c>
      <c r="H214">
        <f>IF(OR(計分!H214="",計分!$AP214=""),"",計分!$AP214-計分!H214)</f>
        <v/>
      </c>
      <c r="I214">
        <f>IF(OR(計分!I214="",計分!$AP214=""),"",計分!$AP214-計分!I214)</f>
        <v/>
      </c>
      <c r="J214">
        <f>IF(OR(計分!J214="",計分!$AP214=""),"",計分!$AP214-計分!J214)</f>
        <v/>
      </c>
      <c r="K214">
        <f>IF(OR(計分!K214="",計分!$AP214=""),"",計分!$AP214-計分!K214)</f>
        <v/>
      </c>
      <c r="L214">
        <f>IF(OR(計分!L214="",計分!$AP214=""),"",計分!$AP214-計分!L214)</f>
        <v/>
      </c>
      <c r="M214">
        <f>IF(OR(計分!M214="",計分!$AP214=""),"",計分!$AP214-計分!M214)</f>
        <v/>
      </c>
      <c r="N214">
        <f>IF(OR(計分!N214="",計分!$AP214=""),"",計分!$AP214-計分!N214)</f>
        <v/>
      </c>
      <c r="O214">
        <f>IF(OR(計分!O214="",計分!$AP214=""),"",計分!$AP214-計分!O214)</f>
        <v/>
      </c>
      <c r="P214">
        <f>IF(OR(計分!P214="",計分!$AP214=""),"",計分!$AP214-計分!P214)</f>
        <v/>
      </c>
      <c r="Q214">
        <f>IF(OR(計分!Q214="",計分!$AP214=""),"",計分!$AP214-計分!Q214)</f>
        <v/>
      </c>
      <c r="R214">
        <f>IF(OR(計分!R214="",計分!$AP214=""),"",計分!$AP214-計分!R214)</f>
        <v/>
      </c>
      <c r="S214">
        <f>IF(OR(計分!S214="",計分!$AP214=""),"",計分!$AP214-計分!S214)</f>
        <v/>
      </c>
      <c r="T214">
        <f>IF(OR(計分!T214="",計分!$AP214=""),"",計分!$AP214-計分!T214)</f>
        <v/>
      </c>
      <c r="U214">
        <f>IF(OR(計分!U214="",計分!$AP214=""),"",計分!$AP214-計分!U214)</f>
        <v/>
      </c>
      <c r="V214">
        <f>IF(OR(計分!V214="",計分!$AP214=""),"",計分!$AP214-計分!V214)</f>
        <v/>
      </c>
      <c r="W214">
        <f>IF(OR(計分!W214="",計分!$AP214=""),"",計分!$AP214-計分!W214)</f>
        <v/>
      </c>
      <c r="X214">
        <f>IF(OR(計分!X214="",計分!$AP214=""),"",計分!$AP214-計分!X214)</f>
        <v/>
      </c>
      <c r="Y214">
        <f>IF(OR(計分!Y214="",計分!$AP214=""),"",計分!$AP214-計分!Y214)</f>
        <v/>
      </c>
      <c r="Z214">
        <f>IF(OR(計分!Z214="",計分!$AP214=""),"",計分!$AP214-計分!Z214)</f>
        <v/>
      </c>
      <c r="AA214">
        <f>IF(OR(計分!AA214="",計分!$AP214=""),"",計分!$AP214-計分!AA214)</f>
        <v/>
      </c>
      <c r="AB214">
        <f>IF(OR(計分!AB214="",計分!$AP214=""),"",計分!$AP214-計分!AB214)</f>
        <v/>
      </c>
      <c r="AC214">
        <f>IF(OR(計分!AC214="",計分!$AP214=""),"",計分!$AP214-計分!AC214)</f>
        <v/>
      </c>
      <c r="AD214">
        <f>IF(OR(計分!AD214="",計分!$AP214=""),"",計分!$AP214-計分!AD214)</f>
        <v/>
      </c>
      <c r="AE214">
        <f>IF(OR(計分!AE214="",計分!$AP214=""),"",計分!$AP214-計分!AE214)</f>
        <v/>
      </c>
      <c r="AF214">
        <f>IF(OR(計分!AF214="",計分!$AP214=""),"",計分!$AP214-計分!AF214)</f>
        <v/>
      </c>
      <c r="AG214">
        <f>IF(OR(計分!AG214="",計分!$AP214=""),"",計分!$AP214-計分!AG214)</f>
        <v/>
      </c>
      <c r="AH214">
        <f>IF(OR(計分!AH214="",計分!$AP214=""),"",計分!$AP214-計分!AH214)</f>
        <v/>
      </c>
      <c r="AI214">
        <f>IF(OR(計分!AI214="",計分!$AP214=""),"",計分!$AP214-計分!AI214)</f>
        <v/>
      </c>
      <c r="AJ214">
        <f>IF(OR(計分!AJ214="",計分!$AP214=""),"",計分!$AP214-計分!AJ214)</f>
        <v/>
      </c>
      <c r="AK214">
        <f>IF(OR(計分!AK214="",計分!$AP214=""),"",計分!$AP214-計分!AK214)</f>
        <v/>
      </c>
      <c r="AL214">
        <f>IF(OR(計分!AL214="",計分!$AP214=""),"",計分!$AP214-計分!AL214)</f>
        <v/>
      </c>
      <c r="AM214">
        <f>IF(OR(計分!AM214="",計分!$AP214=""),"",計分!$AP214-計分!AM214)</f>
        <v/>
      </c>
      <c r="AN214">
        <f>IF(OR(計分!AN214="",計分!$AP214=""),"",計分!$AP214-計分!AN214)</f>
        <v/>
      </c>
      <c r="AO214">
        <f>IF(OR(計分!AO214="",計分!$AP214=""),"",計分!$AP214-計分!AO214)</f>
        <v/>
      </c>
    </row>
    <row r="215">
      <c r="A215">
        <f>計分!A215</f>
        <v/>
      </c>
      <c r="B215">
        <f>IF(OR(計分!B215="",計分!$AP215=""),"",計分!$AP215-計分!B215)</f>
        <v/>
      </c>
      <c r="C215">
        <f>IF(OR(計分!C215="",計分!$AP215=""),"",計分!$AP215-計分!C215)</f>
        <v/>
      </c>
      <c r="D215">
        <f>IF(OR(計分!D215="",計分!$AP215=""),"",計分!$AP215-計分!D215)</f>
        <v/>
      </c>
      <c r="E215">
        <f>IF(OR(計分!E215="",計分!$AP215=""),"",計分!$AP215-計分!E215)</f>
        <v/>
      </c>
      <c r="F215">
        <f>IF(OR(計分!F215="",計分!$AP215=""),"",計分!$AP215-計分!F215)</f>
        <v/>
      </c>
      <c r="G215">
        <f>IF(OR(計分!G215="",計分!$AP215=""),"",計分!$AP215-計分!G215)</f>
        <v/>
      </c>
      <c r="H215">
        <f>IF(OR(計分!H215="",計分!$AP215=""),"",計分!$AP215-計分!H215)</f>
        <v/>
      </c>
      <c r="I215">
        <f>IF(OR(計分!I215="",計分!$AP215=""),"",計分!$AP215-計分!I215)</f>
        <v/>
      </c>
      <c r="J215">
        <f>IF(OR(計分!J215="",計分!$AP215=""),"",計分!$AP215-計分!J215)</f>
        <v/>
      </c>
      <c r="K215">
        <f>IF(OR(計分!K215="",計分!$AP215=""),"",計分!$AP215-計分!K215)</f>
        <v/>
      </c>
      <c r="L215">
        <f>IF(OR(計分!L215="",計分!$AP215=""),"",計分!$AP215-計分!L215)</f>
        <v/>
      </c>
      <c r="M215">
        <f>IF(OR(計分!M215="",計分!$AP215=""),"",計分!$AP215-計分!M215)</f>
        <v/>
      </c>
      <c r="N215">
        <f>IF(OR(計分!N215="",計分!$AP215=""),"",計分!$AP215-計分!N215)</f>
        <v/>
      </c>
      <c r="O215">
        <f>IF(OR(計分!O215="",計分!$AP215=""),"",計分!$AP215-計分!O215)</f>
        <v/>
      </c>
      <c r="P215">
        <f>IF(OR(計分!P215="",計分!$AP215=""),"",計分!$AP215-計分!P215)</f>
        <v/>
      </c>
      <c r="Q215">
        <f>IF(OR(計分!Q215="",計分!$AP215=""),"",計分!$AP215-計分!Q215)</f>
        <v/>
      </c>
      <c r="R215">
        <f>IF(OR(計分!R215="",計分!$AP215=""),"",計分!$AP215-計分!R215)</f>
        <v/>
      </c>
      <c r="S215">
        <f>IF(OR(計分!S215="",計分!$AP215=""),"",計分!$AP215-計分!S215)</f>
        <v/>
      </c>
      <c r="T215">
        <f>IF(OR(計分!T215="",計分!$AP215=""),"",計分!$AP215-計分!T215)</f>
        <v/>
      </c>
      <c r="U215">
        <f>IF(OR(計分!U215="",計分!$AP215=""),"",計分!$AP215-計分!U215)</f>
        <v/>
      </c>
      <c r="V215">
        <f>IF(OR(計分!V215="",計分!$AP215=""),"",計分!$AP215-計分!V215)</f>
        <v/>
      </c>
      <c r="W215">
        <f>IF(OR(計分!W215="",計分!$AP215=""),"",計分!$AP215-計分!W215)</f>
        <v/>
      </c>
      <c r="X215">
        <f>IF(OR(計分!X215="",計分!$AP215=""),"",計分!$AP215-計分!X215)</f>
        <v/>
      </c>
      <c r="Y215">
        <f>IF(OR(計分!Y215="",計分!$AP215=""),"",計分!$AP215-計分!Y215)</f>
        <v/>
      </c>
      <c r="Z215">
        <f>IF(OR(計分!Z215="",計分!$AP215=""),"",計分!$AP215-計分!Z215)</f>
        <v/>
      </c>
      <c r="AA215">
        <f>IF(OR(計分!AA215="",計分!$AP215=""),"",計分!$AP215-計分!AA215)</f>
        <v/>
      </c>
      <c r="AB215">
        <f>IF(OR(計分!AB215="",計分!$AP215=""),"",計分!$AP215-計分!AB215)</f>
        <v/>
      </c>
      <c r="AC215">
        <f>IF(OR(計分!AC215="",計分!$AP215=""),"",計分!$AP215-計分!AC215)</f>
        <v/>
      </c>
      <c r="AD215">
        <f>IF(OR(計分!AD215="",計分!$AP215=""),"",計分!$AP215-計分!AD215)</f>
        <v/>
      </c>
      <c r="AE215">
        <f>IF(OR(計分!AE215="",計分!$AP215=""),"",計分!$AP215-計分!AE215)</f>
        <v/>
      </c>
      <c r="AF215">
        <f>IF(OR(計分!AF215="",計分!$AP215=""),"",計分!$AP215-計分!AF215)</f>
        <v/>
      </c>
      <c r="AG215">
        <f>IF(OR(計分!AG215="",計分!$AP215=""),"",計分!$AP215-計分!AG215)</f>
        <v/>
      </c>
      <c r="AH215">
        <f>IF(OR(計分!AH215="",計分!$AP215=""),"",計分!$AP215-計分!AH215)</f>
        <v/>
      </c>
      <c r="AI215">
        <f>IF(OR(計分!AI215="",計分!$AP215=""),"",計分!$AP215-計分!AI215)</f>
        <v/>
      </c>
      <c r="AJ215">
        <f>IF(OR(計分!AJ215="",計分!$AP215=""),"",計分!$AP215-計分!AJ215)</f>
        <v/>
      </c>
      <c r="AK215">
        <f>IF(OR(計分!AK215="",計分!$AP215=""),"",計分!$AP215-計分!AK215)</f>
        <v/>
      </c>
      <c r="AL215">
        <f>IF(OR(計分!AL215="",計分!$AP215=""),"",計分!$AP215-計分!AL215)</f>
        <v/>
      </c>
      <c r="AM215">
        <f>IF(OR(計分!AM215="",計分!$AP215=""),"",計分!$AP215-計分!AM215)</f>
        <v/>
      </c>
      <c r="AN215">
        <f>IF(OR(計分!AN215="",計分!$AP215=""),"",計分!$AP215-計分!AN215)</f>
        <v/>
      </c>
      <c r="AO215">
        <f>IF(OR(計分!AO215="",計分!$AP215=""),"",計分!$AP215-計分!AO215)</f>
        <v/>
      </c>
    </row>
    <row r="216">
      <c r="A216">
        <f>計分!A216</f>
        <v/>
      </c>
      <c r="B216">
        <f>IF(OR(計分!B216="",計分!$AP216=""),"",計分!$AP216-計分!B216)</f>
        <v/>
      </c>
      <c r="C216">
        <f>IF(OR(計分!C216="",計分!$AP216=""),"",計分!$AP216-計分!C216)</f>
        <v/>
      </c>
      <c r="D216">
        <f>IF(OR(計分!D216="",計分!$AP216=""),"",計分!$AP216-計分!D216)</f>
        <v/>
      </c>
      <c r="E216">
        <f>IF(OR(計分!E216="",計分!$AP216=""),"",計分!$AP216-計分!E216)</f>
        <v/>
      </c>
      <c r="F216">
        <f>IF(OR(計分!F216="",計分!$AP216=""),"",計分!$AP216-計分!F216)</f>
        <v/>
      </c>
      <c r="G216">
        <f>IF(OR(計分!G216="",計分!$AP216=""),"",計分!$AP216-計分!G216)</f>
        <v/>
      </c>
      <c r="H216">
        <f>IF(OR(計分!H216="",計分!$AP216=""),"",計分!$AP216-計分!H216)</f>
        <v/>
      </c>
      <c r="I216">
        <f>IF(OR(計分!I216="",計分!$AP216=""),"",計分!$AP216-計分!I216)</f>
        <v/>
      </c>
      <c r="J216">
        <f>IF(OR(計分!J216="",計分!$AP216=""),"",計分!$AP216-計分!J216)</f>
        <v/>
      </c>
      <c r="K216">
        <f>IF(OR(計分!K216="",計分!$AP216=""),"",計分!$AP216-計分!K216)</f>
        <v/>
      </c>
      <c r="L216">
        <f>IF(OR(計分!L216="",計分!$AP216=""),"",計分!$AP216-計分!L216)</f>
        <v/>
      </c>
      <c r="M216">
        <f>IF(OR(計分!M216="",計分!$AP216=""),"",計分!$AP216-計分!M216)</f>
        <v/>
      </c>
      <c r="N216">
        <f>IF(OR(計分!N216="",計分!$AP216=""),"",計分!$AP216-計分!N216)</f>
        <v/>
      </c>
      <c r="O216">
        <f>IF(OR(計分!O216="",計分!$AP216=""),"",計分!$AP216-計分!O216)</f>
        <v/>
      </c>
      <c r="P216">
        <f>IF(OR(計分!P216="",計分!$AP216=""),"",計分!$AP216-計分!P216)</f>
        <v/>
      </c>
      <c r="Q216">
        <f>IF(OR(計分!Q216="",計分!$AP216=""),"",計分!$AP216-計分!Q216)</f>
        <v/>
      </c>
      <c r="R216">
        <f>IF(OR(計分!R216="",計分!$AP216=""),"",計分!$AP216-計分!R216)</f>
        <v/>
      </c>
      <c r="S216">
        <f>IF(OR(計分!S216="",計分!$AP216=""),"",計分!$AP216-計分!S216)</f>
        <v/>
      </c>
      <c r="T216">
        <f>IF(OR(計分!T216="",計分!$AP216=""),"",計分!$AP216-計分!T216)</f>
        <v/>
      </c>
      <c r="U216">
        <f>IF(OR(計分!U216="",計分!$AP216=""),"",計分!$AP216-計分!U216)</f>
        <v/>
      </c>
      <c r="V216">
        <f>IF(OR(計分!V216="",計分!$AP216=""),"",計分!$AP216-計分!V216)</f>
        <v/>
      </c>
      <c r="W216">
        <f>IF(OR(計分!W216="",計分!$AP216=""),"",計分!$AP216-計分!W216)</f>
        <v/>
      </c>
      <c r="X216">
        <f>IF(OR(計分!X216="",計分!$AP216=""),"",計分!$AP216-計分!X216)</f>
        <v/>
      </c>
      <c r="Y216">
        <f>IF(OR(計分!Y216="",計分!$AP216=""),"",計分!$AP216-計分!Y216)</f>
        <v/>
      </c>
      <c r="Z216">
        <f>IF(OR(計分!Z216="",計分!$AP216=""),"",計分!$AP216-計分!Z216)</f>
        <v/>
      </c>
      <c r="AA216">
        <f>IF(OR(計分!AA216="",計分!$AP216=""),"",計分!$AP216-計分!AA216)</f>
        <v/>
      </c>
      <c r="AB216">
        <f>IF(OR(計分!AB216="",計分!$AP216=""),"",計分!$AP216-計分!AB216)</f>
        <v/>
      </c>
      <c r="AC216">
        <f>IF(OR(計分!AC216="",計分!$AP216=""),"",計分!$AP216-計分!AC216)</f>
        <v/>
      </c>
      <c r="AD216">
        <f>IF(OR(計分!AD216="",計分!$AP216=""),"",計分!$AP216-計分!AD216)</f>
        <v/>
      </c>
      <c r="AE216">
        <f>IF(OR(計分!AE216="",計分!$AP216=""),"",計分!$AP216-計分!AE216)</f>
        <v/>
      </c>
      <c r="AF216">
        <f>IF(OR(計分!AF216="",計分!$AP216=""),"",計分!$AP216-計分!AF216)</f>
        <v/>
      </c>
      <c r="AG216">
        <f>IF(OR(計分!AG216="",計分!$AP216=""),"",計分!$AP216-計分!AG216)</f>
        <v/>
      </c>
      <c r="AH216">
        <f>IF(OR(計分!AH216="",計分!$AP216=""),"",計分!$AP216-計分!AH216)</f>
        <v/>
      </c>
      <c r="AI216">
        <f>IF(OR(計分!AI216="",計分!$AP216=""),"",計分!$AP216-計分!AI216)</f>
        <v/>
      </c>
      <c r="AJ216">
        <f>IF(OR(計分!AJ216="",計分!$AP216=""),"",計分!$AP216-計分!AJ216)</f>
        <v/>
      </c>
      <c r="AK216">
        <f>IF(OR(計分!AK216="",計分!$AP216=""),"",計分!$AP216-計分!AK216)</f>
        <v/>
      </c>
      <c r="AL216">
        <f>IF(OR(計分!AL216="",計分!$AP216=""),"",計分!$AP216-計分!AL216)</f>
        <v/>
      </c>
      <c r="AM216">
        <f>IF(OR(計分!AM216="",計分!$AP216=""),"",計分!$AP216-計分!AM216)</f>
        <v/>
      </c>
      <c r="AN216">
        <f>IF(OR(計分!AN216="",計分!$AP216=""),"",計分!$AP216-計分!AN216)</f>
        <v/>
      </c>
      <c r="AO216">
        <f>IF(OR(計分!AO216="",計分!$AP216=""),"",計分!$AP216-計分!AO216)</f>
        <v/>
      </c>
    </row>
    <row r="217">
      <c r="A217">
        <f>計分!A217</f>
        <v/>
      </c>
      <c r="B217">
        <f>IF(OR(計分!B217="",計分!$AP217=""),"",計分!$AP217-計分!B217)</f>
        <v/>
      </c>
      <c r="C217">
        <f>IF(OR(計分!C217="",計分!$AP217=""),"",計分!$AP217-計分!C217)</f>
        <v/>
      </c>
      <c r="D217">
        <f>IF(OR(計分!D217="",計分!$AP217=""),"",計分!$AP217-計分!D217)</f>
        <v/>
      </c>
      <c r="E217">
        <f>IF(OR(計分!E217="",計分!$AP217=""),"",計分!$AP217-計分!E217)</f>
        <v/>
      </c>
      <c r="F217">
        <f>IF(OR(計分!F217="",計分!$AP217=""),"",計分!$AP217-計分!F217)</f>
        <v/>
      </c>
      <c r="G217">
        <f>IF(OR(計分!G217="",計分!$AP217=""),"",計分!$AP217-計分!G217)</f>
        <v/>
      </c>
      <c r="H217">
        <f>IF(OR(計分!H217="",計分!$AP217=""),"",計分!$AP217-計分!H217)</f>
        <v/>
      </c>
      <c r="I217">
        <f>IF(OR(計分!I217="",計分!$AP217=""),"",計分!$AP217-計分!I217)</f>
        <v/>
      </c>
      <c r="J217">
        <f>IF(OR(計分!J217="",計分!$AP217=""),"",計分!$AP217-計分!J217)</f>
        <v/>
      </c>
      <c r="K217">
        <f>IF(OR(計分!K217="",計分!$AP217=""),"",計分!$AP217-計分!K217)</f>
        <v/>
      </c>
      <c r="L217">
        <f>IF(OR(計分!L217="",計分!$AP217=""),"",計分!$AP217-計分!L217)</f>
        <v/>
      </c>
      <c r="M217">
        <f>IF(OR(計分!M217="",計分!$AP217=""),"",計分!$AP217-計分!M217)</f>
        <v/>
      </c>
      <c r="N217">
        <f>IF(OR(計分!N217="",計分!$AP217=""),"",計分!$AP217-計分!N217)</f>
        <v/>
      </c>
      <c r="O217">
        <f>IF(OR(計分!O217="",計分!$AP217=""),"",計分!$AP217-計分!O217)</f>
        <v/>
      </c>
      <c r="P217">
        <f>IF(OR(計分!P217="",計分!$AP217=""),"",計分!$AP217-計分!P217)</f>
        <v/>
      </c>
      <c r="Q217">
        <f>IF(OR(計分!Q217="",計分!$AP217=""),"",計分!$AP217-計分!Q217)</f>
        <v/>
      </c>
      <c r="R217">
        <f>IF(OR(計分!R217="",計分!$AP217=""),"",計分!$AP217-計分!R217)</f>
        <v/>
      </c>
      <c r="S217">
        <f>IF(OR(計分!S217="",計分!$AP217=""),"",計分!$AP217-計分!S217)</f>
        <v/>
      </c>
      <c r="T217">
        <f>IF(OR(計分!T217="",計分!$AP217=""),"",計分!$AP217-計分!T217)</f>
        <v/>
      </c>
      <c r="U217">
        <f>IF(OR(計分!U217="",計分!$AP217=""),"",計分!$AP217-計分!U217)</f>
        <v/>
      </c>
      <c r="V217">
        <f>IF(OR(計分!V217="",計分!$AP217=""),"",計分!$AP217-計分!V217)</f>
        <v/>
      </c>
      <c r="W217">
        <f>IF(OR(計分!W217="",計分!$AP217=""),"",計分!$AP217-計分!W217)</f>
        <v/>
      </c>
      <c r="X217">
        <f>IF(OR(計分!X217="",計分!$AP217=""),"",計分!$AP217-計分!X217)</f>
        <v/>
      </c>
      <c r="Y217">
        <f>IF(OR(計分!Y217="",計分!$AP217=""),"",計分!$AP217-計分!Y217)</f>
        <v/>
      </c>
      <c r="Z217">
        <f>IF(OR(計分!Z217="",計分!$AP217=""),"",計分!$AP217-計分!Z217)</f>
        <v/>
      </c>
      <c r="AA217">
        <f>IF(OR(計分!AA217="",計分!$AP217=""),"",計分!$AP217-計分!AA217)</f>
        <v/>
      </c>
      <c r="AB217">
        <f>IF(OR(計分!AB217="",計分!$AP217=""),"",計分!$AP217-計分!AB217)</f>
        <v/>
      </c>
      <c r="AC217">
        <f>IF(OR(計分!AC217="",計分!$AP217=""),"",計分!$AP217-計分!AC217)</f>
        <v/>
      </c>
      <c r="AD217">
        <f>IF(OR(計分!AD217="",計分!$AP217=""),"",計分!$AP217-計分!AD217)</f>
        <v/>
      </c>
      <c r="AE217">
        <f>IF(OR(計分!AE217="",計分!$AP217=""),"",計分!$AP217-計分!AE217)</f>
        <v/>
      </c>
      <c r="AF217">
        <f>IF(OR(計分!AF217="",計分!$AP217=""),"",計分!$AP217-計分!AF217)</f>
        <v/>
      </c>
      <c r="AG217">
        <f>IF(OR(計分!AG217="",計分!$AP217=""),"",計分!$AP217-計分!AG217)</f>
        <v/>
      </c>
      <c r="AH217">
        <f>IF(OR(計分!AH217="",計分!$AP217=""),"",計分!$AP217-計分!AH217)</f>
        <v/>
      </c>
      <c r="AI217">
        <f>IF(OR(計分!AI217="",計分!$AP217=""),"",計分!$AP217-計分!AI217)</f>
        <v/>
      </c>
      <c r="AJ217">
        <f>IF(OR(計分!AJ217="",計分!$AP217=""),"",計分!$AP217-計分!AJ217)</f>
        <v/>
      </c>
      <c r="AK217">
        <f>IF(OR(計分!AK217="",計分!$AP217=""),"",計分!$AP217-計分!AK217)</f>
        <v/>
      </c>
      <c r="AL217">
        <f>IF(OR(計分!AL217="",計分!$AP217=""),"",計分!$AP217-計分!AL217)</f>
        <v/>
      </c>
      <c r="AM217">
        <f>IF(OR(計分!AM217="",計分!$AP217=""),"",計分!$AP217-計分!AM217)</f>
        <v/>
      </c>
      <c r="AN217">
        <f>IF(OR(計分!AN217="",計分!$AP217=""),"",計分!$AP217-計分!AN217)</f>
        <v/>
      </c>
      <c r="AO217">
        <f>IF(OR(計分!AO217="",計分!$AP217=""),"",計分!$AP217-計分!AO217)</f>
        <v/>
      </c>
    </row>
    <row r="218">
      <c r="A218">
        <f>計分!A218</f>
        <v/>
      </c>
      <c r="B218">
        <f>IF(OR(計分!B218="",計分!$AP218=""),"",計分!$AP218-計分!B218)</f>
        <v/>
      </c>
      <c r="C218">
        <f>IF(OR(計分!C218="",計分!$AP218=""),"",計分!$AP218-計分!C218)</f>
        <v/>
      </c>
      <c r="D218">
        <f>IF(OR(計分!D218="",計分!$AP218=""),"",計分!$AP218-計分!D218)</f>
        <v/>
      </c>
      <c r="E218">
        <f>IF(OR(計分!E218="",計分!$AP218=""),"",計分!$AP218-計分!E218)</f>
        <v/>
      </c>
      <c r="F218">
        <f>IF(OR(計分!F218="",計分!$AP218=""),"",計分!$AP218-計分!F218)</f>
        <v/>
      </c>
      <c r="G218">
        <f>IF(OR(計分!G218="",計分!$AP218=""),"",計分!$AP218-計分!G218)</f>
        <v/>
      </c>
      <c r="H218">
        <f>IF(OR(計分!H218="",計分!$AP218=""),"",計分!$AP218-計分!H218)</f>
        <v/>
      </c>
      <c r="I218">
        <f>IF(OR(計分!I218="",計分!$AP218=""),"",計分!$AP218-計分!I218)</f>
        <v/>
      </c>
      <c r="J218">
        <f>IF(OR(計分!J218="",計分!$AP218=""),"",計分!$AP218-計分!J218)</f>
        <v/>
      </c>
      <c r="K218">
        <f>IF(OR(計分!K218="",計分!$AP218=""),"",計分!$AP218-計分!K218)</f>
        <v/>
      </c>
      <c r="L218">
        <f>IF(OR(計分!L218="",計分!$AP218=""),"",計分!$AP218-計分!L218)</f>
        <v/>
      </c>
      <c r="M218">
        <f>IF(OR(計分!M218="",計分!$AP218=""),"",計分!$AP218-計分!M218)</f>
        <v/>
      </c>
      <c r="N218">
        <f>IF(OR(計分!N218="",計分!$AP218=""),"",計分!$AP218-計分!N218)</f>
        <v/>
      </c>
      <c r="O218">
        <f>IF(OR(計分!O218="",計分!$AP218=""),"",計分!$AP218-計分!O218)</f>
        <v/>
      </c>
      <c r="P218">
        <f>IF(OR(計分!P218="",計分!$AP218=""),"",計分!$AP218-計分!P218)</f>
        <v/>
      </c>
      <c r="Q218">
        <f>IF(OR(計分!Q218="",計分!$AP218=""),"",計分!$AP218-計分!Q218)</f>
        <v/>
      </c>
      <c r="R218">
        <f>IF(OR(計分!R218="",計分!$AP218=""),"",計分!$AP218-計分!R218)</f>
        <v/>
      </c>
      <c r="S218">
        <f>IF(OR(計分!S218="",計分!$AP218=""),"",計分!$AP218-計分!S218)</f>
        <v/>
      </c>
      <c r="T218">
        <f>IF(OR(計分!T218="",計分!$AP218=""),"",計分!$AP218-計分!T218)</f>
        <v/>
      </c>
      <c r="U218">
        <f>IF(OR(計分!U218="",計分!$AP218=""),"",計分!$AP218-計分!U218)</f>
        <v/>
      </c>
      <c r="V218">
        <f>IF(OR(計分!V218="",計分!$AP218=""),"",計分!$AP218-計分!V218)</f>
        <v/>
      </c>
      <c r="W218">
        <f>IF(OR(計分!W218="",計分!$AP218=""),"",計分!$AP218-計分!W218)</f>
        <v/>
      </c>
      <c r="X218">
        <f>IF(OR(計分!X218="",計分!$AP218=""),"",計分!$AP218-計分!X218)</f>
        <v/>
      </c>
      <c r="Y218">
        <f>IF(OR(計分!Y218="",計分!$AP218=""),"",計分!$AP218-計分!Y218)</f>
        <v/>
      </c>
      <c r="Z218">
        <f>IF(OR(計分!Z218="",計分!$AP218=""),"",計分!$AP218-計分!Z218)</f>
        <v/>
      </c>
      <c r="AA218">
        <f>IF(OR(計分!AA218="",計分!$AP218=""),"",計分!$AP218-計分!AA218)</f>
        <v/>
      </c>
      <c r="AB218">
        <f>IF(OR(計分!AB218="",計分!$AP218=""),"",計分!$AP218-計分!AB218)</f>
        <v/>
      </c>
      <c r="AC218">
        <f>IF(OR(計分!AC218="",計分!$AP218=""),"",計分!$AP218-計分!AC218)</f>
        <v/>
      </c>
      <c r="AD218">
        <f>IF(OR(計分!AD218="",計分!$AP218=""),"",計分!$AP218-計分!AD218)</f>
        <v/>
      </c>
      <c r="AE218">
        <f>IF(OR(計分!AE218="",計分!$AP218=""),"",計分!$AP218-計分!AE218)</f>
        <v/>
      </c>
      <c r="AF218">
        <f>IF(OR(計分!AF218="",計分!$AP218=""),"",計分!$AP218-計分!AF218)</f>
        <v/>
      </c>
      <c r="AG218">
        <f>IF(OR(計分!AG218="",計分!$AP218=""),"",計分!$AP218-計分!AG218)</f>
        <v/>
      </c>
      <c r="AH218">
        <f>IF(OR(計分!AH218="",計分!$AP218=""),"",計分!$AP218-計分!AH218)</f>
        <v/>
      </c>
      <c r="AI218">
        <f>IF(OR(計分!AI218="",計分!$AP218=""),"",計分!$AP218-計分!AI218)</f>
        <v/>
      </c>
      <c r="AJ218">
        <f>IF(OR(計分!AJ218="",計分!$AP218=""),"",計分!$AP218-計分!AJ218)</f>
        <v/>
      </c>
      <c r="AK218">
        <f>IF(OR(計分!AK218="",計分!$AP218=""),"",計分!$AP218-計分!AK218)</f>
        <v/>
      </c>
      <c r="AL218">
        <f>IF(OR(計分!AL218="",計分!$AP218=""),"",計分!$AP218-計分!AL218)</f>
        <v/>
      </c>
      <c r="AM218">
        <f>IF(OR(計分!AM218="",計分!$AP218=""),"",計分!$AP218-計分!AM218)</f>
        <v/>
      </c>
      <c r="AN218">
        <f>IF(OR(計分!AN218="",計分!$AP218=""),"",計分!$AP218-計分!AN218)</f>
        <v/>
      </c>
      <c r="AO218">
        <f>IF(OR(計分!AO218="",計分!$AP218=""),"",計分!$AP218-計分!AO218)</f>
        <v/>
      </c>
    </row>
    <row r="219">
      <c r="A219">
        <f>計分!A219</f>
        <v/>
      </c>
      <c r="B219">
        <f>IF(OR(計分!B219="",計分!$AP219=""),"",計分!$AP219-計分!B219)</f>
        <v/>
      </c>
      <c r="C219">
        <f>IF(OR(計分!C219="",計分!$AP219=""),"",計分!$AP219-計分!C219)</f>
        <v/>
      </c>
      <c r="D219">
        <f>IF(OR(計分!D219="",計分!$AP219=""),"",計分!$AP219-計分!D219)</f>
        <v/>
      </c>
      <c r="E219">
        <f>IF(OR(計分!E219="",計分!$AP219=""),"",計分!$AP219-計分!E219)</f>
        <v/>
      </c>
      <c r="F219">
        <f>IF(OR(計分!F219="",計分!$AP219=""),"",計分!$AP219-計分!F219)</f>
        <v/>
      </c>
      <c r="G219">
        <f>IF(OR(計分!G219="",計分!$AP219=""),"",計分!$AP219-計分!G219)</f>
        <v/>
      </c>
      <c r="H219">
        <f>IF(OR(計分!H219="",計分!$AP219=""),"",計分!$AP219-計分!H219)</f>
        <v/>
      </c>
      <c r="I219">
        <f>IF(OR(計分!I219="",計分!$AP219=""),"",計分!$AP219-計分!I219)</f>
        <v/>
      </c>
      <c r="J219">
        <f>IF(OR(計分!J219="",計分!$AP219=""),"",計分!$AP219-計分!J219)</f>
        <v/>
      </c>
      <c r="K219">
        <f>IF(OR(計分!K219="",計分!$AP219=""),"",計分!$AP219-計分!K219)</f>
        <v/>
      </c>
      <c r="L219">
        <f>IF(OR(計分!L219="",計分!$AP219=""),"",計分!$AP219-計分!L219)</f>
        <v/>
      </c>
      <c r="M219">
        <f>IF(OR(計分!M219="",計分!$AP219=""),"",計分!$AP219-計分!M219)</f>
        <v/>
      </c>
      <c r="N219">
        <f>IF(OR(計分!N219="",計分!$AP219=""),"",計分!$AP219-計分!N219)</f>
        <v/>
      </c>
      <c r="O219">
        <f>IF(OR(計分!O219="",計分!$AP219=""),"",計分!$AP219-計分!O219)</f>
        <v/>
      </c>
      <c r="P219">
        <f>IF(OR(計分!P219="",計分!$AP219=""),"",計分!$AP219-計分!P219)</f>
        <v/>
      </c>
      <c r="Q219">
        <f>IF(OR(計分!Q219="",計分!$AP219=""),"",計分!$AP219-計分!Q219)</f>
        <v/>
      </c>
      <c r="R219">
        <f>IF(OR(計分!R219="",計分!$AP219=""),"",計分!$AP219-計分!R219)</f>
        <v/>
      </c>
      <c r="S219">
        <f>IF(OR(計分!S219="",計分!$AP219=""),"",計分!$AP219-計分!S219)</f>
        <v/>
      </c>
      <c r="T219">
        <f>IF(OR(計分!T219="",計分!$AP219=""),"",計分!$AP219-計分!T219)</f>
        <v/>
      </c>
      <c r="U219">
        <f>IF(OR(計分!U219="",計分!$AP219=""),"",計分!$AP219-計分!U219)</f>
        <v/>
      </c>
      <c r="V219">
        <f>IF(OR(計分!V219="",計分!$AP219=""),"",計分!$AP219-計分!V219)</f>
        <v/>
      </c>
      <c r="W219">
        <f>IF(OR(計分!W219="",計分!$AP219=""),"",計分!$AP219-計分!W219)</f>
        <v/>
      </c>
      <c r="X219">
        <f>IF(OR(計分!X219="",計分!$AP219=""),"",計分!$AP219-計分!X219)</f>
        <v/>
      </c>
      <c r="Y219">
        <f>IF(OR(計分!Y219="",計分!$AP219=""),"",計分!$AP219-計分!Y219)</f>
        <v/>
      </c>
      <c r="Z219">
        <f>IF(OR(計分!Z219="",計分!$AP219=""),"",計分!$AP219-計分!Z219)</f>
        <v/>
      </c>
      <c r="AA219">
        <f>IF(OR(計分!AA219="",計分!$AP219=""),"",計分!$AP219-計分!AA219)</f>
        <v/>
      </c>
      <c r="AB219">
        <f>IF(OR(計分!AB219="",計分!$AP219=""),"",計分!$AP219-計分!AB219)</f>
        <v/>
      </c>
      <c r="AC219">
        <f>IF(OR(計分!AC219="",計分!$AP219=""),"",計分!$AP219-計分!AC219)</f>
        <v/>
      </c>
      <c r="AD219">
        <f>IF(OR(計分!AD219="",計分!$AP219=""),"",計分!$AP219-計分!AD219)</f>
        <v/>
      </c>
      <c r="AE219">
        <f>IF(OR(計分!AE219="",計分!$AP219=""),"",計分!$AP219-計分!AE219)</f>
        <v/>
      </c>
      <c r="AF219">
        <f>IF(OR(計分!AF219="",計分!$AP219=""),"",計分!$AP219-計分!AF219)</f>
        <v/>
      </c>
      <c r="AG219">
        <f>IF(OR(計分!AG219="",計分!$AP219=""),"",計分!$AP219-計分!AG219)</f>
        <v/>
      </c>
      <c r="AH219">
        <f>IF(OR(計分!AH219="",計分!$AP219=""),"",計分!$AP219-計分!AH219)</f>
        <v/>
      </c>
      <c r="AI219">
        <f>IF(OR(計分!AI219="",計分!$AP219=""),"",計分!$AP219-計分!AI219)</f>
        <v/>
      </c>
      <c r="AJ219">
        <f>IF(OR(計分!AJ219="",計分!$AP219=""),"",計分!$AP219-計分!AJ219)</f>
        <v/>
      </c>
      <c r="AK219">
        <f>IF(OR(計分!AK219="",計分!$AP219=""),"",計分!$AP219-計分!AK219)</f>
        <v/>
      </c>
      <c r="AL219">
        <f>IF(OR(計分!AL219="",計分!$AP219=""),"",計分!$AP219-計分!AL219)</f>
        <v/>
      </c>
      <c r="AM219">
        <f>IF(OR(計分!AM219="",計分!$AP219=""),"",計分!$AP219-計分!AM219)</f>
        <v/>
      </c>
      <c r="AN219">
        <f>IF(OR(計分!AN219="",計分!$AP219=""),"",計分!$AP219-計分!AN219)</f>
        <v/>
      </c>
      <c r="AO219">
        <f>IF(OR(計分!AO219="",計分!$AP219=""),"",計分!$AP219-計分!AO219)</f>
        <v/>
      </c>
    </row>
    <row r="220">
      <c r="A220">
        <f>計分!A220</f>
        <v/>
      </c>
      <c r="B220">
        <f>IF(OR(計分!B220="",計分!$AP220=""),"",計分!$AP220-計分!B220)</f>
        <v/>
      </c>
      <c r="C220">
        <f>IF(OR(計分!C220="",計分!$AP220=""),"",計分!$AP220-計分!C220)</f>
        <v/>
      </c>
      <c r="D220">
        <f>IF(OR(計分!D220="",計分!$AP220=""),"",計分!$AP220-計分!D220)</f>
        <v/>
      </c>
      <c r="E220">
        <f>IF(OR(計分!E220="",計分!$AP220=""),"",計分!$AP220-計分!E220)</f>
        <v/>
      </c>
      <c r="F220">
        <f>IF(OR(計分!F220="",計分!$AP220=""),"",計分!$AP220-計分!F220)</f>
        <v/>
      </c>
      <c r="G220">
        <f>IF(OR(計分!G220="",計分!$AP220=""),"",計分!$AP220-計分!G220)</f>
        <v/>
      </c>
      <c r="H220">
        <f>IF(OR(計分!H220="",計分!$AP220=""),"",計分!$AP220-計分!H220)</f>
        <v/>
      </c>
      <c r="I220">
        <f>IF(OR(計分!I220="",計分!$AP220=""),"",計分!$AP220-計分!I220)</f>
        <v/>
      </c>
      <c r="J220">
        <f>IF(OR(計分!J220="",計分!$AP220=""),"",計分!$AP220-計分!J220)</f>
        <v/>
      </c>
      <c r="K220">
        <f>IF(OR(計分!K220="",計分!$AP220=""),"",計分!$AP220-計分!K220)</f>
        <v/>
      </c>
      <c r="L220">
        <f>IF(OR(計分!L220="",計分!$AP220=""),"",計分!$AP220-計分!L220)</f>
        <v/>
      </c>
      <c r="M220">
        <f>IF(OR(計分!M220="",計分!$AP220=""),"",計分!$AP220-計分!M220)</f>
        <v/>
      </c>
      <c r="N220">
        <f>IF(OR(計分!N220="",計分!$AP220=""),"",計分!$AP220-計分!N220)</f>
        <v/>
      </c>
      <c r="O220">
        <f>IF(OR(計分!O220="",計分!$AP220=""),"",計分!$AP220-計分!O220)</f>
        <v/>
      </c>
      <c r="P220">
        <f>IF(OR(計分!P220="",計分!$AP220=""),"",計分!$AP220-計分!P220)</f>
        <v/>
      </c>
      <c r="Q220">
        <f>IF(OR(計分!Q220="",計分!$AP220=""),"",計分!$AP220-計分!Q220)</f>
        <v/>
      </c>
      <c r="R220">
        <f>IF(OR(計分!R220="",計分!$AP220=""),"",計分!$AP220-計分!R220)</f>
        <v/>
      </c>
      <c r="S220">
        <f>IF(OR(計分!S220="",計分!$AP220=""),"",計分!$AP220-計分!S220)</f>
        <v/>
      </c>
      <c r="T220">
        <f>IF(OR(計分!T220="",計分!$AP220=""),"",計分!$AP220-計分!T220)</f>
        <v/>
      </c>
      <c r="U220">
        <f>IF(OR(計分!U220="",計分!$AP220=""),"",計分!$AP220-計分!U220)</f>
        <v/>
      </c>
      <c r="V220">
        <f>IF(OR(計分!V220="",計分!$AP220=""),"",計分!$AP220-計分!V220)</f>
        <v/>
      </c>
      <c r="W220">
        <f>IF(OR(計分!W220="",計分!$AP220=""),"",計分!$AP220-計分!W220)</f>
        <v/>
      </c>
      <c r="X220">
        <f>IF(OR(計分!X220="",計分!$AP220=""),"",計分!$AP220-計分!X220)</f>
        <v/>
      </c>
      <c r="Y220">
        <f>IF(OR(計分!Y220="",計分!$AP220=""),"",計分!$AP220-計分!Y220)</f>
        <v/>
      </c>
      <c r="Z220">
        <f>IF(OR(計分!Z220="",計分!$AP220=""),"",計分!$AP220-計分!Z220)</f>
        <v/>
      </c>
      <c r="AA220">
        <f>IF(OR(計分!AA220="",計分!$AP220=""),"",計分!$AP220-計分!AA220)</f>
        <v/>
      </c>
      <c r="AB220">
        <f>IF(OR(計分!AB220="",計分!$AP220=""),"",計分!$AP220-計分!AB220)</f>
        <v/>
      </c>
      <c r="AC220">
        <f>IF(OR(計分!AC220="",計分!$AP220=""),"",計分!$AP220-計分!AC220)</f>
        <v/>
      </c>
      <c r="AD220">
        <f>IF(OR(計分!AD220="",計分!$AP220=""),"",計分!$AP220-計分!AD220)</f>
        <v/>
      </c>
      <c r="AE220">
        <f>IF(OR(計分!AE220="",計分!$AP220=""),"",計分!$AP220-計分!AE220)</f>
        <v/>
      </c>
      <c r="AF220">
        <f>IF(OR(計分!AF220="",計分!$AP220=""),"",計分!$AP220-計分!AF220)</f>
        <v/>
      </c>
      <c r="AG220">
        <f>IF(OR(計分!AG220="",計分!$AP220=""),"",計分!$AP220-計分!AG220)</f>
        <v/>
      </c>
      <c r="AH220">
        <f>IF(OR(計分!AH220="",計分!$AP220=""),"",計分!$AP220-計分!AH220)</f>
        <v/>
      </c>
      <c r="AI220">
        <f>IF(OR(計分!AI220="",計分!$AP220=""),"",計分!$AP220-計分!AI220)</f>
        <v/>
      </c>
      <c r="AJ220">
        <f>IF(OR(計分!AJ220="",計分!$AP220=""),"",計分!$AP220-計分!AJ220)</f>
        <v/>
      </c>
      <c r="AK220">
        <f>IF(OR(計分!AK220="",計分!$AP220=""),"",計分!$AP220-計分!AK220)</f>
        <v/>
      </c>
      <c r="AL220">
        <f>IF(OR(計分!AL220="",計分!$AP220=""),"",計分!$AP220-計分!AL220)</f>
        <v/>
      </c>
      <c r="AM220">
        <f>IF(OR(計分!AM220="",計分!$AP220=""),"",計分!$AP220-計分!AM220)</f>
        <v/>
      </c>
      <c r="AN220">
        <f>IF(OR(計分!AN220="",計分!$AP220=""),"",計分!$AP220-計分!AN220)</f>
        <v/>
      </c>
      <c r="AO220">
        <f>IF(OR(計分!AO220="",計分!$AP220=""),"",計分!$AP220-計分!AO220)</f>
        <v/>
      </c>
    </row>
    <row r="221">
      <c r="A221">
        <f>計分!A221</f>
        <v/>
      </c>
      <c r="B221">
        <f>IF(OR(計分!B221="",計分!$AP221=""),"",計分!$AP221-計分!B221)</f>
        <v/>
      </c>
      <c r="C221">
        <f>IF(OR(計分!C221="",計分!$AP221=""),"",計分!$AP221-計分!C221)</f>
        <v/>
      </c>
      <c r="D221">
        <f>IF(OR(計分!D221="",計分!$AP221=""),"",計分!$AP221-計分!D221)</f>
        <v/>
      </c>
      <c r="E221">
        <f>IF(OR(計分!E221="",計分!$AP221=""),"",計分!$AP221-計分!E221)</f>
        <v/>
      </c>
      <c r="F221">
        <f>IF(OR(計分!F221="",計分!$AP221=""),"",計分!$AP221-計分!F221)</f>
        <v/>
      </c>
      <c r="G221">
        <f>IF(OR(計分!G221="",計分!$AP221=""),"",計分!$AP221-計分!G221)</f>
        <v/>
      </c>
      <c r="H221">
        <f>IF(OR(計分!H221="",計分!$AP221=""),"",計分!$AP221-計分!H221)</f>
        <v/>
      </c>
      <c r="I221">
        <f>IF(OR(計分!I221="",計分!$AP221=""),"",計分!$AP221-計分!I221)</f>
        <v/>
      </c>
      <c r="J221">
        <f>IF(OR(計分!J221="",計分!$AP221=""),"",計分!$AP221-計分!J221)</f>
        <v/>
      </c>
      <c r="K221">
        <f>IF(OR(計分!K221="",計分!$AP221=""),"",計分!$AP221-計分!K221)</f>
        <v/>
      </c>
      <c r="L221">
        <f>IF(OR(計分!L221="",計分!$AP221=""),"",計分!$AP221-計分!L221)</f>
        <v/>
      </c>
      <c r="M221">
        <f>IF(OR(計分!M221="",計分!$AP221=""),"",計分!$AP221-計分!M221)</f>
        <v/>
      </c>
      <c r="N221">
        <f>IF(OR(計分!N221="",計分!$AP221=""),"",計分!$AP221-計分!N221)</f>
        <v/>
      </c>
      <c r="O221">
        <f>IF(OR(計分!O221="",計分!$AP221=""),"",計分!$AP221-計分!O221)</f>
        <v/>
      </c>
      <c r="P221">
        <f>IF(OR(計分!P221="",計分!$AP221=""),"",計分!$AP221-計分!P221)</f>
        <v/>
      </c>
      <c r="Q221">
        <f>IF(OR(計分!Q221="",計分!$AP221=""),"",計分!$AP221-計分!Q221)</f>
        <v/>
      </c>
      <c r="R221">
        <f>IF(OR(計分!R221="",計分!$AP221=""),"",計分!$AP221-計分!R221)</f>
        <v/>
      </c>
      <c r="S221">
        <f>IF(OR(計分!S221="",計分!$AP221=""),"",計分!$AP221-計分!S221)</f>
        <v/>
      </c>
      <c r="T221">
        <f>IF(OR(計分!T221="",計分!$AP221=""),"",計分!$AP221-計分!T221)</f>
        <v/>
      </c>
      <c r="U221">
        <f>IF(OR(計分!U221="",計分!$AP221=""),"",計分!$AP221-計分!U221)</f>
        <v/>
      </c>
      <c r="V221">
        <f>IF(OR(計分!V221="",計分!$AP221=""),"",計分!$AP221-計分!V221)</f>
        <v/>
      </c>
      <c r="W221">
        <f>IF(OR(計分!W221="",計分!$AP221=""),"",計分!$AP221-計分!W221)</f>
        <v/>
      </c>
      <c r="X221">
        <f>IF(OR(計分!X221="",計分!$AP221=""),"",計分!$AP221-計分!X221)</f>
        <v/>
      </c>
      <c r="Y221">
        <f>IF(OR(計分!Y221="",計分!$AP221=""),"",計分!$AP221-計分!Y221)</f>
        <v/>
      </c>
      <c r="Z221">
        <f>IF(OR(計分!Z221="",計分!$AP221=""),"",計分!$AP221-計分!Z221)</f>
        <v/>
      </c>
      <c r="AA221">
        <f>IF(OR(計分!AA221="",計分!$AP221=""),"",計分!$AP221-計分!AA221)</f>
        <v/>
      </c>
      <c r="AB221">
        <f>IF(OR(計分!AB221="",計分!$AP221=""),"",計分!$AP221-計分!AB221)</f>
        <v/>
      </c>
      <c r="AC221">
        <f>IF(OR(計分!AC221="",計分!$AP221=""),"",計分!$AP221-計分!AC221)</f>
        <v/>
      </c>
      <c r="AD221">
        <f>IF(OR(計分!AD221="",計分!$AP221=""),"",計分!$AP221-計分!AD221)</f>
        <v/>
      </c>
      <c r="AE221">
        <f>IF(OR(計分!AE221="",計分!$AP221=""),"",計分!$AP221-計分!AE221)</f>
        <v/>
      </c>
      <c r="AF221">
        <f>IF(OR(計分!AF221="",計分!$AP221=""),"",計分!$AP221-計分!AF221)</f>
        <v/>
      </c>
      <c r="AG221">
        <f>IF(OR(計分!AG221="",計分!$AP221=""),"",計分!$AP221-計分!AG221)</f>
        <v/>
      </c>
      <c r="AH221">
        <f>IF(OR(計分!AH221="",計分!$AP221=""),"",計分!$AP221-計分!AH221)</f>
        <v/>
      </c>
      <c r="AI221">
        <f>IF(OR(計分!AI221="",計分!$AP221=""),"",計分!$AP221-計分!AI221)</f>
        <v/>
      </c>
      <c r="AJ221">
        <f>IF(OR(計分!AJ221="",計分!$AP221=""),"",計分!$AP221-計分!AJ221)</f>
        <v/>
      </c>
      <c r="AK221">
        <f>IF(OR(計分!AK221="",計分!$AP221=""),"",計分!$AP221-計分!AK221)</f>
        <v/>
      </c>
      <c r="AL221">
        <f>IF(OR(計分!AL221="",計分!$AP221=""),"",計分!$AP221-計分!AL221)</f>
        <v/>
      </c>
      <c r="AM221">
        <f>IF(OR(計分!AM221="",計分!$AP221=""),"",計分!$AP221-計分!AM221)</f>
        <v/>
      </c>
      <c r="AN221">
        <f>IF(OR(計分!AN221="",計分!$AP221=""),"",計分!$AP221-計分!AN221)</f>
        <v/>
      </c>
      <c r="AO221">
        <f>IF(OR(計分!AO221="",計分!$AP221=""),"",計分!$AP221-計分!AO221)</f>
        <v/>
      </c>
    </row>
    <row r="222">
      <c r="A222">
        <f>計分!A222</f>
        <v/>
      </c>
      <c r="B222">
        <f>IF(OR(計分!B222="",計分!$AP222=""),"",計分!$AP222-計分!B222)</f>
        <v/>
      </c>
      <c r="C222">
        <f>IF(OR(計分!C222="",計分!$AP222=""),"",計分!$AP222-計分!C222)</f>
        <v/>
      </c>
      <c r="D222">
        <f>IF(OR(計分!D222="",計分!$AP222=""),"",計分!$AP222-計分!D222)</f>
        <v/>
      </c>
      <c r="E222">
        <f>IF(OR(計分!E222="",計分!$AP222=""),"",計分!$AP222-計分!E222)</f>
        <v/>
      </c>
      <c r="F222">
        <f>IF(OR(計分!F222="",計分!$AP222=""),"",計分!$AP222-計分!F222)</f>
        <v/>
      </c>
      <c r="G222">
        <f>IF(OR(計分!G222="",計分!$AP222=""),"",計分!$AP222-計分!G222)</f>
        <v/>
      </c>
      <c r="H222">
        <f>IF(OR(計分!H222="",計分!$AP222=""),"",計分!$AP222-計分!H222)</f>
        <v/>
      </c>
      <c r="I222">
        <f>IF(OR(計分!I222="",計分!$AP222=""),"",計分!$AP222-計分!I222)</f>
        <v/>
      </c>
      <c r="J222">
        <f>IF(OR(計分!J222="",計分!$AP222=""),"",計分!$AP222-計分!J222)</f>
        <v/>
      </c>
      <c r="K222">
        <f>IF(OR(計分!K222="",計分!$AP222=""),"",計分!$AP222-計分!K222)</f>
        <v/>
      </c>
      <c r="L222">
        <f>IF(OR(計分!L222="",計分!$AP222=""),"",計分!$AP222-計分!L222)</f>
        <v/>
      </c>
      <c r="M222">
        <f>IF(OR(計分!M222="",計分!$AP222=""),"",計分!$AP222-計分!M222)</f>
        <v/>
      </c>
      <c r="N222">
        <f>IF(OR(計分!N222="",計分!$AP222=""),"",計分!$AP222-計分!N222)</f>
        <v/>
      </c>
      <c r="O222">
        <f>IF(OR(計分!O222="",計分!$AP222=""),"",計分!$AP222-計分!O222)</f>
        <v/>
      </c>
      <c r="P222">
        <f>IF(OR(計分!P222="",計分!$AP222=""),"",計分!$AP222-計分!P222)</f>
        <v/>
      </c>
      <c r="Q222">
        <f>IF(OR(計分!Q222="",計分!$AP222=""),"",計分!$AP222-計分!Q222)</f>
        <v/>
      </c>
      <c r="R222">
        <f>IF(OR(計分!R222="",計分!$AP222=""),"",計分!$AP222-計分!R222)</f>
        <v/>
      </c>
      <c r="S222">
        <f>IF(OR(計分!S222="",計分!$AP222=""),"",計分!$AP222-計分!S222)</f>
        <v/>
      </c>
      <c r="T222">
        <f>IF(OR(計分!T222="",計分!$AP222=""),"",計分!$AP222-計分!T222)</f>
        <v/>
      </c>
      <c r="U222">
        <f>IF(OR(計分!U222="",計分!$AP222=""),"",計分!$AP222-計分!U222)</f>
        <v/>
      </c>
      <c r="V222">
        <f>IF(OR(計分!V222="",計分!$AP222=""),"",計分!$AP222-計分!V222)</f>
        <v/>
      </c>
      <c r="W222">
        <f>IF(OR(計分!W222="",計分!$AP222=""),"",計分!$AP222-計分!W222)</f>
        <v/>
      </c>
      <c r="X222">
        <f>IF(OR(計分!X222="",計分!$AP222=""),"",計分!$AP222-計分!X222)</f>
        <v/>
      </c>
      <c r="Y222">
        <f>IF(OR(計分!Y222="",計分!$AP222=""),"",計分!$AP222-計分!Y222)</f>
        <v/>
      </c>
      <c r="Z222">
        <f>IF(OR(計分!Z222="",計分!$AP222=""),"",計分!$AP222-計分!Z222)</f>
        <v/>
      </c>
      <c r="AA222">
        <f>IF(OR(計分!AA222="",計分!$AP222=""),"",計分!$AP222-計分!AA222)</f>
        <v/>
      </c>
      <c r="AB222">
        <f>IF(OR(計分!AB222="",計分!$AP222=""),"",計分!$AP222-計分!AB222)</f>
        <v/>
      </c>
      <c r="AC222">
        <f>IF(OR(計分!AC222="",計分!$AP222=""),"",計分!$AP222-計分!AC222)</f>
        <v/>
      </c>
      <c r="AD222">
        <f>IF(OR(計分!AD222="",計分!$AP222=""),"",計分!$AP222-計分!AD222)</f>
        <v/>
      </c>
      <c r="AE222">
        <f>IF(OR(計分!AE222="",計分!$AP222=""),"",計分!$AP222-計分!AE222)</f>
        <v/>
      </c>
      <c r="AF222">
        <f>IF(OR(計分!AF222="",計分!$AP222=""),"",計分!$AP222-計分!AF222)</f>
        <v/>
      </c>
      <c r="AG222">
        <f>IF(OR(計分!AG222="",計分!$AP222=""),"",計分!$AP222-計分!AG222)</f>
        <v/>
      </c>
      <c r="AH222">
        <f>IF(OR(計分!AH222="",計分!$AP222=""),"",計分!$AP222-計分!AH222)</f>
        <v/>
      </c>
      <c r="AI222">
        <f>IF(OR(計分!AI222="",計分!$AP222=""),"",計分!$AP222-計分!AI222)</f>
        <v/>
      </c>
      <c r="AJ222">
        <f>IF(OR(計分!AJ222="",計分!$AP222=""),"",計分!$AP222-計分!AJ222)</f>
        <v/>
      </c>
      <c r="AK222">
        <f>IF(OR(計分!AK222="",計分!$AP222=""),"",計分!$AP222-計分!AK222)</f>
        <v/>
      </c>
      <c r="AL222">
        <f>IF(OR(計分!AL222="",計分!$AP222=""),"",計分!$AP222-計分!AL222)</f>
        <v/>
      </c>
      <c r="AM222">
        <f>IF(OR(計分!AM222="",計分!$AP222=""),"",計分!$AP222-計分!AM222)</f>
        <v/>
      </c>
      <c r="AN222">
        <f>IF(OR(計分!AN222="",計分!$AP222=""),"",計分!$AP222-計分!AN222)</f>
        <v/>
      </c>
      <c r="AO222">
        <f>IF(OR(計分!AO222="",計分!$AP222=""),"",計分!$AP222-計分!AO222)</f>
        <v/>
      </c>
    </row>
    <row r="223">
      <c r="A223">
        <f>計分!A223</f>
        <v/>
      </c>
      <c r="B223">
        <f>IF(OR(計分!B223="",計分!$AP223=""),"",計分!$AP223-計分!B223)</f>
        <v/>
      </c>
      <c r="C223">
        <f>IF(OR(計分!C223="",計分!$AP223=""),"",計分!$AP223-計分!C223)</f>
        <v/>
      </c>
      <c r="D223">
        <f>IF(OR(計分!D223="",計分!$AP223=""),"",計分!$AP223-計分!D223)</f>
        <v/>
      </c>
      <c r="E223">
        <f>IF(OR(計分!E223="",計分!$AP223=""),"",計分!$AP223-計分!E223)</f>
        <v/>
      </c>
      <c r="F223">
        <f>IF(OR(計分!F223="",計分!$AP223=""),"",計分!$AP223-計分!F223)</f>
        <v/>
      </c>
      <c r="G223">
        <f>IF(OR(計分!G223="",計分!$AP223=""),"",計分!$AP223-計分!G223)</f>
        <v/>
      </c>
      <c r="H223">
        <f>IF(OR(計分!H223="",計分!$AP223=""),"",計分!$AP223-計分!H223)</f>
        <v/>
      </c>
      <c r="I223">
        <f>IF(OR(計分!I223="",計分!$AP223=""),"",計分!$AP223-計分!I223)</f>
        <v/>
      </c>
      <c r="J223">
        <f>IF(OR(計分!J223="",計分!$AP223=""),"",計分!$AP223-計分!J223)</f>
        <v/>
      </c>
      <c r="K223">
        <f>IF(OR(計分!K223="",計分!$AP223=""),"",計分!$AP223-計分!K223)</f>
        <v/>
      </c>
      <c r="L223">
        <f>IF(OR(計分!L223="",計分!$AP223=""),"",計分!$AP223-計分!L223)</f>
        <v/>
      </c>
      <c r="M223">
        <f>IF(OR(計分!M223="",計分!$AP223=""),"",計分!$AP223-計分!M223)</f>
        <v/>
      </c>
      <c r="N223">
        <f>IF(OR(計分!N223="",計分!$AP223=""),"",計分!$AP223-計分!N223)</f>
        <v/>
      </c>
      <c r="O223">
        <f>IF(OR(計分!O223="",計分!$AP223=""),"",計分!$AP223-計分!O223)</f>
        <v/>
      </c>
      <c r="P223">
        <f>IF(OR(計分!P223="",計分!$AP223=""),"",計分!$AP223-計分!P223)</f>
        <v/>
      </c>
      <c r="Q223">
        <f>IF(OR(計分!Q223="",計分!$AP223=""),"",計分!$AP223-計分!Q223)</f>
        <v/>
      </c>
      <c r="R223">
        <f>IF(OR(計分!R223="",計分!$AP223=""),"",計分!$AP223-計分!R223)</f>
        <v/>
      </c>
      <c r="S223">
        <f>IF(OR(計分!S223="",計分!$AP223=""),"",計分!$AP223-計分!S223)</f>
        <v/>
      </c>
      <c r="T223">
        <f>IF(OR(計分!T223="",計分!$AP223=""),"",計分!$AP223-計分!T223)</f>
        <v/>
      </c>
      <c r="U223">
        <f>IF(OR(計分!U223="",計分!$AP223=""),"",計分!$AP223-計分!U223)</f>
        <v/>
      </c>
      <c r="V223">
        <f>IF(OR(計分!V223="",計分!$AP223=""),"",計分!$AP223-計分!V223)</f>
        <v/>
      </c>
      <c r="W223">
        <f>IF(OR(計分!W223="",計分!$AP223=""),"",計分!$AP223-計分!W223)</f>
        <v/>
      </c>
      <c r="X223">
        <f>IF(OR(計分!X223="",計分!$AP223=""),"",計分!$AP223-計分!X223)</f>
        <v/>
      </c>
      <c r="Y223">
        <f>IF(OR(計分!Y223="",計分!$AP223=""),"",計分!$AP223-計分!Y223)</f>
        <v/>
      </c>
      <c r="Z223">
        <f>IF(OR(計分!Z223="",計分!$AP223=""),"",計分!$AP223-計分!Z223)</f>
        <v/>
      </c>
      <c r="AA223">
        <f>IF(OR(計分!AA223="",計分!$AP223=""),"",計分!$AP223-計分!AA223)</f>
        <v/>
      </c>
      <c r="AB223">
        <f>IF(OR(計分!AB223="",計分!$AP223=""),"",計分!$AP223-計分!AB223)</f>
        <v/>
      </c>
      <c r="AC223">
        <f>IF(OR(計分!AC223="",計分!$AP223=""),"",計分!$AP223-計分!AC223)</f>
        <v/>
      </c>
      <c r="AD223">
        <f>IF(OR(計分!AD223="",計分!$AP223=""),"",計分!$AP223-計分!AD223)</f>
        <v/>
      </c>
      <c r="AE223">
        <f>IF(OR(計分!AE223="",計分!$AP223=""),"",計分!$AP223-計分!AE223)</f>
        <v/>
      </c>
      <c r="AF223">
        <f>IF(OR(計分!AF223="",計分!$AP223=""),"",計分!$AP223-計分!AF223)</f>
        <v/>
      </c>
      <c r="AG223">
        <f>IF(OR(計分!AG223="",計分!$AP223=""),"",計分!$AP223-計分!AG223)</f>
        <v/>
      </c>
      <c r="AH223">
        <f>IF(OR(計分!AH223="",計分!$AP223=""),"",計分!$AP223-計分!AH223)</f>
        <v/>
      </c>
      <c r="AI223">
        <f>IF(OR(計分!AI223="",計分!$AP223=""),"",計分!$AP223-計分!AI223)</f>
        <v/>
      </c>
      <c r="AJ223">
        <f>IF(OR(計分!AJ223="",計分!$AP223=""),"",計分!$AP223-計分!AJ223)</f>
        <v/>
      </c>
      <c r="AK223">
        <f>IF(OR(計分!AK223="",計分!$AP223=""),"",計分!$AP223-計分!AK223)</f>
        <v/>
      </c>
      <c r="AL223">
        <f>IF(OR(計分!AL223="",計分!$AP223=""),"",計分!$AP223-計分!AL223)</f>
        <v/>
      </c>
      <c r="AM223">
        <f>IF(OR(計分!AM223="",計分!$AP223=""),"",計分!$AP223-計分!AM223)</f>
        <v/>
      </c>
      <c r="AN223">
        <f>IF(OR(計分!AN223="",計分!$AP223=""),"",計分!$AP223-計分!AN223)</f>
        <v/>
      </c>
      <c r="AO223">
        <f>IF(OR(計分!AO223="",計分!$AP223=""),"",計分!$AP223-計分!AO223)</f>
        <v/>
      </c>
    </row>
    <row r="224">
      <c r="A224">
        <f>計分!A224</f>
        <v/>
      </c>
      <c r="B224">
        <f>IF(OR(計分!B224="",計分!$AP224=""),"",計分!$AP224-計分!B224)</f>
        <v/>
      </c>
      <c r="C224">
        <f>IF(OR(計分!C224="",計分!$AP224=""),"",計分!$AP224-計分!C224)</f>
        <v/>
      </c>
      <c r="D224">
        <f>IF(OR(計分!D224="",計分!$AP224=""),"",計分!$AP224-計分!D224)</f>
        <v/>
      </c>
      <c r="E224">
        <f>IF(OR(計分!E224="",計分!$AP224=""),"",計分!$AP224-計分!E224)</f>
        <v/>
      </c>
      <c r="F224">
        <f>IF(OR(計分!F224="",計分!$AP224=""),"",計分!$AP224-計分!F224)</f>
        <v/>
      </c>
      <c r="G224">
        <f>IF(OR(計分!G224="",計分!$AP224=""),"",計分!$AP224-計分!G224)</f>
        <v/>
      </c>
      <c r="H224">
        <f>IF(OR(計分!H224="",計分!$AP224=""),"",計分!$AP224-計分!H224)</f>
        <v/>
      </c>
      <c r="I224">
        <f>IF(OR(計分!I224="",計分!$AP224=""),"",計分!$AP224-計分!I224)</f>
        <v/>
      </c>
      <c r="J224">
        <f>IF(OR(計分!J224="",計分!$AP224=""),"",計分!$AP224-計分!J224)</f>
        <v/>
      </c>
      <c r="K224">
        <f>IF(OR(計分!K224="",計分!$AP224=""),"",計分!$AP224-計分!K224)</f>
        <v/>
      </c>
      <c r="L224">
        <f>IF(OR(計分!L224="",計分!$AP224=""),"",計分!$AP224-計分!L224)</f>
        <v/>
      </c>
      <c r="M224">
        <f>IF(OR(計分!M224="",計分!$AP224=""),"",計分!$AP224-計分!M224)</f>
        <v/>
      </c>
      <c r="N224">
        <f>IF(OR(計分!N224="",計分!$AP224=""),"",計分!$AP224-計分!N224)</f>
        <v/>
      </c>
      <c r="O224">
        <f>IF(OR(計分!O224="",計分!$AP224=""),"",計分!$AP224-計分!O224)</f>
        <v/>
      </c>
      <c r="P224">
        <f>IF(OR(計分!P224="",計分!$AP224=""),"",計分!$AP224-計分!P224)</f>
        <v/>
      </c>
      <c r="Q224">
        <f>IF(OR(計分!Q224="",計分!$AP224=""),"",計分!$AP224-計分!Q224)</f>
        <v/>
      </c>
      <c r="R224">
        <f>IF(OR(計分!R224="",計分!$AP224=""),"",計分!$AP224-計分!R224)</f>
        <v/>
      </c>
      <c r="S224">
        <f>IF(OR(計分!S224="",計分!$AP224=""),"",計分!$AP224-計分!S224)</f>
        <v/>
      </c>
      <c r="T224">
        <f>IF(OR(計分!T224="",計分!$AP224=""),"",計分!$AP224-計分!T224)</f>
        <v/>
      </c>
      <c r="U224">
        <f>IF(OR(計分!U224="",計分!$AP224=""),"",計分!$AP224-計分!U224)</f>
        <v/>
      </c>
      <c r="V224">
        <f>IF(OR(計分!V224="",計分!$AP224=""),"",計分!$AP224-計分!V224)</f>
        <v/>
      </c>
      <c r="W224">
        <f>IF(OR(計分!W224="",計分!$AP224=""),"",計分!$AP224-計分!W224)</f>
        <v/>
      </c>
      <c r="X224">
        <f>IF(OR(計分!X224="",計分!$AP224=""),"",計分!$AP224-計分!X224)</f>
        <v/>
      </c>
      <c r="Y224">
        <f>IF(OR(計分!Y224="",計分!$AP224=""),"",計分!$AP224-計分!Y224)</f>
        <v/>
      </c>
      <c r="Z224">
        <f>IF(OR(計分!Z224="",計分!$AP224=""),"",計分!$AP224-計分!Z224)</f>
        <v/>
      </c>
      <c r="AA224">
        <f>IF(OR(計分!AA224="",計分!$AP224=""),"",計分!$AP224-計分!AA224)</f>
        <v/>
      </c>
      <c r="AB224">
        <f>IF(OR(計分!AB224="",計分!$AP224=""),"",計分!$AP224-計分!AB224)</f>
        <v/>
      </c>
      <c r="AC224">
        <f>IF(OR(計分!AC224="",計分!$AP224=""),"",計分!$AP224-計分!AC224)</f>
        <v/>
      </c>
      <c r="AD224">
        <f>IF(OR(計分!AD224="",計分!$AP224=""),"",計分!$AP224-計分!AD224)</f>
        <v/>
      </c>
      <c r="AE224">
        <f>IF(OR(計分!AE224="",計分!$AP224=""),"",計分!$AP224-計分!AE224)</f>
        <v/>
      </c>
      <c r="AF224">
        <f>IF(OR(計分!AF224="",計分!$AP224=""),"",計分!$AP224-計分!AF224)</f>
        <v/>
      </c>
      <c r="AG224">
        <f>IF(OR(計分!AG224="",計分!$AP224=""),"",計分!$AP224-計分!AG224)</f>
        <v/>
      </c>
      <c r="AH224">
        <f>IF(OR(計分!AH224="",計分!$AP224=""),"",計分!$AP224-計分!AH224)</f>
        <v/>
      </c>
      <c r="AI224">
        <f>IF(OR(計分!AI224="",計分!$AP224=""),"",計分!$AP224-計分!AI224)</f>
        <v/>
      </c>
      <c r="AJ224">
        <f>IF(OR(計分!AJ224="",計分!$AP224=""),"",計分!$AP224-計分!AJ224)</f>
        <v/>
      </c>
      <c r="AK224">
        <f>IF(OR(計分!AK224="",計分!$AP224=""),"",計分!$AP224-計分!AK224)</f>
        <v/>
      </c>
      <c r="AL224">
        <f>IF(OR(計分!AL224="",計分!$AP224=""),"",計分!$AP224-計分!AL224)</f>
        <v/>
      </c>
      <c r="AM224">
        <f>IF(OR(計分!AM224="",計分!$AP224=""),"",計分!$AP224-計分!AM224)</f>
        <v/>
      </c>
      <c r="AN224">
        <f>IF(OR(計分!AN224="",計分!$AP224=""),"",計分!$AP224-計分!AN224)</f>
        <v/>
      </c>
      <c r="AO224">
        <f>IF(OR(計分!AO224="",計分!$AP224=""),"",計分!$AP224-計分!AO224)</f>
        <v/>
      </c>
    </row>
    <row r="225">
      <c r="A225">
        <f>計分!A225</f>
        <v/>
      </c>
      <c r="B225">
        <f>IF(OR(計分!B225="",計分!$AP225=""),"",計分!$AP225-計分!B225)</f>
        <v/>
      </c>
      <c r="C225">
        <f>IF(OR(計分!C225="",計分!$AP225=""),"",計分!$AP225-計分!C225)</f>
        <v/>
      </c>
      <c r="D225">
        <f>IF(OR(計分!D225="",計分!$AP225=""),"",計分!$AP225-計分!D225)</f>
        <v/>
      </c>
      <c r="E225">
        <f>IF(OR(計分!E225="",計分!$AP225=""),"",計分!$AP225-計分!E225)</f>
        <v/>
      </c>
      <c r="F225">
        <f>IF(OR(計分!F225="",計分!$AP225=""),"",計分!$AP225-計分!F225)</f>
        <v/>
      </c>
      <c r="G225">
        <f>IF(OR(計分!G225="",計分!$AP225=""),"",計分!$AP225-計分!G225)</f>
        <v/>
      </c>
      <c r="H225">
        <f>IF(OR(計分!H225="",計分!$AP225=""),"",計分!$AP225-計分!H225)</f>
        <v/>
      </c>
      <c r="I225">
        <f>IF(OR(計分!I225="",計分!$AP225=""),"",計分!$AP225-計分!I225)</f>
        <v/>
      </c>
      <c r="J225">
        <f>IF(OR(計分!J225="",計分!$AP225=""),"",計分!$AP225-計分!J225)</f>
        <v/>
      </c>
      <c r="K225">
        <f>IF(OR(計分!K225="",計分!$AP225=""),"",計分!$AP225-計分!K225)</f>
        <v/>
      </c>
      <c r="L225">
        <f>IF(OR(計分!L225="",計分!$AP225=""),"",計分!$AP225-計分!L225)</f>
        <v/>
      </c>
      <c r="M225">
        <f>IF(OR(計分!M225="",計分!$AP225=""),"",計分!$AP225-計分!M225)</f>
        <v/>
      </c>
      <c r="N225">
        <f>IF(OR(計分!N225="",計分!$AP225=""),"",計分!$AP225-計分!N225)</f>
        <v/>
      </c>
      <c r="O225">
        <f>IF(OR(計分!O225="",計分!$AP225=""),"",計分!$AP225-計分!O225)</f>
        <v/>
      </c>
      <c r="P225">
        <f>IF(OR(計分!P225="",計分!$AP225=""),"",計分!$AP225-計分!P225)</f>
        <v/>
      </c>
      <c r="Q225">
        <f>IF(OR(計分!Q225="",計分!$AP225=""),"",計分!$AP225-計分!Q225)</f>
        <v/>
      </c>
      <c r="R225">
        <f>IF(OR(計分!R225="",計分!$AP225=""),"",計分!$AP225-計分!R225)</f>
        <v/>
      </c>
      <c r="S225">
        <f>IF(OR(計分!S225="",計分!$AP225=""),"",計分!$AP225-計分!S225)</f>
        <v/>
      </c>
      <c r="T225">
        <f>IF(OR(計分!T225="",計分!$AP225=""),"",計分!$AP225-計分!T225)</f>
        <v/>
      </c>
      <c r="U225">
        <f>IF(OR(計分!U225="",計分!$AP225=""),"",計分!$AP225-計分!U225)</f>
        <v/>
      </c>
      <c r="V225">
        <f>IF(OR(計分!V225="",計分!$AP225=""),"",計分!$AP225-計分!V225)</f>
        <v/>
      </c>
      <c r="W225">
        <f>IF(OR(計分!W225="",計分!$AP225=""),"",計分!$AP225-計分!W225)</f>
        <v/>
      </c>
      <c r="X225">
        <f>IF(OR(計分!X225="",計分!$AP225=""),"",計分!$AP225-計分!X225)</f>
        <v/>
      </c>
      <c r="Y225">
        <f>IF(OR(計分!Y225="",計分!$AP225=""),"",計分!$AP225-計分!Y225)</f>
        <v/>
      </c>
      <c r="Z225">
        <f>IF(OR(計分!Z225="",計分!$AP225=""),"",計分!$AP225-計分!Z225)</f>
        <v/>
      </c>
      <c r="AA225">
        <f>IF(OR(計分!AA225="",計分!$AP225=""),"",計分!$AP225-計分!AA225)</f>
        <v/>
      </c>
      <c r="AB225">
        <f>IF(OR(計分!AB225="",計分!$AP225=""),"",計分!$AP225-計分!AB225)</f>
        <v/>
      </c>
      <c r="AC225">
        <f>IF(OR(計分!AC225="",計分!$AP225=""),"",計分!$AP225-計分!AC225)</f>
        <v/>
      </c>
      <c r="AD225">
        <f>IF(OR(計分!AD225="",計分!$AP225=""),"",計分!$AP225-計分!AD225)</f>
        <v/>
      </c>
      <c r="AE225">
        <f>IF(OR(計分!AE225="",計分!$AP225=""),"",計分!$AP225-計分!AE225)</f>
        <v/>
      </c>
      <c r="AF225">
        <f>IF(OR(計分!AF225="",計分!$AP225=""),"",計分!$AP225-計分!AF225)</f>
        <v/>
      </c>
      <c r="AG225">
        <f>IF(OR(計分!AG225="",計分!$AP225=""),"",計分!$AP225-計分!AG225)</f>
        <v/>
      </c>
      <c r="AH225">
        <f>IF(OR(計分!AH225="",計分!$AP225=""),"",計分!$AP225-計分!AH225)</f>
        <v/>
      </c>
      <c r="AI225">
        <f>IF(OR(計分!AI225="",計分!$AP225=""),"",計分!$AP225-計分!AI225)</f>
        <v/>
      </c>
      <c r="AJ225">
        <f>IF(OR(計分!AJ225="",計分!$AP225=""),"",計分!$AP225-計分!AJ225)</f>
        <v/>
      </c>
      <c r="AK225">
        <f>IF(OR(計分!AK225="",計分!$AP225=""),"",計分!$AP225-計分!AK225)</f>
        <v/>
      </c>
      <c r="AL225">
        <f>IF(OR(計分!AL225="",計分!$AP225=""),"",計分!$AP225-計分!AL225)</f>
        <v/>
      </c>
      <c r="AM225">
        <f>IF(OR(計分!AM225="",計分!$AP225=""),"",計分!$AP225-計分!AM225)</f>
        <v/>
      </c>
      <c r="AN225">
        <f>IF(OR(計分!AN225="",計分!$AP225=""),"",計分!$AP225-計分!AN225)</f>
        <v/>
      </c>
      <c r="AO225">
        <f>IF(OR(計分!AO225="",計分!$AP225=""),"",計分!$AP225-計分!AO225)</f>
        <v/>
      </c>
    </row>
    <row r="226">
      <c r="A226">
        <f>計分!A226</f>
        <v/>
      </c>
      <c r="B226">
        <f>IF(OR(計分!B226="",計分!$AP226=""),"",計分!$AP226-計分!B226)</f>
        <v/>
      </c>
      <c r="C226">
        <f>IF(OR(計分!C226="",計分!$AP226=""),"",計分!$AP226-計分!C226)</f>
        <v/>
      </c>
      <c r="D226">
        <f>IF(OR(計分!D226="",計分!$AP226=""),"",計分!$AP226-計分!D226)</f>
        <v/>
      </c>
      <c r="E226">
        <f>IF(OR(計分!E226="",計分!$AP226=""),"",計分!$AP226-計分!E226)</f>
        <v/>
      </c>
      <c r="F226">
        <f>IF(OR(計分!F226="",計分!$AP226=""),"",計分!$AP226-計分!F226)</f>
        <v/>
      </c>
      <c r="G226">
        <f>IF(OR(計分!G226="",計分!$AP226=""),"",計分!$AP226-計分!G226)</f>
        <v/>
      </c>
      <c r="H226">
        <f>IF(OR(計分!H226="",計分!$AP226=""),"",計分!$AP226-計分!H226)</f>
        <v/>
      </c>
      <c r="I226">
        <f>IF(OR(計分!I226="",計分!$AP226=""),"",計分!$AP226-計分!I226)</f>
        <v/>
      </c>
      <c r="J226">
        <f>IF(OR(計分!J226="",計分!$AP226=""),"",計分!$AP226-計分!J226)</f>
        <v/>
      </c>
      <c r="K226">
        <f>IF(OR(計分!K226="",計分!$AP226=""),"",計分!$AP226-計分!K226)</f>
        <v/>
      </c>
      <c r="L226">
        <f>IF(OR(計分!L226="",計分!$AP226=""),"",計分!$AP226-計分!L226)</f>
        <v/>
      </c>
      <c r="M226">
        <f>IF(OR(計分!M226="",計分!$AP226=""),"",計分!$AP226-計分!M226)</f>
        <v/>
      </c>
      <c r="N226">
        <f>IF(OR(計分!N226="",計分!$AP226=""),"",計分!$AP226-計分!N226)</f>
        <v/>
      </c>
      <c r="O226">
        <f>IF(OR(計分!O226="",計分!$AP226=""),"",計分!$AP226-計分!O226)</f>
        <v/>
      </c>
      <c r="P226">
        <f>IF(OR(計分!P226="",計分!$AP226=""),"",計分!$AP226-計分!P226)</f>
        <v/>
      </c>
      <c r="Q226">
        <f>IF(OR(計分!Q226="",計分!$AP226=""),"",計分!$AP226-計分!Q226)</f>
        <v/>
      </c>
      <c r="R226">
        <f>IF(OR(計分!R226="",計分!$AP226=""),"",計分!$AP226-計分!R226)</f>
        <v/>
      </c>
      <c r="S226">
        <f>IF(OR(計分!S226="",計分!$AP226=""),"",計分!$AP226-計分!S226)</f>
        <v/>
      </c>
      <c r="T226">
        <f>IF(OR(計分!T226="",計分!$AP226=""),"",計分!$AP226-計分!T226)</f>
        <v/>
      </c>
      <c r="U226">
        <f>IF(OR(計分!U226="",計分!$AP226=""),"",計分!$AP226-計分!U226)</f>
        <v/>
      </c>
      <c r="V226">
        <f>IF(OR(計分!V226="",計分!$AP226=""),"",計分!$AP226-計分!V226)</f>
        <v/>
      </c>
      <c r="W226">
        <f>IF(OR(計分!W226="",計分!$AP226=""),"",計分!$AP226-計分!W226)</f>
        <v/>
      </c>
      <c r="X226">
        <f>IF(OR(計分!X226="",計分!$AP226=""),"",計分!$AP226-計分!X226)</f>
        <v/>
      </c>
      <c r="Y226">
        <f>IF(OR(計分!Y226="",計分!$AP226=""),"",計分!$AP226-計分!Y226)</f>
        <v/>
      </c>
      <c r="Z226">
        <f>IF(OR(計分!Z226="",計分!$AP226=""),"",計分!$AP226-計分!Z226)</f>
        <v/>
      </c>
      <c r="AA226">
        <f>IF(OR(計分!AA226="",計分!$AP226=""),"",計分!$AP226-計分!AA226)</f>
        <v/>
      </c>
      <c r="AB226">
        <f>IF(OR(計分!AB226="",計分!$AP226=""),"",計分!$AP226-計分!AB226)</f>
        <v/>
      </c>
      <c r="AC226">
        <f>IF(OR(計分!AC226="",計分!$AP226=""),"",計分!$AP226-計分!AC226)</f>
        <v/>
      </c>
      <c r="AD226">
        <f>IF(OR(計分!AD226="",計分!$AP226=""),"",計分!$AP226-計分!AD226)</f>
        <v/>
      </c>
      <c r="AE226">
        <f>IF(OR(計分!AE226="",計分!$AP226=""),"",計分!$AP226-計分!AE226)</f>
        <v/>
      </c>
      <c r="AF226">
        <f>IF(OR(計分!AF226="",計分!$AP226=""),"",計分!$AP226-計分!AF226)</f>
        <v/>
      </c>
      <c r="AG226">
        <f>IF(OR(計分!AG226="",計分!$AP226=""),"",計分!$AP226-計分!AG226)</f>
        <v/>
      </c>
      <c r="AH226">
        <f>IF(OR(計分!AH226="",計分!$AP226=""),"",計分!$AP226-計分!AH226)</f>
        <v/>
      </c>
      <c r="AI226">
        <f>IF(OR(計分!AI226="",計分!$AP226=""),"",計分!$AP226-計分!AI226)</f>
        <v/>
      </c>
      <c r="AJ226">
        <f>IF(OR(計分!AJ226="",計分!$AP226=""),"",計分!$AP226-計分!AJ226)</f>
        <v/>
      </c>
      <c r="AK226">
        <f>IF(OR(計分!AK226="",計分!$AP226=""),"",計分!$AP226-計分!AK226)</f>
        <v/>
      </c>
      <c r="AL226">
        <f>IF(OR(計分!AL226="",計分!$AP226=""),"",計分!$AP226-計分!AL226)</f>
        <v/>
      </c>
      <c r="AM226">
        <f>IF(OR(計分!AM226="",計分!$AP226=""),"",計分!$AP226-計分!AM226)</f>
        <v/>
      </c>
      <c r="AN226">
        <f>IF(OR(計分!AN226="",計分!$AP226=""),"",計分!$AP226-計分!AN226)</f>
        <v/>
      </c>
      <c r="AO226">
        <f>IF(OR(計分!AO226="",計分!$AP226=""),"",計分!$AP226-計分!AO226)</f>
        <v/>
      </c>
    </row>
    <row r="227">
      <c r="A227">
        <f>計分!A227</f>
        <v/>
      </c>
      <c r="B227">
        <f>IF(OR(計分!B227="",計分!$AP227=""),"",計分!$AP227-計分!B227)</f>
        <v/>
      </c>
      <c r="C227">
        <f>IF(OR(計分!C227="",計分!$AP227=""),"",計分!$AP227-計分!C227)</f>
        <v/>
      </c>
      <c r="D227">
        <f>IF(OR(計分!D227="",計分!$AP227=""),"",計分!$AP227-計分!D227)</f>
        <v/>
      </c>
      <c r="E227">
        <f>IF(OR(計分!E227="",計分!$AP227=""),"",計分!$AP227-計分!E227)</f>
        <v/>
      </c>
      <c r="F227">
        <f>IF(OR(計分!F227="",計分!$AP227=""),"",計分!$AP227-計分!F227)</f>
        <v/>
      </c>
      <c r="G227">
        <f>IF(OR(計分!G227="",計分!$AP227=""),"",計分!$AP227-計分!G227)</f>
        <v/>
      </c>
      <c r="H227">
        <f>IF(OR(計分!H227="",計分!$AP227=""),"",計分!$AP227-計分!H227)</f>
        <v/>
      </c>
      <c r="I227">
        <f>IF(OR(計分!I227="",計分!$AP227=""),"",計分!$AP227-計分!I227)</f>
        <v/>
      </c>
      <c r="J227">
        <f>IF(OR(計分!J227="",計分!$AP227=""),"",計分!$AP227-計分!J227)</f>
        <v/>
      </c>
      <c r="K227">
        <f>IF(OR(計分!K227="",計分!$AP227=""),"",計分!$AP227-計分!K227)</f>
        <v/>
      </c>
      <c r="L227">
        <f>IF(OR(計分!L227="",計分!$AP227=""),"",計分!$AP227-計分!L227)</f>
        <v/>
      </c>
      <c r="M227">
        <f>IF(OR(計分!M227="",計分!$AP227=""),"",計分!$AP227-計分!M227)</f>
        <v/>
      </c>
      <c r="N227">
        <f>IF(OR(計分!N227="",計分!$AP227=""),"",計分!$AP227-計分!N227)</f>
        <v/>
      </c>
      <c r="O227">
        <f>IF(OR(計分!O227="",計分!$AP227=""),"",計分!$AP227-計分!O227)</f>
        <v/>
      </c>
      <c r="P227">
        <f>IF(OR(計分!P227="",計分!$AP227=""),"",計分!$AP227-計分!P227)</f>
        <v/>
      </c>
      <c r="Q227">
        <f>IF(OR(計分!Q227="",計分!$AP227=""),"",計分!$AP227-計分!Q227)</f>
        <v/>
      </c>
      <c r="R227">
        <f>IF(OR(計分!R227="",計分!$AP227=""),"",計分!$AP227-計分!R227)</f>
        <v/>
      </c>
      <c r="S227">
        <f>IF(OR(計分!S227="",計分!$AP227=""),"",計分!$AP227-計分!S227)</f>
        <v/>
      </c>
      <c r="T227">
        <f>IF(OR(計分!T227="",計分!$AP227=""),"",計分!$AP227-計分!T227)</f>
        <v/>
      </c>
      <c r="U227">
        <f>IF(OR(計分!U227="",計分!$AP227=""),"",計分!$AP227-計分!U227)</f>
        <v/>
      </c>
      <c r="V227">
        <f>IF(OR(計分!V227="",計分!$AP227=""),"",計分!$AP227-計分!V227)</f>
        <v/>
      </c>
      <c r="W227">
        <f>IF(OR(計分!W227="",計分!$AP227=""),"",計分!$AP227-計分!W227)</f>
        <v/>
      </c>
      <c r="X227">
        <f>IF(OR(計分!X227="",計分!$AP227=""),"",計分!$AP227-計分!X227)</f>
        <v/>
      </c>
      <c r="Y227">
        <f>IF(OR(計分!Y227="",計分!$AP227=""),"",計分!$AP227-計分!Y227)</f>
        <v/>
      </c>
      <c r="Z227">
        <f>IF(OR(計分!Z227="",計分!$AP227=""),"",計分!$AP227-計分!Z227)</f>
        <v/>
      </c>
      <c r="AA227">
        <f>IF(OR(計分!AA227="",計分!$AP227=""),"",計分!$AP227-計分!AA227)</f>
        <v/>
      </c>
      <c r="AB227">
        <f>IF(OR(計分!AB227="",計分!$AP227=""),"",計分!$AP227-計分!AB227)</f>
        <v/>
      </c>
      <c r="AC227">
        <f>IF(OR(計分!AC227="",計分!$AP227=""),"",計分!$AP227-計分!AC227)</f>
        <v/>
      </c>
      <c r="AD227">
        <f>IF(OR(計分!AD227="",計分!$AP227=""),"",計分!$AP227-計分!AD227)</f>
        <v/>
      </c>
      <c r="AE227">
        <f>IF(OR(計分!AE227="",計分!$AP227=""),"",計分!$AP227-計分!AE227)</f>
        <v/>
      </c>
      <c r="AF227">
        <f>IF(OR(計分!AF227="",計分!$AP227=""),"",計分!$AP227-計分!AF227)</f>
        <v/>
      </c>
      <c r="AG227">
        <f>IF(OR(計分!AG227="",計分!$AP227=""),"",計分!$AP227-計分!AG227)</f>
        <v/>
      </c>
      <c r="AH227">
        <f>IF(OR(計分!AH227="",計分!$AP227=""),"",計分!$AP227-計分!AH227)</f>
        <v/>
      </c>
      <c r="AI227">
        <f>IF(OR(計分!AI227="",計分!$AP227=""),"",計分!$AP227-計分!AI227)</f>
        <v/>
      </c>
      <c r="AJ227">
        <f>IF(OR(計分!AJ227="",計分!$AP227=""),"",計分!$AP227-計分!AJ227)</f>
        <v/>
      </c>
      <c r="AK227">
        <f>IF(OR(計分!AK227="",計分!$AP227=""),"",計分!$AP227-計分!AK227)</f>
        <v/>
      </c>
      <c r="AL227">
        <f>IF(OR(計分!AL227="",計分!$AP227=""),"",計分!$AP227-計分!AL227)</f>
        <v/>
      </c>
      <c r="AM227">
        <f>IF(OR(計分!AM227="",計分!$AP227=""),"",計分!$AP227-計分!AM227)</f>
        <v/>
      </c>
      <c r="AN227">
        <f>IF(OR(計分!AN227="",計分!$AP227=""),"",計分!$AP227-計分!AN227)</f>
        <v/>
      </c>
      <c r="AO227">
        <f>IF(OR(計分!AO227="",計分!$AP227=""),"",計分!$AP227-計分!AO227)</f>
        <v/>
      </c>
    </row>
    <row r="228">
      <c r="A228">
        <f>計分!A228</f>
        <v/>
      </c>
      <c r="B228">
        <f>IF(OR(計分!B228="",計分!$AP228=""),"",計分!$AP228-計分!B228)</f>
        <v/>
      </c>
      <c r="C228">
        <f>IF(OR(計分!C228="",計分!$AP228=""),"",計分!$AP228-計分!C228)</f>
        <v/>
      </c>
      <c r="D228">
        <f>IF(OR(計分!D228="",計分!$AP228=""),"",計分!$AP228-計分!D228)</f>
        <v/>
      </c>
      <c r="E228">
        <f>IF(OR(計分!E228="",計分!$AP228=""),"",計分!$AP228-計分!E228)</f>
        <v/>
      </c>
      <c r="F228">
        <f>IF(OR(計分!F228="",計分!$AP228=""),"",計分!$AP228-計分!F228)</f>
        <v/>
      </c>
      <c r="G228">
        <f>IF(OR(計分!G228="",計分!$AP228=""),"",計分!$AP228-計分!G228)</f>
        <v/>
      </c>
      <c r="H228">
        <f>IF(OR(計分!H228="",計分!$AP228=""),"",計分!$AP228-計分!H228)</f>
        <v/>
      </c>
      <c r="I228">
        <f>IF(OR(計分!I228="",計分!$AP228=""),"",計分!$AP228-計分!I228)</f>
        <v/>
      </c>
      <c r="J228">
        <f>IF(OR(計分!J228="",計分!$AP228=""),"",計分!$AP228-計分!J228)</f>
        <v/>
      </c>
      <c r="K228">
        <f>IF(OR(計分!K228="",計分!$AP228=""),"",計分!$AP228-計分!K228)</f>
        <v/>
      </c>
      <c r="L228">
        <f>IF(OR(計分!L228="",計分!$AP228=""),"",計分!$AP228-計分!L228)</f>
        <v/>
      </c>
      <c r="M228">
        <f>IF(OR(計分!M228="",計分!$AP228=""),"",計分!$AP228-計分!M228)</f>
        <v/>
      </c>
      <c r="N228">
        <f>IF(OR(計分!N228="",計分!$AP228=""),"",計分!$AP228-計分!N228)</f>
        <v/>
      </c>
      <c r="O228">
        <f>IF(OR(計分!O228="",計分!$AP228=""),"",計分!$AP228-計分!O228)</f>
        <v/>
      </c>
      <c r="P228">
        <f>IF(OR(計分!P228="",計分!$AP228=""),"",計分!$AP228-計分!P228)</f>
        <v/>
      </c>
      <c r="Q228">
        <f>IF(OR(計分!Q228="",計分!$AP228=""),"",計分!$AP228-計分!Q228)</f>
        <v/>
      </c>
      <c r="R228">
        <f>IF(OR(計分!R228="",計分!$AP228=""),"",計分!$AP228-計分!R228)</f>
        <v/>
      </c>
      <c r="S228">
        <f>IF(OR(計分!S228="",計分!$AP228=""),"",計分!$AP228-計分!S228)</f>
        <v/>
      </c>
      <c r="T228">
        <f>IF(OR(計分!T228="",計分!$AP228=""),"",計分!$AP228-計分!T228)</f>
        <v/>
      </c>
      <c r="U228">
        <f>IF(OR(計分!U228="",計分!$AP228=""),"",計分!$AP228-計分!U228)</f>
        <v/>
      </c>
      <c r="V228">
        <f>IF(OR(計分!V228="",計分!$AP228=""),"",計分!$AP228-計分!V228)</f>
        <v/>
      </c>
      <c r="W228">
        <f>IF(OR(計分!W228="",計分!$AP228=""),"",計分!$AP228-計分!W228)</f>
        <v/>
      </c>
      <c r="X228">
        <f>IF(OR(計分!X228="",計分!$AP228=""),"",計分!$AP228-計分!X228)</f>
        <v/>
      </c>
      <c r="Y228">
        <f>IF(OR(計分!Y228="",計分!$AP228=""),"",計分!$AP228-計分!Y228)</f>
        <v/>
      </c>
      <c r="Z228">
        <f>IF(OR(計分!Z228="",計分!$AP228=""),"",計分!$AP228-計分!Z228)</f>
        <v/>
      </c>
      <c r="AA228">
        <f>IF(OR(計分!AA228="",計分!$AP228=""),"",計分!$AP228-計分!AA228)</f>
        <v/>
      </c>
      <c r="AB228">
        <f>IF(OR(計分!AB228="",計分!$AP228=""),"",計分!$AP228-計分!AB228)</f>
        <v/>
      </c>
      <c r="AC228">
        <f>IF(OR(計分!AC228="",計分!$AP228=""),"",計分!$AP228-計分!AC228)</f>
        <v/>
      </c>
      <c r="AD228">
        <f>IF(OR(計分!AD228="",計分!$AP228=""),"",計分!$AP228-計分!AD228)</f>
        <v/>
      </c>
      <c r="AE228">
        <f>IF(OR(計分!AE228="",計分!$AP228=""),"",計分!$AP228-計分!AE228)</f>
        <v/>
      </c>
      <c r="AF228">
        <f>IF(OR(計分!AF228="",計分!$AP228=""),"",計分!$AP228-計分!AF228)</f>
        <v/>
      </c>
      <c r="AG228">
        <f>IF(OR(計分!AG228="",計分!$AP228=""),"",計分!$AP228-計分!AG228)</f>
        <v/>
      </c>
      <c r="AH228">
        <f>IF(OR(計分!AH228="",計分!$AP228=""),"",計分!$AP228-計分!AH228)</f>
        <v/>
      </c>
      <c r="AI228">
        <f>IF(OR(計分!AI228="",計分!$AP228=""),"",計分!$AP228-計分!AI228)</f>
        <v/>
      </c>
      <c r="AJ228">
        <f>IF(OR(計分!AJ228="",計分!$AP228=""),"",計分!$AP228-計分!AJ228)</f>
        <v/>
      </c>
      <c r="AK228">
        <f>IF(OR(計分!AK228="",計分!$AP228=""),"",計分!$AP228-計分!AK228)</f>
        <v/>
      </c>
      <c r="AL228">
        <f>IF(OR(計分!AL228="",計分!$AP228=""),"",計分!$AP228-計分!AL228)</f>
        <v/>
      </c>
      <c r="AM228">
        <f>IF(OR(計分!AM228="",計分!$AP228=""),"",計分!$AP228-計分!AM228)</f>
        <v/>
      </c>
      <c r="AN228">
        <f>IF(OR(計分!AN228="",計分!$AP228=""),"",計分!$AP228-計分!AN228)</f>
        <v/>
      </c>
      <c r="AO228">
        <f>IF(OR(計分!AO228="",計分!$AP228=""),"",計分!$AP228-計分!AO228)</f>
        <v/>
      </c>
    </row>
    <row r="229">
      <c r="A229">
        <f>計分!A229</f>
        <v/>
      </c>
      <c r="B229">
        <f>IF(OR(計分!B229="",計分!$AP229=""),"",計分!$AP229-計分!B229)</f>
        <v/>
      </c>
      <c r="C229">
        <f>IF(OR(計分!C229="",計分!$AP229=""),"",計分!$AP229-計分!C229)</f>
        <v/>
      </c>
      <c r="D229">
        <f>IF(OR(計分!D229="",計分!$AP229=""),"",計分!$AP229-計分!D229)</f>
        <v/>
      </c>
      <c r="E229">
        <f>IF(OR(計分!E229="",計分!$AP229=""),"",計分!$AP229-計分!E229)</f>
        <v/>
      </c>
      <c r="F229">
        <f>IF(OR(計分!F229="",計分!$AP229=""),"",計分!$AP229-計分!F229)</f>
        <v/>
      </c>
      <c r="G229">
        <f>IF(OR(計分!G229="",計分!$AP229=""),"",計分!$AP229-計分!G229)</f>
        <v/>
      </c>
      <c r="H229">
        <f>IF(OR(計分!H229="",計分!$AP229=""),"",計分!$AP229-計分!H229)</f>
        <v/>
      </c>
      <c r="I229">
        <f>IF(OR(計分!I229="",計分!$AP229=""),"",計分!$AP229-計分!I229)</f>
        <v/>
      </c>
      <c r="J229">
        <f>IF(OR(計分!J229="",計分!$AP229=""),"",計分!$AP229-計分!J229)</f>
        <v/>
      </c>
      <c r="K229">
        <f>IF(OR(計分!K229="",計分!$AP229=""),"",計分!$AP229-計分!K229)</f>
        <v/>
      </c>
      <c r="L229">
        <f>IF(OR(計分!L229="",計分!$AP229=""),"",計分!$AP229-計分!L229)</f>
        <v/>
      </c>
      <c r="M229">
        <f>IF(OR(計分!M229="",計分!$AP229=""),"",計分!$AP229-計分!M229)</f>
        <v/>
      </c>
      <c r="N229">
        <f>IF(OR(計分!N229="",計分!$AP229=""),"",計分!$AP229-計分!N229)</f>
        <v/>
      </c>
      <c r="O229">
        <f>IF(OR(計分!O229="",計分!$AP229=""),"",計分!$AP229-計分!O229)</f>
        <v/>
      </c>
      <c r="P229">
        <f>IF(OR(計分!P229="",計分!$AP229=""),"",計分!$AP229-計分!P229)</f>
        <v/>
      </c>
      <c r="Q229">
        <f>IF(OR(計分!Q229="",計分!$AP229=""),"",計分!$AP229-計分!Q229)</f>
        <v/>
      </c>
      <c r="R229">
        <f>IF(OR(計分!R229="",計分!$AP229=""),"",計分!$AP229-計分!R229)</f>
        <v/>
      </c>
      <c r="S229">
        <f>IF(OR(計分!S229="",計分!$AP229=""),"",計分!$AP229-計分!S229)</f>
        <v/>
      </c>
      <c r="T229">
        <f>IF(OR(計分!T229="",計分!$AP229=""),"",計分!$AP229-計分!T229)</f>
        <v/>
      </c>
      <c r="U229">
        <f>IF(OR(計分!U229="",計分!$AP229=""),"",計分!$AP229-計分!U229)</f>
        <v/>
      </c>
      <c r="V229">
        <f>IF(OR(計分!V229="",計分!$AP229=""),"",計分!$AP229-計分!V229)</f>
        <v/>
      </c>
      <c r="W229">
        <f>IF(OR(計分!W229="",計分!$AP229=""),"",計分!$AP229-計分!W229)</f>
        <v/>
      </c>
      <c r="X229">
        <f>IF(OR(計分!X229="",計分!$AP229=""),"",計分!$AP229-計分!X229)</f>
        <v/>
      </c>
      <c r="Y229">
        <f>IF(OR(計分!Y229="",計分!$AP229=""),"",計分!$AP229-計分!Y229)</f>
        <v/>
      </c>
      <c r="Z229">
        <f>IF(OR(計分!Z229="",計分!$AP229=""),"",計分!$AP229-計分!Z229)</f>
        <v/>
      </c>
      <c r="AA229">
        <f>IF(OR(計分!AA229="",計分!$AP229=""),"",計分!$AP229-計分!AA229)</f>
        <v/>
      </c>
      <c r="AB229">
        <f>IF(OR(計分!AB229="",計分!$AP229=""),"",計分!$AP229-計分!AB229)</f>
        <v/>
      </c>
      <c r="AC229">
        <f>IF(OR(計分!AC229="",計分!$AP229=""),"",計分!$AP229-計分!AC229)</f>
        <v/>
      </c>
      <c r="AD229">
        <f>IF(OR(計分!AD229="",計分!$AP229=""),"",計分!$AP229-計分!AD229)</f>
        <v/>
      </c>
      <c r="AE229">
        <f>IF(OR(計分!AE229="",計分!$AP229=""),"",計分!$AP229-計分!AE229)</f>
        <v/>
      </c>
      <c r="AF229">
        <f>IF(OR(計分!AF229="",計分!$AP229=""),"",計分!$AP229-計分!AF229)</f>
        <v/>
      </c>
      <c r="AG229">
        <f>IF(OR(計分!AG229="",計分!$AP229=""),"",計分!$AP229-計分!AG229)</f>
        <v/>
      </c>
      <c r="AH229">
        <f>IF(OR(計分!AH229="",計分!$AP229=""),"",計分!$AP229-計分!AH229)</f>
        <v/>
      </c>
      <c r="AI229">
        <f>IF(OR(計分!AI229="",計分!$AP229=""),"",計分!$AP229-計分!AI229)</f>
        <v/>
      </c>
      <c r="AJ229">
        <f>IF(OR(計分!AJ229="",計分!$AP229=""),"",計分!$AP229-計分!AJ229)</f>
        <v/>
      </c>
      <c r="AK229">
        <f>IF(OR(計分!AK229="",計分!$AP229=""),"",計分!$AP229-計分!AK229)</f>
        <v/>
      </c>
      <c r="AL229">
        <f>IF(OR(計分!AL229="",計分!$AP229=""),"",計分!$AP229-計分!AL229)</f>
        <v/>
      </c>
      <c r="AM229">
        <f>IF(OR(計分!AM229="",計分!$AP229=""),"",計分!$AP229-計分!AM229)</f>
        <v/>
      </c>
      <c r="AN229">
        <f>IF(OR(計分!AN229="",計分!$AP229=""),"",計分!$AP229-計分!AN229)</f>
        <v/>
      </c>
      <c r="AO229">
        <f>IF(OR(計分!AO229="",計分!$AP229=""),"",計分!$AP229-計分!AO229)</f>
        <v/>
      </c>
    </row>
    <row r="230">
      <c r="A230">
        <f>計分!A230</f>
        <v/>
      </c>
      <c r="B230">
        <f>IF(OR(計分!B230="",計分!$AP230=""),"",計分!$AP230-計分!B230)</f>
        <v/>
      </c>
      <c r="C230">
        <f>IF(OR(計分!C230="",計分!$AP230=""),"",計分!$AP230-計分!C230)</f>
        <v/>
      </c>
      <c r="D230">
        <f>IF(OR(計分!D230="",計分!$AP230=""),"",計分!$AP230-計分!D230)</f>
        <v/>
      </c>
      <c r="E230">
        <f>IF(OR(計分!E230="",計分!$AP230=""),"",計分!$AP230-計分!E230)</f>
        <v/>
      </c>
      <c r="F230">
        <f>IF(OR(計分!F230="",計分!$AP230=""),"",計分!$AP230-計分!F230)</f>
        <v/>
      </c>
      <c r="G230">
        <f>IF(OR(計分!G230="",計分!$AP230=""),"",計分!$AP230-計分!G230)</f>
        <v/>
      </c>
      <c r="H230">
        <f>IF(OR(計分!H230="",計分!$AP230=""),"",計分!$AP230-計分!H230)</f>
        <v/>
      </c>
      <c r="I230">
        <f>IF(OR(計分!I230="",計分!$AP230=""),"",計分!$AP230-計分!I230)</f>
        <v/>
      </c>
      <c r="J230">
        <f>IF(OR(計分!J230="",計分!$AP230=""),"",計分!$AP230-計分!J230)</f>
        <v/>
      </c>
      <c r="K230">
        <f>IF(OR(計分!K230="",計分!$AP230=""),"",計分!$AP230-計分!K230)</f>
        <v/>
      </c>
      <c r="L230">
        <f>IF(OR(計分!L230="",計分!$AP230=""),"",計分!$AP230-計分!L230)</f>
        <v/>
      </c>
      <c r="M230">
        <f>IF(OR(計分!M230="",計分!$AP230=""),"",計分!$AP230-計分!M230)</f>
        <v/>
      </c>
      <c r="N230">
        <f>IF(OR(計分!N230="",計分!$AP230=""),"",計分!$AP230-計分!N230)</f>
        <v/>
      </c>
      <c r="O230">
        <f>IF(OR(計分!O230="",計分!$AP230=""),"",計分!$AP230-計分!O230)</f>
        <v/>
      </c>
      <c r="P230">
        <f>IF(OR(計分!P230="",計分!$AP230=""),"",計分!$AP230-計分!P230)</f>
        <v/>
      </c>
      <c r="Q230">
        <f>IF(OR(計分!Q230="",計分!$AP230=""),"",計分!$AP230-計分!Q230)</f>
        <v/>
      </c>
      <c r="R230">
        <f>IF(OR(計分!R230="",計分!$AP230=""),"",計分!$AP230-計分!R230)</f>
        <v/>
      </c>
      <c r="S230">
        <f>IF(OR(計分!S230="",計分!$AP230=""),"",計分!$AP230-計分!S230)</f>
        <v/>
      </c>
      <c r="T230">
        <f>IF(OR(計分!T230="",計分!$AP230=""),"",計分!$AP230-計分!T230)</f>
        <v/>
      </c>
      <c r="U230">
        <f>IF(OR(計分!U230="",計分!$AP230=""),"",計分!$AP230-計分!U230)</f>
        <v/>
      </c>
      <c r="V230">
        <f>IF(OR(計分!V230="",計分!$AP230=""),"",計分!$AP230-計分!V230)</f>
        <v/>
      </c>
      <c r="W230">
        <f>IF(OR(計分!W230="",計分!$AP230=""),"",計分!$AP230-計分!W230)</f>
        <v/>
      </c>
      <c r="X230">
        <f>IF(OR(計分!X230="",計分!$AP230=""),"",計分!$AP230-計分!X230)</f>
        <v/>
      </c>
      <c r="Y230">
        <f>IF(OR(計分!Y230="",計分!$AP230=""),"",計分!$AP230-計分!Y230)</f>
        <v/>
      </c>
      <c r="Z230">
        <f>IF(OR(計分!Z230="",計分!$AP230=""),"",計分!$AP230-計分!Z230)</f>
        <v/>
      </c>
      <c r="AA230">
        <f>IF(OR(計分!AA230="",計分!$AP230=""),"",計分!$AP230-計分!AA230)</f>
        <v/>
      </c>
      <c r="AB230">
        <f>IF(OR(計分!AB230="",計分!$AP230=""),"",計分!$AP230-計分!AB230)</f>
        <v/>
      </c>
      <c r="AC230">
        <f>IF(OR(計分!AC230="",計分!$AP230=""),"",計分!$AP230-計分!AC230)</f>
        <v/>
      </c>
      <c r="AD230">
        <f>IF(OR(計分!AD230="",計分!$AP230=""),"",計分!$AP230-計分!AD230)</f>
        <v/>
      </c>
      <c r="AE230">
        <f>IF(OR(計分!AE230="",計分!$AP230=""),"",計分!$AP230-計分!AE230)</f>
        <v/>
      </c>
      <c r="AF230">
        <f>IF(OR(計分!AF230="",計分!$AP230=""),"",計分!$AP230-計分!AF230)</f>
        <v/>
      </c>
      <c r="AG230">
        <f>IF(OR(計分!AG230="",計分!$AP230=""),"",計分!$AP230-計分!AG230)</f>
        <v/>
      </c>
      <c r="AH230">
        <f>IF(OR(計分!AH230="",計分!$AP230=""),"",計分!$AP230-計分!AH230)</f>
        <v/>
      </c>
      <c r="AI230">
        <f>IF(OR(計分!AI230="",計分!$AP230=""),"",計分!$AP230-計分!AI230)</f>
        <v/>
      </c>
      <c r="AJ230">
        <f>IF(OR(計分!AJ230="",計分!$AP230=""),"",計分!$AP230-計分!AJ230)</f>
        <v/>
      </c>
      <c r="AK230">
        <f>IF(OR(計分!AK230="",計分!$AP230=""),"",計分!$AP230-計分!AK230)</f>
        <v/>
      </c>
      <c r="AL230">
        <f>IF(OR(計分!AL230="",計分!$AP230=""),"",計分!$AP230-計分!AL230)</f>
        <v/>
      </c>
      <c r="AM230">
        <f>IF(OR(計分!AM230="",計分!$AP230=""),"",計分!$AP230-計分!AM230)</f>
        <v/>
      </c>
      <c r="AN230">
        <f>IF(OR(計分!AN230="",計分!$AP230=""),"",計分!$AP230-計分!AN230)</f>
        <v/>
      </c>
      <c r="AO230">
        <f>IF(OR(計分!AO230="",計分!$AP230=""),"",計分!$AP230-計分!AO230)</f>
        <v/>
      </c>
    </row>
    <row r="231">
      <c r="A231">
        <f>計分!A231</f>
        <v/>
      </c>
      <c r="B231">
        <f>IF(OR(計分!B231="",計分!$AP231=""),"",計分!$AP231-計分!B231)</f>
        <v/>
      </c>
      <c r="C231">
        <f>IF(OR(計分!C231="",計分!$AP231=""),"",計分!$AP231-計分!C231)</f>
        <v/>
      </c>
      <c r="D231">
        <f>IF(OR(計分!D231="",計分!$AP231=""),"",計分!$AP231-計分!D231)</f>
        <v/>
      </c>
      <c r="E231">
        <f>IF(OR(計分!E231="",計分!$AP231=""),"",計分!$AP231-計分!E231)</f>
        <v/>
      </c>
      <c r="F231">
        <f>IF(OR(計分!F231="",計分!$AP231=""),"",計分!$AP231-計分!F231)</f>
        <v/>
      </c>
      <c r="G231">
        <f>IF(OR(計分!G231="",計分!$AP231=""),"",計分!$AP231-計分!G231)</f>
        <v/>
      </c>
      <c r="H231">
        <f>IF(OR(計分!H231="",計分!$AP231=""),"",計分!$AP231-計分!H231)</f>
        <v/>
      </c>
      <c r="I231">
        <f>IF(OR(計分!I231="",計分!$AP231=""),"",計分!$AP231-計分!I231)</f>
        <v/>
      </c>
      <c r="J231">
        <f>IF(OR(計分!J231="",計分!$AP231=""),"",計分!$AP231-計分!J231)</f>
        <v/>
      </c>
      <c r="K231">
        <f>IF(OR(計分!K231="",計分!$AP231=""),"",計分!$AP231-計分!K231)</f>
        <v/>
      </c>
      <c r="L231">
        <f>IF(OR(計分!L231="",計分!$AP231=""),"",計分!$AP231-計分!L231)</f>
        <v/>
      </c>
      <c r="M231">
        <f>IF(OR(計分!M231="",計分!$AP231=""),"",計分!$AP231-計分!M231)</f>
        <v/>
      </c>
      <c r="N231">
        <f>IF(OR(計分!N231="",計分!$AP231=""),"",計分!$AP231-計分!N231)</f>
        <v/>
      </c>
      <c r="O231">
        <f>IF(OR(計分!O231="",計分!$AP231=""),"",計分!$AP231-計分!O231)</f>
        <v/>
      </c>
      <c r="P231">
        <f>IF(OR(計分!P231="",計分!$AP231=""),"",計分!$AP231-計分!P231)</f>
        <v/>
      </c>
      <c r="Q231">
        <f>IF(OR(計分!Q231="",計分!$AP231=""),"",計分!$AP231-計分!Q231)</f>
        <v/>
      </c>
      <c r="R231">
        <f>IF(OR(計分!R231="",計分!$AP231=""),"",計分!$AP231-計分!R231)</f>
        <v/>
      </c>
      <c r="S231">
        <f>IF(OR(計分!S231="",計分!$AP231=""),"",計分!$AP231-計分!S231)</f>
        <v/>
      </c>
      <c r="T231">
        <f>IF(OR(計分!T231="",計分!$AP231=""),"",計分!$AP231-計分!T231)</f>
        <v/>
      </c>
      <c r="U231">
        <f>IF(OR(計分!U231="",計分!$AP231=""),"",計分!$AP231-計分!U231)</f>
        <v/>
      </c>
      <c r="V231">
        <f>IF(OR(計分!V231="",計分!$AP231=""),"",計分!$AP231-計分!V231)</f>
        <v/>
      </c>
      <c r="W231">
        <f>IF(OR(計分!W231="",計分!$AP231=""),"",計分!$AP231-計分!W231)</f>
        <v/>
      </c>
      <c r="X231">
        <f>IF(OR(計分!X231="",計分!$AP231=""),"",計分!$AP231-計分!X231)</f>
        <v/>
      </c>
      <c r="Y231">
        <f>IF(OR(計分!Y231="",計分!$AP231=""),"",計分!$AP231-計分!Y231)</f>
        <v/>
      </c>
      <c r="Z231">
        <f>IF(OR(計分!Z231="",計分!$AP231=""),"",計分!$AP231-計分!Z231)</f>
        <v/>
      </c>
      <c r="AA231">
        <f>IF(OR(計分!AA231="",計分!$AP231=""),"",計分!$AP231-計分!AA231)</f>
        <v/>
      </c>
      <c r="AB231">
        <f>IF(OR(計分!AB231="",計分!$AP231=""),"",計分!$AP231-計分!AB231)</f>
        <v/>
      </c>
      <c r="AC231">
        <f>IF(OR(計分!AC231="",計分!$AP231=""),"",計分!$AP231-計分!AC231)</f>
        <v/>
      </c>
      <c r="AD231">
        <f>IF(OR(計分!AD231="",計分!$AP231=""),"",計分!$AP231-計分!AD231)</f>
        <v/>
      </c>
      <c r="AE231">
        <f>IF(OR(計分!AE231="",計分!$AP231=""),"",計分!$AP231-計分!AE231)</f>
        <v/>
      </c>
      <c r="AF231">
        <f>IF(OR(計分!AF231="",計分!$AP231=""),"",計分!$AP231-計分!AF231)</f>
        <v/>
      </c>
      <c r="AG231">
        <f>IF(OR(計分!AG231="",計分!$AP231=""),"",計分!$AP231-計分!AG231)</f>
        <v/>
      </c>
      <c r="AH231">
        <f>IF(OR(計分!AH231="",計分!$AP231=""),"",計分!$AP231-計分!AH231)</f>
        <v/>
      </c>
      <c r="AI231">
        <f>IF(OR(計分!AI231="",計分!$AP231=""),"",計分!$AP231-計分!AI231)</f>
        <v/>
      </c>
      <c r="AJ231">
        <f>IF(OR(計分!AJ231="",計分!$AP231=""),"",計分!$AP231-計分!AJ231)</f>
        <v/>
      </c>
      <c r="AK231">
        <f>IF(OR(計分!AK231="",計分!$AP231=""),"",計分!$AP231-計分!AK231)</f>
        <v/>
      </c>
      <c r="AL231">
        <f>IF(OR(計分!AL231="",計分!$AP231=""),"",計分!$AP231-計分!AL231)</f>
        <v/>
      </c>
      <c r="AM231">
        <f>IF(OR(計分!AM231="",計分!$AP231=""),"",計分!$AP231-計分!AM231)</f>
        <v/>
      </c>
      <c r="AN231">
        <f>IF(OR(計分!AN231="",計分!$AP231=""),"",計分!$AP231-計分!AN231)</f>
        <v/>
      </c>
      <c r="AO231">
        <f>IF(OR(計分!AO231="",計分!$AP231=""),"",計分!$AP231-計分!AO231)</f>
        <v/>
      </c>
    </row>
    <row r="232">
      <c r="A232">
        <f>計分!A232</f>
        <v/>
      </c>
      <c r="B232">
        <f>IF(OR(計分!B232="",計分!$AP232=""),"",計分!$AP232-計分!B232)</f>
        <v/>
      </c>
      <c r="C232">
        <f>IF(OR(計分!C232="",計分!$AP232=""),"",計分!$AP232-計分!C232)</f>
        <v/>
      </c>
      <c r="D232">
        <f>IF(OR(計分!D232="",計分!$AP232=""),"",計分!$AP232-計分!D232)</f>
        <v/>
      </c>
      <c r="E232">
        <f>IF(OR(計分!E232="",計分!$AP232=""),"",計分!$AP232-計分!E232)</f>
        <v/>
      </c>
      <c r="F232">
        <f>IF(OR(計分!F232="",計分!$AP232=""),"",計分!$AP232-計分!F232)</f>
        <v/>
      </c>
      <c r="G232">
        <f>IF(OR(計分!G232="",計分!$AP232=""),"",計分!$AP232-計分!G232)</f>
        <v/>
      </c>
      <c r="H232">
        <f>IF(OR(計分!H232="",計分!$AP232=""),"",計分!$AP232-計分!H232)</f>
        <v/>
      </c>
      <c r="I232">
        <f>IF(OR(計分!I232="",計分!$AP232=""),"",計分!$AP232-計分!I232)</f>
        <v/>
      </c>
      <c r="J232">
        <f>IF(OR(計分!J232="",計分!$AP232=""),"",計分!$AP232-計分!J232)</f>
        <v/>
      </c>
      <c r="K232">
        <f>IF(OR(計分!K232="",計分!$AP232=""),"",計分!$AP232-計分!K232)</f>
        <v/>
      </c>
      <c r="L232">
        <f>IF(OR(計分!L232="",計分!$AP232=""),"",計分!$AP232-計分!L232)</f>
        <v/>
      </c>
      <c r="M232">
        <f>IF(OR(計分!M232="",計分!$AP232=""),"",計分!$AP232-計分!M232)</f>
        <v/>
      </c>
      <c r="N232">
        <f>IF(OR(計分!N232="",計分!$AP232=""),"",計分!$AP232-計分!N232)</f>
        <v/>
      </c>
      <c r="O232">
        <f>IF(OR(計分!O232="",計分!$AP232=""),"",計分!$AP232-計分!O232)</f>
        <v/>
      </c>
      <c r="P232">
        <f>IF(OR(計分!P232="",計分!$AP232=""),"",計分!$AP232-計分!P232)</f>
        <v/>
      </c>
      <c r="Q232">
        <f>IF(OR(計分!Q232="",計分!$AP232=""),"",計分!$AP232-計分!Q232)</f>
        <v/>
      </c>
      <c r="R232">
        <f>IF(OR(計分!R232="",計分!$AP232=""),"",計分!$AP232-計分!R232)</f>
        <v/>
      </c>
      <c r="S232">
        <f>IF(OR(計分!S232="",計分!$AP232=""),"",計分!$AP232-計分!S232)</f>
        <v/>
      </c>
      <c r="T232">
        <f>IF(OR(計分!T232="",計分!$AP232=""),"",計分!$AP232-計分!T232)</f>
        <v/>
      </c>
      <c r="U232">
        <f>IF(OR(計分!U232="",計分!$AP232=""),"",計分!$AP232-計分!U232)</f>
        <v/>
      </c>
      <c r="V232">
        <f>IF(OR(計分!V232="",計分!$AP232=""),"",計分!$AP232-計分!V232)</f>
        <v/>
      </c>
      <c r="W232">
        <f>IF(OR(計分!W232="",計分!$AP232=""),"",計分!$AP232-計分!W232)</f>
        <v/>
      </c>
      <c r="X232">
        <f>IF(OR(計分!X232="",計分!$AP232=""),"",計分!$AP232-計分!X232)</f>
        <v/>
      </c>
      <c r="Y232">
        <f>IF(OR(計分!Y232="",計分!$AP232=""),"",計分!$AP232-計分!Y232)</f>
        <v/>
      </c>
      <c r="Z232">
        <f>IF(OR(計分!Z232="",計分!$AP232=""),"",計分!$AP232-計分!Z232)</f>
        <v/>
      </c>
      <c r="AA232">
        <f>IF(OR(計分!AA232="",計分!$AP232=""),"",計分!$AP232-計分!AA232)</f>
        <v/>
      </c>
      <c r="AB232">
        <f>IF(OR(計分!AB232="",計分!$AP232=""),"",計分!$AP232-計分!AB232)</f>
        <v/>
      </c>
      <c r="AC232">
        <f>IF(OR(計分!AC232="",計分!$AP232=""),"",計分!$AP232-計分!AC232)</f>
        <v/>
      </c>
      <c r="AD232">
        <f>IF(OR(計分!AD232="",計分!$AP232=""),"",計分!$AP232-計分!AD232)</f>
        <v/>
      </c>
      <c r="AE232">
        <f>IF(OR(計分!AE232="",計分!$AP232=""),"",計分!$AP232-計分!AE232)</f>
        <v/>
      </c>
      <c r="AF232">
        <f>IF(OR(計分!AF232="",計分!$AP232=""),"",計分!$AP232-計分!AF232)</f>
        <v/>
      </c>
      <c r="AG232">
        <f>IF(OR(計分!AG232="",計分!$AP232=""),"",計分!$AP232-計分!AG232)</f>
        <v/>
      </c>
      <c r="AH232">
        <f>IF(OR(計分!AH232="",計分!$AP232=""),"",計分!$AP232-計分!AH232)</f>
        <v/>
      </c>
      <c r="AI232">
        <f>IF(OR(計分!AI232="",計分!$AP232=""),"",計分!$AP232-計分!AI232)</f>
        <v/>
      </c>
      <c r="AJ232">
        <f>IF(OR(計分!AJ232="",計分!$AP232=""),"",計分!$AP232-計分!AJ232)</f>
        <v/>
      </c>
      <c r="AK232">
        <f>IF(OR(計分!AK232="",計分!$AP232=""),"",計分!$AP232-計分!AK232)</f>
        <v/>
      </c>
      <c r="AL232">
        <f>IF(OR(計分!AL232="",計分!$AP232=""),"",計分!$AP232-計分!AL232)</f>
        <v/>
      </c>
      <c r="AM232">
        <f>IF(OR(計分!AM232="",計分!$AP232=""),"",計分!$AP232-計分!AM232)</f>
        <v/>
      </c>
      <c r="AN232">
        <f>IF(OR(計分!AN232="",計分!$AP232=""),"",計分!$AP232-計分!AN232)</f>
        <v/>
      </c>
      <c r="AO232">
        <f>IF(OR(計分!AO232="",計分!$AP232=""),"",計分!$AP232-計分!AO232)</f>
        <v/>
      </c>
    </row>
    <row r="233">
      <c r="A233">
        <f>計分!A233</f>
        <v/>
      </c>
      <c r="B233">
        <f>IF(OR(計分!B233="",計分!$AP233=""),"",計分!$AP233-計分!B233)</f>
        <v/>
      </c>
      <c r="C233">
        <f>IF(OR(計分!C233="",計分!$AP233=""),"",計分!$AP233-計分!C233)</f>
        <v/>
      </c>
      <c r="D233">
        <f>IF(OR(計分!D233="",計分!$AP233=""),"",計分!$AP233-計分!D233)</f>
        <v/>
      </c>
      <c r="E233">
        <f>IF(OR(計分!E233="",計分!$AP233=""),"",計分!$AP233-計分!E233)</f>
        <v/>
      </c>
      <c r="F233">
        <f>IF(OR(計分!F233="",計分!$AP233=""),"",計分!$AP233-計分!F233)</f>
        <v/>
      </c>
      <c r="G233">
        <f>IF(OR(計分!G233="",計分!$AP233=""),"",計分!$AP233-計分!G233)</f>
        <v/>
      </c>
      <c r="H233">
        <f>IF(OR(計分!H233="",計分!$AP233=""),"",計分!$AP233-計分!H233)</f>
        <v/>
      </c>
      <c r="I233">
        <f>IF(OR(計分!I233="",計分!$AP233=""),"",計分!$AP233-計分!I233)</f>
        <v/>
      </c>
      <c r="J233">
        <f>IF(OR(計分!J233="",計分!$AP233=""),"",計分!$AP233-計分!J233)</f>
        <v/>
      </c>
      <c r="K233">
        <f>IF(OR(計分!K233="",計分!$AP233=""),"",計分!$AP233-計分!K233)</f>
        <v/>
      </c>
      <c r="L233">
        <f>IF(OR(計分!L233="",計分!$AP233=""),"",計分!$AP233-計分!L233)</f>
        <v/>
      </c>
      <c r="M233">
        <f>IF(OR(計分!M233="",計分!$AP233=""),"",計分!$AP233-計分!M233)</f>
        <v/>
      </c>
      <c r="N233">
        <f>IF(OR(計分!N233="",計分!$AP233=""),"",計分!$AP233-計分!N233)</f>
        <v/>
      </c>
      <c r="O233">
        <f>IF(OR(計分!O233="",計分!$AP233=""),"",計分!$AP233-計分!O233)</f>
        <v/>
      </c>
      <c r="P233">
        <f>IF(OR(計分!P233="",計分!$AP233=""),"",計分!$AP233-計分!P233)</f>
        <v/>
      </c>
      <c r="Q233">
        <f>IF(OR(計分!Q233="",計分!$AP233=""),"",計分!$AP233-計分!Q233)</f>
        <v/>
      </c>
      <c r="R233">
        <f>IF(OR(計分!R233="",計分!$AP233=""),"",計分!$AP233-計分!R233)</f>
        <v/>
      </c>
      <c r="S233">
        <f>IF(OR(計分!S233="",計分!$AP233=""),"",計分!$AP233-計分!S233)</f>
        <v/>
      </c>
      <c r="T233">
        <f>IF(OR(計分!T233="",計分!$AP233=""),"",計分!$AP233-計分!T233)</f>
        <v/>
      </c>
      <c r="U233">
        <f>IF(OR(計分!U233="",計分!$AP233=""),"",計分!$AP233-計分!U233)</f>
        <v/>
      </c>
      <c r="V233">
        <f>IF(OR(計分!V233="",計分!$AP233=""),"",計分!$AP233-計分!V233)</f>
        <v/>
      </c>
      <c r="W233">
        <f>IF(OR(計分!W233="",計分!$AP233=""),"",計分!$AP233-計分!W233)</f>
        <v/>
      </c>
      <c r="X233">
        <f>IF(OR(計分!X233="",計分!$AP233=""),"",計分!$AP233-計分!X233)</f>
        <v/>
      </c>
      <c r="Y233">
        <f>IF(OR(計分!Y233="",計分!$AP233=""),"",計分!$AP233-計分!Y233)</f>
        <v/>
      </c>
      <c r="Z233">
        <f>IF(OR(計分!Z233="",計分!$AP233=""),"",計分!$AP233-計分!Z233)</f>
        <v/>
      </c>
      <c r="AA233">
        <f>IF(OR(計分!AA233="",計分!$AP233=""),"",計分!$AP233-計分!AA233)</f>
        <v/>
      </c>
      <c r="AB233">
        <f>IF(OR(計分!AB233="",計分!$AP233=""),"",計分!$AP233-計分!AB233)</f>
        <v/>
      </c>
      <c r="AC233">
        <f>IF(OR(計分!AC233="",計分!$AP233=""),"",計分!$AP233-計分!AC233)</f>
        <v/>
      </c>
      <c r="AD233">
        <f>IF(OR(計分!AD233="",計分!$AP233=""),"",計分!$AP233-計分!AD233)</f>
        <v/>
      </c>
      <c r="AE233">
        <f>IF(OR(計分!AE233="",計分!$AP233=""),"",計分!$AP233-計分!AE233)</f>
        <v/>
      </c>
      <c r="AF233">
        <f>IF(OR(計分!AF233="",計分!$AP233=""),"",計分!$AP233-計分!AF233)</f>
        <v/>
      </c>
      <c r="AG233">
        <f>IF(OR(計分!AG233="",計分!$AP233=""),"",計分!$AP233-計分!AG233)</f>
        <v/>
      </c>
      <c r="AH233">
        <f>IF(OR(計分!AH233="",計分!$AP233=""),"",計分!$AP233-計分!AH233)</f>
        <v/>
      </c>
      <c r="AI233">
        <f>IF(OR(計分!AI233="",計分!$AP233=""),"",計分!$AP233-計分!AI233)</f>
        <v/>
      </c>
      <c r="AJ233">
        <f>IF(OR(計分!AJ233="",計分!$AP233=""),"",計分!$AP233-計分!AJ233)</f>
        <v/>
      </c>
      <c r="AK233">
        <f>IF(OR(計分!AK233="",計分!$AP233=""),"",計分!$AP233-計分!AK233)</f>
        <v/>
      </c>
      <c r="AL233">
        <f>IF(OR(計分!AL233="",計分!$AP233=""),"",計分!$AP233-計分!AL233)</f>
        <v/>
      </c>
      <c r="AM233">
        <f>IF(OR(計分!AM233="",計分!$AP233=""),"",計分!$AP233-計分!AM233)</f>
        <v/>
      </c>
      <c r="AN233">
        <f>IF(OR(計分!AN233="",計分!$AP233=""),"",計分!$AP233-計分!AN233)</f>
        <v/>
      </c>
      <c r="AO233">
        <f>IF(OR(計分!AO233="",計分!$AP233=""),"",計分!$AP233-計分!AO233)</f>
        <v/>
      </c>
    </row>
    <row r="234">
      <c r="A234">
        <f>計分!A234</f>
        <v/>
      </c>
      <c r="B234">
        <f>IF(OR(計分!B234="",計分!$AP234=""),"",計分!$AP234-計分!B234)</f>
        <v/>
      </c>
      <c r="C234">
        <f>IF(OR(計分!C234="",計分!$AP234=""),"",計分!$AP234-計分!C234)</f>
        <v/>
      </c>
      <c r="D234">
        <f>IF(OR(計分!D234="",計分!$AP234=""),"",計分!$AP234-計分!D234)</f>
        <v/>
      </c>
      <c r="E234">
        <f>IF(OR(計分!E234="",計分!$AP234=""),"",計分!$AP234-計分!E234)</f>
        <v/>
      </c>
      <c r="F234">
        <f>IF(OR(計分!F234="",計分!$AP234=""),"",計分!$AP234-計分!F234)</f>
        <v/>
      </c>
      <c r="G234">
        <f>IF(OR(計分!G234="",計分!$AP234=""),"",計分!$AP234-計分!G234)</f>
        <v/>
      </c>
      <c r="H234">
        <f>IF(OR(計分!H234="",計分!$AP234=""),"",計分!$AP234-計分!H234)</f>
        <v/>
      </c>
      <c r="I234">
        <f>IF(OR(計分!I234="",計分!$AP234=""),"",計分!$AP234-計分!I234)</f>
        <v/>
      </c>
      <c r="J234">
        <f>IF(OR(計分!J234="",計分!$AP234=""),"",計分!$AP234-計分!J234)</f>
        <v/>
      </c>
      <c r="K234">
        <f>IF(OR(計分!K234="",計分!$AP234=""),"",計分!$AP234-計分!K234)</f>
        <v/>
      </c>
      <c r="L234">
        <f>IF(OR(計分!L234="",計分!$AP234=""),"",計分!$AP234-計分!L234)</f>
        <v/>
      </c>
      <c r="M234">
        <f>IF(OR(計分!M234="",計分!$AP234=""),"",計分!$AP234-計分!M234)</f>
        <v/>
      </c>
      <c r="N234">
        <f>IF(OR(計分!N234="",計分!$AP234=""),"",計分!$AP234-計分!N234)</f>
        <v/>
      </c>
      <c r="O234">
        <f>IF(OR(計分!O234="",計分!$AP234=""),"",計分!$AP234-計分!O234)</f>
        <v/>
      </c>
      <c r="P234">
        <f>IF(OR(計分!P234="",計分!$AP234=""),"",計分!$AP234-計分!P234)</f>
        <v/>
      </c>
      <c r="Q234">
        <f>IF(OR(計分!Q234="",計分!$AP234=""),"",計分!$AP234-計分!Q234)</f>
        <v/>
      </c>
      <c r="R234">
        <f>IF(OR(計分!R234="",計分!$AP234=""),"",計分!$AP234-計分!R234)</f>
        <v/>
      </c>
      <c r="S234">
        <f>IF(OR(計分!S234="",計分!$AP234=""),"",計分!$AP234-計分!S234)</f>
        <v/>
      </c>
      <c r="T234">
        <f>IF(OR(計分!T234="",計分!$AP234=""),"",計分!$AP234-計分!T234)</f>
        <v/>
      </c>
      <c r="U234">
        <f>IF(OR(計分!U234="",計分!$AP234=""),"",計分!$AP234-計分!U234)</f>
        <v/>
      </c>
      <c r="V234">
        <f>IF(OR(計分!V234="",計分!$AP234=""),"",計分!$AP234-計分!V234)</f>
        <v/>
      </c>
      <c r="W234">
        <f>IF(OR(計分!W234="",計分!$AP234=""),"",計分!$AP234-計分!W234)</f>
        <v/>
      </c>
      <c r="X234">
        <f>IF(OR(計分!X234="",計分!$AP234=""),"",計分!$AP234-計分!X234)</f>
        <v/>
      </c>
      <c r="Y234">
        <f>IF(OR(計分!Y234="",計分!$AP234=""),"",計分!$AP234-計分!Y234)</f>
        <v/>
      </c>
      <c r="Z234">
        <f>IF(OR(計分!Z234="",計分!$AP234=""),"",計分!$AP234-計分!Z234)</f>
        <v/>
      </c>
      <c r="AA234">
        <f>IF(OR(計分!AA234="",計分!$AP234=""),"",計分!$AP234-計分!AA234)</f>
        <v/>
      </c>
      <c r="AB234">
        <f>IF(OR(計分!AB234="",計分!$AP234=""),"",計分!$AP234-計分!AB234)</f>
        <v/>
      </c>
      <c r="AC234">
        <f>IF(OR(計分!AC234="",計分!$AP234=""),"",計分!$AP234-計分!AC234)</f>
        <v/>
      </c>
      <c r="AD234">
        <f>IF(OR(計分!AD234="",計分!$AP234=""),"",計分!$AP234-計分!AD234)</f>
        <v/>
      </c>
      <c r="AE234">
        <f>IF(OR(計分!AE234="",計分!$AP234=""),"",計分!$AP234-計分!AE234)</f>
        <v/>
      </c>
      <c r="AF234">
        <f>IF(OR(計分!AF234="",計分!$AP234=""),"",計分!$AP234-計分!AF234)</f>
        <v/>
      </c>
      <c r="AG234">
        <f>IF(OR(計分!AG234="",計分!$AP234=""),"",計分!$AP234-計分!AG234)</f>
        <v/>
      </c>
      <c r="AH234">
        <f>IF(OR(計分!AH234="",計分!$AP234=""),"",計分!$AP234-計分!AH234)</f>
        <v/>
      </c>
      <c r="AI234">
        <f>IF(OR(計分!AI234="",計分!$AP234=""),"",計分!$AP234-計分!AI234)</f>
        <v/>
      </c>
      <c r="AJ234">
        <f>IF(OR(計分!AJ234="",計分!$AP234=""),"",計分!$AP234-計分!AJ234)</f>
        <v/>
      </c>
      <c r="AK234">
        <f>IF(OR(計分!AK234="",計分!$AP234=""),"",計分!$AP234-計分!AK234)</f>
        <v/>
      </c>
      <c r="AL234">
        <f>IF(OR(計分!AL234="",計分!$AP234=""),"",計分!$AP234-計分!AL234)</f>
        <v/>
      </c>
      <c r="AM234">
        <f>IF(OR(計分!AM234="",計分!$AP234=""),"",計分!$AP234-計分!AM234)</f>
        <v/>
      </c>
      <c r="AN234">
        <f>IF(OR(計分!AN234="",計分!$AP234=""),"",計分!$AP234-計分!AN234)</f>
        <v/>
      </c>
      <c r="AO234">
        <f>IF(OR(計分!AO234="",計分!$AP234=""),"",計分!$AP234-計分!AO234)</f>
        <v/>
      </c>
    </row>
    <row r="235">
      <c r="A235">
        <f>計分!A235</f>
        <v/>
      </c>
      <c r="B235">
        <f>IF(OR(計分!B235="",計分!$AP235=""),"",計分!$AP235-計分!B235)</f>
        <v/>
      </c>
      <c r="C235">
        <f>IF(OR(計分!C235="",計分!$AP235=""),"",計分!$AP235-計分!C235)</f>
        <v/>
      </c>
      <c r="D235">
        <f>IF(OR(計分!D235="",計分!$AP235=""),"",計分!$AP235-計分!D235)</f>
        <v/>
      </c>
      <c r="E235">
        <f>IF(OR(計分!E235="",計分!$AP235=""),"",計分!$AP235-計分!E235)</f>
        <v/>
      </c>
      <c r="F235">
        <f>IF(OR(計分!F235="",計分!$AP235=""),"",計分!$AP235-計分!F235)</f>
        <v/>
      </c>
      <c r="G235">
        <f>IF(OR(計分!G235="",計分!$AP235=""),"",計分!$AP235-計分!G235)</f>
        <v/>
      </c>
      <c r="H235">
        <f>IF(OR(計分!H235="",計分!$AP235=""),"",計分!$AP235-計分!H235)</f>
        <v/>
      </c>
      <c r="I235">
        <f>IF(OR(計分!I235="",計分!$AP235=""),"",計分!$AP235-計分!I235)</f>
        <v/>
      </c>
      <c r="J235">
        <f>IF(OR(計分!J235="",計分!$AP235=""),"",計分!$AP235-計分!J235)</f>
        <v/>
      </c>
      <c r="K235">
        <f>IF(OR(計分!K235="",計分!$AP235=""),"",計分!$AP235-計分!K235)</f>
        <v/>
      </c>
      <c r="L235">
        <f>IF(OR(計分!L235="",計分!$AP235=""),"",計分!$AP235-計分!L235)</f>
        <v/>
      </c>
      <c r="M235">
        <f>IF(OR(計分!M235="",計分!$AP235=""),"",計分!$AP235-計分!M235)</f>
        <v/>
      </c>
      <c r="N235">
        <f>IF(OR(計分!N235="",計分!$AP235=""),"",計分!$AP235-計分!N235)</f>
        <v/>
      </c>
      <c r="O235">
        <f>IF(OR(計分!O235="",計分!$AP235=""),"",計分!$AP235-計分!O235)</f>
        <v/>
      </c>
      <c r="P235">
        <f>IF(OR(計分!P235="",計分!$AP235=""),"",計分!$AP235-計分!P235)</f>
        <v/>
      </c>
      <c r="Q235">
        <f>IF(OR(計分!Q235="",計分!$AP235=""),"",計分!$AP235-計分!Q235)</f>
        <v/>
      </c>
      <c r="R235">
        <f>IF(OR(計分!R235="",計分!$AP235=""),"",計分!$AP235-計分!R235)</f>
        <v/>
      </c>
      <c r="S235">
        <f>IF(OR(計分!S235="",計分!$AP235=""),"",計分!$AP235-計分!S235)</f>
        <v/>
      </c>
      <c r="T235">
        <f>IF(OR(計分!T235="",計分!$AP235=""),"",計分!$AP235-計分!T235)</f>
        <v/>
      </c>
      <c r="U235">
        <f>IF(OR(計分!U235="",計分!$AP235=""),"",計分!$AP235-計分!U235)</f>
        <v/>
      </c>
      <c r="V235">
        <f>IF(OR(計分!V235="",計分!$AP235=""),"",計分!$AP235-計分!V235)</f>
        <v/>
      </c>
      <c r="W235">
        <f>IF(OR(計分!W235="",計分!$AP235=""),"",計分!$AP235-計分!W235)</f>
        <v/>
      </c>
      <c r="X235">
        <f>IF(OR(計分!X235="",計分!$AP235=""),"",計分!$AP235-計分!X235)</f>
        <v/>
      </c>
      <c r="Y235">
        <f>IF(OR(計分!Y235="",計分!$AP235=""),"",計分!$AP235-計分!Y235)</f>
        <v/>
      </c>
      <c r="Z235">
        <f>IF(OR(計分!Z235="",計分!$AP235=""),"",計分!$AP235-計分!Z235)</f>
        <v/>
      </c>
      <c r="AA235">
        <f>IF(OR(計分!AA235="",計分!$AP235=""),"",計分!$AP235-計分!AA235)</f>
        <v/>
      </c>
      <c r="AB235">
        <f>IF(OR(計分!AB235="",計分!$AP235=""),"",計分!$AP235-計分!AB235)</f>
        <v/>
      </c>
      <c r="AC235">
        <f>IF(OR(計分!AC235="",計分!$AP235=""),"",計分!$AP235-計分!AC235)</f>
        <v/>
      </c>
      <c r="AD235">
        <f>IF(OR(計分!AD235="",計分!$AP235=""),"",計分!$AP235-計分!AD235)</f>
        <v/>
      </c>
      <c r="AE235">
        <f>IF(OR(計分!AE235="",計分!$AP235=""),"",計分!$AP235-計分!AE235)</f>
        <v/>
      </c>
      <c r="AF235">
        <f>IF(OR(計分!AF235="",計分!$AP235=""),"",計分!$AP235-計分!AF235)</f>
        <v/>
      </c>
      <c r="AG235">
        <f>IF(OR(計分!AG235="",計分!$AP235=""),"",計分!$AP235-計分!AG235)</f>
        <v/>
      </c>
      <c r="AH235">
        <f>IF(OR(計分!AH235="",計分!$AP235=""),"",計分!$AP235-計分!AH235)</f>
        <v/>
      </c>
      <c r="AI235">
        <f>IF(OR(計分!AI235="",計分!$AP235=""),"",計分!$AP235-計分!AI235)</f>
        <v/>
      </c>
      <c r="AJ235">
        <f>IF(OR(計分!AJ235="",計分!$AP235=""),"",計分!$AP235-計分!AJ235)</f>
        <v/>
      </c>
      <c r="AK235">
        <f>IF(OR(計分!AK235="",計分!$AP235=""),"",計分!$AP235-計分!AK235)</f>
        <v/>
      </c>
      <c r="AL235">
        <f>IF(OR(計分!AL235="",計分!$AP235=""),"",計分!$AP235-計分!AL235)</f>
        <v/>
      </c>
      <c r="AM235">
        <f>IF(OR(計分!AM235="",計分!$AP235=""),"",計分!$AP235-計分!AM235)</f>
        <v/>
      </c>
      <c r="AN235">
        <f>IF(OR(計分!AN235="",計分!$AP235=""),"",計分!$AP235-計分!AN235)</f>
        <v/>
      </c>
      <c r="AO235">
        <f>IF(OR(計分!AO235="",計分!$AP235=""),"",計分!$AP235-計分!AO235)</f>
        <v/>
      </c>
    </row>
    <row r="236">
      <c r="A236">
        <f>計分!A236</f>
        <v/>
      </c>
      <c r="B236">
        <f>IF(OR(計分!B236="",計分!$AP236=""),"",計分!$AP236-計分!B236)</f>
        <v/>
      </c>
      <c r="C236">
        <f>IF(OR(計分!C236="",計分!$AP236=""),"",計分!$AP236-計分!C236)</f>
        <v/>
      </c>
      <c r="D236">
        <f>IF(OR(計分!D236="",計分!$AP236=""),"",計分!$AP236-計分!D236)</f>
        <v/>
      </c>
      <c r="E236">
        <f>IF(OR(計分!E236="",計分!$AP236=""),"",計分!$AP236-計分!E236)</f>
        <v/>
      </c>
      <c r="F236">
        <f>IF(OR(計分!F236="",計分!$AP236=""),"",計分!$AP236-計分!F236)</f>
        <v/>
      </c>
      <c r="G236">
        <f>IF(OR(計分!G236="",計分!$AP236=""),"",計分!$AP236-計分!G236)</f>
        <v/>
      </c>
      <c r="H236">
        <f>IF(OR(計分!H236="",計分!$AP236=""),"",計分!$AP236-計分!H236)</f>
        <v/>
      </c>
      <c r="I236">
        <f>IF(OR(計分!I236="",計分!$AP236=""),"",計分!$AP236-計分!I236)</f>
        <v/>
      </c>
      <c r="J236">
        <f>IF(OR(計分!J236="",計分!$AP236=""),"",計分!$AP236-計分!J236)</f>
        <v/>
      </c>
      <c r="K236">
        <f>IF(OR(計分!K236="",計分!$AP236=""),"",計分!$AP236-計分!K236)</f>
        <v/>
      </c>
      <c r="L236">
        <f>IF(OR(計分!L236="",計分!$AP236=""),"",計分!$AP236-計分!L236)</f>
        <v/>
      </c>
      <c r="M236">
        <f>IF(OR(計分!M236="",計分!$AP236=""),"",計分!$AP236-計分!M236)</f>
        <v/>
      </c>
      <c r="N236">
        <f>IF(OR(計分!N236="",計分!$AP236=""),"",計分!$AP236-計分!N236)</f>
        <v/>
      </c>
      <c r="O236">
        <f>IF(OR(計分!O236="",計分!$AP236=""),"",計分!$AP236-計分!O236)</f>
        <v/>
      </c>
      <c r="P236">
        <f>IF(OR(計分!P236="",計分!$AP236=""),"",計分!$AP236-計分!P236)</f>
        <v/>
      </c>
      <c r="Q236">
        <f>IF(OR(計分!Q236="",計分!$AP236=""),"",計分!$AP236-計分!Q236)</f>
        <v/>
      </c>
      <c r="R236">
        <f>IF(OR(計分!R236="",計分!$AP236=""),"",計分!$AP236-計分!R236)</f>
        <v/>
      </c>
      <c r="S236">
        <f>IF(OR(計分!S236="",計分!$AP236=""),"",計分!$AP236-計分!S236)</f>
        <v/>
      </c>
      <c r="T236">
        <f>IF(OR(計分!T236="",計分!$AP236=""),"",計分!$AP236-計分!T236)</f>
        <v/>
      </c>
      <c r="U236">
        <f>IF(OR(計分!U236="",計分!$AP236=""),"",計分!$AP236-計分!U236)</f>
        <v/>
      </c>
      <c r="V236">
        <f>IF(OR(計分!V236="",計分!$AP236=""),"",計分!$AP236-計分!V236)</f>
        <v/>
      </c>
      <c r="W236">
        <f>IF(OR(計分!W236="",計分!$AP236=""),"",計分!$AP236-計分!W236)</f>
        <v/>
      </c>
      <c r="X236">
        <f>IF(OR(計分!X236="",計分!$AP236=""),"",計分!$AP236-計分!X236)</f>
        <v/>
      </c>
      <c r="Y236">
        <f>IF(OR(計分!Y236="",計分!$AP236=""),"",計分!$AP236-計分!Y236)</f>
        <v/>
      </c>
      <c r="Z236">
        <f>IF(OR(計分!Z236="",計分!$AP236=""),"",計分!$AP236-計分!Z236)</f>
        <v/>
      </c>
      <c r="AA236">
        <f>IF(OR(計分!AA236="",計分!$AP236=""),"",計分!$AP236-計分!AA236)</f>
        <v/>
      </c>
      <c r="AB236">
        <f>IF(OR(計分!AB236="",計分!$AP236=""),"",計分!$AP236-計分!AB236)</f>
        <v/>
      </c>
      <c r="AC236">
        <f>IF(OR(計分!AC236="",計分!$AP236=""),"",計分!$AP236-計分!AC236)</f>
        <v/>
      </c>
      <c r="AD236">
        <f>IF(OR(計分!AD236="",計分!$AP236=""),"",計分!$AP236-計分!AD236)</f>
        <v/>
      </c>
      <c r="AE236">
        <f>IF(OR(計分!AE236="",計分!$AP236=""),"",計分!$AP236-計分!AE236)</f>
        <v/>
      </c>
      <c r="AF236">
        <f>IF(OR(計分!AF236="",計分!$AP236=""),"",計分!$AP236-計分!AF236)</f>
        <v/>
      </c>
      <c r="AG236">
        <f>IF(OR(計分!AG236="",計分!$AP236=""),"",計分!$AP236-計分!AG236)</f>
        <v/>
      </c>
      <c r="AH236">
        <f>IF(OR(計分!AH236="",計分!$AP236=""),"",計分!$AP236-計分!AH236)</f>
        <v/>
      </c>
      <c r="AI236">
        <f>IF(OR(計分!AI236="",計分!$AP236=""),"",計分!$AP236-計分!AI236)</f>
        <v/>
      </c>
      <c r="AJ236">
        <f>IF(OR(計分!AJ236="",計分!$AP236=""),"",計分!$AP236-計分!AJ236)</f>
        <v/>
      </c>
      <c r="AK236">
        <f>IF(OR(計分!AK236="",計分!$AP236=""),"",計分!$AP236-計分!AK236)</f>
        <v/>
      </c>
      <c r="AL236">
        <f>IF(OR(計分!AL236="",計分!$AP236=""),"",計分!$AP236-計分!AL236)</f>
        <v/>
      </c>
      <c r="AM236">
        <f>IF(OR(計分!AM236="",計分!$AP236=""),"",計分!$AP236-計分!AM236)</f>
        <v/>
      </c>
      <c r="AN236">
        <f>IF(OR(計分!AN236="",計分!$AP236=""),"",計分!$AP236-計分!AN236)</f>
        <v/>
      </c>
      <c r="AO236">
        <f>IF(OR(計分!AO236="",計分!$AP236=""),"",計分!$AP236-計分!AO236)</f>
        <v/>
      </c>
    </row>
    <row r="237">
      <c r="A237">
        <f>計分!A237</f>
        <v/>
      </c>
      <c r="B237">
        <f>IF(OR(計分!B237="",計分!$AP237=""),"",計分!$AP237-計分!B237)</f>
        <v/>
      </c>
      <c r="C237">
        <f>IF(OR(計分!C237="",計分!$AP237=""),"",計分!$AP237-計分!C237)</f>
        <v/>
      </c>
      <c r="D237">
        <f>IF(OR(計分!D237="",計分!$AP237=""),"",計分!$AP237-計分!D237)</f>
        <v/>
      </c>
      <c r="E237">
        <f>IF(OR(計分!E237="",計分!$AP237=""),"",計分!$AP237-計分!E237)</f>
        <v/>
      </c>
      <c r="F237">
        <f>IF(OR(計分!F237="",計分!$AP237=""),"",計分!$AP237-計分!F237)</f>
        <v/>
      </c>
      <c r="G237">
        <f>IF(OR(計分!G237="",計分!$AP237=""),"",計分!$AP237-計分!G237)</f>
        <v/>
      </c>
      <c r="H237">
        <f>IF(OR(計分!H237="",計分!$AP237=""),"",計分!$AP237-計分!H237)</f>
        <v/>
      </c>
      <c r="I237">
        <f>IF(OR(計分!I237="",計分!$AP237=""),"",計分!$AP237-計分!I237)</f>
        <v/>
      </c>
      <c r="J237">
        <f>IF(OR(計分!J237="",計分!$AP237=""),"",計分!$AP237-計分!J237)</f>
        <v/>
      </c>
      <c r="K237">
        <f>IF(OR(計分!K237="",計分!$AP237=""),"",計分!$AP237-計分!K237)</f>
        <v/>
      </c>
      <c r="L237">
        <f>IF(OR(計分!L237="",計分!$AP237=""),"",計分!$AP237-計分!L237)</f>
        <v/>
      </c>
      <c r="M237">
        <f>IF(OR(計分!M237="",計分!$AP237=""),"",計分!$AP237-計分!M237)</f>
        <v/>
      </c>
      <c r="N237">
        <f>IF(OR(計分!N237="",計分!$AP237=""),"",計分!$AP237-計分!N237)</f>
        <v/>
      </c>
      <c r="O237">
        <f>IF(OR(計分!O237="",計分!$AP237=""),"",計分!$AP237-計分!O237)</f>
        <v/>
      </c>
      <c r="P237">
        <f>IF(OR(計分!P237="",計分!$AP237=""),"",計分!$AP237-計分!P237)</f>
        <v/>
      </c>
      <c r="Q237">
        <f>IF(OR(計分!Q237="",計分!$AP237=""),"",計分!$AP237-計分!Q237)</f>
        <v/>
      </c>
      <c r="R237">
        <f>IF(OR(計分!R237="",計分!$AP237=""),"",計分!$AP237-計分!R237)</f>
        <v/>
      </c>
      <c r="S237">
        <f>IF(OR(計分!S237="",計分!$AP237=""),"",計分!$AP237-計分!S237)</f>
        <v/>
      </c>
      <c r="T237">
        <f>IF(OR(計分!T237="",計分!$AP237=""),"",計分!$AP237-計分!T237)</f>
        <v/>
      </c>
      <c r="U237">
        <f>IF(OR(計分!U237="",計分!$AP237=""),"",計分!$AP237-計分!U237)</f>
        <v/>
      </c>
      <c r="V237">
        <f>IF(OR(計分!V237="",計分!$AP237=""),"",計分!$AP237-計分!V237)</f>
        <v/>
      </c>
      <c r="W237">
        <f>IF(OR(計分!W237="",計分!$AP237=""),"",計分!$AP237-計分!W237)</f>
        <v/>
      </c>
      <c r="X237">
        <f>IF(OR(計分!X237="",計分!$AP237=""),"",計分!$AP237-計分!X237)</f>
        <v/>
      </c>
      <c r="Y237">
        <f>IF(OR(計分!Y237="",計分!$AP237=""),"",計分!$AP237-計分!Y237)</f>
        <v/>
      </c>
      <c r="Z237">
        <f>IF(OR(計分!Z237="",計分!$AP237=""),"",計分!$AP237-計分!Z237)</f>
        <v/>
      </c>
      <c r="AA237">
        <f>IF(OR(計分!AA237="",計分!$AP237=""),"",計分!$AP237-計分!AA237)</f>
        <v/>
      </c>
      <c r="AB237">
        <f>IF(OR(計分!AB237="",計分!$AP237=""),"",計分!$AP237-計分!AB237)</f>
        <v/>
      </c>
      <c r="AC237">
        <f>IF(OR(計分!AC237="",計分!$AP237=""),"",計分!$AP237-計分!AC237)</f>
        <v/>
      </c>
      <c r="AD237">
        <f>IF(OR(計分!AD237="",計分!$AP237=""),"",計分!$AP237-計分!AD237)</f>
        <v/>
      </c>
      <c r="AE237">
        <f>IF(OR(計分!AE237="",計分!$AP237=""),"",計分!$AP237-計分!AE237)</f>
        <v/>
      </c>
      <c r="AF237">
        <f>IF(OR(計分!AF237="",計分!$AP237=""),"",計分!$AP237-計分!AF237)</f>
        <v/>
      </c>
      <c r="AG237">
        <f>IF(OR(計分!AG237="",計分!$AP237=""),"",計分!$AP237-計分!AG237)</f>
        <v/>
      </c>
      <c r="AH237">
        <f>IF(OR(計分!AH237="",計分!$AP237=""),"",計分!$AP237-計分!AH237)</f>
        <v/>
      </c>
      <c r="AI237">
        <f>IF(OR(計分!AI237="",計分!$AP237=""),"",計分!$AP237-計分!AI237)</f>
        <v/>
      </c>
      <c r="AJ237">
        <f>IF(OR(計分!AJ237="",計分!$AP237=""),"",計分!$AP237-計分!AJ237)</f>
        <v/>
      </c>
      <c r="AK237">
        <f>IF(OR(計分!AK237="",計分!$AP237=""),"",計分!$AP237-計分!AK237)</f>
        <v/>
      </c>
      <c r="AL237">
        <f>IF(OR(計分!AL237="",計分!$AP237=""),"",計分!$AP237-計分!AL237)</f>
        <v/>
      </c>
      <c r="AM237">
        <f>IF(OR(計分!AM237="",計分!$AP237=""),"",計分!$AP237-計分!AM237)</f>
        <v/>
      </c>
      <c r="AN237">
        <f>IF(OR(計分!AN237="",計分!$AP237=""),"",計分!$AP237-計分!AN237)</f>
        <v/>
      </c>
      <c r="AO237">
        <f>IF(OR(計分!AO237="",計分!$AP237=""),"",計分!$AP237-計分!AO237)</f>
        <v/>
      </c>
    </row>
    <row r="238">
      <c r="A238">
        <f>計分!A238</f>
        <v/>
      </c>
      <c r="B238">
        <f>IF(OR(計分!B238="",計分!$AP238=""),"",計分!$AP238-計分!B238)</f>
        <v/>
      </c>
      <c r="C238">
        <f>IF(OR(計分!C238="",計分!$AP238=""),"",計分!$AP238-計分!C238)</f>
        <v/>
      </c>
      <c r="D238">
        <f>IF(OR(計分!D238="",計分!$AP238=""),"",計分!$AP238-計分!D238)</f>
        <v/>
      </c>
      <c r="E238">
        <f>IF(OR(計分!E238="",計分!$AP238=""),"",計分!$AP238-計分!E238)</f>
        <v/>
      </c>
      <c r="F238">
        <f>IF(OR(計分!F238="",計分!$AP238=""),"",計分!$AP238-計分!F238)</f>
        <v/>
      </c>
      <c r="G238">
        <f>IF(OR(計分!G238="",計分!$AP238=""),"",計分!$AP238-計分!G238)</f>
        <v/>
      </c>
      <c r="H238">
        <f>IF(OR(計分!H238="",計分!$AP238=""),"",計分!$AP238-計分!H238)</f>
        <v/>
      </c>
      <c r="I238">
        <f>IF(OR(計分!I238="",計分!$AP238=""),"",計分!$AP238-計分!I238)</f>
        <v/>
      </c>
      <c r="J238">
        <f>IF(OR(計分!J238="",計分!$AP238=""),"",計分!$AP238-計分!J238)</f>
        <v/>
      </c>
      <c r="K238">
        <f>IF(OR(計分!K238="",計分!$AP238=""),"",計分!$AP238-計分!K238)</f>
        <v/>
      </c>
      <c r="L238">
        <f>IF(OR(計分!L238="",計分!$AP238=""),"",計分!$AP238-計分!L238)</f>
        <v/>
      </c>
      <c r="M238">
        <f>IF(OR(計分!M238="",計分!$AP238=""),"",計分!$AP238-計分!M238)</f>
        <v/>
      </c>
      <c r="N238">
        <f>IF(OR(計分!N238="",計分!$AP238=""),"",計分!$AP238-計分!N238)</f>
        <v/>
      </c>
      <c r="O238">
        <f>IF(OR(計分!O238="",計分!$AP238=""),"",計分!$AP238-計分!O238)</f>
        <v/>
      </c>
      <c r="P238">
        <f>IF(OR(計分!P238="",計分!$AP238=""),"",計分!$AP238-計分!P238)</f>
        <v/>
      </c>
      <c r="Q238">
        <f>IF(OR(計分!Q238="",計分!$AP238=""),"",計分!$AP238-計分!Q238)</f>
        <v/>
      </c>
      <c r="R238">
        <f>IF(OR(計分!R238="",計分!$AP238=""),"",計分!$AP238-計分!R238)</f>
        <v/>
      </c>
      <c r="S238">
        <f>IF(OR(計分!S238="",計分!$AP238=""),"",計分!$AP238-計分!S238)</f>
        <v/>
      </c>
      <c r="T238">
        <f>IF(OR(計分!T238="",計分!$AP238=""),"",計分!$AP238-計分!T238)</f>
        <v/>
      </c>
      <c r="U238">
        <f>IF(OR(計分!U238="",計分!$AP238=""),"",計分!$AP238-計分!U238)</f>
        <v/>
      </c>
      <c r="V238">
        <f>IF(OR(計分!V238="",計分!$AP238=""),"",計分!$AP238-計分!V238)</f>
        <v/>
      </c>
      <c r="W238">
        <f>IF(OR(計分!W238="",計分!$AP238=""),"",計分!$AP238-計分!W238)</f>
        <v/>
      </c>
      <c r="X238">
        <f>IF(OR(計分!X238="",計分!$AP238=""),"",計分!$AP238-計分!X238)</f>
        <v/>
      </c>
      <c r="Y238">
        <f>IF(OR(計分!Y238="",計分!$AP238=""),"",計分!$AP238-計分!Y238)</f>
        <v/>
      </c>
      <c r="Z238">
        <f>IF(OR(計分!Z238="",計分!$AP238=""),"",計分!$AP238-計分!Z238)</f>
        <v/>
      </c>
      <c r="AA238">
        <f>IF(OR(計分!AA238="",計分!$AP238=""),"",計分!$AP238-計分!AA238)</f>
        <v/>
      </c>
      <c r="AB238">
        <f>IF(OR(計分!AB238="",計分!$AP238=""),"",計分!$AP238-計分!AB238)</f>
        <v/>
      </c>
      <c r="AC238">
        <f>IF(OR(計分!AC238="",計分!$AP238=""),"",計分!$AP238-計分!AC238)</f>
        <v/>
      </c>
      <c r="AD238">
        <f>IF(OR(計分!AD238="",計分!$AP238=""),"",計分!$AP238-計分!AD238)</f>
        <v/>
      </c>
      <c r="AE238">
        <f>IF(OR(計分!AE238="",計分!$AP238=""),"",計分!$AP238-計分!AE238)</f>
        <v/>
      </c>
      <c r="AF238">
        <f>IF(OR(計分!AF238="",計分!$AP238=""),"",計分!$AP238-計分!AF238)</f>
        <v/>
      </c>
      <c r="AG238">
        <f>IF(OR(計分!AG238="",計分!$AP238=""),"",計分!$AP238-計分!AG238)</f>
        <v/>
      </c>
      <c r="AH238">
        <f>IF(OR(計分!AH238="",計分!$AP238=""),"",計分!$AP238-計分!AH238)</f>
        <v/>
      </c>
      <c r="AI238">
        <f>IF(OR(計分!AI238="",計分!$AP238=""),"",計分!$AP238-計分!AI238)</f>
        <v/>
      </c>
      <c r="AJ238">
        <f>IF(OR(計分!AJ238="",計分!$AP238=""),"",計分!$AP238-計分!AJ238)</f>
        <v/>
      </c>
      <c r="AK238">
        <f>IF(OR(計分!AK238="",計分!$AP238=""),"",計分!$AP238-計分!AK238)</f>
        <v/>
      </c>
      <c r="AL238">
        <f>IF(OR(計分!AL238="",計分!$AP238=""),"",計分!$AP238-計分!AL238)</f>
        <v/>
      </c>
      <c r="AM238">
        <f>IF(OR(計分!AM238="",計分!$AP238=""),"",計分!$AP238-計分!AM238)</f>
        <v/>
      </c>
      <c r="AN238">
        <f>IF(OR(計分!AN238="",計分!$AP238=""),"",計分!$AP238-計分!AN238)</f>
        <v/>
      </c>
      <c r="AO238">
        <f>IF(OR(計分!AO238="",計分!$AP238=""),"",計分!$AP238-計分!AO238)</f>
        <v/>
      </c>
    </row>
    <row r="239">
      <c r="A239">
        <f>計分!A239</f>
        <v/>
      </c>
      <c r="B239">
        <f>IF(OR(計分!B239="",計分!$AP239=""),"",計分!$AP239-計分!B239)</f>
        <v/>
      </c>
      <c r="C239">
        <f>IF(OR(計分!C239="",計分!$AP239=""),"",計分!$AP239-計分!C239)</f>
        <v/>
      </c>
      <c r="D239">
        <f>IF(OR(計分!D239="",計分!$AP239=""),"",計分!$AP239-計分!D239)</f>
        <v/>
      </c>
      <c r="E239">
        <f>IF(OR(計分!E239="",計分!$AP239=""),"",計分!$AP239-計分!E239)</f>
        <v/>
      </c>
      <c r="F239">
        <f>IF(OR(計分!F239="",計分!$AP239=""),"",計分!$AP239-計分!F239)</f>
        <v/>
      </c>
      <c r="G239">
        <f>IF(OR(計分!G239="",計分!$AP239=""),"",計分!$AP239-計分!G239)</f>
        <v/>
      </c>
      <c r="H239">
        <f>IF(OR(計分!H239="",計分!$AP239=""),"",計分!$AP239-計分!H239)</f>
        <v/>
      </c>
      <c r="I239">
        <f>IF(OR(計分!I239="",計分!$AP239=""),"",計分!$AP239-計分!I239)</f>
        <v/>
      </c>
      <c r="J239">
        <f>IF(OR(計分!J239="",計分!$AP239=""),"",計分!$AP239-計分!J239)</f>
        <v/>
      </c>
      <c r="K239">
        <f>IF(OR(計分!K239="",計分!$AP239=""),"",計分!$AP239-計分!K239)</f>
        <v/>
      </c>
      <c r="L239">
        <f>IF(OR(計分!L239="",計分!$AP239=""),"",計分!$AP239-計分!L239)</f>
        <v/>
      </c>
      <c r="M239">
        <f>IF(OR(計分!M239="",計分!$AP239=""),"",計分!$AP239-計分!M239)</f>
        <v/>
      </c>
      <c r="N239">
        <f>IF(OR(計分!N239="",計分!$AP239=""),"",計分!$AP239-計分!N239)</f>
        <v/>
      </c>
      <c r="O239">
        <f>IF(OR(計分!O239="",計分!$AP239=""),"",計分!$AP239-計分!O239)</f>
        <v/>
      </c>
      <c r="P239">
        <f>IF(OR(計分!P239="",計分!$AP239=""),"",計分!$AP239-計分!P239)</f>
        <v/>
      </c>
      <c r="Q239">
        <f>IF(OR(計分!Q239="",計分!$AP239=""),"",計分!$AP239-計分!Q239)</f>
        <v/>
      </c>
      <c r="R239">
        <f>IF(OR(計分!R239="",計分!$AP239=""),"",計分!$AP239-計分!R239)</f>
        <v/>
      </c>
      <c r="S239">
        <f>IF(OR(計分!S239="",計分!$AP239=""),"",計分!$AP239-計分!S239)</f>
        <v/>
      </c>
      <c r="T239">
        <f>IF(OR(計分!T239="",計分!$AP239=""),"",計分!$AP239-計分!T239)</f>
        <v/>
      </c>
      <c r="U239">
        <f>IF(OR(計分!U239="",計分!$AP239=""),"",計分!$AP239-計分!U239)</f>
        <v/>
      </c>
      <c r="V239">
        <f>IF(OR(計分!V239="",計分!$AP239=""),"",計分!$AP239-計分!V239)</f>
        <v/>
      </c>
      <c r="W239">
        <f>IF(OR(計分!W239="",計分!$AP239=""),"",計分!$AP239-計分!W239)</f>
        <v/>
      </c>
      <c r="X239">
        <f>IF(OR(計分!X239="",計分!$AP239=""),"",計分!$AP239-計分!X239)</f>
        <v/>
      </c>
      <c r="Y239">
        <f>IF(OR(計分!Y239="",計分!$AP239=""),"",計分!$AP239-計分!Y239)</f>
        <v/>
      </c>
      <c r="Z239">
        <f>IF(OR(計分!Z239="",計分!$AP239=""),"",計分!$AP239-計分!Z239)</f>
        <v/>
      </c>
      <c r="AA239">
        <f>IF(OR(計分!AA239="",計分!$AP239=""),"",計分!$AP239-計分!AA239)</f>
        <v/>
      </c>
      <c r="AB239">
        <f>IF(OR(計分!AB239="",計分!$AP239=""),"",計分!$AP239-計分!AB239)</f>
        <v/>
      </c>
      <c r="AC239">
        <f>IF(OR(計分!AC239="",計分!$AP239=""),"",計分!$AP239-計分!AC239)</f>
        <v/>
      </c>
      <c r="AD239">
        <f>IF(OR(計分!AD239="",計分!$AP239=""),"",計分!$AP239-計分!AD239)</f>
        <v/>
      </c>
      <c r="AE239">
        <f>IF(OR(計分!AE239="",計分!$AP239=""),"",計分!$AP239-計分!AE239)</f>
        <v/>
      </c>
      <c r="AF239">
        <f>IF(OR(計分!AF239="",計分!$AP239=""),"",計分!$AP239-計分!AF239)</f>
        <v/>
      </c>
      <c r="AG239">
        <f>IF(OR(計分!AG239="",計分!$AP239=""),"",計分!$AP239-計分!AG239)</f>
        <v/>
      </c>
      <c r="AH239">
        <f>IF(OR(計分!AH239="",計分!$AP239=""),"",計分!$AP239-計分!AH239)</f>
        <v/>
      </c>
      <c r="AI239">
        <f>IF(OR(計分!AI239="",計分!$AP239=""),"",計分!$AP239-計分!AI239)</f>
        <v/>
      </c>
      <c r="AJ239">
        <f>IF(OR(計分!AJ239="",計分!$AP239=""),"",計分!$AP239-計分!AJ239)</f>
        <v/>
      </c>
      <c r="AK239">
        <f>IF(OR(計分!AK239="",計分!$AP239=""),"",計分!$AP239-計分!AK239)</f>
        <v/>
      </c>
      <c r="AL239">
        <f>IF(OR(計分!AL239="",計分!$AP239=""),"",計分!$AP239-計分!AL239)</f>
        <v/>
      </c>
      <c r="AM239">
        <f>IF(OR(計分!AM239="",計分!$AP239=""),"",計分!$AP239-計分!AM239)</f>
        <v/>
      </c>
      <c r="AN239">
        <f>IF(OR(計分!AN239="",計分!$AP239=""),"",計分!$AP239-計分!AN239)</f>
        <v/>
      </c>
      <c r="AO239">
        <f>IF(OR(計分!AO239="",計分!$AP239=""),"",計分!$AP239-計分!AO239)</f>
        <v/>
      </c>
    </row>
    <row r="240">
      <c r="A240">
        <f>計分!A240</f>
        <v/>
      </c>
      <c r="B240">
        <f>IF(OR(計分!B240="",計分!$AP240=""),"",計分!$AP240-計分!B240)</f>
        <v/>
      </c>
      <c r="C240">
        <f>IF(OR(計分!C240="",計分!$AP240=""),"",計分!$AP240-計分!C240)</f>
        <v/>
      </c>
      <c r="D240">
        <f>IF(OR(計分!D240="",計分!$AP240=""),"",計分!$AP240-計分!D240)</f>
        <v/>
      </c>
      <c r="E240">
        <f>IF(OR(計分!E240="",計分!$AP240=""),"",計分!$AP240-計分!E240)</f>
        <v/>
      </c>
      <c r="F240">
        <f>IF(OR(計分!F240="",計分!$AP240=""),"",計分!$AP240-計分!F240)</f>
        <v/>
      </c>
      <c r="G240">
        <f>IF(OR(計分!G240="",計分!$AP240=""),"",計分!$AP240-計分!G240)</f>
        <v/>
      </c>
      <c r="H240">
        <f>IF(OR(計分!H240="",計分!$AP240=""),"",計分!$AP240-計分!H240)</f>
        <v/>
      </c>
      <c r="I240">
        <f>IF(OR(計分!I240="",計分!$AP240=""),"",計分!$AP240-計分!I240)</f>
        <v/>
      </c>
      <c r="J240">
        <f>IF(OR(計分!J240="",計分!$AP240=""),"",計分!$AP240-計分!J240)</f>
        <v/>
      </c>
      <c r="K240">
        <f>IF(OR(計分!K240="",計分!$AP240=""),"",計分!$AP240-計分!K240)</f>
        <v/>
      </c>
      <c r="L240">
        <f>IF(OR(計分!L240="",計分!$AP240=""),"",計分!$AP240-計分!L240)</f>
        <v/>
      </c>
      <c r="M240">
        <f>IF(OR(計分!M240="",計分!$AP240=""),"",計分!$AP240-計分!M240)</f>
        <v/>
      </c>
      <c r="N240">
        <f>IF(OR(計分!N240="",計分!$AP240=""),"",計分!$AP240-計分!N240)</f>
        <v/>
      </c>
      <c r="O240">
        <f>IF(OR(計分!O240="",計分!$AP240=""),"",計分!$AP240-計分!O240)</f>
        <v/>
      </c>
      <c r="P240">
        <f>IF(OR(計分!P240="",計分!$AP240=""),"",計分!$AP240-計分!P240)</f>
        <v/>
      </c>
      <c r="Q240">
        <f>IF(OR(計分!Q240="",計分!$AP240=""),"",計分!$AP240-計分!Q240)</f>
        <v/>
      </c>
      <c r="R240">
        <f>IF(OR(計分!R240="",計分!$AP240=""),"",計分!$AP240-計分!R240)</f>
        <v/>
      </c>
      <c r="S240">
        <f>IF(OR(計分!S240="",計分!$AP240=""),"",計分!$AP240-計分!S240)</f>
        <v/>
      </c>
      <c r="T240">
        <f>IF(OR(計分!T240="",計分!$AP240=""),"",計分!$AP240-計分!T240)</f>
        <v/>
      </c>
      <c r="U240">
        <f>IF(OR(計分!U240="",計分!$AP240=""),"",計分!$AP240-計分!U240)</f>
        <v/>
      </c>
      <c r="V240">
        <f>IF(OR(計分!V240="",計分!$AP240=""),"",計分!$AP240-計分!V240)</f>
        <v/>
      </c>
      <c r="W240">
        <f>IF(OR(計分!W240="",計分!$AP240=""),"",計分!$AP240-計分!W240)</f>
        <v/>
      </c>
      <c r="X240">
        <f>IF(OR(計分!X240="",計分!$AP240=""),"",計分!$AP240-計分!X240)</f>
        <v/>
      </c>
      <c r="Y240">
        <f>IF(OR(計分!Y240="",計分!$AP240=""),"",計分!$AP240-計分!Y240)</f>
        <v/>
      </c>
      <c r="Z240">
        <f>IF(OR(計分!Z240="",計分!$AP240=""),"",計分!$AP240-計分!Z240)</f>
        <v/>
      </c>
      <c r="AA240">
        <f>IF(OR(計分!AA240="",計分!$AP240=""),"",計分!$AP240-計分!AA240)</f>
        <v/>
      </c>
      <c r="AB240">
        <f>IF(OR(計分!AB240="",計分!$AP240=""),"",計分!$AP240-計分!AB240)</f>
        <v/>
      </c>
      <c r="AC240">
        <f>IF(OR(計分!AC240="",計分!$AP240=""),"",計分!$AP240-計分!AC240)</f>
        <v/>
      </c>
      <c r="AD240">
        <f>IF(OR(計分!AD240="",計分!$AP240=""),"",計分!$AP240-計分!AD240)</f>
        <v/>
      </c>
      <c r="AE240">
        <f>IF(OR(計分!AE240="",計分!$AP240=""),"",計分!$AP240-計分!AE240)</f>
        <v/>
      </c>
      <c r="AF240">
        <f>IF(OR(計分!AF240="",計分!$AP240=""),"",計分!$AP240-計分!AF240)</f>
        <v/>
      </c>
      <c r="AG240">
        <f>IF(OR(計分!AG240="",計分!$AP240=""),"",計分!$AP240-計分!AG240)</f>
        <v/>
      </c>
      <c r="AH240">
        <f>IF(OR(計分!AH240="",計分!$AP240=""),"",計分!$AP240-計分!AH240)</f>
        <v/>
      </c>
      <c r="AI240">
        <f>IF(OR(計分!AI240="",計分!$AP240=""),"",計分!$AP240-計分!AI240)</f>
        <v/>
      </c>
      <c r="AJ240">
        <f>IF(OR(計分!AJ240="",計分!$AP240=""),"",計分!$AP240-計分!AJ240)</f>
        <v/>
      </c>
      <c r="AK240">
        <f>IF(OR(計分!AK240="",計分!$AP240=""),"",計分!$AP240-計分!AK240)</f>
        <v/>
      </c>
      <c r="AL240">
        <f>IF(OR(計分!AL240="",計分!$AP240=""),"",計分!$AP240-計分!AL240)</f>
        <v/>
      </c>
      <c r="AM240">
        <f>IF(OR(計分!AM240="",計分!$AP240=""),"",計分!$AP240-計分!AM240)</f>
        <v/>
      </c>
      <c r="AN240">
        <f>IF(OR(計分!AN240="",計分!$AP240=""),"",計分!$AP240-計分!AN240)</f>
        <v/>
      </c>
      <c r="AO240">
        <f>IF(OR(計分!AO240="",計分!$AP240=""),"",計分!$AP240-計分!AO240)</f>
        <v/>
      </c>
    </row>
    <row r="241">
      <c r="A241">
        <f>計分!A241</f>
        <v/>
      </c>
      <c r="B241">
        <f>IF(OR(計分!B241="",計分!$AP241=""),"",計分!$AP241-計分!B241)</f>
        <v/>
      </c>
      <c r="C241">
        <f>IF(OR(計分!C241="",計分!$AP241=""),"",計分!$AP241-計分!C241)</f>
        <v/>
      </c>
      <c r="D241">
        <f>IF(OR(計分!D241="",計分!$AP241=""),"",計分!$AP241-計分!D241)</f>
        <v/>
      </c>
      <c r="E241">
        <f>IF(OR(計分!E241="",計分!$AP241=""),"",計分!$AP241-計分!E241)</f>
        <v/>
      </c>
      <c r="F241">
        <f>IF(OR(計分!F241="",計分!$AP241=""),"",計分!$AP241-計分!F241)</f>
        <v/>
      </c>
      <c r="G241">
        <f>IF(OR(計分!G241="",計分!$AP241=""),"",計分!$AP241-計分!G241)</f>
        <v/>
      </c>
      <c r="H241">
        <f>IF(OR(計分!H241="",計分!$AP241=""),"",計分!$AP241-計分!H241)</f>
        <v/>
      </c>
      <c r="I241">
        <f>IF(OR(計分!I241="",計分!$AP241=""),"",計分!$AP241-計分!I241)</f>
        <v/>
      </c>
      <c r="J241">
        <f>IF(OR(計分!J241="",計分!$AP241=""),"",計分!$AP241-計分!J241)</f>
        <v/>
      </c>
      <c r="K241">
        <f>IF(OR(計分!K241="",計分!$AP241=""),"",計分!$AP241-計分!K241)</f>
        <v/>
      </c>
      <c r="L241">
        <f>IF(OR(計分!L241="",計分!$AP241=""),"",計分!$AP241-計分!L241)</f>
        <v/>
      </c>
      <c r="M241">
        <f>IF(OR(計分!M241="",計分!$AP241=""),"",計分!$AP241-計分!M241)</f>
        <v/>
      </c>
      <c r="N241">
        <f>IF(OR(計分!N241="",計分!$AP241=""),"",計分!$AP241-計分!N241)</f>
        <v/>
      </c>
      <c r="O241">
        <f>IF(OR(計分!O241="",計分!$AP241=""),"",計分!$AP241-計分!O241)</f>
        <v/>
      </c>
      <c r="P241">
        <f>IF(OR(計分!P241="",計分!$AP241=""),"",計分!$AP241-計分!P241)</f>
        <v/>
      </c>
      <c r="Q241">
        <f>IF(OR(計分!Q241="",計分!$AP241=""),"",計分!$AP241-計分!Q241)</f>
        <v/>
      </c>
      <c r="R241">
        <f>IF(OR(計分!R241="",計分!$AP241=""),"",計分!$AP241-計分!R241)</f>
        <v/>
      </c>
      <c r="S241">
        <f>IF(OR(計分!S241="",計分!$AP241=""),"",計分!$AP241-計分!S241)</f>
        <v/>
      </c>
      <c r="T241">
        <f>IF(OR(計分!T241="",計分!$AP241=""),"",計分!$AP241-計分!T241)</f>
        <v/>
      </c>
      <c r="U241">
        <f>IF(OR(計分!U241="",計分!$AP241=""),"",計分!$AP241-計分!U241)</f>
        <v/>
      </c>
      <c r="V241">
        <f>IF(OR(計分!V241="",計分!$AP241=""),"",計分!$AP241-計分!V241)</f>
        <v/>
      </c>
      <c r="W241">
        <f>IF(OR(計分!W241="",計分!$AP241=""),"",計分!$AP241-計分!W241)</f>
        <v/>
      </c>
      <c r="X241">
        <f>IF(OR(計分!X241="",計分!$AP241=""),"",計分!$AP241-計分!X241)</f>
        <v/>
      </c>
      <c r="Y241">
        <f>IF(OR(計分!Y241="",計分!$AP241=""),"",計分!$AP241-計分!Y241)</f>
        <v/>
      </c>
      <c r="Z241">
        <f>IF(OR(計分!Z241="",計分!$AP241=""),"",計分!$AP241-計分!Z241)</f>
        <v/>
      </c>
      <c r="AA241">
        <f>IF(OR(計分!AA241="",計分!$AP241=""),"",計分!$AP241-計分!AA241)</f>
        <v/>
      </c>
      <c r="AB241">
        <f>IF(OR(計分!AB241="",計分!$AP241=""),"",計分!$AP241-計分!AB241)</f>
        <v/>
      </c>
      <c r="AC241">
        <f>IF(OR(計分!AC241="",計分!$AP241=""),"",計分!$AP241-計分!AC241)</f>
        <v/>
      </c>
      <c r="AD241">
        <f>IF(OR(計分!AD241="",計分!$AP241=""),"",計分!$AP241-計分!AD241)</f>
        <v/>
      </c>
      <c r="AE241">
        <f>IF(OR(計分!AE241="",計分!$AP241=""),"",計分!$AP241-計分!AE241)</f>
        <v/>
      </c>
      <c r="AF241">
        <f>IF(OR(計分!AF241="",計分!$AP241=""),"",計分!$AP241-計分!AF241)</f>
        <v/>
      </c>
      <c r="AG241">
        <f>IF(OR(計分!AG241="",計分!$AP241=""),"",計分!$AP241-計分!AG241)</f>
        <v/>
      </c>
      <c r="AH241">
        <f>IF(OR(計分!AH241="",計分!$AP241=""),"",計分!$AP241-計分!AH241)</f>
        <v/>
      </c>
      <c r="AI241">
        <f>IF(OR(計分!AI241="",計分!$AP241=""),"",計分!$AP241-計分!AI241)</f>
        <v/>
      </c>
      <c r="AJ241">
        <f>IF(OR(計分!AJ241="",計分!$AP241=""),"",計分!$AP241-計分!AJ241)</f>
        <v/>
      </c>
      <c r="AK241">
        <f>IF(OR(計分!AK241="",計分!$AP241=""),"",計分!$AP241-計分!AK241)</f>
        <v/>
      </c>
      <c r="AL241">
        <f>IF(OR(計分!AL241="",計分!$AP241=""),"",計分!$AP241-計分!AL241)</f>
        <v/>
      </c>
      <c r="AM241">
        <f>IF(OR(計分!AM241="",計分!$AP241=""),"",計分!$AP241-計分!AM241)</f>
        <v/>
      </c>
      <c r="AN241">
        <f>IF(OR(計分!AN241="",計分!$AP241=""),"",計分!$AP241-計分!AN241)</f>
        <v/>
      </c>
      <c r="AO241">
        <f>IF(OR(計分!AO241="",計分!$AP241=""),"",計分!$AP241-計分!AO241)</f>
        <v/>
      </c>
    </row>
    <row r="242">
      <c r="A242">
        <f>計分!A242</f>
        <v/>
      </c>
      <c r="B242">
        <f>IF(OR(計分!B242="",計分!$AP242=""),"",計分!$AP242-計分!B242)</f>
        <v/>
      </c>
      <c r="C242">
        <f>IF(OR(計分!C242="",計分!$AP242=""),"",計分!$AP242-計分!C242)</f>
        <v/>
      </c>
      <c r="D242">
        <f>IF(OR(計分!D242="",計分!$AP242=""),"",計分!$AP242-計分!D242)</f>
        <v/>
      </c>
      <c r="E242">
        <f>IF(OR(計分!E242="",計分!$AP242=""),"",計分!$AP242-計分!E242)</f>
        <v/>
      </c>
      <c r="F242">
        <f>IF(OR(計分!F242="",計分!$AP242=""),"",計分!$AP242-計分!F242)</f>
        <v/>
      </c>
      <c r="G242">
        <f>IF(OR(計分!G242="",計分!$AP242=""),"",計分!$AP242-計分!G242)</f>
        <v/>
      </c>
      <c r="H242">
        <f>IF(OR(計分!H242="",計分!$AP242=""),"",計分!$AP242-計分!H242)</f>
        <v/>
      </c>
      <c r="I242">
        <f>IF(OR(計分!I242="",計分!$AP242=""),"",計分!$AP242-計分!I242)</f>
        <v/>
      </c>
      <c r="J242">
        <f>IF(OR(計分!J242="",計分!$AP242=""),"",計分!$AP242-計分!J242)</f>
        <v/>
      </c>
      <c r="K242">
        <f>IF(OR(計分!K242="",計分!$AP242=""),"",計分!$AP242-計分!K242)</f>
        <v/>
      </c>
      <c r="L242">
        <f>IF(OR(計分!L242="",計分!$AP242=""),"",計分!$AP242-計分!L242)</f>
        <v/>
      </c>
      <c r="M242">
        <f>IF(OR(計分!M242="",計分!$AP242=""),"",計分!$AP242-計分!M242)</f>
        <v/>
      </c>
      <c r="N242">
        <f>IF(OR(計分!N242="",計分!$AP242=""),"",計分!$AP242-計分!N242)</f>
        <v/>
      </c>
      <c r="O242">
        <f>IF(OR(計分!O242="",計分!$AP242=""),"",計分!$AP242-計分!O242)</f>
        <v/>
      </c>
      <c r="P242">
        <f>IF(OR(計分!P242="",計分!$AP242=""),"",計分!$AP242-計分!P242)</f>
        <v/>
      </c>
      <c r="Q242">
        <f>IF(OR(計分!Q242="",計分!$AP242=""),"",計分!$AP242-計分!Q242)</f>
        <v/>
      </c>
      <c r="R242">
        <f>IF(OR(計分!R242="",計分!$AP242=""),"",計分!$AP242-計分!R242)</f>
        <v/>
      </c>
      <c r="S242">
        <f>IF(OR(計分!S242="",計分!$AP242=""),"",計分!$AP242-計分!S242)</f>
        <v/>
      </c>
      <c r="T242">
        <f>IF(OR(計分!T242="",計分!$AP242=""),"",計分!$AP242-計分!T242)</f>
        <v/>
      </c>
      <c r="U242">
        <f>IF(OR(計分!U242="",計分!$AP242=""),"",計分!$AP242-計分!U242)</f>
        <v/>
      </c>
      <c r="V242">
        <f>IF(OR(計分!V242="",計分!$AP242=""),"",計分!$AP242-計分!V242)</f>
        <v/>
      </c>
      <c r="W242">
        <f>IF(OR(計分!W242="",計分!$AP242=""),"",計分!$AP242-計分!W242)</f>
        <v/>
      </c>
      <c r="X242">
        <f>IF(OR(計分!X242="",計分!$AP242=""),"",計分!$AP242-計分!X242)</f>
        <v/>
      </c>
      <c r="Y242">
        <f>IF(OR(計分!Y242="",計分!$AP242=""),"",計分!$AP242-計分!Y242)</f>
        <v/>
      </c>
      <c r="Z242">
        <f>IF(OR(計分!Z242="",計分!$AP242=""),"",計分!$AP242-計分!Z242)</f>
        <v/>
      </c>
      <c r="AA242">
        <f>IF(OR(計分!AA242="",計分!$AP242=""),"",計分!$AP242-計分!AA242)</f>
        <v/>
      </c>
      <c r="AB242">
        <f>IF(OR(計分!AB242="",計分!$AP242=""),"",計分!$AP242-計分!AB242)</f>
        <v/>
      </c>
      <c r="AC242">
        <f>IF(OR(計分!AC242="",計分!$AP242=""),"",計分!$AP242-計分!AC242)</f>
        <v/>
      </c>
      <c r="AD242">
        <f>IF(OR(計分!AD242="",計分!$AP242=""),"",計分!$AP242-計分!AD242)</f>
        <v/>
      </c>
      <c r="AE242">
        <f>IF(OR(計分!AE242="",計分!$AP242=""),"",計分!$AP242-計分!AE242)</f>
        <v/>
      </c>
      <c r="AF242">
        <f>IF(OR(計分!AF242="",計分!$AP242=""),"",計分!$AP242-計分!AF242)</f>
        <v/>
      </c>
      <c r="AG242">
        <f>IF(OR(計分!AG242="",計分!$AP242=""),"",計分!$AP242-計分!AG242)</f>
        <v/>
      </c>
      <c r="AH242">
        <f>IF(OR(計分!AH242="",計分!$AP242=""),"",計分!$AP242-計分!AH242)</f>
        <v/>
      </c>
      <c r="AI242">
        <f>IF(OR(計分!AI242="",計分!$AP242=""),"",計分!$AP242-計分!AI242)</f>
        <v/>
      </c>
      <c r="AJ242">
        <f>IF(OR(計分!AJ242="",計分!$AP242=""),"",計分!$AP242-計分!AJ242)</f>
        <v/>
      </c>
      <c r="AK242">
        <f>IF(OR(計分!AK242="",計分!$AP242=""),"",計分!$AP242-計分!AK242)</f>
        <v/>
      </c>
      <c r="AL242">
        <f>IF(OR(計分!AL242="",計分!$AP242=""),"",計分!$AP242-計分!AL242)</f>
        <v/>
      </c>
      <c r="AM242">
        <f>IF(OR(計分!AM242="",計分!$AP242=""),"",計分!$AP242-計分!AM242)</f>
        <v/>
      </c>
      <c r="AN242">
        <f>IF(OR(計分!AN242="",計分!$AP242=""),"",計分!$AP242-計分!AN242)</f>
        <v/>
      </c>
      <c r="AO242">
        <f>IF(OR(計分!AO242="",計分!$AP242=""),"",計分!$AP242-計分!AO242)</f>
        <v/>
      </c>
    </row>
    <row r="243">
      <c r="A243">
        <f>計分!A243</f>
        <v/>
      </c>
      <c r="B243">
        <f>IF(OR(計分!B243="",計分!$AP243=""),"",計分!$AP243-計分!B243)</f>
        <v/>
      </c>
      <c r="C243">
        <f>IF(OR(計分!C243="",計分!$AP243=""),"",計分!$AP243-計分!C243)</f>
        <v/>
      </c>
      <c r="D243">
        <f>IF(OR(計分!D243="",計分!$AP243=""),"",計分!$AP243-計分!D243)</f>
        <v/>
      </c>
      <c r="E243">
        <f>IF(OR(計分!E243="",計分!$AP243=""),"",計分!$AP243-計分!E243)</f>
        <v/>
      </c>
      <c r="F243">
        <f>IF(OR(計分!F243="",計分!$AP243=""),"",計分!$AP243-計分!F243)</f>
        <v/>
      </c>
      <c r="G243">
        <f>IF(OR(計分!G243="",計分!$AP243=""),"",計分!$AP243-計分!G243)</f>
        <v/>
      </c>
      <c r="H243">
        <f>IF(OR(計分!H243="",計分!$AP243=""),"",計分!$AP243-計分!H243)</f>
        <v/>
      </c>
      <c r="I243">
        <f>IF(OR(計分!I243="",計分!$AP243=""),"",計分!$AP243-計分!I243)</f>
        <v/>
      </c>
      <c r="J243">
        <f>IF(OR(計分!J243="",計分!$AP243=""),"",計分!$AP243-計分!J243)</f>
        <v/>
      </c>
      <c r="K243">
        <f>IF(OR(計分!K243="",計分!$AP243=""),"",計分!$AP243-計分!K243)</f>
        <v/>
      </c>
      <c r="L243">
        <f>IF(OR(計分!L243="",計分!$AP243=""),"",計分!$AP243-計分!L243)</f>
        <v/>
      </c>
      <c r="M243">
        <f>IF(OR(計分!M243="",計分!$AP243=""),"",計分!$AP243-計分!M243)</f>
        <v/>
      </c>
      <c r="N243">
        <f>IF(OR(計分!N243="",計分!$AP243=""),"",計分!$AP243-計分!N243)</f>
        <v/>
      </c>
      <c r="O243">
        <f>IF(OR(計分!O243="",計分!$AP243=""),"",計分!$AP243-計分!O243)</f>
        <v/>
      </c>
      <c r="P243">
        <f>IF(OR(計分!P243="",計分!$AP243=""),"",計分!$AP243-計分!P243)</f>
        <v/>
      </c>
      <c r="Q243">
        <f>IF(OR(計分!Q243="",計分!$AP243=""),"",計分!$AP243-計分!Q243)</f>
        <v/>
      </c>
      <c r="R243">
        <f>IF(OR(計分!R243="",計分!$AP243=""),"",計分!$AP243-計分!R243)</f>
        <v/>
      </c>
      <c r="S243">
        <f>IF(OR(計分!S243="",計分!$AP243=""),"",計分!$AP243-計分!S243)</f>
        <v/>
      </c>
      <c r="T243">
        <f>IF(OR(計分!T243="",計分!$AP243=""),"",計分!$AP243-計分!T243)</f>
        <v/>
      </c>
      <c r="U243">
        <f>IF(OR(計分!U243="",計分!$AP243=""),"",計分!$AP243-計分!U243)</f>
        <v/>
      </c>
      <c r="V243">
        <f>IF(OR(計分!V243="",計分!$AP243=""),"",計分!$AP243-計分!V243)</f>
        <v/>
      </c>
      <c r="W243">
        <f>IF(OR(計分!W243="",計分!$AP243=""),"",計分!$AP243-計分!W243)</f>
        <v/>
      </c>
      <c r="X243">
        <f>IF(OR(計分!X243="",計分!$AP243=""),"",計分!$AP243-計分!X243)</f>
        <v/>
      </c>
      <c r="Y243">
        <f>IF(OR(計分!Y243="",計分!$AP243=""),"",計分!$AP243-計分!Y243)</f>
        <v/>
      </c>
      <c r="Z243">
        <f>IF(OR(計分!Z243="",計分!$AP243=""),"",計分!$AP243-計分!Z243)</f>
        <v/>
      </c>
      <c r="AA243">
        <f>IF(OR(計分!AA243="",計分!$AP243=""),"",計分!$AP243-計分!AA243)</f>
        <v/>
      </c>
      <c r="AB243">
        <f>IF(OR(計分!AB243="",計分!$AP243=""),"",計分!$AP243-計分!AB243)</f>
        <v/>
      </c>
      <c r="AC243">
        <f>IF(OR(計分!AC243="",計分!$AP243=""),"",計分!$AP243-計分!AC243)</f>
        <v/>
      </c>
      <c r="AD243">
        <f>IF(OR(計分!AD243="",計分!$AP243=""),"",計分!$AP243-計分!AD243)</f>
        <v/>
      </c>
      <c r="AE243">
        <f>IF(OR(計分!AE243="",計分!$AP243=""),"",計分!$AP243-計分!AE243)</f>
        <v/>
      </c>
      <c r="AF243">
        <f>IF(OR(計分!AF243="",計分!$AP243=""),"",計分!$AP243-計分!AF243)</f>
        <v/>
      </c>
      <c r="AG243">
        <f>IF(OR(計分!AG243="",計分!$AP243=""),"",計分!$AP243-計分!AG243)</f>
        <v/>
      </c>
      <c r="AH243">
        <f>IF(OR(計分!AH243="",計分!$AP243=""),"",計分!$AP243-計分!AH243)</f>
        <v/>
      </c>
      <c r="AI243">
        <f>IF(OR(計分!AI243="",計分!$AP243=""),"",計分!$AP243-計分!AI243)</f>
        <v/>
      </c>
      <c r="AJ243">
        <f>IF(OR(計分!AJ243="",計分!$AP243=""),"",計分!$AP243-計分!AJ243)</f>
        <v/>
      </c>
      <c r="AK243">
        <f>IF(OR(計分!AK243="",計分!$AP243=""),"",計分!$AP243-計分!AK243)</f>
        <v/>
      </c>
      <c r="AL243">
        <f>IF(OR(計分!AL243="",計分!$AP243=""),"",計分!$AP243-計分!AL243)</f>
        <v/>
      </c>
      <c r="AM243">
        <f>IF(OR(計分!AM243="",計分!$AP243=""),"",計分!$AP243-計分!AM243)</f>
        <v/>
      </c>
      <c r="AN243">
        <f>IF(OR(計分!AN243="",計分!$AP243=""),"",計分!$AP243-計分!AN243)</f>
        <v/>
      </c>
      <c r="AO243">
        <f>IF(OR(計分!AO243="",計分!$AP243=""),"",計分!$AP243-計分!AO243)</f>
        <v/>
      </c>
    </row>
    <row r="244">
      <c r="A244">
        <f>計分!A244</f>
        <v/>
      </c>
      <c r="B244">
        <f>IF(OR(計分!B244="",計分!$AP244=""),"",計分!$AP244-計分!B244)</f>
        <v/>
      </c>
      <c r="C244">
        <f>IF(OR(計分!C244="",計分!$AP244=""),"",計分!$AP244-計分!C244)</f>
        <v/>
      </c>
      <c r="D244">
        <f>IF(OR(計分!D244="",計分!$AP244=""),"",計分!$AP244-計分!D244)</f>
        <v/>
      </c>
      <c r="E244">
        <f>IF(OR(計分!E244="",計分!$AP244=""),"",計分!$AP244-計分!E244)</f>
        <v/>
      </c>
      <c r="F244">
        <f>IF(OR(計分!F244="",計分!$AP244=""),"",計分!$AP244-計分!F244)</f>
        <v/>
      </c>
      <c r="G244">
        <f>IF(OR(計分!G244="",計分!$AP244=""),"",計分!$AP244-計分!G244)</f>
        <v/>
      </c>
      <c r="H244">
        <f>IF(OR(計分!H244="",計分!$AP244=""),"",計分!$AP244-計分!H244)</f>
        <v/>
      </c>
      <c r="I244">
        <f>IF(OR(計分!I244="",計分!$AP244=""),"",計分!$AP244-計分!I244)</f>
        <v/>
      </c>
      <c r="J244">
        <f>IF(OR(計分!J244="",計分!$AP244=""),"",計分!$AP244-計分!J244)</f>
        <v/>
      </c>
      <c r="K244">
        <f>IF(OR(計分!K244="",計分!$AP244=""),"",計分!$AP244-計分!K244)</f>
        <v/>
      </c>
      <c r="L244">
        <f>IF(OR(計分!L244="",計分!$AP244=""),"",計分!$AP244-計分!L244)</f>
        <v/>
      </c>
      <c r="M244">
        <f>IF(OR(計分!M244="",計分!$AP244=""),"",計分!$AP244-計分!M244)</f>
        <v/>
      </c>
      <c r="N244">
        <f>IF(OR(計分!N244="",計分!$AP244=""),"",計分!$AP244-計分!N244)</f>
        <v/>
      </c>
      <c r="O244">
        <f>IF(OR(計分!O244="",計分!$AP244=""),"",計分!$AP244-計分!O244)</f>
        <v/>
      </c>
      <c r="P244">
        <f>IF(OR(計分!P244="",計分!$AP244=""),"",計分!$AP244-計分!P244)</f>
        <v/>
      </c>
      <c r="Q244">
        <f>IF(OR(計分!Q244="",計分!$AP244=""),"",計分!$AP244-計分!Q244)</f>
        <v/>
      </c>
      <c r="R244">
        <f>IF(OR(計分!R244="",計分!$AP244=""),"",計分!$AP244-計分!R244)</f>
        <v/>
      </c>
      <c r="S244">
        <f>IF(OR(計分!S244="",計分!$AP244=""),"",計分!$AP244-計分!S244)</f>
        <v/>
      </c>
      <c r="T244">
        <f>IF(OR(計分!T244="",計分!$AP244=""),"",計分!$AP244-計分!T244)</f>
        <v/>
      </c>
      <c r="U244">
        <f>IF(OR(計分!U244="",計分!$AP244=""),"",計分!$AP244-計分!U244)</f>
        <v/>
      </c>
      <c r="V244">
        <f>IF(OR(計分!V244="",計分!$AP244=""),"",計分!$AP244-計分!V244)</f>
        <v/>
      </c>
      <c r="W244">
        <f>IF(OR(計分!W244="",計分!$AP244=""),"",計分!$AP244-計分!W244)</f>
        <v/>
      </c>
      <c r="X244">
        <f>IF(OR(計分!X244="",計分!$AP244=""),"",計分!$AP244-計分!X244)</f>
        <v/>
      </c>
      <c r="Y244">
        <f>IF(OR(計分!Y244="",計分!$AP244=""),"",計分!$AP244-計分!Y244)</f>
        <v/>
      </c>
      <c r="Z244">
        <f>IF(OR(計分!Z244="",計分!$AP244=""),"",計分!$AP244-計分!Z244)</f>
        <v/>
      </c>
      <c r="AA244">
        <f>IF(OR(計分!AA244="",計分!$AP244=""),"",計分!$AP244-計分!AA244)</f>
        <v/>
      </c>
      <c r="AB244">
        <f>IF(OR(計分!AB244="",計分!$AP244=""),"",計分!$AP244-計分!AB244)</f>
        <v/>
      </c>
      <c r="AC244">
        <f>IF(OR(計分!AC244="",計分!$AP244=""),"",計分!$AP244-計分!AC244)</f>
        <v/>
      </c>
      <c r="AD244">
        <f>IF(OR(計分!AD244="",計分!$AP244=""),"",計分!$AP244-計分!AD244)</f>
        <v/>
      </c>
      <c r="AE244">
        <f>IF(OR(計分!AE244="",計分!$AP244=""),"",計分!$AP244-計分!AE244)</f>
        <v/>
      </c>
      <c r="AF244">
        <f>IF(OR(計分!AF244="",計分!$AP244=""),"",計分!$AP244-計分!AF244)</f>
        <v/>
      </c>
      <c r="AG244">
        <f>IF(OR(計分!AG244="",計分!$AP244=""),"",計分!$AP244-計分!AG244)</f>
        <v/>
      </c>
      <c r="AH244">
        <f>IF(OR(計分!AH244="",計分!$AP244=""),"",計分!$AP244-計分!AH244)</f>
        <v/>
      </c>
      <c r="AI244">
        <f>IF(OR(計分!AI244="",計分!$AP244=""),"",計分!$AP244-計分!AI244)</f>
        <v/>
      </c>
      <c r="AJ244">
        <f>IF(OR(計分!AJ244="",計分!$AP244=""),"",計分!$AP244-計分!AJ244)</f>
        <v/>
      </c>
      <c r="AK244">
        <f>IF(OR(計分!AK244="",計分!$AP244=""),"",計分!$AP244-計分!AK244)</f>
        <v/>
      </c>
      <c r="AL244">
        <f>IF(OR(計分!AL244="",計分!$AP244=""),"",計分!$AP244-計分!AL244)</f>
        <v/>
      </c>
      <c r="AM244">
        <f>IF(OR(計分!AM244="",計分!$AP244=""),"",計分!$AP244-計分!AM244)</f>
        <v/>
      </c>
      <c r="AN244">
        <f>IF(OR(計分!AN244="",計分!$AP244=""),"",計分!$AP244-計分!AN244)</f>
        <v/>
      </c>
      <c r="AO244">
        <f>IF(OR(計分!AO244="",計分!$AP244=""),"",計分!$AP244-計分!AO244)</f>
        <v/>
      </c>
    </row>
    <row r="245">
      <c r="A245">
        <f>計分!A245</f>
        <v/>
      </c>
      <c r="B245">
        <f>IF(OR(計分!B245="",計分!$AP245=""),"",計分!$AP245-計分!B245)</f>
        <v/>
      </c>
      <c r="C245">
        <f>IF(OR(計分!C245="",計分!$AP245=""),"",計分!$AP245-計分!C245)</f>
        <v/>
      </c>
      <c r="D245">
        <f>IF(OR(計分!D245="",計分!$AP245=""),"",計分!$AP245-計分!D245)</f>
        <v/>
      </c>
      <c r="E245">
        <f>IF(OR(計分!E245="",計分!$AP245=""),"",計分!$AP245-計分!E245)</f>
        <v/>
      </c>
      <c r="F245">
        <f>IF(OR(計分!F245="",計分!$AP245=""),"",計分!$AP245-計分!F245)</f>
        <v/>
      </c>
      <c r="G245">
        <f>IF(OR(計分!G245="",計分!$AP245=""),"",計分!$AP245-計分!G245)</f>
        <v/>
      </c>
      <c r="H245">
        <f>IF(OR(計分!H245="",計分!$AP245=""),"",計分!$AP245-計分!H245)</f>
        <v/>
      </c>
      <c r="I245">
        <f>IF(OR(計分!I245="",計分!$AP245=""),"",計分!$AP245-計分!I245)</f>
        <v/>
      </c>
      <c r="J245">
        <f>IF(OR(計分!J245="",計分!$AP245=""),"",計分!$AP245-計分!J245)</f>
        <v/>
      </c>
      <c r="K245">
        <f>IF(OR(計分!K245="",計分!$AP245=""),"",計分!$AP245-計分!K245)</f>
        <v/>
      </c>
      <c r="L245">
        <f>IF(OR(計分!L245="",計分!$AP245=""),"",計分!$AP245-計分!L245)</f>
        <v/>
      </c>
      <c r="M245">
        <f>IF(OR(計分!M245="",計分!$AP245=""),"",計分!$AP245-計分!M245)</f>
        <v/>
      </c>
      <c r="N245">
        <f>IF(OR(計分!N245="",計分!$AP245=""),"",計分!$AP245-計分!N245)</f>
        <v/>
      </c>
      <c r="O245">
        <f>IF(OR(計分!O245="",計分!$AP245=""),"",計分!$AP245-計分!O245)</f>
        <v/>
      </c>
      <c r="P245">
        <f>IF(OR(計分!P245="",計分!$AP245=""),"",計分!$AP245-計分!P245)</f>
        <v/>
      </c>
      <c r="Q245">
        <f>IF(OR(計分!Q245="",計分!$AP245=""),"",計分!$AP245-計分!Q245)</f>
        <v/>
      </c>
      <c r="R245">
        <f>IF(OR(計分!R245="",計分!$AP245=""),"",計分!$AP245-計分!R245)</f>
        <v/>
      </c>
      <c r="S245">
        <f>IF(OR(計分!S245="",計分!$AP245=""),"",計分!$AP245-計分!S245)</f>
        <v/>
      </c>
      <c r="T245">
        <f>IF(OR(計分!T245="",計分!$AP245=""),"",計分!$AP245-計分!T245)</f>
        <v/>
      </c>
      <c r="U245">
        <f>IF(OR(計分!U245="",計分!$AP245=""),"",計分!$AP245-計分!U245)</f>
        <v/>
      </c>
      <c r="V245">
        <f>IF(OR(計分!V245="",計分!$AP245=""),"",計分!$AP245-計分!V245)</f>
        <v/>
      </c>
      <c r="W245">
        <f>IF(OR(計分!W245="",計分!$AP245=""),"",計分!$AP245-計分!W245)</f>
        <v/>
      </c>
      <c r="X245">
        <f>IF(OR(計分!X245="",計分!$AP245=""),"",計分!$AP245-計分!X245)</f>
        <v/>
      </c>
      <c r="Y245">
        <f>IF(OR(計分!Y245="",計分!$AP245=""),"",計分!$AP245-計分!Y245)</f>
        <v/>
      </c>
      <c r="Z245">
        <f>IF(OR(計分!Z245="",計分!$AP245=""),"",計分!$AP245-計分!Z245)</f>
        <v/>
      </c>
      <c r="AA245">
        <f>IF(OR(計分!AA245="",計分!$AP245=""),"",計分!$AP245-計分!AA245)</f>
        <v/>
      </c>
      <c r="AB245">
        <f>IF(OR(計分!AB245="",計分!$AP245=""),"",計分!$AP245-計分!AB245)</f>
        <v/>
      </c>
      <c r="AC245">
        <f>IF(OR(計分!AC245="",計分!$AP245=""),"",計分!$AP245-計分!AC245)</f>
        <v/>
      </c>
      <c r="AD245">
        <f>IF(OR(計分!AD245="",計分!$AP245=""),"",計分!$AP245-計分!AD245)</f>
        <v/>
      </c>
      <c r="AE245">
        <f>IF(OR(計分!AE245="",計分!$AP245=""),"",計分!$AP245-計分!AE245)</f>
        <v/>
      </c>
      <c r="AF245">
        <f>IF(OR(計分!AF245="",計分!$AP245=""),"",計分!$AP245-計分!AF245)</f>
        <v/>
      </c>
      <c r="AG245">
        <f>IF(OR(計分!AG245="",計分!$AP245=""),"",計分!$AP245-計分!AG245)</f>
        <v/>
      </c>
      <c r="AH245">
        <f>IF(OR(計分!AH245="",計分!$AP245=""),"",計分!$AP245-計分!AH245)</f>
        <v/>
      </c>
      <c r="AI245">
        <f>IF(OR(計分!AI245="",計分!$AP245=""),"",計分!$AP245-計分!AI245)</f>
        <v/>
      </c>
      <c r="AJ245">
        <f>IF(OR(計分!AJ245="",計分!$AP245=""),"",計分!$AP245-計分!AJ245)</f>
        <v/>
      </c>
      <c r="AK245">
        <f>IF(OR(計分!AK245="",計分!$AP245=""),"",計分!$AP245-計分!AK245)</f>
        <v/>
      </c>
      <c r="AL245">
        <f>IF(OR(計分!AL245="",計分!$AP245=""),"",計分!$AP245-計分!AL245)</f>
        <v/>
      </c>
      <c r="AM245">
        <f>IF(OR(計分!AM245="",計分!$AP245=""),"",計分!$AP245-計分!AM245)</f>
        <v/>
      </c>
      <c r="AN245">
        <f>IF(OR(計分!AN245="",計分!$AP245=""),"",計分!$AP245-計分!AN245)</f>
        <v/>
      </c>
      <c r="AO245">
        <f>IF(OR(計分!AO245="",計分!$AP245=""),"",計分!$AP245-計分!AO245)</f>
        <v/>
      </c>
    </row>
    <row r="246">
      <c r="A246">
        <f>計分!A246</f>
        <v/>
      </c>
      <c r="B246">
        <f>IF(OR(計分!B246="",計分!$AP246=""),"",計分!$AP246-計分!B246)</f>
        <v/>
      </c>
      <c r="C246">
        <f>IF(OR(計分!C246="",計分!$AP246=""),"",計分!$AP246-計分!C246)</f>
        <v/>
      </c>
      <c r="D246">
        <f>IF(OR(計分!D246="",計分!$AP246=""),"",計分!$AP246-計分!D246)</f>
        <v/>
      </c>
      <c r="E246">
        <f>IF(OR(計分!E246="",計分!$AP246=""),"",計分!$AP246-計分!E246)</f>
        <v/>
      </c>
      <c r="F246">
        <f>IF(OR(計分!F246="",計分!$AP246=""),"",計分!$AP246-計分!F246)</f>
        <v/>
      </c>
      <c r="G246">
        <f>IF(OR(計分!G246="",計分!$AP246=""),"",計分!$AP246-計分!G246)</f>
        <v/>
      </c>
      <c r="H246">
        <f>IF(OR(計分!H246="",計分!$AP246=""),"",計分!$AP246-計分!H246)</f>
        <v/>
      </c>
      <c r="I246">
        <f>IF(OR(計分!I246="",計分!$AP246=""),"",計分!$AP246-計分!I246)</f>
        <v/>
      </c>
      <c r="J246">
        <f>IF(OR(計分!J246="",計分!$AP246=""),"",計分!$AP246-計分!J246)</f>
        <v/>
      </c>
      <c r="K246">
        <f>IF(OR(計分!K246="",計分!$AP246=""),"",計分!$AP246-計分!K246)</f>
        <v/>
      </c>
      <c r="L246">
        <f>IF(OR(計分!L246="",計分!$AP246=""),"",計分!$AP246-計分!L246)</f>
        <v/>
      </c>
      <c r="M246">
        <f>IF(OR(計分!M246="",計分!$AP246=""),"",計分!$AP246-計分!M246)</f>
        <v/>
      </c>
      <c r="N246">
        <f>IF(OR(計分!N246="",計分!$AP246=""),"",計分!$AP246-計分!N246)</f>
        <v/>
      </c>
      <c r="O246">
        <f>IF(OR(計分!O246="",計分!$AP246=""),"",計分!$AP246-計分!O246)</f>
        <v/>
      </c>
      <c r="P246">
        <f>IF(OR(計分!P246="",計分!$AP246=""),"",計分!$AP246-計分!P246)</f>
        <v/>
      </c>
      <c r="Q246">
        <f>IF(OR(計分!Q246="",計分!$AP246=""),"",計分!$AP246-計分!Q246)</f>
        <v/>
      </c>
      <c r="R246">
        <f>IF(OR(計分!R246="",計分!$AP246=""),"",計分!$AP246-計分!R246)</f>
        <v/>
      </c>
      <c r="S246">
        <f>IF(OR(計分!S246="",計分!$AP246=""),"",計分!$AP246-計分!S246)</f>
        <v/>
      </c>
      <c r="T246">
        <f>IF(OR(計分!T246="",計分!$AP246=""),"",計分!$AP246-計分!T246)</f>
        <v/>
      </c>
      <c r="U246">
        <f>IF(OR(計分!U246="",計分!$AP246=""),"",計分!$AP246-計分!U246)</f>
        <v/>
      </c>
      <c r="V246">
        <f>IF(OR(計分!V246="",計分!$AP246=""),"",計分!$AP246-計分!V246)</f>
        <v/>
      </c>
      <c r="W246">
        <f>IF(OR(計分!W246="",計分!$AP246=""),"",計分!$AP246-計分!W246)</f>
        <v/>
      </c>
      <c r="X246">
        <f>IF(OR(計分!X246="",計分!$AP246=""),"",計分!$AP246-計分!X246)</f>
        <v/>
      </c>
      <c r="Y246">
        <f>IF(OR(計分!Y246="",計分!$AP246=""),"",計分!$AP246-計分!Y246)</f>
        <v/>
      </c>
      <c r="Z246">
        <f>IF(OR(計分!Z246="",計分!$AP246=""),"",計分!$AP246-計分!Z246)</f>
        <v/>
      </c>
      <c r="AA246">
        <f>IF(OR(計分!AA246="",計分!$AP246=""),"",計分!$AP246-計分!AA246)</f>
        <v/>
      </c>
      <c r="AB246">
        <f>IF(OR(計分!AB246="",計分!$AP246=""),"",計分!$AP246-計分!AB246)</f>
        <v/>
      </c>
      <c r="AC246">
        <f>IF(OR(計分!AC246="",計分!$AP246=""),"",計分!$AP246-計分!AC246)</f>
        <v/>
      </c>
      <c r="AD246">
        <f>IF(OR(計分!AD246="",計分!$AP246=""),"",計分!$AP246-計分!AD246)</f>
        <v/>
      </c>
      <c r="AE246">
        <f>IF(OR(計分!AE246="",計分!$AP246=""),"",計分!$AP246-計分!AE246)</f>
        <v/>
      </c>
      <c r="AF246">
        <f>IF(OR(計分!AF246="",計分!$AP246=""),"",計分!$AP246-計分!AF246)</f>
        <v/>
      </c>
      <c r="AG246">
        <f>IF(OR(計分!AG246="",計分!$AP246=""),"",計分!$AP246-計分!AG246)</f>
        <v/>
      </c>
      <c r="AH246">
        <f>IF(OR(計分!AH246="",計分!$AP246=""),"",計分!$AP246-計分!AH246)</f>
        <v/>
      </c>
      <c r="AI246">
        <f>IF(OR(計分!AI246="",計分!$AP246=""),"",計分!$AP246-計分!AI246)</f>
        <v/>
      </c>
      <c r="AJ246">
        <f>IF(OR(計分!AJ246="",計分!$AP246=""),"",計分!$AP246-計分!AJ246)</f>
        <v/>
      </c>
      <c r="AK246">
        <f>IF(OR(計分!AK246="",計分!$AP246=""),"",計分!$AP246-計分!AK246)</f>
        <v/>
      </c>
      <c r="AL246">
        <f>IF(OR(計分!AL246="",計分!$AP246=""),"",計分!$AP246-計分!AL246)</f>
        <v/>
      </c>
      <c r="AM246">
        <f>IF(OR(計分!AM246="",計分!$AP246=""),"",計分!$AP246-計分!AM246)</f>
        <v/>
      </c>
      <c r="AN246">
        <f>IF(OR(計分!AN246="",計分!$AP246=""),"",計分!$AP246-計分!AN246)</f>
        <v/>
      </c>
      <c r="AO246">
        <f>IF(OR(計分!AO246="",計分!$AP246=""),"",計分!$AP246-計分!AO246)</f>
        <v/>
      </c>
    </row>
    <row r="247">
      <c r="A247">
        <f>計分!A247</f>
        <v/>
      </c>
      <c r="B247">
        <f>IF(OR(計分!B247="",計分!$AP247=""),"",計分!$AP247-計分!B247)</f>
        <v/>
      </c>
      <c r="C247">
        <f>IF(OR(計分!C247="",計分!$AP247=""),"",計分!$AP247-計分!C247)</f>
        <v/>
      </c>
      <c r="D247">
        <f>IF(OR(計分!D247="",計分!$AP247=""),"",計分!$AP247-計分!D247)</f>
        <v/>
      </c>
      <c r="E247">
        <f>IF(OR(計分!E247="",計分!$AP247=""),"",計分!$AP247-計分!E247)</f>
        <v/>
      </c>
      <c r="F247">
        <f>IF(OR(計分!F247="",計分!$AP247=""),"",計分!$AP247-計分!F247)</f>
        <v/>
      </c>
      <c r="G247">
        <f>IF(OR(計分!G247="",計分!$AP247=""),"",計分!$AP247-計分!G247)</f>
        <v/>
      </c>
      <c r="H247">
        <f>IF(OR(計分!H247="",計分!$AP247=""),"",計分!$AP247-計分!H247)</f>
        <v/>
      </c>
      <c r="I247">
        <f>IF(OR(計分!I247="",計分!$AP247=""),"",計分!$AP247-計分!I247)</f>
        <v/>
      </c>
      <c r="J247">
        <f>IF(OR(計分!J247="",計分!$AP247=""),"",計分!$AP247-計分!J247)</f>
        <v/>
      </c>
      <c r="K247">
        <f>IF(OR(計分!K247="",計分!$AP247=""),"",計分!$AP247-計分!K247)</f>
        <v/>
      </c>
      <c r="L247">
        <f>IF(OR(計分!L247="",計分!$AP247=""),"",計分!$AP247-計分!L247)</f>
        <v/>
      </c>
      <c r="M247">
        <f>IF(OR(計分!M247="",計分!$AP247=""),"",計分!$AP247-計分!M247)</f>
        <v/>
      </c>
      <c r="N247">
        <f>IF(OR(計分!N247="",計分!$AP247=""),"",計分!$AP247-計分!N247)</f>
        <v/>
      </c>
      <c r="O247">
        <f>IF(OR(計分!O247="",計分!$AP247=""),"",計分!$AP247-計分!O247)</f>
        <v/>
      </c>
      <c r="P247">
        <f>IF(OR(計分!P247="",計分!$AP247=""),"",計分!$AP247-計分!P247)</f>
        <v/>
      </c>
      <c r="Q247">
        <f>IF(OR(計分!Q247="",計分!$AP247=""),"",計分!$AP247-計分!Q247)</f>
        <v/>
      </c>
      <c r="R247">
        <f>IF(OR(計分!R247="",計分!$AP247=""),"",計分!$AP247-計分!R247)</f>
        <v/>
      </c>
      <c r="S247">
        <f>IF(OR(計分!S247="",計分!$AP247=""),"",計分!$AP247-計分!S247)</f>
        <v/>
      </c>
      <c r="T247">
        <f>IF(OR(計分!T247="",計分!$AP247=""),"",計分!$AP247-計分!T247)</f>
        <v/>
      </c>
      <c r="U247">
        <f>IF(OR(計分!U247="",計分!$AP247=""),"",計分!$AP247-計分!U247)</f>
        <v/>
      </c>
      <c r="V247">
        <f>IF(OR(計分!V247="",計分!$AP247=""),"",計分!$AP247-計分!V247)</f>
        <v/>
      </c>
      <c r="W247">
        <f>IF(OR(計分!W247="",計分!$AP247=""),"",計分!$AP247-計分!W247)</f>
        <v/>
      </c>
      <c r="X247">
        <f>IF(OR(計分!X247="",計分!$AP247=""),"",計分!$AP247-計分!X247)</f>
        <v/>
      </c>
      <c r="Y247">
        <f>IF(OR(計分!Y247="",計分!$AP247=""),"",計分!$AP247-計分!Y247)</f>
        <v/>
      </c>
      <c r="Z247">
        <f>IF(OR(計分!Z247="",計分!$AP247=""),"",計分!$AP247-計分!Z247)</f>
        <v/>
      </c>
      <c r="AA247">
        <f>IF(OR(計分!AA247="",計分!$AP247=""),"",計分!$AP247-計分!AA247)</f>
        <v/>
      </c>
      <c r="AB247">
        <f>IF(OR(計分!AB247="",計分!$AP247=""),"",計分!$AP247-計分!AB247)</f>
        <v/>
      </c>
      <c r="AC247">
        <f>IF(OR(計分!AC247="",計分!$AP247=""),"",計分!$AP247-計分!AC247)</f>
        <v/>
      </c>
      <c r="AD247">
        <f>IF(OR(計分!AD247="",計分!$AP247=""),"",計分!$AP247-計分!AD247)</f>
        <v/>
      </c>
      <c r="AE247">
        <f>IF(OR(計分!AE247="",計分!$AP247=""),"",計分!$AP247-計分!AE247)</f>
        <v/>
      </c>
      <c r="AF247">
        <f>IF(OR(計分!AF247="",計分!$AP247=""),"",計分!$AP247-計分!AF247)</f>
        <v/>
      </c>
      <c r="AG247">
        <f>IF(OR(計分!AG247="",計分!$AP247=""),"",計分!$AP247-計分!AG247)</f>
        <v/>
      </c>
      <c r="AH247">
        <f>IF(OR(計分!AH247="",計分!$AP247=""),"",計分!$AP247-計分!AH247)</f>
        <v/>
      </c>
      <c r="AI247">
        <f>IF(OR(計分!AI247="",計分!$AP247=""),"",計分!$AP247-計分!AI247)</f>
        <v/>
      </c>
      <c r="AJ247">
        <f>IF(OR(計分!AJ247="",計分!$AP247=""),"",計分!$AP247-計分!AJ247)</f>
        <v/>
      </c>
      <c r="AK247">
        <f>IF(OR(計分!AK247="",計分!$AP247=""),"",計分!$AP247-計分!AK247)</f>
        <v/>
      </c>
      <c r="AL247">
        <f>IF(OR(計分!AL247="",計分!$AP247=""),"",計分!$AP247-計分!AL247)</f>
        <v/>
      </c>
      <c r="AM247">
        <f>IF(OR(計分!AM247="",計分!$AP247=""),"",計分!$AP247-計分!AM247)</f>
        <v/>
      </c>
      <c r="AN247">
        <f>IF(OR(計分!AN247="",計分!$AP247=""),"",計分!$AP247-計分!AN247)</f>
        <v/>
      </c>
      <c r="AO247">
        <f>IF(OR(計分!AO247="",計分!$AP247=""),"",計分!$AP247-計分!AO247)</f>
        <v/>
      </c>
    </row>
    <row r="248">
      <c r="A248">
        <f>計分!A248</f>
        <v/>
      </c>
      <c r="B248">
        <f>IF(OR(計分!B248="",計分!$AP248=""),"",計分!$AP248-計分!B248)</f>
        <v/>
      </c>
      <c r="C248">
        <f>IF(OR(計分!C248="",計分!$AP248=""),"",計分!$AP248-計分!C248)</f>
        <v/>
      </c>
      <c r="D248">
        <f>IF(OR(計分!D248="",計分!$AP248=""),"",計分!$AP248-計分!D248)</f>
        <v/>
      </c>
      <c r="E248">
        <f>IF(OR(計分!E248="",計分!$AP248=""),"",計分!$AP248-計分!E248)</f>
        <v/>
      </c>
      <c r="F248">
        <f>IF(OR(計分!F248="",計分!$AP248=""),"",計分!$AP248-計分!F248)</f>
        <v/>
      </c>
      <c r="G248">
        <f>IF(OR(計分!G248="",計分!$AP248=""),"",計分!$AP248-計分!G248)</f>
        <v/>
      </c>
      <c r="H248">
        <f>IF(OR(計分!H248="",計分!$AP248=""),"",計分!$AP248-計分!H248)</f>
        <v/>
      </c>
      <c r="I248">
        <f>IF(OR(計分!I248="",計分!$AP248=""),"",計分!$AP248-計分!I248)</f>
        <v/>
      </c>
      <c r="J248">
        <f>IF(OR(計分!J248="",計分!$AP248=""),"",計分!$AP248-計分!J248)</f>
        <v/>
      </c>
      <c r="K248">
        <f>IF(OR(計分!K248="",計分!$AP248=""),"",計分!$AP248-計分!K248)</f>
        <v/>
      </c>
      <c r="L248">
        <f>IF(OR(計分!L248="",計分!$AP248=""),"",計分!$AP248-計分!L248)</f>
        <v/>
      </c>
      <c r="M248">
        <f>IF(OR(計分!M248="",計分!$AP248=""),"",計分!$AP248-計分!M248)</f>
        <v/>
      </c>
      <c r="N248">
        <f>IF(OR(計分!N248="",計分!$AP248=""),"",計分!$AP248-計分!N248)</f>
        <v/>
      </c>
      <c r="O248">
        <f>IF(OR(計分!O248="",計分!$AP248=""),"",計分!$AP248-計分!O248)</f>
        <v/>
      </c>
      <c r="P248">
        <f>IF(OR(計分!P248="",計分!$AP248=""),"",計分!$AP248-計分!P248)</f>
        <v/>
      </c>
      <c r="Q248">
        <f>IF(OR(計分!Q248="",計分!$AP248=""),"",計分!$AP248-計分!Q248)</f>
        <v/>
      </c>
      <c r="R248">
        <f>IF(OR(計分!R248="",計分!$AP248=""),"",計分!$AP248-計分!R248)</f>
        <v/>
      </c>
      <c r="S248">
        <f>IF(OR(計分!S248="",計分!$AP248=""),"",計分!$AP248-計分!S248)</f>
        <v/>
      </c>
      <c r="T248">
        <f>IF(OR(計分!T248="",計分!$AP248=""),"",計分!$AP248-計分!T248)</f>
        <v/>
      </c>
      <c r="U248">
        <f>IF(OR(計分!U248="",計分!$AP248=""),"",計分!$AP248-計分!U248)</f>
        <v/>
      </c>
      <c r="V248">
        <f>IF(OR(計分!V248="",計分!$AP248=""),"",計分!$AP248-計分!V248)</f>
        <v/>
      </c>
      <c r="W248">
        <f>IF(OR(計分!W248="",計分!$AP248=""),"",計分!$AP248-計分!W248)</f>
        <v/>
      </c>
      <c r="X248">
        <f>IF(OR(計分!X248="",計分!$AP248=""),"",計分!$AP248-計分!X248)</f>
        <v/>
      </c>
      <c r="Y248">
        <f>IF(OR(計分!Y248="",計分!$AP248=""),"",計分!$AP248-計分!Y248)</f>
        <v/>
      </c>
      <c r="Z248">
        <f>IF(OR(計分!Z248="",計分!$AP248=""),"",計分!$AP248-計分!Z248)</f>
        <v/>
      </c>
      <c r="AA248">
        <f>IF(OR(計分!AA248="",計分!$AP248=""),"",計分!$AP248-計分!AA248)</f>
        <v/>
      </c>
      <c r="AB248">
        <f>IF(OR(計分!AB248="",計分!$AP248=""),"",計分!$AP248-計分!AB248)</f>
        <v/>
      </c>
      <c r="AC248">
        <f>IF(OR(計分!AC248="",計分!$AP248=""),"",計分!$AP248-計分!AC248)</f>
        <v/>
      </c>
      <c r="AD248">
        <f>IF(OR(計分!AD248="",計分!$AP248=""),"",計分!$AP248-計分!AD248)</f>
        <v/>
      </c>
      <c r="AE248">
        <f>IF(OR(計分!AE248="",計分!$AP248=""),"",計分!$AP248-計分!AE248)</f>
        <v/>
      </c>
      <c r="AF248">
        <f>IF(OR(計分!AF248="",計分!$AP248=""),"",計分!$AP248-計分!AF248)</f>
        <v/>
      </c>
      <c r="AG248">
        <f>IF(OR(計分!AG248="",計分!$AP248=""),"",計分!$AP248-計分!AG248)</f>
        <v/>
      </c>
      <c r="AH248">
        <f>IF(OR(計分!AH248="",計分!$AP248=""),"",計分!$AP248-計分!AH248)</f>
        <v/>
      </c>
      <c r="AI248">
        <f>IF(OR(計分!AI248="",計分!$AP248=""),"",計分!$AP248-計分!AI248)</f>
        <v/>
      </c>
      <c r="AJ248">
        <f>IF(OR(計分!AJ248="",計分!$AP248=""),"",計分!$AP248-計分!AJ248)</f>
        <v/>
      </c>
      <c r="AK248">
        <f>IF(OR(計分!AK248="",計分!$AP248=""),"",計分!$AP248-計分!AK248)</f>
        <v/>
      </c>
      <c r="AL248">
        <f>IF(OR(計分!AL248="",計分!$AP248=""),"",計分!$AP248-計分!AL248)</f>
        <v/>
      </c>
      <c r="AM248">
        <f>IF(OR(計分!AM248="",計分!$AP248=""),"",計分!$AP248-計分!AM248)</f>
        <v/>
      </c>
      <c r="AN248">
        <f>IF(OR(計分!AN248="",計分!$AP248=""),"",計分!$AP248-計分!AN248)</f>
        <v/>
      </c>
      <c r="AO248">
        <f>IF(OR(計分!AO248="",計分!$AP248=""),"",計分!$AP248-計分!AO248)</f>
        <v/>
      </c>
    </row>
    <row r="249">
      <c r="A249">
        <f>計分!A249</f>
        <v/>
      </c>
      <c r="B249">
        <f>IF(OR(計分!B249="",計分!$AP249=""),"",計分!$AP249-計分!B249)</f>
        <v/>
      </c>
      <c r="C249">
        <f>IF(OR(計分!C249="",計分!$AP249=""),"",計分!$AP249-計分!C249)</f>
        <v/>
      </c>
      <c r="D249">
        <f>IF(OR(計分!D249="",計分!$AP249=""),"",計分!$AP249-計分!D249)</f>
        <v/>
      </c>
      <c r="E249">
        <f>IF(OR(計分!E249="",計分!$AP249=""),"",計分!$AP249-計分!E249)</f>
        <v/>
      </c>
      <c r="F249">
        <f>IF(OR(計分!F249="",計分!$AP249=""),"",計分!$AP249-計分!F249)</f>
        <v/>
      </c>
      <c r="G249">
        <f>IF(OR(計分!G249="",計分!$AP249=""),"",計分!$AP249-計分!G249)</f>
        <v/>
      </c>
      <c r="H249">
        <f>IF(OR(計分!H249="",計分!$AP249=""),"",計分!$AP249-計分!H249)</f>
        <v/>
      </c>
      <c r="I249">
        <f>IF(OR(計分!I249="",計分!$AP249=""),"",計分!$AP249-計分!I249)</f>
        <v/>
      </c>
      <c r="J249">
        <f>IF(OR(計分!J249="",計分!$AP249=""),"",計分!$AP249-計分!J249)</f>
        <v/>
      </c>
      <c r="K249">
        <f>IF(OR(計分!K249="",計分!$AP249=""),"",計分!$AP249-計分!K249)</f>
        <v/>
      </c>
      <c r="L249">
        <f>IF(OR(計分!L249="",計分!$AP249=""),"",計分!$AP249-計分!L249)</f>
        <v/>
      </c>
      <c r="M249">
        <f>IF(OR(計分!M249="",計分!$AP249=""),"",計分!$AP249-計分!M249)</f>
        <v/>
      </c>
      <c r="N249">
        <f>IF(OR(計分!N249="",計分!$AP249=""),"",計分!$AP249-計分!N249)</f>
        <v/>
      </c>
      <c r="O249">
        <f>IF(OR(計分!O249="",計分!$AP249=""),"",計分!$AP249-計分!O249)</f>
        <v/>
      </c>
      <c r="P249">
        <f>IF(OR(計分!P249="",計分!$AP249=""),"",計分!$AP249-計分!P249)</f>
        <v/>
      </c>
      <c r="Q249">
        <f>IF(OR(計分!Q249="",計分!$AP249=""),"",計分!$AP249-計分!Q249)</f>
        <v/>
      </c>
      <c r="R249">
        <f>IF(OR(計分!R249="",計分!$AP249=""),"",計分!$AP249-計分!R249)</f>
        <v/>
      </c>
      <c r="S249">
        <f>IF(OR(計分!S249="",計分!$AP249=""),"",計分!$AP249-計分!S249)</f>
        <v/>
      </c>
      <c r="T249">
        <f>IF(OR(計分!T249="",計分!$AP249=""),"",計分!$AP249-計分!T249)</f>
        <v/>
      </c>
      <c r="U249">
        <f>IF(OR(計分!U249="",計分!$AP249=""),"",計分!$AP249-計分!U249)</f>
        <v/>
      </c>
      <c r="V249">
        <f>IF(OR(計分!V249="",計分!$AP249=""),"",計分!$AP249-計分!V249)</f>
        <v/>
      </c>
      <c r="W249">
        <f>IF(OR(計分!W249="",計分!$AP249=""),"",計分!$AP249-計分!W249)</f>
        <v/>
      </c>
      <c r="X249">
        <f>IF(OR(計分!X249="",計分!$AP249=""),"",計分!$AP249-計分!X249)</f>
        <v/>
      </c>
      <c r="Y249">
        <f>IF(OR(計分!Y249="",計分!$AP249=""),"",計分!$AP249-計分!Y249)</f>
        <v/>
      </c>
      <c r="Z249">
        <f>IF(OR(計分!Z249="",計分!$AP249=""),"",計分!$AP249-計分!Z249)</f>
        <v/>
      </c>
      <c r="AA249">
        <f>IF(OR(計分!AA249="",計分!$AP249=""),"",計分!$AP249-計分!AA249)</f>
        <v/>
      </c>
      <c r="AB249">
        <f>IF(OR(計分!AB249="",計分!$AP249=""),"",計分!$AP249-計分!AB249)</f>
        <v/>
      </c>
      <c r="AC249">
        <f>IF(OR(計分!AC249="",計分!$AP249=""),"",計分!$AP249-計分!AC249)</f>
        <v/>
      </c>
      <c r="AD249">
        <f>IF(OR(計分!AD249="",計分!$AP249=""),"",計分!$AP249-計分!AD249)</f>
        <v/>
      </c>
      <c r="AE249">
        <f>IF(OR(計分!AE249="",計分!$AP249=""),"",計分!$AP249-計分!AE249)</f>
        <v/>
      </c>
      <c r="AF249">
        <f>IF(OR(計分!AF249="",計分!$AP249=""),"",計分!$AP249-計分!AF249)</f>
        <v/>
      </c>
      <c r="AG249">
        <f>IF(OR(計分!AG249="",計分!$AP249=""),"",計分!$AP249-計分!AG249)</f>
        <v/>
      </c>
      <c r="AH249">
        <f>IF(OR(計分!AH249="",計分!$AP249=""),"",計分!$AP249-計分!AH249)</f>
        <v/>
      </c>
      <c r="AI249">
        <f>IF(OR(計分!AI249="",計分!$AP249=""),"",計分!$AP249-計分!AI249)</f>
        <v/>
      </c>
      <c r="AJ249">
        <f>IF(OR(計分!AJ249="",計分!$AP249=""),"",計分!$AP249-計分!AJ249)</f>
        <v/>
      </c>
      <c r="AK249">
        <f>IF(OR(計分!AK249="",計分!$AP249=""),"",計分!$AP249-計分!AK249)</f>
        <v/>
      </c>
      <c r="AL249">
        <f>IF(OR(計分!AL249="",計分!$AP249=""),"",計分!$AP249-計分!AL249)</f>
        <v/>
      </c>
      <c r="AM249">
        <f>IF(OR(計分!AM249="",計分!$AP249=""),"",計分!$AP249-計分!AM249)</f>
        <v/>
      </c>
      <c r="AN249">
        <f>IF(OR(計分!AN249="",計分!$AP249=""),"",計分!$AP249-計分!AN249)</f>
        <v/>
      </c>
      <c r="AO249">
        <f>IF(OR(計分!AO249="",計分!$AP249=""),"",計分!$AP249-計分!AO249)</f>
        <v/>
      </c>
    </row>
    <row r="250">
      <c r="A250">
        <f>計分!A250</f>
        <v/>
      </c>
      <c r="B250">
        <f>IF(OR(計分!B250="",計分!$AP250=""),"",計分!$AP250-計分!B250)</f>
        <v/>
      </c>
      <c r="C250">
        <f>IF(OR(計分!C250="",計分!$AP250=""),"",計分!$AP250-計分!C250)</f>
        <v/>
      </c>
      <c r="D250">
        <f>IF(OR(計分!D250="",計分!$AP250=""),"",計分!$AP250-計分!D250)</f>
        <v/>
      </c>
      <c r="E250">
        <f>IF(OR(計分!E250="",計分!$AP250=""),"",計分!$AP250-計分!E250)</f>
        <v/>
      </c>
      <c r="F250">
        <f>IF(OR(計分!F250="",計分!$AP250=""),"",計分!$AP250-計分!F250)</f>
        <v/>
      </c>
      <c r="G250">
        <f>IF(OR(計分!G250="",計分!$AP250=""),"",計分!$AP250-計分!G250)</f>
        <v/>
      </c>
      <c r="H250">
        <f>IF(OR(計分!H250="",計分!$AP250=""),"",計分!$AP250-計分!H250)</f>
        <v/>
      </c>
      <c r="I250">
        <f>IF(OR(計分!I250="",計分!$AP250=""),"",計分!$AP250-計分!I250)</f>
        <v/>
      </c>
      <c r="J250">
        <f>IF(OR(計分!J250="",計分!$AP250=""),"",計分!$AP250-計分!J250)</f>
        <v/>
      </c>
      <c r="K250">
        <f>IF(OR(計分!K250="",計分!$AP250=""),"",計分!$AP250-計分!K250)</f>
        <v/>
      </c>
      <c r="L250">
        <f>IF(OR(計分!L250="",計分!$AP250=""),"",計分!$AP250-計分!L250)</f>
        <v/>
      </c>
      <c r="M250">
        <f>IF(OR(計分!M250="",計分!$AP250=""),"",計分!$AP250-計分!M250)</f>
        <v/>
      </c>
      <c r="N250">
        <f>IF(OR(計分!N250="",計分!$AP250=""),"",計分!$AP250-計分!N250)</f>
        <v/>
      </c>
      <c r="O250">
        <f>IF(OR(計分!O250="",計分!$AP250=""),"",計分!$AP250-計分!O250)</f>
        <v/>
      </c>
      <c r="P250">
        <f>IF(OR(計分!P250="",計分!$AP250=""),"",計分!$AP250-計分!P250)</f>
        <v/>
      </c>
      <c r="Q250">
        <f>IF(OR(計分!Q250="",計分!$AP250=""),"",計分!$AP250-計分!Q250)</f>
        <v/>
      </c>
      <c r="R250">
        <f>IF(OR(計分!R250="",計分!$AP250=""),"",計分!$AP250-計分!R250)</f>
        <v/>
      </c>
      <c r="S250">
        <f>IF(OR(計分!S250="",計分!$AP250=""),"",計分!$AP250-計分!S250)</f>
        <v/>
      </c>
      <c r="T250">
        <f>IF(OR(計分!T250="",計分!$AP250=""),"",計分!$AP250-計分!T250)</f>
        <v/>
      </c>
      <c r="U250">
        <f>IF(OR(計分!U250="",計分!$AP250=""),"",計分!$AP250-計分!U250)</f>
        <v/>
      </c>
      <c r="V250">
        <f>IF(OR(計分!V250="",計分!$AP250=""),"",計分!$AP250-計分!V250)</f>
        <v/>
      </c>
      <c r="W250">
        <f>IF(OR(計分!W250="",計分!$AP250=""),"",計分!$AP250-計分!W250)</f>
        <v/>
      </c>
      <c r="X250">
        <f>IF(OR(計分!X250="",計分!$AP250=""),"",計分!$AP250-計分!X250)</f>
        <v/>
      </c>
      <c r="Y250">
        <f>IF(OR(計分!Y250="",計分!$AP250=""),"",計分!$AP250-計分!Y250)</f>
        <v/>
      </c>
      <c r="Z250">
        <f>IF(OR(計分!Z250="",計分!$AP250=""),"",計分!$AP250-計分!Z250)</f>
        <v/>
      </c>
      <c r="AA250">
        <f>IF(OR(計分!AA250="",計分!$AP250=""),"",計分!$AP250-計分!AA250)</f>
        <v/>
      </c>
      <c r="AB250">
        <f>IF(OR(計分!AB250="",計分!$AP250=""),"",計分!$AP250-計分!AB250)</f>
        <v/>
      </c>
      <c r="AC250">
        <f>IF(OR(計分!AC250="",計分!$AP250=""),"",計分!$AP250-計分!AC250)</f>
        <v/>
      </c>
      <c r="AD250">
        <f>IF(OR(計分!AD250="",計分!$AP250=""),"",計分!$AP250-計分!AD250)</f>
        <v/>
      </c>
      <c r="AE250">
        <f>IF(OR(計分!AE250="",計分!$AP250=""),"",計分!$AP250-計分!AE250)</f>
        <v/>
      </c>
      <c r="AF250">
        <f>IF(OR(計分!AF250="",計分!$AP250=""),"",計分!$AP250-計分!AF250)</f>
        <v/>
      </c>
      <c r="AG250">
        <f>IF(OR(計分!AG250="",計分!$AP250=""),"",計分!$AP250-計分!AG250)</f>
        <v/>
      </c>
      <c r="AH250">
        <f>IF(OR(計分!AH250="",計分!$AP250=""),"",計分!$AP250-計分!AH250)</f>
        <v/>
      </c>
      <c r="AI250">
        <f>IF(OR(計分!AI250="",計分!$AP250=""),"",計分!$AP250-計分!AI250)</f>
        <v/>
      </c>
      <c r="AJ250">
        <f>IF(OR(計分!AJ250="",計分!$AP250=""),"",計分!$AP250-計分!AJ250)</f>
        <v/>
      </c>
      <c r="AK250">
        <f>IF(OR(計分!AK250="",計分!$AP250=""),"",計分!$AP250-計分!AK250)</f>
        <v/>
      </c>
      <c r="AL250">
        <f>IF(OR(計分!AL250="",計分!$AP250=""),"",計分!$AP250-計分!AL250)</f>
        <v/>
      </c>
      <c r="AM250">
        <f>IF(OR(計分!AM250="",計分!$AP250=""),"",計分!$AP250-計分!AM250)</f>
        <v/>
      </c>
      <c r="AN250">
        <f>IF(OR(計分!AN250="",計分!$AP250=""),"",計分!$AP250-計分!AN250)</f>
        <v/>
      </c>
      <c r="AO250">
        <f>IF(OR(計分!AO250="",計分!$AP250=""),"",計分!$AP250-計分!AO250)</f>
        <v/>
      </c>
    </row>
    <row r="251">
      <c r="A251">
        <f>計分!A251</f>
        <v/>
      </c>
      <c r="B251">
        <f>IF(OR(計分!B251="",計分!$AP251=""),"",計分!$AP251-計分!B251)</f>
        <v/>
      </c>
      <c r="C251">
        <f>IF(OR(計分!C251="",計分!$AP251=""),"",計分!$AP251-計分!C251)</f>
        <v/>
      </c>
      <c r="D251">
        <f>IF(OR(計分!D251="",計分!$AP251=""),"",計分!$AP251-計分!D251)</f>
        <v/>
      </c>
      <c r="E251">
        <f>IF(OR(計分!E251="",計分!$AP251=""),"",計分!$AP251-計分!E251)</f>
        <v/>
      </c>
      <c r="F251">
        <f>IF(OR(計分!F251="",計分!$AP251=""),"",計分!$AP251-計分!F251)</f>
        <v/>
      </c>
      <c r="G251">
        <f>IF(OR(計分!G251="",計分!$AP251=""),"",計分!$AP251-計分!G251)</f>
        <v/>
      </c>
      <c r="H251">
        <f>IF(OR(計分!H251="",計分!$AP251=""),"",計分!$AP251-計分!H251)</f>
        <v/>
      </c>
      <c r="I251">
        <f>IF(OR(計分!I251="",計分!$AP251=""),"",計分!$AP251-計分!I251)</f>
        <v/>
      </c>
      <c r="J251">
        <f>IF(OR(計分!J251="",計分!$AP251=""),"",計分!$AP251-計分!J251)</f>
        <v/>
      </c>
      <c r="K251">
        <f>IF(OR(計分!K251="",計分!$AP251=""),"",計分!$AP251-計分!K251)</f>
        <v/>
      </c>
      <c r="L251">
        <f>IF(OR(計分!L251="",計分!$AP251=""),"",計分!$AP251-計分!L251)</f>
        <v/>
      </c>
      <c r="M251">
        <f>IF(OR(計分!M251="",計分!$AP251=""),"",計分!$AP251-計分!M251)</f>
        <v/>
      </c>
      <c r="N251">
        <f>IF(OR(計分!N251="",計分!$AP251=""),"",計分!$AP251-計分!N251)</f>
        <v/>
      </c>
      <c r="O251">
        <f>IF(OR(計分!O251="",計分!$AP251=""),"",計分!$AP251-計分!O251)</f>
        <v/>
      </c>
      <c r="P251">
        <f>IF(OR(計分!P251="",計分!$AP251=""),"",計分!$AP251-計分!P251)</f>
        <v/>
      </c>
      <c r="Q251">
        <f>IF(OR(計分!Q251="",計分!$AP251=""),"",計分!$AP251-計分!Q251)</f>
        <v/>
      </c>
      <c r="R251">
        <f>IF(OR(計分!R251="",計分!$AP251=""),"",計分!$AP251-計分!R251)</f>
        <v/>
      </c>
      <c r="S251">
        <f>IF(OR(計分!S251="",計分!$AP251=""),"",計分!$AP251-計分!S251)</f>
        <v/>
      </c>
      <c r="T251">
        <f>IF(OR(計分!T251="",計分!$AP251=""),"",計分!$AP251-計分!T251)</f>
        <v/>
      </c>
      <c r="U251">
        <f>IF(OR(計分!U251="",計分!$AP251=""),"",計分!$AP251-計分!U251)</f>
        <v/>
      </c>
      <c r="V251">
        <f>IF(OR(計分!V251="",計分!$AP251=""),"",計分!$AP251-計分!V251)</f>
        <v/>
      </c>
      <c r="W251">
        <f>IF(OR(計分!W251="",計分!$AP251=""),"",計分!$AP251-計分!W251)</f>
        <v/>
      </c>
      <c r="X251">
        <f>IF(OR(計分!X251="",計分!$AP251=""),"",計分!$AP251-計分!X251)</f>
        <v/>
      </c>
      <c r="Y251">
        <f>IF(OR(計分!Y251="",計分!$AP251=""),"",計分!$AP251-計分!Y251)</f>
        <v/>
      </c>
      <c r="Z251">
        <f>IF(OR(計分!Z251="",計分!$AP251=""),"",計分!$AP251-計分!Z251)</f>
        <v/>
      </c>
      <c r="AA251">
        <f>IF(OR(計分!AA251="",計分!$AP251=""),"",計分!$AP251-計分!AA251)</f>
        <v/>
      </c>
      <c r="AB251">
        <f>IF(OR(計分!AB251="",計分!$AP251=""),"",計分!$AP251-計分!AB251)</f>
        <v/>
      </c>
      <c r="AC251">
        <f>IF(OR(計分!AC251="",計分!$AP251=""),"",計分!$AP251-計分!AC251)</f>
        <v/>
      </c>
      <c r="AD251">
        <f>IF(OR(計分!AD251="",計分!$AP251=""),"",計分!$AP251-計分!AD251)</f>
        <v/>
      </c>
      <c r="AE251">
        <f>IF(OR(計分!AE251="",計分!$AP251=""),"",計分!$AP251-計分!AE251)</f>
        <v/>
      </c>
      <c r="AF251">
        <f>IF(OR(計分!AF251="",計分!$AP251=""),"",計分!$AP251-計分!AF251)</f>
        <v/>
      </c>
      <c r="AG251">
        <f>IF(OR(計分!AG251="",計分!$AP251=""),"",計分!$AP251-計分!AG251)</f>
        <v/>
      </c>
      <c r="AH251">
        <f>IF(OR(計分!AH251="",計分!$AP251=""),"",計分!$AP251-計分!AH251)</f>
        <v/>
      </c>
      <c r="AI251">
        <f>IF(OR(計分!AI251="",計分!$AP251=""),"",計分!$AP251-計分!AI251)</f>
        <v/>
      </c>
      <c r="AJ251">
        <f>IF(OR(計分!AJ251="",計分!$AP251=""),"",計分!$AP251-計分!AJ251)</f>
        <v/>
      </c>
      <c r="AK251">
        <f>IF(OR(計分!AK251="",計分!$AP251=""),"",計分!$AP251-計分!AK251)</f>
        <v/>
      </c>
      <c r="AL251">
        <f>IF(OR(計分!AL251="",計分!$AP251=""),"",計分!$AP251-計分!AL251)</f>
        <v/>
      </c>
      <c r="AM251">
        <f>IF(OR(計分!AM251="",計分!$AP251=""),"",計分!$AP251-計分!AM251)</f>
        <v/>
      </c>
      <c r="AN251">
        <f>IF(OR(計分!AN251="",計分!$AP251=""),"",計分!$AP251-計分!AN251)</f>
        <v/>
      </c>
      <c r="AO251">
        <f>IF(OR(計分!AO251="",計分!$AP251=""),"",計分!$AP251-計分!AO251)</f>
        <v/>
      </c>
    </row>
    <row r="252">
      <c r="A252">
        <f>計分!A252</f>
        <v/>
      </c>
      <c r="B252">
        <f>IF(OR(計分!B252="",計分!$AP252=""),"",計分!$AP252-計分!B252)</f>
        <v/>
      </c>
      <c r="C252">
        <f>IF(OR(計分!C252="",計分!$AP252=""),"",計分!$AP252-計分!C252)</f>
        <v/>
      </c>
      <c r="D252">
        <f>IF(OR(計分!D252="",計分!$AP252=""),"",計分!$AP252-計分!D252)</f>
        <v/>
      </c>
      <c r="E252">
        <f>IF(OR(計分!E252="",計分!$AP252=""),"",計分!$AP252-計分!E252)</f>
        <v/>
      </c>
      <c r="F252">
        <f>IF(OR(計分!F252="",計分!$AP252=""),"",計分!$AP252-計分!F252)</f>
        <v/>
      </c>
      <c r="G252">
        <f>IF(OR(計分!G252="",計分!$AP252=""),"",計分!$AP252-計分!G252)</f>
        <v/>
      </c>
      <c r="H252">
        <f>IF(OR(計分!H252="",計分!$AP252=""),"",計分!$AP252-計分!H252)</f>
        <v/>
      </c>
      <c r="I252">
        <f>IF(OR(計分!I252="",計分!$AP252=""),"",計分!$AP252-計分!I252)</f>
        <v/>
      </c>
      <c r="J252">
        <f>IF(OR(計分!J252="",計分!$AP252=""),"",計分!$AP252-計分!J252)</f>
        <v/>
      </c>
      <c r="K252">
        <f>IF(OR(計分!K252="",計分!$AP252=""),"",計分!$AP252-計分!K252)</f>
        <v/>
      </c>
      <c r="L252">
        <f>IF(OR(計分!L252="",計分!$AP252=""),"",計分!$AP252-計分!L252)</f>
        <v/>
      </c>
      <c r="M252">
        <f>IF(OR(計分!M252="",計分!$AP252=""),"",計分!$AP252-計分!M252)</f>
        <v/>
      </c>
      <c r="N252">
        <f>IF(OR(計分!N252="",計分!$AP252=""),"",計分!$AP252-計分!N252)</f>
        <v/>
      </c>
      <c r="O252">
        <f>IF(OR(計分!O252="",計分!$AP252=""),"",計分!$AP252-計分!O252)</f>
        <v/>
      </c>
      <c r="P252">
        <f>IF(OR(計分!P252="",計分!$AP252=""),"",計分!$AP252-計分!P252)</f>
        <v/>
      </c>
      <c r="Q252">
        <f>IF(OR(計分!Q252="",計分!$AP252=""),"",計分!$AP252-計分!Q252)</f>
        <v/>
      </c>
      <c r="R252">
        <f>IF(OR(計分!R252="",計分!$AP252=""),"",計分!$AP252-計分!R252)</f>
        <v/>
      </c>
      <c r="S252">
        <f>IF(OR(計分!S252="",計分!$AP252=""),"",計分!$AP252-計分!S252)</f>
        <v/>
      </c>
      <c r="T252">
        <f>IF(OR(計分!T252="",計分!$AP252=""),"",計分!$AP252-計分!T252)</f>
        <v/>
      </c>
      <c r="U252">
        <f>IF(OR(計分!U252="",計分!$AP252=""),"",計分!$AP252-計分!U252)</f>
        <v/>
      </c>
      <c r="V252">
        <f>IF(OR(計分!V252="",計分!$AP252=""),"",計分!$AP252-計分!V252)</f>
        <v/>
      </c>
      <c r="W252">
        <f>IF(OR(計分!W252="",計分!$AP252=""),"",計分!$AP252-計分!W252)</f>
        <v/>
      </c>
      <c r="X252">
        <f>IF(OR(計分!X252="",計分!$AP252=""),"",計分!$AP252-計分!X252)</f>
        <v/>
      </c>
      <c r="Y252">
        <f>IF(OR(計分!Y252="",計分!$AP252=""),"",計分!$AP252-計分!Y252)</f>
        <v/>
      </c>
      <c r="Z252">
        <f>IF(OR(計分!Z252="",計分!$AP252=""),"",計分!$AP252-計分!Z252)</f>
        <v/>
      </c>
      <c r="AA252">
        <f>IF(OR(計分!AA252="",計分!$AP252=""),"",計分!$AP252-計分!AA252)</f>
        <v/>
      </c>
      <c r="AB252">
        <f>IF(OR(計分!AB252="",計分!$AP252=""),"",計分!$AP252-計分!AB252)</f>
        <v/>
      </c>
      <c r="AC252">
        <f>IF(OR(計分!AC252="",計分!$AP252=""),"",計分!$AP252-計分!AC252)</f>
        <v/>
      </c>
      <c r="AD252">
        <f>IF(OR(計分!AD252="",計分!$AP252=""),"",計分!$AP252-計分!AD252)</f>
        <v/>
      </c>
      <c r="AE252">
        <f>IF(OR(計分!AE252="",計分!$AP252=""),"",計分!$AP252-計分!AE252)</f>
        <v/>
      </c>
      <c r="AF252">
        <f>IF(OR(計分!AF252="",計分!$AP252=""),"",計分!$AP252-計分!AF252)</f>
        <v/>
      </c>
      <c r="AG252">
        <f>IF(OR(計分!AG252="",計分!$AP252=""),"",計分!$AP252-計分!AG252)</f>
        <v/>
      </c>
      <c r="AH252">
        <f>IF(OR(計分!AH252="",計分!$AP252=""),"",計分!$AP252-計分!AH252)</f>
        <v/>
      </c>
      <c r="AI252">
        <f>IF(OR(計分!AI252="",計分!$AP252=""),"",計分!$AP252-計分!AI252)</f>
        <v/>
      </c>
      <c r="AJ252">
        <f>IF(OR(計分!AJ252="",計分!$AP252=""),"",計分!$AP252-計分!AJ252)</f>
        <v/>
      </c>
      <c r="AK252">
        <f>IF(OR(計分!AK252="",計分!$AP252=""),"",計分!$AP252-計分!AK252)</f>
        <v/>
      </c>
      <c r="AL252">
        <f>IF(OR(計分!AL252="",計分!$AP252=""),"",計分!$AP252-計分!AL252)</f>
        <v/>
      </c>
      <c r="AM252">
        <f>IF(OR(計分!AM252="",計分!$AP252=""),"",計分!$AP252-計分!AM252)</f>
        <v/>
      </c>
      <c r="AN252">
        <f>IF(OR(計分!AN252="",計分!$AP252=""),"",計分!$AP252-計分!AN252)</f>
        <v/>
      </c>
      <c r="AO252">
        <f>IF(OR(計分!AO252="",計分!$AP252=""),"",計分!$AP252-計分!AO252)</f>
        <v/>
      </c>
    </row>
    <row r="253">
      <c r="A253">
        <f>計分!A253</f>
        <v/>
      </c>
      <c r="B253">
        <f>IF(OR(計分!B253="",計分!$AP253=""),"",計分!$AP253-計分!B253)</f>
        <v/>
      </c>
      <c r="C253">
        <f>IF(OR(計分!C253="",計分!$AP253=""),"",計分!$AP253-計分!C253)</f>
        <v/>
      </c>
      <c r="D253">
        <f>IF(OR(計分!D253="",計分!$AP253=""),"",計分!$AP253-計分!D253)</f>
        <v/>
      </c>
      <c r="E253">
        <f>IF(OR(計分!E253="",計分!$AP253=""),"",計分!$AP253-計分!E253)</f>
        <v/>
      </c>
      <c r="F253">
        <f>IF(OR(計分!F253="",計分!$AP253=""),"",計分!$AP253-計分!F253)</f>
        <v/>
      </c>
      <c r="G253">
        <f>IF(OR(計分!G253="",計分!$AP253=""),"",計分!$AP253-計分!G253)</f>
        <v/>
      </c>
      <c r="H253">
        <f>IF(OR(計分!H253="",計分!$AP253=""),"",計分!$AP253-計分!H253)</f>
        <v/>
      </c>
      <c r="I253">
        <f>IF(OR(計分!I253="",計分!$AP253=""),"",計分!$AP253-計分!I253)</f>
        <v/>
      </c>
      <c r="J253">
        <f>IF(OR(計分!J253="",計分!$AP253=""),"",計分!$AP253-計分!J253)</f>
        <v/>
      </c>
      <c r="K253">
        <f>IF(OR(計分!K253="",計分!$AP253=""),"",計分!$AP253-計分!K253)</f>
        <v/>
      </c>
      <c r="L253">
        <f>IF(OR(計分!L253="",計分!$AP253=""),"",計分!$AP253-計分!L253)</f>
        <v/>
      </c>
      <c r="M253">
        <f>IF(OR(計分!M253="",計分!$AP253=""),"",計分!$AP253-計分!M253)</f>
        <v/>
      </c>
      <c r="N253">
        <f>IF(OR(計分!N253="",計分!$AP253=""),"",計分!$AP253-計分!N253)</f>
        <v/>
      </c>
      <c r="O253">
        <f>IF(OR(計分!O253="",計分!$AP253=""),"",計分!$AP253-計分!O253)</f>
        <v/>
      </c>
      <c r="P253">
        <f>IF(OR(計分!P253="",計分!$AP253=""),"",計分!$AP253-計分!P253)</f>
        <v/>
      </c>
      <c r="Q253">
        <f>IF(OR(計分!Q253="",計分!$AP253=""),"",計分!$AP253-計分!Q253)</f>
        <v/>
      </c>
      <c r="R253">
        <f>IF(OR(計分!R253="",計分!$AP253=""),"",計分!$AP253-計分!R253)</f>
        <v/>
      </c>
      <c r="S253">
        <f>IF(OR(計分!S253="",計分!$AP253=""),"",計分!$AP253-計分!S253)</f>
        <v/>
      </c>
      <c r="T253">
        <f>IF(OR(計分!T253="",計分!$AP253=""),"",計分!$AP253-計分!T253)</f>
        <v/>
      </c>
      <c r="U253">
        <f>IF(OR(計分!U253="",計分!$AP253=""),"",計分!$AP253-計分!U253)</f>
        <v/>
      </c>
      <c r="V253">
        <f>IF(OR(計分!V253="",計分!$AP253=""),"",計分!$AP253-計分!V253)</f>
        <v/>
      </c>
      <c r="W253">
        <f>IF(OR(計分!W253="",計分!$AP253=""),"",計分!$AP253-計分!W253)</f>
        <v/>
      </c>
      <c r="X253">
        <f>IF(OR(計分!X253="",計分!$AP253=""),"",計分!$AP253-計分!X253)</f>
        <v/>
      </c>
      <c r="Y253">
        <f>IF(OR(計分!Y253="",計分!$AP253=""),"",計分!$AP253-計分!Y253)</f>
        <v/>
      </c>
      <c r="Z253">
        <f>IF(OR(計分!Z253="",計分!$AP253=""),"",計分!$AP253-計分!Z253)</f>
        <v/>
      </c>
      <c r="AA253">
        <f>IF(OR(計分!AA253="",計分!$AP253=""),"",計分!$AP253-計分!AA253)</f>
        <v/>
      </c>
      <c r="AB253">
        <f>IF(OR(計分!AB253="",計分!$AP253=""),"",計分!$AP253-計分!AB253)</f>
        <v/>
      </c>
      <c r="AC253">
        <f>IF(OR(計分!AC253="",計分!$AP253=""),"",計分!$AP253-計分!AC253)</f>
        <v/>
      </c>
      <c r="AD253">
        <f>IF(OR(計分!AD253="",計分!$AP253=""),"",計分!$AP253-計分!AD253)</f>
        <v/>
      </c>
      <c r="AE253">
        <f>IF(OR(計分!AE253="",計分!$AP253=""),"",計分!$AP253-計分!AE253)</f>
        <v/>
      </c>
      <c r="AF253">
        <f>IF(OR(計分!AF253="",計分!$AP253=""),"",計分!$AP253-計分!AF253)</f>
        <v/>
      </c>
      <c r="AG253">
        <f>IF(OR(計分!AG253="",計分!$AP253=""),"",計分!$AP253-計分!AG253)</f>
        <v/>
      </c>
      <c r="AH253">
        <f>IF(OR(計分!AH253="",計分!$AP253=""),"",計分!$AP253-計分!AH253)</f>
        <v/>
      </c>
      <c r="AI253">
        <f>IF(OR(計分!AI253="",計分!$AP253=""),"",計分!$AP253-計分!AI253)</f>
        <v/>
      </c>
      <c r="AJ253">
        <f>IF(OR(計分!AJ253="",計分!$AP253=""),"",計分!$AP253-計分!AJ253)</f>
        <v/>
      </c>
      <c r="AK253">
        <f>IF(OR(計分!AK253="",計分!$AP253=""),"",計分!$AP253-計分!AK253)</f>
        <v/>
      </c>
      <c r="AL253">
        <f>IF(OR(計分!AL253="",計分!$AP253=""),"",計分!$AP253-計分!AL253)</f>
        <v/>
      </c>
      <c r="AM253">
        <f>IF(OR(計分!AM253="",計分!$AP253=""),"",計分!$AP253-計分!AM253)</f>
        <v/>
      </c>
      <c r="AN253">
        <f>IF(OR(計分!AN253="",計分!$AP253=""),"",計分!$AP253-計分!AN253)</f>
        <v/>
      </c>
      <c r="AO253">
        <f>IF(OR(計分!AO253="",計分!$AP253=""),"",計分!$AP253-計分!AO253)</f>
        <v/>
      </c>
    </row>
    <row r="254">
      <c r="A254">
        <f>計分!A254</f>
        <v/>
      </c>
      <c r="B254">
        <f>IF(OR(計分!B254="",計分!$AP254=""),"",計分!$AP254-計分!B254)</f>
        <v/>
      </c>
      <c r="C254">
        <f>IF(OR(計分!C254="",計分!$AP254=""),"",計分!$AP254-計分!C254)</f>
        <v/>
      </c>
      <c r="D254">
        <f>IF(OR(計分!D254="",計分!$AP254=""),"",計分!$AP254-計分!D254)</f>
        <v/>
      </c>
      <c r="E254">
        <f>IF(OR(計分!E254="",計分!$AP254=""),"",計分!$AP254-計分!E254)</f>
        <v/>
      </c>
      <c r="F254">
        <f>IF(OR(計分!F254="",計分!$AP254=""),"",計分!$AP254-計分!F254)</f>
        <v/>
      </c>
      <c r="G254">
        <f>IF(OR(計分!G254="",計分!$AP254=""),"",計分!$AP254-計分!G254)</f>
        <v/>
      </c>
      <c r="H254">
        <f>IF(OR(計分!H254="",計分!$AP254=""),"",計分!$AP254-計分!H254)</f>
        <v/>
      </c>
      <c r="I254">
        <f>IF(OR(計分!I254="",計分!$AP254=""),"",計分!$AP254-計分!I254)</f>
        <v/>
      </c>
      <c r="J254">
        <f>IF(OR(計分!J254="",計分!$AP254=""),"",計分!$AP254-計分!J254)</f>
        <v/>
      </c>
      <c r="K254">
        <f>IF(OR(計分!K254="",計分!$AP254=""),"",計分!$AP254-計分!K254)</f>
        <v/>
      </c>
      <c r="L254">
        <f>IF(OR(計分!L254="",計分!$AP254=""),"",計分!$AP254-計分!L254)</f>
        <v/>
      </c>
      <c r="M254">
        <f>IF(OR(計分!M254="",計分!$AP254=""),"",計分!$AP254-計分!M254)</f>
        <v/>
      </c>
      <c r="N254">
        <f>IF(OR(計分!N254="",計分!$AP254=""),"",計分!$AP254-計分!N254)</f>
        <v/>
      </c>
      <c r="O254">
        <f>IF(OR(計分!O254="",計分!$AP254=""),"",計分!$AP254-計分!O254)</f>
        <v/>
      </c>
      <c r="P254">
        <f>IF(OR(計分!P254="",計分!$AP254=""),"",計分!$AP254-計分!P254)</f>
        <v/>
      </c>
      <c r="Q254">
        <f>IF(OR(計分!Q254="",計分!$AP254=""),"",計分!$AP254-計分!Q254)</f>
        <v/>
      </c>
      <c r="R254">
        <f>IF(OR(計分!R254="",計分!$AP254=""),"",計分!$AP254-計分!R254)</f>
        <v/>
      </c>
      <c r="S254">
        <f>IF(OR(計分!S254="",計分!$AP254=""),"",計分!$AP254-計分!S254)</f>
        <v/>
      </c>
      <c r="T254">
        <f>IF(OR(計分!T254="",計分!$AP254=""),"",計分!$AP254-計分!T254)</f>
        <v/>
      </c>
      <c r="U254">
        <f>IF(OR(計分!U254="",計分!$AP254=""),"",計分!$AP254-計分!U254)</f>
        <v/>
      </c>
      <c r="V254">
        <f>IF(OR(計分!V254="",計分!$AP254=""),"",計分!$AP254-計分!V254)</f>
        <v/>
      </c>
      <c r="W254">
        <f>IF(OR(計分!W254="",計分!$AP254=""),"",計分!$AP254-計分!W254)</f>
        <v/>
      </c>
      <c r="X254">
        <f>IF(OR(計分!X254="",計分!$AP254=""),"",計分!$AP254-計分!X254)</f>
        <v/>
      </c>
      <c r="Y254">
        <f>IF(OR(計分!Y254="",計分!$AP254=""),"",計分!$AP254-計分!Y254)</f>
        <v/>
      </c>
      <c r="Z254">
        <f>IF(OR(計分!Z254="",計分!$AP254=""),"",計分!$AP254-計分!Z254)</f>
        <v/>
      </c>
      <c r="AA254">
        <f>IF(OR(計分!AA254="",計分!$AP254=""),"",計分!$AP254-計分!AA254)</f>
        <v/>
      </c>
      <c r="AB254">
        <f>IF(OR(計分!AB254="",計分!$AP254=""),"",計分!$AP254-計分!AB254)</f>
        <v/>
      </c>
      <c r="AC254">
        <f>IF(OR(計分!AC254="",計分!$AP254=""),"",計分!$AP254-計分!AC254)</f>
        <v/>
      </c>
      <c r="AD254">
        <f>IF(OR(計分!AD254="",計分!$AP254=""),"",計分!$AP254-計分!AD254)</f>
        <v/>
      </c>
      <c r="AE254">
        <f>IF(OR(計分!AE254="",計分!$AP254=""),"",計分!$AP254-計分!AE254)</f>
        <v/>
      </c>
      <c r="AF254">
        <f>IF(OR(計分!AF254="",計分!$AP254=""),"",計分!$AP254-計分!AF254)</f>
        <v/>
      </c>
      <c r="AG254">
        <f>IF(OR(計分!AG254="",計分!$AP254=""),"",計分!$AP254-計分!AG254)</f>
        <v/>
      </c>
      <c r="AH254">
        <f>IF(OR(計分!AH254="",計分!$AP254=""),"",計分!$AP254-計分!AH254)</f>
        <v/>
      </c>
      <c r="AI254">
        <f>IF(OR(計分!AI254="",計分!$AP254=""),"",計分!$AP254-計分!AI254)</f>
        <v/>
      </c>
      <c r="AJ254">
        <f>IF(OR(計分!AJ254="",計分!$AP254=""),"",計分!$AP254-計分!AJ254)</f>
        <v/>
      </c>
      <c r="AK254">
        <f>IF(OR(計分!AK254="",計分!$AP254=""),"",計分!$AP254-計分!AK254)</f>
        <v/>
      </c>
      <c r="AL254">
        <f>IF(OR(計分!AL254="",計分!$AP254=""),"",計分!$AP254-計分!AL254)</f>
        <v/>
      </c>
      <c r="AM254">
        <f>IF(OR(計分!AM254="",計分!$AP254=""),"",計分!$AP254-計分!AM254)</f>
        <v/>
      </c>
      <c r="AN254">
        <f>IF(OR(計分!AN254="",計分!$AP254=""),"",計分!$AP254-計分!AN254)</f>
        <v/>
      </c>
      <c r="AO254">
        <f>IF(OR(計分!AO254="",計分!$AP254=""),"",計分!$AP254-計分!AO254)</f>
        <v/>
      </c>
    </row>
    <row r="255">
      <c r="A255">
        <f>計分!A255</f>
        <v/>
      </c>
      <c r="B255">
        <f>IF(OR(計分!B255="",計分!$AP255=""),"",計分!$AP255-計分!B255)</f>
        <v/>
      </c>
      <c r="C255">
        <f>IF(OR(計分!C255="",計分!$AP255=""),"",計分!$AP255-計分!C255)</f>
        <v/>
      </c>
      <c r="D255">
        <f>IF(OR(計分!D255="",計分!$AP255=""),"",計分!$AP255-計分!D255)</f>
        <v/>
      </c>
      <c r="E255">
        <f>IF(OR(計分!E255="",計分!$AP255=""),"",計分!$AP255-計分!E255)</f>
        <v/>
      </c>
      <c r="F255">
        <f>IF(OR(計分!F255="",計分!$AP255=""),"",計分!$AP255-計分!F255)</f>
        <v/>
      </c>
      <c r="G255">
        <f>IF(OR(計分!G255="",計分!$AP255=""),"",計分!$AP255-計分!G255)</f>
        <v/>
      </c>
      <c r="H255">
        <f>IF(OR(計分!H255="",計分!$AP255=""),"",計分!$AP255-計分!H255)</f>
        <v/>
      </c>
      <c r="I255">
        <f>IF(OR(計分!I255="",計分!$AP255=""),"",計分!$AP255-計分!I255)</f>
        <v/>
      </c>
      <c r="J255">
        <f>IF(OR(計分!J255="",計分!$AP255=""),"",計分!$AP255-計分!J255)</f>
        <v/>
      </c>
      <c r="K255">
        <f>IF(OR(計分!K255="",計分!$AP255=""),"",計分!$AP255-計分!K255)</f>
        <v/>
      </c>
      <c r="L255">
        <f>IF(OR(計分!L255="",計分!$AP255=""),"",計分!$AP255-計分!L255)</f>
        <v/>
      </c>
      <c r="M255">
        <f>IF(OR(計分!M255="",計分!$AP255=""),"",計分!$AP255-計分!M255)</f>
        <v/>
      </c>
      <c r="N255">
        <f>IF(OR(計分!N255="",計分!$AP255=""),"",計分!$AP255-計分!N255)</f>
        <v/>
      </c>
      <c r="O255">
        <f>IF(OR(計分!O255="",計分!$AP255=""),"",計分!$AP255-計分!O255)</f>
        <v/>
      </c>
      <c r="P255">
        <f>IF(OR(計分!P255="",計分!$AP255=""),"",計分!$AP255-計分!P255)</f>
        <v/>
      </c>
      <c r="Q255">
        <f>IF(OR(計分!Q255="",計分!$AP255=""),"",計分!$AP255-計分!Q255)</f>
        <v/>
      </c>
      <c r="R255">
        <f>IF(OR(計分!R255="",計分!$AP255=""),"",計分!$AP255-計分!R255)</f>
        <v/>
      </c>
      <c r="S255">
        <f>IF(OR(計分!S255="",計分!$AP255=""),"",計分!$AP255-計分!S255)</f>
        <v/>
      </c>
      <c r="T255">
        <f>IF(OR(計分!T255="",計分!$AP255=""),"",計分!$AP255-計分!T255)</f>
        <v/>
      </c>
      <c r="U255">
        <f>IF(OR(計分!U255="",計分!$AP255=""),"",計分!$AP255-計分!U255)</f>
        <v/>
      </c>
      <c r="V255">
        <f>IF(OR(計分!V255="",計分!$AP255=""),"",計分!$AP255-計分!V255)</f>
        <v/>
      </c>
      <c r="W255">
        <f>IF(OR(計分!W255="",計分!$AP255=""),"",計分!$AP255-計分!W255)</f>
        <v/>
      </c>
      <c r="X255">
        <f>IF(OR(計分!X255="",計分!$AP255=""),"",計分!$AP255-計分!X255)</f>
        <v/>
      </c>
      <c r="Y255">
        <f>IF(OR(計分!Y255="",計分!$AP255=""),"",計分!$AP255-計分!Y255)</f>
        <v/>
      </c>
      <c r="Z255">
        <f>IF(OR(計分!Z255="",計分!$AP255=""),"",計分!$AP255-計分!Z255)</f>
        <v/>
      </c>
      <c r="AA255">
        <f>IF(OR(計分!AA255="",計分!$AP255=""),"",計分!$AP255-計分!AA255)</f>
        <v/>
      </c>
      <c r="AB255">
        <f>IF(OR(計分!AB255="",計分!$AP255=""),"",計分!$AP255-計分!AB255)</f>
        <v/>
      </c>
      <c r="AC255">
        <f>IF(OR(計分!AC255="",計分!$AP255=""),"",計分!$AP255-計分!AC255)</f>
        <v/>
      </c>
      <c r="AD255">
        <f>IF(OR(計分!AD255="",計分!$AP255=""),"",計分!$AP255-計分!AD255)</f>
        <v/>
      </c>
      <c r="AE255">
        <f>IF(OR(計分!AE255="",計分!$AP255=""),"",計分!$AP255-計分!AE255)</f>
        <v/>
      </c>
      <c r="AF255">
        <f>IF(OR(計分!AF255="",計分!$AP255=""),"",計分!$AP255-計分!AF255)</f>
        <v/>
      </c>
      <c r="AG255">
        <f>IF(OR(計分!AG255="",計分!$AP255=""),"",計分!$AP255-計分!AG255)</f>
        <v/>
      </c>
      <c r="AH255">
        <f>IF(OR(計分!AH255="",計分!$AP255=""),"",計分!$AP255-計分!AH255)</f>
        <v/>
      </c>
      <c r="AI255">
        <f>IF(OR(計分!AI255="",計分!$AP255=""),"",計分!$AP255-計分!AI255)</f>
        <v/>
      </c>
      <c r="AJ255">
        <f>IF(OR(計分!AJ255="",計分!$AP255=""),"",計分!$AP255-計分!AJ255)</f>
        <v/>
      </c>
      <c r="AK255">
        <f>IF(OR(計分!AK255="",計分!$AP255=""),"",計分!$AP255-計分!AK255)</f>
        <v/>
      </c>
      <c r="AL255">
        <f>IF(OR(計分!AL255="",計分!$AP255=""),"",計分!$AP255-計分!AL255)</f>
        <v/>
      </c>
      <c r="AM255">
        <f>IF(OR(計分!AM255="",計分!$AP255=""),"",計分!$AP255-計分!AM255)</f>
        <v/>
      </c>
      <c r="AN255">
        <f>IF(OR(計分!AN255="",計分!$AP255=""),"",計分!$AP255-計分!AN255)</f>
        <v/>
      </c>
      <c r="AO255">
        <f>IF(OR(計分!AO255="",計分!$AP255=""),"",計分!$AP255-計分!AO255)</f>
        <v/>
      </c>
    </row>
    <row r="256">
      <c r="A256">
        <f>計分!A256</f>
        <v/>
      </c>
      <c r="B256">
        <f>IF(OR(計分!B256="",計分!$AP256=""),"",計分!$AP256-計分!B256)</f>
        <v/>
      </c>
      <c r="C256">
        <f>IF(OR(計分!C256="",計分!$AP256=""),"",計分!$AP256-計分!C256)</f>
        <v/>
      </c>
      <c r="D256">
        <f>IF(OR(計分!D256="",計分!$AP256=""),"",計分!$AP256-計分!D256)</f>
        <v/>
      </c>
      <c r="E256">
        <f>IF(OR(計分!E256="",計分!$AP256=""),"",計分!$AP256-計分!E256)</f>
        <v/>
      </c>
      <c r="F256">
        <f>IF(OR(計分!F256="",計分!$AP256=""),"",計分!$AP256-計分!F256)</f>
        <v/>
      </c>
      <c r="G256">
        <f>IF(OR(計分!G256="",計分!$AP256=""),"",計分!$AP256-計分!G256)</f>
        <v/>
      </c>
      <c r="H256">
        <f>IF(OR(計分!H256="",計分!$AP256=""),"",計分!$AP256-計分!H256)</f>
        <v/>
      </c>
      <c r="I256">
        <f>IF(OR(計分!I256="",計分!$AP256=""),"",計分!$AP256-計分!I256)</f>
        <v/>
      </c>
      <c r="J256">
        <f>IF(OR(計分!J256="",計分!$AP256=""),"",計分!$AP256-計分!J256)</f>
        <v/>
      </c>
      <c r="K256">
        <f>IF(OR(計分!K256="",計分!$AP256=""),"",計分!$AP256-計分!K256)</f>
        <v/>
      </c>
      <c r="L256">
        <f>IF(OR(計分!L256="",計分!$AP256=""),"",計分!$AP256-計分!L256)</f>
        <v/>
      </c>
      <c r="M256">
        <f>IF(OR(計分!M256="",計分!$AP256=""),"",計分!$AP256-計分!M256)</f>
        <v/>
      </c>
      <c r="N256">
        <f>IF(OR(計分!N256="",計分!$AP256=""),"",計分!$AP256-計分!N256)</f>
        <v/>
      </c>
      <c r="O256">
        <f>IF(OR(計分!O256="",計分!$AP256=""),"",計分!$AP256-計分!O256)</f>
        <v/>
      </c>
      <c r="P256">
        <f>IF(OR(計分!P256="",計分!$AP256=""),"",計分!$AP256-計分!P256)</f>
        <v/>
      </c>
      <c r="Q256">
        <f>IF(OR(計分!Q256="",計分!$AP256=""),"",計分!$AP256-計分!Q256)</f>
        <v/>
      </c>
      <c r="R256">
        <f>IF(OR(計分!R256="",計分!$AP256=""),"",計分!$AP256-計分!R256)</f>
        <v/>
      </c>
      <c r="S256">
        <f>IF(OR(計分!S256="",計分!$AP256=""),"",計分!$AP256-計分!S256)</f>
        <v/>
      </c>
      <c r="T256">
        <f>IF(OR(計分!T256="",計分!$AP256=""),"",計分!$AP256-計分!T256)</f>
        <v/>
      </c>
      <c r="U256">
        <f>IF(OR(計分!U256="",計分!$AP256=""),"",計分!$AP256-計分!U256)</f>
        <v/>
      </c>
      <c r="V256">
        <f>IF(OR(計分!V256="",計分!$AP256=""),"",計分!$AP256-計分!V256)</f>
        <v/>
      </c>
      <c r="W256">
        <f>IF(OR(計分!W256="",計分!$AP256=""),"",計分!$AP256-計分!W256)</f>
        <v/>
      </c>
      <c r="X256">
        <f>IF(OR(計分!X256="",計分!$AP256=""),"",計分!$AP256-計分!X256)</f>
        <v/>
      </c>
      <c r="Y256">
        <f>IF(OR(計分!Y256="",計分!$AP256=""),"",計分!$AP256-計分!Y256)</f>
        <v/>
      </c>
      <c r="Z256">
        <f>IF(OR(計分!Z256="",計分!$AP256=""),"",計分!$AP256-計分!Z256)</f>
        <v/>
      </c>
      <c r="AA256">
        <f>IF(OR(計分!AA256="",計分!$AP256=""),"",計分!$AP256-計分!AA256)</f>
        <v/>
      </c>
      <c r="AB256">
        <f>IF(OR(計分!AB256="",計分!$AP256=""),"",計分!$AP256-計分!AB256)</f>
        <v/>
      </c>
      <c r="AC256">
        <f>IF(OR(計分!AC256="",計分!$AP256=""),"",計分!$AP256-計分!AC256)</f>
        <v/>
      </c>
      <c r="AD256">
        <f>IF(OR(計分!AD256="",計分!$AP256=""),"",計分!$AP256-計分!AD256)</f>
        <v/>
      </c>
      <c r="AE256">
        <f>IF(OR(計分!AE256="",計分!$AP256=""),"",計分!$AP256-計分!AE256)</f>
        <v/>
      </c>
      <c r="AF256">
        <f>IF(OR(計分!AF256="",計分!$AP256=""),"",計分!$AP256-計分!AF256)</f>
        <v/>
      </c>
      <c r="AG256">
        <f>IF(OR(計分!AG256="",計分!$AP256=""),"",計分!$AP256-計分!AG256)</f>
        <v/>
      </c>
      <c r="AH256">
        <f>IF(OR(計分!AH256="",計分!$AP256=""),"",計分!$AP256-計分!AH256)</f>
        <v/>
      </c>
      <c r="AI256">
        <f>IF(OR(計分!AI256="",計分!$AP256=""),"",計分!$AP256-計分!AI256)</f>
        <v/>
      </c>
      <c r="AJ256">
        <f>IF(OR(計分!AJ256="",計分!$AP256=""),"",計分!$AP256-計分!AJ256)</f>
        <v/>
      </c>
      <c r="AK256">
        <f>IF(OR(計分!AK256="",計分!$AP256=""),"",計分!$AP256-計分!AK256)</f>
        <v/>
      </c>
      <c r="AL256">
        <f>IF(OR(計分!AL256="",計分!$AP256=""),"",計分!$AP256-計分!AL256)</f>
        <v/>
      </c>
      <c r="AM256">
        <f>IF(OR(計分!AM256="",計分!$AP256=""),"",計分!$AP256-計分!AM256)</f>
        <v/>
      </c>
      <c r="AN256">
        <f>IF(OR(計分!AN256="",計分!$AP256=""),"",計分!$AP256-計分!AN256)</f>
        <v/>
      </c>
      <c r="AO256">
        <f>IF(OR(計分!AO256="",計分!$AP256=""),"",計分!$AP256-計分!AO256)</f>
        <v/>
      </c>
    </row>
    <row r="257">
      <c r="A257">
        <f>計分!A257</f>
        <v/>
      </c>
      <c r="B257">
        <f>IF(OR(計分!B257="",計分!$AP257=""),"",計分!$AP257-計分!B257)</f>
        <v/>
      </c>
      <c r="C257">
        <f>IF(OR(計分!C257="",計分!$AP257=""),"",計分!$AP257-計分!C257)</f>
        <v/>
      </c>
      <c r="D257">
        <f>IF(OR(計分!D257="",計分!$AP257=""),"",計分!$AP257-計分!D257)</f>
        <v/>
      </c>
      <c r="E257">
        <f>IF(OR(計分!E257="",計分!$AP257=""),"",計分!$AP257-計分!E257)</f>
        <v/>
      </c>
      <c r="F257">
        <f>IF(OR(計分!F257="",計分!$AP257=""),"",計分!$AP257-計分!F257)</f>
        <v/>
      </c>
      <c r="G257">
        <f>IF(OR(計分!G257="",計分!$AP257=""),"",計分!$AP257-計分!G257)</f>
        <v/>
      </c>
      <c r="H257">
        <f>IF(OR(計分!H257="",計分!$AP257=""),"",計分!$AP257-計分!H257)</f>
        <v/>
      </c>
      <c r="I257">
        <f>IF(OR(計分!I257="",計分!$AP257=""),"",計分!$AP257-計分!I257)</f>
        <v/>
      </c>
      <c r="J257">
        <f>IF(OR(計分!J257="",計分!$AP257=""),"",計分!$AP257-計分!J257)</f>
        <v/>
      </c>
      <c r="K257">
        <f>IF(OR(計分!K257="",計分!$AP257=""),"",計分!$AP257-計分!K257)</f>
        <v/>
      </c>
      <c r="L257">
        <f>IF(OR(計分!L257="",計分!$AP257=""),"",計分!$AP257-計分!L257)</f>
        <v/>
      </c>
      <c r="M257">
        <f>IF(OR(計分!M257="",計分!$AP257=""),"",計分!$AP257-計分!M257)</f>
        <v/>
      </c>
      <c r="N257">
        <f>IF(OR(計分!N257="",計分!$AP257=""),"",計分!$AP257-計分!N257)</f>
        <v/>
      </c>
      <c r="O257">
        <f>IF(OR(計分!O257="",計分!$AP257=""),"",計分!$AP257-計分!O257)</f>
        <v/>
      </c>
      <c r="P257">
        <f>IF(OR(計分!P257="",計分!$AP257=""),"",計分!$AP257-計分!P257)</f>
        <v/>
      </c>
      <c r="Q257">
        <f>IF(OR(計分!Q257="",計分!$AP257=""),"",計分!$AP257-計分!Q257)</f>
        <v/>
      </c>
      <c r="R257">
        <f>IF(OR(計分!R257="",計分!$AP257=""),"",計分!$AP257-計分!R257)</f>
        <v/>
      </c>
      <c r="S257">
        <f>IF(OR(計分!S257="",計分!$AP257=""),"",計分!$AP257-計分!S257)</f>
        <v/>
      </c>
      <c r="T257">
        <f>IF(OR(計分!T257="",計分!$AP257=""),"",計分!$AP257-計分!T257)</f>
        <v/>
      </c>
      <c r="U257">
        <f>IF(OR(計分!U257="",計分!$AP257=""),"",計分!$AP257-計分!U257)</f>
        <v/>
      </c>
      <c r="V257">
        <f>IF(OR(計分!V257="",計分!$AP257=""),"",計分!$AP257-計分!V257)</f>
        <v/>
      </c>
      <c r="W257">
        <f>IF(OR(計分!W257="",計分!$AP257=""),"",計分!$AP257-計分!W257)</f>
        <v/>
      </c>
      <c r="X257">
        <f>IF(OR(計分!X257="",計分!$AP257=""),"",計分!$AP257-計分!X257)</f>
        <v/>
      </c>
      <c r="Y257">
        <f>IF(OR(計分!Y257="",計分!$AP257=""),"",計分!$AP257-計分!Y257)</f>
        <v/>
      </c>
      <c r="Z257">
        <f>IF(OR(計分!Z257="",計分!$AP257=""),"",計分!$AP257-計分!Z257)</f>
        <v/>
      </c>
      <c r="AA257">
        <f>IF(OR(計分!AA257="",計分!$AP257=""),"",計分!$AP257-計分!AA257)</f>
        <v/>
      </c>
      <c r="AB257">
        <f>IF(OR(計分!AB257="",計分!$AP257=""),"",計分!$AP257-計分!AB257)</f>
        <v/>
      </c>
      <c r="AC257">
        <f>IF(OR(計分!AC257="",計分!$AP257=""),"",計分!$AP257-計分!AC257)</f>
        <v/>
      </c>
      <c r="AD257">
        <f>IF(OR(計分!AD257="",計分!$AP257=""),"",計分!$AP257-計分!AD257)</f>
        <v/>
      </c>
      <c r="AE257">
        <f>IF(OR(計分!AE257="",計分!$AP257=""),"",計分!$AP257-計分!AE257)</f>
        <v/>
      </c>
      <c r="AF257">
        <f>IF(OR(計分!AF257="",計分!$AP257=""),"",計分!$AP257-計分!AF257)</f>
        <v/>
      </c>
      <c r="AG257">
        <f>IF(OR(計分!AG257="",計分!$AP257=""),"",計分!$AP257-計分!AG257)</f>
        <v/>
      </c>
      <c r="AH257">
        <f>IF(OR(計分!AH257="",計分!$AP257=""),"",計分!$AP257-計分!AH257)</f>
        <v/>
      </c>
      <c r="AI257">
        <f>IF(OR(計分!AI257="",計分!$AP257=""),"",計分!$AP257-計分!AI257)</f>
        <v/>
      </c>
      <c r="AJ257">
        <f>IF(OR(計分!AJ257="",計分!$AP257=""),"",計分!$AP257-計分!AJ257)</f>
        <v/>
      </c>
      <c r="AK257">
        <f>IF(OR(計分!AK257="",計分!$AP257=""),"",計分!$AP257-計分!AK257)</f>
        <v/>
      </c>
      <c r="AL257">
        <f>IF(OR(計分!AL257="",計分!$AP257=""),"",計分!$AP257-計分!AL257)</f>
        <v/>
      </c>
      <c r="AM257">
        <f>IF(OR(計分!AM257="",計分!$AP257=""),"",計分!$AP257-計分!AM257)</f>
        <v/>
      </c>
      <c r="AN257">
        <f>IF(OR(計分!AN257="",計分!$AP257=""),"",計分!$AP257-計分!AN257)</f>
        <v/>
      </c>
      <c r="AO257">
        <f>IF(OR(計分!AO257="",計分!$AP257=""),"",計分!$AP257-計分!AO257)</f>
        <v/>
      </c>
    </row>
    <row r="258">
      <c r="A258">
        <f>計分!A258</f>
        <v/>
      </c>
      <c r="B258">
        <f>IF(OR(計分!B258="",計分!$AP258=""),"",計分!$AP258-計分!B258)</f>
        <v/>
      </c>
      <c r="C258">
        <f>IF(OR(計分!C258="",計分!$AP258=""),"",計分!$AP258-計分!C258)</f>
        <v/>
      </c>
      <c r="D258">
        <f>IF(OR(計分!D258="",計分!$AP258=""),"",計分!$AP258-計分!D258)</f>
        <v/>
      </c>
      <c r="E258">
        <f>IF(OR(計分!E258="",計分!$AP258=""),"",計分!$AP258-計分!E258)</f>
        <v/>
      </c>
      <c r="F258">
        <f>IF(OR(計分!F258="",計分!$AP258=""),"",計分!$AP258-計分!F258)</f>
        <v/>
      </c>
      <c r="G258">
        <f>IF(OR(計分!G258="",計分!$AP258=""),"",計分!$AP258-計分!G258)</f>
        <v/>
      </c>
      <c r="H258">
        <f>IF(OR(計分!H258="",計分!$AP258=""),"",計分!$AP258-計分!H258)</f>
        <v/>
      </c>
      <c r="I258">
        <f>IF(OR(計分!I258="",計分!$AP258=""),"",計分!$AP258-計分!I258)</f>
        <v/>
      </c>
      <c r="J258">
        <f>IF(OR(計分!J258="",計分!$AP258=""),"",計分!$AP258-計分!J258)</f>
        <v/>
      </c>
      <c r="K258">
        <f>IF(OR(計分!K258="",計分!$AP258=""),"",計分!$AP258-計分!K258)</f>
        <v/>
      </c>
      <c r="L258">
        <f>IF(OR(計分!L258="",計分!$AP258=""),"",計分!$AP258-計分!L258)</f>
        <v/>
      </c>
      <c r="M258">
        <f>IF(OR(計分!M258="",計分!$AP258=""),"",計分!$AP258-計分!M258)</f>
        <v/>
      </c>
      <c r="N258">
        <f>IF(OR(計分!N258="",計分!$AP258=""),"",計分!$AP258-計分!N258)</f>
        <v/>
      </c>
      <c r="O258">
        <f>IF(OR(計分!O258="",計分!$AP258=""),"",計分!$AP258-計分!O258)</f>
        <v/>
      </c>
      <c r="P258">
        <f>IF(OR(計分!P258="",計分!$AP258=""),"",計分!$AP258-計分!P258)</f>
        <v/>
      </c>
      <c r="Q258">
        <f>IF(OR(計分!Q258="",計分!$AP258=""),"",計分!$AP258-計分!Q258)</f>
        <v/>
      </c>
      <c r="R258">
        <f>IF(OR(計分!R258="",計分!$AP258=""),"",計分!$AP258-計分!R258)</f>
        <v/>
      </c>
      <c r="S258">
        <f>IF(OR(計分!S258="",計分!$AP258=""),"",計分!$AP258-計分!S258)</f>
        <v/>
      </c>
      <c r="T258">
        <f>IF(OR(計分!T258="",計分!$AP258=""),"",計分!$AP258-計分!T258)</f>
        <v/>
      </c>
      <c r="U258">
        <f>IF(OR(計分!U258="",計分!$AP258=""),"",計分!$AP258-計分!U258)</f>
        <v/>
      </c>
      <c r="V258">
        <f>IF(OR(計分!V258="",計分!$AP258=""),"",計分!$AP258-計分!V258)</f>
        <v/>
      </c>
      <c r="W258">
        <f>IF(OR(計分!W258="",計分!$AP258=""),"",計分!$AP258-計分!W258)</f>
        <v/>
      </c>
      <c r="X258">
        <f>IF(OR(計分!X258="",計分!$AP258=""),"",計分!$AP258-計分!X258)</f>
        <v/>
      </c>
      <c r="Y258">
        <f>IF(OR(計分!Y258="",計分!$AP258=""),"",計分!$AP258-計分!Y258)</f>
        <v/>
      </c>
      <c r="Z258">
        <f>IF(OR(計分!Z258="",計分!$AP258=""),"",計分!$AP258-計分!Z258)</f>
        <v/>
      </c>
      <c r="AA258">
        <f>IF(OR(計分!AA258="",計分!$AP258=""),"",計分!$AP258-計分!AA258)</f>
        <v/>
      </c>
      <c r="AB258">
        <f>IF(OR(計分!AB258="",計分!$AP258=""),"",計分!$AP258-計分!AB258)</f>
        <v/>
      </c>
      <c r="AC258">
        <f>IF(OR(計分!AC258="",計分!$AP258=""),"",計分!$AP258-計分!AC258)</f>
        <v/>
      </c>
      <c r="AD258">
        <f>IF(OR(計分!AD258="",計分!$AP258=""),"",計分!$AP258-計分!AD258)</f>
        <v/>
      </c>
      <c r="AE258">
        <f>IF(OR(計分!AE258="",計分!$AP258=""),"",計分!$AP258-計分!AE258)</f>
        <v/>
      </c>
      <c r="AF258">
        <f>IF(OR(計分!AF258="",計分!$AP258=""),"",計分!$AP258-計分!AF258)</f>
        <v/>
      </c>
      <c r="AG258">
        <f>IF(OR(計分!AG258="",計分!$AP258=""),"",計分!$AP258-計分!AG258)</f>
        <v/>
      </c>
      <c r="AH258">
        <f>IF(OR(計分!AH258="",計分!$AP258=""),"",計分!$AP258-計分!AH258)</f>
        <v/>
      </c>
      <c r="AI258">
        <f>IF(OR(計分!AI258="",計分!$AP258=""),"",計分!$AP258-計分!AI258)</f>
        <v/>
      </c>
      <c r="AJ258">
        <f>IF(OR(計分!AJ258="",計分!$AP258=""),"",計分!$AP258-計分!AJ258)</f>
        <v/>
      </c>
      <c r="AK258">
        <f>IF(OR(計分!AK258="",計分!$AP258=""),"",計分!$AP258-計分!AK258)</f>
        <v/>
      </c>
      <c r="AL258">
        <f>IF(OR(計分!AL258="",計分!$AP258=""),"",計分!$AP258-計分!AL258)</f>
        <v/>
      </c>
      <c r="AM258">
        <f>IF(OR(計分!AM258="",計分!$AP258=""),"",計分!$AP258-計分!AM258)</f>
        <v/>
      </c>
      <c r="AN258">
        <f>IF(OR(計分!AN258="",計分!$AP258=""),"",計分!$AP258-計分!AN258)</f>
        <v/>
      </c>
      <c r="AO258">
        <f>IF(OR(計分!AO258="",計分!$AP258=""),"",計分!$AP258-計分!AO258)</f>
        <v/>
      </c>
    </row>
    <row r="259">
      <c r="A259">
        <f>計分!A259</f>
        <v/>
      </c>
      <c r="B259">
        <f>IF(OR(計分!B259="",計分!$AP259=""),"",計分!$AP259-計分!B259)</f>
        <v/>
      </c>
      <c r="C259">
        <f>IF(OR(計分!C259="",計分!$AP259=""),"",計分!$AP259-計分!C259)</f>
        <v/>
      </c>
      <c r="D259">
        <f>IF(OR(計分!D259="",計分!$AP259=""),"",計分!$AP259-計分!D259)</f>
        <v/>
      </c>
      <c r="E259">
        <f>IF(OR(計分!E259="",計分!$AP259=""),"",計分!$AP259-計分!E259)</f>
        <v/>
      </c>
      <c r="F259">
        <f>IF(OR(計分!F259="",計分!$AP259=""),"",計分!$AP259-計分!F259)</f>
        <v/>
      </c>
      <c r="G259">
        <f>IF(OR(計分!G259="",計分!$AP259=""),"",計分!$AP259-計分!G259)</f>
        <v/>
      </c>
      <c r="H259">
        <f>IF(OR(計分!H259="",計分!$AP259=""),"",計分!$AP259-計分!H259)</f>
        <v/>
      </c>
      <c r="I259">
        <f>IF(OR(計分!I259="",計分!$AP259=""),"",計分!$AP259-計分!I259)</f>
        <v/>
      </c>
      <c r="J259">
        <f>IF(OR(計分!J259="",計分!$AP259=""),"",計分!$AP259-計分!J259)</f>
        <v/>
      </c>
      <c r="K259">
        <f>IF(OR(計分!K259="",計分!$AP259=""),"",計分!$AP259-計分!K259)</f>
        <v/>
      </c>
      <c r="L259">
        <f>IF(OR(計分!L259="",計分!$AP259=""),"",計分!$AP259-計分!L259)</f>
        <v/>
      </c>
      <c r="M259">
        <f>IF(OR(計分!M259="",計分!$AP259=""),"",計分!$AP259-計分!M259)</f>
        <v/>
      </c>
      <c r="N259">
        <f>IF(OR(計分!N259="",計分!$AP259=""),"",計分!$AP259-計分!N259)</f>
        <v/>
      </c>
      <c r="O259">
        <f>IF(OR(計分!O259="",計分!$AP259=""),"",計分!$AP259-計分!O259)</f>
        <v/>
      </c>
      <c r="P259">
        <f>IF(OR(計分!P259="",計分!$AP259=""),"",計分!$AP259-計分!P259)</f>
        <v/>
      </c>
      <c r="Q259">
        <f>IF(OR(計分!Q259="",計分!$AP259=""),"",計分!$AP259-計分!Q259)</f>
        <v/>
      </c>
      <c r="R259">
        <f>IF(OR(計分!R259="",計分!$AP259=""),"",計分!$AP259-計分!R259)</f>
        <v/>
      </c>
      <c r="S259">
        <f>IF(OR(計分!S259="",計分!$AP259=""),"",計分!$AP259-計分!S259)</f>
        <v/>
      </c>
      <c r="T259">
        <f>IF(OR(計分!T259="",計分!$AP259=""),"",計分!$AP259-計分!T259)</f>
        <v/>
      </c>
      <c r="U259">
        <f>IF(OR(計分!U259="",計分!$AP259=""),"",計分!$AP259-計分!U259)</f>
        <v/>
      </c>
      <c r="V259">
        <f>IF(OR(計分!V259="",計分!$AP259=""),"",計分!$AP259-計分!V259)</f>
        <v/>
      </c>
      <c r="W259">
        <f>IF(OR(計分!W259="",計分!$AP259=""),"",計分!$AP259-計分!W259)</f>
        <v/>
      </c>
      <c r="X259">
        <f>IF(OR(計分!X259="",計分!$AP259=""),"",計分!$AP259-計分!X259)</f>
        <v/>
      </c>
      <c r="Y259">
        <f>IF(OR(計分!Y259="",計分!$AP259=""),"",計分!$AP259-計分!Y259)</f>
        <v/>
      </c>
      <c r="Z259">
        <f>IF(OR(計分!Z259="",計分!$AP259=""),"",計分!$AP259-計分!Z259)</f>
        <v/>
      </c>
      <c r="AA259">
        <f>IF(OR(計分!AA259="",計分!$AP259=""),"",計分!$AP259-計分!AA259)</f>
        <v/>
      </c>
      <c r="AB259">
        <f>IF(OR(計分!AB259="",計分!$AP259=""),"",計分!$AP259-計分!AB259)</f>
        <v/>
      </c>
      <c r="AC259">
        <f>IF(OR(計分!AC259="",計分!$AP259=""),"",計分!$AP259-計分!AC259)</f>
        <v/>
      </c>
      <c r="AD259">
        <f>IF(OR(計分!AD259="",計分!$AP259=""),"",計分!$AP259-計分!AD259)</f>
        <v/>
      </c>
      <c r="AE259">
        <f>IF(OR(計分!AE259="",計分!$AP259=""),"",計分!$AP259-計分!AE259)</f>
        <v/>
      </c>
      <c r="AF259">
        <f>IF(OR(計分!AF259="",計分!$AP259=""),"",計分!$AP259-計分!AF259)</f>
        <v/>
      </c>
      <c r="AG259">
        <f>IF(OR(計分!AG259="",計分!$AP259=""),"",計分!$AP259-計分!AG259)</f>
        <v/>
      </c>
      <c r="AH259">
        <f>IF(OR(計分!AH259="",計分!$AP259=""),"",計分!$AP259-計分!AH259)</f>
        <v/>
      </c>
      <c r="AI259">
        <f>IF(OR(計分!AI259="",計分!$AP259=""),"",計分!$AP259-計分!AI259)</f>
        <v/>
      </c>
      <c r="AJ259">
        <f>IF(OR(計分!AJ259="",計分!$AP259=""),"",計分!$AP259-計分!AJ259)</f>
        <v/>
      </c>
      <c r="AK259">
        <f>IF(OR(計分!AK259="",計分!$AP259=""),"",計分!$AP259-計分!AK259)</f>
        <v/>
      </c>
      <c r="AL259">
        <f>IF(OR(計分!AL259="",計分!$AP259=""),"",計分!$AP259-計分!AL259)</f>
        <v/>
      </c>
      <c r="AM259">
        <f>IF(OR(計分!AM259="",計分!$AP259=""),"",計分!$AP259-計分!AM259)</f>
        <v/>
      </c>
      <c r="AN259">
        <f>IF(OR(計分!AN259="",計分!$AP259=""),"",計分!$AP259-計分!AN259)</f>
        <v/>
      </c>
      <c r="AO259">
        <f>IF(OR(計分!AO259="",計分!$AP259=""),"",計分!$AP259-計分!AO259)</f>
        <v/>
      </c>
    </row>
    <row r="260">
      <c r="A260">
        <f>計分!A260</f>
        <v/>
      </c>
      <c r="B260">
        <f>IF(OR(計分!B260="",計分!$AP260=""),"",計分!$AP260-計分!B260)</f>
        <v/>
      </c>
      <c r="C260">
        <f>IF(OR(計分!C260="",計分!$AP260=""),"",計分!$AP260-計分!C260)</f>
        <v/>
      </c>
      <c r="D260">
        <f>IF(OR(計分!D260="",計分!$AP260=""),"",計分!$AP260-計分!D260)</f>
        <v/>
      </c>
      <c r="E260">
        <f>IF(OR(計分!E260="",計分!$AP260=""),"",計分!$AP260-計分!E260)</f>
        <v/>
      </c>
      <c r="F260">
        <f>IF(OR(計分!F260="",計分!$AP260=""),"",計分!$AP260-計分!F260)</f>
        <v/>
      </c>
      <c r="G260">
        <f>IF(OR(計分!G260="",計分!$AP260=""),"",計分!$AP260-計分!G260)</f>
        <v/>
      </c>
      <c r="H260">
        <f>IF(OR(計分!H260="",計分!$AP260=""),"",計分!$AP260-計分!H260)</f>
        <v/>
      </c>
      <c r="I260">
        <f>IF(OR(計分!I260="",計分!$AP260=""),"",計分!$AP260-計分!I260)</f>
        <v/>
      </c>
      <c r="J260">
        <f>IF(OR(計分!J260="",計分!$AP260=""),"",計分!$AP260-計分!J260)</f>
        <v/>
      </c>
      <c r="K260">
        <f>IF(OR(計分!K260="",計分!$AP260=""),"",計分!$AP260-計分!K260)</f>
        <v/>
      </c>
      <c r="L260">
        <f>IF(OR(計分!L260="",計分!$AP260=""),"",計分!$AP260-計分!L260)</f>
        <v/>
      </c>
      <c r="M260">
        <f>IF(OR(計分!M260="",計分!$AP260=""),"",計分!$AP260-計分!M260)</f>
        <v/>
      </c>
      <c r="N260">
        <f>IF(OR(計分!N260="",計分!$AP260=""),"",計分!$AP260-計分!N260)</f>
        <v/>
      </c>
      <c r="O260">
        <f>IF(OR(計分!O260="",計分!$AP260=""),"",計分!$AP260-計分!O260)</f>
        <v/>
      </c>
      <c r="P260">
        <f>IF(OR(計分!P260="",計分!$AP260=""),"",計分!$AP260-計分!P260)</f>
        <v/>
      </c>
      <c r="Q260">
        <f>IF(OR(計分!Q260="",計分!$AP260=""),"",計分!$AP260-計分!Q260)</f>
        <v/>
      </c>
      <c r="R260">
        <f>IF(OR(計分!R260="",計分!$AP260=""),"",計分!$AP260-計分!R260)</f>
        <v/>
      </c>
      <c r="S260">
        <f>IF(OR(計分!S260="",計分!$AP260=""),"",計分!$AP260-計分!S260)</f>
        <v/>
      </c>
      <c r="T260">
        <f>IF(OR(計分!T260="",計分!$AP260=""),"",計分!$AP260-計分!T260)</f>
        <v/>
      </c>
      <c r="U260">
        <f>IF(OR(計分!U260="",計分!$AP260=""),"",計分!$AP260-計分!U260)</f>
        <v/>
      </c>
      <c r="V260">
        <f>IF(OR(計分!V260="",計分!$AP260=""),"",計分!$AP260-計分!V260)</f>
        <v/>
      </c>
      <c r="W260">
        <f>IF(OR(計分!W260="",計分!$AP260=""),"",計分!$AP260-計分!W260)</f>
        <v/>
      </c>
      <c r="X260">
        <f>IF(OR(計分!X260="",計分!$AP260=""),"",計分!$AP260-計分!X260)</f>
        <v/>
      </c>
      <c r="Y260">
        <f>IF(OR(計分!Y260="",計分!$AP260=""),"",計分!$AP260-計分!Y260)</f>
        <v/>
      </c>
      <c r="Z260">
        <f>IF(OR(計分!Z260="",計分!$AP260=""),"",計分!$AP260-計分!Z260)</f>
        <v/>
      </c>
      <c r="AA260">
        <f>IF(OR(計分!AA260="",計分!$AP260=""),"",計分!$AP260-計分!AA260)</f>
        <v/>
      </c>
      <c r="AB260">
        <f>IF(OR(計分!AB260="",計分!$AP260=""),"",計分!$AP260-計分!AB260)</f>
        <v/>
      </c>
      <c r="AC260">
        <f>IF(OR(計分!AC260="",計分!$AP260=""),"",計分!$AP260-計分!AC260)</f>
        <v/>
      </c>
      <c r="AD260">
        <f>IF(OR(計分!AD260="",計分!$AP260=""),"",計分!$AP260-計分!AD260)</f>
        <v/>
      </c>
      <c r="AE260">
        <f>IF(OR(計分!AE260="",計分!$AP260=""),"",計分!$AP260-計分!AE260)</f>
        <v/>
      </c>
      <c r="AF260">
        <f>IF(OR(計分!AF260="",計分!$AP260=""),"",計分!$AP260-計分!AF260)</f>
        <v/>
      </c>
      <c r="AG260">
        <f>IF(OR(計分!AG260="",計分!$AP260=""),"",計分!$AP260-計分!AG260)</f>
        <v/>
      </c>
      <c r="AH260">
        <f>IF(OR(計分!AH260="",計分!$AP260=""),"",計分!$AP260-計分!AH260)</f>
        <v/>
      </c>
      <c r="AI260">
        <f>IF(OR(計分!AI260="",計分!$AP260=""),"",計分!$AP260-計分!AI260)</f>
        <v/>
      </c>
      <c r="AJ260">
        <f>IF(OR(計分!AJ260="",計分!$AP260=""),"",計分!$AP260-計分!AJ260)</f>
        <v/>
      </c>
      <c r="AK260">
        <f>IF(OR(計分!AK260="",計分!$AP260=""),"",計分!$AP260-計分!AK260)</f>
        <v/>
      </c>
      <c r="AL260">
        <f>IF(OR(計分!AL260="",計分!$AP260=""),"",計分!$AP260-計分!AL260)</f>
        <v/>
      </c>
      <c r="AM260">
        <f>IF(OR(計分!AM260="",計分!$AP260=""),"",計分!$AP260-計分!AM260)</f>
        <v/>
      </c>
      <c r="AN260">
        <f>IF(OR(計分!AN260="",計分!$AP260=""),"",計分!$AP260-計分!AN260)</f>
        <v/>
      </c>
      <c r="AO260">
        <f>IF(OR(計分!AO260="",計分!$AP260=""),"",計分!$AP260-計分!AO260)</f>
        <v/>
      </c>
    </row>
    <row r="261">
      <c r="A261">
        <f>計分!A261</f>
        <v/>
      </c>
      <c r="B261">
        <f>IF(OR(計分!B261="",計分!$AP261=""),"",計分!$AP261-計分!B261)</f>
        <v/>
      </c>
      <c r="C261">
        <f>IF(OR(計分!C261="",計分!$AP261=""),"",計分!$AP261-計分!C261)</f>
        <v/>
      </c>
      <c r="D261">
        <f>IF(OR(計分!D261="",計分!$AP261=""),"",計分!$AP261-計分!D261)</f>
        <v/>
      </c>
      <c r="E261">
        <f>IF(OR(計分!E261="",計分!$AP261=""),"",計分!$AP261-計分!E261)</f>
        <v/>
      </c>
      <c r="F261">
        <f>IF(OR(計分!F261="",計分!$AP261=""),"",計分!$AP261-計分!F261)</f>
        <v/>
      </c>
      <c r="G261">
        <f>IF(OR(計分!G261="",計分!$AP261=""),"",計分!$AP261-計分!G261)</f>
        <v/>
      </c>
      <c r="H261">
        <f>IF(OR(計分!H261="",計分!$AP261=""),"",計分!$AP261-計分!H261)</f>
        <v/>
      </c>
      <c r="I261">
        <f>IF(OR(計分!I261="",計分!$AP261=""),"",計分!$AP261-計分!I261)</f>
        <v/>
      </c>
      <c r="J261">
        <f>IF(OR(計分!J261="",計分!$AP261=""),"",計分!$AP261-計分!J261)</f>
        <v/>
      </c>
      <c r="K261">
        <f>IF(OR(計分!K261="",計分!$AP261=""),"",計分!$AP261-計分!K261)</f>
        <v/>
      </c>
      <c r="L261">
        <f>IF(OR(計分!L261="",計分!$AP261=""),"",計分!$AP261-計分!L261)</f>
        <v/>
      </c>
      <c r="M261">
        <f>IF(OR(計分!M261="",計分!$AP261=""),"",計分!$AP261-計分!M261)</f>
        <v/>
      </c>
      <c r="N261">
        <f>IF(OR(計分!N261="",計分!$AP261=""),"",計分!$AP261-計分!N261)</f>
        <v/>
      </c>
      <c r="O261">
        <f>IF(OR(計分!O261="",計分!$AP261=""),"",計分!$AP261-計分!O261)</f>
        <v/>
      </c>
      <c r="P261">
        <f>IF(OR(計分!P261="",計分!$AP261=""),"",計分!$AP261-計分!P261)</f>
        <v/>
      </c>
      <c r="Q261">
        <f>IF(OR(計分!Q261="",計分!$AP261=""),"",計分!$AP261-計分!Q261)</f>
        <v/>
      </c>
      <c r="R261">
        <f>IF(OR(計分!R261="",計分!$AP261=""),"",計分!$AP261-計分!R261)</f>
        <v/>
      </c>
      <c r="S261">
        <f>IF(OR(計分!S261="",計分!$AP261=""),"",計分!$AP261-計分!S261)</f>
        <v/>
      </c>
      <c r="T261">
        <f>IF(OR(計分!T261="",計分!$AP261=""),"",計分!$AP261-計分!T261)</f>
        <v/>
      </c>
      <c r="U261">
        <f>IF(OR(計分!U261="",計分!$AP261=""),"",計分!$AP261-計分!U261)</f>
        <v/>
      </c>
      <c r="V261">
        <f>IF(OR(計分!V261="",計分!$AP261=""),"",計分!$AP261-計分!V261)</f>
        <v/>
      </c>
      <c r="W261">
        <f>IF(OR(計分!W261="",計分!$AP261=""),"",計分!$AP261-計分!W261)</f>
        <v/>
      </c>
      <c r="X261">
        <f>IF(OR(計分!X261="",計分!$AP261=""),"",計分!$AP261-計分!X261)</f>
        <v/>
      </c>
      <c r="Y261">
        <f>IF(OR(計分!Y261="",計分!$AP261=""),"",計分!$AP261-計分!Y261)</f>
        <v/>
      </c>
      <c r="Z261">
        <f>IF(OR(計分!Z261="",計分!$AP261=""),"",計分!$AP261-計分!Z261)</f>
        <v/>
      </c>
      <c r="AA261">
        <f>IF(OR(計分!AA261="",計分!$AP261=""),"",計分!$AP261-計分!AA261)</f>
        <v/>
      </c>
      <c r="AB261">
        <f>IF(OR(計分!AB261="",計分!$AP261=""),"",計分!$AP261-計分!AB261)</f>
        <v/>
      </c>
      <c r="AC261">
        <f>IF(OR(計分!AC261="",計分!$AP261=""),"",計分!$AP261-計分!AC261)</f>
        <v/>
      </c>
      <c r="AD261">
        <f>IF(OR(計分!AD261="",計分!$AP261=""),"",計分!$AP261-計分!AD261)</f>
        <v/>
      </c>
      <c r="AE261">
        <f>IF(OR(計分!AE261="",計分!$AP261=""),"",計分!$AP261-計分!AE261)</f>
        <v/>
      </c>
      <c r="AF261">
        <f>IF(OR(計分!AF261="",計分!$AP261=""),"",計分!$AP261-計分!AF261)</f>
        <v/>
      </c>
      <c r="AG261">
        <f>IF(OR(計分!AG261="",計分!$AP261=""),"",計分!$AP261-計分!AG261)</f>
        <v/>
      </c>
      <c r="AH261">
        <f>IF(OR(計分!AH261="",計分!$AP261=""),"",計分!$AP261-計分!AH261)</f>
        <v/>
      </c>
      <c r="AI261">
        <f>IF(OR(計分!AI261="",計分!$AP261=""),"",計分!$AP261-計分!AI261)</f>
        <v/>
      </c>
      <c r="AJ261">
        <f>IF(OR(計分!AJ261="",計分!$AP261=""),"",計分!$AP261-計分!AJ261)</f>
        <v/>
      </c>
      <c r="AK261">
        <f>IF(OR(計分!AK261="",計分!$AP261=""),"",計分!$AP261-計分!AK261)</f>
        <v/>
      </c>
      <c r="AL261">
        <f>IF(OR(計分!AL261="",計分!$AP261=""),"",計分!$AP261-計分!AL261)</f>
        <v/>
      </c>
      <c r="AM261">
        <f>IF(OR(計分!AM261="",計分!$AP261=""),"",計分!$AP261-計分!AM261)</f>
        <v/>
      </c>
      <c r="AN261">
        <f>IF(OR(計分!AN261="",計分!$AP261=""),"",計分!$AP261-計分!AN261)</f>
        <v/>
      </c>
      <c r="AO261">
        <f>IF(OR(計分!AO261="",計分!$AP261=""),"",計分!$AP261-計分!AO261)</f>
        <v/>
      </c>
    </row>
    <row r="262">
      <c r="A262">
        <f>計分!A262</f>
        <v/>
      </c>
      <c r="B262">
        <f>IF(OR(計分!B262="",計分!$AP262=""),"",計分!$AP262-計分!B262)</f>
        <v/>
      </c>
      <c r="C262">
        <f>IF(OR(計分!C262="",計分!$AP262=""),"",計分!$AP262-計分!C262)</f>
        <v/>
      </c>
      <c r="D262">
        <f>IF(OR(計分!D262="",計分!$AP262=""),"",計分!$AP262-計分!D262)</f>
        <v/>
      </c>
      <c r="E262">
        <f>IF(OR(計分!E262="",計分!$AP262=""),"",計分!$AP262-計分!E262)</f>
        <v/>
      </c>
      <c r="F262">
        <f>IF(OR(計分!F262="",計分!$AP262=""),"",計分!$AP262-計分!F262)</f>
        <v/>
      </c>
      <c r="G262">
        <f>IF(OR(計分!G262="",計分!$AP262=""),"",計分!$AP262-計分!G262)</f>
        <v/>
      </c>
      <c r="H262">
        <f>IF(OR(計分!H262="",計分!$AP262=""),"",計分!$AP262-計分!H262)</f>
        <v/>
      </c>
      <c r="I262">
        <f>IF(OR(計分!I262="",計分!$AP262=""),"",計分!$AP262-計分!I262)</f>
        <v/>
      </c>
      <c r="J262">
        <f>IF(OR(計分!J262="",計分!$AP262=""),"",計分!$AP262-計分!J262)</f>
        <v/>
      </c>
      <c r="K262">
        <f>IF(OR(計分!K262="",計分!$AP262=""),"",計分!$AP262-計分!K262)</f>
        <v/>
      </c>
      <c r="L262">
        <f>IF(OR(計分!L262="",計分!$AP262=""),"",計分!$AP262-計分!L262)</f>
        <v/>
      </c>
      <c r="M262">
        <f>IF(OR(計分!M262="",計分!$AP262=""),"",計分!$AP262-計分!M262)</f>
        <v/>
      </c>
      <c r="N262">
        <f>IF(OR(計分!N262="",計分!$AP262=""),"",計分!$AP262-計分!N262)</f>
        <v/>
      </c>
      <c r="O262">
        <f>IF(OR(計分!O262="",計分!$AP262=""),"",計分!$AP262-計分!O262)</f>
        <v/>
      </c>
      <c r="P262">
        <f>IF(OR(計分!P262="",計分!$AP262=""),"",計分!$AP262-計分!P262)</f>
        <v/>
      </c>
      <c r="Q262">
        <f>IF(OR(計分!Q262="",計分!$AP262=""),"",計分!$AP262-計分!Q262)</f>
        <v/>
      </c>
      <c r="R262">
        <f>IF(OR(計分!R262="",計分!$AP262=""),"",計分!$AP262-計分!R262)</f>
        <v/>
      </c>
      <c r="S262">
        <f>IF(OR(計分!S262="",計分!$AP262=""),"",計分!$AP262-計分!S262)</f>
        <v/>
      </c>
      <c r="T262">
        <f>IF(OR(計分!T262="",計分!$AP262=""),"",計分!$AP262-計分!T262)</f>
        <v/>
      </c>
      <c r="U262">
        <f>IF(OR(計分!U262="",計分!$AP262=""),"",計分!$AP262-計分!U262)</f>
        <v/>
      </c>
      <c r="V262">
        <f>IF(OR(計分!V262="",計分!$AP262=""),"",計分!$AP262-計分!V262)</f>
        <v/>
      </c>
      <c r="W262">
        <f>IF(OR(計分!W262="",計分!$AP262=""),"",計分!$AP262-計分!W262)</f>
        <v/>
      </c>
      <c r="X262">
        <f>IF(OR(計分!X262="",計分!$AP262=""),"",計分!$AP262-計分!X262)</f>
        <v/>
      </c>
      <c r="Y262">
        <f>IF(OR(計分!Y262="",計分!$AP262=""),"",計分!$AP262-計分!Y262)</f>
        <v/>
      </c>
      <c r="Z262">
        <f>IF(OR(計分!Z262="",計分!$AP262=""),"",計分!$AP262-計分!Z262)</f>
        <v/>
      </c>
      <c r="AA262">
        <f>IF(OR(計分!AA262="",計分!$AP262=""),"",計分!$AP262-計分!AA262)</f>
        <v/>
      </c>
      <c r="AB262">
        <f>IF(OR(計分!AB262="",計分!$AP262=""),"",計分!$AP262-計分!AB262)</f>
        <v/>
      </c>
      <c r="AC262">
        <f>IF(OR(計分!AC262="",計分!$AP262=""),"",計分!$AP262-計分!AC262)</f>
        <v/>
      </c>
      <c r="AD262">
        <f>IF(OR(計分!AD262="",計分!$AP262=""),"",計分!$AP262-計分!AD262)</f>
        <v/>
      </c>
      <c r="AE262">
        <f>IF(OR(計分!AE262="",計分!$AP262=""),"",計分!$AP262-計分!AE262)</f>
        <v/>
      </c>
      <c r="AF262">
        <f>IF(OR(計分!AF262="",計分!$AP262=""),"",計分!$AP262-計分!AF262)</f>
        <v/>
      </c>
      <c r="AG262">
        <f>IF(OR(計分!AG262="",計分!$AP262=""),"",計分!$AP262-計分!AG262)</f>
        <v/>
      </c>
      <c r="AH262">
        <f>IF(OR(計分!AH262="",計分!$AP262=""),"",計分!$AP262-計分!AH262)</f>
        <v/>
      </c>
      <c r="AI262">
        <f>IF(OR(計分!AI262="",計分!$AP262=""),"",計分!$AP262-計分!AI262)</f>
        <v/>
      </c>
      <c r="AJ262">
        <f>IF(OR(計分!AJ262="",計分!$AP262=""),"",計分!$AP262-計分!AJ262)</f>
        <v/>
      </c>
      <c r="AK262">
        <f>IF(OR(計分!AK262="",計分!$AP262=""),"",計分!$AP262-計分!AK262)</f>
        <v/>
      </c>
      <c r="AL262">
        <f>IF(OR(計分!AL262="",計分!$AP262=""),"",計分!$AP262-計分!AL262)</f>
        <v/>
      </c>
      <c r="AM262">
        <f>IF(OR(計分!AM262="",計分!$AP262=""),"",計分!$AP262-計分!AM262)</f>
        <v/>
      </c>
      <c r="AN262">
        <f>IF(OR(計分!AN262="",計分!$AP262=""),"",計分!$AP262-計分!AN262)</f>
        <v/>
      </c>
      <c r="AO262">
        <f>IF(OR(計分!AO262="",計分!$AP262=""),"",計分!$AP262-計分!AO262)</f>
        <v/>
      </c>
    </row>
    <row r="263">
      <c r="A263">
        <f>計分!A263</f>
        <v/>
      </c>
      <c r="B263">
        <f>IF(OR(計分!B263="",計分!$AP263=""),"",計分!$AP263-計分!B263)</f>
        <v/>
      </c>
      <c r="C263">
        <f>IF(OR(計分!C263="",計分!$AP263=""),"",計分!$AP263-計分!C263)</f>
        <v/>
      </c>
      <c r="D263">
        <f>IF(OR(計分!D263="",計分!$AP263=""),"",計分!$AP263-計分!D263)</f>
        <v/>
      </c>
      <c r="E263">
        <f>IF(OR(計分!E263="",計分!$AP263=""),"",計分!$AP263-計分!E263)</f>
        <v/>
      </c>
      <c r="F263">
        <f>IF(OR(計分!F263="",計分!$AP263=""),"",計分!$AP263-計分!F263)</f>
        <v/>
      </c>
      <c r="G263">
        <f>IF(OR(計分!G263="",計分!$AP263=""),"",計分!$AP263-計分!G263)</f>
        <v/>
      </c>
      <c r="H263">
        <f>IF(OR(計分!H263="",計分!$AP263=""),"",計分!$AP263-計分!H263)</f>
        <v/>
      </c>
      <c r="I263">
        <f>IF(OR(計分!I263="",計分!$AP263=""),"",計分!$AP263-計分!I263)</f>
        <v/>
      </c>
      <c r="J263">
        <f>IF(OR(計分!J263="",計分!$AP263=""),"",計分!$AP263-計分!J263)</f>
        <v/>
      </c>
      <c r="K263">
        <f>IF(OR(計分!K263="",計分!$AP263=""),"",計分!$AP263-計分!K263)</f>
        <v/>
      </c>
      <c r="L263">
        <f>IF(OR(計分!L263="",計分!$AP263=""),"",計分!$AP263-計分!L263)</f>
        <v/>
      </c>
      <c r="M263">
        <f>IF(OR(計分!M263="",計分!$AP263=""),"",計分!$AP263-計分!M263)</f>
        <v/>
      </c>
      <c r="N263">
        <f>IF(OR(計分!N263="",計分!$AP263=""),"",計分!$AP263-計分!N263)</f>
        <v/>
      </c>
      <c r="O263">
        <f>IF(OR(計分!O263="",計分!$AP263=""),"",計分!$AP263-計分!O263)</f>
        <v/>
      </c>
      <c r="P263">
        <f>IF(OR(計分!P263="",計分!$AP263=""),"",計分!$AP263-計分!P263)</f>
        <v/>
      </c>
      <c r="Q263">
        <f>IF(OR(計分!Q263="",計分!$AP263=""),"",計分!$AP263-計分!Q263)</f>
        <v/>
      </c>
      <c r="R263">
        <f>IF(OR(計分!R263="",計分!$AP263=""),"",計分!$AP263-計分!R263)</f>
        <v/>
      </c>
      <c r="S263">
        <f>IF(OR(計分!S263="",計分!$AP263=""),"",計分!$AP263-計分!S263)</f>
        <v/>
      </c>
      <c r="T263">
        <f>IF(OR(計分!T263="",計分!$AP263=""),"",計分!$AP263-計分!T263)</f>
        <v/>
      </c>
      <c r="U263">
        <f>IF(OR(計分!U263="",計分!$AP263=""),"",計分!$AP263-計分!U263)</f>
        <v/>
      </c>
      <c r="V263">
        <f>IF(OR(計分!V263="",計分!$AP263=""),"",計分!$AP263-計分!V263)</f>
        <v/>
      </c>
      <c r="W263">
        <f>IF(OR(計分!W263="",計分!$AP263=""),"",計分!$AP263-計分!W263)</f>
        <v/>
      </c>
      <c r="X263">
        <f>IF(OR(計分!X263="",計分!$AP263=""),"",計分!$AP263-計分!X263)</f>
        <v/>
      </c>
      <c r="Y263">
        <f>IF(OR(計分!Y263="",計分!$AP263=""),"",計分!$AP263-計分!Y263)</f>
        <v/>
      </c>
      <c r="Z263">
        <f>IF(OR(計分!Z263="",計分!$AP263=""),"",計分!$AP263-計分!Z263)</f>
        <v/>
      </c>
      <c r="AA263">
        <f>IF(OR(計分!AA263="",計分!$AP263=""),"",計分!$AP263-計分!AA263)</f>
        <v/>
      </c>
      <c r="AB263">
        <f>IF(OR(計分!AB263="",計分!$AP263=""),"",計分!$AP263-計分!AB263)</f>
        <v/>
      </c>
      <c r="AC263">
        <f>IF(OR(計分!AC263="",計分!$AP263=""),"",計分!$AP263-計分!AC263)</f>
        <v/>
      </c>
      <c r="AD263">
        <f>IF(OR(計分!AD263="",計分!$AP263=""),"",計分!$AP263-計分!AD263)</f>
        <v/>
      </c>
      <c r="AE263">
        <f>IF(OR(計分!AE263="",計分!$AP263=""),"",計分!$AP263-計分!AE263)</f>
        <v/>
      </c>
      <c r="AF263">
        <f>IF(OR(計分!AF263="",計分!$AP263=""),"",計分!$AP263-計分!AF263)</f>
        <v/>
      </c>
      <c r="AG263">
        <f>IF(OR(計分!AG263="",計分!$AP263=""),"",計分!$AP263-計分!AG263)</f>
        <v/>
      </c>
      <c r="AH263">
        <f>IF(OR(計分!AH263="",計分!$AP263=""),"",計分!$AP263-計分!AH263)</f>
        <v/>
      </c>
      <c r="AI263">
        <f>IF(OR(計分!AI263="",計分!$AP263=""),"",計分!$AP263-計分!AI263)</f>
        <v/>
      </c>
      <c r="AJ263">
        <f>IF(OR(計分!AJ263="",計分!$AP263=""),"",計分!$AP263-計分!AJ263)</f>
        <v/>
      </c>
      <c r="AK263">
        <f>IF(OR(計分!AK263="",計分!$AP263=""),"",計分!$AP263-計分!AK263)</f>
        <v/>
      </c>
      <c r="AL263">
        <f>IF(OR(計分!AL263="",計分!$AP263=""),"",計分!$AP263-計分!AL263)</f>
        <v/>
      </c>
      <c r="AM263">
        <f>IF(OR(計分!AM263="",計分!$AP263=""),"",計分!$AP263-計分!AM263)</f>
        <v/>
      </c>
      <c r="AN263">
        <f>IF(OR(計分!AN263="",計分!$AP263=""),"",計分!$AP263-計分!AN263)</f>
        <v/>
      </c>
      <c r="AO263">
        <f>IF(OR(計分!AO263="",計分!$AP263=""),"",計分!$AP263-計分!AO263)</f>
        <v/>
      </c>
    </row>
    <row r="264">
      <c r="A264">
        <f>計分!A264</f>
        <v/>
      </c>
      <c r="B264">
        <f>IF(OR(計分!B264="",計分!$AP264=""),"",計分!$AP264-計分!B264)</f>
        <v/>
      </c>
      <c r="C264">
        <f>IF(OR(計分!C264="",計分!$AP264=""),"",計分!$AP264-計分!C264)</f>
        <v/>
      </c>
      <c r="D264">
        <f>IF(OR(計分!D264="",計分!$AP264=""),"",計分!$AP264-計分!D264)</f>
        <v/>
      </c>
      <c r="E264">
        <f>IF(OR(計分!E264="",計分!$AP264=""),"",計分!$AP264-計分!E264)</f>
        <v/>
      </c>
      <c r="F264">
        <f>IF(OR(計分!F264="",計分!$AP264=""),"",計分!$AP264-計分!F264)</f>
        <v/>
      </c>
      <c r="G264">
        <f>IF(OR(計分!G264="",計分!$AP264=""),"",計分!$AP264-計分!G264)</f>
        <v/>
      </c>
      <c r="H264">
        <f>IF(OR(計分!H264="",計分!$AP264=""),"",計分!$AP264-計分!H264)</f>
        <v/>
      </c>
      <c r="I264">
        <f>IF(OR(計分!I264="",計分!$AP264=""),"",計分!$AP264-計分!I264)</f>
        <v/>
      </c>
      <c r="J264">
        <f>IF(OR(計分!J264="",計分!$AP264=""),"",計分!$AP264-計分!J264)</f>
        <v/>
      </c>
      <c r="K264">
        <f>IF(OR(計分!K264="",計分!$AP264=""),"",計分!$AP264-計分!K264)</f>
        <v/>
      </c>
      <c r="L264">
        <f>IF(OR(計分!L264="",計分!$AP264=""),"",計分!$AP264-計分!L264)</f>
        <v/>
      </c>
      <c r="M264">
        <f>IF(OR(計分!M264="",計分!$AP264=""),"",計分!$AP264-計分!M264)</f>
        <v/>
      </c>
      <c r="N264">
        <f>IF(OR(計分!N264="",計分!$AP264=""),"",計分!$AP264-計分!N264)</f>
        <v/>
      </c>
      <c r="O264">
        <f>IF(OR(計分!O264="",計分!$AP264=""),"",計分!$AP264-計分!O264)</f>
        <v/>
      </c>
      <c r="P264">
        <f>IF(OR(計分!P264="",計分!$AP264=""),"",計分!$AP264-計分!P264)</f>
        <v/>
      </c>
      <c r="Q264">
        <f>IF(OR(計分!Q264="",計分!$AP264=""),"",計分!$AP264-計分!Q264)</f>
        <v/>
      </c>
      <c r="R264">
        <f>IF(OR(計分!R264="",計分!$AP264=""),"",計分!$AP264-計分!R264)</f>
        <v/>
      </c>
      <c r="S264">
        <f>IF(OR(計分!S264="",計分!$AP264=""),"",計分!$AP264-計分!S264)</f>
        <v/>
      </c>
      <c r="T264">
        <f>IF(OR(計分!T264="",計分!$AP264=""),"",計分!$AP264-計分!T264)</f>
        <v/>
      </c>
      <c r="U264">
        <f>IF(OR(計分!U264="",計分!$AP264=""),"",計分!$AP264-計分!U264)</f>
        <v/>
      </c>
      <c r="V264">
        <f>IF(OR(計分!V264="",計分!$AP264=""),"",計分!$AP264-計分!V264)</f>
        <v/>
      </c>
      <c r="W264">
        <f>IF(OR(計分!W264="",計分!$AP264=""),"",計分!$AP264-計分!W264)</f>
        <v/>
      </c>
      <c r="X264">
        <f>IF(OR(計分!X264="",計分!$AP264=""),"",計分!$AP264-計分!X264)</f>
        <v/>
      </c>
      <c r="Y264">
        <f>IF(OR(計分!Y264="",計分!$AP264=""),"",計分!$AP264-計分!Y264)</f>
        <v/>
      </c>
      <c r="Z264">
        <f>IF(OR(計分!Z264="",計分!$AP264=""),"",計分!$AP264-計分!Z264)</f>
        <v/>
      </c>
      <c r="AA264">
        <f>IF(OR(計分!AA264="",計分!$AP264=""),"",計分!$AP264-計分!AA264)</f>
        <v/>
      </c>
      <c r="AB264">
        <f>IF(OR(計分!AB264="",計分!$AP264=""),"",計分!$AP264-計分!AB264)</f>
        <v/>
      </c>
      <c r="AC264">
        <f>IF(OR(計分!AC264="",計分!$AP264=""),"",計分!$AP264-計分!AC264)</f>
        <v/>
      </c>
      <c r="AD264">
        <f>IF(OR(計分!AD264="",計分!$AP264=""),"",計分!$AP264-計分!AD264)</f>
        <v/>
      </c>
      <c r="AE264">
        <f>IF(OR(計分!AE264="",計分!$AP264=""),"",計分!$AP264-計分!AE264)</f>
        <v/>
      </c>
      <c r="AF264">
        <f>IF(OR(計分!AF264="",計分!$AP264=""),"",計分!$AP264-計分!AF264)</f>
        <v/>
      </c>
      <c r="AG264">
        <f>IF(OR(計分!AG264="",計分!$AP264=""),"",計分!$AP264-計分!AG264)</f>
        <v/>
      </c>
      <c r="AH264">
        <f>IF(OR(計分!AH264="",計分!$AP264=""),"",計分!$AP264-計分!AH264)</f>
        <v/>
      </c>
      <c r="AI264">
        <f>IF(OR(計分!AI264="",計分!$AP264=""),"",計分!$AP264-計分!AI264)</f>
        <v/>
      </c>
      <c r="AJ264">
        <f>IF(OR(計分!AJ264="",計分!$AP264=""),"",計分!$AP264-計分!AJ264)</f>
        <v/>
      </c>
      <c r="AK264">
        <f>IF(OR(計分!AK264="",計分!$AP264=""),"",計分!$AP264-計分!AK264)</f>
        <v/>
      </c>
      <c r="AL264">
        <f>IF(OR(計分!AL264="",計分!$AP264=""),"",計分!$AP264-計分!AL264)</f>
        <v/>
      </c>
      <c r="AM264">
        <f>IF(OR(計分!AM264="",計分!$AP264=""),"",計分!$AP264-計分!AM264)</f>
        <v/>
      </c>
      <c r="AN264">
        <f>IF(OR(計分!AN264="",計分!$AP264=""),"",計分!$AP264-計分!AN264)</f>
        <v/>
      </c>
      <c r="AO264">
        <f>IF(OR(計分!AO264="",計分!$AP264=""),"",計分!$AP264-計分!AO264)</f>
        <v/>
      </c>
    </row>
    <row r="265">
      <c r="A265">
        <f>計分!A265</f>
        <v/>
      </c>
      <c r="B265">
        <f>IF(OR(計分!B265="",計分!$AP265=""),"",計分!$AP265-計分!B265)</f>
        <v/>
      </c>
      <c r="C265">
        <f>IF(OR(計分!C265="",計分!$AP265=""),"",計分!$AP265-計分!C265)</f>
        <v/>
      </c>
      <c r="D265">
        <f>IF(OR(計分!D265="",計分!$AP265=""),"",計分!$AP265-計分!D265)</f>
        <v/>
      </c>
      <c r="E265">
        <f>IF(OR(計分!E265="",計分!$AP265=""),"",計分!$AP265-計分!E265)</f>
        <v/>
      </c>
      <c r="F265">
        <f>IF(OR(計分!F265="",計分!$AP265=""),"",計分!$AP265-計分!F265)</f>
        <v/>
      </c>
      <c r="G265">
        <f>IF(OR(計分!G265="",計分!$AP265=""),"",計分!$AP265-計分!G265)</f>
        <v/>
      </c>
      <c r="H265">
        <f>IF(OR(計分!H265="",計分!$AP265=""),"",計分!$AP265-計分!H265)</f>
        <v/>
      </c>
      <c r="I265">
        <f>IF(OR(計分!I265="",計分!$AP265=""),"",計分!$AP265-計分!I265)</f>
        <v/>
      </c>
      <c r="J265">
        <f>IF(OR(計分!J265="",計分!$AP265=""),"",計分!$AP265-計分!J265)</f>
        <v/>
      </c>
      <c r="K265">
        <f>IF(OR(計分!K265="",計分!$AP265=""),"",計分!$AP265-計分!K265)</f>
        <v/>
      </c>
      <c r="L265">
        <f>IF(OR(計分!L265="",計分!$AP265=""),"",計分!$AP265-計分!L265)</f>
        <v/>
      </c>
      <c r="M265">
        <f>IF(OR(計分!M265="",計分!$AP265=""),"",計分!$AP265-計分!M265)</f>
        <v/>
      </c>
      <c r="N265">
        <f>IF(OR(計分!N265="",計分!$AP265=""),"",計分!$AP265-計分!N265)</f>
        <v/>
      </c>
      <c r="O265">
        <f>IF(OR(計分!O265="",計分!$AP265=""),"",計分!$AP265-計分!O265)</f>
        <v/>
      </c>
      <c r="P265">
        <f>IF(OR(計分!P265="",計分!$AP265=""),"",計分!$AP265-計分!P265)</f>
        <v/>
      </c>
      <c r="Q265">
        <f>IF(OR(計分!Q265="",計分!$AP265=""),"",計分!$AP265-計分!Q265)</f>
        <v/>
      </c>
      <c r="R265">
        <f>IF(OR(計分!R265="",計分!$AP265=""),"",計分!$AP265-計分!R265)</f>
        <v/>
      </c>
      <c r="S265">
        <f>IF(OR(計分!S265="",計分!$AP265=""),"",計分!$AP265-計分!S265)</f>
        <v/>
      </c>
      <c r="T265">
        <f>IF(OR(計分!T265="",計分!$AP265=""),"",計分!$AP265-計分!T265)</f>
        <v/>
      </c>
      <c r="U265">
        <f>IF(OR(計分!U265="",計分!$AP265=""),"",計分!$AP265-計分!U265)</f>
        <v/>
      </c>
      <c r="V265">
        <f>IF(OR(計分!V265="",計分!$AP265=""),"",計分!$AP265-計分!V265)</f>
        <v/>
      </c>
      <c r="W265">
        <f>IF(OR(計分!W265="",計分!$AP265=""),"",計分!$AP265-計分!W265)</f>
        <v/>
      </c>
      <c r="X265">
        <f>IF(OR(計分!X265="",計分!$AP265=""),"",計分!$AP265-計分!X265)</f>
        <v/>
      </c>
      <c r="Y265">
        <f>IF(OR(計分!Y265="",計分!$AP265=""),"",計分!$AP265-計分!Y265)</f>
        <v/>
      </c>
      <c r="Z265">
        <f>IF(OR(計分!Z265="",計分!$AP265=""),"",計分!$AP265-計分!Z265)</f>
        <v/>
      </c>
      <c r="AA265">
        <f>IF(OR(計分!AA265="",計分!$AP265=""),"",計分!$AP265-計分!AA265)</f>
        <v/>
      </c>
      <c r="AB265">
        <f>IF(OR(計分!AB265="",計分!$AP265=""),"",計分!$AP265-計分!AB265)</f>
        <v/>
      </c>
      <c r="AC265">
        <f>IF(OR(計分!AC265="",計分!$AP265=""),"",計分!$AP265-計分!AC265)</f>
        <v/>
      </c>
      <c r="AD265">
        <f>IF(OR(計分!AD265="",計分!$AP265=""),"",計分!$AP265-計分!AD265)</f>
        <v/>
      </c>
      <c r="AE265">
        <f>IF(OR(計分!AE265="",計分!$AP265=""),"",計分!$AP265-計分!AE265)</f>
        <v/>
      </c>
      <c r="AF265">
        <f>IF(OR(計分!AF265="",計分!$AP265=""),"",計分!$AP265-計分!AF265)</f>
        <v/>
      </c>
      <c r="AG265">
        <f>IF(OR(計分!AG265="",計分!$AP265=""),"",計分!$AP265-計分!AG265)</f>
        <v/>
      </c>
      <c r="AH265">
        <f>IF(OR(計分!AH265="",計分!$AP265=""),"",計分!$AP265-計分!AH265)</f>
        <v/>
      </c>
      <c r="AI265">
        <f>IF(OR(計分!AI265="",計分!$AP265=""),"",計分!$AP265-計分!AI265)</f>
        <v/>
      </c>
      <c r="AJ265">
        <f>IF(OR(計分!AJ265="",計分!$AP265=""),"",計分!$AP265-計分!AJ265)</f>
        <v/>
      </c>
      <c r="AK265">
        <f>IF(OR(計分!AK265="",計分!$AP265=""),"",計分!$AP265-計分!AK265)</f>
        <v/>
      </c>
      <c r="AL265">
        <f>IF(OR(計分!AL265="",計分!$AP265=""),"",計分!$AP265-計分!AL265)</f>
        <v/>
      </c>
      <c r="AM265">
        <f>IF(OR(計分!AM265="",計分!$AP265=""),"",計分!$AP265-計分!AM265)</f>
        <v/>
      </c>
      <c r="AN265">
        <f>IF(OR(計分!AN265="",計分!$AP265=""),"",計分!$AP265-計分!AN265)</f>
        <v/>
      </c>
      <c r="AO265">
        <f>IF(OR(計分!AO265="",計分!$AP265=""),"",計分!$AP265-計分!AO265)</f>
        <v/>
      </c>
    </row>
    <row r="266">
      <c r="A266">
        <f>計分!A266</f>
        <v/>
      </c>
      <c r="B266">
        <f>IF(OR(計分!B266="",計分!$AP266=""),"",計分!$AP266-計分!B266)</f>
        <v/>
      </c>
      <c r="C266">
        <f>IF(OR(計分!C266="",計分!$AP266=""),"",計分!$AP266-計分!C266)</f>
        <v/>
      </c>
      <c r="D266">
        <f>IF(OR(計分!D266="",計分!$AP266=""),"",計分!$AP266-計分!D266)</f>
        <v/>
      </c>
      <c r="E266">
        <f>IF(OR(計分!E266="",計分!$AP266=""),"",計分!$AP266-計分!E266)</f>
        <v/>
      </c>
      <c r="F266">
        <f>IF(OR(計分!F266="",計分!$AP266=""),"",計分!$AP266-計分!F266)</f>
        <v/>
      </c>
      <c r="G266">
        <f>IF(OR(計分!G266="",計分!$AP266=""),"",計分!$AP266-計分!G266)</f>
        <v/>
      </c>
      <c r="H266">
        <f>IF(OR(計分!H266="",計分!$AP266=""),"",計分!$AP266-計分!H266)</f>
        <v/>
      </c>
      <c r="I266">
        <f>IF(OR(計分!I266="",計分!$AP266=""),"",計分!$AP266-計分!I266)</f>
        <v/>
      </c>
      <c r="J266">
        <f>IF(OR(計分!J266="",計分!$AP266=""),"",計分!$AP266-計分!J266)</f>
        <v/>
      </c>
      <c r="K266">
        <f>IF(OR(計分!K266="",計分!$AP266=""),"",計分!$AP266-計分!K266)</f>
        <v/>
      </c>
      <c r="L266">
        <f>IF(OR(計分!L266="",計分!$AP266=""),"",計分!$AP266-計分!L266)</f>
        <v/>
      </c>
      <c r="M266">
        <f>IF(OR(計分!M266="",計分!$AP266=""),"",計分!$AP266-計分!M266)</f>
        <v/>
      </c>
      <c r="N266">
        <f>IF(OR(計分!N266="",計分!$AP266=""),"",計分!$AP266-計分!N266)</f>
        <v/>
      </c>
      <c r="O266">
        <f>IF(OR(計分!O266="",計分!$AP266=""),"",計分!$AP266-計分!O266)</f>
        <v/>
      </c>
      <c r="P266">
        <f>IF(OR(計分!P266="",計分!$AP266=""),"",計分!$AP266-計分!P266)</f>
        <v/>
      </c>
      <c r="Q266">
        <f>IF(OR(計分!Q266="",計分!$AP266=""),"",計分!$AP266-計分!Q266)</f>
        <v/>
      </c>
      <c r="R266">
        <f>IF(OR(計分!R266="",計分!$AP266=""),"",計分!$AP266-計分!R266)</f>
        <v/>
      </c>
      <c r="S266">
        <f>IF(OR(計分!S266="",計分!$AP266=""),"",計分!$AP266-計分!S266)</f>
        <v/>
      </c>
      <c r="T266">
        <f>IF(OR(計分!T266="",計分!$AP266=""),"",計分!$AP266-計分!T266)</f>
        <v/>
      </c>
      <c r="U266">
        <f>IF(OR(計分!U266="",計分!$AP266=""),"",計分!$AP266-計分!U266)</f>
        <v/>
      </c>
      <c r="V266">
        <f>IF(OR(計分!V266="",計分!$AP266=""),"",計分!$AP266-計分!V266)</f>
        <v/>
      </c>
      <c r="W266">
        <f>IF(OR(計分!W266="",計分!$AP266=""),"",計分!$AP266-計分!W266)</f>
        <v/>
      </c>
      <c r="X266">
        <f>IF(OR(計分!X266="",計分!$AP266=""),"",計分!$AP266-計分!X266)</f>
        <v/>
      </c>
      <c r="Y266">
        <f>IF(OR(計分!Y266="",計分!$AP266=""),"",計分!$AP266-計分!Y266)</f>
        <v/>
      </c>
      <c r="Z266">
        <f>IF(OR(計分!Z266="",計分!$AP266=""),"",計分!$AP266-計分!Z266)</f>
        <v/>
      </c>
      <c r="AA266">
        <f>IF(OR(計分!AA266="",計分!$AP266=""),"",計分!$AP266-計分!AA266)</f>
        <v/>
      </c>
      <c r="AB266">
        <f>IF(OR(計分!AB266="",計分!$AP266=""),"",計分!$AP266-計分!AB266)</f>
        <v/>
      </c>
      <c r="AC266">
        <f>IF(OR(計分!AC266="",計分!$AP266=""),"",計分!$AP266-計分!AC266)</f>
        <v/>
      </c>
      <c r="AD266">
        <f>IF(OR(計分!AD266="",計分!$AP266=""),"",計分!$AP266-計分!AD266)</f>
        <v/>
      </c>
      <c r="AE266">
        <f>IF(OR(計分!AE266="",計分!$AP266=""),"",計分!$AP266-計分!AE266)</f>
        <v/>
      </c>
      <c r="AF266">
        <f>IF(OR(計分!AF266="",計分!$AP266=""),"",計分!$AP266-計分!AF266)</f>
        <v/>
      </c>
      <c r="AG266">
        <f>IF(OR(計分!AG266="",計分!$AP266=""),"",計分!$AP266-計分!AG266)</f>
        <v/>
      </c>
      <c r="AH266">
        <f>IF(OR(計分!AH266="",計分!$AP266=""),"",計分!$AP266-計分!AH266)</f>
        <v/>
      </c>
      <c r="AI266">
        <f>IF(OR(計分!AI266="",計分!$AP266=""),"",計分!$AP266-計分!AI266)</f>
        <v/>
      </c>
      <c r="AJ266">
        <f>IF(OR(計分!AJ266="",計分!$AP266=""),"",計分!$AP266-計分!AJ266)</f>
        <v/>
      </c>
      <c r="AK266">
        <f>IF(OR(計分!AK266="",計分!$AP266=""),"",計分!$AP266-計分!AK266)</f>
        <v/>
      </c>
      <c r="AL266">
        <f>IF(OR(計分!AL266="",計分!$AP266=""),"",計分!$AP266-計分!AL266)</f>
        <v/>
      </c>
      <c r="AM266">
        <f>IF(OR(計分!AM266="",計分!$AP266=""),"",計分!$AP266-計分!AM266)</f>
        <v/>
      </c>
      <c r="AN266">
        <f>IF(OR(計分!AN266="",計分!$AP266=""),"",計分!$AP266-計分!AN266)</f>
        <v/>
      </c>
      <c r="AO266">
        <f>IF(OR(計分!AO266="",計分!$AP266=""),"",計分!$AP266-計分!AO266)</f>
        <v/>
      </c>
    </row>
    <row r="267">
      <c r="A267">
        <f>計分!A267</f>
        <v/>
      </c>
      <c r="B267">
        <f>IF(OR(計分!B267="",計分!$AP267=""),"",計分!$AP267-計分!B267)</f>
        <v/>
      </c>
      <c r="C267">
        <f>IF(OR(計分!C267="",計分!$AP267=""),"",計分!$AP267-計分!C267)</f>
        <v/>
      </c>
      <c r="D267">
        <f>IF(OR(計分!D267="",計分!$AP267=""),"",計分!$AP267-計分!D267)</f>
        <v/>
      </c>
      <c r="E267">
        <f>IF(OR(計分!E267="",計分!$AP267=""),"",計分!$AP267-計分!E267)</f>
        <v/>
      </c>
      <c r="F267">
        <f>IF(OR(計分!F267="",計分!$AP267=""),"",計分!$AP267-計分!F267)</f>
        <v/>
      </c>
      <c r="G267">
        <f>IF(OR(計分!G267="",計分!$AP267=""),"",計分!$AP267-計分!G267)</f>
        <v/>
      </c>
      <c r="H267">
        <f>IF(OR(計分!H267="",計分!$AP267=""),"",計分!$AP267-計分!H267)</f>
        <v/>
      </c>
      <c r="I267">
        <f>IF(OR(計分!I267="",計分!$AP267=""),"",計分!$AP267-計分!I267)</f>
        <v/>
      </c>
      <c r="J267">
        <f>IF(OR(計分!J267="",計分!$AP267=""),"",計分!$AP267-計分!J267)</f>
        <v/>
      </c>
      <c r="K267">
        <f>IF(OR(計分!K267="",計分!$AP267=""),"",計分!$AP267-計分!K267)</f>
        <v/>
      </c>
      <c r="L267">
        <f>IF(OR(計分!L267="",計分!$AP267=""),"",計分!$AP267-計分!L267)</f>
        <v/>
      </c>
      <c r="M267">
        <f>IF(OR(計分!M267="",計分!$AP267=""),"",計分!$AP267-計分!M267)</f>
        <v/>
      </c>
      <c r="N267">
        <f>IF(OR(計分!N267="",計分!$AP267=""),"",計分!$AP267-計分!N267)</f>
        <v/>
      </c>
      <c r="O267">
        <f>IF(OR(計分!O267="",計分!$AP267=""),"",計分!$AP267-計分!O267)</f>
        <v/>
      </c>
      <c r="P267">
        <f>IF(OR(計分!P267="",計分!$AP267=""),"",計分!$AP267-計分!P267)</f>
        <v/>
      </c>
      <c r="Q267">
        <f>IF(OR(計分!Q267="",計分!$AP267=""),"",計分!$AP267-計分!Q267)</f>
        <v/>
      </c>
      <c r="R267">
        <f>IF(OR(計分!R267="",計分!$AP267=""),"",計分!$AP267-計分!R267)</f>
        <v/>
      </c>
      <c r="S267">
        <f>IF(OR(計分!S267="",計分!$AP267=""),"",計分!$AP267-計分!S267)</f>
        <v/>
      </c>
      <c r="T267">
        <f>IF(OR(計分!T267="",計分!$AP267=""),"",計分!$AP267-計分!T267)</f>
        <v/>
      </c>
      <c r="U267">
        <f>IF(OR(計分!U267="",計分!$AP267=""),"",計分!$AP267-計分!U267)</f>
        <v/>
      </c>
      <c r="V267">
        <f>IF(OR(計分!V267="",計分!$AP267=""),"",計分!$AP267-計分!V267)</f>
        <v/>
      </c>
      <c r="W267">
        <f>IF(OR(計分!W267="",計分!$AP267=""),"",計分!$AP267-計分!W267)</f>
        <v/>
      </c>
      <c r="X267">
        <f>IF(OR(計分!X267="",計分!$AP267=""),"",計分!$AP267-計分!X267)</f>
        <v/>
      </c>
      <c r="Y267">
        <f>IF(OR(計分!Y267="",計分!$AP267=""),"",計分!$AP267-計分!Y267)</f>
        <v/>
      </c>
      <c r="Z267">
        <f>IF(OR(計分!Z267="",計分!$AP267=""),"",計分!$AP267-計分!Z267)</f>
        <v/>
      </c>
      <c r="AA267">
        <f>IF(OR(計分!AA267="",計分!$AP267=""),"",計分!$AP267-計分!AA267)</f>
        <v/>
      </c>
      <c r="AB267">
        <f>IF(OR(計分!AB267="",計分!$AP267=""),"",計分!$AP267-計分!AB267)</f>
        <v/>
      </c>
      <c r="AC267">
        <f>IF(OR(計分!AC267="",計分!$AP267=""),"",計分!$AP267-計分!AC267)</f>
        <v/>
      </c>
      <c r="AD267">
        <f>IF(OR(計分!AD267="",計分!$AP267=""),"",計分!$AP267-計分!AD267)</f>
        <v/>
      </c>
      <c r="AE267">
        <f>IF(OR(計分!AE267="",計分!$AP267=""),"",計分!$AP267-計分!AE267)</f>
        <v/>
      </c>
      <c r="AF267">
        <f>IF(OR(計分!AF267="",計分!$AP267=""),"",計分!$AP267-計分!AF267)</f>
        <v/>
      </c>
      <c r="AG267">
        <f>IF(OR(計分!AG267="",計分!$AP267=""),"",計分!$AP267-計分!AG267)</f>
        <v/>
      </c>
      <c r="AH267">
        <f>IF(OR(計分!AH267="",計分!$AP267=""),"",計分!$AP267-計分!AH267)</f>
        <v/>
      </c>
      <c r="AI267">
        <f>IF(OR(計分!AI267="",計分!$AP267=""),"",計分!$AP267-計分!AI267)</f>
        <v/>
      </c>
      <c r="AJ267">
        <f>IF(OR(計分!AJ267="",計分!$AP267=""),"",計分!$AP267-計分!AJ267)</f>
        <v/>
      </c>
      <c r="AK267">
        <f>IF(OR(計分!AK267="",計分!$AP267=""),"",計分!$AP267-計分!AK267)</f>
        <v/>
      </c>
      <c r="AL267">
        <f>IF(OR(計分!AL267="",計分!$AP267=""),"",計分!$AP267-計分!AL267)</f>
        <v/>
      </c>
      <c r="AM267">
        <f>IF(OR(計分!AM267="",計分!$AP267=""),"",計分!$AP267-計分!AM267)</f>
        <v/>
      </c>
      <c r="AN267">
        <f>IF(OR(計分!AN267="",計分!$AP267=""),"",計分!$AP267-計分!AN267)</f>
        <v/>
      </c>
      <c r="AO267">
        <f>IF(OR(計分!AO267="",計分!$AP267=""),"",計分!$AP267-計分!AO267)</f>
        <v/>
      </c>
    </row>
    <row r="268">
      <c r="A268">
        <f>計分!A268</f>
        <v/>
      </c>
      <c r="B268">
        <f>IF(OR(計分!B268="",計分!$AP268=""),"",計分!$AP268-計分!B268)</f>
        <v/>
      </c>
      <c r="C268">
        <f>IF(OR(計分!C268="",計分!$AP268=""),"",計分!$AP268-計分!C268)</f>
        <v/>
      </c>
      <c r="D268">
        <f>IF(OR(計分!D268="",計分!$AP268=""),"",計分!$AP268-計分!D268)</f>
        <v/>
      </c>
      <c r="E268">
        <f>IF(OR(計分!E268="",計分!$AP268=""),"",計分!$AP268-計分!E268)</f>
        <v/>
      </c>
      <c r="F268">
        <f>IF(OR(計分!F268="",計分!$AP268=""),"",計分!$AP268-計分!F268)</f>
        <v/>
      </c>
      <c r="G268">
        <f>IF(OR(計分!G268="",計分!$AP268=""),"",計分!$AP268-計分!G268)</f>
        <v/>
      </c>
      <c r="H268">
        <f>IF(OR(計分!H268="",計分!$AP268=""),"",計分!$AP268-計分!H268)</f>
        <v/>
      </c>
      <c r="I268">
        <f>IF(OR(計分!I268="",計分!$AP268=""),"",計分!$AP268-計分!I268)</f>
        <v/>
      </c>
      <c r="J268">
        <f>IF(OR(計分!J268="",計分!$AP268=""),"",計分!$AP268-計分!J268)</f>
        <v/>
      </c>
      <c r="K268">
        <f>IF(OR(計分!K268="",計分!$AP268=""),"",計分!$AP268-計分!K268)</f>
        <v/>
      </c>
      <c r="L268">
        <f>IF(OR(計分!L268="",計分!$AP268=""),"",計分!$AP268-計分!L268)</f>
        <v/>
      </c>
      <c r="M268">
        <f>IF(OR(計分!M268="",計分!$AP268=""),"",計分!$AP268-計分!M268)</f>
        <v/>
      </c>
      <c r="N268">
        <f>IF(OR(計分!N268="",計分!$AP268=""),"",計分!$AP268-計分!N268)</f>
        <v/>
      </c>
      <c r="O268">
        <f>IF(OR(計分!O268="",計分!$AP268=""),"",計分!$AP268-計分!O268)</f>
        <v/>
      </c>
      <c r="P268">
        <f>IF(OR(計分!P268="",計分!$AP268=""),"",計分!$AP268-計分!P268)</f>
        <v/>
      </c>
      <c r="Q268">
        <f>IF(OR(計分!Q268="",計分!$AP268=""),"",計分!$AP268-計分!Q268)</f>
        <v/>
      </c>
      <c r="R268">
        <f>IF(OR(計分!R268="",計分!$AP268=""),"",計分!$AP268-計分!R268)</f>
        <v/>
      </c>
      <c r="S268">
        <f>IF(OR(計分!S268="",計分!$AP268=""),"",計分!$AP268-計分!S268)</f>
        <v/>
      </c>
      <c r="T268">
        <f>IF(OR(計分!T268="",計分!$AP268=""),"",計分!$AP268-計分!T268)</f>
        <v/>
      </c>
      <c r="U268">
        <f>IF(OR(計分!U268="",計分!$AP268=""),"",計分!$AP268-計分!U268)</f>
        <v/>
      </c>
      <c r="V268">
        <f>IF(OR(計分!V268="",計分!$AP268=""),"",計分!$AP268-計分!V268)</f>
        <v/>
      </c>
      <c r="W268">
        <f>IF(OR(計分!W268="",計分!$AP268=""),"",計分!$AP268-計分!W268)</f>
        <v/>
      </c>
      <c r="X268">
        <f>IF(OR(計分!X268="",計分!$AP268=""),"",計分!$AP268-計分!X268)</f>
        <v/>
      </c>
      <c r="Y268">
        <f>IF(OR(計分!Y268="",計分!$AP268=""),"",計分!$AP268-計分!Y268)</f>
        <v/>
      </c>
      <c r="Z268">
        <f>IF(OR(計分!Z268="",計分!$AP268=""),"",計分!$AP268-計分!Z268)</f>
        <v/>
      </c>
      <c r="AA268">
        <f>IF(OR(計分!AA268="",計分!$AP268=""),"",計分!$AP268-計分!AA268)</f>
        <v/>
      </c>
      <c r="AB268">
        <f>IF(OR(計分!AB268="",計分!$AP268=""),"",計分!$AP268-計分!AB268)</f>
        <v/>
      </c>
      <c r="AC268">
        <f>IF(OR(計分!AC268="",計分!$AP268=""),"",計分!$AP268-計分!AC268)</f>
        <v/>
      </c>
      <c r="AD268">
        <f>IF(OR(計分!AD268="",計分!$AP268=""),"",計分!$AP268-計分!AD268)</f>
        <v/>
      </c>
      <c r="AE268">
        <f>IF(OR(計分!AE268="",計分!$AP268=""),"",計分!$AP268-計分!AE268)</f>
        <v/>
      </c>
      <c r="AF268">
        <f>IF(OR(計分!AF268="",計分!$AP268=""),"",計分!$AP268-計分!AF268)</f>
        <v/>
      </c>
      <c r="AG268">
        <f>IF(OR(計分!AG268="",計分!$AP268=""),"",計分!$AP268-計分!AG268)</f>
        <v/>
      </c>
      <c r="AH268">
        <f>IF(OR(計分!AH268="",計分!$AP268=""),"",計分!$AP268-計分!AH268)</f>
        <v/>
      </c>
      <c r="AI268">
        <f>IF(OR(計分!AI268="",計分!$AP268=""),"",計分!$AP268-計分!AI268)</f>
        <v/>
      </c>
      <c r="AJ268">
        <f>IF(OR(計分!AJ268="",計分!$AP268=""),"",計分!$AP268-計分!AJ268)</f>
        <v/>
      </c>
      <c r="AK268">
        <f>IF(OR(計分!AK268="",計分!$AP268=""),"",計分!$AP268-計分!AK268)</f>
        <v/>
      </c>
      <c r="AL268">
        <f>IF(OR(計分!AL268="",計分!$AP268=""),"",計分!$AP268-計分!AL268)</f>
        <v/>
      </c>
      <c r="AM268">
        <f>IF(OR(計分!AM268="",計分!$AP268=""),"",計分!$AP268-計分!AM268)</f>
        <v/>
      </c>
      <c r="AN268">
        <f>IF(OR(計分!AN268="",計分!$AP268=""),"",計分!$AP268-計分!AN268)</f>
        <v/>
      </c>
      <c r="AO268">
        <f>IF(OR(計分!AO268="",計分!$AP268=""),"",計分!$AP268-計分!AO268)</f>
        <v/>
      </c>
    </row>
    <row r="269">
      <c r="A269">
        <f>計分!A269</f>
        <v/>
      </c>
      <c r="B269">
        <f>IF(OR(計分!B269="",計分!$AP269=""),"",計分!$AP269-計分!B269)</f>
        <v/>
      </c>
      <c r="C269">
        <f>IF(OR(計分!C269="",計分!$AP269=""),"",計分!$AP269-計分!C269)</f>
        <v/>
      </c>
      <c r="D269">
        <f>IF(OR(計分!D269="",計分!$AP269=""),"",計分!$AP269-計分!D269)</f>
        <v/>
      </c>
      <c r="E269">
        <f>IF(OR(計分!E269="",計分!$AP269=""),"",計分!$AP269-計分!E269)</f>
        <v/>
      </c>
      <c r="F269">
        <f>IF(OR(計分!F269="",計分!$AP269=""),"",計分!$AP269-計分!F269)</f>
        <v/>
      </c>
      <c r="G269">
        <f>IF(OR(計分!G269="",計分!$AP269=""),"",計分!$AP269-計分!G269)</f>
        <v/>
      </c>
      <c r="H269">
        <f>IF(OR(計分!H269="",計分!$AP269=""),"",計分!$AP269-計分!H269)</f>
        <v/>
      </c>
      <c r="I269">
        <f>IF(OR(計分!I269="",計分!$AP269=""),"",計分!$AP269-計分!I269)</f>
        <v/>
      </c>
      <c r="J269">
        <f>IF(OR(計分!J269="",計分!$AP269=""),"",計分!$AP269-計分!J269)</f>
        <v/>
      </c>
      <c r="K269">
        <f>IF(OR(計分!K269="",計分!$AP269=""),"",計分!$AP269-計分!K269)</f>
        <v/>
      </c>
      <c r="L269">
        <f>IF(OR(計分!L269="",計分!$AP269=""),"",計分!$AP269-計分!L269)</f>
        <v/>
      </c>
      <c r="M269">
        <f>IF(OR(計分!M269="",計分!$AP269=""),"",計分!$AP269-計分!M269)</f>
        <v/>
      </c>
      <c r="N269">
        <f>IF(OR(計分!N269="",計分!$AP269=""),"",計分!$AP269-計分!N269)</f>
        <v/>
      </c>
      <c r="O269">
        <f>IF(OR(計分!O269="",計分!$AP269=""),"",計分!$AP269-計分!O269)</f>
        <v/>
      </c>
      <c r="P269">
        <f>IF(OR(計分!P269="",計分!$AP269=""),"",計分!$AP269-計分!P269)</f>
        <v/>
      </c>
      <c r="Q269">
        <f>IF(OR(計分!Q269="",計分!$AP269=""),"",計分!$AP269-計分!Q269)</f>
        <v/>
      </c>
      <c r="R269">
        <f>IF(OR(計分!R269="",計分!$AP269=""),"",計分!$AP269-計分!R269)</f>
        <v/>
      </c>
      <c r="S269">
        <f>IF(OR(計分!S269="",計分!$AP269=""),"",計分!$AP269-計分!S269)</f>
        <v/>
      </c>
      <c r="T269">
        <f>IF(OR(計分!T269="",計分!$AP269=""),"",計分!$AP269-計分!T269)</f>
        <v/>
      </c>
      <c r="U269">
        <f>IF(OR(計分!U269="",計分!$AP269=""),"",計分!$AP269-計分!U269)</f>
        <v/>
      </c>
      <c r="V269">
        <f>IF(OR(計分!V269="",計分!$AP269=""),"",計分!$AP269-計分!V269)</f>
        <v/>
      </c>
      <c r="W269">
        <f>IF(OR(計分!W269="",計分!$AP269=""),"",計分!$AP269-計分!W269)</f>
        <v/>
      </c>
      <c r="X269">
        <f>IF(OR(計分!X269="",計分!$AP269=""),"",計分!$AP269-計分!X269)</f>
        <v/>
      </c>
      <c r="Y269">
        <f>IF(OR(計分!Y269="",計分!$AP269=""),"",計分!$AP269-計分!Y269)</f>
        <v/>
      </c>
      <c r="Z269">
        <f>IF(OR(計分!Z269="",計分!$AP269=""),"",計分!$AP269-計分!Z269)</f>
        <v/>
      </c>
      <c r="AA269">
        <f>IF(OR(計分!AA269="",計分!$AP269=""),"",計分!$AP269-計分!AA269)</f>
        <v/>
      </c>
      <c r="AB269">
        <f>IF(OR(計分!AB269="",計分!$AP269=""),"",計分!$AP269-計分!AB269)</f>
        <v/>
      </c>
      <c r="AC269">
        <f>IF(OR(計分!AC269="",計分!$AP269=""),"",計分!$AP269-計分!AC269)</f>
        <v/>
      </c>
      <c r="AD269">
        <f>IF(OR(計分!AD269="",計分!$AP269=""),"",計分!$AP269-計分!AD269)</f>
        <v/>
      </c>
      <c r="AE269">
        <f>IF(OR(計分!AE269="",計分!$AP269=""),"",計分!$AP269-計分!AE269)</f>
        <v/>
      </c>
      <c r="AF269">
        <f>IF(OR(計分!AF269="",計分!$AP269=""),"",計分!$AP269-計分!AF269)</f>
        <v/>
      </c>
      <c r="AG269">
        <f>IF(OR(計分!AG269="",計分!$AP269=""),"",計分!$AP269-計分!AG269)</f>
        <v/>
      </c>
      <c r="AH269">
        <f>IF(OR(計分!AH269="",計分!$AP269=""),"",計分!$AP269-計分!AH269)</f>
        <v/>
      </c>
      <c r="AI269">
        <f>IF(OR(計分!AI269="",計分!$AP269=""),"",計分!$AP269-計分!AI269)</f>
        <v/>
      </c>
      <c r="AJ269">
        <f>IF(OR(計分!AJ269="",計分!$AP269=""),"",計分!$AP269-計分!AJ269)</f>
        <v/>
      </c>
      <c r="AK269">
        <f>IF(OR(計分!AK269="",計分!$AP269=""),"",計分!$AP269-計分!AK269)</f>
        <v/>
      </c>
      <c r="AL269">
        <f>IF(OR(計分!AL269="",計分!$AP269=""),"",計分!$AP269-計分!AL269)</f>
        <v/>
      </c>
      <c r="AM269">
        <f>IF(OR(計分!AM269="",計分!$AP269=""),"",計分!$AP269-計分!AM269)</f>
        <v/>
      </c>
      <c r="AN269">
        <f>IF(OR(計分!AN269="",計分!$AP269=""),"",計分!$AP269-計分!AN269)</f>
        <v/>
      </c>
      <c r="AO269">
        <f>IF(OR(計分!AO269="",計分!$AP269=""),"",計分!$AP269-計分!AO269)</f>
        <v/>
      </c>
    </row>
    <row r="270">
      <c r="A270">
        <f>計分!A270</f>
        <v/>
      </c>
      <c r="B270">
        <f>IF(OR(計分!B270="",計分!$AP270=""),"",計分!$AP270-計分!B270)</f>
        <v/>
      </c>
      <c r="C270">
        <f>IF(OR(計分!C270="",計分!$AP270=""),"",計分!$AP270-計分!C270)</f>
        <v/>
      </c>
      <c r="D270">
        <f>IF(OR(計分!D270="",計分!$AP270=""),"",計分!$AP270-計分!D270)</f>
        <v/>
      </c>
      <c r="E270">
        <f>IF(OR(計分!E270="",計分!$AP270=""),"",計分!$AP270-計分!E270)</f>
        <v/>
      </c>
      <c r="F270">
        <f>IF(OR(計分!F270="",計分!$AP270=""),"",計分!$AP270-計分!F270)</f>
        <v/>
      </c>
      <c r="G270">
        <f>IF(OR(計分!G270="",計分!$AP270=""),"",計分!$AP270-計分!G270)</f>
        <v/>
      </c>
      <c r="H270">
        <f>IF(OR(計分!H270="",計分!$AP270=""),"",計分!$AP270-計分!H270)</f>
        <v/>
      </c>
      <c r="I270">
        <f>IF(OR(計分!I270="",計分!$AP270=""),"",計分!$AP270-計分!I270)</f>
        <v/>
      </c>
      <c r="J270">
        <f>IF(OR(計分!J270="",計分!$AP270=""),"",計分!$AP270-計分!J270)</f>
        <v/>
      </c>
      <c r="K270">
        <f>IF(OR(計分!K270="",計分!$AP270=""),"",計分!$AP270-計分!K270)</f>
        <v/>
      </c>
      <c r="L270">
        <f>IF(OR(計分!L270="",計分!$AP270=""),"",計分!$AP270-計分!L270)</f>
        <v/>
      </c>
      <c r="M270">
        <f>IF(OR(計分!M270="",計分!$AP270=""),"",計分!$AP270-計分!M270)</f>
        <v/>
      </c>
      <c r="N270">
        <f>IF(OR(計分!N270="",計分!$AP270=""),"",計分!$AP270-計分!N270)</f>
        <v/>
      </c>
      <c r="O270">
        <f>IF(OR(計分!O270="",計分!$AP270=""),"",計分!$AP270-計分!O270)</f>
        <v/>
      </c>
      <c r="P270">
        <f>IF(OR(計分!P270="",計分!$AP270=""),"",計分!$AP270-計分!P270)</f>
        <v/>
      </c>
      <c r="Q270">
        <f>IF(OR(計分!Q270="",計分!$AP270=""),"",計分!$AP270-計分!Q270)</f>
        <v/>
      </c>
      <c r="R270">
        <f>IF(OR(計分!R270="",計分!$AP270=""),"",計分!$AP270-計分!R270)</f>
        <v/>
      </c>
      <c r="S270">
        <f>IF(OR(計分!S270="",計分!$AP270=""),"",計分!$AP270-計分!S270)</f>
        <v/>
      </c>
      <c r="T270">
        <f>IF(OR(計分!T270="",計分!$AP270=""),"",計分!$AP270-計分!T270)</f>
        <v/>
      </c>
      <c r="U270">
        <f>IF(OR(計分!U270="",計分!$AP270=""),"",計分!$AP270-計分!U270)</f>
        <v/>
      </c>
      <c r="V270">
        <f>IF(OR(計分!V270="",計分!$AP270=""),"",計分!$AP270-計分!V270)</f>
        <v/>
      </c>
      <c r="W270">
        <f>IF(OR(計分!W270="",計分!$AP270=""),"",計分!$AP270-計分!W270)</f>
        <v/>
      </c>
      <c r="X270">
        <f>IF(OR(計分!X270="",計分!$AP270=""),"",計分!$AP270-計分!X270)</f>
        <v/>
      </c>
      <c r="Y270">
        <f>IF(OR(計分!Y270="",計分!$AP270=""),"",計分!$AP270-計分!Y270)</f>
        <v/>
      </c>
      <c r="Z270">
        <f>IF(OR(計分!Z270="",計分!$AP270=""),"",計分!$AP270-計分!Z270)</f>
        <v/>
      </c>
      <c r="AA270">
        <f>IF(OR(計分!AA270="",計分!$AP270=""),"",計分!$AP270-計分!AA270)</f>
        <v/>
      </c>
      <c r="AB270">
        <f>IF(OR(計分!AB270="",計分!$AP270=""),"",計分!$AP270-計分!AB270)</f>
        <v/>
      </c>
      <c r="AC270">
        <f>IF(OR(計分!AC270="",計分!$AP270=""),"",計分!$AP270-計分!AC270)</f>
        <v/>
      </c>
      <c r="AD270">
        <f>IF(OR(計分!AD270="",計分!$AP270=""),"",計分!$AP270-計分!AD270)</f>
        <v/>
      </c>
      <c r="AE270">
        <f>IF(OR(計分!AE270="",計分!$AP270=""),"",計分!$AP270-計分!AE270)</f>
        <v/>
      </c>
      <c r="AF270">
        <f>IF(OR(計分!AF270="",計分!$AP270=""),"",計分!$AP270-計分!AF270)</f>
        <v/>
      </c>
      <c r="AG270">
        <f>IF(OR(計分!AG270="",計分!$AP270=""),"",計分!$AP270-計分!AG270)</f>
        <v/>
      </c>
      <c r="AH270">
        <f>IF(OR(計分!AH270="",計分!$AP270=""),"",計分!$AP270-計分!AH270)</f>
        <v/>
      </c>
      <c r="AI270">
        <f>IF(OR(計分!AI270="",計分!$AP270=""),"",計分!$AP270-計分!AI270)</f>
        <v/>
      </c>
      <c r="AJ270">
        <f>IF(OR(計分!AJ270="",計分!$AP270=""),"",計分!$AP270-計分!AJ270)</f>
        <v/>
      </c>
      <c r="AK270">
        <f>IF(OR(計分!AK270="",計分!$AP270=""),"",計分!$AP270-計分!AK270)</f>
        <v/>
      </c>
      <c r="AL270">
        <f>IF(OR(計分!AL270="",計分!$AP270=""),"",計分!$AP270-計分!AL270)</f>
        <v/>
      </c>
      <c r="AM270">
        <f>IF(OR(計分!AM270="",計分!$AP270=""),"",計分!$AP270-計分!AM270)</f>
        <v/>
      </c>
      <c r="AN270">
        <f>IF(OR(計分!AN270="",計分!$AP270=""),"",計分!$AP270-計分!AN270)</f>
        <v/>
      </c>
      <c r="AO270">
        <f>IF(OR(計分!AO270="",計分!$AP270=""),"",計分!$AP270-計分!AO270)</f>
        <v/>
      </c>
    </row>
    <row r="271">
      <c r="A271">
        <f>計分!A271</f>
        <v/>
      </c>
      <c r="B271">
        <f>IF(OR(計分!B271="",計分!$AP271=""),"",計分!$AP271-計分!B271)</f>
        <v/>
      </c>
      <c r="C271">
        <f>IF(OR(計分!C271="",計分!$AP271=""),"",計分!$AP271-計分!C271)</f>
        <v/>
      </c>
      <c r="D271">
        <f>IF(OR(計分!D271="",計分!$AP271=""),"",計分!$AP271-計分!D271)</f>
        <v/>
      </c>
      <c r="E271">
        <f>IF(OR(計分!E271="",計分!$AP271=""),"",計分!$AP271-計分!E271)</f>
        <v/>
      </c>
      <c r="F271">
        <f>IF(OR(計分!F271="",計分!$AP271=""),"",計分!$AP271-計分!F271)</f>
        <v/>
      </c>
      <c r="G271">
        <f>IF(OR(計分!G271="",計分!$AP271=""),"",計分!$AP271-計分!G271)</f>
        <v/>
      </c>
      <c r="H271">
        <f>IF(OR(計分!H271="",計分!$AP271=""),"",計分!$AP271-計分!H271)</f>
        <v/>
      </c>
      <c r="I271">
        <f>IF(OR(計分!I271="",計分!$AP271=""),"",計分!$AP271-計分!I271)</f>
        <v/>
      </c>
      <c r="J271">
        <f>IF(OR(計分!J271="",計分!$AP271=""),"",計分!$AP271-計分!J271)</f>
        <v/>
      </c>
      <c r="K271">
        <f>IF(OR(計分!K271="",計分!$AP271=""),"",計分!$AP271-計分!K271)</f>
        <v/>
      </c>
      <c r="L271">
        <f>IF(OR(計分!L271="",計分!$AP271=""),"",計分!$AP271-計分!L271)</f>
        <v/>
      </c>
      <c r="M271">
        <f>IF(OR(計分!M271="",計分!$AP271=""),"",計分!$AP271-計分!M271)</f>
        <v/>
      </c>
      <c r="N271">
        <f>IF(OR(計分!N271="",計分!$AP271=""),"",計分!$AP271-計分!N271)</f>
        <v/>
      </c>
      <c r="O271">
        <f>IF(OR(計分!O271="",計分!$AP271=""),"",計分!$AP271-計分!O271)</f>
        <v/>
      </c>
      <c r="P271">
        <f>IF(OR(計分!P271="",計分!$AP271=""),"",計分!$AP271-計分!P271)</f>
        <v/>
      </c>
      <c r="Q271">
        <f>IF(OR(計分!Q271="",計分!$AP271=""),"",計分!$AP271-計分!Q271)</f>
        <v/>
      </c>
      <c r="R271">
        <f>IF(OR(計分!R271="",計分!$AP271=""),"",計分!$AP271-計分!R271)</f>
        <v/>
      </c>
      <c r="S271">
        <f>IF(OR(計分!S271="",計分!$AP271=""),"",計分!$AP271-計分!S271)</f>
        <v/>
      </c>
      <c r="T271">
        <f>IF(OR(計分!T271="",計分!$AP271=""),"",計分!$AP271-計分!T271)</f>
        <v/>
      </c>
      <c r="U271">
        <f>IF(OR(計分!U271="",計分!$AP271=""),"",計分!$AP271-計分!U271)</f>
        <v/>
      </c>
      <c r="V271">
        <f>IF(OR(計分!V271="",計分!$AP271=""),"",計分!$AP271-計分!V271)</f>
        <v/>
      </c>
      <c r="W271">
        <f>IF(OR(計分!W271="",計分!$AP271=""),"",計分!$AP271-計分!W271)</f>
        <v/>
      </c>
      <c r="X271">
        <f>IF(OR(計分!X271="",計分!$AP271=""),"",計分!$AP271-計分!X271)</f>
        <v/>
      </c>
      <c r="Y271">
        <f>IF(OR(計分!Y271="",計分!$AP271=""),"",計分!$AP271-計分!Y271)</f>
        <v/>
      </c>
      <c r="Z271">
        <f>IF(OR(計分!Z271="",計分!$AP271=""),"",計分!$AP271-計分!Z271)</f>
        <v/>
      </c>
      <c r="AA271">
        <f>IF(OR(計分!AA271="",計分!$AP271=""),"",計分!$AP271-計分!AA271)</f>
        <v/>
      </c>
      <c r="AB271">
        <f>IF(OR(計分!AB271="",計分!$AP271=""),"",計分!$AP271-計分!AB271)</f>
        <v/>
      </c>
      <c r="AC271">
        <f>IF(OR(計分!AC271="",計分!$AP271=""),"",計分!$AP271-計分!AC271)</f>
        <v/>
      </c>
      <c r="AD271">
        <f>IF(OR(計分!AD271="",計分!$AP271=""),"",計分!$AP271-計分!AD271)</f>
        <v/>
      </c>
      <c r="AE271">
        <f>IF(OR(計分!AE271="",計分!$AP271=""),"",計分!$AP271-計分!AE271)</f>
        <v/>
      </c>
      <c r="AF271">
        <f>IF(OR(計分!AF271="",計分!$AP271=""),"",計分!$AP271-計分!AF271)</f>
        <v/>
      </c>
      <c r="AG271">
        <f>IF(OR(計分!AG271="",計分!$AP271=""),"",計分!$AP271-計分!AG271)</f>
        <v/>
      </c>
      <c r="AH271">
        <f>IF(OR(計分!AH271="",計分!$AP271=""),"",計分!$AP271-計分!AH271)</f>
        <v/>
      </c>
      <c r="AI271">
        <f>IF(OR(計分!AI271="",計分!$AP271=""),"",計分!$AP271-計分!AI271)</f>
        <v/>
      </c>
      <c r="AJ271">
        <f>IF(OR(計分!AJ271="",計分!$AP271=""),"",計分!$AP271-計分!AJ271)</f>
        <v/>
      </c>
      <c r="AK271">
        <f>IF(OR(計分!AK271="",計分!$AP271=""),"",計分!$AP271-計分!AK271)</f>
        <v/>
      </c>
      <c r="AL271">
        <f>IF(OR(計分!AL271="",計分!$AP271=""),"",計分!$AP271-計分!AL271)</f>
        <v/>
      </c>
      <c r="AM271">
        <f>IF(OR(計分!AM271="",計分!$AP271=""),"",計分!$AP271-計分!AM271)</f>
        <v/>
      </c>
      <c r="AN271">
        <f>IF(OR(計分!AN271="",計分!$AP271=""),"",計分!$AP271-計分!AN271)</f>
        <v/>
      </c>
      <c r="AO271">
        <f>IF(OR(計分!AO271="",計分!$AP271=""),"",計分!$AP271-計分!AO271)</f>
        <v/>
      </c>
    </row>
    <row r="272">
      <c r="A272">
        <f>計分!A272</f>
        <v/>
      </c>
      <c r="B272">
        <f>IF(OR(計分!B272="",計分!$AP272=""),"",計分!$AP272-計分!B272)</f>
        <v/>
      </c>
      <c r="C272">
        <f>IF(OR(計分!C272="",計分!$AP272=""),"",計分!$AP272-計分!C272)</f>
        <v/>
      </c>
      <c r="D272">
        <f>IF(OR(計分!D272="",計分!$AP272=""),"",計分!$AP272-計分!D272)</f>
        <v/>
      </c>
      <c r="E272">
        <f>IF(OR(計分!E272="",計分!$AP272=""),"",計分!$AP272-計分!E272)</f>
        <v/>
      </c>
      <c r="F272">
        <f>IF(OR(計分!F272="",計分!$AP272=""),"",計分!$AP272-計分!F272)</f>
        <v/>
      </c>
      <c r="G272">
        <f>IF(OR(計分!G272="",計分!$AP272=""),"",計分!$AP272-計分!G272)</f>
        <v/>
      </c>
      <c r="H272">
        <f>IF(OR(計分!H272="",計分!$AP272=""),"",計分!$AP272-計分!H272)</f>
        <v/>
      </c>
      <c r="I272">
        <f>IF(OR(計分!I272="",計分!$AP272=""),"",計分!$AP272-計分!I272)</f>
        <v/>
      </c>
      <c r="J272">
        <f>IF(OR(計分!J272="",計分!$AP272=""),"",計分!$AP272-計分!J272)</f>
        <v/>
      </c>
      <c r="K272">
        <f>IF(OR(計分!K272="",計分!$AP272=""),"",計分!$AP272-計分!K272)</f>
        <v/>
      </c>
      <c r="L272">
        <f>IF(OR(計分!L272="",計分!$AP272=""),"",計分!$AP272-計分!L272)</f>
        <v/>
      </c>
      <c r="M272">
        <f>IF(OR(計分!M272="",計分!$AP272=""),"",計分!$AP272-計分!M272)</f>
        <v/>
      </c>
      <c r="N272">
        <f>IF(OR(計分!N272="",計分!$AP272=""),"",計分!$AP272-計分!N272)</f>
        <v/>
      </c>
      <c r="O272">
        <f>IF(OR(計分!O272="",計分!$AP272=""),"",計分!$AP272-計分!O272)</f>
        <v/>
      </c>
      <c r="P272">
        <f>IF(OR(計分!P272="",計分!$AP272=""),"",計分!$AP272-計分!P272)</f>
        <v/>
      </c>
      <c r="Q272">
        <f>IF(OR(計分!Q272="",計分!$AP272=""),"",計分!$AP272-計分!Q272)</f>
        <v/>
      </c>
      <c r="R272">
        <f>IF(OR(計分!R272="",計分!$AP272=""),"",計分!$AP272-計分!R272)</f>
        <v/>
      </c>
      <c r="S272">
        <f>IF(OR(計分!S272="",計分!$AP272=""),"",計分!$AP272-計分!S272)</f>
        <v/>
      </c>
      <c r="T272">
        <f>IF(OR(計分!T272="",計分!$AP272=""),"",計分!$AP272-計分!T272)</f>
        <v/>
      </c>
      <c r="U272">
        <f>IF(OR(計分!U272="",計分!$AP272=""),"",計分!$AP272-計分!U272)</f>
        <v/>
      </c>
      <c r="V272">
        <f>IF(OR(計分!V272="",計分!$AP272=""),"",計分!$AP272-計分!V272)</f>
        <v/>
      </c>
      <c r="W272">
        <f>IF(OR(計分!W272="",計分!$AP272=""),"",計分!$AP272-計分!W272)</f>
        <v/>
      </c>
      <c r="X272">
        <f>IF(OR(計分!X272="",計分!$AP272=""),"",計分!$AP272-計分!X272)</f>
        <v/>
      </c>
      <c r="Y272">
        <f>IF(OR(計分!Y272="",計分!$AP272=""),"",計分!$AP272-計分!Y272)</f>
        <v/>
      </c>
      <c r="Z272">
        <f>IF(OR(計分!Z272="",計分!$AP272=""),"",計分!$AP272-計分!Z272)</f>
        <v/>
      </c>
      <c r="AA272">
        <f>IF(OR(計分!AA272="",計分!$AP272=""),"",計分!$AP272-計分!AA272)</f>
        <v/>
      </c>
      <c r="AB272">
        <f>IF(OR(計分!AB272="",計分!$AP272=""),"",計分!$AP272-計分!AB272)</f>
        <v/>
      </c>
      <c r="AC272">
        <f>IF(OR(計分!AC272="",計分!$AP272=""),"",計分!$AP272-計分!AC272)</f>
        <v/>
      </c>
      <c r="AD272">
        <f>IF(OR(計分!AD272="",計分!$AP272=""),"",計分!$AP272-計分!AD272)</f>
        <v/>
      </c>
      <c r="AE272">
        <f>IF(OR(計分!AE272="",計分!$AP272=""),"",計分!$AP272-計分!AE272)</f>
        <v/>
      </c>
      <c r="AF272">
        <f>IF(OR(計分!AF272="",計分!$AP272=""),"",計分!$AP272-計分!AF272)</f>
        <v/>
      </c>
      <c r="AG272">
        <f>IF(OR(計分!AG272="",計分!$AP272=""),"",計分!$AP272-計分!AG272)</f>
        <v/>
      </c>
      <c r="AH272">
        <f>IF(OR(計分!AH272="",計分!$AP272=""),"",計分!$AP272-計分!AH272)</f>
        <v/>
      </c>
      <c r="AI272">
        <f>IF(OR(計分!AI272="",計分!$AP272=""),"",計分!$AP272-計分!AI272)</f>
        <v/>
      </c>
      <c r="AJ272">
        <f>IF(OR(計分!AJ272="",計分!$AP272=""),"",計分!$AP272-計分!AJ272)</f>
        <v/>
      </c>
      <c r="AK272">
        <f>IF(OR(計分!AK272="",計分!$AP272=""),"",計分!$AP272-計分!AK272)</f>
        <v/>
      </c>
      <c r="AL272">
        <f>IF(OR(計分!AL272="",計分!$AP272=""),"",計分!$AP272-計分!AL272)</f>
        <v/>
      </c>
      <c r="AM272">
        <f>IF(OR(計分!AM272="",計分!$AP272=""),"",計分!$AP272-計分!AM272)</f>
        <v/>
      </c>
      <c r="AN272">
        <f>IF(OR(計分!AN272="",計分!$AP272=""),"",計分!$AP272-計分!AN272)</f>
        <v/>
      </c>
      <c r="AO272">
        <f>IF(OR(計分!AO272="",計分!$AP272=""),"",計分!$AP272-計分!AO272)</f>
        <v/>
      </c>
    </row>
    <row r="273">
      <c r="A273">
        <f>計分!A273</f>
        <v/>
      </c>
      <c r="B273">
        <f>IF(OR(計分!B273="",計分!$AP273=""),"",計分!$AP273-計分!B273)</f>
        <v/>
      </c>
      <c r="C273">
        <f>IF(OR(計分!C273="",計分!$AP273=""),"",計分!$AP273-計分!C273)</f>
        <v/>
      </c>
      <c r="D273">
        <f>IF(OR(計分!D273="",計分!$AP273=""),"",計分!$AP273-計分!D273)</f>
        <v/>
      </c>
      <c r="E273">
        <f>IF(OR(計分!E273="",計分!$AP273=""),"",計分!$AP273-計分!E273)</f>
        <v/>
      </c>
      <c r="F273">
        <f>IF(OR(計分!F273="",計分!$AP273=""),"",計分!$AP273-計分!F273)</f>
        <v/>
      </c>
      <c r="G273">
        <f>IF(OR(計分!G273="",計分!$AP273=""),"",計分!$AP273-計分!G273)</f>
        <v/>
      </c>
      <c r="H273">
        <f>IF(OR(計分!H273="",計分!$AP273=""),"",計分!$AP273-計分!H273)</f>
        <v/>
      </c>
      <c r="I273">
        <f>IF(OR(計分!I273="",計分!$AP273=""),"",計分!$AP273-計分!I273)</f>
        <v/>
      </c>
      <c r="J273">
        <f>IF(OR(計分!J273="",計分!$AP273=""),"",計分!$AP273-計分!J273)</f>
        <v/>
      </c>
      <c r="K273">
        <f>IF(OR(計分!K273="",計分!$AP273=""),"",計分!$AP273-計分!K273)</f>
        <v/>
      </c>
      <c r="L273">
        <f>IF(OR(計分!L273="",計分!$AP273=""),"",計分!$AP273-計分!L273)</f>
        <v/>
      </c>
      <c r="M273">
        <f>IF(OR(計分!M273="",計分!$AP273=""),"",計分!$AP273-計分!M273)</f>
        <v/>
      </c>
      <c r="N273">
        <f>IF(OR(計分!N273="",計分!$AP273=""),"",計分!$AP273-計分!N273)</f>
        <v/>
      </c>
      <c r="O273">
        <f>IF(OR(計分!O273="",計分!$AP273=""),"",計分!$AP273-計分!O273)</f>
        <v/>
      </c>
      <c r="P273">
        <f>IF(OR(計分!P273="",計分!$AP273=""),"",計分!$AP273-計分!P273)</f>
        <v/>
      </c>
      <c r="Q273">
        <f>IF(OR(計分!Q273="",計分!$AP273=""),"",計分!$AP273-計分!Q273)</f>
        <v/>
      </c>
      <c r="R273">
        <f>IF(OR(計分!R273="",計分!$AP273=""),"",計分!$AP273-計分!R273)</f>
        <v/>
      </c>
      <c r="S273">
        <f>IF(OR(計分!S273="",計分!$AP273=""),"",計分!$AP273-計分!S273)</f>
        <v/>
      </c>
      <c r="T273">
        <f>IF(OR(計分!T273="",計分!$AP273=""),"",計分!$AP273-計分!T273)</f>
        <v/>
      </c>
      <c r="U273">
        <f>IF(OR(計分!U273="",計分!$AP273=""),"",計分!$AP273-計分!U273)</f>
        <v/>
      </c>
      <c r="V273">
        <f>IF(OR(計分!V273="",計分!$AP273=""),"",計分!$AP273-計分!V273)</f>
        <v/>
      </c>
      <c r="W273">
        <f>IF(OR(計分!W273="",計分!$AP273=""),"",計分!$AP273-計分!W273)</f>
        <v/>
      </c>
      <c r="X273">
        <f>IF(OR(計分!X273="",計分!$AP273=""),"",計分!$AP273-計分!X273)</f>
        <v/>
      </c>
      <c r="Y273">
        <f>IF(OR(計分!Y273="",計分!$AP273=""),"",計分!$AP273-計分!Y273)</f>
        <v/>
      </c>
      <c r="Z273">
        <f>IF(OR(計分!Z273="",計分!$AP273=""),"",計分!$AP273-計分!Z273)</f>
        <v/>
      </c>
      <c r="AA273">
        <f>IF(OR(計分!AA273="",計分!$AP273=""),"",計分!$AP273-計分!AA273)</f>
        <v/>
      </c>
      <c r="AB273">
        <f>IF(OR(計分!AB273="",計分!$AP273=""),"",計分!$AP273-計分!AB273)</f>
        <v/>
      </c>
      <c r="AC273">
        <f>IF(OR(計分!AC273="",計分!$AP273=""),"",計分!$AP273-計分!AC273)</f>
        <v/>
      </c>
      <c r="AD273">
        <f>IF(OR(計分!AD273="",計分!$AP273=""),"",計分!$AP273-計分!AD273)</f>
        <v/>
      </c>
      <c r="AE273">
        <f>IF(OR(計分!AE273="",計分!$AP273=""),"",計分!$AP273-計分!AE273)</f>
        <v/>
      </c>
      <c r="AF273">
        <f>IF(OR(計分!AF273="",計分!$AP273=""),"",計分!$AP273-計分!AF273)</f>
        <v/>
      </c>
      <c r="AG273">
        <f>IF(OR(計分!AG273="",計分!$AP273=""),"",計分!$AP273-計分!AG273)</f>
        <v/>
      </c>
      <c r="AH273">
        <f>IF(OR(計分!AH273="",計分!$AP273=""),"",計分!$AP273-計分!AH273)</f>
        <v/>
      </c>
      <c r="AI273">
        <f>IF(OR(計分!AI273="",計分!$AP273=""),"",計分!$AP273-計分!AI273)</f>
        <v/>
      </c>
      <c r="AJ273">
        <f>IF(OR(計分!AJ273="",計分!$AP273=""),"",計分!$AP273-計分!AJ273)</f>
        <v/>
      </c>
      <c r="AK273">
        <f>IF(OR(計分!AK273="",計分!$AP273=""),"",計分!$AP273-計分!AK273)</f>
        <v/>
      </c>
      <c r="AL273">
        <f>IF(OR(計分!AL273="",計分!$AP273=""),"",計分!$AP273-計分!AL273)</f>
        <v/>
      </c>
      <c r="AM273">
        <f>IF(OR(計分!AM273="",計分!$AP273=""),"",計分!$AP273-計分!AM273)</f>
        <v/>
      </c>
      <c r="AN273">
        <f>IF(OR(計分!AN273="",計分!$AP273=""),"",計分!$AP273-計分!AN273)</f>
        <v/>
      </c>
      <c r="AO273">
        <f>IF(OR(計分!AO273="",計分!$AP273=""),"",計分!$AP273-計分!AO273)</f>
        <v/>
      </c>
    </row>
    <row r="274">
      <c r="A274">
        <f>計分!A274</f>
        <v/>
      </c>
      <c r="B274">
        <f>IF(OR(計分!B274="",計分!$AP274=""),"",計分!$AP274-計分!B274)</f>
        <v/>
      </c>
      <c r="C274">
        <f>IF(OR(計分!C274="",計分!$AP274=""),"",計分!$AP274-計分!C274)</f>
        <v/>
      </c>
      <c r="D274">
        <f>IF(OR(計分!D274="",計分!$AP274=""),"",計分!$AP274-計分!D274)</f>
        <v/>
      </c>
      <c r="E274">
        <f>IF(OR(計分!E274="",計分!$AP274=""),"",計分!$AP274-計分!E274)</f>
        <v/>
      </c>
      <c r="F274">
        <f>IF(OR(計分!F274="",計分!$AP274=""),"",計分!$AP274-計分!F274)</f>
        <v/>
      </c>
      <c r="G274">
        <f>IF(OR(計分!G274="",計分!$AP274=""),"",計分!$AP274-計分!G274)</f>
        <v/>
      </c>
      <c r="H274">
        <f>IF(OR(計分!H274="",計分!$AP274=""),"",計分!$AP274-計分!H274)</f>
        <v/>
      </c>
      <c r="I274">
        <f>IF(OR(計分!I274="",計分!$AP274=""),"",計分!$AP274-計分!I274)</f>
        <v/>
      </c>
      <c r="J274">
        <f>IF(OR(計分!J274="",計分!$AP274=""),"",計分!$AP274-計分!J274)</f>
        <v/>
      </c>
      <c r="K274">
        <f>IF(OR(計分!K274="",計分!$AP274=""),"",計分!$AP274-計分!K274)</f>
        <v/>
      </c>
      <c r="L274">
        <f>IF(OR(計分!L274="",計分!$AP274=""),"",計分!$AP274-計分!L274)</f>
        <v/>
      </c>
      <c r="M274">
        <f>IF(OR(計分!M274="",計分!$AP274=""),"",計分!$AP274-計分!M274)</f>
        <v/>
      </c>
      <c r="N274">
        <f>IF(OR(計分!N274="",計分!$AP274=""),"",計分!$AP274-計分!N274)</f>
        <v/>
      </c>
      <c r="O274">
        <f>IF(OR(計分!O274="",計分!$AP274=""),"",計分!$AP274-計分!O274)</f>
        <v/>
      </c>
      <c r="P274">
        <f>IF(OR(計分!P274="",計分!$AP274=""),"",計分!$AP274-計分!P274)</f>
        <v/>
      </c>
      <c r="Q274">
        <f>IF(OR(計分!Q274="",計分!$AP274=""),"",計分!$AP274-計分!Q274)</f>
        <v/>
      </c>
      <c r="R274">
        <f>IF(OR(計分!R274="",計分!$AP274=""),"",計分!$AP274-計分!R274)</f>
        <v/>
      </c>
      <c r="S274">
        <f>IF(OR(計分!S274="",計分!$AP274=""),"",計分!$AP274-計分!S274)</f>
        <v/>
      </c>
      <c r="T274">
        <f>IF(OR(計分!T274="",計分!$AP274=""),"",計分!$AP274-計分!T274)</f>
        <v/>
      </c>
      <c r="U274">
        <f>IF(OR(計分!U274="",計分!$AP274=""),"",計分!$AP274-計分!U274)</f>
        <v/>
      </c>
      <c r="V274">
        <f>IF(OR(計分!V274="",計分!$AP274=""),"",計分!$AP274-計分!V274)</f>
        <v/>
      </c>
      <c r="W274">
        <f>IF(OR(計分!W274="",計分!$AP274=""),"",計分!$AP274-計分!W274)</f>
        <v/>
      </c>
      <c r="X274">
        <f>IF(OR(計分!X274="",計分!$AP274=""),"",計分!$AP274-計分!X274)</f>
        <v/>
      </c>
      <c r="Y274">
        <f>IF(OR(計分!Y274="",計分!$AP274=""),"",計分!$AP274-計分!Y274)</f>
        <v/>
      </c>
      <c r="Z274">
        <f>IF(OR(計分!Z274="",計分!$AP274=""),"",計分!$AP274-計分!Z274)</f>
        <v/>
      </c>
      <c r="AA274">
        <f>IF(OR(計分!AA274="",計分!$AP274=""),"",計分!$AP274-計分!AA274)</f>
        <v/>
      </c>
      <c r="AB274">
        <f>IF(OR(計分!AB274="",計分!$AP274=""),"",計分!$AP274-計分!AB274)</f>
        <v/>
      </c>
      <c r="AC274">
        <f>IF(OR(計分!AC274="",計分!$AP274=""),"",計分!$AP274-計分!AC274)</f>
        <v/>
      </c>
      <c r="AD274">
        <f>IF(OR(計分!AD274="",計分!$AP274=""),"",計分!$AP274-計分!AD274)</f>
        <v/>
      </c>
      <c r="AE274">
        <f>IF(OR(計分!AE274="",計分!$AP274=""),"",計分!$AP274-計分!AE274)</f>
        <v/>
      </c>
      <c r="AF274">
        <f>IF(OR(計分!AF274="",計分!$AP274=""),"",計分!$AP274-計分!AF274)</f>
        <v/>
      </c>
      <c r="AG274">
        <f>IF(OR(計分!AG274="",計分!$AP274=""),"",計分!$AP274-計分!AG274)</f>
        <v/>
      </c>
      <c r="AH274">
        <f>IF(OR(計分!AH274="",計分!$AP274=""),"",計分!$AP274-計分!AH274)</f>
        <v/>
      </c>
      <c r="AI274">
        <f>IF(OR(計分!AI274="",計分!$AP274=""),"",計分!$AP274-計分!AI274)</f>
        <v/>
      </c>
      <c r="AJ274">
        <f>IF(OR(計分!AJ274="",計分!$AP274=""),"",計分!$AP274-計分!AJ274)</f>
        <v/>
      </c>
      <c r="AK274">
        <f>IF(OR(計分!AK274="",計分!$AP274=""),"",計分!$AP274-計分!AK274)</f>
        <v/>
      </c>
      <c r="AL274">
        <f>IF(OR(計分!AL274="",計分!$AP274=""),"",計分!$AP274-計分!AL274)</f>
        <v/>
      </c>
      <c r="AM274">
        <f>IF(OR(計分!AM274="",計分!$AP274=""),"",計分!$AP274-計分!AM274)</f>
        <v/>
      </c>
      <c r="AN274">
        <f>IF(OR(計分!AN274="",計分!$AP274=""),"",計分!$AP274-計分!AN274)</f>
        <v/>
      </c>
      <c r="AO274">
        <f>IF(OR(計分!AO274="",計分!$AP274=""),"",計分!$AP274-計分!AO274)</f>
        <v/>
      </c>
    </row>
    <row r="275">
      <c r="A275">
        <f>計分!A275</f>
        <v/>
      </c>
      <c r="B275">
        <f>IF(OR(計分!B275="",計分!$AP275=""),"",計分!$AP275-計分!B275)</f>
        <v/>
      </c>
      <c r="C275">
        <f>IF(OR(計分!C275="",計分!$AP275=""),"",計分!$AP275-計分!C275)</f>
        <v/>
      </c>
      <c r="D275">
        <f>IF(OR(計分!D275="",計分!$AP275=""),"",計分!$AP275-計分!D275)</f>
        <v/>
      </c>
      <c r="E275">
        <f>IF(OR(計分!E275="",計分!$AP275=""),"",計分!$AP275-計分!E275)</f>
        <v/>
      </c>
      <c r="F275">
        <f>IF(OR(計分!F275="",計分!$AP275=""),"",計分!$AP275-計分!F275)</f>
        <v/>
      </c>
      <c r="G275">
        <f>IF(OR(計分!G275="",計分!$AP275=""),"",計分!$AP275-計分!G275)</f>
        <v/>
      </c>
      <c r="H275">
        <f>IF(OR(計分!H275="",計分!$AP275=""),"",計分!$AP275-計分!H275)</f>
        <v/>
      </c>
      <c r="I275">
        <f>IF(OR(計分!I275="",計分!$AP275=""),"",計分!$AP275-計分!I275)</f>
        <v/>
      </c>
      <c r="J275">
        <f>IF(OR(計分!J275="",計分!$AP275=""),"",計分!$AP275-計分!J275)</f>
        <v/>
      </c>
      <c r="K275">
        <f>IF(OR(計分!K275="",計分!$AP275=""),"",計分!$AP275-計分!K275)</f>
        <v/>
      </c>
      <c r="L275">
        <f>IF(OR(計分!L275="",計分!$AP275=""),"",計分!$AP275-計分!L275)</f>
        <v/>
      </c>
      <c r="M275">
        <f>IF(OR(計分!M275="",計分!$AP275=""),"",計分!$AP275-計分!M275)</f>
        <v/>
      </c>
      <c r="N275">
        <f>IF(OR(計分!N275="",計分!$AP275=""),"",計分!$AP275-計分!N275)</f>
        <v/>
      </c>
      <c r="O275">
        <f>IF(OR(計分!O275="",計分!$AP275=""),"",計分!$AP275-計分!O275)</f>
        <v/>
      </c>
      <c r="P275">
        <f>IF(OR(計分!P275="",計分!$AP275=""),"",計分!$AP275-計分!P275)</f>
        <v/>
      </c>
      <c r="Q275">
        <f>IF(OR(計分!Q275="",計分!$AP275=""),"",計分!$AP275-計分!Q275)</f>
        <v/>
      </c>
      <c r="R275">
        <f>IF(OR(計分!R275="",計分!$AP275=""),"",計分!$AP275-計分!R275)</f>
        <v/>
      </c>
      <c r="S275">
        <f>IF(OR(計分!S275="",計分!$AP275=""),"",計分!$AP275-計分!S275)</f>
        <v/>
      </c>
      <c r="T275">
        <f>IF(OR(計分!T275="",計分!$AP275=""),"",計分!$AP275-計分!T275)</f>
        <v/>
      </c>
      <c r="U275">
        <f>IF(OR(計分!U275="",計分!$AP275=""),"",計分!$AP275-計分!U275)</f>
        <v/>
      </c>
      <c r="V275">
        <f>IF(OR(計分!V275="",計分!$AP275=""),"",計分!$AP275-計分!V275)</f>
        <v/>
      </c>
      <c r="W275">
        <f>IF(OR(計分!W275="",計分!$AP275=""),"",計分!$AP275-計分!W275)</f>
        <v/>
      </c>
      <c r="X275">
        <f>IF(OR(計分!X275="",計分!$AP275=""),"",計分!$AP275-計分!X275)</f>
        <v/>
      </c>
      <c r="Y275">
        <f>IF(OR(計分!Y275="",計分!$AP275=""),"",計分!$AP275-計分!Y275)</f>
        <v/>
      </c>
      <c r="Z275">
        <f>IF(OR(計分!Z275="",計分!$AP275=""),"",計分!$AP275-計分!Z275)</f>
        <v/>
      </c>
      <c r="AA275">
        <f>IF(OR(計分!AA275="",計分!$AP275=""),"",計分!$AP275-計分!AA275)</f>
        <v/>
      </c>
      <c r="AB275">
        <f>IF(OR(計分!AB275="",計分!$AP275=""),"",計分!$AP275-計分!AB275)</f>
        <v/>
      </c>
      <c r="AC275">
        <f>IF(OR(計分!AC275="",計分!$AP275=""),"",計分!$AP275-計分!AC275)</f>
        <v/>
      </c>
      <c r="AD275">
        <f>IF(OR(計分!AD275="",計分!$AP275=""),"",計分!$AP275-計分!AD275)</f>
        <v/>
      </c>
      <c r="AE275">
        <f>IF(OR(計分!AE275="",計分!$AP275=""),"",計分!$AP275-計分!AE275)</f>
        <v/>
      </c>
      <c r="AF275">
        <f>IF(OR(計分!AF275="",計分!$AP275=""),"",計分!$AP275-計分!AF275)</f>
        <v/>
      </c>
      <c r="AG275">
        <f>IF(OR(計分!AG275="",計分!$AP275=""),"",計分!$AP275-計分!AG275)</f>
        <v/>
      </c>
      <c r="AH275">
        <f>IF(OR(計分!AH275="",計分!$AP275=""),"",計分!$AP275-計分!AH275)</f>
        <v/>
      </c>
      <c r="AI275">
        <f>IF(OR(計分!AI275="",計分!$AP275=""),"",計分!$AP275-計分!AI275)</f>
        <v/>
      </c>
      <c r="AJ275">
        <f>IF(OR(計分!AJ275="",計分!$AP275=""),"",計分!$AP275-計分!AJ275)</f>
        <v/>
      </c>
      <c r="AK275">
        <f>IF(OR(計分!AK275="",計分!$AP275=""),"",計分!$AP275-計分!AK275)</f>
        <v/>
      </c>
      <c r="AL275">
        <f>IF(OR(計分!AL275="",計分!$AP275=""),"",計分!$AP275-計分!AL275)</f>
        <v/>
      </c>
      <c r="AM275">
        <f>IF(OR(計分!AM275="",計分!$AP275=""),"",計分!$AP275-計分!AM275)</f>
        <v/>
      </c>
      <c r="AN275">
        <f>IF(OR(計分!AN275="",計分!$AP275=""),"",計分!$AP275-計分!AN275)</f>
        <v/>
      </c>
      <c r="AO275">
        <f>IF(OR(計分!AO275="",計分!$AP275=""),"",計分!$AP275-計分!AO275)</f>
        <v/>
      </c>
    </row>
    <row r="276">
      <c r="A276">
        <f>計分!A276</f>
        <v/>
      </c>
      <c r="B276">
        <f>IF(OR(計分!B276="",計分!$AP276=""),"",計分!$AP276-計分!B276)</f>
        <v/>
      </c>
      <c r="C276">
        <f>IF(OR(計分!C276="",計分!$AP276=""),"",計分!$AP276-計分!C276)</f>
        <v/>
      </c>
      <c r="D276">
        <f>IF(OR(計分!D276="",計分!$AP276=""),"",計分!$AP276-計分!D276)</f>
        <v/>
      </c>
      <c r="E276">
        <f>IF(OR(計分!E276="",計分!$AP276=""),"",計分!$AP276-計分!E276)</f>
        <v/>
      </c>
      <c r="F276">
        <f>IF(OR(計分!F276="",計分!$AP276=""),"",計分!$AP276-計分!F276)</f>
        <v/>
      </c>
      <c r="G276">
        <f>IF(OR(計分!G276="",計分!$AP276=""),"",計分!$AP276-計分!G276)</f>
        <v/>
      </c>
      <c r="H276">
        <f>IF(OR(計分!H276="",計分!$AP276=""),"",計分!$AP276-計分!H276)</f>
        <v/>
      </c>
      <c r="I276">
        <f>IF(OR(計分!I276="",計分!$AP276=""),"",計分!$AP276-計分!I276)</f>
        <v/>
      </c>
      <c r="J276">
        <f>IF(OR(計分!J276="",計分!$AP276=""),"",計分!$AP276-計分!J276)</f>
        <v/>
      </c>
      <c r="K276">
        <f>IF(OR(計分!K276="",計分!$AP276=""),"",計分!$AP276-計分!K276)</f>
        <v/>
      </c>
      <c r="L276">
        <f>IF(OR(計分!L276="",計分!$AP276=""),"",計分!$AP276-計分!L276)</f>
        <v/>
      </c>
      <c r="M276">
        <f>IF(OR(計分!M276="",計分!$AP276=""),"",計分!$AP276-計分!M276)</f>
        <v/>
      </c>
      <c r="N276">
        <f>IF(OR(計分!N276="",計分!$AP276=""),"",計分!$AP276-計分!N276)</f>
        <v/>
      </c>
      <c r="O276">
        <f>IF(OR(計分!O276="",計分!$AP276=""),"",計分!$AP276-計分!O276)</f>
        <v/>
      </c>
      <c r="P276">
        <f>IF(OR(計分!P276="",計分!$AP276=""),"",計分!$AP276-計分!P276)</f>
        <v/>
      </c>
      <c r="Q276">
        <f>IF(OR(計分!Q276="",計分!$AP276=""),"",計分!$AP276-計分!Q276)</f>
        <v/>
      </c>
      <c r="R276">
        <f>IF(OR(計分!R276="",計分!$AP276=""),"",計分!$AP276-計分!R276)</f>
        <v/>
      </c>
      <c r="S276">
        <f>IF(OR(計分!S276="",計分!$AP276=""),"",計分!$AP276-計分!S276)</f>
        <v/>
      </c>
      <c r="T276">
        <f>IF(OR(計分!T276="",計分!$AP276=""),"",計分!$AP276-計分!T276)</f>
        <v/>
      </c>
      <c r="U276">
        <f>IF(OR(計分!U276="",計分!$AP276=""),"",計分!$AP276-計分!U276)</f>
        <v/>
      </c>
      <c r="V276">
        <f>IF(OR(計分!V276="",計分!$AP276=""),"",計分!$AP276-計分!V276)</f>
        <v/>
      </c>
      <c r="W276">
        <f>IF(OR(計分!W276="",計分!$AP276=""),"",計分!$AP276-計分!W276)</f>
        <v/>
      </c>
      <c r="X276">
        <f>IF(OR(計分!X276="",計分!$AP276=""),"",計分!$AP276-計分!X276)</f>
        <v/>
      </c>
      <c r="Y276">
        <f>IF(OR(計分!Y276="",計分!$AP276=""),"",計分!$AP276-計分!Y276)</f>
        <v/>
      </c>
      <c r="Z276">
        <f>IF(OR(計分!Z276="",計分!$AP276=""),"",計分!$AP276-計分!Z276)</f>
        <v/>
      </c>
      <c r="AA276">
        <f>IF(OR(計分!AA276="",計分!$AP276=""),"",計分!$AP276-計分!AA276)</f>
        <v/>
      </c>
      <c r="AB276">
        <f>IF(OR(計分!AB276="",計分!$AP276=""),"",計分!$AP276-計分!AB276)</f>
        <v/>
      </c>
      <c r="AC276">
        <f>IF(OR(計分!AC276="",計分!$AP276=""),"",計分!$AP276-計分!AC276)</f>
        <v/>
      </c>
      <c r="AD276">
        <f>IF(OR(計分!AD276="",計分!$AP276=""),"",計分!$AP276-計分!AD276)</f>
        <v/>
      </c>
      <c r="AE276">
        <f>IF(OR(計分!AE276="",計分!$AP276=""),"",計分!$AP276-計分!AE276)</f>
        <v/>
      </c>
      <c r="AF276">
        <f>IF(OR(計分!AF276="",計分!$AP276=""),"",計分!$AP276-計分!AF276)</f>
        <v/>
      </c>
      <c r="AG276">
        <f>IF(OR(計分!AG276="",計分!$AP276=""),"",計分!$AP276-計分!AG276)</f>
        <v/>
      </c>
      <c r="AH276">
        <f>IF(OR(計分!AH276="",計分!$AP276=""),"",計分!$AP276-計分!AH276)</f>
        <v/>
      </c>
      <c r="AI276">
        <f>IF(OR(計分!AI276="",計分!$AP276=""),"",計分!$AP276-計分!AI276)</f>
        <v/>
      </c>
      <c r="AJ276">
        <f>IF(OR(計分!AJ276="",計分!$AP276=""),"",計分!$AP276-計分!AJ276)</f>
        <v/>
      </c>
      <c r="AK276">
        <f>IF(OR(計分!AK276="",計分!$AP276=""),"",計分!$AP276-計分!AK276)</f>
        <v/>
      </c>
      <c r="AL276">
        <f>IF(OR(計分!AL276="",計分!$AP276=""),"",計分!$AP276-計分!AL276)</f>
        <v/>
      </c>
      <c r="AM276">
        <f>IF(OR(計分!AM276="",計分!$AP276=""),"",計分!$AP276-計分!AM276)</f>
        <v/>
      </c>
      <c r="AN276">
        <f>IF(OR(計分!AN276="",計分!$AP276=""),"",計分!$AP276-計分!AN276)</f>
        <v/>
      </c>
      <c r="AO276">
        <f>IF(OR(計分!AO276="",計分!$AP276=""),"",計分!$AP276-計分!AO276)</f>
        <v/>
      </c>
    </row>
    <row r="277">
      <c r="A277">
        <f>計分!A277</f>
        <v/>
      </c>
      <c r="B277">
        <f>IF(OR(計分!B277="",計分!$AP277=""),"",計分!$AP277-計分!B277)</f>
        <v/>
      </c>
      <c r="C277">
        <f>IF(OR(計分!C277="",計分!$AP277=""),"",計分!$AP277-計分!C277)</f>
        <v/>
      </c>
      <c r="D277">
        <f>IF(OR(計分!D277="",計分!$AP277=""),"",計分!$AP277-計分!D277)</f>
        <v/>
      </c>
      <c r="E277">
        <f>IF(OR(計分!E277="",計分!$AP277=""),"",計分!$AP277-計分!E277)</f>
        <v/>
      </c>
      <c r="F277">
        <f>IF(OR(計分!F277="",計分!$AP277=""),"",計分!$AP277-計分!F277)</f>
        <v/>
      </c>
      <c r="G277">
        <f>IF(OR(計分!G277="",計分!$AP277=""),"",計分!$AP277-計分!G277)</f>
        <v/>
      </c>
      <c r="H277">
        <f>IF(OR(計分!H277="",計分!$AP277=""),"",計分!$AP277-計分!H277)</f>
        <v/>
      </c>
      <c r="I277">
        <f>IF(OR(計分!I277="",計分!$AP277=""),"",計分!$AP277-計分!I277)</f>
        <v/>
      </c>
      <c r="J277">
        <f>IF(OR(計分!J277="",計分!$AP277=""),"",計分!$AP277-計分!J277)</f>
        <v/>
      </c>
      <c r="K277">
        <f>IF(OR(計分!K277="",計分!$AP277=""),"",計分!$AP277-計分!K277)</f>
        <v/>
      </c>
      <c r="L277">
        <f>IF(OR(計分!L277="",計分!$AP277=""),"",計分!$AP277-計分!L277)</f>
        <v/>
      </c>
      <c r="M277">
        <f>IF(OR(計分!M277="",計分!$AP277=""),"",計分!$AP277-計分!M277)</f>
        <v/>
      </c>
      <c r="N277">
        <f>IF(OR(計分!N277="",計分!$AP277=""),"",計分!$AP277-計分!N277)</f>
        <v/>
      </c>
      <c r="O277">
        <f>IF(OR(計分!O277="",計分!$AP277=""),"",計分!$AP277-計分!O277)</f>
        <v/>
      </c>
      <c r="P277">
        <f>IF(OR(計分!P277="",計分!$AP277=""),"",計分!$AP277-計分!P277)</f>
        <v/>
      </c>
      <c r="Q277">
        <f>IF(OR(計分!Q277="",計分!$AP277=""),"",計分!$AP277-計分!Q277)</f>
        <v/>
      </c>
      <c r="R277">
        <f>IF(OR(計分!R277="",計分!$AP277=""),"",計分!$AP277-計分!R277)</f>
        <v/>
      </c>
      <c r="S277">
        <f>IF(OR(計分!S277="",計分!$AP277=""),"",計分!$AP277-計分!S277)</f>
        <v/>
      </c>
      <c r="T277">
        <f>IF(OR(計分!T277="",計分!$AP277=""),"",計分!$AP277-計分!T277)</f>
        <v/>
      </c>
      <c r="U277">
        <f>IF(OR(計分!U277="",計分!$AP277=""),"",計分!$AP277-計分!U277)</f>
        <v/>
      </c>
      <c r="V277">
        <f>IF(OR(計分!V277="",計分!$AP277=""),"",計分!$AP277-計分!V277)</f>
        <v/>
      </c>
      <c r="W277">
        <f>IF(OR(計分!W277="",計分!$AP277=""),"",計分!$AP277-計分!W277)</f>
        <v/>
      </c>
      <c r="X277">
        <f>IF(OR(計分!X277="",計分!$AP277=""),"",計分!$AP277-計分!X277)</f>
        <v/>
      </c>
      <c r="Y277">
        <f>IF(OR(計分!Y277="",計分!$AP277=""),"",計分!$AP277-計分!Y277)</f>
        <v/>
      </c>
      <c r="Z277">
        <f>IF(OR(計分!Z277="",計分!$AP277=""),"",計分!$AP277-計分!Z277)</f>
        <v/>
      </c>
      <c r="AA277">
        <f>IF(OR(計分!AA277="",計分!$AP277=""),"",計分!$AP277-計分!AA277)</f>
        <v/>
      </c>
      <c r="AB277">
        <f>IF(OR(計分!AB277="",計分!$AP277=""),"",計分!$AP277-計分!AB277)</f>
        <v/>
      </c>
      <c r="AC277">
        <f>IF(OR(計分!AC277="",計分!$AP277=""),"",計分!$AP277-計分!AC277)</f>
        <v/>
      </c>
      <c r="AD277">
        <f>IF(OR(計分!AD277="",計分!$AP277=""),"",計分!$AP277-計分!AD277)</f>
        <v/>
      </c>
      <c r="AE277">
        <f>IF(OR(計分!AE277="",計分!$AP277=""),"",計分!$AP277-計分!AE277)</f>
        <v/>
      </c>
      <c r="AF277">
        <f>IF(OR(計分!AF277="",計分!$AP277=""),"",計分!$AP277-計分!AF277)</f>
        <v/>
      </c>
      <c r="AG277">
        <f>IF(OR(計分!AG277="",計分!$AP277=""),"",計分!$AP277-計分!AG277)</f>
        <v/>
      </c>
      <c r="AH277">
        <f>IF(OR(計分!AH277="",計分!$AP277=""),"",計分!$AP277-計分!AH277)</f>
        <v/>
      </c>
      <c r="AI277">
        <f>IF(OR(計分!AI277="",計分!$AP277=""),"",計分!$AP277-計分!AI277)</f>
        <v/>
      </c>
      <c r="AJ277">
        <f>IF(OR(計分!AJ277="",計分!$AP277=""),"",計分!$AP277-計分!AJ277)</f>
        <v/>
      </c>
      <c r="AK277">
        <f>IF(OR(計分!AK277="",計分!$AP277=""),"",計分!$AP277-計分!AK277)</f>
        <v/>
      </c>
      <c r="AL277">
        <f>IF(OR(計分!AL277="",計分!$AP277=""),"",計分!$AP277-計分!AL277)</f>
        <v/>
      </c>
      <c r="AM277">
        <f>IF(OR(計分!AM277="",計分!$AP277=""),"",計分!$AP277-計分!AM277)</f>
        <v/>
      </c>
      <c r="AN277">
        <f>IF(OR(計分!AN277="",計分!$AP277=""),"",計分!$AP277-計分!AN277)</f>
        <v/>
      </c>
      <c r="AO277">
        <f>IF(OR(計分!AO277="",計分!$AP277=""),"",計分!$AP277-計分!AO277)</f>
        <v/>
      </c>
    </row>
    <row r="278">
      <c r="A278">
        <f>計分!A278</f>
        <v/>
      </c>
      <c r="B278">
        <f>IF(OR(計分!B278="",計分!$AP278=""),"",計分!$AP278-計分!B278)</f>
        <v/>
      </c>
      <c r="C278">
        <f>IF(OR(計分!C278="",計分!$AP278=""),"",計分!$AP278-計分!C278)</f>
        <v/>
      </c>
      <c r="D278">
        <f>IF(OR(計分!D278="",計分!$AP278=""),"",計分!$AP278-計分!D278)</f>
        <v/>
      </c>
      <c r="E278">
        <f>IF(OR(計分!E278="",計分!$AP278=""),"",計分!$AP278-計分!E278)</f>
        <v/>
      </c>
      <c r="F278">
        <f>IF(OR(計分!F278="",計分!$AP278=""),"",計分!$AP278-計分!F278)</f>
        <v/>
      </c>
      <c r="G278">
        <f>IF(OR(計分!G278="",計分!$AP278=""),"",計分!$AP278-計分!G278)</f>
        <v/>
      </c>
      <c r="H278">
        <f>IF(OR(計分!H278="",計分!$AP278=""),"",計分!$AP278-計分!H278)</f>
        <v/>
      </c>
      <c r="I278">
        <f>IF(OR(計分!I278="",計分!$AP278=""),"",計分!$AP278-計分!I278)</f>
        <v/>
      </c>
      <c r="J278">
        <f>IF(OR(計分!J278="",計分!$AP278=""),"",計分!$AP278-計分!J278)</f>
        <v/>
      </c>
      <c r="K278">
        <f>IF(OR(計分!K278="",計分!$AP278=""),"",計分!$AP278-計分!K278)</f>
        <v/>
      </c>
      <c r="L278">
        <f>IF(OR(計分!L278="",計分!$AP278=""),"",計分!$AP278-計分!L278)</f>
        <v/>
      </c>
      <c r="M278">
        <f>IF(OR(計分!M278="",計分!$AP278=""),"",計分!$AP278-計分!M278)</f>
        <v/>
      </c>
      <c r="N278">
        <f>IF(OR(計分!N278="",計分!$AP278=""),"",計分!$AP278-計分!N278)</f>
        <v/>
      </c>
      <c r="O278">
        <f>IF(OR(計分!O278="",計分!$AP278=""),"",計分!$AP278-計分!O278)</f>
        <v/>
      </c>
      <c r="P278">
        <f>IF(OR(計分!P278="",計分!$AP278=""),"",計分!$AP278-計分!P278)</f>
        <v/>
      </c>
      <c r="Q278">
        <f>IF(OR(計分!Q278="",計分!$AP278=""),"",計分!$AP278-計分!Q278)</f>
        <v/>
      </c>
      <c r="R278">
        <f>IF(OR(計分!R278="",計分!$AP278=""),"",計分!$AP278-計分!R278)</f>
        <v/>
      </c>
      <c r="S278">
        <f>IF(OR(計分!S278="",計分!$AP278=""),"",計分!$AP278-計分!S278)</f>
        <v/>
      </c>
      <c r="T278">
        <f>IF(OR(計分!T278="",計分!$AP278=""),"",計分!$AP278-計分!T278)</f>
        <v/>
      </c>
      <c r="U278">
        <f>IF(OR(計分!U278="",計分!$AP278=""),"",計分!$AP278-計分!U278)</f>
        <v/>
      </c>
      <c r="V278">
        <f>IF(OR(計分!V278="",計分!$AP278=""),"",計分!$AP278-計分!V278)</f>
        <v/>
      </c>
      <c r="W278">
        <f>IF(OR(計分!W278="",計分!$AP278=""),"",計分!$AP278-計分!W278)</f>
        <v/>
      </c>
      <c r="X278">
        <f>IF(OR(計分!X278="",計分!$AP278=""),"",計分!$AP278-計分!X278)</f>
        <v/>
      </c>
      <c r="Y278">
        <f>IF(OR(計分!Y278="",計分!$AP278=""),"",計分!$AP278-計分!Y278)</f>
        <v/>
      </c>
      <c r="Z278">
        <f>IF(OR(計分!Z278="",計分!$AP278=""),"",計分!$AP278-計分!Z278)</f>
        <v/>
      </c>
      <c r="AA278">
        <f>IF(OR(計分!AA278="",計分!$AP278=""),"",計分!$AP278-計分!AA278)</f>
        <v/>
      </c>
      <c r="AB278">
        <f>IF(OR(計分!AB278="",計分!$AP278=""),"",計分!$AP278-計分!AB278)</f>
        <v/>
      </c>
      <c r="AC278">
        <f>IF(OR(計分!AC278="",計分!$AP278=""),"",計分!$AP278-計分!AC278)</f>
        <v/>
      </c>
      <c r="AD278">
        <f>IF(OR(計分!AD278="",計分!$AP278=""),"",計分!$AP278-計分!AD278)</f>
        <v/>
      </c>
      <c r="AE278">
        <f>IF(OR(計分!AE278="",計分!$AP278=""),"",計分!$AP278-計分!AE278)</f>
        <v/>
      </c>
      <c r="AF278">
        <f>IF(OR(計分!AF278="",計分!$AP278=""),"",計分!$AP278-計分!AF278)</f>
        <v/>
      </c>
      <c r="AG278">
        <f>IF(OR(計分!AG278="",計分!$AP278=""),"",計分!$AP278-計分!AG278)</f>
        <v/>
      </c>
      <c r="AH278">
        <f>IF(OR(計分!AH278="",計分!$AP278=""),"",計分!$AP278-計分!AH278)</f>
        <v/>
      </c>
      <c r="AI278">
        <f>IF(OR(計分!AI278="",計分!$AP278=""),"",計分!$AP278-計分!AI278)</f>
        <v/>
      </c>
      <c r="AJ278">
        <f>IF(OR(計分!AJ278="",計分!$AP278=""),"",計分!$AP278-計分!AJ278)</f>
        <v/>
      </c>
      <c r="AK278">
        <f>IF(OR(計分!AK278="",計分!$AP278=""),"",計分!$AP278-計分!AK278)</f>
        <v/>
      </c>
      <c r="AL278">
        <f>IF(OR(計分!AL278="",計分!$AP278=""),"",計分!$AP278-計分!AL278)</f>
        <v/>
      </c>
      <c r="AM278">
        <f>IF(OR(計分!AM278="",計分!$AP278=""),"",計分!$AP278-計分!AM278)</f>
        <v/>
      </c>
      <c r="AN278">
        <f>IF(OR(計分!AN278="",計分!$AP278=""),"",計分!$AP278-計分!AN278)</f>
        <v/>
      </c>
      <c r="AO278">
        <f>IF(OR(計分!AO278="",計分!$AP278=""),"",計分!$AP278-計分!AO278)</f>
        <v/>
      </c>
    </row>
    <row r="279">
      <c r="A279">
        <f>計分!A279</f>
        <v/>
      </c>
      <c r="B279">
        <f>IF(OR(計分!B279="",計分!$AP279=""),"",計分!$AP279-計分!B279)</f>
        <v/>
      </c>
      <c r="C279">
        <f>IF(OR(計分!C279="",計分!$AP279=""),"",計分!$AP279-計分!C279)</f>
        <v/>
      </c>
      <c r="D279">
        <f>IF(OR(計分!D279="",計分!$AP279=""),"",計分!$AP279-計分!D279)</f>
        <v/>
      </c>
      <c r="E279">
        <f>IF(OR(計分!E279="",計分!$AP279=""),"",計分!$AP279-計分!E279)</f>
        <v/>
      </c>
      <c r="F279">
        <f>IF(OR(計分!F279="",計分!$AP279=""),"",計分!$AP279-計分!F279)</f>
        <v/>
      </c>
      <c r="G279">
        <f>IF(OR(計分!G279="",計分!$AP279=""),"",計分!$AP279-計分!G279)</f>
        <v/>
      </c>
      <c r="H279">
        <f>IF(OR(計分!H279="",計分!$AP279=""),"",計分!$AP279-計分!H279)</f>
        <v/>
      </c>
      <c r="I279">
        <f>IF(OR(計分!I279="",計分!$AP279=""),"",計分!$AP279-計分!I279)</f>
        <v/>
      </c>
      <c r="J279">
        <f>IF(OR(計分!J279="",計分!$AP279=""),"",計分!$AP279-計分!J279)</f>
        <v/>
      </c>
      <c r="K279">
        <f>IF(OR(計分!K279="",計分!$AP279=""),"",計分!$AP279-計分!K279)</f>
        <v/>
      </c>
      <c r="L279">
        <f>IF(OR(計分!L279="",計分!$AP279=""),"",計分!$AP279-計分!L279)</f>
        <v/>
      </c>
      <c r="M279">
        <f>IF(OR(計分!M279="",計分!$AP279=""),"",計分!$AP279-計分!M279)</f>
        <v/>
      </c>
      <c r="N279">
        <f>IF(OR(計分!N279="",計分!$AP279=""),"",計分!$AP279-計分!N279)</f>
        <v/>
      </c>
      <c r="O279">
        <f>IF(OR(計分!O279="",計分!$AP279=""),"",計分!$AP279-計分!O279)</f>
        <v/>
      </c>
      <c r="P279">
        <f>IF(OR(計分!P279="",計分!$AP279=""),"",計分!$AP279-計分!P279)</f>
        <v/>
      </c>
      <c r="Q279">
        <f>IF(OR(計分!Q279="",計分!$AP279=""),"",計分!$AP279-計分!Q279)</f>
        <v/>
      </c>
      <c r="R279">
        <f>IF(OR(計分!R279="",計分!$AP279=""),"",計分!$AP279-計分!R279)</f>
        <v/>
      </c>
      <c r="S279">
        <f>IF(OR(計分!S279="",計分!$AP279=""),"",計分!$AP279-計分!S279)</f>
        <v/>
      </c>
      <c r="T279">
        <f>IF(OR(計分!T279="",計分!$AP279=""),"",計分!$AP279-計分!T279)</f>
        <v/>
      </c>
      <c r="U279">
        <f>IF(OR(計分!U279="",計分!$AP279=""),"",計分!$AP279-計分!U279)</f>
        <v/>
      </c>
      <c r="V279">
        <f>IF(OR(計分!V279="",計分!$AP279=""),"",計分!$AP279-計分!V279)</f>
        <v/>
      </c>
      <c r="W279">
        <f>IF(OR(計分!W279="",計分!$AP279=""),"",計分!$AP279-計分!W279)</f>
        <v/>
      </c>
      <c r="X279">
        <f>IF(OR(計分!X279="",計分!$AP279=""),"",計分!$AP279-計分!X279)</f>
        <v/>
      </c>
      <c r="Y279">
        <f>IF(OR(計分!Y279="",計分!$AP279=""),"",計分!$AP279-計分!Y279)</f>
        <v/>
      </c>
      <c r="Z279">
        <f>IF(OR(計分!Z279="",計分!$AP279=""),"",計分!$AP279-計分!Z279)</f>
        <v/>
      </c>
      <c r="AA279">
        <f>IF(OR(計分!AA279="",計分!$AP279=""),"",計分!$AP279-計分!AA279)</f>
        <v/>
      </c>
      <c r="AB279">
        <f>IF(OR(計分!AB279="",計分!$AP279=""),"",計分!$AP279-計分!AB279)</f>
        <v/>
      </c>
      <c r="AC279">
        <f>IF(OR(計分!AC279="",計分!$AP279=""),"",計分!$AP279-計分!AC279)</f>
        <v/>
      </c>
      <c r="AD279">
        <f>IF(OR(計分!AD279="",計分!$AP279=""),"",計分!$AP279-計分!AD279)</f>
        <v/>
      </c>
      <c r="AE279">
        <f>IF(OR(計分!AE279="",計分!$AP279=""),"",計分!$AP279-計分!AE279)</f>
        <v/>
      </c>
      <c r="AF279">
        <f>IF(OR(計分!AF279="",計分!$AP279=""),"",計分!$AP279-計分!AF279)</f>
        <v/>
      </c>
      <c r="AG279">
        <f>IF(OR(計分!AG279="",計分!$AP279=""),"",計分!$AP279-計分!AG279)</f>
        <v/>
      </c>
      <c r="AH279">
        <f>IF(OR(計分!AH279="",計分!$AP279=""),"",計分!$AP279-計分!AH279)</f>
        <v/>
      </c>
      <c r="AI279">
        <f>IF(OR(計分!AI279="",計分!$AP279=""),"",計分!$AP279-計分!AI279)</f>
        <v/>
      </c>
      <c r="AJ279">
        <f>IF(OR(計分!AJ279="",計分!$AP279=""),"",計分!$AP279-計分!AJ279)</f>
        <v/>
      </c>
      <c r="AK279">
        <f>IF(OR(計分!AK279="",計分!$AP279=""),"",計分!$AP279-計分!AK279)</f>
        <v/>
      </c>
      <c r="AL279">
        <f>IF(OR(計分!AL279="",計分!$AP279=""),"",計分!$AP279-計分!AL279)</f>
        <v/>
      </c>
      <c r="AM279">
        <f>IF(OR(計分!AM279="",計分!$AP279=""),"",計分!$AP279-計分!AM279)</f>
        <v/>
      </c>
      <c r="AN279">
        <f>IF(OR(計分!AN279="",計分!$AP279=""),"",計分!$AP279-計分!AN279)</f>
        <v/>
      </c>
      <c r="AO279">
        <f>IF(OR(計分!AO279="",計分!$AP279=""),"",計分!$AP279-計分!AO279)</f>
        <v/>
      </c>
    </row>
    <row r="280">
      <c r="A280">
        <f>計分!A280</f>
        <v/>
      </c>
      <c r="B280">
        <f>IF(OR(計分!B280="",計分!$AP280=""),"",計分!$AP280-計分!B280)</f>
        <v/>
      </c>
      <c r="C280">
        <f>IF(OR(計分!C280="",計分!$AP280=""),"",計分!$AP280-計分!C280)</f>
        <v/>
      </c>
      <c r="D280">
        <f>IF(OR(計分!D280="",計分!$AP280=""),"",計分!$AP280-計分!D280)</f>
        <v/>
      </c>
      <c r="E280">
        <f>IF(OR(計分!E280="",計分!$AP280=""),"",計分!$AP280-計分!E280)</f>
        <v/>
      </c>
      <c r="F280">
        <f>IF(OR(計分!F280="",計分!$AP280=""),"",計分!$AP280-計分!F280)</f>
        <v/>
      </c>
      <c r="G280">
        <f>IF(OR(計分!G280="",計分!$AP280=""),"",計分!$AP280-計分!G280)</f>
        <v/>
      </c>
      <c r="H280">
        <f>IF(OR(計分!H280="",計分!$AP280=""),"",計分!$AP280-計分!H280)</f>
        <v/>
      </c>
      <c r="I280">
        <f>IF(OR(計分!I280="",計分!$AP280=""),"",計分!$AP280-計分!I280)</f>
        <v/>
      </c>
      <c r="J280">
        <f>IF(OR(計分!J280="",計分!$AP280=""),"",計分!$AP280-計分!J280)</f>
        <v/>
      </c>
      <c r="K280">
        <f>IF(OR(計分!K280="",計分!$AP280=""),"",計分!$AP280-計分!K280)</f>
        <v/>
      </c>
      <c r="L280">
        <f>IF(OR(計分!L280="",計分!$AP280=""),"",計分!$AP280-計分!L280)</f>
        <v/>
      </c>
      <c r="M280">
        <f>IF(OR(計分!M280="",計分!$AP280=""),"",計分!$AP280-計分!M280)</f>
        <v/>
      </c>
      <c r="N280">
        <f>IF(OR(計分!N280="",計分!$AP280=""),"",計分!$AP280-計分!N280)</f>
        <v/>
      </c>
      <c r="O280">
        <f>IF(OR(計分!O280="",計分!$AP280=""),"",計分!$AP280-計分!O280)</f>
        <v/>
      </c>
      <c r="P280">
        <f>IF(OR(計分!P280="",計分!$AP280=""),"",計分!$AP280-計分!P280)</f>
        <v/>
      </c>
      <c r="Q280">
        <f>IF(OR(計分!Q280="",計分!$AP280=""),"",計分!$AP280-計分!Q280)</f>
        <v/>
      </c>
      <c r="R280">
        <f>IF(OR(計分!R280="",計分!$AP280=""),"",計分!$AP280-計分!R280)</f>
        <v/>
      </c>
      <c r="S280">
        <f>IF(OR(計分!S280="",計分!$AP280=""),"",計分!$AP280-計分!S280)</f>
        <v/>
      </c>
      <c r="T280">
        <f>IF(OR(計分!T280="",計分!$AP280=""),"",計分!$AP280-計分!T280)</f>
        <v/>
      </c>
      <c r="U280">
        <f>IF(OR(計分!U280="",計分!$AP280=""),"",計分!$AP280-計分!U280)</f>
        <v/>
      </c>
      <c r="V280">
        <f>IF(OR(計分!V280="",計分!$AP280=""),"",計分!$AP280-計分!V280)</f>
        <v/>
      </c>
      <c r="W280">
        <f>IF(OR(計分!W280="",計分!$AP280=""),"",計分!$AP280-計分!W280)</f>
        <v/>
      </c>
      <c r="X280">
        <f>IF(OR(計分!X280="",計分!$AP280=""),"",計分!$AP280-計分!X280)</f>
        <v/>
      </c>
      <c r="Y280">
        <f>IF(OR(計分!Y280="",計分!$AP280=""),"",計分!$AP280-計分!Y280)</f>
        <v/>
      </c>
      <c r="Z280">
        <f>IF(OR(計分!Z280="",計分!$AP280=""),"",計分!$AP280-計分!Z280)</f>
        <v/>
      </c>
      <c r="AA280">
        <f>IF(OR(計分!AA280="",計分!$AP280=""),"",計分!$AP280-計分!AA280)</f>
        <v/>
      </c>
      <c r="AB280">
        <f>IF(OR(計分!AB280="",計分!$AP280=""),"",計分!$AP280-計分!AB280)</f>
        <v/>
      </c>
      <c r="AC280">
        <f>IF(OR(計分!AC280="",計分!$AP280=""),"",計分!$AP280-計分!AC280)</f>
        <v/>
      </c>
      <c r="AD280">
        <f>IF(OR(計分!AD280="",計分!$AP280=""),"",計分!$AP280-計分!AD280)</f>
        <v/>
      </c>
      <c r="AE280">
        <f>IF(OR(計分!AE280="",計分!$AP280=""),"",計分!$AP280-計分!AE280)</f>
        <v/>
      </c>
      <c r="AF280">
        <f>IF(OR(計分!AF280="",計分!$AP280=""),"",計分!$AP280-計分!AF280)</f>
        <v/>
      </c>
      <c r="AG280">
        <f>IF(OR(計分!AG280="",計分!$AP280=""),"",計分!$AP280-計分!AG280)</f>
        <v/>
      </c>
      <c r="AH280">
        <f>IF(OR(計分!AH280="",計分!$AP280=""),"",計分!$AP280-計分!AH280)</f>
        <v/>
      </c>
      <c r="AI280">
        <f>IF(OR(計分!AI280="",計分!$AP280=""),"",計分!$AP280-計分!AI280)</f>
        <v/>
      </c>
      <c r="AJ280">
        <f>IF(OR(計分!AJ280="",計分!$AP280=""),"",計分!$AP280-計分!AJ280)</f>
        <v/>
      </c>
      <c r="AK280">
        <f>IF(OR(計分!AK280="",計分!$AP280=""),"",計分!$AP280-計分!AK280)</f>
        <v/>
      </c>
      <c r="AL280">
        <f>IF(OR(計分!AL280="",計分!$AP280=""),"",計分!$AP280-計分!AL280)</f>
        <v/>
      </c>
      <c r="AM280">
        <f>IF(OR(計分!AM280="",計分!$AP280=""),"",計分!$AP280-計分!AM280)</f>
        <v/>
      </c>
      <c r="AN280">
        <f>IF(OR(計分!AN280="",計分!$AP280=""),"",計分!$AP280-計分!AN280)</f>
        <v/>
      </c>
      <c r="AO280">
        <f>IF(OR(計分!AO280="",計分!$AP280=""),"",計分!$AP280-計分!AO280)</f>
        <v/>
      </c>
    </row>
    <row r="281">
      <c r="A281">
        <f>計分!A281</f>
        <v/>
      </c>
      <c r="B281">
        <f>IF(OR(計分!B281="",計分!$AP281=""),"",計分!$AP281-計分!B281)</f>
        <v/>
      </c>
      <c r="C281">
        <f>IF(OR(計分!C281="",計分!$AP281=""),"",計分!$AP281-計分!C281)</f>
        <v/>
      </c>
      <c r="D281">
        <f>IF(OR(計分!D281="",計分!$AP281=""),"",計分!$AP281-計分!D281)</f>
        <v/>
      </c>
      <c r="E281">
        <f>IF(OR(計分!E281="",計分!$AP281=""),"",計分!$AP281-計分!E281)</f>
        <v/>
      </c>
      <c r="F281">
        <f>IF(OR(計分!F281="",計分!$AP281=""),"",計分!$AP281-計分!F281)</f>
        <v/>
      </c>
      <c r="G281">
        <f>IF(OR(計分!G281="",計分!$AP281=""),"",計分!$AP281-計分!G281)</f>
        <v/>
      </c>
      <c r="H281">
        <f>IF(OR(計分!H281="",計分!$AP281=""),"",計分!$AP281-計分!H281)</f>
        <v/>
      </c>
      <c r="I281">
        <f>IF(OR(計分!I281="",計分!$AP281=""),"",計分!$AP281-計分!I281)</f>
        <v/>
      </c>
      <c r="J281">
        <f>IF(OR(計分!J281="",計分!$AP281=""),"",計分!$AP281-計分!J281)</f>
        <v/>
      </c>
      <c r="K281">
        <f>IF(OR(計分!K281="",計分!$AP281=""),"",計分!$AP281-計分!K281)</f>
        <v/>
      </c>
      <c r="L281">
        <f>IF(OR(計分!L281="",計分!$AP281=""),"",計分!$AP281-計分!L281)</f>
        <v/>
      </c>
      <c r="M281">
        <f>IF(OR(計分!M281="",計分!$AP281=""),"",計分!$AP281-計分!M281)</f>
        <v/>
      </c>
      <c r="N281">
        <f>IF(OR(計分!N281="",計分!$AP281=""),"",計分!$AP281-計分!N281)</f>
        <v/>
      </c>
      <c r="O281">
        <f>IF(OR(計分!O281="",計分!$AP281=""),"",計分!$AP281-計分!O281)</f>
        <v/>
      </c>
      <c r="P281">
        <f>IF(OR(計分!P281="",計分!$AP281=""),"",計分!$AP281-計分!P281)</f>
        <v/>
      </c>
      <c r="Q281">
        <f>IF(OR(計分!Q281="",計分!$AP281=""),"",計分!$AP281-計分!Q281)</f>
        <v/>
      </c>
      <c r="R281">
        <f>IF(OR(計分!R281="",計分!$AP281=""),"",計分!$AP281-計分!R281)</f>
        <v/>
      </c>
      <c r="S281">
        <f>IF(OR(計分!S281="",計分!$AP281=""),"",計分!$AP281-計分!S281)</f>
        <v/>
      </c>
      <c r="T281">
        <f>IF(OR(計分!T281="",計分!$AP281=""),"",計分!$AP281-計分!T281)</f>
        <v/>
      </c>
      <c r="U281">
        <f>IF(OR(計分!U281="",計分!$AP281=""),"",計分!$AP281-計分!U281)</f>
        <v/>
      </c>
      <c r="V281">
        <f>IF(OR(計分!V281="",計分!$AP281=""),"",計分!$AP281-計分!V281)</f>
        <v/>
      </c>
      <c r="W281">
        <f>IF(OR(計分!W281="",計分!$AP281=""),"",計分!$AP281-計分!W281)</f>
        <v/>
      </c>
      <c r="X281">
        <f>IF(OR(計分!X281="",計分!$AP281=""),"",計分!$AP281-計分!X281)</f>
        <v/>
      </c>
      <c r="Y281">
        <f>IF(OR(計分!Y281="",計分!$AP281=""),"",計分!$AP281-計分!Y281)</f>
        <v/>
      </c>
      <c r="Z281">
        <f>IF(OR(計分!Z281="",計分!$AP281=""),"",計分!$AP281-計分!Z281)</f>
        <v/>
      </c>
      <c r="AA281">
        <f>IF(OR(計分!AA281="",計分!$AP281=""),"",計分!$AP281-計分!AA281)</f>
        <v/>
      </c>
      <c r="AB281">
        <f>IF(OR(計分!AB281="",計分!$AP281=""),"",計分!$AP281-計分!AB281)</f>
        <v/>
      </c>
      <c r="AC281">
        <f>IF(OR(計分!AC281="",計分!$AP281=""),"",計分!$AP281-計分!AC281)</f>
        <v/>
      </c>
      <c r="AD281">
        <f>IF(OR(計分!AD281="",計分!$AP281=""),"",計分!$AP281-計分!AD281)</f>
        <v/>
      </c>
      <c r="AE281">
        <f>IF(OR(計分!AE281="",計分!$AP281=""),"",計分!$AP281-計分!AE281)</f>
        <v/>
      </c>
      <c r="AF281">
        <f>IF(OR(計分!AF281="",計分!$AP281=""),"",計分!$AP281-計分!AF281)</f>
        <v/>
      </c>
      <c r="AG281">
        <f>IF(OR(計分!AG281="",計分!$AP281=""),"",計分!$AP281-計分!AG281)</f>
        <v/>
      </c>
      <c r="AH281">
        <f>IF(OR(計分!AH281="",計分!$AP281=""),"",計分!$AP281-計分!AH281)</f>
        <v/>
      </c>
      <c r="AI281">
        <f>IF(OR(計分!AI281="",計分!$AP281=""),"",計分!$AP281-計分!AI281)</f>
        <v/>
      </c>
      <c r="AJ281">
        <f>IF(OR(計分!AJ281="",計分!$AP281=""),"",計分!$AP281-計分!AJ281)</f>
        <v/>
      </c>
      <c r="AK281">
        <f>IF(OR(計分!AK281="",計分!$AP281=""),"",計分!$AP281-計分!AK281)</f>
        <v/>
      </c>
      <c r="AL281">
        <f>IF(OR(計分!AL281="",計分!$AP281=""),"",計分!$AP281-計分!AL281)</f>
        <v/>
      </c>
      <c r="AM281">
        <f>IF(OR(計分!AM281="",計分!$AP281=""),"",計分!$AP281-計分!AM281)</f>
        <v/>
      </c>
      <c r="AN281">
        <f>IF(OR(計分!AN281="",計分!$AP281=""),"",計分!$AP281-計分!AN281)</f>
        <v/>
      </c>
      <c r="AO281">
        <f>IF(OR(計分!AO281="",計分!$AP281=""),"",計分!$AP281-計分!AO281)</f>
        <v/>
      </c>
    </row>
    <row r="282">
      <c r="A282">
        <f>計分!A282</f>
        <v/>
      </c>
      <c r="B282">
        <f>IF(OR(計分!B282="",計分!$AP282=""),"",計分!$AP282-計分!B282)</f>
        <v/>
      </c>
      <c r="C282">
        <f>IF(OR(計分!C282="",計分!$AP282=""),"",計分!$AP282-計分!C282)</f>
        <v/>
      </c>
      <c r="D282">
        <f>IF(OR(計分!D282="",計分!$AP282=""),"",計分!$AP282-計分!D282)</f>
        <v/>
      </c>
      <c r="E282">
        <f>IF(OR(計分!E282="",計分!$AP282=""),"",計分!$AP282-計分!E282)</f>
        <v/>
      </c>
      <c r="F282">
        <f>IF(OR(計分!F282="",計分!$AP282=""),"",計分!$AP282-計分!F282)</f>
        <v/>
      </c>
      <c r="G282">
        <f>IF(OR(計分!G282="",計分!$AP282=""),"",計分!$AP282-計分!G282)</f>
        <v/>
      </c>
      <c r="H282">
        <f>IF(OR(計分!H282="",計分!$AP282=""),"",計分!$AP282-計分!H282)</f>
        <v/>
      </c>
      <c r="I282">
        <f>IF(OR(計分!I282="",計分!$AP282=""),"",計分!$AP282-計分!I282)</f>
        <v/>
      </c>
      <c r="J282">
        <f>IF(OR(計分!J282="",計分!$AP282=""),"",計分!$AP282-計分!J282)</f>
        <v/>
      </c>
      <c r="K282">
        <f>IF(OR(計分!K282="",計分!$AP282=""),"",計分!$AP282-計分!K282)</f>
        <v/>
      </c>
      <c r="L282">
        <f>IF(OR(計分!L282="",計分!$AP282=""),"",計分!$AP282-計分!L282)</f>
        <v/>
      </c>
      <c r="M282">
        <f>IF(OR(計分!M282="",計分!$AP282=""),"",計分!$AP282-計分!M282)</f>
        <v/>
      </c>
      <c r="N282">
        <f>IF(OR(計分!N282="",計分!$AP282=""),"",計分!$AP282-計分!N282)</f>
        <v/>
      </c>
      <c r="O282">
        <f>IF(OR(計分!O282="",計分!$AP282=""),"",計分!$AP282-計分!O282)</f>
        <v/>
      </c>
      <c r="P282">
        <f>IF(OR(計分!P282="",計分!$AP282=""),"",計分!$AP282-計分!P282)</f>
        <v/>
      </c>
      <c r="Q282">
        <f>IF(OR(計分!Q282="",計分!$AP282=""),"",計分!$AP282-計分!Q282)</f>
        <v/>
      </c>
      <c r="R282">
        <f>IF(OR(計分!R282="",計分!$AP282=""),"",計分!$AP282-計分!R282)</f>
        <v/>
      </c>
      <c r="S282">
        <f>IF(OR(計分!S282="",計分!$AP282=""),"",計分!$AP282-計分!S282)</f>
        <v/>
      </c>
      <c r="T282">
        <f>IF(OR(計分!T282="",計分!$AP282=""),"",計分!$AP282-計分!T282)</f>
        <v/>
      </c>
      <c r="U282">
        <f>IF(OR(計分!U282="",計分!$AP282=""),"",計分!$AP282-計分!U282)</f>
        <v/>
      </c>
      <c r="V282">
        <f>IF(OR(計分!V282="",計分!$AP282=""),"",計分!$AP282-計分!V282)</f>
        <v/>
      </c>
      <c r="W282">
        <f>IF(OR(計分!W282="",計分!$AP282=""),"",計分!$AP282-計分!W282)</f>
        <v/>
      </c>
      <c r="X282">
        <f>IF(OR(計分!X282="",計分!$AP282=""),"",計分!$AP282-計分!X282)</f>
        <v/>
      </c>
      <c r="Y282">
        <f>IF(OR(計分!Y282="",計分!$AP282=""),"",計分!$AP282-計分!Y282)</f>
        <v/>
      </c>
      <c r="Z282">
        <f>IF(OR(計分!Z282="",計分!$AP282=""),"",計分!$AP282-計分!Z282)</f>
        <v/>
      </c>
      <c r="AA282">
        <f>IF(OR(計分!AA282="",計分!$AP282=""),"",計分!$AP282-計分!AA282)</f>
        <v/>
      </c>
      <c r="AB282">
        <f>IF(OR(計分!AB282="",計分!$AP282=""),"",計分!$AP282-計分!AB282)</f>
        <v/>
      </c>
      <c r="AC282">
        <f>IF(OR(計分!AC282="",計分!$AP282=""),"",計分!$AP282-計分!AC282)</f>
        <v/>
      </c>
      <c r="AD282">
        <f>IF(OR(計分!AD282="",計分!$AP282=""),"",計分!$AP282-計分!AD282)</f>
        <v/>
      </c>
      <c r="AE282">
        <f>IF(OR(計分!AE282="",計分!$AP282=""),"",計分!$AP282-計分!AE282)</f>
        <v/>
      </c>
      <c r="AF282">
        <f>IF(OR(計分!AF282="",計分!$AP282=""),"",計分!$AP282-計分!AF282)</f>
        <v/>
      </c>
      <c r="AG282">
        <f>IF(OR(計分!AG282="",計分!$AP282=""),"",計分!$AP282-計分!AG282)</f>
        <v/>
      </c>
      <c r="AH282">
        <f>IF(OR(計分!AH282="",計分!$AP282=""),"",計分!$AP282-計分!AH282)</f>
        <v/>
      </c>
      <c r="AI282">
        <f>IF(OR(計分!AI282="",計分!$AP282=""),"",計分!$AP282-計分!AI282)</f>
        <v/>
      </c>
      <c r="AJ282">
        <f>IF(OR(計分!AJ282="",計分!$AP282=""),"",計分!$AP282-計分!AJ282)</f>
        <v/>
      </c>
      <c r="AK282">
        <f>IF(OR(計分!AK282="",計分!$AP282=""),"",計分!$AP282-計分!AK282)</f>
        <v/>
      </c>
      <c r="AL282">
        <f>IF(OR(計分!AL282="",計分!$AP282=""),"",計分!$AP282-計分!AL282)</f>
        <v/>
      </c>
      <c r="AM282">
        <f>IF(OR(計分!AM282="",計分!$AP282=""),"",計分!$AP282-計分!AM282)</f>
        <v/>
      </c>
      <c r="AN282">
        <f>IF(OR(計分!AN282="",計分!$AP282=""),"",計分!$AP282-計分!AN282)</f>
        <v/>
      </c>
      <c r="AO282">
        <f>IF(OR(計分!AO282="",計分!$AP282=""),"",計分!$AP282-計分!AO282)</f>
        <v/>
      </c>
    </row>
    <row r="283">
      <c r="A283">
        <f>計分!A283</f>
        <v/>
      </c>
      <c r="B283">
        <f>IF(OR(計分!B283="",計分!$AP283=""),"",計分!$AP283-計分!B283)</f>
        <v/>
      </c>
      <c r="C283">
        <f>IF(OR(計分!C283="",計分!$AP283=""),"",計分!$AP283-計分!C283)</f>
        <v/>
      </c>
      <c r="D283">
        <f>IF(OR(計分!D283="",計分!$AP283=""),"",計分!$AP283-計分!D283)</f>
        <v/>
      </c>
      <c r="E283">
        <f>IF(OR(計分!E283="",計分!$AP283=""),"",計分!$AP283-計分!E283)</f>
        <v/>
      </c>
      <c r="F283">
        <f>IF(OR(計分!F283="",計分!$AP283=""),"",計分!$AP283-計分!F283)</f>
        <v/>
      </c>
      <c r="G283">
        <f>IF(OR(計分!G283="",計分!$AP283=""),"",計分!$AP283-計分!G283)</f>
        <v/>
      </c>
      <c r="H283">
        <f>IF(OR(計分!H283="",計分!$AP283=""),"",計分!$AP283-計分!H283)</f>
        <v/>
      </c>
      <c r="I283">
        <f>IF(OR(計分!I283="",計分!$AP283=""),"",計分!$AP283-計分!I283)</f>
        <v/>
      </c>
      <c r="J283">
        <f>IF(OR(計分!J283="",計分!$AP283=""),"",計分!$AP283-計分!J283)</f>
        <v/>
      </c>
      <c r="K283">
        <f>IF(OR(計分!K283="",計分!$AP283=""),"",計分!$AP283-計分!K283)</f>
        <v/>
      </c>
      <c r="L283">
        <f>IF(OR(計分!L283="",計分!$AP283=""),"",計分!$AP283-計分!L283)</f>
        <v/>
      </c>
      <c r="M283">
        <f>IF(OR(計分!M283="",計分!$AP283=""),"",計分!$AP283-計分!M283)</f>
        <v/>
      </c>
      <c r="N283">
        <f>IF(OR(計分!N283="",計分!$AP283=""),"",計分!$AP283-計分!N283)</f>
        <v/>
      </c>
      <c r="O283">
        <f>IF(OR(計分!O283="",計分!$AP283=""),"",計分!$AP283-計分!O283)</f>
        <v/>
      </c>
      <c r="P283">
        <f>IF(OR(計分!P283="",計分!$AP283=""),"",計分!$AP283-計分!P283)</f>
        <v/>
      </c>
      <c r="Q283">
        <f>IF(OR(計分!Q283="",計分!$AP283=""),"",計分!$AP283-計分!Q283)</f>
        <v/>
      </c>
      <c r="R283">
        <f>IF(OR(計分!R283="",計分!$AP283=""),"",計分!$AP283-計分!R283)</f>
        <v/>
      </c>
      <c r="S283">
        <f>IF(OR(計分!S283="",計分!$AP283=""),"",計分!$AP283-計分!S283)</f>
        <v/>
      </c>
      <c r="T283">
        <f>IF(OR(計分!T283="",計分!$AP283=""),"",計分!$AP283-計分!T283)</f>
        <v/>
      </c>
      <c r="U283">
        <f>IF(OR(計分!U283="",計分!$AP283=""),"",計分!$AP283-計分!U283)</f>
        <v/>
      </c>
      <c r="V283">
        <f>IF(OR(計分!V283="",計分!$AP283=""),"",計分!$AP283-計分!V283)</f>
        <v/>
      </c>
      <c r="W283">
        <f>IF(OR(計分!W283="",計分!$AP283=""),"",計分!$AP283-計分!W283)</f>
        <v/>
      </c>
      <c r="X283">
        <f>IF(OR(計分!X283="",計分!$AP283=""),"",計分!$AP283-計分!X283)</f>
        <v/>
      </c>
      <c r="Y283">
        <f>IF(OR(計分!Y283="",計分!$AP283=""),"",計分!$AP283-計分!Y283)</f>
        <v/>
      </c>
      <c r="Z283">
        <f>IF(OR(計分!Z283="",計分!$AP283=""),"",計分!$AP283-計分!Z283)</f>
        <v/>
      </c>
      <c r="AA283">
        <f>IF(OR(計分!AA283="",計分!$AP283=""),"",計分!$AP283-計分!AA283)</f>
        <v/>
      </c>
      <c r="AB283">
        <f>IF(OR(計分!AB283="",計分!$AP283=""),"",計分!$AP283-計分!AB283)</f>
        <v/>
      </c>
      <c r="AC283">
        <f>IF(OR(計分!AC283="",計分!$AP283=""),"",計分!$AP283-計分!AC283)</f>
        <v/>
      </c>
      <c r="AD283">
        <f>IF(OR(計分!AD283="",計分!$AP283=""),"",計分!$AP283-計分!AD283)</f>
        <v/>
      </c>
      <c r="AE283">
        <f>IF(OR(計分!AE283="",計分!$AP283=""),"",計分!$AP283-計分!AE283)</f>
        <v/>
      </c>
      <c r="AF283">
        <f>IF(OR(計分!AF283="",計分!$AP283=""),"",計分!$AP283-計分!AF283)</f>
        <v/>
      </c>
      <c r="AG283">
        <f>IF(OR(計分!AG283="",計分!$AP283=""),"",計分!$AP283-計分!AG283)</f>
        <v/>
      </c>
      <c r="AH283">
        <f>IF(OR(計分!AH283="",計分!$AP283=""),"",計分!$AP283-計分!AH283)</f>
        <v/>
      </c>
      <c r="AI283">
        <f>IF(OR(計分!AI283="",計分!$AP283=""),"",計分!$AP283-計分!AI283)</f>
        <v/>
      </c>
      <c r="AJ283">
        <f>IF(OR(計分!AJ283="",計分!$AP283=""),"",計分!$AP283-計分!AJ283)</f>
        <v/>
      </c>
      <c r="AK283">
        <f>IF(OR(計分!AK283="",計分!$AP283=""),"",計分!$AP283-計分!AK283)</f>
        <v/>
      </c>
      <c r="AL283">
        <f>IF(OR(計分!AL283="",計分!$AP283=""),"",計分!$AP283-計分!AL283)</f>
        <v/>
      </c>
      <c r="AM283">
        <f>IF(OR(計分!AM283="",計分!$AP283=""),"",計分!$AP283-計分!AM283)</f>
        <v/>
      </c>
      <c r="AN283">
        <f>IF(OR(計分!AN283="",計分!$AP283=""),"",計分!$AP283-計分!AN283)</f>
        <v/>
      </c>
      <c r="AO283">
        <f>IF(OR(計分!AO283="",計分!$AP283=""),"",計分!$AP283-計分!AO283)</f>
        <v/>
      </c>
    </row>
    <row r="284">
      <c r="A284">
        <f>計分!A284</f>
        <v/>
      </c>
      <c r="B284">
        <f>IF(OR(計分!B284="",計分!$AP284=""),"",計分!$AP284-計分!B284)</f>
        <v/>
      </c>
      <c r="C284">
        <f>IF(OR(計分!C284="",計分!$AP284=""),"",計分!$AP284-計分!C284)</f>
        <v/>
      </c>
      <c r="D284">
        <f>IF(OR(計分!D284="",計分!$AP284=""),"",計分!$AP284-計分!D284)</f>
        <v/>
      </c>
      <c r="E284">
        <f>IF(OR(計分!E284="",計分!$AP284=""),"",計分!$AP284-計分!E284)</f>
        <v/>
      </c>
      <c r="F284">
        <f>IF(OR(計分!F284="",計分!$AP284=""),"",計分!$AP284-計分!F284)</f>
        <v/>
      </c>
      <c r="G284">
        <f>IF(OR(計分!G284="",計分!$AP284=""),"",計分!$AP284-計分!G284)</f>
        <v/>
      </c>
      <c r="H284">
        <f>IF(OR(計分!H284="",計分!$AP284=""),"",計分!$AP284-計分!H284)</f>
        <v/>
      </c>
      <c r="I284">
        <f>IF(OR(計分!I284="",計分!$AP284=""),"",計分!$AP284-計分!I284)</f>
        <v/>
      </c>
      <c r="J284">
        <f>IF(OR(計分!J284="",計分!$AP284=""),"",計分!$AP284-計分!J284)</f>
        <v/>
      </c>
      <c r="K284">
        <f>IF(OR(計分!K284="",計分!$AP284=""),"",計分!$AP284-計分!K284)</f>
        <v/>
      </c>
      <c r="L284">
        <f>IF(OR(計分!L284="",計分!$AP284=""),"",計分!$AP284-計分!L284)</f>
        <v/>
      </c>
      <c r="M284">
        <f>IF(OR(計分!M284="",計分!$AP284=""),"",計分!$AP284-計分!M284)</f>
        <v/>
      </c>
      <c r="N284">
        <f>IF(OR(計分!N284="",計分!$AP284=""),"",計分!$AP284-計分!N284)</f>
        <v/>
      </c>
      <c r="O284">
        <f>IF(OR(計分!O284="",計分!$AP284=""),"",計分!$AP284-計分!O284)</f>
        <v/>
      </c>
      <c r="P284">
        <f>IF(OR(計分!P284="",計分!$AP284=""),"",計分!$AP284-計分!P284)</f>
        <v/>
      </c>
      <c r="Q284">
        <f>IF(OR(計分!Q284="",計分!$AP284=""),"",計分!$AP284-計分!Q284)</f>
        <v/>
      </c>
      <c r="R284">
        <f>IF(OR(計分!R284="",計分!$AP284=""),"",計分!$AP284-計分!R284)</f>
        <v/>
      </c>
      <c r="S284">
        <f>IF(OR(計分!S284="",計分!$AP284=""),"",計分!$AP284-計分!S284)</f>
        <v/>
      </c>
      <c r="T284">
        <f>IF(OR(計分!T284="",計分!$AP284=""),"",計分!$AP284-計分!T284)</f>
        <v/>
      </c>
      <c r="U284">
        <f>IF(OR(計分!U284="",計分!$AP284=""),"",計分!$AP284-計分!U284)</f>
        <v/>
      </c>
      <c r="V284">
        <f>IF(OR(計分!V284="",計分!$AP284=""),"",計分!$AP284-計分!V284)</f>
        <v/>
      </c>
      <c r="W284">
        <f>IF(OR(計分!W284="",計分!$AP284=""),"",計分!$AP284-計分!W284)</f>
        <v/>
      </c>
      <c r="X284">
        <f>IF(OR(計分!X284="",計分!$AP284=""),"",計分!$AP284-計分!X284)</f>
        <v/>
      </c>
      <c r="Y284">
        <f>IF(OR(計分!Y284="",計分!$AP284=""),"",計分!$AP284-計分!Y284)</f>
        <v/>
      </c>
      <c r="Z284">
        <f>IF(OR(計分!Z284="",計分!$AP284=""),"",計分!$AP284-計分!Z284)</f>
        <v/>
      </c>
      <c r="AA284">
        <f>IF(OR(計分!AA284="",計分!$AP284=""),"",計分!$AP284-計分!AA284)</f>
        <v/>
      </c>
      <c r="AB284">
        <f>IF(OR(計分!AB284="",計分!$AP284=""),"",計分!$AP284-計分!AB284)</f>
        <v/>
      </c>
      <c r="AC284">
        <f>IF(OR(計分!AC284="",計分!$AP284=""),"",計分!$AP284-計分!AC284)</f>
        <v/>
      </c>
      <c r="AD284">
        <f>IF(OR(計分!AD284="",計分!$AP284=""),"",計分!$AP284-計分!AD284)</f>
        <v/>
      </c>
      <c r="AE284">
        <f>IF(OR(計分!AE284="",計分!$AP284=""),"",計分!$AP284-計分!AE284)</f>
        <v/>
      </c>
      <c r="AF284">
        <f>IF(OR(計分!AF284="",計分!$AP284=""),"",計分!$AP284-計分!AF284)</f>
        <v/>
      </c>
      <c r="AG284">
        <f>IF(OR(計分!AG284="",計分!$AP284=""),"",計分!$AP284-計分!AG284)</f>
        <v/>
      </c>
      <c r="AH284">
        <f>IF(OR(計分!AH284="",計分!$AP284=""),"",計分!$AP284-計分!AH284)</f>
        <v/>
      </c>
      <c r="AI284">
        <f>IF(OR(計分!AI284="",計分!$AP284=""),"",計分!$AP284-計分!AI284)</f>
        <v/>
      </c>
      <c r="AJ284">
        <f>IF(OR(計分!AJ284="",計分!$AP284=""),"",計分!$AP284-計分!AJ284)</f>
        <v/>
      </c>
      <c r="AK284">
        <f>IF(OR(計分!AK284="",計分!$AP284=""),"",計分!$AP284-計分!AK284)</f>
        <v/>
      </c>
      <c r="AL284">
        <f>IF(OR(計分!AL284="",計分!$AP284=""),"",計分!$AP284-計分!AL284)</f>
        <v/>
      </c>
      <c r="AM284">
        <f>IF(OR(計分!AM284="",計分!$AP284=""),"",計分!$AP284-計分!AM284)</f>
        <v/>
      </c>
      <c r="AN284">
        <f>IF(OR(計分!AN284="",計分!$AP284=""),"",計分!$AP284-計分!AN284)</f>
        <v/>
      </c>
      <c r="AO284">
        <f>IF(OR(計分!AO284="",計分!$AP284=""),"",計分!$AP284-計分!AO284)</f>
        <v/>
      </c>
    </row>
    <row r="285">
      <c r="A285">
        <f>計分!A285</f>
        <v/>
      </c>
      <c r="B285">
        <f>IF(OR(計分!B285="",計分!$AP285=""),"",計分!$AP285-計分!B285)</f>
        <v/>
      </c>
      <c r="C285">
        <f>IF(OR(計分!C285="",計分!$AP285=""),"",計分!$AP285-計分!C285)</f>
        <v/>
      </c>
      <c r="D285">
        <f>IF(OR(計分!D285="",計分!$AP285=""),"",計分!$AP285-計分!D285)</f>
        <v/>
      </c>
      <c r="E285">
        <f>IF(OR(計分!E285="",計分!$AP285=""),"",計分!$AP285-計分!E285)</f>
        <v/>
      </c>
      <c r="F285">
        <f>IF(OR(計分!F285="",計分!$AP285=""),"",計分!$AP285-計分!F285)</f>
        <v/>
      </c>
      <c r="G285">
        <f>IF(OR(計分!G285="",計分!$AP285=""),"",計分!$AP285-計分!G285)</f>
        <v/>
      </c>
      <c r="H285">
        <f>IF(OR(計分!H285="",計分!$AP285=""),"",計分!$AP285-計分!H285)</f>
        <v/>
      </c>
      <c r="I285">
        <f>IF(OR(計分!I285="",計分!$AP285=""),"",計分!$AP285-計分!I285)</f>
        <v/>
      </c>
      <c r="J285">
        <f>IF(OR(計分!J285="",計分!$AP285=""),"",計分!$AP285-計分!J285)</f>
        <v/>
      </c>
      <c r="K285">
        <f>IF(OR(計分!K285="",計分!$AP285=""),"",計分!$AP285-計分!K285)</f>
        <v/>
      </c>
      <c r="L285">
        <f>IF(OR(計分!L285="",計分!$AP285=""),"",計分!$AP285-計分!L285)</f>
        <v/>
      </c>
      <c r="M285">
        <f>IF(OR(計分!M285="",計分!$AP285=""),"",計分!$AP285-計分!M285)</f>
        <v/>
      </c>
      <c r="N285">
        <f>IF(OR(計分!N285="",計分!$AP285=""),"",計分!$AP285-計分!N285)</f>
        <v/>
      </c>
      <c r="O285">
        <f>IF(OR(計分!O285="",計分!$AP285=""),"",計分!$AP285-計分!O285)</f>
        <v/>
      </c>
      <c r="P285">
        <f>IF(OR(計分!P285="",計分!$AP285=""),"",計分!$AP285-計分!P285)</f>
        <v/>
      </c>
      <c r="Q285">
        <f>IF(OR(計分!Q285="",計分!$AP285=""),"",計分!$AP285-計分!Q285)</f>
        <v/>
      </c>
      <c r="R285">
        <f>IF(OR(計分!R285="",計分!$AP285=""),"",計分!$AP285-計分!R285)</f>
        <v/>
      </c>
      <c r="S285">
        <f>IF(OR(計分!S285="",計分!$AP285=""),"",計分!$AP285-計分!S285)</f>
        <v/>
      </c>
      <c r="T285">
        <f>IF(OR(計分!T285="",計分!$AP285=""),"",計分!$AP285-計分!T285)</f>
        <v/>
      </c>
      <c r="U285">
        <f>IF(OR(計分!U285="",計分!$AP285=""),"",計分!$AP285-計分!U285)</f>
        <v/>
      </c>
      <c r="V285">
        <f>IF(OR(計分!V285="",計分!$AP285=""),"",計分!$AP285-計分!V285)</f>
        <v/>
      </c>
      <c r="W285">
        <f>IF(OR(計分!W285="",計分!$AP285=""),"",計分!$AP285-計分!W285)</f>
        <v/>
      </c>
      <c r="X285">
        <f>IF(OR(計分!X285="",計分!$AP285=""),"",計分!$AP285-計分!X285)</f>
        <v/>
      </c>
      <c r="Y285">
        <f>IF(OR(計分!Y285="",計分!$AP285=""),"",計分!$AP285-計分!Y285)</f>
        <v/>
      </c>
      <c r="Z285">
        <f>IF(OR(計分!Z285="",計分!$AP285=""),"",計分!$AP285-計分!Z285)</f>
        <v/>
      </c>
      <c r="AA285">
        <f>IF(OR(計分!AA285="",計分!$AP285=""),"",計分!$AP285-計分!AA285)</f>
        <v/>
      </c>
      <c r="AB285">
        <f>IF(OR(計分!AB285="",計分!$AP285=""),"",計分!$AP285-計分!AB285)</f>
        <v/>
      </c>
      <c r="AC285">
        <f>IF(OR(計分!AC285="",計分!$AP285=""),"",計分!$AP285-計分!AC285)</f>
        <v/>
      </c>
      <c r="AD285">
        <f>IF(OR(計分!AD285="",計分!$AP285=""),"",計分!$AP285-計分!AD285)</f>
        <v/>
      </c>
      <c r="AE285">
        <f>IF(OR(計分!AE285="",計分!$AP285=""),"",計分!$AP285-計分!AE285)</f>
        <v/>
      </c>
      <c r="AF285">
        <f>IF(OR(計分!AF285="",計分!$AP285=""),"",計分!$AP285-計分!AF285)</f>
        <v/>
      </c>
      <c r="AG285">
        <f>IF(OR(計分!AG285="",計分!$AP285=""),"",計分!$AP285-計分!AG285)</f>
        <v/>
      </c>
      <c r="AH285">
        <f>IF(OR(計分!AH285="",計分!$AP285=""),"",計分!$AP285-計分!AH285)</f>
        <v/>
      </c>
      <c r="AI285">
        <f>IF(OR(計分!AI285="",計分!$AP285=""),"",計分!$AP285-計分!AI285)</f>
        <v/>
      </c>
      <c r="AJ285">
        <f>IF(OR(計分!AJ285="",計分!$AP285=""),"",計分!$AP285-計分!AJ285)</f>
        <v/>
      </c>
      <c r="AK285">
        <f>IF(OR(計分!AK285="",計分!$AP285=""),"",計分!$AP285-計分!AK285)</f>
        <v/>
      </c>
      <c r="AL285">
        <f>IF(OR(計分!AL285="",計分!$AP285=""),"",計分!$AP285-計分!AL285)</f>
        <v/>
      </c>
      <c r="AM285">
        <f>IF(OR(計分!AM285="",計分!$AP285=""),"",計分!$AP285-計分!AM285)</f>
        <v/>
      </c>
      <c r="AN285">
        <f>IF(OR(計分!AN285="",計分!$AP285=""),"",計分!$AP285-計分!AN285)</f>
        <v/>
      </c>
      <c r="AO285">
        <f>IF(OR(計分!AO285="",計分!$AP285=""),"",計分!$AP285-計分!AO285)</f>
        <v/>
      </c>
    </row>
    <row r="286">
      <c r="A286">
        <f>計分!A286</f>
        <v/>
      </c>
      <c r="B286">
        <f>IF(OR(計分!B286="",計分!$AP286=""),"",計分!$AP286-計分!B286)</f>
        <v/>
      </c>
      <c r="C286">
        <f>IF(OR(計分!C286="",計分!$AP286=""),"",計分!$AP286-計分!C286)</f>
        <v/>
      </c>
      <c r="D286">
        <f>IF(OR(計分!D286="",計分!$AP286=""),"",計分!$AP286-計分!D286)</f>
        <v/>
      </c>
      <c r="E286">
        <f>IF(OR(計分!E286="",計分!$AP286=""),"",計分!$AP286-計分!E286)</f>
        <v/>
      </c>
      <c r="F286">
        <f>IF(OR(計分!F286="",計分!$AP286=""),"",計分!$AP286-計分!F286)</f>
        <v/>
      </c>
      <c r="G286">
        <f>IF(OR(計分!G286="",計分!$AP286=""),"",計分!$AP286-計分!G286)</f>
        <v/>
      </c>
      <c r="H286">
        <f>IF(OR(計分!H286="",計分!$AP286=""),"",計分!$AP286-計分!H286)</f>
        <v/>
      </c>
      <c r="I286">
        <f>IF(OR(計分!I286="",計分!$AP286=""),"",計分!$AP286-計分!I286)</f>
        <v/>
      </c>
      <c r="J286">
        <f>IF(OR(計分!J286="",計分!$AP286=""),"",計分!$AP286-計分!J286)</f>
        <v/>
      </c>
      <c r="K286">
        <f>IF(OR(計分!K286="",計分!$AP286=""),"",計分!$AP286-計分!K286)</f>
        <v/>
      </c>
      <c r="L286">
        <f>IF(OR(計分!L286="",計分!$AP286=""),"",計分!$AP286-計分!L286)</f>
        <v/>
      </c>
      <c r="M286">
        <f>IF(OR(計分!M286="",計分!$AP286=""),"",計分!$AP286-計分!M286)</f>
        <v/>
      </c>
      <c r="N286">
        <f>IF(OR(計分!N286="",計分!$AP286=""),"",計分!$AP286-計分!N286)</f>
        <v/>
      </c>
      <c r="O286">
        <f>IF(OR(計分!O286="",計分!$AP286=""),"",計分!$AP286-計分!O286)</f>
        <v/>
      </c>
      <c r="P286">
        <f>IF(OR(計分!P286="",計分!$AP286=""),"",計分!$AP286-計分!P286)</f>
        <v/>
      </c>
      <c r="Q286">
        <f>IF(OR(計分!Q286="",計分!$AP286=""),"",計分!$AP286-計分!Q286)</f>
        <v/>
      </c>
      <c r="R286">
        <f>IF(OR(計分!R286="",計分!$AP286=""),"",計分!$AP286-計分!R286)</f>
        <v/>
      </c>
      <c r="S286">
        <f>IF(OR(計分!S286="",計分!$AP286=""),"",計分!$AP286-計分!S286)</f>
        <v/>
      </c>
      <c r="T286">
        <f>IF(OR(計分!T286="",計分!$AP286=""),"",計分!$AP286-計分!T286)</f>
        <v/>
      </c>
      <c r="U286">
        <f>IF(OR(計分!U286="",計分!$AP286=""),"",計分!$AP286-計分!U286)</f>
        <v/>
      </c>
      <c r="V286">
        <f>IF(OR(計分!V286="",計分!$AP286=""),"",計分!$AP286-計分!V286)</f>
        <v/>
      </c>
      <c r="W286">
        <f>IF(OR(計分!W286="",計分!$AP286=""),"",計分!$AP286-計分!W286)</f>
        <v/>
      </c>
      <c r="X286">
        <f>IF(OR(計分!X286="",計分!$AP286=""),"",計分!$AP286-計分!X286)</f>
        <v/>
      </c>
      <c r="Y286">
        <f>IF(OR(計分!Y286="",計分!$AP286=""),"",計分!$AP286-計分!Y286)</f>
        <v/>
      </c>
      <c r="Z286">
        <f>IF(OR(計分!Z286="",計分!$AP286=""),"",計分!$AP286-計分!Z286)</f>
        <v/>
      </c>
      <c r="AA286">
        <f>IF(OR(計分!AA286="",計分!$AP286=""),"",計分!$AP286-計分!AA286)</f>
        <v/>
      </c>
      <c r="AB286">
        <f>IF(OR(計分!AB286="",計分!$AP286=""),"",計分!$AP286-計分!AB286)</f>
        <v/>
      </c>
      <c r="AC286">
        <f>IF(OR(計分!AC286="",計分!$AP286=""),"",計分!$AP286-計分!AC286)</f>
        <v/>
      </c>
      <c r="AD286">
        <f>IF(OR(計分!AD286="",計分!$AP286=""),"",計分!$AP286-計分!AD286)</f>
        <v/>
      </c>
      <c r="AE286">
        <f>IF(OR(計分!AE286="",計分!$AP286=""),"",計分!$AP286-計分!AE286)</f>
        <v/>
      </c>
      <c r="AF286">
        <f>IF(OR(計分!AF286="",計分!$AP286=""),"",計分!$AP286-計分!AF286)</f>
        <v/>
      </c>
      <c r="AG286">
        <f>IF(OR(計分!AG286="",計分!$AP286=""),"",計分!$AP286-計分!AG286)</f>
        <v/>
      </c>
      <c r="AH286">
        <f>IF(OR(計分!AH286="",計分!$AP286=""),"",計分!$AP286-計分!AH286)</f>
        <v/>
      </c>
      <c r="AI286">
        <f>IF(OR(計分!AI286="",計分!$AP286=""),"",計分!$AP286-計分!AI286)</f>
        <v/>
      </c>
      <c r="AJ286">
        <f>IF(OR(計分!AJ286="",計分!$AP286=""),"",計分!$AP286-計分!AJ286)</f>
        <v/>
      </c>
      <c r="AK286">
        <f>IF(OR(計分!AK286="",計分!$AP286=""),"",計分!$AP286-計分!AK286)</f>
        <v/>
      </c>
      <c r="AL286">
        <f>IF(OR(計分!AL286="",計分!$AP286=""),"",計分!$AP286-計分!AL286)</f>
        <v/>
      </c>
      <c r="AM286">
        <f>IF(OR(計分!AM286="",計分!$AP286=""),"",計分!$AP286-計分!AM286)</f>
        <v/>
      </c>
      <c r="AN286">
        <f>IF(OR(計分!AN286="",計分!$AP286=""),"",計分!$AP286-計分!AN286)</f>
        <v/>
      </c>
      <c r="AO286">
        <f>IF(OR(計分!AO286="",計分!$AP286=""),"",計分!$AP286-計分!AO286)</f>
        <v/>
      </c>
    </row>
    <row r="287">
      <c r="A287">
        <f>計分!A287</f>
        <v/>
      </c>
      <c r="B287">
        <f>IF(OR(計分!B287="",計分!$AP287=""),"",計分!$AP287-計分!B287)</f>
        <v/>
      </c>
      <c r="C287">
        <f>IF(OR(計分!C287="",計分!$AP287=""),"",計分!$AP287-計分!C287)</f>
        <v/>
      </c>
      <c r="D287">
        <f>IF(OR(計分!D287="",計分!$AP287=""),"",計分!$AP287-計分!D287)</f>
        <v/>
      </c>
      <c r="E287">
        <f>IF(OR(計分!E287="",計分!$AP287=""),"",計分!$AP287-計分!E287)</f>
        <v/>
      </c>
      <c r="F287">
        <f>IF(OR(計分!F287="",計分!$AP287=""),"",計分!$AP287-計分!F287)</f>
        <v/>
      </c>
      <c r="G287">
        <f>IF(OR(計分!G287="",計分!$AP287=""),"",計分!$AP287-計分!G287)</f>
        <v/>
      </c>
      <c r="H287">
        <f>IF(OR(計分!H287="",計分!$AP287=""),"",計分!$AP287-計分!H287)</f>
        <v/>
      </c>
      <c r="I287">
        <f>IF(OR(計分!I287="",計分!$AP287=""),"",計分!$AP287-計分!I287)</f>
        <v/>
      </c>
      <c r="J287">
        <f>IF(OR(計分!J287="",計分!$AP287=""),"",計分!$AP287-計分!J287)</f>
        <v/>
      </c>
      <c r="K287">
        <f>IF(OR(計分!K287="",計分!$AP287=""),"",計分!$AP287-計分!K287)</f>
        <v/>
      </c>
      <c r="L287">
        <f>IF(OR(計分!L287="",計分!$AP287=""),"",計分!$AP287-計分!L287)</f>
        <v/>
      </c>
      <c r="M287">
        <f>IF(OR(計分!M287="",計分!$AP287=""),"",計分!$AP287-計分!M287)</f>
        <v/>
      </c>
      <c r="N287">
        <f>IF(OR(計分!N287="",計分!$AP287=""),"",計分!$AP287-計分!N287)</f>
        <v/>
      </c>
      <c r="O287">
        <f>IF(OR(計分!O287="",計分!$AP287=""),"",計分!$AP287-計分!O287)</f>
        <v/>
      </c>
      <c r="P287">
        <f>IF(OR(計分!P287="",計分!$AP287=""),"",計分!$AP287-計分!P287)</f>
        <v/>
      </c>
      <c r="Q287">
        <f>IF(OR(計分!Q287="",計分!$AP287=""),"",計分!$AP287-計分!Q287)</f>
        <v/>
      </c>
      <c r="R287">
        <f>IF(OR(計分!R287="",計分!$AP287=""),"",計分!$AP287-計分!R287)</f>
        <v/>
      </c>
      <c r="S287">
        <f>IF(OR(計分!S287="",計分!$AP287=""),"",計分!$AP287-計分!S287)</f>
        <v/>
      </c>
      <c r="T287">
        <f>IF(OR(計分!T287="",計分!$AP287=""),"",計分!$AP287-計分!T287)</f>
        <v/>
      </c>
      <c r="U287">
        <f>IF(OR(計分!U287="",計分!$AP287=""),"",計分!$AP287-計分!U287)</f>
        <v/>
      </c>
      <c r="V287">
        <f>IF(OR(計分!V287="",計分!$AP287=""),"",計分!$AP287-計分!V287)</f>
        <v/>
      </c>
      <c r="W287">
        <f>IF(OR(計分!W287="",計分!$AP287=""),"",計分!$AP287-計分!W287)</f>
        <v/>
      </c>
      <c r="X287">
        <f>IF(OR(計分!X287="",計分!$AP287=""),"",計分!$AP287-計分!X287)</f>
        <v/>
      </c>
      <c r="Y287">
        <f>IF(OR(計分!Y287="",計分!$AP287=""),"",計分!$AP287-計分!Y287)</f>
        <v/>
      </c>
      <c r="Z287">
        <f>IF(OR(計分!Z287="",計分!$AP287=""),"",計分!$AP287-計分!Z287)</f>
        <v/>
      </c>
      <c r="AA287">
        <f>IF(OR(計分!AA287="",計分!$AP287=""),"",計分!$AP287-計分!AA287)</f>
        <v/>
      </c>
      <c r="AB287">
        <f>IF(OR(計分!AB287="",計分!$AP287=""),"",計分!$AP287-計分!AB287)</f>
        <v/>
      </c>
      <c r="AC287">
        <f>IF(OR(計分!AC287="",計分!$AP287=""),"",計分!$AP287-計分!AC287)</f>
        <v/>
      </c>
      <c r="AD287">
        <f>IF(OR(計分!AD287="",計分!$AP287=""),"",計分!$AP287-計分!AD287)</f>
        <v/>
      </c>
      <c r="AE287">
        <f>IF(OR(計分!AE287="",計分!$AP287=""),"",計分!$AP287-計分!AE287)</f>
        <v/>
      </c>
      <c r="AF287">
        <f>IF(OR(計分!AF287="",計分!$AP287=""),"",計分!$AP287-計分!AF287)</f>
        <v/>
      </c>
      <c r="AG287">
        <f>IF(OR(計分!AG287="",計分!$AP287=""),"",計分!$AP287-計分!AG287)</f>
        <v/>
      </c>
      <c r="AH287">
        <f>IF(OR(計分!AH287="",計分!$AP287=""),"",計分!$AP287-計分!AH287)</f>
        <v/>
      </c>
      <c r="AI287">
        <f>IF(OR(計分!AI287="",計分!$AP287=""),"",計分!$AP287-計分!AI287)</f>
        <v/>
      </c>
      <c r="AJ287">
        <f>IF(OR(計分!AJ287="",計分!$AP287=""),"",計分!$AP287-計分!AJ287)</f>
        <v/>
      </c>
      <c r="AK287">
        <f>IF(OR(計分!AK287="",計分!$AP287=""),"",計分!$AP287-計分!AK287)</f>
        <v/>
      </c>
      <c r="AL287">
        <f>IF(OR(計分!AL287="",計分!$AP287=""),"",計分!$AP287-計分!AL287)</f>
        <v/>
      </c>
      <c r="AM287">
        <f>IF(OR(計分!AM287="",計分!$AP287=""),"",計分!$AP287-計分!AM287)</f>
        <v/>
      </c>
      <c r="AN287">
        <f>IF(OR(計分!AN287="",計分!$AP287=""),"",計分!$AP287-計分!AN287)</f>
        <v/>
      </c>
      <c r="AO287">
        <f>IF(OR(計分!AO287="",計分!$AP287=""),"",計分!$AP287-計分!AO287)</f>
        <v/>
      </c>
    </row>
    <row r="288">
      <c r="A288">
        <f>計分!A288</f>
        <v/>
      </c>
      <c r="B288">
        <f>IF(OR(計分!B288="",計分!$AP288=""),"",計分!$AP288-計分!B288)</f>
        <v/>
      </c>
      <c r="C288">
        <f>IF(OR(計分!C288="",計分!$AP288=""),"",計分!$AP288-計分!C288)</f>
        <v/>
      </c>
      <c r="D288">
        <f>IF(OR(計分!D288="",計分!$AP288=""),"",計分!$AP288-計分!D288)</f>
        <v/>
      </c>
      <c r="E288">
        <f>IF(OR(計分!E288="",計分!$AP288=""),"",計分!$AP288-計分!E288)</f>
        <v/>
      </c>
      <c r="F288">
        <f>IF(OR(計分!F288="",計分!$AP288=""),"",計分!$AP288-計分!F288)</f>
        <v/>
      </c>
      <c r="G288">
        <f>IF(OR(計分!G288="",計分!$AP288=""),"",計分!$AP288-計分!G288)</f>
        <v/>
      </c>
      <c r="H288">
        <f>IF(OR(計分!H288="",計分!$AP288=""),"",計分!$AP288-計分!H288)</f>
        <v/>
      </c>
      <c r="I288">
        <f>IF(OR(計分!I288="",計分!$AP288=""),"",計分!$AP288-計分!I288)</f>
        <v/>
      </c>
      <c r="J288">
        <f>IF(OR(計分!J288="",計分!$AP288=""),"",計分!$AP288-計分!J288)</f>
        <v/>
      </c>
      <c r="K288">
        <f>IF(OR(計分!K288="",計分!$AP288=""),"",計分!$AP288-計分!K288)</f>
        <v/>
      </c>
      <c r="L288">
        <f>IF(OR(計分!L288="",計分!$AP288=""),"",計分!$AP288-計分!L288)</f>
        <v/>
      </c>
      <c r="M288">
        <f>IF(OR(計分!M288="",計分!$AP288=""),"",計分!$AP288-計分!M288)</f>
        <v/>
      </c>
      <c r="N288">
        <f>IF(OR(計分!N288="",計分!$AP288=""),"",計分!$AP288-計分!N288)</f>
        <v/>
      </c>
      <c r="O288">
        <f>IF(OR(計分!O288="",計分!$AP288=""),"",計分!$AP288-計分!O288)</f>
        <v/>
      </c>
      <c r="P288">
        <f>IF(OR(計分!P288="",計分!$AP288=""),"",計分!$AP288-計分!P288)</f>
        <v/>
      </c>
      <c r="Q288">
        <f>IF(OR(計分!Q288="",計分!$AP288=""),"",計分!$AP288-計分!Q288)</f>
        <v/>
      </c>
      <c r="R288">
        <f>IF(OR(計分!R288="",計分!$AP288=""),"",計分!$AP288-計分!R288)</f>
        <v/>
      </c>
      <c r="S288">
        <f>IF(OR(計分!S288="",計分!$AP288=""),"",計分!$AP288-計分!S288)</f>
        <v/>
      </c>
      <c r="T288">
        <f>IF(OR(計分!T288="",計分!$AP288=""),"",計分!$AP288-計分!T288)</f>
        <v/>
      </c>
      <c r="U288">
        <f>IF(OR(計分!U288="",計分!$AP288=""),"",計分!$AP288-計分!U288)</f>
        <v/>
      </c>
      <c r="V288">
        <f>IF(OR(計分!V288="",計分!$AP288=""),"",計分!$AP288-計分!V288)</f>
        <v/>
      </c>
      <c r="W288">
        <f>IF(OR(計分!W288="",計分!$AP288=""),"",計分!$AP288-計分!W288)</f>
        <v/>
      </c>
      <c r="X288">
        <f>IF(OR(計分!X288="",計分!$AP288=""),"",計分!$AP288-計分!X288)</f>
        <v/>
      </c>
      <c r="Y288">
        <f>IF(OR(計分!Y288="",計分!$AP288=""),"",計分!$AP288-計分!Y288)</f>
        <v/>
      </c>
      <c r="Z288">
        <f>IF(OR(計分!Z288="",計分!$AP288=""),"",計分!$AP288-計分!Z288)</f>
        <v/>
      </c>
      <c r="AA288">
        <f>IF(OR(計分!AA288="",計分!$AP288=""),"",計分!$AP288-計分!AA288)</f>
        <v/>
      </c>
      <c r="AB288">
        <f>IF(OR(計分!AB288="",計分!$AP288=""),"",計分!$AP288-計分!AB288)</f>
        <v/>
      </c>
      <c r="AC288">
        <f>IF(OR(計分!AC288="",計分!$AP288=""),"",計分!$AP288-計分!AC288)</f>
        <v/>
      </c>
      <c r="AD288">
        <f>IF(OR(計分!AD288="",計分!$AP288=""),"",計分!$AP288-計分!AD288)</f>
        <v/>
      </c>
      <c r="AE288">
        <f>IF(OR(計分!AE288="",計分!$AP288=""),"",計分!$AP288-計分!AE288)</f>
        <v/>
      </c>
      <c r="AF288">
        <f>IF(OR(計分!AF288="",計分!$AP288=""),"",計分!$AP288-計分!AF288)</f>
        <v/>
      </c>
      <c r="AG288">
        <f>IF(OR(計分!AG288="",計分!$AP288=""),"",計分!$AP288-計分!AG288)</f>
        <v/>
      </c>
      <c r="AH288">
        <f>IF(OR(計分!AH288="",計分!$AP288=""),"",計分!$AP288-計分!AH288)</f>
        <v/>
      </c>
      <c r="AI288">
        <f>IF(OR(計分!AI288="",計分!$AP288=""),"",計分!$AP288-計分!AI288)</f>
        <v/>
      </c>
      <c r="AJ288">
        <f>IF(OR(計分!AJ288="",計分!$AP288=""),"",計分!$AP288-計分!AJ288)</f>
        <v/>
      </c>
      <c r="AK288">
        <f>IF(OR(計分!AK288="",計分!$AP288=""),"",計分!$AP288-計分!AK288)</f>
        <v/>
      </c>
      <c r="AL288">
        <f>IF(OR(計分!AL288="",計分!$AP288=""),"",計分!$AP288-計分!AL288)</f>
        <v/>
      </c>
      <c r="AM288">
        <f>IF(OR(計分!AM288="",計分!$AP288=""),"",計分!$AP288-計分!AM288)</f>
        <v/>
      </c>
      <c r="AN288">
        <f>IF(OR(計分!AN288="",計分!$AP288=""),"",計分!$AP288-計分!AN288)</f>
        <v/>
      </c>
      <c r="AO288">
        <f>IF(OR(計分!AO288="",計分!$AP288=""),"",計分!$AP288-計分!AO288)</f>
        <v/>
      </c>
    </row>
    <row r="289">
      <c r="A289">
        <f>計分!A289</f>
        <v/>
      </c>
      <c r="B289">
        <f>IF(OR(計分!B289="",計分!$AP289=""),"",計分!$AP289-計分!B289)</f>
        <v/>
      </c>
      <c r="C289">
        <f>IF(OR(計分!C289="",計分!$AP289=""),"",計分!$AP289-計分!C289)</f>
        <v/>
      </c>
      <c r="D289">
        <f>IF(OR(計分!D289="",計分!$AP289=""),"",計分!$AP289-計分!D289)</f>
        <v/>
      </c>
      <c r="E289">
        <f>IF(OR(計分!E289="",計分!$AP289=""),"",計分!$AP289-計分!E289)</f>
        <v/>
      </c>
      <c r="F289">
        <f>IF(OR(計分!F289="",計分!$AP289=""),"",計分!$AP289-計分!F289)</f>
        <v/>
      </c>
      <c r="G289">
        <f>IF(OR(計分!G289="",計分!$AP289=""),"",計分!$AP289-計分!G289)</f>
        <v/>
      </c>
      <c r="H289">
        <f>IF(OR(計分!H289="",計分!$AP289=""),"",計分!$AP289-計分!H289)</f>
        <v/>
      </c>
      <c r="I289">
        <f>IF(OR(計分!I289="",計分!$AP289=""),"",計分!$AP289-計分!I289)</f>
        <v/>
      </c>
      <c r="J289">
        <f>IF(OR(計分!J289="",計分!$AP289=""),"",計分!$AP289-計分!J289)</f>
        <v/>
      </c>
      <c r="K289">
        <f>IF(OR(計分!K289="",計分!$AP289=""),"",計分!$AP289-計分!K289)</f>
        <v/>
      </c>
      <c r="L289">
        <f>IF(OR(計分!L289="",計分!$AP289=""),"",計分!$AP289-計分!L289)</f>
        <v/>
      </c>
      <c r="M289">
        <f>IF(OR(計分!M289="",計分!$AP289=""),"",計分!$AP289-計分!M289)</f>
        <v/>
      </c>
      <c r="N289">
        <f>IF(OR(計分!N289="",計分!$AP289=""),"",計分!$AP289-計分!N289)</f>
        <v/>
      </c>
      <c r="O289">
        <f>IF(OR(計分!O289="",計分!$AP289=""),"",計分!$AP289-計分!O289)</f>
        <v/>
      </c>
      <c r="P289">
        <f>IF(OR(計分!P289="",計分!$AP289=""),"",計分!$AP289-計分!P289)</f>
        <v/>
      </c>
      <c r="Q289">
        <f>IF(OR(計分!Q289="",計分!$AP289=""),"",計分!$AP289-計分!Q289)</f>
        <v/>
      </c>
      <c r="R289">
        <f>IF(OR(計分!R289="",計分!$AP289=""),"",計分!$AP289-計分!R289)</f>
        <v/>
      </c>
      <c r="S289">
        <f>IF(OR(計分!S289="",計分!$AP289=""),"",計分!$AP289-計分!S289)</f>
        <v/>
      </c>
      <c r="T289">
        <f>IF(OR(計分!T289="",計分!$AP289=""),"",計分!$AP289-計分!T289)</f>
        <v/>
      </c>
      <c r="U289">
        <f>IF(OR(計分!U289="",計分!$AP289=""),"",計分!$AP289-計分!U289)</f>
        <v/>
      </c>
      <c r="V289">
        <f>IF(OR(計分!V289="",計分!$AP289=""),"",計分!$AP289-計分!V289)</f>
        <v/>
      </c>
      <c r="W289">
        <f>IF(OR(計分!W289="",計分!$AP289=""),"",計分!$AP289-計分!W289)</f>
        <v/>
      </c>
      <c r="X289">
        <f>IF(OR(計分!X289="",計分!$AP289=""),"",計分!$AP289-計分!X289)</f>
        <v/>
      </c>
      <c r="Y289">
        <f>IF(OR(計分!Y289="",計分!$AP289=""),"",計分!$AP289-計分!Y289)</f>
        <v/>
      </c>
      <c r="Z289">
        <f>IF(OR(計分!Z289="",計分!$AP289=""),"",計分!$AP289-計分!Z289)</f>
        <v/>
      </c>
      <c r="AA289">
        <f>IF(OR(計分!AA289="",計分!$AP289=""),"",計分!$AP289-計分!AA289)</f>
        <v/>
      </c>
      <c r="AB289">
        <f>IF(OR(計分!AB289="",計分!$AP289=""),"",計分!$AP289-計分!AB289)</f>
        <v/>
      </c>
      <c r="AC289">
        <f>IF(OR(計分!AC289="",計分!$AP289=""),"",計分!$AP289-計分!AC289)</f>
        <v/>
      </c>
      <c r="AD289">
        <f>IF(OR(計分!AD289="",計分!$AP289=""),"",計分!$AP289-計分!AD289)</f>
        <v/>
      </c>
      <c r="AE289">
        <f>IF(OR(計分!AE289="",計分!$AP289=""),"",計分!$AP289-計分!AE289)</f>
        <v/>
      </c>
      <c r="AF289">
        <f>IF(OR(計分!AF289="",計分!$AP289=""),"",計分!$AP289-計分!AF289)</f>
        <v/>
      </c>
      <c r="AG289">
        <f>IF(OR(計分!AG289="",計分!$AP289=""),"",計分!$AP289-計分!AG289)</f>
        <v/>
      </c>
      <c r="AH289">
        <f>IF(OR(計分!AH289="",計分!$AP289=""),"",計分!$AP289-計分!AH289)</f>
        <v/>
      </c>
      <c r="AI289">
        <f>IF(OR(計分!AI289="",計分!$AP289=""),"",計分!$AP289-計分!AI289)</f>
        <v/>
      </c>
      <c r="AJ289">
        <f>IF(OR(計分!AJ289="",計分!$AP289=""),"",計分!$AP289-計分!AJ289)</f>
        <v/>
      </c>
      <c r="AK289">
        <f>IF(OR(計分!AK289="",計分!$AP289=""),"",計分!$AP289-計分!AK289)</f>
        <v/>
      </c>
      <c r="AL289">
        <f>IF(OR(計分!AL289="",計分!$AP289=""),"",計分!$AP289-計分!AL289)</f>
        <v/>
      </c>
      <c r="AM289">
        <f>IF(OR(計分!AM289="",計分!$AP289=""),"",計分!$AP289-計分!AM289)</f>
        <v/>
      </c>
      <c r="AN289">
        <f>IF(OR(計分!AN289="",計分!$AP289=""),"",計分!$AP289-計分!AN289)</f>
        <v/>
      </c>
      <c r="AO289">
        <f>IF(OR(計分!AO289="",計分!$AP289=""),"",計分!$AP289-計分!AO289)</f>
        <v/>
      </c>
    </row>
    <row r="290">
      <c r="A290">
        <f>計分!A290</f>
        <v/>
      </c>
      <c r="B290">
        <f>IF(OR(計分!B290="",計分!$AP290=""),"",計分!$AP290-計分!B290)</f>
        <v/>
      </c>
      <c r="C290">
        <f>IF(OR(計分!C290="",計分!$AP290=""),"",計分!$AP290-計分!C290)</f>
        <v/>
      </c>
      <c r="D290">
        <f>IF(OR(計分!D290="",計分!$AP290=""),"",計分!$AP290-計分!D290)</f>
        <v/>
      </c>
      <c r="E290">
        <f>IF(OR(計分!E290="",計分!$AP290=""),"",計分!$AP290-計分!E290)</f>
        <v/>
      </c>
      <c r="F290">
        <f>IF(OR(計分!F290="",計分!$AP290=""),"",計分!$AP290-計分!F290)</f>
        <v/>
      </c>
      <c r="G290">
        <f>IF(OR(計分!G290="",計分!$AP290=""),"",計分!$AP290-計分!G290)</f>
        <v/>
      </c>
      <c r="H290">
        <f>IF(OR(計分!H290="",計分!$AP290=""),"",計分!$AP290-計分!H290)</f>
        <v/>
      </c>
      <c r="I290">
        <f>IF(OR(計分!I290="",計分!$AP290=""),"",計分!$AP290-計分!I290)</f>
        <v/>
      </c>
      <c r="J290">
        <f>IF(OR(計分!J290="",計分!$AP290=""),"",計分!$AP290-計分!J290)</f>
        <v/>
      </c>
      <c r="K290">
        <f>IF(OR(計分!K290="",計分!$AP290=""),"",計分!$AP290-計分!K290)</f>
        <v/>
      </c>
      <c r="L290">
        <f>IF(OR(計分!L290="",計分!$AP290=""),"",計分!$AP290-計分!L290)</f>
        <v/>
      </c>
      <c r="M290">
        <f>IF(OR(計分!M290="",計分!$AP290=""),"",計分!$AP290-計分!M290)</f>
        <v/>
      </c>
      <c r="N290">
        <f>IF(OR(計分!N290="",計分!$AP290=""),"",計分!$AP290-計分!N290)</f>
        <v/>
      </c>
      <c r="O290">
        <f>IF(OR(計分!O290="",計分!$AP290=""),"",計分!$AP290-計分!O290)</f>
        <v/>
      </c>
      <c r="P290">
        <f>IF(OR(計分!P290="",計分!$AP290=""),"",計分!$AP290-計分!P290)</f>
        <v/>
      </c>
      <c r="Q290">
        <f>IF(OR(計分!Q290="",計分!$AP290=""),"",計分!$AP290-計分!Q290)</f>
        <v/>
      </c>
      <c r="R290">
        <f>IF(OR(計分!R290="",計分!$AP290=""),"",計分!$AP290-計分!R290)</f>
        <v/>
      </c>
      <c r="S290">
        <f>IF(OR(計分!S290="",計分!$AP290=""),"",計分!$AP290-計分!S290)</f>
        <v/>
      </c>
      <c r="T290">
        <f>IF(OR(計分!T290="",計分!$AP290=""),"",計分!$AP290-計分!T290)</f>
        <v/>
      </c>
      <c r="U290">
        <f>IF(OR(計分!U290="",計分!$AP290=""),"",計分!$AP290-計分!U290)</f>
        <v/>
      </c>
      <c r="V290">
        <f>IF(OR(計分!V290="",計分!$AP290=""),"",計分!$AP290-計分!V290)</f>
        <v/>
      </c>
      <c r="W290">
        <f>IF(OR(計分!W290="",計分!$AP290=""),"",計分!$AP290-計分!W290)</f>
        <v/>
      </c>
      <c r="X290">
        <f>IF(OR(計分!X290="",計分!$AP290=""),"",計分!$AP290-計分!X290)</f>
        <v/>
      </c>
      <c r="Y290">
        <f>IF(OR(計分!Y290="",計分!$AP290=""),"",計分!$AP290-計分!Y290)</f>
        <v/>
      </c>
      <c r="Z290">
        <f>IF(OR(計分!Z290="",計分!$AP290=""),"",計分!$AP290-計分!Z290)</f>
        <v/>
      </c>
      <c r="AA290">
        <f>IF(OR(計分!AA290="",計分!$AP290=""),"",計分!$AP290-計分!AA290)</f>
        <v/>
      </c>
      <c r="AB290">
        <f>IF(OR(計分!AB290="",計分!$AP290=""),"",計分!$AP290-計分!AB290)</f>
        <v/>
      </c>
      <c r="AC290">
        <f>IF(OR(計分!AC290="",計分!$AP290=""),"",計分!$AP290-計分!AC290)</f>
        <v/>
      </c>
      <c r="AD290">
        <f>IF(OR(計分!AD290="",計分!$AP290=""),"",計分!$AP290-計分!AD290)</f>
        <v/>
      </c>
      <c r="AE290">
        <f>IF(OR(計分!AE290="",計分!$AP290=""),"",計分!$AP290-計分!AE290)</f>
        <v/>
      </c>
      <c r="AF290">
        <f>IF(OR(計分!AF290="",計分!$AP290=""),"",計分!$AP290-計分!AF290)</f>
        <v/>
      </c>
      <c r="AG290">
        <f>IF(OR(計分!AG290="",計分!$AP290=""),"",計分!$AP290-計分!AG290)</f>
        <v/>
      </c>
      <c r="AH290">
        <f>IF(OR(計分!AH290="",計分!$AP290=""),"",計分!$AP290-計分!AH290)</f>
        <v/>
      </c>
      <c r="AI290">
        <f>IF(OR(計分!AI290="",計分!$AP290=""),"",計分!$AP290-計分!AI290)</f>
        <v/>
      </c>
      <c r="AJ290">
        <f>IF(OR(計分!AJ290="",計分!$AP290=""),"",計分!$AP290-計分!AJ290)</f>
        <v/>
      </c>
      <c r="AK290">
        <f>IF(OR(計分!AK290="",計分!$AP290=""),"",計分!$AP290-計分!AK290)</f>
        <v/>
      </c>
      <c r="AL290">
        <f>IF(OR(計分!AL290="",計分!$AP290=""),"",計分!$AP290-計分!AL290)</f>
        <v/>
      </c>
      <c r="AM290">
        <f>IF(OR(計分!AM290="",計分!$AP290=""),"",計分!$AP290-計分!AM290)</f>
        <v/>
      </c>
      <c r="AN290">
        <f>IF(OR(計分!AN290="",計分!$AP290=""),"",計分!$AP290-計分!AN290)</f>
        <v/>
      </c>
      <c r="AO290">
        <f>IF(OR(計分!AO290="",計分!$AP290=""),"",計分!$AP290-計分!AO290)</f>
        <v/>
      </c>
    </row>
    <row r="291">
      <c r="A291">
        <f>計分!A291</f>
        <v/>
      </c>
      <c r="B291">
        <f>IF(OR(計分!B291="",計分!$AP291=""),"",計分!$AP291-計分!B291)</f>
        <v/>
      </c>
      <c r="C291">
        <f>IF(OR(計分!C291="",計分!$AP291=""),"",計分!$AP291-計分!C291)</f>
        <v/>
      </c>
      <c r="D291">
        <f>IF(OR(計分!D291="",計分!$AP291=""),"",計分!$AP291-計分!D291)</f>
        <v/>
      </c>
      <c r="E291">
        <f>IF(OR(計分!E291="",計分!$AP291=""),"",計分!$AP291-計分!E291)</f>
        <v/>
      </c>
      <c r="F291">
        <f>IF(OR(計分!F291="",計分!$AP291=""),"",計分!$AP291-計分!F291)</f>
        <v/>
      </c>
      <c r="G291">
        <f>IF(OR(計分!G291="",計分!$AP291=""),"",計分!$AP291-計分!G291)</f>
        <v/>
      </c>
      <c r="H291">
        <f>IF(OR(計分!H291="",計分!$AP291=""),"",計分!$AP291-計分!H291)</f>
        <v/>
      </c>
      <c r="I291">
        <f>IF(OR(計分!I291="",計分!$AP291=""),"",計分!$AP291-計分!I291)</f>
        <v/>
      </c>
      <c r="J291">
        <f>IF(OR(計分!J291="",計分!$AP291=""),"",計分!$AP291-計分!J291)</f>
        <v/>
      </c>
      <c r="K291">
        <f>IF(OR(計分!K291="",計分!$AP291=""),"",計分!$AP291-計分!K291)</f>
        <v/>
      </c>
      <c r="L291">
        <f>IF(OR(計分!L291="",計分!$AP291=""),"",計分!$AP291-計分!L291)</f>
        <v/>
      </c>
      <c r="M291">
        <f>IF(OR(計分!M291="",計分!$AP291=""),"",計分!$AP291-計分!M291)</f>
        <v/>
      </c>
      <c r="N291">
        <f>IF(OR(計分!N291="",計分!$AP291=""),"",計分!$AP291-計分!N291)</f>
        <v/>
      </c>
      <c r="O291">
        <f>IF(OR(計分!O291="",計分!$AP291=""),"",計分!$AP291-計分!O291)</f>
        <v/>
      </c>
      <c r="P291">
        <f>IF(OR(計分!P291="",計分!$AP291=""),"",計分!$AP291-計分!P291)</f>
        <v/>
      </c>
      <c r="Q291">
        <f>IF(OR(計分!Q291="",計分!$AP291=""),"",計分!$AP291-計分!Q291)</f>
        <v/>
      </c>
      <c r="R291">
        <f>IF(OR(計分!R291="",計分!$AP291=""),"",計分!$AP291-計分!R291)</f>
        <v/>
      </c>
      <c r="S291">
        <f>IF(OR(計分!S291="",計分!$AP291=""),"",計分!$AP291-計分!S291)</f>
        <v/>
      </c>
      <c r="T291">
        <f>IF(OR(計分!T291="",計分!$AP291=""),"",計分!$AP291-計分!T291)</f>
        <v/>
      </c>
      <c r="U291">
        <f>IF(OR(計分!U291="",計分!$AP291=""),"",計分!$AP291-計分!U291)</f>
        <v/>
      </c>
      <c r="V291">
        <f>IF(OR(計分!V291="",計分!$AP291=""),"",計分!$AP291-計分!V291)</f>
        <v/>
      </c>
      <c r="W291">
        <f>IF(OR(計分!W291="",計分!$AP291=""),"",計分!$AP291-計分!W291)</f>
        <v/>
      </c>
      <c r="X291">
        <f>IF(OR(計分!X291="",計分!$AP291=""),"",計分!$AP291-計分!X291)</f>
        <v/>
      </c>
      <c r="Y291">
        <f>IF(OR(計分!Y291="",計分!$AP291=""),"",計分!$AP291-計分!Y291)</f>
        <v/>
      </c>
      <c r="Z291">
        <f>IF(OR(計分!Z291="",計分!$AP291=""),"",計分!$AP291-計分!Z291)</f>
        <v/>
      </c>
      <c r="AA291">
        <f>IF(OR(計分!AA291="",計分!$AP291=""),"",計分!$AP291-計分!AA291)</f>
        <v/>
      </c>
      <c r="AB291">
        <f>IF(OR(計分!AB291="",計分!$AP291=""),"",計分!$AP291-計分!AB291)</f>
        <v/>
      </c>
      <c r="AC291">
        <f>IF(OR(計分!AC291="",計分!$AP291=""),"",計分!$AP291-計分!AC291)</f>
        <v/>
      </c>
      <c r="AD291">
        <f>IF(OR(計分!AD291="",計分!$AP291=""),"",計分!$AP291-計分!AD291)</f>
        <v/>
      </c>
      <c r="AE291">
        <f>IF(OR(計分!AE291="",計分!$AP291=""),"",計分!$AP291-計分!AE291)</f>
        <v/>
      </c>
      <c r="AF291">
        <f>IF(OR(計分!AF291="",計分!$AP291=""),"",計分!$AP291-計分!AF291)</f>
        <v/>
      </c>
      <c r="AG291">
        <f>IF(OR(計分!AG291="",計分!$AP291=""),"",計分!$AP291-計分!AG291)</f>
        <v/>
      </c>
      <c r="AH291">
        <f>IF(OR(計分!AH291="",計分!$AP291=""),"",計分!$AP291-計分!AH291)</f>
        <v/>
      </c>
      <c r="AI291">
        <f>IF(OR(計分!AI291="",計分!$AP291=""),"",計分!$AP291-計分!AI291)</f>
        <v/>
      </c>
      <c r="AJ291">
        <f>IF(OR(計分!AJ291="",計分!$AP291=""),"",計分!$AP291-計分!AJ291)</f>
        <v/>
      </c>
      <c r="AK291">
        <f>IF(OR(計分!AK291="",計分!$AP291=""),"",計分!$AP291-計分!AK291)</f>
        <v/>
      </c>
      <c r="AL291">
        <f>IF(OR(計分!AL291="",計分!$AP291=""),"",計分!$AP291-計分!AL291)</f>
        <v/>
      </c>
      <c r="AM291">
        <f>IF(OR(計分!AM291="",計分!$AP291=""),"",計分!$AP291-計分!AM291)</f>
        <v/>
      </c>
      <c r="AN291">
        <f>IF(OR(計分!AN291="",計分!$AP291=""),"",計分!$AP291-計分!AN291)</f>
        <v/>
      </c>
      <c r="AO291">
        <f>IF(OR(計分!AO291="",計分!$AP291=""),"",計分!$AP291-計分!AO291)</f>
        <v/>
      </c>
    </row>
    <row r="292">
      <c r="A292">
        <f>計分!A292</f>
        <v/>
      </c>
      <c r="B292">
        <f>IF(OR(計分!B292="",計分!$AP292=""),"",計分!$AP292-計分!B292)</f>
        <v/>
      </c>
      <c r="C292">
        <f>IF(OR(計分!C292="",計分!$AP292=""),"",計分!$AP292-計分!C292)</f>
        <v/>
      </c>
      <c r="D292">
        <f>IF(OR(計分!D292="",計分!$AP292=""),"",計分!$AP292-計分!D292)</f>
        <v/>
      </c>
      <c r="E292">
        <f>IF(OR(計分!E292="",計分!$AP292=""),"",計分!$AP292-計分!E292)</f>
        <v/>
      </c>
      <c r="F292">
        <f>IF(OR(計分!F292="",計分!$AP292=""),"",計分!$AP292-計分!F292)</f>
        <v/>
      </c>
      <c r="G292">
        <f>IF(OR(計分!G292="",計分!$AP292=""),"",計分!$AP292-計分!G292)</f>
        <v/>
      </c>
      <c r="H292">
        <f>IF(OR(計分!H292="",計分!$AP292=""),"",計分!$AP292-計分!H292)</f>
        <v/>
      </c>
      <c r="I292">
        <f>IF(OR(計分!I292="",計分!$AP292=""),"",計分!$AP292-計分!I292)</f>
        <v/>
      </c>
      <c r="J292">
        <f>IF(OR(計分!J292="",計分!$AP292=""),"",計分!$AP292-計分!J292)</f>
        <v/>
      </c>
      <c r="K292">
        <f>IF(OR(計分!K292="",計分!$AP292=""),"",計分!$AP292-計分!K292)</f>
        <v/>
      </c>
      <c r="L292">
        <f>IF(OR(計分!L292="",計分!$AP292=""),"",計分!$AP292-計分!L292)</f>
        <v/>
      </c>
      <c r="M292">
        <f>IF(OR(計分!M292="",計分!$AP292=""),"",計分!$AP292-計分!M292)</f>
        <v/>
      </c>
      <c r="N292">
        <f>IF(OR(計分!N292="",計分!$AP292=""),"",計分!$AP292-計分!N292)</f>
        <v/>
      </c>
      <c r="O292">
        <f>IF(OR(計分!O292="",計分!$AP292=""),"",計分!$AP292-計分!O292)</f>
        <v/>
      </c>
      <c r="P292">
        <f>IF(OR(計分!P292="",計分!$AP292=""),"",計分!$AP292-計分!P292)</f>
        <v/>
      </c>
      <c r="Q292">
        <f>IF(OR(計分!Q292="",計分!$AP292=""),"",計分!$AP292-計分!Q292)</f>
        <v/>
      </c>
      <c r="R292">
        <f>IF(OR(計分!R292="",計分!$AP292=""),"",計分!$AP292-計分!R292)</f>
        <v/>
      </c>
      <c r="S292">
        <f>IF(OR(計分!S292="",計分!$AP292=""),"",計分!$AP292-計分!S292)</f>
        <v/>
      </c>
      <c r="T292">
        <f>IF(OR(計分!T292="",計分!$AP292=""),"",計分!$AP292-計分!T292)</f>
        <v/>
      </c>
      <c r="U292">
        <f>IF(OR(計分!U292="",計分!$AP292=""),"",計分!$AP292-計分!U292)</f>
        <v/>
      </c>
      <c r="V292">
        <f>IF(OR(計分!V292="",計分!$AP292=""),"",計分!$AP292-計分!V292)</f>
        <v/>
      </c>
      <c r="W292">
        <f>IF(OR(計分!W292="",計分!$AP292=""),"",計分!$AP292-計分!W292)</f>
        <v/>
      </c>
      <c r="X292">
        <f>IF(OR(計分!X292="",計分!$AP292=""),"",計分!$AP292-計分!X292)</f>
        <v/>
      </c>
      <c r="Y292">
        <f>IF(OR(計分!Y292="",計分!$AP292=""),"",計分!$AP292-計分!Y292)</f>
        <v/>
      </c>
      <c r="Z292">
        <f>IF(OR(計分!Z292="",計分!$AP292=""),"",計分!$AP292-計分!Z292)</f>
        <v/>
      </c>
      <c r="AA292">
        <f>IF(OR(計分!AA292="",計分!$AP292=""),"",計分!$AP292-計分!AA292)</f>
        <v/>
      </c>
      <c r="AB292">
        <f>IF(OR(計分!AB292="",計分!$AP292=""),"",計分!$AP292-計分!AB292)</f>
        <v/>
      </c>
      <c r="AC292">
        <f>IF(OR(計分!AC292="",計分!$AP292=""),"",計分!$AP292-計分!AC292)</f>
        <v/>
      </c>
      <c r="AD292">
        <f>IF(OR(計分!AD292="",計分!$AP292=""),"",計分!$AP292-計分!AD292)</f>
        <v/>
      </c>
      <c r="AE292">
        <f>IF(OR(計分!AE292="",計分!$AP292=""),"",計分!$AP292-計分!AE292)</f>
        <v/>
      </c>
      <c r="AF292">
        <f>IF(OR(計分!AF292="",計分!$AP292=""),"",計分!$AP292-計分!AF292)</f>
        <v/>
      </c>
      <c r="AG292">
        <f>IF(OR(計分!AG292="",計分!$AP292=""),"",計分!$AP292-計分!AG292)</f>
        <v/>
      </c>
      <c r="AH292">
        <f>IF(OR(計分!AH292="",計分!$AP292=""),"",計分!$AP292-計分!AH292)</f>
        <v/>
      </c>
      <c r="AI292">
        <f>IF(OR(計分!AI292="",計分!$AP292=""),"",計分!$AP292-計分!AI292)</f>
        <v/>
      </c>
      <c r="AJ292">
        <f>IF(OR(計分!AJ292="",計分!$AP292=""),"",計分!$AP292-計分!AJ292)</f>
        <v/>
      </c>
      <c r="AK292">
        <f>IF(OR(計分!AK292="",計分!$AP292=""),"",計分!$AP292-計分!AK292)</f>
        <v/>
      </c>
      <c r="AL292">
        <f>IF(OR(計分!AL292="",計分!$AP292=""),"",計分!$AP292-計分!AL292)</f>
        <v/>
      </c>
      <c r="AM292">
        <f>IF(OR(計分!AM292="",計分!$AP292=""),"",計分!$AP292-計分!AM292)</f>
        <v/>
      </c>
      <c r="AN292">
        <f>IF(OR(計分!AN292="",計分!$AP292=""),"",計分!$AP292-計分!AN292)</f>
        <v/>
      </c>
      <c r="AO292">
        <f>IF(OR(計分!AO292="",計分!$AP292=""),"",計分!$AP292-計分!AO292)</f>
        <v/>
      </c>
    </row>
    <row r="293">
      <c r="A293">
        <f>計分!A293</f>
        <v/>
      </c>
      <c r="B293">
        <f>IF(OR(計分!B293="",計分!$AP293=""),"",計分!$AP293-計分!B293)</f>
        <v/>
      </c>
      <c r="C293">
        <f>IF(OR(計分!C293="",計分!$AP293=""),"",計分!$AP293-計分!C293)</f>
        <v/>
      </c>
      <c r="D293">
        <f>IF(OR(計分!D293="",計分!$AP293=""),"",計分!$AP293-計分!D293)</f>
        <v/>
      </c>
      <c r="E293">
        <f>IF(OR(計分!E293="",計分!$AP293=""),"",計分!$AP293-計分!E293)</f>
        <v/>
      </c>
      <c r="F293">
        <f>IF(OR(計分!F293="",計分!$AP293=""),"",計分!$AP293-計分!F293)</f>
        <v/>
      </c>
      <c r="G293">
        <f>IF(OR(計分!G293="",計分!$AP293=""),"",計分!$AP293-計分!G293)</f>
        <v/>
      </c>
      <c r="H293">
        <f>IF(OR(計分!H293="",計分!$AP293=""),"",計分!$AP293-計分!H293)</f>
        <v/>
      </c>
      <c r="I293">
        <f>IF(OR(計分!I293="",計分!$AP293=""),"",計分!$AP293-計分!I293)</f>
        <v/>
      </c>
      <c r="J293">
        <f>IF(OR(計分!J293="",計分!$AP293=""),"",計分!$AP293-計分!J293)</f>
        <v/>
      </c>
      <c r="K293">
        <f>IF(OR(計分!K293="",計分!$AP293=""),"",計分!$AP293-計分!K293)</f>
        <v/>
      </c>
      <c r="L293">
        <f>IF(OR(計分!L293="",計分!$AP293=""),"",計分!$AP293-計分!L293)</f>
        <v/>
      </c>
      <c r="M293">
        <f>IF(OR(計分!M293="",計分!$AP293=""),"",計分!$AP293-計分!M293)</f>
        <v/>
      </c>
      <c r="N293">
        <f>IF(OR(計分!N293="",計分!$AP293=""),"",計分!$AP293-計分!N293)</f>
        <v/>
      </c>
      <c r="O293">
        <f>IF(OR(計分!O293="",計分!$AP293=""),"",計分!$AP293-計分!O293)</f>
        <v/>
      </c>
      <c r="P293">
        <f>IF(OR(計分!P293="",計分!$AP293=""),"",計分!$AP293-計分!P293)</f>
        <v/>
      </c>
      <c r="Q293">
        <f>IF(OR(計分!Q293="",計分!$AP293=""),"",計分!$AP293-計分!Q293)</f>
        <v/>
      </c>
      <c r="R293">
        <f>IF(OR(計分!R293="",計分!$AP293=""),"",計分!$AP293-計分!R293)</f>
        <v/>
      </c>
      <c r="S293">
        <f>IF(OR(計分!S293="",計分!$AP293=""),"",計分!$AP293-計分!S293)</f>
        <v/>
      </c>
      <c r="T293">
        <f>IF(OR(計分!T293="",計分!$AP293=""),"",計分!$AP293-計分!T293)</f>
        <v/>
      </c>
      <c r="U293">
        <f>IF(OR(計分!U293="",計分!$AP293=""),"",計分!$AP293-計分!U293)</f>
        <v/>
      </c>
      <c r="V293">
        <f>IF(OR(計分!V293="",計分!$AP293=""),"",計分!$AP293-計分!V293)</f>
        <v/>
      </c>
      <c r="W293">
        <f>IF(OR(計分!W293="",計分!$AP293=""),"",計分!$AP293-計分!W293)</f>
        <v/>
      </c>
      <c r="X293">
        <f>IF(OR(計分!X293="",計分!$AP293=""),"",計分!$AP293-計分!X293)</f>
        <v/>
      </c>
      <c r="Y293">
        <f>IF(OR(計分!Y293="",計分!$AP293=""),"",計分!$AP293-計分!Y293)</f>
        <v/>
      </c>
      <c r="Z293">
        <f>IF(OR(計分!Z293="",計分!$AP293=""),"",計分!$AP293-計分!Z293)</f>
        <v/>
      </c>
      <c r="AA293">
        <f>IF(OR(計分!AA293="",計分!$AP293=""),"",計分!$AP293-計分!AA293)</f>
        <v/>
      </c>
      <c r="AB293">
        <f>IF(OR(計分!AB293="",計分!$AP293=""),"",計分!$AP293-計分!AB293)</f>
        <v/>
      </c>
      <c r="AC293">
        <f>IF(OR(計分!AC293="",計分!$AP293=""),"",計分!$AP293-計分!AC293)</f>
        <v/>
      </c>
      <c r="AD293">
        <f>IF(OR(計分!AD293="",計分!$AP293=""),"",計分!$AP293-計分!AD293)</f>
        <v/>
      </c>
      <c r="AE293">
        <f>IF(OR(計分!AE293="",計分!$AP293=""),"",計分!$AP293-計分!AE293)</f>
        <v/>
      </c>
      <c r="AF293">
        <f>IF(OR(計分!AF293="",計分!$AP293=""),"",計分!$AP293-計分!AF293)</f>
        <v/>
      </c>
      <c r="AG293">
        <f>IF(OR(計分!AG293="",計分!$AP293=""),"",計分!$AP293-計分!AG293)</f>
        <v/>
      </c>
      <c r="AH293">
        <f>IF(OR(計分!AH293="",計分!$AP293=""),"",計分!$AP293-計分!AH293)</f>
        <v/>
      </c>
      <c r="AI293">
        <f>IF(OR(計分!AI293="",計分!$AP293=""),"",計分!$AP293-計分!AI293)</f>
        <v/>
      </c>
      <c r="AJ293">
        <f>IF(OR(計分!AJ293="",計分!$AP293=""),"",計分!$AP293-計分!AJ293)</f>
        <v/>
      </c>
      <c r="AK293">
        <f>IF(OR(計分!AK293="",計分!$AP293=""),"",計分!$AP293-計分!AK293)</f>
        <v/>
      </c>
      <c r="AL293">
        <f>IF(OR(計分!AL293="",計分!$AP293=""),"",計分!$AP293-計分!AL293)</f>
        <v/>
      </c>
      <c r="AM293">
        <f>IF(OR(計分!AM293="",計分!$AP293=""),"",計分!$AP293-計分!AM293)</f>
        <v/>
      </c>
      <c r="AN293">
        <f>IF(OR(計分!AN293="",計分!$AP293=""),"",計分!$AP293-計分!AN293)</f>
        <v/>
      </c>
      <c r="AO293">
        <f>IF(OR(計分!AO293="",計分!$AP293=""),"",計分!$AP293-計分!AO293)</f>
        <v/>
      </c>
    </row>
    <row r="294">
      <c r="A294">
        <f>計分!A294</f>
        <v/>
      </c>
      <c r="B294">
        <f>IF(OR(計分!B294="",計分!$AP294=""),"",計分!$AP294-計分!B294)</f>
        <v/>
      </c>
      <c r="C294">
        <f>IF(OR(計分!C294="",計分!$AP294=""),"",計分!$AP294-計分!C294)</f>
        <v/>
      </c>
      <c r="D294">
        <f>IF(OR(計分!D294="",計分!$AP294=""),"",計分!$AP294-計分!D294)</f>
        <v/>
      </c>
      <c r="E294">
        <f>IF(OR(計分!E294="",計分!$AP294=""),"",計分!$AP294-計分!E294)</f>
        <v/>
      </c>
      <c r="F294">
        <f>IF(OR(計分!F294="",計分!$AP294=""),"",計分!$AP294-計分!F294)</f>
        <v/>
      </c>
      <c r="G294">
        <f>IF(OR(計分!G294="",計分!$AP294=""),"",計分!$AP294-計分!G294)</f>
        <v/>
      </c>
      <c r="H294">
        <f>IF(OR(計分!H294="",計分!$AP294=""),"",計分!$AP294-計分!H294)</f>
        <v/>
      </c>
      <c r="I294">
        <f>IF(OR(計分!I294="",計分!$AP294=""),"",計分!$AP294-計分!I294)</f>
        <v/>
      </c>
      <c r="J294">
        <f>IF(OR(計分!J294="",計分!$AP294=""),"",計分!$AP294-計分!J294)</f>
        <v/>
      </c>
      <c r="K294">
        <f>IF(OR(計分!K294="",計分!$AP294=""),"",計分!$AP294-計分!K294)</f>
        <v/>
      </c>
      <c r="L294">
        <f>IF(OR(計分!L294="",計分!$AP294=""),"",計分!$AP294-計分!L294)</f>
        <v/>
      </c>
      <c r="M294">
        <f>IF(OR(計分!M294="",計分!$AP294=""),"",計分!$AP294-計分!M294)</f>
        <v/>
      </c>
      <c r="N294">
        <f>IF(OR(計分!N294="",計分!$AP294=""),"",計分!$AP294-計分!N294)</f>
        <v/>
      </c>
      <c r="O294">
        <f>IF(OR(計分!O294="",計分!$AP294=""),"",計分!$AP294-計分!O294)</f>
        <v/>
      </c>
      <c r="P294">
        <f>IF(OR(計分!P294="",計分!$AP294=""),"",計分!$AP294-計分!P294)</f>
        <v/>
      </c>
      <c r="Q294">
        <f>IF(OR(計分!Q294="",計分!$AP294=""),"",計分!$AP294-計分!Q294)</f>
        <v/>
      </c>
      <c r="R294">
        <f>IF(OR(計分!R294="",計分!$AP294=""),"",計分!$AP294-計分!R294)</f>
        <v/>
      </c>
      <c r="S294">
        <f>IF(OR(計分!S294="",計分!$AP294=""),"",計分!$AP294-計分!S294)</f>
        <v/>
      </c>
      <c r="T294">
        <f>IF(OR(計分!T294="",計分!$AP294=""),"",計分!$AP294-計分!T294)</f>
        <v/>
      </c>
      <c r="U294">
        <f>IF(OR(計分!U294="",計分!$AP294=""),"",計分!$AP294-計分!U294)</f>
        <v/>
      </c>
      <c r="V294">
        <f>IF(OR(計分!V294="",計分!$AP294=""),"",計分!$AP294-計分!V294)</f>
        <v/>
      </c>
      <c r="W294">
        <f>IF(OR(計分!W294="",計分!$AP294=""),"",計分!$AP294-計分!W294)</f>
        <v/>
      </c>
      <c r="X294">
        <f>IF(OR(計分!X294="",計分!$AP294=""),"",計分!$AP294-計分!X294)</f>
        <v/>
      </c>
      <c r="Y294">
        <f>IF(OR(計分!Y294="",計分!$AP294=""),"",計分!$AP294-計分!Y294)</f>
        <v/>
      </c>
      <c r="Z294">
        <f>IF(OR(計分!Z294="",計分!$AP294=""),"",計分!$AP294-計分!Z294)</f>
        <v/>
      </c>
      <c r="AA294">
        <f>IF(OR(計分!AA294="",計分!$AP294=""),"",計分!$AP294-計分!AA294)</f>
        <v/>
      </c>
      <c r="AB294">
        <f>IF(OR(計分!AB294="",計分!$AP294=""),"",計分!$AP294-計分!AB294)</f>
        <v/>
      </c>
      <c r="AC294">
        <f>IF(OR(計分!AC294="",計分!$AP294=""),"",計分!$AP294-計分!AC294)</f>
        <v/>
      </c>
      <c r="AD294">
        <f>IF(OR(計分!AD294="",計分!$AP294=""),"",計分!$AP294-計分!AD294)</f>
        <v/>
      </c>
      <c r="AE294">
        <f>IF(OR(計分!AE294="",計分!$AP294=""),"",計分!$AP294-計分!AE294)</f>
        <v/>
      </c>
      <c r="AF294">
        <f>IF(OR(計分!AF294="",計分!$AP294=""),"",計分!$AP294-計分!AF294)</f>
        <v/>
      </c>
      <c r="AG294">
        <f>IF(OR(計分!AG294="",計分!$AP294=""),"",計分!$AP294-計分!AG294)</f>
        <v/>
      </c>
      <c r="AH294">
        <f>IF(OR(計分!AH294="",計分!$AP294=""),"",計分!$AP294-計分!AH294)</f>
        <v/>
      </c>
      <c r="AI294">
        <f>IF(OR(計分!AI294="",計分!$AP294=""),"",計分!$AP294-計分!AI294)</f>
        <v/>
      </c>
      <c r="AJ294">
        <f>IF(OR(計分!AJ294="",計分!$AP294=""),"",計分!$AP294-計分!AJ294)</f>
        <v/>
      </c>
      <c r="AK294">
        <f>IF(OR(計分!AK294="",計分!$AP294=""),"",計分!$AP294-計分!AK294)</f>
        <v/>
      </c>
      <c r="AL294">
        <f>IF(OR(計分!AL294="",計分!$AP294=""),"",計分!$AP294-計分!AL294)</f>
        <v/>
      </c>
      <c r="AM294">
        <f>IF(OR(計分!AM294="",計分!$AP294=""),"",計分!$AP294-計分!AM294)</f>
        <v/>
      </c>
      <c r="AN294">
        <f>IF(OR(計分!AN294="",計分!$AP294=""),"",計分!$AP294-計分!AN294)</f>
        <v/>
      </c>
      <c r="AO294">
        <f>IF(OR(計分!AO294="",計分!$AP294=""),"",計分!$AP294-計分!AO294)</f>
        <v/>
      </c>
    </row>
    <row r="295">
      <c r="A295">
        <f>計分!A295</f>
        <v/>
      </c>
      <c r="B295">
        <f>IF(OR(計分!B295="",計分!$AP295=""),"",計分!$AP295-計分!B295)</f>
        <v/>
      </c>
      <c r="C295">
        <f>IF(OR(計分!C295="",計分!$AP295=""),"",計分!$AP295-計分!C295)</f>
        <v/>
      </c>
      <c r="D295">
        <f>IF(OR(計分!D295="",計分!$AP295=""),"",計分!$AP295-計分!D295)</f>
        <v/>
      </c>
      <c r="E295">
        <f>IF(OR(計分!E295="",計分!$AP295=""),"",計分!$AP295-計分!E295)</f>
        <v/>
      </c>
      <c r="F295">
        <f>IF(OR(計分!F295="",計分!$AP295=""),"",計分!$AP295-計分!F295)</f>
        <v/>
      </c>
      <c r="G295">
        <f>IF(OR(計分!G295="",計分!$AP295=""),"",計分!$AP295-計分!G295)</f>
        <v/>
      </c>
      <c r="H295">
        <f>IF(OR(計分!H295="",計分!$AP295=""),"",計分!$AP295-計分!H295)</f>
        <v/>
      </c>
      <c r="I295">
        <f>IF(OR(計分!I295="",計分!$AP295=""),"",計分!$AP295-計分!I295)</f>
        <v/>
      </c>
      <c r="J295">
        <f>IF(OR(計分!J295="",計分!$AP295=""),"",計分!$AP295-計分!J295)</f>
        <v/>
      </c>
      <c r="K295">
        <f>IF(OR(計分!K295="",計分!$AP295=""),"",計分!$AP295-計分!K295)</f>
        <v/>
      </c>
      <c r="L295">
        <f>IF(OR(計分!L295="",計分!$AP295=""),"",計分!$AP295-計分!L295)</f>
        <v/>
      </c>
      <c r="M295">
        <f>IF(OR(計分!M295="",計分!$AP295=""),"",計分!$AP295-計分!M295)</f>
        <v/>
      </c>
      <c r="N295">
        <f>IF(OR(計分!N295="",計分!$AP295=""),"",計分!$AP295-計分!N295)</f>
        <v/>
      </c>
      <c r="O295">
        <f>IF(OR(計分!O295="",計分!$AP295=""),"",計分!$AP295-計分!O295)</f>
        <v/>
      </c>
      <c r="P295">
        <f>IF(OR(計分!P295="",計分!$AP295=""),"",計分!$AP295-計分!P295)</f>
        <v/>
      </c>
      <c r="Q295">
        <f>IF(OR(計分!Q295="",計分!$AP295=""),"",計分!$AP295-計分!Q295)</f>
        <v/>
      </c>
      <c r="R295">
        <f>IF(OR(計分!R295="",計分!$AP295=""),"",計分!$AP295-計分!R295)</f>
        <v/>
      </c>
      <c r="S295">
        <f>IF(OR(計分!S295="",計分!$AP295=""),"",計分!$AP295-計分!S295)</f>
        <v/>
      </c>
      <c r="T295">
        <f>IF(OR(計分!T295="",計分!$AP295=""),"",計分!$AP295-計分!T295)</f>
        <v/>
      </c>
      <c r="U295">
        <f>IF(OR(計分!U295="",計分!$AP295=""),"",計分!$AP295-計分!U295)</f>
        <v/>
      </c>
      <c r="V295">
        <f>IF(OR(計分!V295="",計分!$AP295=""),"",計分!$AP295-計分!V295)</f>
        <v/>
      </c>
      <c r="W295">
        <f>IF(OR(計分!W295="",計分!$AP295=""),"",計分!$AP295-計分!W295)</f>
        <v/>
      </c>
      <c r="X295">
        <f>IF(OR(計分!X295="",計分!$AP295=""),"",計分!$AP295-計分!X295)</f>
        <v/>
      </c>
      <c r="Y295">
        <f>IF(OR(計分!Y295="",計分!$AP295=""),"",計分!$AP295-計分!Y295)</f>
        <v/>
      </c>
      <c r="Z295">
        <f>IF(OR(計分!Z295="",計分!$AP295=""),"",計分!$AP295-計分!Z295)</f>
        <v/>
      </c>
      <c r="AA295">
        <f>IF(OR(計分!AA295="",計分!$AP295=""),"",計分!$AP295-計分!AA295)</f>
        <v/>
      </c>
      <c r="AB295">
        <f>IF(OR(計分!AB295="",計分!$AP295=""),"",計分!$AP295-計分!AB295)</f>
        <v/>
      </c>
      <c r="AC295">
        <f>IF(OR(計分!AC295="",計分!$AP295=""),"",計分!$AP295-計分!AC295)</f>
        <v/>
      </c>
      <c r="AD295">
        <f>IF(OR(計分!AD295="",計分!$AP295=""),"",計分!$AP295-計分!AD295)</f>
        <v/>
      </c>
      <c r="AE295">
        <f>IF(OR(計分!AE295="",計分!$AP295=""),"",計分!$AP295-計分!AE295)</f>
        <v/>
      </c>
      <c r="AF295">
        <f>IF(OR(計分!AF295="",計分!$AP295=""),"",計分!$AP295-計分!AF295)</f>
        <v/>
      </c>
      <c r="AG295">
        <f>IF(OR(計分!AG295="",計分!$AP295=""),"",計分!$AP295-計分!AG295)</f>
        <v/>
      </c>
      <c r="AH295">
        <f>IF(OR(計分!AH295="",計分!$AP295=""),"",計分!$AP295-計分!AH295)</f>
        <v/>
      </c>
      <c r="AI295">
        <f>IF(OR(計分!AI295="",計分!$AP295=""),"",計分!$AP295-計分!AI295)</f>
        <v/>
      </c>
      <c r="AJ295">
        <f>IF(OR(計分!AJ295="",計分!$AP295=""),"",計分!$AP295-計分!AJ295)</f>
        <v/>
      </c>
      <c r="AK295">
        <f>IF(OR(計分!AK295="",計分!$AP295=""),"",計分!$AP295-計分!AK295)</f>
        <v/>
      </c>
      <c r="AL295">
        <f>IF(OR(計分!AL295="",計分!$AP295=""),"",計分!$AP295-計分!AL295)</f>
        <v/>
      </c>
      <c r="AM295">
        <f>IF(OR(計分!AM295="",計分!$AP295=""),"",計分!$AP295-計分!AM295)</f>
        <v/>
      </c>
      <c r="AN295">
        <f>IF(OR(計分!AN295="",計分!$AP295=""),"",計分!$AP295-計分!AN295)</f>
        <v/>
      </c>
      <c r="AO295">
        <f>IF(OR(計分!AO295="",計分!$AP295=""),"",計分!$AP295-計分!AO295)</f>
        <v/>
      </c>
    </row>
    <row r="296">
      <c r="A296">
        <f>計分!A296</f>
        <v/>
      </c>
      <c r="B296">
        <f>IF(OR(計分!B296="",計分!$AP296=""),"",計分!$AP296-計分!B296)</f>
        <v/>
      </c>
      <c r="C296">
        <f>IF(OR(計分!C296="",計分!$AP296=""),"",計分!$AP296-計分!C296)</f>
        <v/>
      </c>
      <c r="D296">
        <f>IF(OR(計分!D296="",計分!$AP296=""),"",計分!$AP296-計分!D296)</f>
        <v/>
      </c>
      <c r="E296">
        <f>IF(OR(計分!E296="",計分!$AP296=""),"",計分!$AP296-計分!E296)</f>
        <v/>
      </c>
      <c r="F296">
        <f>IF(OR(計分!F296="",計分!$AP296=""),"",計分!$AP296-計分!F296)</f>
        <v/>
      </c>
      <c r="G296">
        <f>IF(OR(計分!G296="",計分!$AP296=""),"",計分!$AP296-計分!G296)</f>
        <v/>
      </c>
      <c r="H296">
        <f>IF(OR(計分!H296="",計分!$AP296=""),"",計分!$AP296-計分!H296)</f>
        <v/>
      </c>
      <c r="I296">
        <f>IF(OR(計分!I296="",計分!$AP296=""),"",計分!$AP296-計分!I296)</f>
        <v/>
      </c>
      <c r="J296">
        <f>IF(OR(計分!J296="",計分!$AP296=""),"",計分!$AP296-計分!J296)</f>
        <v/>
      </c>
      <c r="K296">
        <f>IF(OR(計分!K296="",計分!$AP296=""),"",計分!$AP296-計分!K296)</f>
        <v/>
      </c>
      <c r="L296">
        <f>IF(OR(計分!L296="",計分!$AP296=""),"",計分!$AP296-計分!L296)</f>
        <v/>
      </c>
      <c r="M296">
        <f>IF(OR(計分!M296="",計分!$AP296=""),"",計分!$AP296-計分!M296)</f>
        <v/>
      </c>
      <c r="N296">
        <f>IF(OR(計分!N296="",計分!$AP296=""),"",計分!$AP296-計分!N296)</f>
        <v/>
      </c>
      <c r="O296">
        <f>IF(OR(計分!O296="",計分!$AP296=""),"",計分!$AP296-計分!O296)</f>
        <v/>
      </c>
      <c r="P296">
        <f>IF(OR(計分!P296="",計分!$AP296=""),"",計分!$AP296-計分!P296)</f>
        <v/>
      </c>
      <c r="Q296">
        <f>IF(OR(計分!Q296="",計分!$AP296=""),"",計分!$AP296-計分!Q296)</f>
        <v/>
      </c>
      <c r="R296">
        <f>IF(OR(計分!R296="",計分!$AP296=""),"",計分!$AP296-計分!R296)</f>
        <v/>
      </c>
      <c r="S296">
        <f>IF(OR(計分!S296="",計分!$AP296=""),"",計分!$AP296-計分!S296)</f>
        <v/>
      </c>
      <c r="T296">
        <f>IF(OR(計分!T296="",計分!$AP296=""),"",計分!$AP296-計分!T296)</f>
        <v/>
      </c>
      <c r="U296">
        <f>IF(OR(計分!U296="",計分!$AP296=""),"",計分!$AP296-計分!U296)</f>
        <v/>
      </c>
      <c r="V296">
        <f>IF(OR(計分!V296="",計分!$AP296=""),"",計分!$AP296-計分!V296)</f>
        <v/>
      </c>
      <c r="W296">
        <f>IF(OR(計分!W296="",計分!$AP296=""),"",計分!$AP296-計分!W296)</f>
        <v/>
      </c>
      <c r="X296">
        <f>IF(OR(計分!X296="",計分!$AP296=""),"",計分!$AP296-計分!X296)</f>
        <v/>
      </c>
      <c r="Y296">
        <f>IF(OR(計分!Y296="",計分!$AP296=""),"",計分!$AP296-計分!Y296)</f>
        <v/>
      </c>
      <c r="Z296">
        <f>IF(OR(計分!Z296="",計分!$AP296=""),"",計分!$AP296-計分!Z296)</f>
        <v/>
      </c>
      <c r="AA296">
        <f>IF(OR(計分!AA296="",計分!$AP296=""),"",計分!$AP296-計分!AA296)</f>
        <v/>
      </c>
      <c r="AB296">
        <f>IF(OR(計分!AB296="",計分!$AP296=""),"",計分!$AP296-計分!AB296)</f>
        <v/>
      </c>
      <c r="AC296">
        <f>IF(OR(計分!AC296="",計分!$AP296=""),"",計分!$AP296-計分!AC296)</f>
        <v/>
      </c>
      <c r="AD296">
        <f>IF(OR(計分!AD296="",計分!$AP296=""),"",計分!$AP296-計分!AD296)</f>
        <v/>
      </c>
      <c r="AE296">
        <f>IF(OR(計分!AE296="",計分!$AP296=""),"",計分!$AP296-計分!AE296)</f>
        <v/>
      </c>
      <c r="AF296">
        <f>IF(OR(計分!AF296="",計分!$AP296=""),"",計分!$AP296-計分!AF296)</f>
        <v/>
      </c>
      <c r="AG296">
        <f>IF(OR(計分!AG296="",計分!$AP296=""),"",計分!$AP296-計分!AG296)</f>
        <v/>
      </c>
      <c r="AH296">
        <f>IF(OR(計分!AH296="",計分!$AP296=""),"",計分!$AP296-計分!AH296)</f>
        <v/>
      </c>
      <c r="AI296">
        <f>IF(OR(計分!AI296="",計分!$AP296=""),"",計分!$AP296-計分!AI296)</f>
        <v/>
      </c>
      <c r="AJ296">
        <f>IF(OR(計分!AJ296="",計分!$AP296=""),"",計分!$AP296-計分!AJ296)</f>
        <v/>
      </c>
      <c r="AK296">
        <f>IF(OR(計分!AK296="",計分!$AP296=""),"",計分!$AP296-計分!AK296)</f>
        <v/>
      </c>
      <c r="AL296">
        <f>IF(OR(計分!AL296="",計分!$AP296=""),"",計分!$AP296-計分!AL296)</f>
        <v/>
      </c>
      <c r="AM296">
        <f>IF(OR(計分!AM296="",計分!$AP296=""),"",計分!$AP296-計分!AM296)</f>
        <v/>
      </c>
      <c r="AN296">
        <f>IF(OR(計分!AN296="",計分!$AP296=""),"",計分!$AP296-計分!AN296)</f>
        <v/>
      </c>
      <c r="AO296">
        <f>IF(OR(計分!AO296="",計分!$AP296=""),"",計分!$AP296-計分!AO296)</f>
        <v/>
      </c>
    </row>
    <row r="297">
      <c r="A297">
        <f>計分!A297</f>
        <v/>
      </c>
      <c r="B297">
        <f>IF(OR(計分!B297="",計分!$AP297=""),"",計分!$AP297-計分!B297)</f>
        <v/>
      </c>
      <c r="C297">
        <f>IF(OR(計分!C297="",計分!$AP297=""),"",計分!$AP297-計分!C297)</f>
        <v/>
      </c>
      <c r="D297">
        <f>IF(OR(計分!D297="",計分!$AP297=""),"",計分!$AP297-計分!D297)</f>
        <v/>
      </c>
      <c r="E297">
        <f>IF(OR(計分!E297="",計分!$AP297=""),"",計分!$AP297-計分!E297)</f>
        <v/>
      </c>
      <c r="F297">
        <f>IF(OR(計分!F297="",計分!$AP297=""),"",計分!$AP297-計分!F297)</f>
        <v/>
      </c>
      <c r="G297">
        <f>IF(OR(計分!G297="",計分!$AP297=""),"",計分!$AP297-計分!G297)</f>
        <v/>
      </c>
      <c r="H297">
        <f>IF(OR(計分!H297="",計分!$AP297=""),"",計分!$AP297-計分!H297)</f>
        <v/>
      </c>
      <c r="I297">
        <f>IF(OR(計分!I297="",計分!$AP297=""),"",計分!$AP297-計分!I297)</f>
        <v/>
      </c>
      <c r="J297">
        <f>IF(OR(計分!J297="",計分!$AP297=""),"",計分!$AP297-計分!J297)</f>
        <v/>
      </c>
      <c r="K297">
        <f>IF(OR(計分!K297="",計分!$AP297=""),"",計分!$AP297-計分!K297)</f>
        <v/>
      </c>
      <c r="L297">
        <f>IF(OR(計分!L297="",計分!$AP297=""),"",計分!$AP297-計分!L297)</f>
        <v/>
      </c>
      <c r="M297">
        <f>IF(OR(計分!M297="",計分!$AP297=""),"",計分!$AP297-計分!M297)</f>
        <v/>
      </c>
      <c r="N297">
        <f>IF(OR(計分!N297="",計分!$AP297=""),"",計分!$AP297-計分!N297)</f>
        <v/>
      </c>
      <c r="O297">
        <f>IF(OR(計分!O297="",計分!$AP297=""),"",計分!$AP297-計分!O297)</f>
        <v/>
      </c>
      <c r="P297">
        <f>IF(OR(計分!P297="",計分!$AP297=""),"",計分!$AP297-計分!P297)</f>
        <v/>
      </c>
      <c r="Q297">
        <f>IF(OR(計分!Q297="",計分!$AP297=""),"",計分!$AP297-計分!Q297)</f>
        <v/>
      </c>
      <c r="R297">
        <f>IF(OR(計分!R297="",計分!$AP297=""),"",計分!$AP297-計分!R297)</f>
        <v/>
      </c>
      <c r="S297">
        <f>IF(OR(計分!S297="",計分!$AP297=""),"",計分!$AP297-計分!S297)</f>
        <v/>
      </c>
      <c r="T297">
        <f>IF(OR(計分!T297="",計分!$AP297=""),"",計分!$AP297-計分!T297)</f>
        <v/>
      </c>
      <c r="U297">
        <f>IF(OR(計分!U297="",計分!$AP297=""),"",計分!$AP297-計分!U297)</f>
        <v/>
      </c>
      <c r="V297">
        <f>IF(OR(計分!V297="",計分!$AP297=""),"",計分!$AP297-計分!V297)</f>
        <v/>
      </c>
      <c r="W297">
        <f>IF(OR(計分!W297="",計分!$AP297=""),"",計分!$AP297-計分!W297)</f>
        <v/>
      </c>
      <c r="X297">
        <f>IF(OR(計分!X297="",計分!$AP297=""),"",計分!$AP297-計分!X297)</f>
        <v/>
      </c>
      <c r="Y297">
        <f>IF(OR(計分!Y297="",計分!$AP297=""),"",計分!$AP297-計分!Y297)</f>
        <v/>
      </c>
      <c r="Z297">
        <f>IF(OR(計分!Z297="",計分!$AP297=""),"",計分!$AP297-計分!Z297)</f>
        <v/>
      </c>
      <c r="AA297">
        <f>IF(OR(計分!AA297="",計分!$AP297=""),"",計分!$AP297-計分!AA297)</f>
        <v/>
      </c>
      <c r="AB297">
        <f>IF(OR(計分!AB297="",計分!$AP297=""),"",計分!$AP297-計分!AB297)</f>
        <v/>
      </c>
      <c r="AC297">
        <f>IF(OR(計分!AC297="",計分!$AP297=""),"",計分!$AP297-計分!AC297)</f>
        <v/>
      </c>
      <c r="AD297">
        <f>IF(OR(計分!AD297="",計分!$AP297=""),"",計分!$AP297-計分!AD297)</f>
        <v/>
      </c>
      <c r="AE297">
        <f>IF(OR(計分!AE297="",計分!$AP297=""),"",計分!$AP297-計分!AE297)</f>
        <v/>
      </c>
      <c r="AF297">
        <f>IF(OR(計分!AF297="",計分!$AP297=""),"",計分!$AP297-計分!AF297)</f>
        <v/>
      </c>
      <c r="AG297">
        <f>IF(OR(計分!AG297="",計分!$AP297=""),"",計分!$AP297-計分!AG297)</f>
        <v/>
      </c>
      <c r="AH297">
        <f>IF(OR(計分!AH297="",計分!$AP297=""),"",計分!$AP297-計分!AH297)</f>
        <v/>
      </c>
      <c r="AI297">
        <f>IF(OR(計分!AI297="",計分!$AP297=""),"",計分!$AP297-計分!AI297)</f>
        <v/>
      </c>
      <c r="AJ297">
        <f>IF(OR(計分!AJ297="",計分!$AP297=""),"",計分!$AP297-計分!AJ297)</f>
        <v/>
      </c>
      <c r="AK297">
        <f>IF(OR(計分!AK297="",計分!$AP297=""),"",計分!$AP297-計分!AK297)</f>
        <v/>
      </c>
      <c r="AL297">
        <f>IF(OR(計分!AL297="",計分!$AP297=""),"",計分!$AP297-計分!AL297)</f>
        <v/>
      </c>
      <c r="AM297">
        <f>IF(OR(計分!AM297="",計分!$AP297=""),"",計分!$AP297-計分!AM297)</f>
        <v/>
      </c>
      <c r="AN297">
        <f>IF(OR(計分!AN297="",計分!$AP297=""),"",計分!$AP297-計分!AN297)</f>
        <v/>
      </c>
      <c r="AO297">
        <f>IF(OR(計分!AO297="",計分!$AP297=""),"",計分!$AP297-計分!AO297)</f>
        <v/>
      </c>
    </row>
    <row r="298">
      <c r="A298">
        <f>計分!A298</f>
        <v/>
      </c>
      <c r="B298">
        <f>IF(OR(計分!B298="",計分!$AP298=""),"",計分!$AP298-計分!B298)</f>
        <v/>
      </c>
      <c r="C298">
        <f>IF(OR(計分!C298="",計分!$AP298=""),"",計分!$AP298-計分!C298)</f>
        <v/>
      </c>
      <c r="D298">
        <f>IF(OR(計分!D298="",計分!$AP298=""),"",計分!$AP298-計分!D298)</f>
        <v/>
      </c>
      <c r="E298">
        <f>IF(OR(計分!E298="",計分!$AP298=""),"",計分!$AP298-計分!E298)</f>
        <v/>
      </c>
      <c r="F298">
        <f>IF(OR(計分!F298="",計分!$AP298=""),"",計分!$AP298-計分!F298)</f>
        <v/>
      </c>
      <c r="G298">
        <f>IF(OR(計分!G298="",計分!$AP298=""),"",計分!$AP298-計分!G298)</f>
        <v/>
      </c>
      <c r="H298">
        <f>IF(OR(計分!H298="",計分!$AP298=""),"",計分!$AP298-計分!H298)</f>
        <v/>
      </c>
      <c r="I298">
        <f>IF(OR(計分!I298="",計分!$AP298=""),"",計分!$AP298-計分!I298)</f>
        <v/>
      </c>
      <c r="J298">
        <f>IF(OR(計分!J298="",計分!$AP298=""),"",計分!$AP298-計分!J298)</f>
        <v/>
      </c>
      <c r="K298">
        <f>IF(OR(計分!K298="",計分!$AP298=""),"",計分!$AP298-計分!K298)</f>
        <v/>
      </c>
      <c r="L298">
        <f>IF(OR(計分!L298="",計分!$AP298=""),"",計分!$AP298-計分!L298)</f>
        <v/>
      </c>
      <c r="M298">
        <f>IF(OR(計分!M298="",計分!$AP298=""),"",計分!$AP298-計分!M298)</f>
        <v/>
      </c>
      <c r="N298">
        <f>IF(OR(計分!N298="",計分!$AP298=""),"",計分!$AP298-計分!N298)</f>
        <v/>
      </c>
      <c r="O298">
        <f>IF(OR(計分!O298="",計分!$AP298=""),"",計分!$AP298-計分!O298)</f>
        <v/>
      </c>
      <c r="P298">
        <f>IF(OR(計分!P298="",計分!$AP298=""),"",計分!$AP298-計分!P298)</f>
        <v/>
      </c>
      <c r="Q298">
        <f>IF(OR(計分!Q298="",計分!$AP298=""),"",計分!$AP298-計分!Q298)</f>
        <v/>
      </c>
      <c r="R298">
        <f>IF(OR(計分!R298="",計分!$AP298=""),"",計分!$AP298-計分!R298)</f>
        <v/>
      </c>
      <c r="S298">
        <f>IF(OR(計分!S298="",計分!$AP298=""),"",計分!$AP298-計分!S298)</f>
        <v/>
      </c>
      <c r="T298">
        <f>IF(OR(計分!T298="",計分!$AP298=""),"",計分!$AP298-計分!T298)</f>
        <v/>
      </c>
      <c r="U298">
        <f>IF(OR(計分!U298="",計分!$AP298=""),"",計分!$AP298-計分!U298)</f>
        <v/>
      </c>
      <c r="V298">
        <f>IF(OR(計分!V298="",計分!$AP298=""),"",計分!$AP298-計分!V298)</f>
        <v/>
      </c>
      <c r="W298">
        <f>IF(OR(計分!W298="",計分!$AP298=""),"",計分!$AP298-計分!W298)</f>
        <v/>
      </c>
      <c r="X298">
        <f>IF(OR(計分!X298="",計分!$AP298=""),"",計分!$AP298-計分!X298)</f>
        <v/>
      </c>
      <c r="Y298">
        <f>IF(OR(計分!Y298="",計分!$AP298=""),"",計分!$AP298-計分!Y298)</f>
        <v/>
      </c>
      <c r="Z298">
        <f>IF(OR(計分!Z298="",計分!$AP298=""),"",計分!$AP298-計分!Z298)</f>
        <v/>
      </c>
      <c r="AA298">
        <f>IF(OR(計分!AA298="",計分!$AP298=""),"",計分!$AP298-計分!AA298)</f>
        <v/>
      </c>
      <c r="AB298">
        <f>IF(OR(計分!AB298="",計分!$AP298=""),"",計分!$AP298-計分!AB298)</f>
        <v/>
      </c>
      <c r="AC298">
        <f>IF(OR(計分!AC298="",計分!$AP298=""),"",計分!$AP298-計分!AC298)</f>
        <v/>
      </c>
      <c r="AD298">
        <f>IF(OR(計分!AD298="",計分!$AP298=""),"",計分!$AP298-計分!AD298)</f>
        <v/>
      </c>
      <c r="AE298">
        <f>IF(OR(計分!AE298="",計分!$AP298=""),"",計分!$AP298-計分!AE298)</f>
        <v/>
      </c>
      <c r="AF298">
        <f>IF(OR(計分!AF298="",計分!$AP298=""),"",計分!$AP298-計分!AF298)</f>
        <v/>
      </c>
      <c r="AG298">
        <f>IF(OR(計分!AG298="",計分!$AP298=""),"",計分!$AP298-計分!AG298)</f>
        <v/>
      </c>
      <c r="AH298">
        <f>IF(OR(計分!AH298="",計分!$AP298=""),"",計分!$AP298-計分!AH298)</f>
        <v/>
      </c>
      <c r="AI298">
        <f>IF(OR(計分!AI298="",計分!$AP298=""),"",計分!$AP298-計分!AI298)</f>
        <v/>
      </c>
      <c r="AJ298">
        <f>IF(OR(計分!AJ298="",計分!$AP298=""),"",計分!$AP298-計分!AJ298)</f>
        <v/>
      </c>
      <c r="AK298">
        <f>IF(OR(計分!AK298="",計分!$AP298=""),"",計分!$AP298-計分!AK298)</f>
        <v/>
      </c>
      <c r="AL298">
        <f>IF(OR(計分!AL298="",計分!$AP298=""),"",計分!$AP298-計分!AL298)</f>
        <v/>
      </c>
      <c r="AM298">
        <f>IF(OR(計分!AM298="",計分!$AP298=""),"",計分!$AP298-計分!AM298)</f>
        <v/>
      </c>
      <c r="AN298">
        <f>IF(OR(計分!AN298="",計分!$AP298=""),"",計分!$AP298-計分!AN298)</f>
        <v/>
      </c>
      <c r="AO298">
        <f>IF(OR(計分!AO298="",計分!$AP298=""),"",計分!$AP298-計分!AO298)</f>
        <v/>
      </c>
    </row>
    <row r="299">
      <c r="A299">
        <f>計分!A299</f>
        <v/>
      </c>
      <c r="B299">
        <f>IF(OR(計分!B299="",計分!$AP299=""),"",計分!$AP299-計分!B299)</f>
        <v/>
      </c>
      <c r="C299">
        <f>IF(OR(計分!C299="",計分!$AP299=""),"",計分!$AP299-計分!C299)</f>
        <v/>
      </c>
      <c r="D299">
        <f>IF(OR(計分!D299="",計分!$AP299=""),"",計分!$AP299-計分!D299)</f>
        <v/>
      </c>
      <c r="E299">
        <f>IF(OR(計分!E299="",計分!$AP299=""),"",計分!$AP299-計分!E299)</f>
        <v/>
      </c>
      <c r="F299">
        <f>IF(OR(計分!F299="",計分!$AP299=""),"",計分!$AP299-計分!F299)</f>
        <v/>
      </c>
      <c r="G299">
        <f>IF(OR(計分!G299="",計分!$AP299=""),"",計分!$AP299-計分!G299)</f>
        <v/>
      </c>
      <c r="H299">
        <f>IF(OR(計分!H299="",計分!$AP299=""),"",計分!$AP299-計分!H299)</f>
        <v/>
      </c>
      <c r="I299">
        <f>IF(OR(計分!I299="",計分!$AP299=""),"",計分!$AP299-計分!I299)</f>
        <v/>
      </c>
      <c r="J299">
        <f>IF(OR(計分!J299="",計分!$AP299=""),"",計分!$AP299-計分!J299)</f>
        <v/>
      </c>
      <c r="K299">
        <f>IF(OR(計分!K299="",計分!$AP299=""),"",計分!$AP299-計分!K299)</f>
        <v/>
      </c>
      <c r="L299">
        <f>IF(OR(計分!L299="",計分!$AP299=""),"",計分!$AP299-計分!L299)</f>
        <v/>
      </c>
      <c r="M299">
        <f>IF(OR(計分!M299="",計分!$AP299=""),"",計分!$AP299-計分!M299)</f>
        <v/>
      </c>
      <c r="N299">
        <f>IF(OR(計分!N299="",計分!$AP299=""),"",計分!$AP299-計分!N299)</f>
        <v/>
      </c>
      <c r="O299">
        <f>IF(OR(計分!O299="",計分!$AP299=""),"",計分!$AP299-計分!O299)</f>
        <v/>
      </c>
      <c r="P299">
        <f>IF(OR(計分!P299="",計分!$AP299=""),"",計分!$AP299-計分!P299)</f>
        <v/>
      </c>
      <c r="Q299">
        <f>IF(OR(計分!Q299="",計分!$AP299=""),"",計分!$AP299-計分!Q299)</f>
        <v/>
      </c>
      <c r="R299">
        <f>IF(OR(計分!R299="",計分!$AP299=""),"",計分!$AP299-計分!R299)</f>
        <v/>
      </c>
      <c r="S299">
        <f>IF(OR(計分!S299="",計分!$AP299=""),"",計分!$AP299-計分!S299)</f>
        <v/>
      </c>
      <c r="T299">
        <f>IF(OR(計分!T299="",計分!$AP299=""),"",計分!$AP299-計分!T299)</f>
        <v/>
      </c>
      <c r="U299">
        <f>IF(OR(計分!U299="",計分!$AP299=""),"",計分!$AP299-計分!U299)</f>
        <v/>
      </c>
      <c r="V299">
        <f>IF(OR(計分!V299="",計分!$AP299=""),"",計分!$AP299-計分!V299)</f>
        <v/>
      </c>
      <c r="W299">
        <f>IF(OR(計分!W299="",計分!$AP299=""),"",計分!$AP299-計分!W299)</f>
        <v/>
      </c>
      <c r="X299">
        <f>IF(OR(計分!X299="",計分!$AP299=""),"",計分!$AP299-計分!X299)</f>
        <v/>
      </c>
      <c r="Y299">
        <f>IF(OR(計分!Y299="",計分!$AP299=""),"",計分!$AP299-計分!Y299)</f>
        <v/>
      </c>
      <c r="Z299">
        <f>IF(OR(計分!Z299="",計分!$AP299=""),"",計分!$AP299-計分!Z299)</f>
        <v/>
      </c>
      <c r="AA299">
        <f>IF(OR(計分!AA299="",計分!$AP299=""),"",計分!$AP299-計分!AA299)</f>
        <v/>
      </c>
      <c r="AB299">
        <f>IF(OR(計分!AB299="",計分!$AP299=""),"",計分!$AP299-計分!AB299)</f>
        <v/>
      </c>
      <c r="AC299">
        <f>IF(OR(計分!AC299="",計分!$AP299=""),"",計分!$AP299-計分!AC299)</f>
        <v/>
      </c>
      <c r="AD299">
        <f>IF(OR(計分!AD299="",計分!$AP299=""),"",計分!$AP299-計分!AD299)</f>
        <v/>
      </c>
      <c r="AE299">
        <f>IF(OR(計分!AE299="",計分!$AP299=""),"",計分!$AP299-計分!AE299)</f>
        <v/>
      </c>
      <c r="AF299">
        <f>IF(OR(計分!AF299="",計分!$AP299=""),"",計分!$AP299-計分!AF299)</f>
        <v/>
      </c>
      <c r="AG299">
        <f>IF(OR(計分!AG299="",計分!$AP299=""),"",計分!$AP299-計分!AG299)</f>
        <v/>
      </c>
      <c r="AH299">
        <f>IF(OR(計分!AH299="",計分!$AP299=""),"",計分!$AP299-計分!AH299)</f>
        <v/>
      </c>
      <c r="AI299">
        <f>IF(OR(計分!AI299="",計分!$AP299=""),"",計分!$AP299-計分!AI299)</f>
        <v/>
      </c>
      <c r="AJ299">
        <f>IF(OR(計分!AJ299="",計分!$AP299=""),"",計分!$AP299-計分!AJ299)</f>
        <v/>
      </c>
      <c r="AK299">
        <f>IF(OR(計分!AK299="",計分!$AP299=""),"",計分!$AP299-計分!AK299)</f>
        <v/>
      </c>
      <c r="AL299">
        <f>IF(OR(計分!AL299="",計分!$AP299=""),"",計分!$AP299-計分!AL299)</f>
        <v/>
      </c>
      <c r="AM299">
        <f>IF(OR(計分!AM299="",計分!$AP299=""),"",計分!$AP299-計分!AM299)</f>
        <v/>
      </c>
      <c r="AN299">
        <f>IF(OR(計分!AN299="",計分!$AP299=""),"",計分!$AP299-計分!AN299)</f>
        <v/>
      </c>
      <c r="AO299">
        <f>IF(OR(計分!AO299="",計分!$AP299=""),"",計分!$AP299-計分!AO299)</f>
        <v/>
      </c>
    </row>
    <row r="300">
      <c r="A300">
        <f>計分!A300</f>
        <v/>
      </c>
      <c r="B300">
        <f>IF(OR(計分!B300="",計分!$AP300=""),"",計分!$AP300-計分!B300)</f>
        <v/>
      </c>
      <c r="C300">
        <f>IF(OR(計分!C300="",計分!$AP300=""),"",計分!$AP300-計分!C300)</f>
        <v/>
      </c>
      <c r="D300">
        <f>IF(OR(計分!D300="",計分!$AP300=""),"",計分!$AP300-計分!D300)</f>
        <v/>
      </c>
      <c r="E300">
        <f>IF(OR(計分!E300="",計分!$AP300=""),"",計分!$AP300-計分!E300)</f>
        <v/>
      </c>
      <c r="F300">
        <f>IF(OR(計分!F300="",計分!$AP300=""),"",計分!$AP300-計分!F300)</f>
        <v/>
      </c>
      <c r="G300">
        <f>IF(OR(計分!G300="",計分!$AP300=""),"",計分!$AP300-計分!G300)</f>
        <v/>
      </c>
      <c r="H300">
        <f>IF(OR(計分!H300="",計分!$AP300=""),"",計分!$AP300-計分!H300)</f>
        <v/>
      </c>
      <c r="I300">
        <f>IF(OR(計分!I300="",計分!$AP300=""),"",計分!$AP300-計分!I300)</f>
        <v/>
      </c>
      <c r="J300">
        <f>IF(OR(計分!J300="",計分!$AP300=""),"",計分!$AP300-計分!J300)</f>
        <v/>
      </c>
      <c r="K300">
        <f>IF(OR(計分!K300="",計分!$AP300=""),"",計分!$AP300-計分!K300)</f>
        <v/>
      </c>
      <c r="L300">
        <f>IF(OR(計分!L300="",計分!$AP300=""),"",計分!$AP300-計分!L300)</f>
        <v/>
      </c>
      <c r="M300">
        <f>IF(OR(計分!M300="",計分!$AP300=""),"",計分!$AP300-計分!M300)</f>
        <v/>
      </c>
      <c r="N300">
        <f>IF(OR(計分!N300="",計分!$AP300=""),"",計分!$AP300-計分!N300)</f>
        <v/>
      </c>
      <c r="O300">
        <f>IF(OR(計分!O300="",計分!$AP300=""),"",計分!$AP300-計分!O300)</f>
        <v/>
      </c>
      <c r="P300">
        <f>IF(OR(計分!P300="",計分!$AP300=""),"",計分!$AP300-計分!P300)</f>
        <v/>
      </c>
      <c r="Q300">
        <f>IF(OR(計分!Q300="",計分!$AP300=""),"",計分!$AP300-計分!Q300)</f>
        <v/>
      </c>
      <c r="R300">
        <f>IF(OR(計分!R300="",計分!$AP300=""),"",計分!$AP300-計分!R300)</f>
        <v/>
      </c>
      <c r="S300">
        <f>IF(OR(計分!S300="",計分!$AP300=""),"",計分!$AP300-計分!S300)</f>
        <v/>
      </c>
      <c r="T300">
        <f>IF(OR(計分!T300="",計分!$AP300=""),"",計分!$AP300-計分!T300)</f>
        <v/>
      </c>
      <c r="U300">
        <f>IF(OR(計分!U300="",計分!$AP300=""),"",計分!$AP300-計分!U300)</f>
        <v/>
      </c>
      <c r="V300">
        <f>IF(OR(計分!V300="",計分!$AP300=""),"",計分!$AP300-計分!V300)</f>
        <v/>
      </c>
      <c r="W300">
        <f>IF(OR(計分!W300="",計分!$AP300=""),"",計分!$AP300-計分!W300)</f>
        <v/>
      </c>
      <c r="X300">
        <f>IF(OR(計分!X300="",計分!$AP300=""),"",計分!$AP300-計分!X300)</f>
        <v/>
      </c>
      <c r="Y300">
        <f>IF(OR(計分!Y300="",計分!$AP300=""),"",計分!$AP300-計分!Y300)</f>
        <v/>
      </c>
      <c r="Z300">
        <f>IF(OR(計分!Z300="",計分!$AP300=""),"",計分!$AP300-計分!Z300)</f>
        <v/>
      </c>
      <c r="AA300">
        <f>IF(OR(計分!AA300="",計分!$AP300=""),"",計分!$AP300-計分!AA300)</f>
        <v/>
      </c>
      <c r="AB300">
        <f>IF(OR(計分!AB300="",計分!$AP300=""),"",計分!$AP300-計分!AB300)</f>
        <v/>
      </c>
      <c r="AC300">
        <f>IF(OR(計分!AC300="",計分!$AP300=""),"",計分!$AP300-計分!AC300)</f>
        <v/>
      </c>
      <c r="AD300">
        <f>IF(OR(計分!AD300="",計分!$AP300=""),"",計分!$AP300-計分!AD300)</f>
        <v/>
      </c>
      <c r="AE300">
        <f>IF(OR(計分!AE300="",計分!$AP300=""),"",計分!$AP300-計分!AE300)</f>
        <v/>
      </c>
      <c r="AF300">
        <f>IF(OR(計分!AF300="",計分!$AP300=""),"",計分!$AP300-計分!AF300)</f>
        <v/>
      </c>
      <c r="AG300">
        <f>IF(OR(計分!AG300="",計分!$AP300=""),"",計分!$AP300-計分!AG300)</f>
        <v/>
      </c>
      <c r="AH300">
        <f>IF(OR(計分!AH300="",計分!$AP300=""),"",計分!$AP300-計分!AH300)</f>
        <v/>
      </c>
      <c r="AI300">
        <f>IF(OR(計分!AI300="",計分!$AP300=""),"",計分!$AP300-計分!AI300)</f>
        <v/>
      </c>
      <c r="AJ300">
        <f>IF(OR(計分!AJ300="",計分!$AP300=""),"",計分!$AP300-計分!AJ300)</f>
        <v/>
      </c>
      <c r="AK300">
        <f>IF(OR(計分!AK300="",計分!$AP300=""),"",計分!$AP300-計分!AK300)</f>
        <v/>
      </c>
      <c r="AL300">
        <f>IF(OR(計分!AL300="",計分!$AP300=""),"",計分!$AP300-計分!AL300)</f>
        <v/>
      </c>
      <c r="AM300">
        <f>IF(OR(計分!AM300="",計分!$AP300=""),"",計分!$AP300-計分!AM300)</f>
        <v/>
      </c>
      <c r="AN300">
        <f>IF(OR(計分!AN300="",計分!$AP300=""),"",計分!$AP300-計分!AN300)</f>
        <v/>
      </c>
      <c r="AO300">
        <f>IF(OR(計分!AO300="",計分!$AP300=""),"",計分!$AP300-計分!AO300)</f>
        <v/>
      </c>
    </row>
    <row r="301">
      <c r="A301">
        <f>計分!A301</f>
        <v/>
      </c>
      <c r="B301">
        <f>IF(OR(計分!B301="",計分!$AP301=""),"",計分!$AP301-計分!B301)</f>
        <v/>
      </c>
      <c r="C301">
        <f>IF(OR(計分!C301="",計分!$AP301=""),"",計分!$AP301-計分!C301)</f>
        <v/>
      </c>
      <c r="D301">
        <f>IF(OR(計分!D301="",計分!$AP301=""),"",計分!$AP301-計分!D301)</f>
        <v/>
      </c>
      <c r="E301">
        <f>IF(OR(計分!E301="",計分!$AP301=""),"",計分!$AP301-計分!E301)</f>
        <v/>
      </c>
      <c r="F301">
        <f>IF(OR(計分!F301="",計分!$AP301=""),"",計分!$AP301-計分!F301)</f>
        <v/>
      </c>
      <c r="G301">
        <f>IF(OR(計分!G301="",計分!$AP301=""),"",計分!$AP301-計分!G301)</f>
        <v/>
      </c>
      <c r="H301">
        <f>IF(OR(計分!H301="",計分!$AP301=""),"",計分!$AP301-計分!H301)</f>
        <v/>
      </c>
      <c r="I301">
        <f>IF(OR(計分!I301="",計分!$AP301=""),"",計分!$AP301-計分!I301)</f>
        <v/>
      </c>
      <c r="J301">
        <f>IF(OR(計分!J301="",計分!$AP301=""),"",計分!$AP301-計分!J301)</f>
        <v/>
      </c>
      <c r="K301">
        <f>IF(OR(計分!K301="",計分!$AP301=""),"",計分!$AP301-計分!K301)</f>
        <v/>
      </c>
      <c r="L301">
        <f>IF(OR(計分!L301="",計分!$AP301=""),"",計分!$AP301-計分!L301)</f>
        <v/>
      </c>
      <c r="M301">
        <f>IF(OR(計分!M301="",計分!$AP301=""),"",計分!$AP301-計分!M301)</f>
        <v/>
      </c>
      <c r="N301">
        <f>IF(OR(計分!N301="",計分!$AP301=""),"",計分!$AP301-計分!N301)</f>
        <v/>
      </c>
      <c r="O301">
        <f>IF(OR(計分!O301="",計分!$AP301=""),"",計分!$AP301-計分!O301)</f>
        <v/>
      </c>
      <c r="P301">
        <f>IF(OR(計分!P301="",計分!$AP301=""),"",計分!$AP301-計分!P301)</f>
        <v/>
      </c>
      <c r="Q301">
        <f>IF(OR(計分!Q301="",計分!$AP301=""),"",計分!$AP301-計分!Q301)</f>
        <v/>
      </c>
      <c r="R301">
        <f>IF(OR(計分!R301="",計分!$AP301=""),"",計分!$AP301-計分!R301)</f>
        <v/>
      </c>
      <c r="S301">
        <f>IF(OR(計分!S301="",計分!$AP301=""),"",計分!$AP301-計分!S301)</f>
        <v/>
      </c>
      <c r="T301">
        <f>IF(OR(計分!T301="",計分!$AP301=""),"",計分!$AP301-計分!T301)</f>
        <v/>
      </c>
      <c r="U301">
        <f>IF(OR(計分!U301="",計分!$AP301=""),"",計分!$AP301-計分!U301)</f>
        <v/>
      </c>
      <c r="V301">
        <f>IF(OR(計分!V301="",計分!$AP301=""),"",計分!$AP301-計分!V301)</f>
        <v/>
      </c>
      <c r="W301">
        <f>IF(OR(計分!W301="",計分!$AP301=""),"",計分!$AP301-計分!W301)</f>
        <v/>
      </c>
      <c r="X301">
        <f>IF(OR(計分!X301="",計分!$AP301=""),"",計分!$AP301-計分!X301)</f>
        <v/>
      </c>
      <c r="Y301">
        <f>IF(OR(計分!Y301="",計分!$AP301=""),"",計分!$AP301-計分!Y301)</f>
        <v/>
      </c>
      <c r="Z301">
        <f>IF(OR(計分!Z301="",計分!$AP301=""),"",計分!$AP301-計分!Z301)</f>
        <v/>
      </c>
      <c r="AA301">
        <f>IF(OR(計分!AA301="",計分!$AP301=""),"",計分!$AP301-計分!AA301)</f>
        <v/>
      </c>
      <c r="AB301">
        <f>IF(OR(計分!AB301="",計分!$AP301=""),"",計分!$AP301-計分!AB301)</f>
        <v/>
      </c>
      <c r="AC301">
        <f>IF(OR(計分!AC301="",計分!$AP301=""),"",計分!$AP301-計分!AC301)</f>
        <v/>
      </c>
      <c r="AD301">
        <f>IF(OR(計分!AD301="",計分!$AP301=""),"",計分!$AP301-計分!AD301)</f>
        <v/>
      </c>
      <c r="AE301">
        <f>IF(OR(計分!AE301="",計分!$AP301=""),"",計分!$AP301-計分!AE301)</f>
        <v/>
      </c>
      <c r="AF301">
        <f>IF(OR(計分!AF301="",計分!$AP301=""),"",計分!$AP301-計分!AF301)</f>
        <v/>
      </c>
      <c r="AG301">
        <f>IF(OR(計分!AG301="",計分!$AP301=""),"",計分!$AP301-計分!AG301)</f>
        <v/>
      </c>
      <c r="AH301">
        <f>IF(OR(計分!AH301="",計分!$AP301=""),"",計分!$AP301-計分!AH301)</f>
        <v/>
      </c>
      <c r="AI301">
        <f>IF(OR(計分!AI301="",計分!$AP301=""),"",計分!$AP301-計分!AI301)</f>
        <v/>
      </c>
      <c r="AJ301">
        <f>IF(OR(計分!AJ301="",計分!$AP301=""),"",計分!$AP301-計分!AJ301)</f>
        <v/>
      </c>
      <c r="AK301">
        <f>IF(OR(計分!AK301="",計分!$AP301=""),"",計分!$AP301-計分!AK301)</f>
        <v/>
      </c>
      <c r="AL301">
        <f>IF(OR(計分!AL301="",計分!$AP301=""),"",計分!$AP301-計分!AL301)</f>
        <v/>
      </c>
      <c r="AM301">
        <f>IF(OR(計分!AM301="",計分!$AP301=""),"",計分!$AP301-計分!AM301)</f>
        <v/>
      </c>
      <c r="AN301">
        <f>IF(OR(計分!AN301="",計分!$AP301=""),"",計分!$AP301-計分!AN301)</f>
        <v/>
      </c>
      <c r="AO301">
        <f>IF(OR(計分!AO301="",計分!$AP301=""),"",計分!$AP301-計分!AO301)</f>
        <v/>
      </c>
    </row>
    <row r="302">
      <c r="A302">
        <f>計分!A302</f>
        <v/>
      </c>
      <c r="B302">
        <f>IF(OR(計分!B302="",計分!$AP302=""),"",計分!$AP302-計分!B302)</f>
        <v/>
      </c>
      <c r="C302">
        <f>IF(OR(計分!C302="",計分!$AP302=""),"",計分!$AP302-計分!C302)</f>
        <v/>
      </c>
      <c r="D302">
        <f>IF(OR(計分!D302="",計分!$AP302=""),"",計分!$AP302-計分!D302)</f>
        <v/>
      </c>
      <c r="E302">
        <f>IF(OR(計分!E302="",計分!$AP302=""),"",計分!$AP302-計分!E302)</f>
        <v/>
      </c>
      <c r="F302">
        <f>IF(OR(計分!F302="",計分!$AP302=""),"",計分!$AP302-計分!F302)</f>
        <v/>
      </c>
      <c r="G302">
        <f>IF(OR(計分!G302="",計分!$AP302=""),"",計分!$AP302-計分!G302)</f>
        <v/>
      </c>
      <c r="H302">
        <f>IF(OR(計分!H302="",計分!$AP302=""),"",計分!$AP302-計分!H302)</f>
        <v/>
      </c>
      <c r="I302">
        <f>IF(OR(計分!I302="",計分!$AP302=""),"",計分!$AP302-計分!I302)</f>
        <v/>
      </c>
      <c r="J302">
        <f>IF(OR(計分!J302="",計分!$AP302=""),"",計分!$AP302-計分!J302)</f>
        <v/>
      </c>
      <c r="K302">
        <f>IF(OR(計分!K302="",計分!$AP302=""),"",計分!$AP302-計分!K302)</f>
        <v/>
      </c>
      <c r="L302">
        <f>IF(OR(計分!L302="",計分!$AP302=""),"",計分!$AP302-計分!L302)</f>
        <v/>
      </c>
      <c r="M302">
        <f>IF(OR(計分!M302="",計分!$AP302=""),"",計分!$AP302-計分!M302)</f>
        <v/>
      </c>
      <c r="N302">
        <f>IF(OR(計分!N302="",計分!$AP302=""),"",計分!$AP302-計分!N302)</f>
        <v/>
      </c>
      <c r="O302">
        <f>IF(OR(計分!O302="",計分!$AP302=""),"",計分!$AP302-計分!O302)</f>
        <v/>
      </c>
      <c r="P302">
        <f>IF(OR(計分!P302="",計分!$AP302=""),"",計分!$AP302-計分!P302)</f>
        <v/>
      </c>
      <c r="Q302">
        <f>IF(OR(計分!Q302="",計分!$AP302=""),"",計分!$AP302-計分!Q302)</f>
        <v/>
      </c>
      <c r="R302">
        <f>IF(OR(計分!R302="",計分!$AP302=""),"",計分!$AP302-計分!R302)</f>
        <v/>
      </c>
      <c r="S302">
        <f>IF(OR(計分!S302="",計分!$AP302=""),"",計分!$AP302-計分!S302)</f>
        <v/>
      </c>
      <c r="T302">
        <f>IF(OR(計分!T302="",計分!$AP302=""),"",計分!$AP302-計分!T302)</f>
        <v/>
      </c>
      <c r="U302">
        <f>IF(OR(計分!U302="",計分!$AP302=""),"",計分!$AP302-計分!U302)</f>
        <v/>
      </c>
      <c r="V302">
        <f>IF(OR(計分!V302="",計分!$AP302=""),"",計分!$AP302-計分!V302)</f>
        <v/>
      </c>
      <c r="W302">
        <f>IF(OR(計分!W302="",計分!$AP302=""),"",計分!$AP302-計分!W302)</f>
        <v/>
      </c>
      <c r="X302">
        <f>IF(OR(計分!X302="",計分!$AP302=""),"",計分!$AP302-計分!X302)</f>
        <v/>
      </c>
      <c r="Y302">
        <f>IF(OR(計分!Y302="",計分!$AP302=""),"",計分!$AP302-計分!Y302)</f>
        <v/>
      </c>
      <c r="Z302">
        <f>IF(OR(計分!Z302="",計分!$AP302=""),"",計分!$AP302-計分!Z302)</f>
        <v/>
      </c>
      <c r="AA302">
        <f>IF(OR(計分!AA302="",計分!$AP302=""),"",計分!$AP302-計分!AA302)</f>
        <v/>
      </c>
      <c r="AB302">
        <f>IF(OR(計分!AB302="",計分!$AP302=""),"",計分!$AP302-計分!AB302)</f>
        <v/>
      </c>
      <c r="AC302">
        <f>IF(OR(計分!AC302="",計分!$AP302=""),"",計分!$AP302-計分!AC302)</f>
        <v/>
      </c>
      <c r="AD302">
        <f>IF(OR(計分!AD302="",計分!$AP302=""),"",計分!$AP302-計分!AD302)</f>
        <v/>
      </c>
      <c r="AE302">
        <f>IF(OR(計分!AE302="",計分!$AP302=""),"",計分!$AP302-計分!AE302)</f>
        <v/>
      </c>
      <c r="AF302">
        <f>IF(OR(計分!AF302="",計分!$AP302=""),"",計分!$AP302-計分!AF302)</f>
        <v/>
      </c>
      <c r="AG302">
        <f>IF(OR(計分!AG302="",計分!$AP302=""),"",計分!$AP302-計分!AG302)</f>
        <v/>
      </c>
      <c r="AH302">
        <f>IF(OR(計分!AH302="",計分!$AP302=""),"",計分!$AP302-計分!AH302)</f>
        <v/>
      </c>
      <c r="AI302">
        <f>IF(OR(計分!AI302="",計分!$AP302=""),"",計分!$AP302-計分!AI302)</f>
        <v/>
      </c>
      <c r="AJ302">
        <f>IF(OR(計分!AJ302="",計分!$AP302=""),"",計分!$AP302-計分!AJ302)</f>
        <v/>
      </c>
      <c r="AK302">
        <f>IF(OR(計分!AK302="",計分!$AP302=""),"",計分!$AP302-計分!AK302)</f>
        <v/>
      </c>
      <c r="AL302">
        <f>IF(OR(計分!AL302="",計分!$AP302=""),"",計分!$AP302-計分!AL302)</f>
        <v/>
      </c>
      <c r="AM302">
        <f>IF(OR(計分!AM302="",計分!$AP302=""),"",計分!$AP302-計分!AM302)</f>
        <v/>
      </c>
      <c r="AN302">
        <f>IF(OR(計分!AN302="",計分!$AP302=""),"",計分!$AP302-計分!AN302)</f>
        <v/>
      </c>
      <c r="AO302">
        <f>IF(OR(計分!AO302="",計分!$AP302=""),"",計分!$AP302-計分!AO302)</f>
        <v/>
      </c>
    </row>
    <row r="303">
      <c r="A303">
        <f>計分!A303</f>
        <v/>
      </c>
      <c r="B303">
        <f>IF(OR(計分!B303="",計分!$AP303=""),"",計分!$AP303-計分!B303)</f>
        <v/>
      </c>
      <c r="C303">
        <f>IF(OR(計分!C303="",計分!$AP303=""),"",計分!$AP303-計分!C303)</f>
        <v/>
      </c>
      <c r="D303">
        <f>IF(OR(計分!D303="",計分!$AP303=""),"",計分!$AP303-計分!D303)</f>
        <v/>
      </c>
      <c r="E303">
        <f>IF(OR(計分!E303="",計分!$AP303=""),"",計分!$AP303-計分!E303)</f>
        <v/>
      </c>
      <c r="F303">
        <f>IF(OR(計分!F303="",計分!$AP303=""),"",計分!$AP303-計分!F303)</f>
        <v/>
      </c>
      <c r="G303">
        <f>IF(OR(計分!G303="",計分!$AP303=""),"",計分!$AP303-計分!G303)</f>
        <v/>
      </c>
      <c r="H303">
        <f>IF(OR(計分!H303="",計分!$AP303=""),"",計分!$AP303-計分!H303)</f>
        <v/>
      </c>
      <c r="I303">
        <f>IF(OR(計分!I303="",計分!$AP303=""),"",計分!$AP303-計分!I303)</f>
        <v/>
      </c>
      <c r="J303">
        <f>IF(OR(計分!J303="",計分!$AP303=""),"",計分!$AP303-計分!J303)</f>
        <v/>
      </c>
      <c r="K303">
        <f>IF(OR(計分!K303="",計分!$AP303=""),"",計分!$AP303-計分!K303)</f>
        <v/>
      </c>
      <c r="L303">
        <f>IF(OR(計分!L303="",計分!$AP303=""),"",計分!$AP303-計分!L303)</f>
        <v/>
      </c>
      <c r="M303">
        <f>IF(OR(計分!M303="",計分!$AP303=""),"",計分!$AP303-計分!M303)</f>
        <v/>
      </c>
      <c r="N303">
        <f>IF(OR(計分!N303="",計分!$AP303=""),"",計分!$AP303-計分!N303)</f>
        <v/>
      </c>
      <c r="O303">
        <f>IF(OR(計分!O303="",計分!$AP303=""),"",計分!$AP303-計分!O303)</f>
        <v/>
      </c>
      <c r="P303">
        <f>IF(OR(計分!P303="",計分!$AP303=""),"",計分!$AP303-計分!P303)</f>
        <v/>
      </c>
      <c r="Q303">
        <f>IF(OR(計分!Q303="",計分!$AP303=""),"",計分!$AP303-計分!Q303)</f>
        <v/>
      </c>
      <c r="R303">
        <f>IF(OR(計分!R303="",計分!$AP303=""),"",計分!$AP303-計分!R303)</f>
        <v/>
      </c>
      <c r="S303">
        <f>IF(OR(計分!S303="",計分!$AP303=""),"",計分!$AP303-計分!S303)</f>
        <v/>
      </c>
      <c r="T303">
        <f>IF(OR(計分!T303="",計分!$AP303=""),"",計分!$AP303-計分!T303)</f>
        <v/>
      </c>
      <c r="U303">
        <f>IF(OR(計分!U303="",計分!$AP303=""),"",計分!$AP303-計分!U303)</f>
        <v/>
      </c>
      <c r="V303">
        <f>IF(OR(計分!V303="",計分!$AP303=""),"",計分!$AP303-計分!V303)</f>
        <v/>
      </c>
      <c r="W303">
        <f>IF(OR(計分!W303="",計分!$AP303=""),"",計分!$AP303-計分!W303)</f>
        <v/>
      </c>
      <c r="X303">
        <f>IF(OR(計分!X303="",計分!$AP303=""),"",計分!$AP303-計分!X303)</f>
        <v/>
      </c>
      <c r="Y303">
        <f>IF(OR(計分!Y303="",計分!$AP303=""),"",計分!$AP303-計分!Y303)</f>
        <v/>
      </c>
      <c r="Z303">
        <f>IF(OR(計分!Z303="",計分!$AP303=""),"",計分!$AP303-計分!Z303)</f>
        <v/>
      </c>
      <c r="AA303">
        <f>IF(OR(計分!AA303="",計分!$AP303=""),"",計分!$AP303-計分!AA303)</f>
        <v/>
      </c>
      <c r="AB303">
        <f>IF(OR(計分!AB303="",計分!$AP303=""),"",計分!$AP303-計分!AB303)</f>
        <v/>
      </c>
      <c r="AC303">
        <f>IF(OR(計分!AC303="",計分!$AP303=""),"",計分!$AP303-計分!AC303)</f>
        <v/>
      </c>
      <c r="AD303">
        <f>IF(OR(計分!AD303="",計分!$AP303=""),"",計分!$AP303-計分!AD303)</f>
        <v/>
      </c>
      <c r="AE303">
        <f>IF(OR(計分!AE303="",計分!$AP303=""),"",計分!$AP303-計分!AE303)</f>
        <v/>
      </c>
      <c r="AF303">
        <f>IF(OR(計分!AF303="",計分!$AP303=""),"",計分!$AP303-計分!AF303)</f>
        <v/>
      </c>
      <c r="AG303">
        <f>IF(OR(計分!AG303="",計分!$AP303=""),"",計分!$AP303-計分!AG303)</f>
        <v/>
      </c>
      <c r="AH303">
        <f>IF(OR(計分!AH303="",計分!$AP303=""),"",計分!$AP303-計分!AH303)</f>
        <v/>
      </c>
      <c r="AI303">
        <f>IF(OR(計分!AI303="",計分!$AP303=""),"",計分!$AP303-計分!AI303)</f>
        <v/>
      </c>
      <c r="AJ303">
        <f>IF(OR(計分!AJ303="",計分!$AP303=""),"",計分!$AP303-計分!AJ303)</f>
        <v/>
      </c>
      <c r="AK303">
        <f>IF(OR(計分!AK303="",計分!$AP303=""),"",計分!$AP303-計分!AK303)</f>
        <v/>
      </c>
      <c r="AL303">
        <f>IF(OR(計分!AL303="",計分!$AP303=""),"",計分!$AP303-計分!AL303)</f>
        <v/>
      </c>
      <c r="AM303">
        <f>IF(OR(計分!AM303="",計分!$AP303=""),"",計分!$AP303-計分!AM303)</f>
        <v/>
      </c>
      <c r="AN303">
        <f>IF(OR(計分!AN303="",計分!$AP303=""),"",計分!$AP303-計分!AN303)</f>
        <v/>
      </c>
      <c r="AO303">
        <f>IF(OR(計分!AO303="",計分!$AP303=""),"",計分!$AP303-計分!AO303)</f>
        <v/>
      </c>
    </row>
    <row r="304">
      <c r="A304">
        <f>計分!A304</f>
        <v/>
      </c>
      <c r="B304">
        <f>IF(OR(計分!B304="",計分!$AP304=""),"",計分!$AP304-計分!B304)</f>
        <v/>
      </c>
      <c r="C304">
        <f>IF(OR(計分!C304="",計分!$AP304=""),"",計分!$AP304-計分!C304)</f>
        <v/>
      </c>
      <c r="D304">
        <f>IF(OR(計分!D304="",計分!$AP304=""),"",計分!$AP304-計分!D304)</f>
        <v/>
      </c>
      <c r="E304">
        <f>IF(OR(計分!E304="",計分!$AP304=""),"",計分!$AP304-計分!E304)</f>
        <v/>
      </c>
      <c r="F304">
        <f>IF(OR(計分!F304="",計分!$AP304=""),"",計分!$AP304-計分!F304)</f>
        <v/>
      </c>
      <c r="G304">
        <f>IF(OR(計分!G304="",計分!$AP304=""),"",計分!$AP304-計分!G304)</f>
        <v/>
      </c>
      <c r="H304">
        <f>IF(OR(計分!H304="",計分!$AP304=""),"",計分!$AP304-計分!H304)</f>
        <v/>
      </c>
      <c r="I304">
        <f>IF(OR(計分!I304="",計分!$AP304=""),"",計分!$AP304-計分!I304)</f>
        <v/>
      </c>
      <c r="J304">
        <f>IF(OR(計分!J304="",計分!$AP304=""),"",計分!$AP304-計分!J304)</f>
        <v/>
      </c>
      <c r="K304">
        <f>IF(OR(計分!K304="",計分!$AP304=""),"",計分!$AP304-計分!K304)</f>
        <v/>
      </c>
      <c r="L304">
        <f>IF(OR(計分!L304="",計分!$AP304=""),"",計分!$AP304-計分!L304)</f>
        <v/>
      </c>
      <c r="M304">
        <f>IF(OR(計分!M304="",計分!$AP304=""),"",計分!$AP304-計分!M304)</f>
        <v/>
      </c>
      <c r="N304">
        <f>IF(OR(計分!N304="",計分!$AP304=""),"",計分!$AP304-計分!N304)</f>
        <v/>
      </c>
      <c r="O304">
        <f>IF(OR(計分!O304="",計分!$AP304=""),"",計分!$AP304-計分!O304)</f>
        <v/>
      </c>
      <c r="P304">
        <f>IF(OR(計分!P304="",計分!$AP304=""),"",計分!$AP304-計分!P304)</f>
        <v/>
      </c>
      <c r="Q304">
        <f>IF(OR(計分!Q304="",計分!$AP304=""),"",計分!$AP304-計分!Q304)</f>
        <v/>
      </c>
      <c r="R304">
        <f>IF(OR(計分!R304="",計分!$AP304=""),"",計分!$AP304-計分!R304)</f>
        <v/>
      </c>
      <c r="S304">
        <f>IF(OR(計分!S304="",計分!$AP304=""),"",計分!$AP304-計分!S304)</f>
        <v/>
      </c>
      <c r="T304">
        <f>IF(OR(計分!T304="",計分!$AP304=""),"",計分!$AP304-計分!T304)</f>
        <v/>
      </c>
      <c r="U304">
        <f>IF(OR(計分!U304="",計分!$AP304=""),"",計分!$AP304-計分!U304)</f>
        <v/>
      </c>
      <c r="V304">
        <f>IF(OR(計分!V304="",計分!$AP304=""),"",計分!$AP304-計分!V304)</f>
        <v/>
      </c>
      <c r="W304">
        <f>IF(OR(計分!W304="",計分!$AP304=""),"",計分!$AP304-計分!W304)</f>
        <v/>
      </c>
      <c r="X304">
        <f>IF(OR(計分!X304="",計分!$AP304=""),"",計分!$AP304-計分!X304)</f>
        <v/>
      </c>
      <c r="Y304">
        <f>IF(OR(計分!Y304="",計分!$AP304=""),"",計分!$AP304-計分!Y304)</f>
        <v/>
      </c>
      <c r="Z304">
        <f>IF(OR(計分!Z304="",計分!$AP304=""),"",計分!$AP304-計分!Z304)</f>
        <v/>
      </c>
      <c r="AA304">
        <f>IF(OR(計分!AA304="",計分!$AP304=""),"",計分!$AP304-計分!AA304)</f>
        <v/>
      </c>
      <c r="AB304">
        <f>IF(OR(計分!AB304="",計分!$AP304=""),"",計分!$AP304-計分!AB304)</f>
        <v/>
      </c>
      <c r="AC304">
        <f>IF(OR(計分!AC304="",計分!$AP304=""),"",計分!$AP304-計分!AC304)</f>
        <v/>
      </c>
      <c r="AD304">
        <f>IF(OR(計分!AD304="",計分!$AP304=""),"",計分!$AP304-計分!AD304)</f>
        <v/>
      </c>
      <c r="AE304">
        <f>IF(OR(計分!AE304="",計分!$AP304=""),"",計分!$AP304-計分!AE304)</f>
        <v/>
      </c>
      <c r="AF304">
        <f>IF(OR(計分!AF304="",計分!$AP304=""),"",計分!$AP304-計分!AF304)</f>
        <v/>
      </c>
      <c r="AG304">
        <f>IF(OR(計分!AG304="",計分!$AP304=""),"",計分!$AP304-計分!AG304)</f>
        <v/>
      </c>
      <c r="AH304">
        <f>IF(OR(計分!AH304="",計分!$AP304=""),"",計分!$AP304-計分!AH304)</f>
        <v/>
      </c>
      <c r="AI304">
        <f>IF(OR(計分!AI304="",計分!$AP304=""),"",計分!$AP304-計分!AI304)</f>
        <v/>
      </c>
      <c r="AJ304">
        <f>IF(OR(計分!AJ304="",計分!$AP304=""),"",計分!$AP304-計分!AJ304)</f>
        <v/>
      </c>
      <c r="AK304">
        <f>IF(OR(計分!AK304="",計分!$AP304=""),"",計分!$AP304-計分!AK304)</f>
        <v/>
      </c>
      <c r="AL304">
        <f>IF(OR(計分!AL304="",計分!$AP304=""),"",計分!$AP304-計分!AL304)</f>
        <v/>
      </c>
      <c r="AM304">
        <f>IF(OR(計分!AM304="",計分!$AP304=""),"",計分!$AP304-計分!AM304)</f>
        <v/>
      </c>
      <c r="AN304">
        <f>IF(OR(計分!AN304="",計分!$AP304=""),"",計分!$AP304-計分!AN304)</f>
        <v/>
      </c>
      <c r="AO304">
        <f>IF(OR(計分!AO304="",計分!$AP304=""),"",計分!$AP304-計分!AO304)</f>
        <v/>
      </c>
    </row>
    <row r="305">
      <c r="A305">
        <f>計分!A305</f>
        <v/>
      </c>
      <c r="B305">
        <f>IF(OR(計分!B305="",計分!$AP305=""),"",計分!$AP305-計分!B305)</f>
        <v/>
      </c>
      <c r="C305">
        <f>IF(OR(計分!C305="",計分!$AP305=""),"",計分!$AP305-計分!C305)</f>
        <v/>
      </c>
      <c r="D305">
        <f>IF(OR(計分!D305="",計分!$AP305=""),"",計分!$AP305-計分!D305)</f>
        <v/>
      </c>
      <c r="E305">
        <f>IF(OR(計分!E305="",計分!$AP305=""),"",計分!$AP305-計分!E305)</f>
        <v/>
      </c>
      <c r="F305">
        <f>IF(OR(計分!F305="",計分!$AP305=""),"",計分!$AP305-計分!F305)</f>
        <v/>
      </c>
      <c r="G305">
        <f>IF(OR(計分!G305="",計分!$AP305=""),"",計分!$AP305-計分!G305)</f>
        <v/>
      </c>
      <c r="H305">
        <f>IF(OR(計分!H305="",計分!$AP305=""),"",計分!$AP305-計分!H305)</f>
        <v/>
      </c>
      <c r="I305">
        <f>IF(OR(計分!I305="",計分!$AP305=""),"",計分!$AP305-計分!I305)</f>
        <v/>
      </c>
      <c r="J305">
        <f>IF(OR(計分!J305="",計分!$AP305=""),"",計分!$AP305-計分!J305)</f>
        <v/>
      </c>
      <c r="K305">
        <f>IF(OR(計分!K305="",計分!$AP305=""),"",計分!$AP305-計分!K305)</f>
        <v/>
      </c>
      <c r="L305">
        <f>IF(OR(計分!L305="",計分!$AP305=""),"",計分!$AP305-計分!L305)</f>
        <v/>
      </c>
      <c r="M305">
        <f>IF(OR(計分!M305="",計分!$AP305=""),"",計分!$AP305-計分!M305)</f>
        <v/>
      </c>
      <c r="N305">
        <f>IF(OR(計分!N305="",計分!$AP305=""),"",計分!$AP305-計分!N305)</f>
        <v/>
      </c>
      <c r="O305">
        <f>IF(OR(計分!O305="",計分!$AP305=""),"",計分!$AP305-計分!O305)</f>
        <v/>
      </c>
      <c r="P305">
        <f>IF(OR(計分!P305="",計分!$AP305=""),"",計分!$AP305-計分!P305)</f>
        <v/>
      </c>
      <c r="Q305">
        <f>IF(OR(計分!Q305="",計分!$AP305=""),"",計分!$AP305-計分!Q305)</f>
        <v/>
      </c>
      <c r="R305">
        <f>IF(OR(計分!R305="",計分!$AP305=""),"",計分!$AP305-計分!R305)</f>
        <v/>
      </c>
      <c r="S305">
        <f>IF(OR(計分!S305="",計分!$AP305=""),"",計分!$AP305-計分!S305)</f>
        <v/>
      </c>
      <c r="T305">
        <f>IF(OR(計分!T305="",計分!$AP305=""),"",計分!$AP305-計分!T305)</f>
        <v/>
      </c>
      <c r="U305">
        <f>IF(OR(計分!U305="",計分!$AP305=""),"",計分!$AP305-計分!U305)</f>
        <v/>
      </c>
      <c r="V305">
        <f>IF(OR(計分!V305="",計分!$AP305=""),"",計分!$AP305-計分!V305)</f>
        <v/>
      </c>
      <c r="W305">
        <f>IF(OR(計分!W305="",計分!$AP305=""),"",計分!$AP305-計分!W305)</f>
        <v/>
      </c>
      <c r="X305">
        <f>IF(OR(計分!X305="",計分!$AP305=""),"",計分!$AP305-計分!X305)</f>
        <v/>
      </c>
      <c r="Y305">
        <f>IF(OR(計分!Y305="",計分!$AP305=""),"",計分!$AP305-計分!Y305)</f>
        <v/>
      </c>
      <c r="Z305">
        <f>IF(OR(計分!Z305="",計分!$AP305=""),"",計分!$AP305-計分!Z305)</f>
        <v/>
      </c>
      <c r="AA305">
        <f>IF(OR(計分!AA305="",計分!$AP305=""),"",計分!$AP305-計分!AA305)</f>
        <v/>
      </c>
      <c r="AB305">
        <f>IF(OR(計分!AB305="",計分!$AP305=""),"",計分!$AP305-計分!AB305)</f>
        <v/>
      </c>
      <c r="AC305">
        <f>IF(OR(計分!AC305="",計分!$AP305=""),"",計分!$AP305-計分!AC305)</f>
        <v/>
      </c>
      <c r="AD305">
        <f>IF(OR(計分!AD305="",計分!$AP305=""),"",計分!$AP305-計分!AD305)</f>
        <v/>
      </c>
      <c r="AE305">
        <f>IF(OR(計分!AE305="",計分!$AP305=""),"",計分!$AP305-計分!AE305)</f>
        <v/>
      </c>
      <c r="AF305">
        <f>IF(OR(計分!AF305="",計分!$AP305=""),"",計分!$AP305-計分!AF305)</f>
        <v/>
      </c>
      <c r="AG305">
        <f>IF(OR(計分!AG305="",計分!$AP305=""),"",計分!$AP305-計分!AG305)</f>
        <v/>
      </c>
      <c r="AH305">
        <f>IF(OR(計分!AH305="",計分!$AP305=""),"",計分!$AP305-計分!AH305)</f>
        <v/>
      </c>
      <c r="AI305">
        <f>IF(OR(計分!AI305="",計分!$AP305=""),"",計分!$AP305-計分!AI305)</f>
        <v/>
      </c>
      <c r="AJ305">
        <f>IF(OR(計分!AJ305="",計分!$AP305=""),"",計分!$AP305-計分!AJ305)</f>
        <v/>
      </c>
      <c r="AK305">
        <f>IF(OR(計分!AK305="",計分!$AP305=""),"",計分!$AP305-計分!AK305)</f>
        <v/>
      </c>
      <c r="AL305">
        <f>IF(OR(計分!AL305="",計分!$AP305=""),"",計分!$AP305-計分!AL305)</f>
        <v/>
      </c>
      <c r="AM305">
        <f>IF(OR(計分!AM305="",計分!$AP305=""),"",計分!$AP305-計分!AM305)</f>
        <v/>
      </c>
      <c r="AN305">
        <f>IF(OR(計分!AN305="",計分!$AP305=""),"",計分!$AP305-計分!AN305)</f>
        <v/>
      </c>
      <c r="AO305">
        <f>IF(OR(計分!AO305="",計分!$AP305=""),"",計分!$AP305-計分!AO305)</f>
        <v/>
      </c>
    </row>
    <row r="306">
      <c r="A306">
        <f>計分!A306</f>
        <v/>
      </c>
      <c r="B306">
        <f>IF(OR(計分!B306="",計分!$AP306=""),"",計分!$AP306-計分!B306)</f>
        <v/>
      </c>
      <c r="C306">
        <f>IF(OR(計分!C306="",計分!$AP306=""),"",計分!$AP306-計分!C306)</f>
        <v/>
      </c>
      <c r="D306">
        <f>IF(OR(計分!D306="",計分!$AP306=""),"",計分!$AP306-計分!D306)</f>
        <v/>
      </c>
      <c r="E306">
        <f>IF(OR(計分!E306="",計分!$AP306=""),"",計分!$AP306-計分!E306)</f>
        <v/>
      </c>
      <c r="F306">
        <f>IF(OR(計分!F306="",計分!$AP306=""),"",計分!$AP306-計分!F306)</f>
        <v/>
      </c>
      <c r="G306">
        <f>IF(OR(計分!G306="",計分!$AP306=""),"",計分!$AP306-計分!G306)</f>
        <v/>
      </c>
      <c r="H306">
        <f>IF(OR(計分!H306="",計分!$AP306=""),"",計分!$AP306-計分!H306)</f>
        <v/>
      </c>
      <c r="I306">
        <f>IF(OR(計分!I306="",計分!$AP306=""),"",計分!$AP306-計分!I306)</f>
        <v/>
      </c>
      <c r="J306">
        <f>IF(OR(計分!J306="",計分!$AP306=""),"",計分!$AP306-計分!J306)</f>
        <v/>
      </c>
      <c r="K306">
        <f>IF(OR(計分!K306="",計分!$AP306=""),"",計分!$AP306-計分!K306)</f>
        <v/>
      </c>
      <c r="L306">
        <f>IF(OR(計分!L306="",計分!$AP306=""),"",計分!$AP306-計分!L306)</f>
        <v/>
      </c>
      <c r="M306">
        <f>IF(OR(計分!M306="",計分!$AP306=""),"",計分!$AP306-計分!M306)</f>
        <v/>
      </c>
      <c r="N306">
        <f>IF(OR(計分!N306="",計分!$AP306=""),"",計分!$AP306-計分!N306)</f>
        <v/>
      </c>
      <c r="O306">
        <f>IF(OR(計分!O306="",計分!$AP306=""),"",計分!$AP306-計分!O306)</f>
        <v/>
      </c>
      <c r="P306">
        <f>IF(OR(計分!P306="",計分!$AP306=""),"",計分!$AP306-計分!P306)</f>
        <v/>
      </c>
      <c r="Q306">
        <f>IF(OR(計分!Q306="",計分!$AP306=""),"",計分!$AP306-計分!Q306)</f>
        <v/>
      </c>
      <c r="R306">
        <f>IF(OR(計分!R306="",計分!$AP306=""),"",計分!$AP306-計分!R306)</f>
        <v/>
      </c>
      <c r="S306">
        <f>IF(OR(計分!S306="",計分!$AP306=""),"",計分!$AP306-計分!S306)</f>
        <v/>
      </c>
      <c r="T306">
        <f>IF(OR(計分!T306="",計分!$AP306=""),"",計分!$AP306-計分!T306)</f>
        <v/>
      </c>
      <c r="U306">
        <f>IF(OR(計分!U306="",計分!$AP306=""),"",計分!$AP306-計分!U306)</f>
        <v/>
      </c>
      <c r="V306">
        <f>IF(OR(計分!V306="",計分!$AP306=""),"",計分!$AP306-計分!V306)</f>
        <v/>
      </c>
      <c r="W306">
        <f>IF(OR(計分!W306="",計分!$AP306=""),"",計分!$AP306-計分!W306)</f>
        <v/>
      </c>
      <c r="X306">
        <f>IF(OR(計分!X306="",計分!$AP306=""),"",計分!$AP306-計分!X306)</f>
        <v/>
      </c>
      <c r="Y306">
        <f>IF(OR(計分!Y306="",計分!$AP306=""),"",計分!$AP306-計分!Y306)</f>
        <v/>
      </c>
      <c r="Z306">
        <f>IF(OR(計分!Z306="",計分!$AP306=""),"",計分!$AP306-計分!Z306)</f>
        <v/>
      </c>
      <c r="AA306">
        <f>IF(OR(計分!AA306="",計分!$AP306=""),"",計分!$AP306-計分!AA306)</f>
        <v/>
      </c>
      <c r="AB306">
        <f>IF(OR(計分!AB306="",計分!$AP306=""),"",計分!$AP306-計分!AB306)</f>
        <v/>
      </c>
      <c r="AC306">
        <f>IF(OR(計分!AC306="",計分!$AP306=""),"",計分!$AP306-計分!AC306)</f>
        <v/>
      </c>
      <c r="AD306">
        <f>IF(OR(計分!AD306="",計分!$AP306=""),"",計分!$AP306-計分!AD306)</f>
        <v/>
      </c>
      <c r="AE306">
        <f>IF(OR(計分!AE306="",計分!$AP306=""),"",計分!$AP306-計分!AE306)</f>
        <v/>
      </c>
      <c r="AF306">
        <f>IF(OR(計分!AF306="",計分!$AP306=""),"",計分!$AP306-計分!AF306)</f>
        <v/>
      </c>
      <c r="AG306">
        <f>IF(OR(計分!AG306="",計分!$AP306=""),"",計分!$AP306-計分!AG306)</f>
        <v/>
      </c>
      <c r="AH306">
        <f>IF(OR(計分!AH306="",計分!$AP306=""),"",計分!$AP306-計分!AH306)</f>
        <v/>
      </c>
      <c r="AI306">
        <f>IF(OR(計分!AI306="",計分!$AP306=""),"",計分!$AP306-計分!AI306)</f>
        <v/>
      </c>
      <c r="AJ306">
        <f>IF(OR(計分!AJ306="",計分!$AP306=""),"",計分!$AP306-計分!AJ306)</f>
        <v/>
      </c>
      <c r="AK306">
        <f>IF(OR(計分!AK306="",計分!$AP306=""),"",計分!$AP306-計分!AK306)</f>
        <v/>
      </c>
      <c r="AL306">
        <f>IF(OR(計分!AL306="",計分!$AP306=""),"",計分!$AP306-計分!AL306)</f>
        <v/>
      </c>
      <c r="AM306">
        <f>IF(OR(計分!AM306="",計分!$AP306=""),"",計分!$AP306-計分!AM306)</f>
        <v/>
      </c>
      <c r="AN306">
        <f>IF(OR(計分!AN306="",計分!$AP306=""),"",計分!$AP306-計分!AN306)</f>
        <v/>
      </c>
      <c r="AO306">
        <f>IF(OR(計分!AO306="",計分!$AP306=""),"",計分!$AP306-計分!AO306)</f>
        <v/>
      </c>
    </row>
    <row r="307">
      <c r="A307">
        <f>計分!A307</f>
        <v/>
      </c>
      <c r="B307">
        <f>IF(OR(計分!B307="",計分!$AP307=""),"",計分!$AP307-計分!B307)</f>
        <v/>
      </c>
      <c r="C307">
        <f>IF(OR(計分!C307="",計分!$AP307=""),"",計分!$AP307-計分!C307)</f>
        <v/>
      </c>
      <c r="D307">
        <f>IF(OR(計分!D307="",計分!$AP307=""),"",計分!$AP307-計分!D307)</f>
        <v/>
      </c>
      <c r="E307">
        <f>IF(OR(計分!E307="",計分!$AP307=""),"",計分!$AP307-計分!E307)</f>
        <v/>
      </c>
      <c r="F307">
        <f>IF(OR(計分!F307="",計分!$AP307=""),"",計分!$AP307-計分!F307)</f>
        <v/>
      </c>
      <c r="G307">
        <f>IF(OR(計分!G307="",計分!$AP307=""),"",計分!$AP307-計分!G307)</f>
        <v/>
      </c>
      <c r="H307">
        <f>IF(OR(計分!H307="",計分!$AP307=""),"",計分!$AP307-計分!H307)</f>
        <v/>
      </c>
      <c r="I307">
        <f>IF(OR(計分!I307="",計分!$AP307=""),"",計分!$AP307-計分!I307)</f>
        <v/>
      </c>
      <c r="J307">
        <f>IF(OR(計分!J307="",計分!$AP307=""),"",計分!$AP307-計分!J307)</f>
        <v/>
      </c>
      <c r="K307">
        <f>IF(OR(計分!K307="",計分!$AP307=""),"",計分!$AP307-計分!K307)</f>
        <v/>
      </c>
      <c r="L307">
        <f>IF(OR(計分!L307="",計分!$AP307=""),"",計分!$AP307-計分!L307)</f>
        <v/>
      </c>
      <c r="M307">
        <f>IF(OR(計分!M307="",計分!$AP307=""),"",計分!$AP307-計分!M307)</f>
        <v/>
      </c>
      <c r="N307">
        <f>IF(OR(計分!N307="",計分!$AP307=""),"",計分!$AP307-計分!N307)</f>
        <v/>
      </c>
      <c r="O307">
        <f>IF(OR(計分!O307="",計分!$AP307=""),"",計分!$AP307-計分!O307)</f>
        <v/>
      </c>
      <c r="P307">
        <f>IF(OR(計分!P307="",計分!$AP307=""),"",計分!$AP307-計分!P307)</f>
        <v/>
      </c>
      <c r="Q307">
        <f>IF(OR(計分!Q307="",計分!$AP307=""),"",計分!$AP307-計分!Q307)</f>
        <v/>
      </c>
      <c r="R307">
        <f>IF(OR(計分!R307="",計分!$AP307=""),"",計分!$AP307-計分!R307)</f>
        <v/>
      </c>
      <c r="S307">
        <f>IF(OR(計分!S307="",計分!$AP307=""),"",計分!$AP307-計分!S307)</f>
        <v/>
      </c>
      <c r="T307">
        <f>IF(OR(計分!T307="",計分!$AP307=""),"",計分!$AP307-計分!T307)</f>
        <v/>
      </c>
      <c r="U307">
        <f>IF(OR(計分!U307="",計分!$AP307=""),"",計分!$AP307-計分!U307)</f>
        <v/>
      </c>
      <c r="V307">
        <f>IF(OR(計分!V307="",計分!$AP307=""),"",計分!$AP307-計分!V307)</f>
        <v/>
      </c>
      <c r="W307">
        <f>IF(OR(計分!W307="",計分!$AP307=""),"",計分!$AP307-計分!W307)</f>
        <v/>
      </c>
      <c r="X307">
        <f>IF(OR(計分!X307="",計分!$AP307=""),"",計分!$AP307-計分!X307)</f>
        <v/>
      </c>
      <c r="Y307">
        <f>IF(OR(計分!Y307="",計分!$AP307=""),"",計分!$AP307-計分!Y307)</f>
        <v/>
      </c>
      <c r="Z307">
        <f>IF(OR(計分!Z307="",計分!$AP307=""),"",計分!$AP307-計分!Z307)</f>
        <v/>
      </c>
      <c r="AA307">
        <f>IF(OR(計分!AA307="",計分!$AP307=""),"",計分!$AP307-計分!AA307)</f>
        <v/>
      </c>
      <c r="AB307">
        <f>IF(OR(計分!AB307="",計分!$AP307=""),"",計分!$AP307-計分!AB307)</f>
        <v/>
      </c>
      <c r="AC307">
        <f>IF(OR(計分!AC307="",計分!$AP307=""),"",計分!$AP307-計分!AC307)</f>
        <v/>
      </c>
      <c r="AD307">
        <f>IF(OR(計分!AD307="",計分!$AP307=""),"",計分!$AP307-計分!AD307)</f>
        <v/>
      </c>
      <c r="AE307">
        <f>IF(OR(計分!AE307="",計分!$AP307=""),"",計分!$AP307-計分!AE307)</f>
        <v/>
      </c>
      <c r="AF307">
        <f>IF(OR(計分!AF307="",計分!$AP307=""),"",計分!$AP307-計分!AF307)</f>
        <v/>
      </c>
      <c r="AG307">
        <f>IF(OR(計分!AG307="",計分!$AP307=""),"",計分!$AP307-計分!AG307)</f>
        <v/>
      </c>
      <c r="AH307">
        <f>IF(OR(計分!AH307="",計分!$AP307=""),"",計分!$AP307-計分!AH307)</f>
        <v/>
      </c>
      <c r="AI307">
        <f>IF(OR(計分!AI307="",計分!$AP307=""),"",計分!$AP307-計分!AI307)</f>
        <v/>
      </c>
      <c r="AJ307">
        <f>IF(OR(計分!AJ307="",計分!$AP307=""),"",計分!$AP307-計分!AJ307)</f>
        <v/>
      </c>
      <c r="AK307">
        <f>IF(OR(計分!AK307="",計分!$AP307=""),"",計分!$AP307-計分!AK307)</f>
        <v/>
      </c>
      <c r="AL307">
        <f>IF(OR(計分!AL307="",計分!$AP307=""),"",計分!$AP307-計分!AL307)</f>
        <v/>
      </c>
      <c r="AM307">
        <f>IF(OR(計分!AM307="",計分!$AP307=""),"",計分!$AP307-計分!AM307)</f>
        <v/>
      </c>
      <c r="AN307">
        <f>IF(OR(計分!AN307="",計分!$AP307=""),"",計分!$AP307-計分!AN307)</f>
        <v/>
      </c>
      <c r="AO307">
        <f>IF(OR(計分!AO307="",計分!$AP307=""),"",計分!$AP307-計分!AO307)</f>
        <v/>
      </c>
    </row>
    <row r="308">
      <c r="A308">
        <f>計分!A308</f>
        <v/>
      </c>
      <c r="B308">
        <f>IF(OR(計分!B308="",計分!$AP308=""),"",計分!$AP308-計分!B308)</f>
        <v/>
      </c>
      <c r="C308">
        <f>IF(OR(計分!C308="",計分!$AP308=""),"",計分!$AP308-計分!C308)</f>
        <v/>
      </c>
      <c r="D308">
        <f>IF(OR(計分!D308="",計分!$AP308=""),"",計分!$AP308-計分!D308)</f>
        <v/>
      </c>
      <c r="E308">
        <f>IF(OR(計分!E308="",計分!$AP308=""),"",計分!$AP308-計分!E308)</f>
        <v/>
      </c>
      <c r="F308">
        <f>IF(OR(計分!F308="",計分!$AP308=""),"",計分!$AP308-計分!F308)</f>
        <v/>
      </c>
      <c r="G308">
        <f>IF(OR(計分!G308="",計分!$AP308=""),"",計分!$AP308-計分!G308)</f>
        <v/>
      </c>
      <c r="H308">
        <f>IF(OR(計分!H308="",計分!$AP308=""),"",計分!$AP308-計分!H308)</f>
        <v/>
      </c>
      <c r="I308">
        <f>IF(OR(計分!I308="",計分!$AP308=""),"",計分!$AP308-計分!I308)</f>
        <v/>
      </c>
      <c r="J308">
        <f>IF(OR(計分!J308="",計分!$AP308=""),"",計分!$AP308-計分!J308)</f>
        <v/>
      </c>
      <c r="K308">
        <f>IF(OR(計分!K308="",計分!$AP308=""),"",計分!$AP308-計分!K308)</f>
        <v/>
      </c>
      <c r="L308">
        <f>IF(OR(計分!L308="",計分!$AP308=""),"",計分!$AP308-計分!L308)</f>
        <v/>
      </c>
      <c r="M308">
        <f>IF(OR(計分!M308="",計分!$AP308=""),"",計分!$AP308-計分!M308)</f>
        <v/>
      </c>
      <c r="N308">
        <f>IF(OR(計分!N308="",計分!$AP308=""),"",計分!$AP308-計分!N308)</f>
        <v/>
      </c>
      <c r="O308">
        <f>IF(OR(計分!O308="",計分!$AP308=""),"",計分!$AP308-計分!O308)</f>
        <v/>
      </c>
      <c r="P308">
        <f>IF(OR(計分!P308="",計分!$AP308=""),"",計分!$AP308-計分!P308)</f>
        <v/>
      </c>
      <c r="Q308">
        <f>IF(OR(計分!Q308="",計分!$AP308=""),"",計分!$AP308-計分!Q308)</f>
        <v/>
      </c>
      <c r="R308">
        <f>IF(OR(計分!R308="",計分!$AP308=""),"",計分!$AP308-計分!R308)</f>
        <v/>
      </c>
      <c r="S308">
        <f>IF(OR(計分!S308="",計分!$AP308=""),"",計分!$AP308-計分!S308)</f>
        <v/>
      </c>
      <c r="T308">
        <f>IF(OR(計分!T308="",計分!$AP308=""),"",計分!$AP308-計分!T308)</f>
        <v/>
      </c>
      <c r="U308">
        <f>IF(OR(計分!U308="",計分!$AP308=""),"",計分!$AP308-計分!U308)</f>
        <v/>
      </c>
      <c r="V308">
        <f>IF(OR(計分!V308="",計分!$AP308=""),"",計分!$AP308-計分!V308)</f>
        <v/>
      </c>
      <c r="W308">
        <f>IF(OR(計分!W308="",計分!$AP308=""),"",計分!$AP308-計分!W308)</f>
        <v/>
      </c>
      <c r="X308">
        <f>IF(OR(計分!X308="",計分!$AP308=""),"",計分!$AP308-計分!X308)</f>
        <v/>
      </c>
      <c r="Y308">
        <f>IF(OR(計分!Y308="",計分!$AP308=""),"",計分!$AP308-計分!Y308)</f>
        <v/>
      </c>
      <c r="Z308">
        <f>IF(OR(計分!Z308="",計分!$AP308=""),"",計分!$AP308-計分!Z308)</f>
        <v/>
      </c>
      <c r="AA308">
        <f>IF(OR(計分!AA308="",計分!$AP308=""),"",計分!$AP308-計分!AA308)</f>
        <v/>
      </c>
      <c r="AB308">
        <f>IF(OR(計分!AB308="",計分!$AP308=""),"",計分!$AP308-計分!AB308)</f>
        <v/>
      </c>
      <c r="AC308">
        <f>IF(OR(計分!AC308="",計分!$AP308=""),"",計分!$AP308-計分!AC308)</f>
        <v/>
      </c>
      <c r="AD308">
        <f>IF(OR(計分!AD308="",計分!$AP308=""),"",計分!$AP308-計分!AD308)</f>
        <v/>
      </c>
      <c r="AE308">
        <f>IF(OR(計分!AE308="",計分!$AP308=""),"",計分!$AP308-計分!AE308)</f>
        <v/>
      </c>
      <c r="AF308">
        <f>IF(OR(計分!AF308="",計分!$AP308=""),"",計分!$AP308-計分!AF308)</f>
        <v/>
      </c>
      <c r="AG308">
        <f>IF(OR(計分!AG308="",計分!$AP308=""),"",計分!$AP308-計分!AG308)</f>
        <v/>
      </c>
      <c r="AH308">
        <f>IF(OR(計分!AH308="",計分!$AP308=""),"",計分!$AP308-計分!AH308)</f>
        <v/>
      </c>
      <c r="AI308">
        <f>IF(OR(計分!AI308="",計分!$AP308=""),"",計分!$AP308-計分!AI308)</f>
        <v/>
      </c>
      <c r="AJ308">
        <f>IF(OR(計分!AJ308="",計分!$AP308=""),"",計分!$AP308-計分!AJ308)</f>
        <v/>
      </c>
      <c r="AK308">
        <f>IF(OR(計分!AK308="",計分!$AP308=""),"",計分!$AP308-計分!AK308)</f>
        <v/>
      </c>
      <c r="AL308">
        <f>IF(OR(計分!AL308="",計分!$AP308=""),"",計分!$AP308-計分!AL308)</f>
        <v/>
      </c>
      <c r="AM308">
        <f>IF(OR(計分!AM308="",計分!$AP308=""),"",計分!$AP308-計分!AM308)</f>
        <v/>
      </c>
      <c r="AN308">
        <f>IF(OR(計分!AN308="",計分!$AP308=""),"",計分!$AP308-計分!AN308)</f>
        <v/>
      </c>
      <c r="AO308">
        <f>IF(OR(計分!AO308="",計分!$AP308=""),"",計分!$AP308-計分!AO308)</f>
        <v/>
      </c>
    </row>
    <row r="309">
      <c r="A309">
        <f>計分!A309</f>
        <v/>
      </c>
      <c r="B309">
        <f>IF(OR(計分!B309="",計分!$AP309=""),"",計分!$AP309-計分!B309)</f>
        <v/>
      </c>
      <c r="C309">
        <f>IF(OR(計分!C309="",計分!$AP309=""),"",計分!$AP309-計分!C309)</f>
        <v/>
      </c>
      <c r="D309">
        <f>IF(OR(計分!D309="",計分!$AP309=""),"",計分!$AP309-計分!D309)</f>
        <v/>
      </c>
      <c r="E309">
        <f>IF(OR(計分!E309="",計分!$AP309=""),"",計分!$AP309-計分!E309)</f>
        <v/>
      </c>
      <c r="F309">
        <f>IF(OR(計分!F309="",計分!$AP309=""),"",計分!$AP309-計分!F309)</f>
        <v/>
      </c>
      <c r="G309">
        <f>IF(OR(計分!G309="",計分!$AP309=""),"",計分!$AP309-計分!G309)</f>
        <v/>
      </c>
      <c r="H309">
        <f>IF(OR(計分!H309="",計分!$AP309=""),"",計分!$AP309-計分!H309)</f>
        <v/>
      </c>
      <c r="I309">
        <f>IF(OR(計分!I309="",計分!$AP309=""),"",計分!$AP309-計分!I309)</f>
        <v/>
      </c>
      <c r="J309">
        <f>IF(OR(計分!J309="",計分!$AP309=""),"",計分!$AP309-計分!J309)</f>
        <v/>
      </c>
      <c r="K309">
        <f>IF(OR(計分!K309="",計分!$AP309=""),"",計分!$AP309-計分!K309)</f>
        <v/>
      </c>
      <c r="L309">
        <f>IF(OR(計分!L309="",計分!$AP309=""),"",計分!$AP309-計分!L309)</f>
        <v/>
      </c>
      <c r="M309">
        <f>IF(OR(計分!M309="",計分!$AP309=""),"",計分!$AP309-計分!M309)</f>
        <v/>
      </c>
      <c r="N309">
        <f>IF(OR(計分!N309="",計分!$AP309=""),"",計分!$AP309-計分!N309)</f>
        <v/>
      </c>
      <c r="O309">
        <f>IF(OR(計分!O309="",計分!$AP309=""),"",計分!$AP309-計分!O309)</f>
        <v/>
      </c>
      <c r="P309">
        <f>IF(OR(計分!P309="",計分!$AP309=""),"",計分!$AP309-計分!P309)</f>
        <v/>
      </c>
      <c r="Q309">
        <f>IF(OR(計分!Q309="",計分!$AP309=""),"",計分!$AP309-計分!Q309)</f>
        <v/>
      </c>
      <c r="R309">
        <f>IF(OR(計分!R309="",計分!$AP309=""),"",計分!$AP309-計分!R309)</f>
        <v/>
      </c>
      <c r="S309">
        <f>IF(OR(計分!S309="",計分!$AP309=""),"",計分!$AP309-計分!S309)</f>
        <v/>
      </c>
      <c r="T309">
        <f>IF(OR(計分!T309="",計分!$AP309=""),"",計分!$AP309-計分!T309)</f>
        <v/>
      </c>
      <c r="U309">
        <f>IF(OR(計分!U309="",計分!$AP309=""),"",計分!$AP309-計分!U309)</f>
        <v/>
      </c>
      <c r="V309">
        <f>IF(OR(計分!V309="",計分!$AP309=""),"",計分!$AP309-計分!V309)</f>
        <v/>
      </c>
      <c r="W309">
        <f>IF(OR(計分!W309="",計分!$AP309=""),"",計分!$AP309-計分!W309)</f>
        <v/>
      </c>
      <c r="X309">
        <f>IF(OR(計分!X309="",計分!$AP309=""),"",計分!$AP309-計分!X309)</f>
        <v/>
      </c>
      <c r="Y309">
        <f>IF(OR(計分!Y309="",計分!$AP309=""),"",計分!$AP309-計分!Y309)</f>
        <v/>
      </c>
      <c r="Z309">
        <f>IF(OR(計分!Z309="",計分!$AP309=""),"",計分!$AP309-計分!Z309)</f>
        <v/>
      </c>
      <c r="AA309">
        <f>IF(OR(計分!AA309="",計分!$AP309=""),"",計分!$AP309-計分!AA309)</f>
        <v/>
      </c>
      <c r="AB309">
        <f>IF(OR(計分!AB309="",計分!$AP309=""),"",計分!$AP309-計分!AB309)</f>
        <v/>
      </c>
      <c r="AC309">
        <f>IF(OR(計分!AC309="",計分!$AP309=""),"",計分!$AP309-計分!AC309)</f>
        <v/>
      </c>
      <c r="AD309">
        <f>IF(OR(計分!AD309="",計分!$AP309=""),"",計分!$AP309-計分!AD309)</f>
        <v/>
      </c>
      <c r="AE309">
        <f>IF(OR(計分!AE309="",計分!$AP309=""),"",計分!$AP309-計分!AE309)</f>
        <v/>
      </c>
      <c r="AF309">
        <f>IF(OR(計分!AF309="",計分!$AP309=""),"",計分!$AP309-計分!AF309)</f>
        <v/>
      </c>
      <c r="AG309">
        <f>IF(OR(計分!AG309="",計分!$AP309=""),"",計分!$AP309-計分!AG309)</f>
        <v/>
      </c>
      <c r="AH309">
        <f>IF(OR(計分!AH309="",計分!$AP309=""),"",計分!$AP309-計分!AH309)</f>
        <v/>
      </c>
      <c r="AI309">
        <f>IF(OR(計分!AI309="",計分!$AP309=""),"",計分!$AP309-計分!AI309)</f>
        <v/>
      </c>
      <c r="AJ309">
        <f>IF(OR(計分!AJ309="",計分!$AP309=""),"",計分!$AP309-計分!AJ309)</f>
        <v/>
      </c>
      <c r="AK309">
        <f>IF(OR(計分!AK309="",計分!$AP309=""),"",計分!$AP309-計分!AK309)</f>
        <v/>
      </c>
      <c r="AL309">
        <f>IF(OR(計分!AL309="",計分!$AP309=""),"",計分!$AP309-計分!AL309)</f>
        <v/>
      </c>
      <c r="AM309">
        <f>IF(OR(計分!AM309="",計分!$AP309=""),"",計分!$AP309-計分!AM309)</f>
        <v/>
      </c>
      <c r="AN309">
        <f>IF(OR(計分!AN309="",計分!$AP309=""),"",計分!$AP309-計分!AN309)</f>
        <v/>
      </c>
      <c r="AO309">
        <f>IF(OR(計分!AO309="",計分!$AP309=""),"",計分!$AP309-計分!AO309)</f>
        <v/>
      </c>
    </row>
    <row r="310">
      <c r="A310">
        <f>計分!A310</f>
        <v/>
      </c>
      <c r="B310">
        <f>IF(OR(計分!B310="",計分!$AP310=""),"",計分!$AP310-計分!B310)</f>
        <v/>
      </c>
      <c r="C310">
        <f>IF(OR(計分!C310="",計分!$AP310=""),"",計分!$AP310-計分!C310)</f>
        <v/>
      </c>
      <c r="D310">
        <f>IF(OR(計分!D310="",計分!$AP310=""),"",計分!$AP310-計分!D310)</f>
        <v/>
      </c>
      <c r="E310">
        <f>IF(OR(計分!E310="",計分!$AP310=""),"",計分!$AP310-計分!E310)</f>
        <v/>
      </c>
      <c r="F310">
        <f>IF(OR(計分!F310="",計分!$AP310=""),"",計分!$AP310-計分!F310)</f>
        <v/>
      </c>
      <c r="G310">
        <f>IF(OR(計分!G310="",計分!$AP310=""),"",計分!$AP310-計分!G310)</f>
        <v/>
      </c>
      <c r="H310">
        <f>IF(OR(計分!H310="",計分!$AP310=""),"",計分!$AP310-計分!H310)</f>
        <v/>
      </c>
      <c r="I310">
        <f>IF(OR(計分!I310="",計分!$AP310=""),"",計分!$AP310-計分!I310)</f>
        <v/>
      </c>
      <c r="J310">
        <f>IF(OR(計分!J310="",計分!$AP310=""),"",計分!$AP310-計分!J310)</f>
        <v/>
      </c>
      <c r="K310">
        <f>IF(OR(計分!K310="",計分!$AP310=""),"",計分!$AP310-計分!K310)</f>
        <v/>
      </c>
      <c r="L310">
        <f>IF(OR(計分!L310="",計分!$AP310=""),"",計分!$AP310-計分!L310)</f>
        <v/>
      </c>
      <c r="M310">
        <f>IF(OR(計分!M310="",計分!$AP310=""),"",計分!$AP310-計分!M310)</f>
        <v/>
      </c>
      <c r="N310">
        <f>IF(OR(計分!N310="",計分!$AP310=""),"",計分!$AP310-計分!N310)</f>
        <v/>
      </c>
      <c r="O310">
        <f>IF(OR(計分!O310="",計分!$AP310=""),"",計分!$AP310-計分!O310)</f>
        <v/>
      </c>
      <c r="P310">
        <f>IF(OR(計分!P310="",計分!$AP310=""),"",計分!$AP310-計分!P310)</f>
        <v/>
      </c>
      <c r="Q310">
        <f>IF(OR(計分!Q310="",計分!$AP310=""),"",計分!$AP310-計分!Q310)</f>
        <v/>
      </c>
      <c r="R310">
        <f>IF(OR(計分!R310="",計分!$AP310=""),"",計分!$AP310-計分!R310)</f>
        <v/>
      </c>
      <c r="S310">
        <f>IF(OR(計分!S310="",計分!$AP310=""),"",計分!$AP310-計分!S310)</f>
        <v/>
      </c>
      <c r="T310">
        <f>IF(OR(計分!T310="",計分!$AP310=""),"",計分!$AP310-計分!T310)</f>
        <v/>
      </c>
      <c r="U310">
        <f>IF(OR(計分!U310="",計分!$AP310=""),"",計分!$AP310-計分!U310)</f>
        <v/>
      </c>
      <c r="V310">
        <f>IF(OR(計分!V310="",計分!$AP310=""),"",計分!$AP310-計分!V310)</f>
        <v/>
      </c>
      <c r="W310">
        <f>IF(OR(計分!W310="",計分!$AP310=""),"",計分!$AP310-計分!W310)</f>
        <v/>
      </c>
      <c r="X310">
        <f>IF(OR(計分!X310="",計分!$AP310=""),"",計分!$AP310-計分!X310)</f>
        <v/>
      </c>
      <c r="Y310">
        <f>IF(OR(計分!Y310="",計分!$AP310=""),"",計分!$AP310-計分!Y310)</f>
        <v/>
      </c>
      <c r="Z310">
        <f>IF(OR(計分!Z310="",計分!$AP310=""),"",計分!$AP310-計分!Z310)</f>
        <v/>
      </c>
      <c r="AA310">
        <f>IF(OR(計分!AA310="",計分!$AP310=""),"",計分!$AP310-計分!AA310)</f>
        <v/>
      </c>
      <c r="AB310">
        <f>IF(OR(計分!AB310="",計分!$AP310=""),"",計分!$AP310-計分!AB310)</f>
        <v/>
      </c>
      <c r="AC310">
        <f>IF(OR(計分!AC310="",計分!$AP310=""),"",計分!$AP310-計分!AC310)</f>
        <v/>
      </c>
      <c r="AD310">
        <f>IF(OR(計分!AD310="",計分!$AP310=""),"",計分!$AP310-計分!AD310)</f>
        <v/>
      </c>
      <c r="AE310">
        <f>IF(OR(計分!AE310="",計分!$AP310=""),"",計分!$AP310-計分!AE310)</f>
        <v/>
      </c>
      <c r="AF310">
        <f>IF(OR(計分!AF310="",計分!$AP310=""),"",計分!$AP310-計分!AF310)</f>
        <v/>
      </c>
      <c r="AG310">
        <f>IF(OR(計分!AG310="",計分!$AP310=""),"",計分!$AP310-計分!AG310)</f>
        <v/>
      </c>
      <c r="AH310">
        <f>IF(OR(計分!AH310="",計分!$AP310=""),"",計分!$AP310-計分!AH310)</f>
        <v/>
      </c>
      <c r="AI310">
        <f>IF(OR(計分!AI310="",計分!$AP310=""),"",計分!$AP310-計分!AI310)</f>
        <v/>
      </c>
      <c r="AJ310">
        <f>IF(OR(計分!AJ310="",計分!$AP310=""),"",計分!$AP310-計分!AJ310)</f>
        <v/>
      </c>
      <c r="AK310">
        <f>IF(OR(計分!AK310="",計分!$AP310=""),"",計分!$AP310-計分!AK310)</f>
        <v/>
      </c>
      <c r="AL310">
        <f>IF(OR(計分!AL310="",計分!$AP310=""),"",計分!$AP310-計分!AL310)</f>
        <v/>
      </c>
      <c r="AM310">
        <f>IF(OR(計分!AM310="",計分!$AP310=""),"",計分!$AP310-計分!AM310)</f>
        <v/>
      </c>
      <c r="AN310">
        <f>IF(OR(計分!AN310="",計分!$AP310=""),"",計分!$AP310-計分!AN310)</f>
        <v/>
      </c>
      <c r="AO310">
        <f>IF(OR(計分!AO310="",計分!$AP310=""),"",計分!$AP310-計分!AO310)</f>
        <v/>
      </c>
    </row>
    <row r="311">
      <c r="A311">
        <f>計分!A311</f>
        <v/>
      </c>
      <c r="B311">
        <f>IF(OR(計分!B311="",計分!$AP311=""),"",計分!$AP311-計分!B311)</f>
        <v/>
      </c>
      <c r="C311">
        <f>IF(OR(計分!C311="",計分!$AP311=""),"",計分!$AP311-計分!C311)</f>
        <v/>
      </c>
      <c r="D311">
        <f>IF(OR(計分!D311="",計分!$AP311=""),"",計分!$AP311-計分!D311)</f>
        <v/>
      </c>
      <c r="E311">
        <f>IF(OR(計分!E311="",計分!$AP311=""),"",計分!$AP311-計分!E311)</f>
        <v/>
      </c>
      <c r="F311">
        <f>IF(OR(計分!F311="",計分!$AP311=""),"",計分!$AP311-計分!F311)</f>
        <v/>
      </c>
      <c r="G311">
        <f>IF(OR(計分!G311="",計分!$AP311=""),"",計分!$AP311-計分!G311)</f>
        <v/>
      </c>
      <c r="H311">
        <f>IF(OR(計分!H311="",計分!$AP311=""),"",計分!$AP311-計分!H311)</f>
        <v/>
      </c>
      <c r="I311">
        <f>IF(OR(計分!I311="",計分!$AP311=""),"",計分!$AP311-計分!I311)</f>
        <v/>
      </c>
      <c r="J311">
        <f>IF(OR(計分!J311="",計分!$AP311=""),"",計分!$AP311-計分!J311)</f>
        <v/>
      </c>
      <c r="K311">
        <f>IF(OR(計分!K311="",計分!$AP311=""),"",計分!$AP311-計分!K311)</f>
        <v/>
      </c>
      <c r="L311">
        <f>IF(OR(計分!L311="",計分!$AP311=""),"",計分!$AP311-計分!L311)</f>
        <v/>
      </c>
      <c r="M311">
        <f>IF(OR(計分!M311="",計分!$AP311=""),"",計分!$AP311-計分!M311)</f>
        <v/>
      </c>
      <c r="N311">
        <f>IF(OR(計分!N311="",計分!$AP311=""),"",計分!$AP311-計分!N311)</f>
        <v/>
      </c>
      <c r="O311">
        <f>IF(OR(計分!O311="",計分!$AP311=""),"",計分!$AP311-計分!O311)</f>
        <v/>
      </c>
      <c r="P311">
        <f>IF(OR(計分!P311="",計分!$AP311=""),"",計分!$AP311-計分!P311)</f>
        <v/>
      </c>
      <c r="Q311">
        <f>IF(OR(計分!Q311="",計分!$AP311=""),"",計分!$AP311-計分!Q311)</f>
        <v/>
      </c>
      <c r="R311">
        <f>IF(OR(計分!R311="",計分!$AP311=""),"",計分!$AP311-計分!R311)</f>
        <v/>
      </c>
      <c r="S311">
        <f>IF(OR(計分!S311="",計分!$AP311=""),"",計分!$AP311-計分!S311)</f>
        <v/>
      </c>
      <c r="T311">
        <f>IF(OR(計分!T311="",計分!$AP311=""),"",計分!$AP311-計分!T311)</f>
        <v/>
      </c>
      <c r="U311">
        <f>IF(OR(計分!U311="",計分!$AP311=""),"",計分!$AP311-計分!U311)</f>
        <v/>
      </c>
      <c r="V311">
        <f>IF(OR(計分!V311="",計分!$AP311=""),"",計分!$AP311-計分!V311)</f>
        <v/>
      </c>
      <c r="W311">
        <f>IF(OR(計分!W311="",計分!$AP311=""),"",計分!$AP311-計分!W311)</f>
        <v/>
      </c>
      <c r="X311">
        <f>IF(OR(計分!X311="",計分!$AP311=""),"",計分!$AP311-計分!X311)</f>
        <v/>
      </c>
      <c r="Y311">
        <f>IF(OR(計分!Y311="",計分!$AP311=""),"",計分!$AP311-計分!Y311)</f>
        <v/>
      </c>
      <c r="Z311">
        <f>IF(OR(計分!Z311="",計分!$AP311=""),"",計分!$AP311-計分!Z311)</f>
        <v/>
      </c>
      <c r="AA311">
        <f>IF(OR(計分!AA311="",計分!$AP311=""),"",計分!$AP311-計分!AA311)</f>
        <v/>
      </c>
      <c r="AB311">
        <f>IF(OR(計分!AB311="",計分!$AP311=""),"",計分!$AP311-計分!AB311)</f>
        <v/>
      </c>
      <c r="AC311">
        <f>IF(OR(計分!AC311="",計分!$AP311=""),"",計分!$AP311-計分!AC311)</f>
        <v/>
      </c>
      <c r="AD311">
        <f>IF(OR(計分!AD311="",計分!$AP311=""),"",計分!$AP311-計分!AD311)</f>
        <v/>
      </c>
      <c r="AE311">
        <f>IF(OR(計分!AE311="",計分!$AP311=""),"",計分!$AP311-計分!AE311)</f>
        <v/>
      </c>
      <c r="AF311">
        <f>IF(OR(計分!AF311="",計分!$AP311=""),"",計分!$AP311-計分!AF311)</f>
        <v/>
      </c>
      <c r="AG311">
        <f>IF(OR(計分!AG311="",計分!$AP311=""),"",計分!$AP311-計分!AG311)</f>
        <v/>
      </c>
      <c r="AH311">
        <f>IF(OR(計分!AH311="",計分!$AP311=""),"",計分!$AP311-計分!AH311)</f>
        <v/>
      </c>
      <c r="AI311">
        <f>IF(OR(計分!AI311="",計分!$AP311=""),"",計分!$AP311-計分!AI311)</f>
        <v/>
      </c>
      <c r="AJ311">
        <f>IF(OR(計分!AJ311="",計分!$AP311=""),"",計分!$AP311-計分!AJ311)</f>
        <v/>
      </c>
      <c r="AK311">
        <f>IF(OR(計分!AK311="",計分!$AP311=""),"",計分!$AP311-計分!AK311)</f>
        <v/>
      </c>
      <c r="AL311">
        <f>IF(OR(計分!AL311="",計分!$AP311=""),"",計分!$AP311-計分!AL311)</f>
        <v/>
      </c>
      <c r="AM311">
        <f>IF(OR(計分!AM311="",計分!$AP311=""),"",計分!$AP311-計分!AM311)</f>
        <v/>
      </c>
      <c r="AN311">
        <f>IF(OR(計分!AN311="",計分!$AP311=""),"",計分!$AP311-計分!AN311)</f>
        <v/>
      </c>
      <c r="AO311">
        <f>IF(OR(計分!AO311="",計分!$AP311=""),"",計分!$AP311-計分!AO311)</f>
        <v/>
      </c>
    </row>
    <row r="312">
      <c r="A312">
        <f>計分!A312</f>
        <v/>
      </c>
      <c r="B312">
        <f>IF(OR(計分!B312="",計分!$AP312=""),"",計分!$AP312-計分!B312)</f>
        <v/>
      </c>
      <c r="C312">
        <f>IF(OR(計分!C312="",計分!$AP312=""),"",計分!$AP312-計分!C312)</f>
        <v/>
      </c>
      <c r="D312">
        <f>IF(OR(計分!D312="",計分!$AP312=""),"",計分!$AP312-計分!D312)</f>
        <v/>
      </c>
      <c r="E312">
        <f>IF(OR(計分!E312="",計分!$AP312=""),"",計分!$AP312-計分!E312)</f>
        <v/>
      </c>
      <c r="F312">
        <f>IF(OR(計分!F312="",計分!$AP312=""),"",計分!$AP312-計分!F312)</f>
        <v/>
      </c>
      <c r="G312">
        <f>IF(OR(計分!G312="",計分!$AP312=""),"",計分!$AP312-計分!G312)</f>
        <v/>
      </c>
      <c r="H312">
        <f>IF(OR(計分!H312="",計分!$AP312=""),"",計分!$AP312-計分!H312)</f>
        <v/>
      </c>
      <c r="I312">
        <f>IF(OR(計分!I312="",計分!$AP312=""),"",計分!$AP312-計分!I312)</f>
        <v/>
      </c>
      <c r="J312">
        <f>IF(OR(計分!J312="",計分!$AP312=""),"",計分!$AP312-計分!J312)</f>
        <v/>
      </c>
      <c r="K312">
        <f>IF(OR(計分!K312="",計分!$AP312=""),"",計分!$AP312-計分!K312)</f>
        <v/>
      </c>
      <c r="L312">
        <f>IF(OR(計分!L312="",計分!$AP312=""),"",計分!$AP312-計分!L312)</f>
        <v/>
      </c>
      <c r="M312">
        <f>IF(OR(計分!M312="",計分!$AP312=""),"",計分!$AP312-計分!M312)</f>
        <v/>
      </c>
      <c r="N312">
        <f>IF(OR(計分!N312="",計分!$AP312=""),"",計分!$AP312-計分!N312)</f>
        <v/>
      </c>
      <c r="O312">
        <f>IF(OR(計分!O312="",計分!$AP312=""),"",計分!$AP312-計分!O312)</f>
        <v/>
      </c>
      <c r="P312">
        <f>IF(OR(計分!P312="",計分!$AP312=""),"",計分!$AP312-計分!P312)</f>
        <v/>
      </c>
      <c r="Q312">
        <f>IF(OR(計分!Q312="",計分!$AP312=""),"",計分!$AP312-計分!Q312)</f>
        <v/>
      </c>
      <c r="R312">
        <f>IF(OR(計分!R312="",計分!$AP312=""),"",計分!$AP312-計分!R312)</f>
        <v/>
      </c>
      <c r="S312">
        <f>IF(OR(計分!S312="",計分!$AP312=""),"",計分!$AP312-計分!S312)</f>
        <v/>
      </c>
      <c r="T312">
        <f>IF(OR(計分!T312="",計分!$AP312=""),"",計分!$AP312-計分!T312)</f>
        <v/>
      </c>
      <c r="U312">
        <f>IF(OR(計分!U312="",計分!$AP312=""),"",計分!$AP312-計分!U312)</f>
        <v/>
      </c>
      <c r="V312">
        <f>IF(OR(計分!V312="",計分!$AP312=""),"",計分!$AP312-計分!V312)</f>
        <v/>
      </c>
      <c r="W312">
        <f>IF(OR(計分!W312="",計分!$AP312=""),"",計分!$AP312-計分!W312)</f>
        <v/>
      </c>
      <c r="X312">
        <f>IF(OR(計分!X312="",計分!$AP312=""),"",計分!$AP312-計分!X312)</f>
        <v/>
      </c>
      <c r="Y312">
        <f>IF(OR(計分!Y312="",計分!$AP312=""),"",計分!$AP312-計分!Y312)</f>
        <v/>
      </c>
      <c r="Z312">
        <f>IF(OR(計分!Z312="",計分!$AP312=""),"",計分!$AP312-計分!Z312)</f>
        <v/>
      </c>
      <c r="AA312">
        <f>IF(OR(計分!AA312="",計分!$AP312=""),"",計分!$AP312-計分!AA312)</f>
        <v/>
      </c>
      <c r="AB312">
        <f>IF(OR(計分!AB312="",計分!$AP312=""),"",計分!$AP312-計分!AB312)</f>
        <v/>
      </c>
      <c r="AC312">
        <f>IF(OR(計分!AC312="",計分!$AP312=""),"",計分!$AP312-計分!AC312)</f>
        <v/>
      </c>
      <c r="AD312">
        <f>IF(OR(計分!AD312="",計分!$AP312=""),"",計分!$AP312-計分!AD312)</f>
        <v/>
      </c>
      <c r="AE312">
        <f>IF(OR(計分!AE312="",計分!$AP312=""),"",計分!$AP312-計分!AE312)</f>
        <v/>
      </c>
      <c r="AF312">
        <f>IF(OR(計分!AF312="",計分!$AP312=""),"",計分!$AP312-計分!AF312)</f>
        <v/>
      </c>
      <c r="AG312">
        <f>IF(OR(計分!AG312="",計分!$AP312=""),"",計分!$AP312-計分!AG312)</f>
        <v/>
      </c>
      <c r="AH312">
        <f>IF(OR(計分!AH312="",計分!$AP312=""),"",計分!$AP312-計分!AH312)</f>
        <v/>
      </c>
      <c r="AI312">
        <f>IF(OR(計分!AI312="",計分!$AP312=""),"",計分!$AP312-計分!AI312)</f>
        <v/>
      </c>
      <c r="AJ312">
        <f>IF(OR(計分!AJ312="",計分!$AP312=""),"",計分!$AP312-計分!AJ312)</f>
        <v/>
      </c>
      <c r="AK312">
        <f>IF(OR(計分!AK312="",計分!$AP312=""),"",計分!$AP312-計分!AK312)</f>
        <v/>
      </c>
      <c r="AL312">
        <f>IF(OR(計分!AL312="",計分!$AP312=""),"",計分!$AP312-計分!AL312)</f>
        <v/>
      </c>
      <c r="AM312">
        <f>IF(OR(計分!AM312="",計分!$AP312=""),"",計分!$AP312-計分!AM312)</f>
        <v/>
      </c>
      <c r="AN312">
        <f>IF(OR(計分!AN312="",計分!$AP312=""),"",計分!$AP312-計分!AN312)</f>
        <v/>
      </c>
      <c r="AO312">
        <f>IF(OR(計分!AO312="",計分!$AP312=""),"",計分!$AP312-計分!AO312)</f>
        <v/>
      </c>
    </row>
    <row r="313">
      <c r="A313">
        <f>計分!A313</f>
        <v/>
      </c>
      <c r="B313">
        <f>IF(OR(計分!B313="",計分!$AP313=""),"",計分!$AP313-計分!B313)</f>
        <v/>
      </c>
      <c r="C313">
        <f>IF(OR(計分!C313="",計分!$AP313=""),"",計分!$AP313-計分!C313)</f>
        <v/>
      </c>
      <c r="D313">
        <f>IF(OR(計分!D313="",計分!$AP313=""),"",計分!$AP313-計分!D313)</f>
        <v/>
      </c>
      <c r="E313">
        <f>IF(OR(計分!E313="",計分!$AP313=""),"",計分!$AP313-計分!E313)</f>
        <v/>
      </c>
      <c r="F313">
        <f>IF(OR(計分!F313="",計分!$AP313=""),"",計分!$AP313-計分!F313)</f>
        <v/>
      </c>
      <c r="G313">
        <f>IF(OR(計分!G313="",計分!$AP313=""),"",計分!$AP313-計分!G313)</f>
        <v/>
      </c>
      <c r="H313">
        <f>IF(OR(計分!H313="",計分!$AP313=""),"",計分!$AP313-計分!H313)</f>
        <v/>
      </c>
      <c r="I313">
        <f>IF(OR(計分!I313="",計分!$AP313=""),"",計分!$AP313-計分!I313)</f>
        <v/>
      </c>
      <c r="J313">
        <f>IF(OR(計分!J313="",計分!$AP313=""),"",計分!$AP313-計分!J313)</f>
        <v/>
      </c>
      <c r="K313">
        <f>IF(OR(計分!K313="",計分!$AP313=""),"",計分!$AP313-計分!K313)</f>
        <v/>
      </c>
      <c r="L313">
        <f>IF(OR(計分!L313="",計分!$AP313=""),"",計分!$AP313-計分!L313)</f>
        <v/>
      </c>
      <c r="M313">
        <f>IF(OR(計分!M313="",計分!$AP313=""),"",計分!$AP313-計分!M313)</f>
        <v/>
      </c>
      <c r="N313">
        <f>IF(OR(計分!N313="",計分!$AP313=""),"",計分!$AP313-計分!N313)</f>
        <v/>
      </c>
      <c r="O313">
        <f>IF(OR(計分!O313="",計分!$AP313=""),"",計分!$AP313-計分!O313)</f>
        <v/>
      </c>
      <c r="P313">
        <f>IF(OR(計分!P313="",計分!$AP313=""),"",計分!$AP313-計分!P313)</f>
        <v/>
      </c>
      <c r="Q313">
        <f>IF(OR(計分!Q313="",計分!$AP313=""),"",計分!$AP313-計分!Q313)</f>
        <v/>
      </c>
      <c r="R313">
        <f>IF(OR(計分!R313="",計分!$AP313=""),"",計分!$AP313-計分!R313)</f>
        <v/>
      </c>
      <c r="S313">
        <f>IF(OR(計分!S313="",計分!$AP313=""),"",計分!$AP313-計分!S313)</f>
        <v/>
      </c>
      <c r="T313">
        <f>IF(OR(計分!T313="",計分!$AP313=""),"",計分!$AP313-計分!T313)</f>
        <v/>
      </c>
      <c r="U313">
        <f>IF(OR(計分!U313="",計分!$AP313=""),"",計分!$AP313-計分!U313)</f>
        <v/>
      </c>
      <c r="V313">
        <f>IF(OR(計分!V313="",計分!$AP313=""),"",計分!$AP313-計分!V313)</f>
        <v/>
      </c>
      <c r="W313">
        <f>IF(OR(計分!W313="",計分!$AP313=""),"",計分!$AP313-計分!W313)</f>
        <v/>
      </c>
      <c r="X313">
        <f>IF(OR(計分!X313="",計分!$AP313=""),"",計分!$AP313-計分!X313)</f>
        <v/>
      </c>
      <c r="Y313">
        <f>IF(OR(計分!Y313="",計分!$AP313=""),"",計分!$AP313-計分!Y313)</f>
        <v/>
      </c>
      <c r="Z313">
        <f>IF(OR(計分!Z313="",計分!$AP313=""),"",計分!$AP313-計分!Z313)</f>
        <v/>
      </c>
      <c r="AA313">
        <f>IF(OR(計分!AA313="",計分!$AP313=""),"",計分!$AP313-計分!AA313)</f>
        <v/>
      </c>
      <c r="AB313">
        <f>IF(OR(計分!AB313="",計分!$AP313=""),"",計分!$AP313-計分!AB313)</f>
        <v/>
      </c>
      <c r="AC313">
        <f>IF(OR(計分!AC313="",計分!$AP313=""),"",計分!$AP313-計分!AC313)</f>
        <v/>
      </c>
      <c r="AD313">
        <f>IF(OR(計分!AD313="",計分!$AP313=""),"",計分!$AP313-計分!AD313)</f>
        <v/>
      </c>
      <c r="AE313">
        <f>IF(OR(計分!AE313="",計分!$AP313=""),"",計分!$AP313-計分!AE313)</f>
        <v/>
      </c>
      <c r="AF313">
        <f>IF(OR(計分!AF313="",計分!$AP313=""),"",計分!$AP313-計分!AF313)</f>
        <v/>
      </c>
      <c r="AG313">
        <f>IF(OR(計分!AG313="",計分!$AP313=""),"",計分!$AP313-計分!AG313)</f>
        <v/>
      </c>
      <c r="AH313">
        <f>IF(OR(計分!AH313="",計分!$AP313=""),"",計分!$AP313-計分!AH313)</f>
        <v/>
      </c>
      <c r="AI313">
        <f>IF(OR(計分!AI313="",計分!$AP313=""),"",計分!$AP313-計分!AI313)</f>
        <v/>
      </c>
      <c r="AJ313">
        <f>IF(OR(計分!AJ313="",計分!$AP313=""),"",計分!$AP313-計分!AJ313)</f>
        <v/>
      </c>
      <c r="AK313">
        <f>IF(OR(計分!AK313="",計分!$AP313=""),"",計分!$AP313-計分!AK313)</f>
        <v/>
      </c>
      <c r="AL313">
        <f>IF(OR(計分!AL313="",計分!$AP313=""),"",計分!$AP313-計分!AL313)</f>
        <v/>
      </c>
      <c r="AM313">
        <f>IF(OR(計分!AM313="",計分!$AP313=""),"",計分!$AP313-計分!AM313)</f>
        <v/>
      </c>
      <c r="AN313">
        <f>IF(OR(計分!AN313="",計分!$AP313=""),"",計分!$AP313-計分!AN313)</f>
        <v/>
      </c>
      <c r="AO313">
        <f>IF(OR(計分!AO313="",計分!$AP313=""),"",計分!$AP313-計分!AO313)</f>
        <v/>
      </c>
    </row>
    <row r="314">
      <c r="A314">
        <f>計分!A314</f>
        <v/>
      </c>
      <c r="B314">
        <f>IF(OR(計分!B314="",計分!$AP314=""),"",計分!$AP314-計分!B314)</f>
        <v/>
      </c>
      <c r="C314">
        <f>IF(OR(計分!C314="",計分!$AP314=""),"",計分!$AP314-計分!C314)</f>
        <v/>
      </c>
      <c r="D314">
        <f>IF(OR(計分!D314="",計分!$AP314=""),"",計分!$AP314-計分!D314)</f>
        <v/>
      </c>
      <c r="E314">
        <f>IF(OR(計分!E314="",計分!$AP314=""),"",計分!$AP314-計分!E314)</f>
        <v/>
      </c>
      <c r="F314">
        <f>IF(OR(計分!F314="",計分!$AP314=""),"",計分!$AP314-計分!F314)</f>
        <v/>
      </c>
      <c r="G314">
        <f>IF(OR(計分!G314="",計分!$AP314=""),"",計分!$AP314-計分!G314)</f>
        <v/>
      </c>
      <c r="H314">
        <f>IF(OR(計分!H314="",計分!$AP314=""),"",計分!$AP314-計分!H314)</f>
        <v/>
      </c>
      <c r="I314">
        <f>IF(OR(計分!I314="",計分!$AP314=""),"",計分!$AP314-計分!I314)</f>
        <v/>
      </c>
      <c r="J314">
        <f>IF(OR(計分!J314="",計分!$AP314=""),"",計分!$AP314-計分!J314)</f>
        <v/>
      </c>
      <c r="K314">
        <f>IF(OR(計分!K314="",計分!$AP314=""),"",計分!$AP314-計分!K314)</f>
        <v/>
      </c>
      <c r="L314">
        <f>IF(OR(計分!L314="",計分!$AP314=""),"",計分!$AP314-計分!L314)</f>
        <v/>
      </c>
      <c r="M314">
        <f>IF(OR(計分!M314="",計分!$AP314=""),"",計分!$AP314-計分!M314)</f>
        <v/>
      </c>
      <c r="N314">
        <f>IF(OR(計分!N314="",計分!$AP314=""),"",計分!$AP314-計分!N314)</f>
        <v/>
      </c>
      <c r="O314">
        <f>IF(OR(計分!O314="",計分!$AP314=""),"",計分!$AP314-計分!O314)</f>
        <v/>
      </c>
      <c r="P314">
        <f>IF(OR(計分!P314="",計分!$AP314=""),"",計分!$AP314-計分!P314)</f>
        <v/>
      </c>
      <c r="Q314">
        <f>IF(OR(計分!Q314="",計分!$AP314=""),"",計分!$AP314-計分!Q314)</f>
        <v/>
      </c>
      <c r="R314">
        <f>IF(OR(計分!R314="",計分!$AP314=""),"",計分!$AP314-計分!R314)</f>
        <v/>
      </c>
      <c r="S314">
        <f>IF(OR(計分!S314="",計分!$AP314=""),"",計分!$AP314-計分!S314)</f>
        <v/>
      </c>
      <c r="T314">
        <f>IF(OR(計分!T314="",計分!$AP314=""),"",計分!$AP314-計分!T314)</f>
        <v/>
      </c>
      <c r="U314">
        <f>IF(OR(計分!U314="",計分!$AP314=""),"",計分!$AP314-計分!U314)</f>
        <v/>
      </c>
      <c r="V314">
        <f>IF(OR(計分!V314="",計分!$AP314=""),"",計分!$AP314-計分!V314)</f>
        <v/>
      </c>
      <c r="W314">
        <f>IF(OR(計分!W314="",計分!$AP314=""),"",計分!$AP314-計分!W314)</f>
        <v/>
      </c>
      <c r="X314">
        <f>IF(OR(計分!X314="",計分!$AP314=""),"",計分!$AP314-計分!X314)</f>
        <v/>
      </c>
      <c r="Y314">
        <f>IF(OR(計分!Y314="",計分!$AP314=""),"",計分!$AP314-計分!Y314)</f>
        <v/>
      </c>
      <c r="Z314">
        <f>IF(OR(計分!Z314="",計分!$AP314=""),"",計分!$AP314-計分!Z314)</f>
        <v/>
      </c>
      <c r="AA314">
        <f>IF(OR(計分!AA314="",計分!$AP314=""),"",計分!$AP314-計分!AA314)</f>
        <v/>
      </c>
      <c r="AB314">
        <f>IF(OR(計分!AB314="",計分!$AP314=""),"",計分!$AP314-計分!AB314)</f>
        <v/>
      </c>
      <c r="AC314">
        <f>IF(OR(計分!AC314="",計分!$AP314=""),"",計分!$AP314-計分!AC314)</f>
        <v/>
      </c>
      <c r="AD314">
        <f>IF(OR(計分!AD314="",計分!$AP314=""),"",計分!$AP314-計分!AD314)</f>
        <v/>
      </c>
      <c r="AE314">
        <f>IF(OR(計分!AE314="",計分!$AP314=""),"",計分!$AP314-計分!AE314)</f>
        <v/>
      </c>
      <c r="AF314">
        <f>IF(OR(計分!AF314="",計分!$AP314=""),"",計分!$AP314-計分!AF314)</f>
        <v/>
      </c>
      <c r="AG314">
        <f>IF(OR(計分!AG314="",計分!$AP314=""),"",計分!$AP314-計分!AG314)</f>
        <v/>
      </c>
      <c r="AH314">
        <f>IF(OR(計分!AH314="",計分!$AP314=""),"",計分!$AP314-計分!AH314)</f>
        <v/>
      </c>
      <c r="AI314">
        <f>IF(OR(計分!AI314="",計分!$AP314=""),"",計分!$AP314-計分!AI314)</f>
        <v/>
      </c>
      <c r="AJ314">
        <f>IF(OR(計分!AJ314="",計分!$AP314=""),"",計分!$AP314-計分!AJ314)</f>
        <v/>
      </c>
      <c r="AK314">
        <f>IF(OR(計分!AK314="",計分!$AP314=""),"",計分!$AP314-計分!AK314)</f>
        <v/>
      </c>
      <c r="AL314">
        <f>IF(OR(計分!AL314="",計分!$AP314=""),"",計分!$AP314-計分!AL314)</f>
        <v/>
      </c>
      <c r="AM314">
        <f>IF(OR(計分!AM314="",計分!$AP314=""),"",計分!$AP314-計分!AM314)</f>
        <v/>
      </c>
      <c r="AN314">
        <f>IF(OR(計分!AN314="",計分!$AP314=""),"",計分!$AP314-計分!AN314)</f>
        <v/>
      </c>
      <c r="AO314">
        <f>IF(OR(計分!AO314="",計分!$AP314=""),"",計分!$AP314-計分!AO314)</f>
        <v/>
      </c>
    </row>
    <row r="315">
      <c r="A315">
        <f>計分!A315</f>
        <v/>
      </c>
      <c r="B315">
        <f>IF(OR(計分!B315="",計分!$AP315=""),"",計分!$AP315-計分!B315)</f>
        <v/>
      </c>
      <c r="C315">
        <f>IF(OR(計分!C315="",計分!$AP315=""),"",計分!$AP315-計分!C315)</f>
        <v/>
      </c>
      <c r="D315">
        <f>IF(OR(計分!D315="",計分!$AP315=""),"",計分!$AP315-計分!D315)</f>
        <v/>
      </c>
      <c r="E315">
        <f>IF(OR(計分!E315="",計分!$AP315=""),"",計分!$AP315-計分!E315)</f>
        <v/>
      </c>
      <c r="F315">
        <f>IF(OR(計分!F315="",計分!$AP315=""),"",計分!$AP315-計分!F315)</f>
        <v/>
      </c>
      <c r="G315">
        <f>IF(OR(計分!G315="",計分!$AP315=""),"",計分!$AP315-計分!G315)</f>
        <v/>
      </c>
      <c r="H315">
        <f>IF(OR(計分!H315="",計分!$AP315=""),"",計分!$AP315-計分!H315)</f>
        <v/>
      </c>
      <c r="I315">
        <f>IF(OR(計分!I315="",計分!$AP315=""),"",計分!$AP315-計分!I315)</f>
        <v/>
      </c>
      <c r="J315">
        <f>IF(OR(計分!J315="",計分!$AP315=""),"",計分!$AP315-計分!J315)</f>
        <v/>
      </c>
      <c r="K315">
        <f>IF(OR(計分!K315="",計分!$AP315=""),"",計分!$AP315-計分!K315)</f>
        <v/>
      </c>
      <c r="L315">
        <f>IF(OR(計分!L315="",計分!$AP315=""),"",計分!$AP315-計分!L315)</f>
        <v/>
      </c>
      <c r="M315">
        <f>IF(OR(計分!M315="",計分!$AP315=""),"",計分!$AP315-計分!M315)</f>
        <v/>
      </c>
      <c r="N315">
        <f>IF(OR(計分!N315="",計分!$AP315=""),"",計分!$AP315-計分!N315)</f>
        <v/>
      </c>
      <c r="O315">
        <f>IF(OR(計分!O315="",計分!$AP315=""),"",計分!$AP315-計分!O315)</f>
        <v/>
      </c>
      <c r="P315">
        <f>IF(OR(計分!P315="",計分!$AP315=""),"",計分!$AP315-計分!P315)</f>
        <v/>
      </c>
      <c r="Q315">
        <f>IF(OR(計分!Q315="",計分!$AP315=""),"",計分!$AP315-計分!Q315)</f>
        <v/>
      </c>
      <c r="R315">
        <f>IF(OR(計分!R315="",計分!$AP315=""),"",計分!$AP315-計分!R315)</f>
        <v/>
      </c>
      <c r="S315">
        <f>IF(OR(計分!S315="",計分!$AP315=""),"",計分!$AP315-計分!S315)</f>
        <v/>
      </c>
      <c r="T315">
        <f>IF(OR(計分!T315="",計分!$AP315=""),"",計分!$AP315-計分!T315)</f>
        <v/>
      </c>
      <c r="U315">
        <f>IF(OR(計分!U315="",計分!$AP315=""),"",計分!$AP315-計分!U315)</f>
        <v/>
      </c>
      <c r="V315">
        <f>IF(OR(計分!V315="",計分!$AP315=""),"",計分!$AP315-計分!V315)</f>
        <v/>
      </c>
      <c r="W315">
        <f>IF(OR(計分!W315="",計分!$AP315=""),"",計分!$AP315-計分!W315)</f>
        <v/>
      </c>
      <c r="X315">
        <f>IF(OR(計分!X315="",計分!$AP315=""),"",計分!$AP315-計分!X315)</f>
        <v/>
      </c>
      <c r="Y315">
        <f>IF(OR(計分!Y315="",計分!$AP315=""),"",計分!$AP315-計分!Y315)</f>
        <v/>
      </c>
      <c r="Z315">
        <f>IF(OR(計分!Z315="",計分!$AP315=""),"",計分!$AP315-計分!Z315)</f>
        <v/>
      </c>
      <c r="AA315">
        <f>IF(OR(計分!AA315="",計分!$AP315=""),"",計分!$AP315-計分!AA315)</f>
        <v/>
      </c>
      <c r="AB315">
        <f>IF(OR(計分!AB315="",計分!$AP315=""),"",計分!$AP315-計分!AB315)</f>
        <v/>
      </c>
      <c r="AC315">
        <f>IF(OR(計分!AC315="",計分!$AP315=""),"",計分!$AP315-計分!AC315)</f>
        <v/>
      </c>
      <c r="AD315">
        <f>IF(OR(計分!AD315="",計分!$AP315=""),"",計分!$AP315-計分!AD315)</f>
        <v/>
      </c>
      <c r="AE315">
        <f>IF(OR(計分!AE315="",計分!$AP315=""),"",計分!$AP315-計分!AE315)</f>
        <v/>
      </c>
      <c r="AF315">
        <f>IF(OR(計分!AF315="",計分!$AP315=""),"",計分!$AP315-計分!AF315)</f>
        <v/>
      </c>
      <c r="AG315">
        <f>IF(OR(計分!AG315="",計分!$AP315=""),"",計分!$AP315-計分!AG315)</f>
        <v/>
      </c>
      <c r="AH315">
        <f>IF(OR(計分!AH315="",計分!$AP315=""),"",計分!$AP315-計分!AH315)</f>
        <v/>
      </c>
      <c r="AI315">
        <f>IF(OR(計分!AI315="",計分!$AP315=""),"",計分!$AP315-計分!AI315)</f>
        <v/>
      </c>
      <c r="AJ315">
        <f>IF(OR(計分!AJ315="",計分!$AP315=""),"",計分!$AP315-計分!AJ315)</f>
        <v/>
      </c>
      <c r="AK315">
        <f>IF(OR(計分!AK315="",計分!$AP315=""),"",計分!$AP315-計分!AK315)</f>
        <v/>
      </c>
      <c r="AL315">
        <f>IF(OR(計分!AL315="",計分!$AP315=""),"",計分!$AP315-計分!AL315)</f>
        <v/>
      </c>
      <c r="AM315">
        <f>IF(OR(計分!AM315="",計分!$AP315=""),"",計分!$AP315-計分!AM315)</f>
        <v/>
      </c>
      <c r="AN315">
        <f>IF(OR(計分!AN315="",計分!$AP315=""),"",計分!$AP315-計分!AN315)</f>
        <v/>
      </c>
      <c r="AO315">
        <f>IF(OR(計分!AO315="",計分!$AP315=""),"",計分!$AP315-計分!AO315)</f>
        <v/>
      </c>
    </row>
    <row r="316">
      <c r="A316">
        <f>計分!A316</f>
        <v/>
      </c>
      <c r="B316">
        <f>IF(OR(計分!B316="",計分!$AP316=""),"",計分!$AP316-計分!B316)</f>
        <v/>
      </c>
      <c r="C316">
        <f>IF(OR(計分!C316="",計分!$AP316=""),"",計分!$AP316-計分!C316)</f>
        <v/>
      </c>
      <c r="D316">
        <f>IF(OR(計分!D316="",計分!$AP316=""),"",計分!$AP316-計分!D316)</f>
        <v/>
      </c>
      <c r="E316">
        <f>IF(OR(計分!E316="",計分!$AP316=""),"",計分!$AP316-計分!E316)</f>
        <v/>
      </c>
      <c r="F316">
        <f>IF(OR(計分!F316="",計分!$AP316=""),"",計分!$AP316-計分!F316)</f>
        <v/>
      </c>
      <c r="G316">
        <f>IF(OR(計分!G316="",計分!$AP316=""),"",計分!$AP316-計分!G316)</f>
        <v/>
      </c>
      <c r="H316">
        <f>IF(OR(計分!H316="",計分!$AP316=""),"",計分!$AP316-計分!H316)</f>
        <v/>
      </c>
      <c r="I316">
        <f>IF(OR(計分!I316="",計分!$AP316=""),"",計分!$AP316-計分!I316)</f>
        <v/>
      </c>
      <c r="J316">
        <f>IF(OR(計分!J316="",計分!$AP316=""),"",計分!$AP316-計分!J316)</f>
        <v/>
      </c>
      <c r="K316">
        <f>IF(OR(計分!K316="",計分!$AP316=""),"",計分!$AP316-計分!K316)</f>
        <v/>
      </c>
      <c r="L316">
        <f>IF(OR(計分!L316="",計分!$AP316=""),"",計分!$AP316-計分!L316)</f>
        <v/>
      </c>
      <c r="M316">
        <f>IF(OR(計分!M316="",計分!$AP316=""),"",計分!$AP316-計分!M316)</f>
        <v/>
      </c>
      <c r="N316">
        <f>IF(OR(計分!N316="",計分!$AP316=""),"",計分!$AP316-計分!N316)</f>
        <v/>
      </c>
      <c r="O316">
        <f>IF(OR(計分!O316="",計分!$AP316=""),"",計分!$AP316-計分!O316)</f>
        <v/>
      </c>
      <c r="P316">
        <f>IF(OR(計分!P316="",計分!$AP316=""),"",計分!$AP316-計分!P316)</f>
        <v/>
      </c>
      <c r="Q316">
        <f>IF(OR(計分!Q316="",計分!$AP316=""),"",計分!$AP316-計分!Q316)</f>
        <v/>
      </c>
      <c r="R316">
        <f>IF(OR(計分!R316="",計分!$AP316=""),"",計分!$AP316-計分!R316)</f>
        <v/>
      </c>
      <c r="S316">
        <f>IF(OR(計分!S316="",計分!$AP316=""),"",計分!$AP316-計分!S316)</f>
        <v/>
      </c>
      <c r="T316">
        <f>IF(OR(計分!T316="",計分!$AP316=""),"",計分!$AP316-計分!T316)</f>
        <v/>
      </c>
      <c r="U316">
        <f>IF(OR(計分!U316="",計分!$AP316=""),"",計分!$AP316-計分!U316)</f>
        <v/>
      </c>
      <c r="V316">
        <f>IF(OR(計分!V316="",計分!$AP316=""),"",計分!$AP316-計分!V316)</f>
        <v/>
      </c>
      <c r="W316">
        <f>IF(OR(計分!W316="",計分!$AP316=""),"",計分!$AP316-計分!W316)</f>
        <v/>
      </c>
      <c r="X316">
        <f>IF(OR(計分!X316="",計分!$AP316=""),"",計分!$AP316-計分!X316)</f>
        <v/>
      </c>
      <c r="Y316">
        <f>IF(OR(計分!Y316="",計分!$AP316=""),"",計分!$AP316-計分!Y316)</f>
        <v/>
      </c>
      <c r="Z316">
        <f>IF(OR(計分!Z316="",計分!$AP316=""),"",計分!$AP316-計分!Z316)</f>
        <v/>
      </c>
      <c r="AA316">
        <f>IF(OR(計分!AA316="",計分!$AP316=""),"",計分!$AP316-計分!AA316)</f>
        <v/>
      </c>
      <c r="AB316">
        <f>IF(OR(計分!AB316="",計分!$AP316=""),"",計分!$AP316-計分!AB316)</f>
        <v/>
      </c>
      <c r="AC316">
        <f>IF(OR(計分!AC316="",計分!$AP316=""),"",計分!$AP316-計分!AC316)</f>
        <v/>
      </c>
      <c r="AD316">
        <f>IF(OR(計分!AD316="",計分!$AP316=""),"",計分!$AP316-計分!AD316)</f>
        <v/>
      </c>
      <c r="AE316">
        <f>IF(OR(計分!AE316="",計分!$AP316=""),"",計分!$AP316-計分!AE316)</f>
        <v/>
      </c>
      <c r="AF316">
        <f>IF(OR(計分!AF316="",計分!$AP316=""),"",計分!$AP316-計分!AF316)</f>
        <v/>
      </c>
      <c r="AG316">
        <f>IF(OR(計分!AG316="",計分!$AP316=""),"",計分!$AP316-計分!AG316)</f>
        <v/>
      </c>
      <c r="AH316">
        <f>IF(OR(計分!AH316="",計分!$AP316=""),"",計分!$AP316-計分!AH316)</f>
        <v/>
      </c>
      <c r="AI316">
        <f>IF(OR(計分!AI316="",計分!$AP316=""),"",計分!$AP316-計分!AI316)</f>
        <v/>
      </c>
      <c r="AJ316">
        <f>IF(OR(計分!AJ316="",計分!$AP316=""),"",計分!$AP316-計分!AJ316)</f>
        <v/>
      </c>
      <c r="AK316">
        <f>IF(OR(計分!AK316="",計分!$AP316=""),"",計分!$AP316-計分!AK316)</f>
        <v/>
      </c>
      <c r="AL316">
        <f>IF(OR(計分!AL316="",計分!$AP316=""),"",計分!$AP316-計分!AL316)</f>
        <v/>
      </c>
      <c r="AM316">
        <f>IF(OR(計分!AM316="",計分!$AP316=""),"",計分!$AP316-計分!AM316)</f>
        <v/>
      </c>
      <c r="AN316">
        <f>IF(OR(計分!AN316="",計分!$AP316=""),"",計分!$AP316-計分!AN316)</f>
        <v/>
      </c>
      <c r="AO316">
        <f>IF(OR(計分!AO316="",計分!$AP316=""),"",計分!$AP316-計分!AO316)</f>
        <v/>
      </c>
    </row>
    <row r="317">
      <c r="A317">
        <f>計分!A317</f>
        <v/>
      </c>
      <c r="B317">
        <f>IF(OR(計分!B317="",計分!$AP317=""),"",計分!$AP317-計分!B317)</f>
        <v/>
      </c>
      <c r="C317">
        <f>IF(OR(計分!C317="",計分!$AP317=""),"",計分!$AP317-計分!C317)</f>
        <v/>
      </c>
      <c r="D317">
        <f>IF(OR(計分!D317="",計分!$AP317=""),"",計分!$AP317-計分!D317)</f>
        <v/>
      </c>
      <c r="E317">
        <f>IF(OR(計分!E317="",計分!$AP317=""),"",計分!$AP317-計分!E317)</f>
        <v/>
      </c>
      <c r="F317">
        <f>IF(OR(計分!F317="",計分!$AP317=""),"",計分!$AP317-計分!F317)</f>
        <v/>
      </c>
      <c r="G317">
        <f>IF(OR(計分!G317="",計分!$AP317=""),"",計分!$AP317-計分!G317)</f>
        <v/>
      </c>
      <c r="H317">
        <f>IF(OR(計分!H317="",計分!$AP317=""),"",計分!$AP317-計分!H317)</f>
        <v/>
      </c>
      <c r="I317">
        <f>IF(OR(計分!I317="",計分!$AP317=""),"",計分!$AP317-計分!I317)</f>
        <v/>
      </c>
      <c r="J317">
        <f>IF(OR(計分!J317="",計分!$AP317=""),"",計分!$AP317-計分!J317)</f>
        <v/>
      </c>
      <c r="K317">
        <f>IF(OR(計分!K317="",計分!$AP317=""),"",計分!$AP317-計分!K317)</f>
        <v/>
      </c>
      <c r="L317">
        <f>IF(OR(計分!L317="",計分!$AP317=""),"",計分!$AP317-計分!L317)</f>
        <v/>
      </c>
      <c r="M317">
        <f>IF(OR(計分!M317="",計分!$AP317=""),"",計分!$AP317-計分!M317)</f>
        <v/>
      </c>
      <c r="N317">
        <f>IF(OR(計分!N317="",計分!$AP317=""),"",計分!$AP317-計分!N317)</f>
        <v/>
      </c>
      <c r="O317">
        <f>IF(OR(計分!O317="",計分!$AP317=""),"",計分!$AP317-計分!O317)</f>
        <v/>
      </c>
      <c r="P317">
        <f>IF(OR(計分!P317="",計分!$AP317=""),"",計分!$AP317-計分!P317)</f>
        <v/>
      </c>
      <c r="Q317">
        <f>IF(OR(計分!Q317="",計分!$AP317=""),"",計分!$AP317-計分!Q317)</f>
        <v/>
      </c>
      <c r="R317">
        <f>IF(OR(計分!R317="",計分!$AP317=""),"",計分!$AP317-計分!R317)</f>
        <v/>
      </c>
      <c r="S317">
        <f>IF(OR(計分!S317="",計分!$AP317=""),"",計分!$AP317-計分!S317)</f>
        <v/>
      </c>
      <c r="T317">
        <f>IF(OR(計分!T317="",計分!$AP317=""),"",計分!$AP317-計分!T317)</f>
        <v/>
      </c>
      <c r="U317">
        <f>IF(OR(計分!U317="",計分!$AP317=""),"",計分!$AP317-計分!U317)</f>
        <v/>
      </c>
      <c r="V317">
        <f>IF(OR(計分!V317="",計分!$AP317=""),"",計分!$AP317-計分!V317)</f>
        <v/>
      </c>
      <c r="W317">
        <f>IF(OR(計分!W317="",計分!$AP317=""),"",計分!$AP317-計分!W317)</f>
        <v/>
      </c>
      <c r="X317">
        <f>IF(OR(計分!X317="",計分!$AP317=""),"",計分!$AP317-計分!X317)</f>
        <v/>
      </c>
      <c r="Y317">
        <f>IF(OR(計分!Y317="",計分!$AP317=""),"",計分!$AP317-計分!Y317)</f>
        <v/>
      </c>
      <c r="Z317">
        <f>IF(OR(計分!Z317="",計分!$AP317=""),"",計分!$AP317-計分!Z317)</f>
        <v/>
      </c>
      <c r="AA317">
        <f>IF(OR(計分!AA317="",計分!$AP317=""),"",計分!$AP317-計分!AA317)</f>
        <v/>
      </c>
      <c r="AB317">
        <f>IF(OR(計分!AB317="",計分!$AP317=""),"",計分!$AP317-計分!AB317)</f>
        <v/>
      </c>
      <c r="AC317">
        <f>IF(OR(計分!AC317="",計分!$AP317=""),"",計分!$AP317-計分!AC317)</f>
        <v/>
      </c>
      <c r="AD317">
        <f>IF(OR(計分!AD317="",計分!$AP317=""),"",計分!$AP317-計分!AD317)</f>
        <v/>
      </c>
      <c r="AE317">
        <f>IF(OR(計分!AE317="",計分!$AP317=""),"",計分!$AP317-計分!AE317)</f>
        <v/>
      </c>
      <c r="AF317">
        <f>IF(OR(計分!AF317="",計分!$AP317=""),"",計分!$AP317-計分!AF317)</f>
        <v/>
      </c>
      <c r="AG317">
        <f>IF(OR(計分!AG317="",計分!$AP317=""),"",計分!$AP317-計分!AG317)</f>
        <v/>
      </c>
      <c r="AH317">
        <f>IF(OR(計分!AH317="",計分!$AP317=""),"",計分!$AP317-計分!AH317)</f>
        <v/>
      </c>
      <c r="AI317">
        <f>IF(OR(計分!AI317="",計分!$AP317=""),"",計分!$AP317-計分!AI317)</f>
        <v/>
      </c>
      <c r="AJ317">
        <f>IF(OR(計分!AJ317="",計分!$AP317=""),"",計分!$AP317-計分!AJ317)</f>
        <v/>
      </c>
      <c r="AK317">
        <f>IF(OR(計分!AK317="",計分!$AP317=""),"",計分!$AP317-計分!AK317)</f>
        <v/>
      </c>
      <c r="AL317">
        <f>IF(OR(計分!AL317="",計分!$AP317=""),"",計分!$AP317-計分!AL317)</f>
        <v/>
      </c>
      <c r="AM317">
        <f>IF(OR(計分!AM317="",計分!$AP317=""),"",計分!$AP317-計分!AM317)</f>
        <v/>
      </c>
      <c r="AN317">
        <f>IF(OR(計分!AN317="",計分!$AP317=""),"",計分!$AP317-計分!AN317)</f>
        <v/>
      </c>
      <c r="AO317">
        <f>IF(OR(計分!AO317="",計分!$AP317=""),"",計分!$AP317-計分!AO317)</f>
        <v/>
      </c>
    </row>
    <row r="318">
      <c r="A318">
        <f>計分!A318</f>
        <v/>
      </c>
      <c r="B318">
        <f>IF(OR(計分!B318="",計分!$AP318=""),"",計分!$AP318-計分!B318)</f>
        <v/>
      </c>
      <c r="C318">
        <f>IF(OR(計分!C318="",計分!$AP318=""),"",計分!$AP318-計分!C318)</f>
        <v/>
      </c>
      <c r="D318">
        <f>IF(OR(計分!D318="",計分!$AP318=""),"",計分!$AP318-計分!D318)</f>
        <v/>
      </c>
      <c r="E318">
        <f>IF(OR(計分!E318="",計分!$AP318=""),"",計分!$AP318-計分!E318)</f>
        <v/>
      </c>
      <c r="F318">
        <f>IF(OR(計分!F318="",計分!$AP318=""),"",計分!$AP318-計分!F318)</f>
        <v/>
      </c>
      <c r="G318">
        <f>IF(OR(計分!G318="",計分!$AP318=""),"",計分!$AP318-計分!G318)</f>
        <v/>
      </c>
      <c r="H318">
        <f>IF(OR(計分!H318="",計分!$AP318=""),"",計分!$AP318-計分!H318)</f>
        <v/>
      </c>
      <c r="I318">
        <f>IF(OR(計分!I318="",計分!$AP318=""),"",計分!$AP318-計分!I318)</f>
        <v/>
      </c>
      <c r="J318">
        <f>IF(OR(計分!J318="",計分!$AP318=""),"",計分!$AP318-計分!J318)</f>
        <v/>
      </c>
      <c r="K318">
        <f>IF(OR(計分!K318="",計分!$AP318=""),"",計分!$AP318-計分!K318)</f>
        <v/>
      </c>
      <c r="L318">
        <f>IF(OR(計分!L318="",計分!$AP318=""),"",計分!$AP318-計分!L318)</f>
        <v/>
      </c>
      <c r="M318">
        <f>IF(OR(計分!M318="",計分!$AP318=""),"",計分!$AP318-計分!M318)</f>
        <v/>
      </c>
      <c r="N318">
        <f>IF(OR(計分!N318="",計分!$AP318=""),"",計分!$AP318-計分!N318)</f>
        <v/>
      </c>
      <c r="O318">
        <f>IF(OR(計分!O318="",計分!$AP318=""),"",計分!$AP318-計分!O318)</f>
        <v/>
      </c>
      <c r="P318">
        <f>IF(OR(計分!P318="",計分!$AP318=""),"",計分!$AP318-計分!P318)</f>
        <v/>
      </c>
      <c r="Q318">
        <f>IF(OR(計分!Q318="",計分!$AP318=""),"",計分!$AP318-計分!Q318)</f>
        <v/>
      </c>
      <c r="R318">
        <f>IF(OR(計分!R318="",計分!$AP318=""),"",計分!$AP318-計分!R318)</f>
        <v/>
      </c>
      <c r="S318">
        <f>IF(OR(計分!S318="",計分!$AP318=""),"",計分!$AP318-計分!S318)</f>
        <v/>
      </c>
      <c r="T318">
        <f>IF(OR(計分!T318="",計分!$AP318=""),"",計分!$AP318-計分!T318)</f>
        <v/>
      </c>
      <c r="U318">
        <f>IF(OR(計分!U318="",計分!$AP318=""),"",計分!$AP318-計分!U318)</f>
        <v/>
      </c>
      <c r="V318">
        <f>IF(OR(計分!V318="",計分!$AP318=""),"",計分!$AP318-計分!V318)</f>
        <v/>
      </c>
      <c r="W318">
        <f>IF(OR(計分!W318="",計分!$AP318=""),"",計分!$AP318-計分!W318)</f>
        <v/>
      </c>
      <c r="X318">
        <f>IF(OR(計分!X318="",計分!$AP318=""),"",計分!$AP318-計分!X318)</f>
        <v/>
      </c>
      <c r="Y318">
        <f>IF(OR(計分!Y318="",計分!$AP318=""),"",計分!$AP318-計分!Y318)</f>
        <v/>
      </c>
      <c r="Z318">
        <f>IF(OR(計分!Z318="",計分!$AP318=""),"",計分!$AP318-計分!Z318)</f>
        <v/>
      </c>
      <c r="AA318">
        <f>IF(OR(計分!AA318="",計分!$AP318=""),"",計分!$AP318-計分!AA318)</f>
        <v/>
      </c>
      <c r="AB318">
        <f>IF(OR(計分!AB318="",計分!$AP318=""),"",計分!$AP318-計分!AB318)</f>
        <v/>
      </c>
      <c r="AC318">
        <f>IF(OR(計分!AC318="",計分!$AP318=""),"",計分!$AP318-計分!AC318)</f>
        <v/>
      </c>
      <c r="AD318">
        <f>IF(OR(計分!AD318="",計分!$AP318=""),"",計分!$AP318-計分!AD318)</f>
        <v/>
      </c>
      <c r="AE318">
        <f>IF(OR(計分!AE318="",計分!$AP318=""),"",計分!$AP318-計分!AE318)</f>
        <v/>
      </c>
      <c r="AF318">
        <f>IF(OR(計分!AF318="",計分!$AP318=""),"",計分!$AP318-計分!AF318)</f>
        <v/>
      </c>
      <c r="AG318">
        <f>IF(OR(計分!AG318="",計分!$AP318=""),"",計分!$AP318-計分!AG318)</f>
        <v/>
      </c>
      <c r="AH318">
        <f>IF(OR(計分!AH318="",計分!$AP318=""),"",計分!$AP318-計分!AH318)</f>
        <v/>
      </c>
      <c r="AI318">
        <f>IF(OR(計分!AI318="",計分!$AP318=""),"",計分!$AP318-計分!AI318)</f>
        <v/>
      </c>
      <c r="AJ318">
        <f>IF(OR(計分!AJ318="",計分!$AP318=""),"",計分!$AP318-計分!AJ318)</f>
        <v/>
      </c>
      <c r="AK318">
        <f>IF(OR(計分!AK318="",計分!$AP318=""),"",計分!$AP318-計分!AK318)</f>
        <v/>
      </c>
      <c r="AL318">
        <f>IF(OR(計分!AL318="",計分!$AP318=""),"",計分!$AP318-計分!AL318)</f>
        <v/>
      </c>
      <c r="AM318">
        <f>IF(OR(計分!AM318="",計分!$AP318=""),"",計分!$AP318-計分!AM318)</f>
        <v/>
      </c>
      <c r="AN318">
        <f>IF(OR(計分!AN318="",計分!$AP318=""),"",計分!$AP318-計分!AN318)</f>
        <v/>
      </c>
      <c r="AO318">
        <f>IF(OR(計分!AO318="",計分!$AP318=""),"",計分!$AP318-計分!AO318)</f>
        <v/>
      </c>
    </row>
    <row r="319">
      <c r="A319">
        <f>計分!A319</f>
        <v/>
      </c>
      <c r="B319">
        <f>IF(OR(計分!B319="",計分!$AP319=""),"",計分!$AP319-計分!B319)</f>
        <v/>
      </c>
      <c r="C319">
        <f>IF(OR(計分!C319="",計分!$AP319=""),"",計分!$AP319-計分!C319)</f>
        <v/>
      </c>
      <c r="D319">
        <f>IF(OR(計分!D319="",計分!$AP319=""),"",計分!$AP319-計分!D319)</f>
        <v/>
      </c>
      <c r="E319">
        <f>IF(OR(計分!E319="",計分!$AP319=""),"",計分!$AP319-計分!E319)</f>
        <v/>
      </c>
      <c r="F319">
        <f>IF(OR(計分!F319="",計分!$AP319=""),"",計分!$AP319-計分!F319)</f>
        <v/>
      </c>
      <c r="G319">
        <f>IF(OR(計分!G319="",計分!$AP319=""),"",計分!$AP319-計分!G319)</f>
        <v/>
      </c>
      <c r="H319">
        <f>IF(OR(計分!H319="",計分!$AP319=""),"",計分!$AP319-計分!H319)</f>
        <v/>
      </c>
      <c r="I319">
        <f>IF(OR(計分!I319="",計分!$AP319=""),"",計分!$AP319-計分!I319)</f>
        <v/>
      </c>
      <c r="J319">
        <f>IF(OR(計分!J319="",計分!$AP319=""),"",計分!$AP319-計分!J319)</f>
        <v/>
      </c>
      <c r="K319">
        <f>IF(OR(計分!K319="",計分!$AP319=""),"",計分!$AP319-計分!K319)</f>
        <v/>
      </c>
      <c r="L319">
        <f>IF(OR(計分!L319="",計分!$AP319=""),"",計分!$AP319-計分!L319)</f>
        <v/>
      </c>
      <c r="M319">
        <f>IF(OR(計分!M319="",計分!$AP319=""),"",計分!$AP319-計分!M319)</f>
        <v/>
      </c>
      <c r="N319">
        <f>IF(OR(計分!N319="",計分!$AP319=""),"",計分!$AP319-計分!N319)</f>
        <v/>
      </c>
      <c r="O319">
        <f>IF(OR(計分!O319="",計分!$AP319=""),"",計分!$AP319-計分!O319)</f>
        <v/>
      </c>
      <c r="P319">
        <f>IF(OR(計分!P319="",計分!$AP319=""),"",計分!$AP319-計分!P319)</f>
        <v/>
      </c>
      <c r="Q319">
        <f>IF(OR(計分!Q319="",計分!$AP319=""),"",計分!$AP319-計分!Q319)</f>
        <v/>
      </c>
      <c r="R319">
        <f>IF(OR(計分!R319="",計分!$AP319=""),"",計分!$AP319-計分!R319)</f>
        <v/>
      </c>
      <c r="S319">
        <f>IF(OR(計分!S319="",計分!$AP319=""),"",計分!$AP319-計分!S319)</f>
        <v/>
      </c>
      <c r="T319">
        <f>IF(OR(計分!T319="",計分!$AP319=""),"",計分!$AP319-計分!T319)</f>
        <v/>
      </c>
      <c r="U319">
        <f>IF(OR(計分!U319="",計分!$AP319=""),"",計分!$AP319-計分!U319)</f>
        <v/>
      </c>
      <c r="V319">
        <f>IF(OR(計分!V319="",計分!$AP319=""),"",計分!$AP319-計分!V319)</f>
        <v/>
      </c>
      <c r="W319">
        <f>IF(OR(計分!W319="",計分!$AP319=""),"",計分!$AP319-計分!W319)</f>
        <v/>
      </c>
      <c r="X319">
        <f>IF(OR(計分!X319="",計分!$AP319=""),"",計分!$AP319-計分!X319)</f>
        <v/>
      </c>
      <c r="Y319">
        <f>IF(OR(計分!Y319="",計分!$AP319=""),"",計分!$AP319-計分!Y319)</f>
        <v/>
      </c>
      <c r="Z319">
        <f>IF(OR(計分!Z319="",計分!$AP319=""),"",計分!$AP319-計分!Z319)</f>
        <v/>
      </c>
      <c r="AA319">
        <f>IF(OR(計分!AA319="",計分!$AP319=""),"",計分!$AP319-計分!AA319)</f>
        <v/>
      </c>
      <c r="AB319">
        <f>IF(OR(計分!AB319="",計分!$AP319=""),"",計分!$AP319-計分!AB319)</f>
        <v/>
      </c>
      <c r="AC319">
        <f>IF(OR(計分!AC319="",計分!$AP319=""),"",計分!$AP319-計分!AC319)</f>
        <v/>
      </c>
      <c r="AD319">
        <f>IF(OR(計分!AD319="",計分!$AP319=""),"",計分!$AP319-計分!AD319)</f>
        <v/>
      </c>
      <c r="AE319">
        <f>IF(OR(計分!AE319="",計分!$AP319=""),"",計分!$AP319-計分!AE319)</f>
        <v/>
      </c>
      <c r="AF319">
        <f>IF(OR(計分!AF319="",計分!$AP319=""),"",計分!$AP319-計分!AF319)</f>
        <v/>
      </c>
      <c r="AG319">
        <f>IF(OR(計分!AG319="",計分!$AP319=""),"",計分!$AP319-計分!AG319)</f>
        <v/>
      </c>
      <c r="AH319">
        <f>IF(OR(計分!AH319="",計分!$AP319=""),"",計分!$AP319-計分!AH319)</f>
        <v/>
      </c>
      <c r="AI319">
        <f>IF(OR(計分!AI319="",計分!$AP319=""),"",計分!$AP319-計分!AI319)</f>
        <v/>
      </c>
      <c r="AJ319">
        <f>IF(OR(計分!AJ319="",計分!$AP319=""),"",計分!$AP319-計分!AJ319)</f>
        <v/>
      </c>
      <c r="AK319">
        <f>IF(OR(計分!AK319="",計分!$AP319=""),"",計分!$AP319-計分!AK319)</f>
        <v/>
      </c>
      <c r="AL319">
        <f>IF(OR(計分!AL319="",計分!$AP319=""),"",計分!$AP319-計分!AL319)</f>
        <v/>
      </c>
      <c r="AM319">
        <f>IF(OR(計分!AM319="",計分!$AP319=""),"",計分!$AP319-計分!AM319)</f>
        <v/>
      </c>
      <c r="AN319">
        <f>IF(OR(計分!AN319="",計分!$AP319=""),"",計分!$AP319-計分!AN319)</f>
        <v/>
      </c>
      <c r="AO319">
        <f>IF(OR(計分!AO319="",計分!$AP319=""),"",計分!$AP319-計分!AO319)</f>
        <v/>
      </c>
    </row>
    <row r="320">
      <c r="A320">
        <f>計分!A320</f>
        <v/>
      </c>
      <c r="B320">
        <f>IF(OR(計分!B320="",計分!$AP320=""),"",計分!$AP320-計分!B320)</f>
        <v/>
      </c>
      <c r="C320">
        <f>IF(OR(計分!C320="",計分!$AP320=""),"",計分!$AP320-計分!C320)</f>
        <v/>
      </c>
      <c r="D320">
        <f>IF(OR(計分!D320="",計分!$AP320=""),"",計分!$AP320-計分!D320)</f>
        <v/>
      </c>
      <c r="E320">
        <f>IF(OR(計分!E320="",計分!$AP320=""),"",計分!$AP320-計分!E320)</f>
        <v/>
      </c>
      <c r="F320">
        <f>IF(OR(計分!F320="",計分!$AP320=""),"",計分!$AP320-計分!F320)</f>
        <v/>
      </c>
      <c r="G320">
        <f>IF(OR(計分!G320="",計分!$AP320=""),"",計分!$AP320-計分!G320)</f>
        <v/>
      </c>
      <c r="H320">
        <f>IF(OR(計分!H320="",計分!$AP320=""),"",計分!$AP320-計分!H320)</f>
        <v/>
      </c>
      <c r="I320">
        <f>IF(OR(計分!I320="",計分!$AP320=""),"",計分!$AP320-計分!I320)</f>
        <v/>
      </c>
      <c r="J320">
        <f>IF(OR(計分!J320="",計分!$AP320=""),"",計分!$AP320-計分!J320)</f>
        <v/>
      </c>
      <c r="K320">
        <f>IF(OR(計分!K320="",計分!$AP320=""),"",計分!$AP320-計分!K320)</f>
        <v/>
      </c>
      <c r="L320">
        <f>IF(OR(計分!L320="",計分!$AP320=""),"",計分!$AP320-計分!L320)</f>
        <v/>
      </c>
      <c r="M320">
        <f>IF(OR(計分!M320="",計分!$AP320=""),"",計分!$AP320-計分!M320)</f>
        <v/>
      </c>
      <c r="N320">
        <f>IF(OR(計分!N320="",計分!$AP320=""),"",計分!$AP320-計分!N320)</f>
        <v/>
      </c>
      <c r="O320">
        <f>IF(OR(計分!O320="",計分!$AP320=""),"",計分!$AP320-計分!O320)</f>
        <v/>
      </c>
      <c r="P320">
        <f>IF(OR(計分!P320="",計分!$AP320=""),"",計分!$AP320-計分!P320)</f>
        <v/>
      </c>
      <c r="Q320">
        <f>IF(OR(計分!Q320="",計分!$AP320=""),"",計分!$AP320-計分!Q320)</f>
        <v/>
      </c>
      <c r="R320">
        <f>IF(OR(計分!R320="",計分!$AP320=""),"",計分!$AP320-計分!R320)</f>
        <v/>
      </c>
      <c r="S320">
        <f>IF(OR(計分!S320="",計分!$AP320=""),"",計分!$AP320-計分!S320)</f>
        <v/>
      </c>
      <c r="T320">
        <f>IF(OR(計分!T320="",計分!$AP320=""),"",計分!$AP320-計分!T320)</f>
        <v/>
      </c>
      <c r="U320">
        <f>IF(OR(計分!U320="",計分!$AP320=""),"",計分!$AP320-計分!U320)</f>
        <v/>
      </c>
      <c r="V320">
        <f>IF(OR(計分!V320="",計分!$AP320=""),"",計分!$AP320-計分!V320)</f>
        <v/>
      </c>
      <c r="W320">
        <f>IF(OR(計分!W320="",計分!$AP320=""),"",計分!$AP320-計分!W320)</f>
        <v/>
      </c>
      <c r="X320">
        <f>IF(OR(計分!X320="",計分!$AP320=""),"",計分!$AP320-計分!X320)</f>
        <v/>
      </c>
      <c r="Y320">
        <f>IF(OR(計分!Y320="",計分!$AP320=""),"",計分!$AP320-計分!Y320)</f>
        <v/>
      </c>
      <c r="Z320">
        <f>IF(OR(計分!Z320="",計分!$AP320=""),"",計分!$AP320-計分!Z320)</f>
        <v/>
      </c>
      <c r="AA320">
        <f>IF(OR(計分!AA320="",計分!$AP320=""),"",計分!$AP320-計分!AA320)</f>
        <v/>
      </c>
      <c r="AB320">
        <f>IF(OR(計分!AB320="",計分!$AP320=""),"",計分!$AP320-計分!AB320)</f>
        <v/>
      </c>
      <c r="AC320">
        <f>IF(OR(計分!AC320="",計分!$AP320=""),"",計分!$AP320-計分!AC320)</f>
        <v/>
      </c>
      <c r="AD320">
        <f>IF(OR(計分!AD320="",計分!$AP320=""),"",計分!$AP320-計分!AD320)</f>
        <v/>
      </c>
      <c r="AE320">
        <f>IF(OR(計分!AE320="",計分!$AP320=""),"",計分!$AP320-計分!AE320)</f>
        <v/>
      </c>
      <c r="AF320">
        <f>IF(OR(計分!AF320="",計分!$AP320=""),"",計分!$AP320-計分!AF320)</f>
        <v/>
      </c>
      <c r="AG320">
        <f>IF(OR(計分!AG320="",計分!$AP320=""),"",計分!$AP320-計分!AG320)</f>
        <v/>
      </c>
      <c r="AH320">
        <f>IF(OR(計分!AH320="",計分!$AP320=""),"",計分!$AP320-計分!AH320)</f>
        <v/>
      </c>
      <c r="AI320">
        <f>IF(OR(計分!AI320="",計分!$AP320=""),"",計分!$AP320-計分!AI320)</f>
        <v/>
      </c>
      <c r="AJ320">
        <f>IF(OR(計分!AJ320="",計分!$AP320=""),"",計分!$AP320-計分!AJ320)</f>
        <v/>
      </c>
      <c r="AK320">
        <f>IF(OR(計分!AK320="",計分!$AP320=""),"",計分!$AP320-計分!AK320)</f>
        <v/>
      </c>
      <c r="AL320">
        <f>IF(OR(計分!AL320="",計分!$AP320=""),"",計分!$AP320-計分!AL320)</f>
        <v/>
      </c>
      <c r="AM320">
        <f>IF(OR(計分!AM320="",計分!$AP320=""),"",計分!$AP320-計分!AM320)</f>
        <v/>
      </c>
      <c r="AN320">
        <f>IF(OR(計分!AN320="",計分!$AP320=""),"",計分!$AP320-計分!AN320)</f>
        <v/>
      </c>
      <c r="AO320">
        <f>IF(OR(計分!AO320="",計分!$AP320=""),"",計分!$AP320-計分!AO320)</f>
        <v/>
      </c>
    </row>
    <row r="321">
      <c r="A321">
        <f>計分!A321</f>
        <v/>
      </c>
      <c r="B321">
        <f>IF(OR(計分!B321="",計分!$AP321=""),"",計分!$AP321-計分!B321)</f>
        <v/>
      </c>
      <c r="C321">
        <f>IF(OR(計分!C321="",計分!$AP321=""),"",計分!$AP321-計分!C321)</f>
        <v/>
      </c>
      <c r="D321">
        <f>IF(OR(計分!D321="",計分!$AP321=""),"",計分!$AP321-計分!D321)</f>
        <v/>
      </c>
      <c r="E321">
        <f>IF(OR(計分!E321="",計分!$AP321=""),"",計分!$AP321-計分!E321)</f>
        <v/>
      </c>
      <c r="F321">
        <f>IF(OR(計分!F321="",計分!$AP321=""),"",計分!$AP321-計分!F321)</f>
        <v/>
      </c>
      <c r="G321">
        <f>IF(OR(計分!G321="",計分!$AP321=""),"",計分!$AP321-計分!G321)</f>
        <v/>
      </c>
      <c r="H321">
        <f>IF(OR(計分!H321="",計分!$AP321=""),"",計分!$AP321-計分!H321)</f>
        <v/>
      </c>
      <c r="I321">
        <f>IF(OR(計分!I321="",計分!$AP321=""),"",計分!$AP321-計分!I321)</f>
        <v/>
      </c>
      <c r="J321">
        <f>IF(OR(計分!J321="",計分!$AP321=""),"",計分!$AP321-計分!J321)</f>
        <v/>
      </c>
      <c r="K321">
        <f>IF(OR(計分!K321="",計分!$AP321=""),"",計分!$AP321-計分!K321)</f>
        <v/>
      </c>
      <c r="L321">
        <f>IF(OR(計分!L321="",計分!$AP321=""),"",計分!$AP321-計分!L321)</f>
        <v/>
      </c>
      <c r="M321">
        <f>IF(OR(計分!M321="",計分!$AP321=""),"",計分!$AP321-計分!M321)</f>
        <v/>
      </c>
      <c r="N321">
        <f>IF(OR(計分!N321="",計分!$AP321=""),"",計分!$AP321-計分!N321)</f>
        <v/>
      </c>
      <c r="O321">
        <f>IF(OR(計分!O321="",計分!$AP321=""),"",計分!$AP321-計分!O321)</f>
        <v/>
      </c>
      <c r="P321">
        <f>IF(OR(計分!P321="",計分!$AP321=""),"",計分!$AP321-計分!P321)</f>
        <v/>
      </c>
      <c r="Q321">
        <f>IF(OR(計分!Q321="",計分!$AP321=""),"",計分!$AP321-計分!Q321)</f>
        <v/>
      </c>
      <c r="R321">
        <f>IF(OR(計分!R321="",計分!$AP321=""),"",計分!$AP321-計分!R321)</f>
        <v/>
      </c>
      <c r="S321">
        <f>IF(OR(計分!S321="",計分!$AP321=""),"",計分!$AP321-計分!S321)</f>
        <v/>
      </c>
      <c r="T321">
        <f>IF(OR(計分!T321="",計分!$AP321=""),"",計分!$AP321-計分!T321)</f>
        <v/>
      </c>
      <c r="U321">
        <f>IF(OR(計分!U321="",計分!$AP321=""),"",計分!$AP321-計分!U321)</f>
        <v/>
      </c>
      <c r="V321">
        <f>IF(OR(計分!V321="",計分!$AP321=""),"",計分!$AP321-計分!V321)</f>
        <v/>
      </c>
      <c r="W321">
        <f>IF(OR(計分!W321="",計分!$AP321=""),"",計分!$AP321-計分!W321)</f>
        <v/>
      </c>
      <c r="X321">
        <f>IF(OR(計分!X321="",計分!$AP321=""),"",計分!$AP321-計分!X321)</f>
        <v/>
      </c>
      <c r="Y321">
        <f>IF(OR(計分!Y321="",計分!$AP321=""),"",計分!$AP321-計分!Y321)</f>
        <v/>
      </c>
      <c r="Z321">
        <f>IF(OR(計分!Z321="",計分!$AP321=""),"",計分!$AP321-計分!Z321)</f>
        <v/>
      </c>
      <c r="AA321">
        <f>IF(OR(計分!AA321="",計分!$AP321=""),"",計分!$AP321-計分!AA321)</f>
        <v/>
      </c>
      <c r="AB321">
        <f>IF(OR(計分!AB321="",計分!$AP321=""),"",計分!$AP321-計分!AB321)</f>
        <v/>
      </c>
      <c r="AC321">
        <f>IF(OR(計分!AC321="",計分!$AP321=""),"",計分!$AP321-計分!AC321)</f>
        <v/>
      </c>
      <c r="AD321">
        <f>IF(OR(計分!AD321="",計分!$AP321=""),"",計分!$AP321-計分!AD321)</f>
        <v/>
      </c>
      <c r="AE321">
        <f>IF(OR(計分!AE321="",計分!$AP321=""),"",計分!$AP321-計分!AE321)</f>
        <v/>
      </c>
      <c r="AF321">
        <f>IF(OR(計分!AF321="",計分!$AP321=""),"",計分!$AP321-計分!AF321)</f>
        <v/>
      </c>
      <c r="AG321">
        <f>IF(OR(計分!AG321="",計分!$AP321=""),"",計分!$AP321-計分!AG321)</f>
        <v/>
      </c>
      <c r="AH321">
        <f>IF(OR(計分!AH321="",計分!$AP321=""),"",計分!$AP321-計分!AH321)</f>
        <v/>
      </c>
      <c r="AI321">
        <f>IF(OR(計分!AI321="",計分!$AP321=""),"",計分!$AP321-計分!AI321)</f>
        <v/>
      </c>
      <c r="AJ321">
        <f>IF(OR(計分!AJ321="",計分!$AP321=""),"",計分!$AP321-計分!AJ321)</f>
        <v/>
      </c>
      <c r="AK321">
        <f>IF(OR(計分!AK321="",計分!$AP321=""),"",計分!$AP321-計分!AK321)</f>
        <v/>
      </c>
      <c r="AL321">
        <f>IF(OR(計分!AL321="",計分!$AP321=""),"",計分!$AP321-計分!AL321)</f>
        <v/>
      </c>
      <c r="AM321">
        <f>IF(OR(計分!AM321="",計分!$AP321=""),"",計分!$AP321-計分!AM321)</f>
        <v/>
      </c>
      <c r="AN321">
        <f>IF(OR(計分!AN321="",計分!$AP321=""),"",計分!$AP321-計分!AN321)</f>
        <v/>
      </c>
      <c r="AO321">
        <f>IF(OR(計分!AO321="",計分!$AP321=""),"",計分!$AP321-計分!AO321)</f>
        <v/>
      </c>
    </row>
    <row r="322">
      <c r="A322">
        <f>計分!A322</f>
        <v/>
      </c>
      <c r="B322">
        <f>IF(OR(計分!B322="",計分!$AP322=""),"",計分!$AP322-計分!B322)</f>
        <v/>
      </c>
      <c r="C322">
        <f>IF(OR(計分!C322="",計分!$AP322=""),"",計分!$AP322-計分!C322)</f>
        <v/>
      </c>
      <c r="D322">
        <f>IF(OR(計分!D322="",計分!$AP322=""),"",計分!$AP322-計分!D322)</f>
        <v/>
      </c>
      <c r="E322">
        <f>IF(OR(計分!E322="",計分!$AP322=""),"",計分!$AP322-計分!E322)</f>
        <v/>
      </c>
      <c r="F322">
        <f>IF(OR(計分!F322="",計分!$AP322=""),"",計分!$AP322-計分!F322)</f>
        <v/>
      </c>
      <c r="G322">
        <f>IF(OR(計分!G322="",計分!$AP322=""),"",計分!$AP322-計分!G322)</f>
        <v/>
      </c>
      <c r="H322">
        <f>IF(OR(計分!H322="",計分!$AP322=""),"",計分!$AP322-計分!H322)</f>
        <v/>
      </c>
      <c r="I322">
        <f>IF(OR(計分!I322="",計分!$AP322=""),"",計分!$AP322-計分!I322)</f>
        <v/>
      </c>
      <c r="J322">
        <f>IF(OR(計分!J322="",計分!$AP322=""),"",計分!$AP322-計分!J322)</f>
        <v/>
      </c>
      <c r="K322">
        <f>IF(OR(計分!K322="",計分!$AP322=""),"",計分!$AP322-計分!K322)</f>
        <v/>
      </c>
      <c r="L322">
        <f>IF(OR(計分!L322="",計分!$AP322=""),"",計分!$AP322-計分!L322)</f>
        <v/>
      </c>
      <c r="M322">
        <f>IF(OR(計分!M322="",計分!$AP322=""),"",計分!$AP322-計分!M322)</f>
        <v/>
      </c>
      <c r="N322">
        <f>IF(OR(計分!N322="",計分!$AP322=""),"",計分!$AP322-計分!N322)</f>
        <v/>
      </c>
      <c r="O322">
        <f>IF(OR(計分!O322="",計分!$AP322=""),"",計分!$AP322-計分!O322)</f>
        <v/>
      </c>
      <c r="P322">
        <f>IF(OR(計分!P322="",計分!$AP322=""),"",計分!$AP322-計分!P322)</f>
        <v/>
      </c>
      <c r="Q322">
        <f>IF(OR(計分!Q322="",計分!$AP322=""),"",計分!$AP322-計分!Q322)</f>
        <v/>
      </c>
      <c r="R322">
        <f>IF(OR(計分!R322="",計分!$AP322=""),"",計分!$AP322-計分!R322)</f>
        <v/>
      </c>
      <c r="S322">
        <f>IF(OR(計分!S322="",計分!$AP322=""),"",計分!$AP322-計分!S322)</f>
        <v/>
      </c>
      <c r="T322">
        <f>IF(OR(計分!T322="",計分!$AP322=""),"",計分!$AP322-計分!T322)</f>
        <v/>
      </c>
      <c r="U322">
        <f>IF(OR(計分!U322="",計分!$AP322=""),"",計分!$AP322-計分!U322)</f>
        <v/>
      </c>
      <c r="V322">
        <f>IF(OR(計分!V322="",計分!$AP322=""),"",計分!$AP322-計分!V322)</f>
        <v/>
      </c>
      <c r="W322">
        <f>IF(OR(計分!W322="",計分!$AP322=""),"",計分!$AP322-計分!W322)</f>
        <v/>
      </c>
      <c r="X322">
        <f>IF(OR(計分!X322="",計分!$AP322=""),"",計分!$AP322-計分!X322)</f>
        <v/>
      </c>
      <c r="Y322">
        <f>IF(OR(計分!Y322="",計分!$AP322=""),"",計分!$AP322-計分!Y322)</f>
        <v/>
      </c>
      <c r="Z322">
        <f>IF(OR(計分!Z322="",計分!$AP322=""),"",計分!$AP322-計分!Z322)</f>
        <v/>
      </c>
      <c r="AA322">
        <f>IF(OR(計分!AA322="",計分!$AP322=""),"",計分!$AP322-計分!AA322)</f>
        <v/>
      </c>
      <c r="AB322">
        <f>IF(OR(計分!AB322="",計分!$AP322=""),"",計分!$AP322-計分!AB322)</f>
        <v/>
      </c>
      <c r="AC322">
        <f>IF(OR(計分!AC322="",計分!$AP322=""),"",計分!$AP322-計分!AC322)</f>
        <v/>
      </c>
      <c r="AD322">
        <f>IF(OR(計分!AD322="",計分!$AP322=""),"",計分!$AP322-計分!AD322)</f>
        <v/>
      </c>
      <c r="AE322">
        <f>IF(OR(計分!AE322="",計分!$AP322=""),"",計分!$AP322-計分!AE322)</f>
        <v/>
      </c>
      <c r="AF322">
        <f>IF(OR(計分!AF322="",計分!$AP322=""),"",計分!$AP322-計分!AF322)</f>
        <v/>
      </c>
      <c r="AG322">
        <f>IF(OR(計分!AG322="",計分!$AP322=""),"",計分!$AP322-計分!AG322)</f>
        <v/>
      </c>
      <c r="AH322">
        <f>IF(OR(計分!AH322="",計分!$AP322=""),"",計分!$AP322-計分!AH322)</f>
        <v/>
      </c>
      <c r="AI322">
        <f>IF(OR(計分!AI322="",計分!$AP322=""),"",計分!$AP322-計分!AI322)</f>
        <v/>
      </c>
      <c r="AJ322">
        <f>IF(OR(計分!AJ322="",計分!$AP322=""),"",計分!$AP322-計分!AJ322)</f>
        <v/>
      </c>
      <c r="AK322">
        <f>IF(OR(計分!AK322="",計分!$AP322=""),"",計分!$AP322-計分!AK322)</f>
        <v/>
      </c>
      <c r="AL322">
        <f>IF(OR(計分!AL322="",計分!$AP322=""),"",計分!$AP322-計分!AL322)</f>
        <v/>
      </c>
      <c r="AM322">
        <f>IF(OR(計分!AM322="",計分!$AP322=""),"",計分!$AP322-計分!AM322)</f>
        <v/>
      </c>
      <c r="AN322">
        <f>IF(OR(計分!AN322="",計分!$AP322=""),"",計分!$AP322-計分!AN322)</f>
        <v/>
      </c>
      <c r="AO322">
        <f>IF(OR(計分!AO322="",計分!$AP322=""),"",計分!$AP322-計分!AO322)</f>
        <v/>
      </c>
    </row>
    <row r="323">
      <c r="A323">
        <f>計分!A323</f>
        <v/>
      </c>
      <c r="B323">
        <f>IF(OR(計分!B323="",計分!$AP323=""),"",計分!$AP323-計分!B323)</f>
        <v/>
      </c>
      <c r="C323">
        <f>IF(OR(計分!C323="",計分!$AP323=""),"",計分!$AP323-計分!C323)</f>
        <v/>
      </c>
      <c r="D323">
        <f>IF(OR(計分!D323="",計分!$AP323=""),"",計分!$AP323-計分!D323)</f>
        <v/>
      </c>
      <c r="E323">
        <f>IF(OR(計分!E323="",計分!$AP323=""),"",計分!$AP323-計分!E323)</f>
        <v/>
      </c>
      <c r="F323">
        <f>IF(OR(計分!F323="",計分!$AP323=""),"",計分!$AP323-計分!F323)</f>
        <v/>
      </c>
      <c r="G323">
        <f>IF(OR(計分!G323="",計分!$AP323=""),"",計分!$AP323-計分!G323)</f>
        <v/>
      </c>
      <c r="H323">
        <f>IF(OR(計分!H323="",計分!$AP323=""),"",計分!$AP323-計分!H323)</f>
        <v/>
      </c>
      <c r="I323">
        <f>IF(OR(計分!I323="",計分!$AP323=""),"",計分!$AP323-計分!I323)</f>
        <v/>
      </c>
      <c r="J323">
        <f>IF(OR(計分!J323="",計分!$AP323=""),"",計分!$AP323-計分!J323)</f>
        <v/>
      </c>
      <c r="K323">
        <f>IF(OR(計分!K323="",計分!$AP323=""),"",計分!$AP323-計分!K323)</f>
        <v/>
      </c>
      <c r="L323">
        <f>IF(OR(計分!L323="",計分!$AP323=""),"",計分!$AP323-計分!L323)</f>
        <v/>
      </c>
      <c r="M323">
        <f>IF(OR(計分!M323="",計分!$AP323=""),"",計分!$AP323-計分!M323)</f>
        <v/>
      </c>
      <c r="N323">
        <f>IF(OR(計分!N323="",計分!$AP323=""),"",計分!$AP323-計分!N323)</f>
        <v/>
      </c>
      <c r="O323">
        <f>IF(OR(計分!O323="",計分!$AP323=""),"",計分!$AP323-計分!O323)</f>
        <v/>
      </c>
      <c r="P323">
        <f>IF(OR(計分!P323="",計分!$AP323=""),"",計分!$AP323-計分!P323)</f>
        <v/>
      </c>
      <c r="Q323">
        <f>IF(OR(計分!Q323="",計分!$AP323=""),"",計分!$AP323-計分!Q323)</f>
        <v/>
      </c>
      <c r="R323">
        <f>IF(OR(計分!R323="",計分!$AP323=""),"",計分!$AP323-計分!R323)</f>
        <v/>
      </c>
      <c r="S323">
        <f>IF(OR(計分!S323="",計分!$AP323=""),"",計分!$AP323-計分!S323)</f>
        <v/>
      </c>
      <c r="T323">
        <f>IF(OR(計分!T323="",計分!$AP323=""),"",計分!$AP323-計分!T323)</f>
        <v/>
      </c>
      <c r="U323">
        <f>IF(OR(計分!U323="",計分!$AP323=""),"",計分!$AP323-計分!U323)</f>
        <v/>
      </c>
      <c r="V323">
        <f>IF(OR(計分!V323="",計分!$AP323=""),"",計分!$AP323-計分!V323)</f>
        <v/>
      </c>
      <c r="W323">
        <f>IF(OR(計分!W323="",計分!$AP323=""),"",計分!$AP323-計分!W323)</f>
        <v/>
      </c>
      <c r="X323">
        <f>IF(OR(計分!X323="",計分!$AP323=""),"",計分!$AP323-計分!X323)</f>
        <v/>
      </c>
      <c r="Y323">
        <f>IF(OR(計分!Y323="",計分!$AP323=""),"",計分!$AP323-計分!Y323)</f>
        <v/>
      </c>
      <c r="Z323">
        <f>IF(OR(計分!Z323="",計分!$AP323=""),"",計分!$AP323-計分!Z323)</f>
        <v/>
      </c>
      <c r="AA323">
        <f>IF(OR(計分!AA323="",計分!$AP323=""),"",計分!$AP323-計分!AA323)</f>
        <v/>
      </c>
      <c r="AB323">
        <f>IF(OR(計分!AB323="",計分!$AP323=""),"",計分!$AP323-計分!AB323)</f>
        <v/>
      </c>
      <c r="AC323">
        <f>IF(OR(計分!AC323="",計分!$AP323=""),"",計分!$AP323-計分!AC323)</f>
        <v/>
      </c>
      <c r="AD323">
        <f>IF(OR(計分!AD323="",計分!$AP323=""),"",計分!$AP323-計分!AD323)</f>
        <v/>
      </c>
      <c r="AE323">
        <f>IF(OR(計分!AE323="",計分!$AP323=""),"",計分!$AP323-計分!AE323)</f>
        <v/>
      </c>
      <c r="AF323">
        <f>IF(OR(計分!AF323="",計分!$AP323=""),"",計分!$AP323-計分!AF323)</f>
        <v/>
      </c>
      <c r="AG323">
        <f>IF(OR(計分!AG323="",計分!$AP323=""),"",計分!$AP323-計分!AG323)</f>
        <v/>
      </c>
      <c r="AH323">
        <f>IF(OR(計分!AH323="",計分!$AP323=""),"",計分!$AP323-計分!AH323)</f>
        <v/>
      </c>
      <c r="AI323">
        <f>IF(OR(計分!AI323="",計分!$AP323=""),"",計分!$AP323-計分!AI323)</f>
        <v/>
      </c>
      <c r="AJ323">
        <f>IF(OR(計分!AJ323="",計分!$AP323=""),"",計分!$AP323-計分!AJ323)</f>
        <v/>
      </c>
      <c r="AK323">
        <f>IF(OR(計分!AK323="",計分!$AP323=""),"",計分!$AP323-計分!AK323)</f>
        <v/>
      </c>
      <c r="AL323">
        <f>IF(OR(計分!AL323="",計分!$AP323=""),"",計分!$AP323-計分!AL323)</f>
        <v/>
      </c>
      <c r="AM323">
        <f>IF(OR(計分!AM323="",計分!$AP323=""),"",計分!$AP323-計分!AM323)</f>
        <v/>
      </c>
      <c r="AN323">
        <f>IF(OR(計分!AN323="",計分!$AP323=""),"",計分!$AP323-計分!AN323)</f>
        <v/>
      </c>
      <c r="AO323">
        <f>IF(OR(計分!AO323="",計分!$AP323=""),"",計分!$AP323-計分!AO323)</f>
        <v/>
      </c>
    </row>
    <row r="324">
      <c r="A324">
        <f>計分!A324</f>
        <v/>
      </c>
      <c r="B324">
        <f>IF(OR(計分!B324="",計分!$AP324=""),"",計分!$AP324-計分!B324)</f>
        <v/>
      </c>
      <c r="C324">
        <f>IF(OR(計分!C324="",計分!$AP324=""),"",計分!$AP324-計分!C324)</f>
        <v/>
      </c>
      <c r="D324">
        <f>IF(OR(計分!D324="",計分!$AP324=""),"",計分!$AP324-計分!D324)</f>
        <v/>
      </c>
      <c r="E324">
        <f>IF(OR(計分!E324="",計分!$AP324=""),"",計分!$AP324-計分!E324)</f>
        <v/>
      </c>
      <c r="F324">
        <f>IF(OR(計分!F324="",計分!$AP324=""),"",計分!$AP324-計分!F324)</f>
        <v/>
      </c>
      <c r="G324">
        <f>IF(OR(計分!G324="",計分!$AP324=""),"",計分!$AP324-計分!G324)</f>
        <v/>
      </c>
      <c r="H324">
        <f>IF(OR(計分!H324="",計分!$AP324=""),"",計分!$AP324-計分!H324)</f>
        <v/>
      </c>
      <c r="I324">
        <f>IF(OR(計分!I324="",計分!$AP324=""),"",計分!$AP324-計分!I324)</f>
        <v/>
      </c>
      <c r="J324">
        <f>IF(OR(計分!J324="",計分!$AP324=""),"",計分!$AP324-計分!J324)</f>
        <v/>
      </c>
      <c r="K324">
        <f>IF(OR(計分!K324="",計分!$AP324=""),"",計分!$AP324-計分!K324)</f>
        <v/>
      </c>
      <c r="L324">
        <f>IF(OR(計分!L324="",計分!$AP324=""),"",計分!$AP324-計分!L324)</f>
        <v/>
      </c>
      <c r="M324">
        <f>IF(OR(計分!M324="",計分!$AP324=""),"",計分!$AP324-計分!M324)</f>
        <v/>
      </c>
      <c r="N324">
        <f>IF(OR(計分!N324="",計分!$AP324=""),"",計分!$AP324-計分!N324)</f>
        <v/>
      </c>
      <c r="O324">
        <f>IF(OR(計分!O324="",計分!$AP324=""),"",計分!$AP324-計分!O324)</f>
        <v/>
      </c>
      <c r="P324">
        <f>IF(OR(計分!P324="",計分!$AP324=""),"",計分!$AP324-計分!P324)</f>
        <v/>
      </c>
      <c r="Q324">
        <f>IF(OR(計分!Q324="",計分!$AP324=""),"",計分!$AP324-計分!Q324)</f>
        <v/>
      </c>
      <c r="R324">
        <f>IF(OR(計分!R324="",計分!$AP324=""),"",計分!$AP324-計分!R324)</f>
        <v/>
      </c>
      <c r="S324">
        <f>IF(OR(計分!S324="",計分!$AP324=""),"",計分!$AP324-計分!S324)</f>
        <v/>
      </c>
      <c r="T324">
        <f>IF(OR(計分!T324="",計分!$AP324=""),"",計分!$AP324-計分!T324)</f>
        <v/>
      </c>
      <c r="U324">
        <f>IF(OR(計分!U324="",計分!$AP324=""),"",計分!$AP324-計分!U324)</f>
        <v/>
      </c>
      <c r="V324">
        <f>IF(OR(計分!V324="",計分!$AP324=""),"",計分!$AP324-計分!V324)</f>
        <v/>
      </c>
      <c r="W324">
        <f>IF(OR(計分!W324="",計分!$AP324=""),"",計分!$AP324-計分!W324)</f>
        <v/>
      </c>
      <c r="X324">
        <f>IF(OR(計分!X324="",計分!$AP324=""),"",計分!$AP324-計分!X324)</f>
        <v/>
      </c>
      <c r="Y324">
        <f>IF(OR(計分!Y324="",計分!$AP324=""),"",計分!$AP324-計分!Y324)</f>
        <v/>
      </c>
      <c r="Z324">
        <f>IF(OR(計分!Z324="",計分!$AP324=""),"",計分!$AP324-計分!Z324)</f>
        <v/>
      </c>
      <c r="AA324">
        <f>IF(OR(計分!AA324="",計分!$AP324=""),"",計分!$AP324-計分!AA324)</f>
        <v/>
      </c>
      <c r="AB324">
        <f>IF(OR(計分!AB324="",計分!$AP324=""),"",計分!$AP324-計分!AB324)</f>
        <v/>
      </c>
      <c r="AC324">
        <f>IF(OR(計分!AC324="",計分!$AP324=""),"",計分!$AP324-計分!AC324)</f>
        <v/>
      </c>
      <c r="AD324">
        <f>IF(OR(計分!AD324="",計分!$AP324=""),"",計分!$AP324-計分!AD324)</f>
        <v/>
      </c>
      <c r="AE324">
        <f>IF(OR(計分!AE324="",計分!$AP324=""),"",計分!$AP324-計分!AE324)</f>
        <v/>
      </c>
      <c r="AF324">
        <f>IF(OR(計分!AF324="",計分!$AP324=""),"",計分!$AP324-計分!AF324)</f>
        <v/>
      </c>
      <c r="AG324">
        <f>IF(OR(計分!AG324="",計分!$AP324=""),"",計分!$AP324-計分!AG324)</f>
        <v/>
      </c>
      <c r="AH324">
        <f>IF(OR(計分!AH324="",計分!$AP324=""),"",計分!$AP324-計分!AH324)</f>
        <v/>
      </c>
      <c r="AI324">
        <f>IF(OR(計分!AI324="",計分!$AP324=""),"",計分!$AP324-計分!AI324)</f>
        <v/>
      </c>
      <c r="AJ324">
        <f>IF(OR(計分!AJ324="",計分!$AP324=""),"",計分!$AP324-計分!AJ324)</f>
        <v/>
      </c>
      <c r="AK324">
        <f>IF(OR(計分!AK324="",計分!$AP324=""),"",計分!$AP324-計分!AK324)</f>
        <v/>
      </c>
      <c r="AL324">
        <f>IF(OR(計分!AL324="",計分!$AP324=""),"",計分!$AP324-計分!AL324)</f>
        <v/>
      </c>
      <c r="AM324">
        <f>IF(OR(計分!AM324="",計分!$AP324=""),"",計分!$AP324-計分!AM324)</f>
        <v/>
      </c>
      <c r="AN324">
        <f>IF(OR(計分!AN324="",計分!$AP324=""),"",計分!$AP324-計分!AN324)</f>
        <v/>
      </c>
      <c r="AO324">
        <f>IF(OR(計分!AO324="",計分!$AP324=""),"",計分!$AP324-計分!AO324)</f>
        <v/>
      </c>
    </row>
    <row r="325">
      <c r="A325">
        <f>計分!A325</f>
        <v/>
      </c>
      <c r="B325">
        <f>IF(OR(計分!B325="",計分!$AP325=""),"",計分!$AP325-計分!B325)</f>
        <v/>
      </c>
      <c r="C325">
        <f>IF(OR(計分!C325="",計分!$AP325=""),"",計分!$AP325-計分!C325)</f>
        <v/>
      </c>
      <c r="D325">
        <f>IF(OR(計分!D325="",計分!$AP325=""),"",計分!$AP325-計分!D325)</f>
        <v/>
      </c>
      <c r="E325">
        <f>IF(OR(計分!E325="",計分!$AP325=""),"",計分!$AP325-計分!E325)</f>
        <v/>
      </c>
      <c r="F325">
        <f>IF(OR(計分!F325="",計分!$AP325=""),"",計分!$AP325-計分!F325)</f>
        <v/>
      </c>
      <c r="G325">
        <f>IF(OR(計分!G325="",計分!$AP325=""),"",計分!$AP325-計分!G325)</f>
        <v/>
      </c>
      <c r="H325">
        <f>IF(OR(計分!H325="",計分!$AP325=""),"",計分!$AP325-計分!H325)</f>
        <v/>
      </c>
      <c r="I325">
        <f>IF(OR(計分!I325="",計分!$AP325=""),"",計分!$AP325-計分!I325)</f>
        <v/>
      </c>
      <c r="J325">
        <f>IF(OR(計分!J325="",計分!$AP325=""),"",計分!$AP325-計分!J325)</f>
        <v/>
      </c>
      <c r="K325">
        <f>IF(OR(計分!K325="",計分!$AP325=""),"",計分!$AP325-計分!K325)</f>
        <v/>
      </c>
      <c r="L325">
        <f>IF(OR(計分!L325="",計分!$AP325=""),"",計分!$AP325-計分!L325)</f>
        <v/>
      </c>
      <c r="M325">
        <f>IF(OR(計分!M325="",計分!$AP325=""),"",計分!$AP325-計分!M325)</f>
        <v/>
      </c>
      <c r="N325">
        <f>IF(OR(計分!N325="",計分!$AP325=""),"",計分!$AP325-計分!N325)</f>
        <v/>
      </c>
      <c r="O325">
        <f>IF(OR(計分!O325="",計分!$AP325=""),"",計分!$AP325-計分!O325)</f>
        <v/>
      </c>
      <c r="P325">
        <f>IF(OR(計分!P325="",計分!$AP325=""),"",計分!$AP325-計分!P325)</f>
        <v/>
      </c>
      <c r="Q325">
        <f>IF(OR(計分!Q325="",計分!$AP325=""),"",計分!$AP325-計分!Q325)</f>
        <v/>
      </c>
      <c r="R325">
        <f>IF(OR(計分!R325="",計分!$AP325=""),"",計分!$AP325-計分!R325)</f>
        <v/>
      </c>
      <c r="S325">
        <f>IF(OR(計分!S325="",計分!$AP325=""),"",計分!$AP325-計分!S325)</f>
        <v/>
      </c>
      <c r="T325">
        <f>IF(OR(計分!T325="",計分!$AP325=""),"",計分!$AP325-計分!T325)</f>
        <v/>
      </c>
      <c r="U325">
        <f>IF(OR(計分!U325="",計分!$AP325=""),"",計分!$AP325-計分!U325)</f>
        <v/>
      </c>
      <c r="V325">
        <f>IF(OR(計分!V325="",計分!$AP325=""),"",計分!$AP325-計分!V325)</f>
        <v/>
      </c>
      <c r="W325">
        <f>IF(OR(計分!W325="",計分!$AP325=""),"",計分!$AP325-計分!W325)</f>
        <v/>
      </c>
      <c r="X325">
        <f>IF(OR(計分!X325="",計分!$AP325=""),"",計分!$AP325-計分!X325)</f>
        <v/>
      </c>
      <c r="Y325">
        <f>IF(OR(計分!Y325="",計分!$AP325=""),"",計分!$AP325-計分!Y325)</f>
        <v/>
      </c>
      <c r="Z325">
        <f>IF(OR(計分!Z325="",計分!$AP325=""),"",計分!$AP325-計分!Z325)</f>
        <v/>
      </c>
      <c r="AA325">
        <f>IF(OR(計分!AA325="",計分!$AP325=""),"",計分!$AP325-計分!AA325)</f>
        <v/>
      </c>
      <c r="AB325">
        <f>IF(OR(計分!AB325="",計分!$AP325=""),"",計分!$AP325-計分!AB325)</f>
        <v/>
      </c>
      <c r="AC325">
        <f>IF(OR(計分!AC325="",計分!$AP325=""),"",計分!$AP325-計分!AC325)</f>
        <v/>
      </c>
      <c r="AD325">
        <f>IF(OR(計分!AD325="",計分!$AP325=""),"",計分!$AP325-計分!AD325)</f>
        <v/>
      </c>
      <c r="AE325">
        <f>IF(OR(計分!AE325="",計分!$AP325=""),"",計分!$AP325-計分!AE325)</f>
        <v/>
      </c>
      <c r="AF325">
        <f>IF(OR(計分!AF325="",計分!$AP325=""),"",計分!$AP325-計分!AF325)</f>
        <v/>
      </c>
      <c r="AG325">
        <f>IF(OR(計分!AG325="",計分!$AP325=""),"",計分!$AP325-計分!AG325)</f>
        <v/>
      </c>
      <c r="AH325">
        <f>IF(OR(計分!AH325="",計分!$AP325=""),"",計分!$AP325-計分!AH325)</f>
        <v/>
      </c>
      <c r="AI325">
        <f>IF(OR(計分!AI325="",計分!$AP325=""),"",計分!$AP325-計分!AI325)</f>
        <v/>
      </c>
      <c r="AJ325">
        <f>IF(OR(計分!AJ325="",計分!$AP325=""),"",計分!$AP325-計分!AJ325)</f>
        <v/>
      </c>
      <c r="AK325">
        <f>IF(OR(計分!AK325="",計分!$AP325=""),"",計分!$AP325-計分!AK325)</f>
        <v/>
      </c>
      <c r="AL325">
        <f>IF(OR(計分!AL325="",計分!$AP325=""),"",計分!$AP325-計分!AL325)</f>
        <v/>
      </c>
      <c r="AM325">
        <f>IF(OR(計分!AM325="",計分!$AP325=""),"",計分!$AP325-計分!AM325)</f>
        <v/>
      </c>
      <c r="AN325">
        <f>IF(OR(計分!AN325="",計分!$AP325=""),"",計分!$AP325-計分!AN325)</f>
        <v/>
      </c>
      <c r="AO325">
        <f>IF(OR(計分!AO325="",計分!$AP325=""),"",計分!$AP325-計分!AO325)</f>
        <v/>
      </c>
    </row>
    <row r="326">
      <c r="A326">
        <f>計分!A326</f>
        <v/>
      </c>
      <c r="B326">
        <f>IF(OR(計分!B326="",計分!$AP326=""),"",計分!$AP326-計分!B326)</f>
        <v/>
      </c>
      <c r="C326">
        <f>IF(OR(計分!C326="",計分!$AP326=""),"",計分!$AP326-計分!C326)</f>
        <v/>
      </c>
      <c r="D326">
        <f>IF(OR(計分!D326="",計分!$AP326=""),"",計分!$AP326-計分!D326)</f>
        <v/>
      </c>
      <c r="E326">
        <f>IF(OR(計分!E326="",計分!$AP326=""),"",計分!$AP326-計分!E326)</f>
        <v/>
      </c>
      <c r="F326">
        <f>IF(OR(計分!F326="",計分!$AP326=""),"",計分!$AP326-計分!F326)</f>
        <v/>
      </c>
      <c r="G326">
        <f>IF(OR(計分!G326="",計分!$AP326=""),"",計分!$AP326-計分!G326)</f>
        <v/>
      </c>
      <c r="H326">
        <f>IF(OR(計分!H326="",計分!$AP326=""),"",計分!$AP326-計分!H326)</f>
        <v/>
      </c>
      <c r="I326">
        <f>IF(OR(計分!I326="",計分!$AP326=""),"",計分!$AP326-計分!I326)</f>
        <v/>
      </c>
      <c r="J326">
        <f>IF(OR(計分!J326="",計分!$AP326=""),"",計分!$AP326-計分!J326)</f>
        <v/>
      </c>
      <c r="K326">
        <f>IF(OR(計分!K326="",計分!$AP326=""),"",計分!$AP326-計分!K326)</f>
        <v/>
      </c>
      <c r="L326">
        <f>IF(OR(計分!L326="",計分!$AP326=""),"",計分!$AP326-計分!L326)</f>
        <v/>
      </c>
      <c r="M326">
        <f>IF(OR(計分!M326="",計分!$AP326=""),"",計分!$AP326-計分!M326)</f>
        <v/>
      </c>
      <c r="N326">
        <f>IF(OR(計分!N326="",計分!$AP326=""),"",計分!$AP326-計分!N326)</f>
        <v/>
      </c>
      <c r="O326">
        <f>IF(OR(計分!O326="",計分!$AP326=""),"",計分!$AP326-計分!O326)</f>
        <v/>
      </c>
      <c r="P326">
        <f>IF(OR(計分!P326="",計分!$AP326=""),"",計分!$AP326-計分!P326)</f>
        <v/>
      </c>
      <c r="Q326">
        <f>IF(OR(計分!Q326="",計分!$AP326=""),"",計分!$AP326-計分!Q326)</f>
        <v/>
      </c>
      <c r="R326">
        <f>IF(OR(計分!R326="",計分!$AP326=""),"",計分!$AP326-計分!R326)</f>
        <v/>
      </c>
      <c r="S326">
        <f>IF(OR(計分!S326="",計分!$AP326=""),"",計分!$AP326-計分!S326)</f>
        <v/>
      </c>
      <c r="T326">
        <f>IF(OR(計分!T326="",計分!$AP326=""),"",計分!$AP326-計分!T326)</f>
        <v/>
      </c>
      <c r="U326">
        <f>IF(OR(計分!U326="",計分!$AP326=""),"",計分!$AP326-計分!U326)</f>
        <v/>
      </c>
      <c r="V326">
        <f>IF(OR(計分!V326="",計分!$AP326=""),"",計分!$AP326-計分!V326)</f>
        <v/>
      </c>
      <c r="W326">
        <f>IF(OR(計分!W326="",計分!$AP326=""),"",計分!$AP326-計分!W326)</f>
        <v/>
      </c>
      <c r="X326">
        <f>IF(OR(計分!X326="",計分!$AP326=""),"",計分!$AP326-計分!X326)</f>
        <v/>
      </c>
      <c r="Y326">
        <f>IF(OR(計分!Y326="",計分!$AP326=""),"",計分!$AP326-計分!Y326)</f>
        <v/>
      </c>
      <c r="Z326">
        <f>IF(OR(計分!Z326="",計分!$AP326=""),"",計分!$AP326-計分!Z326)</f>
        <v/>
      </c>
      <c r="AA326">
        <f>IF(OR(計分!AA326="",計分!$AP326=""),"",計分!$AP326-計分!AA326)</f>
        <v/>
      </c>
      <c r="AB326">
        <f>IF(OR(計分!AB326="",計分!$AP326=""),"",計分!$AP326-計分!AB326)</f>
        <v/>
      </c>
      <c r="AC326">
        <f>IF(OR(計分!AC326="",計分!$AP326=""),"",計分!$AP326-計分!AC326)</f>
        <v/>
      </c>
      <c r="AD326">
        <f>IF(OR(計分!AD326="",計分!$AP326=""),"",計分!$AP326-計分!AD326)</f>
        <v/>
      </c>
      <c r="AE326">
        <f>IF(OR(計分!AE326="",計分!$AP326=""),"",計分!$AP326-計分!AE326)</f>
        <v/>
      </c>
      <c r="AF326">
        <f>IF(OR(計分!AF326="",計分!$AP326=""),"",計分!$AP326-計分!AF326)</f>
        <v/>
      </c>
      <c r="AG326">
        <f>IF(OR(計分!AG326="",計分!$AP326=""),"",計分!$AP326-計分!AG326)</f>
        <v/>
      </c>
      <c r="AH326">
        <f>IF(OR(計分!AH326="",計分!$AP326=""),"",計分!$AP326-計分!AH326)</f>
        <v/>
      </c>
      <c r="AI326">
        <f>IF(OR(計分!AI326="",計分!$AP326=""),"",計分!$AP326-計分!AI326)</f>
        <v/>
      </c>
      <c r="AJ326">
        <f>IF(OR(計分!AJ326="",計分!$AP326=""),"",計分!$AP326-計分!AJ326)</f>
        <v/>
      </c>
      <c r="AK326">
        <f>IF(OR(計分!AK326="",計分!$AP326=""),"",計分!$AP326-計分!AK326)</f>
        <v/>
      </c>
      <c r="AL326">
        <f>IF(OR(計分!AL326="",計分!$AP326=""),"",計分!$AP326-計分!AL326)</f>
        <v/>
      </c>
      <c r="AM326">
        <f>IF(OR(計分!AM326="",計分!$AP326=""),"",計分!$AP326-計分!AM326)</f>
        <v/>
      </c>
      <c r="AN326">
        <f>IF(OR(計分!AN326="",計分!$AP326=""),"",計分!$AP326-計分!AN326)</f>
        <v/>
      </c>
      <c r="AO326">
        <f>IF(OR(計分!AO326="",計分!$AP326=""),"",計分!$AP326-計分!AO326)</f>
        <v/>
      </c>
    </row>
    <row r="327">
      <c r="A327">
        <f>計分!A327</f>
        <v/>
      </c>
      <c r="B327">
        <f>IF(OR(計分!B327="",計分!$AP327=""),"",計分!$AP327-計分!B327)</f>
        <v/>
      </c>
      <c r="C327">
        <f>IF(OR(計分!C327="",計分!$AP327=""),"",計分!$AP327-計分!C327)</f>
        <v/>
      </c>
      <c r="D327">
        <f>IF(OR(計分!D327="",計分!$AP327=""),"",計分!$AP327-計分!D327)</f>
        <v/>
      </c>
      <c r="E327">
        <f>IF(OR(計分!E327="",計分!$AP327=""),"",計分!$AP327-計分!E327)</f>
        <v/>
      </c>
      <c r="F327">
        <f>IF(OR(計分!F327="",計分!$AP327=""),"",計分!$AP327-計分!F327)</f>
        <v/>
      </c>
      <c r="G327">
        <f>IF(OR(計分!G327="",計分!$AP327=""),"",計分!$AP327-計分!G327)</f>
        <v/>
      </c>
      <c r="H327">
        <f>IF(OR(計分!H327="",計分!$AP327=""),"",計分!$AP327-計分!H327)</f>
        <v/>
      </c>
      <c r="I327">
        <f>IF(OR(計分!I327="",計分!$AP327=""),"",計分!$AP327-計分!I327)</f>
        <v/>
      </c>
      <c r="J327">
        <f>IF(OR(計分!J327="",計分!$AP327=""),"",計分!$AP327-計分!J327)</f>
        <v/>
      </c>
      <c r="K327">
        <f>IF(OR(計分!K327="",計分!$AP327=""),"",計分!$AP327-計分!K327)</f>
        <v/>
      </c>
      <c r="L327">
        <f>IF(OR(計分!L327="",計分!$AP327=""),"",計分!$AP327-計分!L327)</f>
        <v/>
      </c>
      <c r="M327">
        <f>IF(OR(計分!M327="",計分!$AP327=""),"",計分!$AP327-計分!M327)</f>
        <v/>
      </c>
      <c r="N327">
        <f>IF(OR(計分!N327="",計分!$AP327=""),"",計分!$AP327-計分!N327)</f>
        <v/>
      </c>
      <c r="O327">
        <f>IF(OR(計分!O327="",計分!$AP327=""),"",計分!$AP327-計分!O327)</f>
        <v/>
      </c>
      <c r="P327">
        <f>IF(OR(計分!P327="",計分!$AP327=""),"",計分!$AP327-計分!P327)</f>
        <v/>
      </c>
      <c r="Q327">
        <f>IF(OR(計分!Q327="",計分!$AP327=""),"",計分!$AP327-計分!Q327)</f>
        <v/>
      </c>
      <c r="R327">
        <f>IF(OR(計分!R327="",計分!$AP327=""),"",計分!$AP327-計分!R327)</f>
        <v/>
      </c>
      <c r="S327">
        <f>IF(OR(計分!S327="",計分!$AP327=""),"",計分!$AP327-計分!S327)</f>
        <v/>
      </c>
      <c r="T327">
        <f>IF(OR(計分!T327="",計分!$AP327=""),"",計分!$AP327-計分!T327)</f>
        <v/>
      </c>
      <c r="U327">
        <f>IF(OR(計分!U327="",計分!$AP327=""),"",計分!$AP327-計分!U327)</f>
        <v/>
      </c>
      <c r="V327">
        <f>IF(OR(計分!V327="",計分!$AP327=""),"",計分!$AP327-計分!V327)</f>
        <v/>
      </c>
      <c r="W327">
        <f>IF(OR(計分!W327="",計分!$AP327=""),"",計分!$AP327-計分!W327)</f>
        <v/>
      </c>
      <c r="X327">
        <f>IF(OR(計分!X327="",計分!$AP327=""),"",計分!$AP327-計分!X327)</f>
        <v/>
      </c>
      <c r="Y327">
        <f>IF(OR(計分!Y327="",計分!$AP327=""),"",計分!$AP327-計分!Y327)</f>
        <v/>
      </c>
      <c r="Z327">
        <f>IF(OR(計分!Z327="",計分!$AP327=""),"",計分!$AP327-計分!Z327)</f>
        <v/>
      </c>
      <c r="AA327">
        <f>IF(OR(計分!AA327="",計分!$AP327=""),"",計分!$AP327-計分!AA327)</f>
        <v/>
      </c>
      <c r="AB327">
        <f>IF(OR(計分!AB327="",計分!$AP327=""),"",計分!$AP327-計分!AB327)</f>
        <v/>
      </c>
      <c r="AC327">
        <f>IF(OR(計分!AC327="",計分!$AP327=""),"",計分!$AP327-計分!AC327)</f>
        <v/>
      </c>
      <c r="AD327">
        <f>IF(OR(計分!AD327="",計分!$AP327=""),"",計分!$AP327-計分!AD327)</f>
        <v/>
      </c>
      <c r="AE327">
        <f>IF(OR(計分!AE327="",計分!$AP327=""),"",計分!$AP327-計分!AE327)</f>
        <v/>
      </c>
      <c r="AF327">
        <f>IF(OR(計分!AF327="",計分!$AP327=""),"",計分!$AP327-計分!AF327)</f>
        <v/>
      </c>
      <c r="AG327">
        <f>IF(OR(計分!AG327="",計分!$AP327=""),"",計分!$AP327-計分!AG327)</f>
        <v/>
      </c>
      <c r="AH327">
        <f>IF(OR(計分!AH327="",計分!$AP327=""),"",計分!$AP327-計分!AH327)</f>
        <v/>
      </c>
      <c r="AI327">
        <f>IF(OR(計分!AI327="",計分!$AP327=""),"",計分!$AP327-計分!AI327)</f>
        <v/>
      </c>
      <c r="AJ327">
        <f>IF(OR(計分!AJ327="",計分!$AP327=""),"",計分!$AP327-計分!AJ327)</f>
        <v/>
      </c>
      <c r="AK327">
        <f>IF(OR(計分!AK327="",計分!$AP327=""),"",計分!$AP327-計分!AK327)</f>
        <v/>
      </c>
      <c r="AL327">
        <f>IF(OR(計分!AL327="",計分!$AP327=""),"",計分!$AP327-計分!AL327)</f>
        <v/>
      </c>
      <c r="AM327">
        <f>IF(OR(計分!AM327="",計分!$AP327=""),"",計分!$AP327-計分!AM327)</f>
        <v/>
      </c>
      <c r="AN327">
        <f>IF(OR(計分!AN327="",計分!$AP327=""),"",計分!$AP327-計分!AN327)</f>
        <v/>
      </c>
      <c r="AO327">
        <f>IF(OR(計分!AO327="",計分!$AP327=""),"",計分!$AP327-計分!AO327)</f>
        <v/>
      </c>
    </row>
    <row r="328">
      <c r="A328">
        <f>計分!A328</f>
        <v/>
      </c>
      <c r="B328">
        <f>IF(OR(計分!B328="",計分!$AP328=""),"",計分!$AP328-計分!B328)</f>
        <v/>
      </c>
      <c r="C328">
        <f>IF(OR(計分!C328="",計分!$AP328=""),"",計分!$AP328-計分!C328)</f>
        <v/>
      </c>
      <c r="D328">
        <f>IF(OR(計分!D328="",計分!$AP328=""),"",計分!$AP328-計分!D328)</f>
        <v/>
      </c>
      <c r="E328">
        <f>IF(OR(計分!E328="",計分!$AP328=""),"",計分!$AP328-計分!E328)</f>
        <v/>
      </c>
      <c r="F328">
        <f>IF(OR(計分!F328="",計分!$AP328=""),"",計分!$AP328-計分!F328)</f>
        <v/>
      </c>
      <c r="G328">
        <f>IF(OR(計分!G328="",計分!$AP328=""),"",計分!$AP328-計分!G328)</f>
        <v/>
      </c>
      <c r="H328">
        <f>IF(OR(計分!H328="",計分!$AP328=""),"",計分!$AP328-計分!H328)</f>
        <v/>
      </c>
      <c r="I328">
        <f>IF(OR(計分!I328="",計分!$AP328=""),"",計分!$AP328-計分!I328)</f>
        <v/>
      </c>
      <c r="J328">
        <f>IF(OR(計分!J328="",計分!$AP328=""),"",計分!$AP328-計分!J328)</f>
        <v/>
      </c>
      <c r="K328">
        <f>IF(OR(計分!K328="",計分!$AP328=""),"",計分!$AP328-計分!K328)</f>
        <v/>
      </c>
      <c r="L328">
        <f>IF(OR(計分!L328="",計分!$AP328=""),"",計分!$AP328-計分!L328)</f>
        <v/>
      </c>
      <c r="M328">
        <f>IF(OR(計分!M328="",計分!$AP328=""),"",計分!$AP328-計分!M328)</f>
        <v/>
      </c>
      <c r="N328">
        <f>IF(OR(計分!N328="",計分!$AP328=""),"",計分!$AP328-計分!N328)</f>
        <v/>
      </c>
      <c r="O328">
        <f>IF(OR(計分!O328="",計分!$AP328=""),"",計分!$AP328-計分!O328)</f>
        <v/>
      </c>
      <c r="P328">
        <f>IF(OR(計分!P328="",計分!$AP328=""),"",計分!$AP328-計分!P328)</f>
        <v/>
      </c>
      <c r="Q328">
        <f>IF(OR(計分!Q328="",計分!$AP328=""),"",計分!$AP328-計分!Q328)</f>
        <v/>
      </c>
      <c r="R328">
        <f>IF(OR(計分!R328="",計分!$AP328=""),"",計分!$AP328-計分!R328)</f>
        <v/>
      </c>
      <c r="S328">
        <f>IF(OR(計分!S328="",計分!$AP328=""),"",計分!$AP328-計分!S328)</f>
        <v/>
      </c>
      <c r="T328">
        <f>IF(OR(計分!T328="",計分!$AP328=""),"",計分!$AP328-計分!T328)</f>
        <v/>
      </c>
      <c r="U328">
        <f>IF(OR(計分!U328="",計分!$AP328=""),"",計分!$AP328-計分!U328)</f>
        <v/>
      </c>
      <c r="V328">
        <f>IF(OR(計分!V328="",計分!$AP328=""),"",計分!$AP328-計分!V328)</f>
        <v/>
      </c>
      <c r="W328">
        <f>IF(OR(計分!W328="",計分!$AP328=""),"",計分!$AP328-計分!W328)</f>
        <v/>
      </c>
      <c r="X328">
        <f>IF(OR(計分!X328="",計分!$AP328=""),"",計分!$AP328-計分!X328)</f>
        <v/>
      </c>
      <c r="Y328">
        <f>IF(OR(計分!Y328="",計分!$AP328=""),"",計分!$AP328-計分!Y328)</f>
        <v/>
      </c>
      <c r="Z328">
        <f>IF(OR(計分!Z328="",計分!$AP328=""),"",計分!$AP328-計分!Z328)</f>
        <v/>
      </c>
      <c r="AA328">
        <f>IF(OR(計分!AA328="",計分!$AP328=""),"",計分!$AP328-計分!AA328)</f>
        <v/>
      </c>
      <c r="AB328">
        <f>IF(OR(計分!AB328="",計分!$AP328=""),"",計分!$AP328-計分!AB328)</f>
        <v/>
      </c>
      <c r="AC328">
        <f>IF(OR(計分!AC328="",計分!$AP328=""),"",計分!$AP328-計分!AC328)</f>
        <v/>
      </c>
      <c r="AD328">
        <f>IF(OR(計分!AD328="",計分!$AP328=""),"",計分!$AP328-計分!AD328)</f>
        <v/>
      </c>
      <c r="AE328">
        <f>IF(OR(計分!AE328="",計分!$AP328=""),"",計分!$AP328-計分!AE328)</f>
        <v/>
      </c>
      <c r="AF328">
        <f>IF(OR(計分!AF328="",計分!$AP328=""),"",計分!$AP328-計分!AF328)</f>
        <v/>
      </c>
      <c r="AG328">
        <f>IF(OR(計分!AG328="",計分!$AP328=""),"",計分!$AP328-計分!AG328)</f>
        <v/>
      </c>
      <c r="AH328">
        <f>IF(OR(計分!AH328="",計分!$AP328=""),"",計分!$AP328-計分!AH328)</f>
        <v/>
      </c>
      <c r="AI328">
        <f>IF(OR(計分!AI328="",計分!$AP328=""),"",計分!$AP328-計分!AI328)</f>
        <v/>
      </c>
      <c r="AJ328">
        <f>IF(OR(計分!AJ328="",計分!$AP328=""),"",計分!$AP328-計分!AJ328)</f>
        <v/>
      </c>
      <c r="AK328">
        <f>IF(OR(計分!AK328="",計分!$AP328=""),"",計分!$AP328-計分!AK328)</f>
        <v/>
      </c>
      <c r="AL328">
        <f>IF(OR(計分!AL328="",計分!$AP328=""),"",計分!$AP328-計分!AL328)</f>
        <v/>
      </c>
      <c r="AM328">
        <f>IF(OR(計分!AM328="",計分!$AP328=""),"",計分!$AP328-計分!AM328)</f>
        <v/>
      </c>
      <c r="AN328">
        <f>IF(OR(計分!AN328="",計分!$AP328=""),"",計分!$AP328-計分!AN328)</f>
        <v/>
      </c>
      <c r="AO328">
        <f>IF(OR(計分!AO328="",計分!$AP328=""),"",計分!$AP328-計分!AO328)</f>
        <v/>
      </c>
    </row>
    <row r="329">
      <c r="A329">
        <f>計分!A329</f>
        <v/>
      </c>
      <c r="B329">
        <f>IF(OR(計分!B329="",計分!$AP329=""),"",計分!$AP329-計分!B329)</f>
        <v/>
      </c>
      <c r="C329">
        <f>IF(OR(計分!C329="",計分!$AP329=""),"",計分!$AP329-計分!C329)</f>
        <v/>
      </c>
      <c r="D329">
        <f>IF(OR(計分!D329="",計分!$AP329=""),"",計分!$AP329-計分!D329)</f>
        <v/>
      </c>
      <c r="E329">
        <f>IF(OR(計分!E329="",計分!$AP329=""),"",計分!$AP329-計分!E329)</f>
        <v/>
      </c>
      <c r="F329">
        <f>IF(OR(計分!F329="",計分!$AP329=""),"",計分!$AP329-計分!F329)</f>
        <v/>
      </c>
      <c r="G329">
        <f>IF(OR(計分!G329="",計分!$AP329=""),"",計分!$AP329-計分!G329)</f>
        <v/>
      </c>
      <c r="H329">
        <f>IF(OR(計分!H329="",計分!$AP329=""),"",計分!$AP329-計分!H329)</f>
        <v/>
      </c>
      <c r="I329">
        <f>IF(OR(計分!I329="",計分!$AP329=""),"",計分!$AP329-計分!I329)</f>
        <v/>
      </c>
      <c r="J329">
        <f>IF(OR(計分!J329="",計分!$AP329=""),"",計分!$AP329-計分!J329)</f>
        <v/>
      </c>
      <c r="K329">
        <f>IF(OR(計分!K329="",計分!$AP329=""),"",計分!$AP329-計分!K329)</f>
        <v/>
      </c>
      <c r="L329">
        <f>IF(OR(計分!L329="",計分!$AP329=""),"",計分!$AP329-計分!L329)</f>
        <v/>
      </c>
      <c r="M329">
        <f>IF(OR(計分!M329="",計分!$AP329=""),"",計分!$AP329-計分!M329)</f>
        <v/>
      </c>
      <c r="N329">
        <f>IF(OR(計分!N329="",計分!$AP329=""),"",計分!$AP329-計分!N329)</f>
        <v/>
      </c>
      <c r="O329">
        <f>IF(OR(計分!O329="",計分!$AP329=""),"",計分!$AP329-計分!O329)</f>
        <v/>
      </c>
      <c r="P329">
        <f>IF(OR(計分!P329="",計分!$AP329=""),"",計分!$AP329-計分!P329)</f>
        <v/>
      </c>
      <c r="Q329">
        <f>IF(OR(計分!Q329="",計分!$AP329=""),"",計分!$AP329-計分!Q329)</f>
        <v/>
      </c>
      <c r="R329">
        <f>IF(OR(計分!R329="",計分!$AP329=""),"",計分!$AP329-計分!R329)</f>
        <v/>
      </c>
      <c r="S329">
        <f>IF(OR(計分!S329="",計分!$AP329=""),"",計分!$AP329-計分!S329)</f>
        <v/>
      </c>
      <c r="T329">
        <f>IF(OR(計分!T329="",計分!$AP329=""),"",計分!$AP329-計分!T329)</f>
        <v/>
      </c>
      <c r="U329">
        <f>IF(OR(計分!U329="",計分!$AP329=""),"",計分!$AP329-計分!U329)</f>
        <v/>
      </c>
      <c r="V329">
        <f>IF(OR(計分!V329="",計分!$AP329=""),"",計分!$AP329-計分!V329)</f>
        <v/>
      </c>
      <c r="W329">
        <f>IF(OR(計分!W329="",計分!$AP329=""),"",計分!$AP329-計分!W329)</f>
        <v/>
      </c>
      <c r="X329">
        <f>IF(OR(計分!X329="",計分!$AP329=""),"",計分!$AP329-計分!X329)</f>
        <v/>
      </c>
      <c r="Y329">
        <f>IF(OR(計分!Y329="",計分!$AP329=""),"",計分!$AP329-計分!Y329)</f>
        <v/>
      </c>
      <c r="Z329">
        <f>IF(OR(計分!Z329="",計分!$AP329=""),"",計分!$AP329-計分!Z329)</f>
        <v/>
      </c>
      <c r="AA329">
        <f>IF(OR(計分!AA329="",計分!$AP329=""),"",計分!$AP329-計分!AA329)</f>
        <v/>
      </c>
      <c r="AB329">
        <f>IF(OR(計分!AB329="",計分!$AP329=""),"",計分!$AP329-計分!AB329)</f>
        <v/>
      </c>
      <c r="AC329">
        <f>IF(OR(計分!AC329="",計分!$AP329=""),"",計分!$AP329-計分!AC329)</f>
        <v/>
      </c>
      <c r="AD329">
        <f>IF(OR(計分!AD329="",計分!$AP329=""),"",計分!$AP329-計分!AD329)</f>
        <v/>
      </c>
      <c r="AE329">
        <f>IF(OR(計分!AE329="",計分!$AP329=""),"",計分!$AP329-計分!AE329)</f>
        <v/>
      </c>
      <c r="AF329">
        <f>IF(OR(計分!AF329="",計分!$AP329=""),"",計分!$AP329-計分!AF329)</f>
        <v/>
      </c>
      <c r="AG329">
        <f>IF(OR(計分!AG329="",計分!$AP329=""),"",計分!$AP329-計分!AG329)</f>
        <v/>
      </c>
      <c r="AH329">
        <f>IF(OR(計分!AH329="",計分!$AP329=""),"",計分!$AP329-計分!AH329)</f>
        <v/>
      </c>
      <c r="AI329">
        <f>IF(OR(計分!AI329="",計分!$AP329=""),"",計分!$AP329-計分!AI329)</f>
        <v/>
      </c>
      <c r="AJ329">
        <f>IF(OR(計分!AJ329="",計分!$AP329=""),"",計分!$AP329-計分!AJ329)</f>
        <v/>
      </c>
      <c r="AK329">
        <f>IF(OR(計分!AK329="",計分!$AP329=""),"",計分!$AP329-計分!AK329)</f>
        <v/>
      </c>
      <c r="AL329">
        <f>IF(OR(計分!AL329="",計分!$AP329=""),"",計分!$AP329-計分!AL329)</f>
        <v/>
      </c>
      <c r="AM329">
        <f>IF(OR(計分!AM329="",計分!$AP329=""),"",計分!$AP329-計分!AM329)</f>
        <v/>
      </c>
      <c r="AN329">
        <f>IF(OR(計分!AN329="",計分!$AP329=""),"",計分!$AP329-計分!AN329)</f>
        <v/>
      </c>
      <c r="AO329">
        <f>IF(OR(計分!AO329="",計分!$AP329=""),"",計分!$AP329-計分!AO329)</f>
        <v/>
      </c>
    </row>
    <row r="330">
      <c r="A330">
        <f>計分!A330</f>
        <v/>
      </c>
      <c r="B330">
        <f>IF(OR(計分!B330="",計分!$AP330=""),"",計分!$AP330-計分!B330)</f>
        <v/>
      </c>
      <c r="C330">
        <f>IF(OR(計分!C330="",計分!$AP330=""),"",計分!$AP330-計分!C330)</f>
        <v/>
      </c>
      <c r="D330">
        <f>IF(OR(計分!D330="",計分!$AP330=""),"",計分!$AP330-計分!D330)</f>
        <v/>
      </c>
      <c r="E330">
        <f>IF(OR(計分!E330="",計分!$AP330=""),"",計分!$AP330-計分!E330)</f>
        <v/>
      </c>
      <c r="F330">
        <f>IF(OR(計分!F330="",計分!$AP330=""),"",計分!$AP330-計分!F330)</f>
        <v/>
      </c>
      <c r="G330">
        <f>IF(OR(計分!G330="",計分!$AP330=""),"",計分!$AP330-計分!G330)</f>
        <v/>
      </c>
      <c r="H330">
        <f>IF(OR(計分!H330="",計分!$AP330=""),"",計分!$AP330-計分!H330)</f>
        <v/>
      </c>
      <c r="I330">
        <f>IF(OR(計分!I330="",計分!$AP330=""),"",計分!$AP330-計分!I330)</f>
        <v/>
      </c>
      <c r="J330">
        <f>IF(OR(計分!J330="",計分!$AP330=""),"",計分!$AP330-計分!J330)</f>
        <v/>
      </c>
      <c r="K330">
        <f>IF(OR(計分!K330="",計分!$AP330=""),"",計分!$AP330-計分!K330)</f>
        <v/>
      </c>
      <c r="L330">
        <f>IF(OR(計分!L330="",計分!$AP330=""),"",計分!$AP330-計分!L330)</f>
        <v/>
      </c>
      <c r="M330">
        <f>IF(OR(計分!M330="",計分!$AP330=""),"",計分!$AP330-計分!M330)</f>
        <v/>
      </c>
      <c r="N330">
        <f>IF(OR(計分!N330="",計分!$AP330=""),"",計分!$AP330-計分!N330)</f>
        <v/>
      </c>
      <c r="O330">
        <f>IF(OR(計分!O330="",計分!$AP330=""),"",計分!$AP330-計分!O330)</f>
        <v/>
      </c>
      <c r="P330">
        <f>IF(OR(計分!P330="",計分!$AP330=""),"",計分!$AP330-計分!P330)</f>
        <v/>
      </c>
      <c r="Q330">
        <f>IF(OR(計分!Q330="",計分!$AP330=""),"",計分!$AP330-計分!Q330)</f>
        <v/>
      </c>
      <c r="R330">
        <f>IF(OR(計分!R330="",計分!$AP330=""),"",計分!$AP330-計分!R330)</f>
        <v/>
      </c>
      <c r="S330">
        <f>IF(OR(計分!S330="",計分!$AP330=""),"",計分!$AP330-計分!S330)</f>
        <v/>
      </c>
      <c r="T330">
        <f>IF(OR(計分!T330="",計分!$AP330=""),"",計分!$AP330-計分!T330)</f>
        <v/>
      </c>
      <c r="U330">
        <f>IF(OR(計分!U330="",計分!$AP330=""),"",計分!$AP330-計分!U330)</f>
        <v/>
      </c>
      <c r="V330">
        <f>IF(OR(計分!V330="",計分!$AP330=""),"",計分!$AP330-計分!V330)</f>
        <v/>
      </c>
      <c r="W330">
        <f>IF(OR(計分!W330="",計分!$AP330=""),"",計分!$AP330-計分!W330)</f>
        <v/>
      </c>
      <c r="X330">
        <f>IF(OR(計分!X330="",計分!$AP330=""),"",計分!$AP330-計分!X330)</f>
        <v/>
      </c>
      <c r="Y330">
        <f>IF(OR(計分!Y330="",計分!$AP330=""),"",計分!$AP330-計分!Y330)</f>
        <v/>
      </c>
      <c r="Z330">
        <f>IF(OR(計分!Z330="",計分!$AP330=""),"",計分!$AP330-計分!Z330)</f>
        <v/>
      </c>
      <c r="AA330">
        <f>IF(OR(計分!AA330="",計分!$AP330=""),"",計分!$AP330-計分!AA330)</f>
        <v/>
      </c>
      <c r="AB330">
        <f>IF(OR(計分!AB330="",計分!$AP330=""),"",計分!$AP330-計分!AB330)</f>
        <v/>
      </c>
      <c r="AC330">
        <f>IF(OR(計分!AC330="",計分!$AP330=""),"",計分!$AP330-計分!AC330)</f>
        <v/>
      </c>
      <c r="AD330">
        <f>IF(OR(計分!AD330="",計分!$AP330=""),"",計分!$AP330-計分!AD330)</f>
        <v/>
      </c>
      <c r="AE330">
        <f>IF(OR(計分!AE330="",計分!$AP330=""),"",計分!$AP330-計分!AE330)</f>
        <v/>
      </c>
      <c r="AF330">
        <f>IF(OR(計分!AF330="",計分!$AP330=""),"",計分!$AP330-計分!AF330)</f>
        <v/>
      </c>
      <c r="AG330">
        <f>IF(OR(計分!AG330="",計分!$AP330=""),"",計分!$AP330-計分!AG330)</f>
        <v/>
      </c>
      <c r="AH330">
        <f>IF(OR(計分!AH330="",計分!$AP330=""),"",計分!$AP330-計分!AH330)</f>
        <v/>
      </c>
      <c r="AI330">
        <f>IF(OR(計分!AI330="",計分!$AP330=""),"",計分!$AP330-計分!AI330)</f>
        <v/>
      </c>
      <c r="AJ330">
        <f>IF(OR(計分!AJ330="",計分!$AP330=""),"",計分!$AP330-計分!AJ330)</f>
        <v/>
      </c>
      <c r="AK330">
        <f>IF(OR(計分!AK330="",計分!$AP330=""),"",計分!$AP330-計分!AK330)</f>
        <v/>
      </c>
      <c r="AL330">
        <f>IF(OR(計分!AL330="",計分!$AP330=""),"",計分!$AP330-計分!AL330)</f>
        <v/>
      </c>
      <c r="AM330">
        <f>IF(OR(計分!AM330="",計分!$AP330=""),"",計分!$AP330-計分!AM330)</f>
        <v/>
      </c>
      <c r="AN330">
        <f>IF(OR(計分!AN330="",計分!$AP330=""),"",計分!$AP330-計分!AN330)</f>
        <v/>
      </c>
      <c r="AO330">
        <f>IF(OR(計分!AO330="",計分!$AP330=""),"",計分!$AP330-計分!AO330)</f>
        <v/>
      </c>
    </row>
    <row r="331">
      <c r="A331">
        <f>計分!A331</f>
        <v/>
      </c>
      <c r="B331">
        <f>IF(OR(計分!B331="",計分!$AP331=""),"",計分!$AP331-計分!B331)</f>
        <v/>
      </c>
      <c r="C331">
        <f>IF(OR(計分!C331="",計分!$AP331=""),"",計分!$AP331-計分!C331)</f>
        <v/>
      </c>
      <c r="D331">
        <f>IF(OR(計分!D331="",計分!$AP331=""),"",計分!$AP331-計分!D331)</f>
        <v/>
      </c>
      <c r="E331">
        <f>IF(OR(計分!E331="",計分!$AP331=""),"",計分!$AP331-計分!E331)</f>
        <v/>
      </c>
      <c r="F331">
        <f>IF(OR(計分!F331="",計分!$AP331=""),"",計分!$AP331-計分!F331)</f>
        <v/>
      </c>
      <c r="G331">
        <f>IF(OR(計分!G331="",計分!$AP331=""),"",計分!$AP331-計分!G331)</f>
        <v/>
      </c>
      <c r="H331">
        <f>IF(OR(計分!H331="",計分!$AP331=""),"",計分!$AP331-計分!H331)</f>
        <v/>
      </c>
      <c r="I331">
        <f>IF(OR(計分!I331="",計分!$AP331=""),"",計分!$AP331-計分!I331)</f>
        <v/>
      </c>
      <c r="J331">
        <f>IF(OR(計分!J331="",計分!$AP331=""),"",計分!$AP331-計分!J331)</f>
        <v/>
      </c>
      <c r="K331">
        <f>IF(OR(計分!K331="",計分!$AP331=""),"",計分!$AP331-計分!K331)</f>
        <v/>
      </c>
      <c r="L331">
        <f>IF(OR(計分!L331="",計分!$AP331=""),"",計分!$AP331-計分!L331)</f>
        <v/>
      </c>
      <c r="M331">
        <f>IF(OR(計分!M331="",計分!$AP331=""),"",計分!$AP331-計分!M331)</f>
        <v/>
      </c>
      <c r="N331">
        <f>IF(OR(計分!N331="",計分!$AP331=""),"",計分!$AP331-計分!N331)</f>
        <v/>
      </c>
      <c r="O331">
        <f>IF(OR(計分!O331="",計分!$AP331=""),"",計分!$AP331-計分!O331)</f>
        <v/>
      </c>
      <c r="P331">
        <f>IF(OR(計分!P331="",計分!$AP331=""),"",計分!$AP331-計分!P331)</f>
        <v/>
      </c>
      <c r="Q331">
        <f>IF(OR(計分!Q331="",計分!$AP331=""),"",計分!$AP331-計分!Q331)</f>
        <v/>
      </c>
      <c r="R331">
        <f>IF(OR(計分!R331="",計分!$AP331=""),"",計分!$AP331-計分!R331)</f>
        <v/>
      </c>
      <c r="S331">
        <f>IF(OR(計分!S331="",計分!$AP331=""),"",計分!$AP331-計分!S331)</f>
        <v/>
      </c>
      <c r="T331">
        <f>IF(OR(計分!T331="",計分!$AP331=""),"",計分!$AP331-計分!T331)</f>
        <v/>
      </c>
      <c r="U331">
        <f>IF(OR(計分!U331="",計分!$AP331=""),"",計分!$AP331-計分!U331)</f>
        <v/>
      </c>
      <c r="V331">
        <f>IF(OR(計分!V331="",計分!$AP331=""),"",計分!$AP331-計分!V331)</f>
        <v/>
      </c>
      <c r="W331">
        <f>IF(OR(計分!W331="",計分!$AP331=""),"",計分!$AP331-計分!W331)</f>
        <v/>
      </c>
      <c r="X331">
        <f>IF(OR(計分!X331="",計分!$AP331=""),"",計分!$AP331-計分!X331)</f>
        <v/>
      </c>
      <c r="Y331">
        <f>IF(OR(計分!Y331="",計分!$AP331=""),"",計分!$AP331-計分!Y331)</f>
        <v/>
      </c>
      <c r="Z331">
        <f>IF(OR(計分!Z331="",計分!$AP331=""),"",計分!$AP331-計分!Z331)</f>
        <v/>
      </c>
      <c r="AA331">
        <f>IF(OR(計分!AA331="",計分!$AP331=""),"",計分!$AP331-計分!AA331)</f>
        <v/>
      </c>
      <c r="AB331">
        <f>IF(OR(計分!AB331="",計分!$AP331=""),"",計分!$AP331-計分!AB331)</f>
        <v/>
      </c>
      <c r="AC331">
        <f>IF(OR(計分!AC331="",計分!$AP331=""),"",計分!$AP331-計分!AC331)</f>
        <v/>
      </c>
      <c r="AD331">
        <f>IF(OR(計分!AD331="",計分!$AP331=""),"",計分!$AP331-計分!AD331)</f>
        <v/>
      </c>
      <c r="AE331">
        <f>IF(OR(計分!AE331="",計分!$AP331=""),"",計分!$AP331-計分!AE331)</f>
        <v/>
      </c>
      <c r="AF331">
        <f>IF(OR(計分!AF331="",計分!$AP331=""),"",計分!$AP331-計分!AF331)</f>
        <v/>
      </c>
      <c r="AG331">
        <f>IF(OR(計分!AG331="",計分!$AP331=""),"",計分!$AP331-計分!AG331)</f>
        <v/>
      </c>
      <c r="AH331">
        <f>IF(OR(計分!AH331="",計分!$AP331=""),"",計分!$AP331-計分!AH331)</f>
        <v/>
      </c>
      <c r="AI331">
        <f>IF(OR(計分!AI331="",計分!$AP331=""),"",計分!$AP331-計分!AI331)</f>
        <v/>
      </c>
      <c r="AJ331">
        <f>IF(OR(計分!AJ331="",計分!$AP331=""),"",計分!$AP331-計分!AJ331)</f>
        <v/>
      </c>
      <c r="AK331">
        <f>IF(OR(計分!AK331="",計分!$AP331=""),"",計分!$AP331-計分!AK331)</f>
        <v/>
      </c>
      <c r="AL331">
        <f>IF(OR(計分!AL331="",計分!$AP331=""),"",計分!$AP331-計分!AL331)</f>
        <v/>
      </c>
      <c r="AM331">
        <f>IF(OR(計分!AM331="",計分!$AP331=""),"",計分!$AP331-計分!AM331)</f>
        <v/>
      </c>
      <c r="AN331">
        <f>IF(OR(計分!AN331="",計分!$AP331=""),"",計分!$AP331-計分!AN331)</f>
        <v/>
      </c>
      <c r="AO331">
        <f>IF(OR(計分!AO331="",計分!$AP331=""),"",計分!$AP331-計分!AO331)</f>
        <v/>
      </c>
    </row>
    <row r="332">
      <c r="A332">
        <f>計分!A332</f>
        <v/>
      </c>
      <c r="B332">
        <f>IF(OR(計分!B332="",計分!$AP332=""),"",計分!$AP332-計分!B332)</f>
        <v/>
      </c>
      <c r="C332">
        <f>IF(OR(計分!C332="",計分!$AP332=""),"",計分!$AP332-計分!C332)</f>
        <v/>
      </c>
      <c r="D332">
        <f>IF(OR(計分!D332="",計分!$AP332=""),"",計分!$AP332-計分!D332)</f>
        <v/>
      </c>
      <c r="E332">
        <f>IF(OR(計分!E332="",計分!$AP332=""),"",計分!$AP332-計分!E332)</f>
        <v/>
      </c>
      <c r="F332">
        <f>IF(OR(計分!F332="",計分!$AP332=""),"",計分!$AP332-計分!F332)</f>
        <v/>
      </c>
      <c r="G332">
        <f>IF(OR(計分!G332="",計分!$AP332=""),"",計分!$AP332-計分!G332)</f>
        <v/>
      </c>
      <c r="H332">
        <f>IF(OR(計分!H332="",計分!$AP332=""),"",計分!$AP332-計分!H332)</f>
        <v/>
      </c>
      <c r="I332">
        <f>IF(OR(計分!I332="",計分!$AP332=""),"",計分!$AP332-計分!I332)</f>
        <v/>
      </c>
      <c r="J332">
        <f>IF(OR(計分!J332="",計分!$AP332=""),"",計分!$AP332-計分!J332)</f>
        <v/>
      </c>
      <c r="K332">
        <f>IF(OR(計分!K332="",計分!$AP332=""),"",計分!$AP332-計分!K332)</f>
        <v/>
      </c>
      <c r="L332">
        <f>IF(OR(計分!L332="",計分!$AP332=""),"",計分!$AP332-計分!L332)</f>
        <v/>
      </c>
      <c r="M332">
        <f>IF(OR(計分!M332="",計分!$AP332=""),"",計分!$AP332-計分!M332)</f>
        <v/>
      </c>
      <c r="N332">
        <f>IF(OR(計分!N332="",計分!$AP332=""),"",計分!$AP332-計分!N332)</f>
        <v/>
      </c>
      <c r="O332">
        <f>IF(OR(計分!O332="",計分!$AP332=""),"",計分!$AP332-計分!O332)</f>
        <v/>
      </c>
      <c r="P332">
        <f>IF(OR(計分!P332="",計分!$AP332=""),"",計分!$AP332-計分!P332)</f>
        <v/>
      </c>
      <c r="Q332">
        <f>IF(OR(計分!Q332="",計分!$AP332=""),"",計分!$AP332-計分!Q332)</f>
        <v/>
      </c>
      <c r="R332">
        <f>IF(OR(計分!R332="",計分!$AP332=""),"",計分!$AP332-計分!R332)</f>
        <v/>
      </c>
      <c r="S332">
        <f>IF(OR(計分!S332="",計分!$AP332=""),"",計分!$AP332-計分!S332)</f>
        <v/>
      </c>
      <c r="T332">
        <f>IF(OR(計分!T332="",計分!$AP332=""),"",計分!$AP332-計分!T332)</f>
        <v/>
      </c>
      <c r="U332">
        <f>IF(OR(計分!U332="",計分!$AP332=""),"",計分!$AP332-計分!U332)</f>
        <v/>
      </c>
      <c r="V332">
        <f>IF(OR(計分!V332="",計分!$AP332=""),"",計分!$AP332-計分!V332)</f>
        <v/>
      </c>
      <c r="W332">
        <f>IF(OR(計分!W332="",計分!$AP332=""),"",計分!$AP332-計分!W332)</f>
        <v/>
      </c>
      <c r="X332">
        <f>IF(OR(計分!X332="",計分!$AP332=""),"",計分!$AP332-計分!X332)</f>
        <v/>
      </c>
      <c r="Y332">
        <f>IF(OR(計分!Y332="",計分!$AP332=""),"",計分!$AP332-計分!Y332)</f>
        <v/>
      </c>
      <c r="Z332">
        <f>IF(OR(計分!Z332="",計分!$AP332=""),"",計分!$AP332-計分!Z332)</f>
        <v/>
      </c>
      <c r="AA332">
        <f>IF(OR(計分!AA332="",計分!$AP332=""),"",計分!$AP332-計分!AA332)</f>
        <v/>
      </c>
      <c r="AB332">
        <f>IF(OR(計分!AB332="",計分!$AP332=""),"",計分!$AP332-計分!AB332)</f>
        <v/>
      </c>
      <c r="AC332">
        <f>IF(OR(計分!AC332="",計分!$AP332=""),"",計分!$AP332-計分!AC332)</f>
        <v/>
      </c>
      <c r="AD332">
        <f>IF(OR(計分!AD332="",計分!$AP332=""),"",計分!$AP332-計分!AD332)</f>
        <v/>
      </c>
      <c r="AE332">
        <f>IF(OR(計分!AE332="",計分!$AP332=""),"",計分!$AP332-計分!AE332)</f>
        <v/>
      </c>
      <c r="AF332">
        <f>IF(OR(計分!AF332="",計分!$AP332=""),"",計分!$AP332-計分!AF332)</f>
        <v/>
      </c>
      <c r="AG332">
        <f>IF(OR(計分!AG332="",計分!$AP332=""),"",計分!$AP332-計分!AG332)</f>
        <v/>
      </c>
      <c r="AH332">
        <f>IF(OR(計分!AH332="",計分!$AP332=""),"",計分!$AP332-計分!AH332)</f>
        <v/>
      </c>
      <c r="AI332">
        <f>IF(OR(計分!AI332="",計分!$AP332=""),"",計分!$AP332-計分!AI332)</f>
        <v/>
      </c>
      <c r="AJ332">
        <f>IF(OR(計分!AJ332="",計分!$AP332=""),"",計分!$AP332-計分!AJ332)</f>
        <v/>
      </c>
      <c r="AK332">
        <f>IF(OR(計分!AK332="",計分!$AP332=""),"",計分!$AP332-計分!AK332)</f>
        <v/>
      </c>
      <c r="AL332">
        <f>IF(OR(計分!AL332="",計分!$AP332=""),"",計分!$AP332-計分!AL332)</f>
        <v/>
      </c>
      <c r="AM332">
        <f>IF(OR(計分!AM332="",計分!$AP332=""),"",計分!$AP332-計分!AM332)</f>
        <v/>
      </c>
      <c r="AN332">
        <f>IF(OR(計分!AN332="",計分!$AP332=""),"",計分!$AP332-計分!AN332)</f>
        <v/>
      </c>
      <c r="AO332">
        <f>IF(OR(計分!AO332="",計分!$AP332=""),"",計分!$AP332-計分!AO332)</f>
        <v/>
      </c>
    </row>
    <row r="333">
      <c r="A333">
        <f>計分!A333</f>
        <v/>
      </c>
      <c r="B333">
        <f>IF(OR(計分!B333="",計分!$AP333=""),"",計分!$AP333-計分!B333)</f>
        <v/>
      </c>
      <c r="C333">
        <f>IF(OR(計分!C333="",計分!$AP333=""),"",計分!$AP333-計分!C333)</f>
        <v/>
      </c>
      <c r="D333">
        <f>IF(OR(計分!D333="",計分!$AP333=""),"",計分!$AP333-計分!D333)</f>
        <v/>
      </c>
      <c r="E333">
        <f>IF(OR(計分!E333="",計分!$AP333=""),"",計分!$AP333-計分!E333)</f>
        <v/>
      </c>
      <c r="F333">
        <f>IF(OR(計分!F333="",計分!$AP333=""),"",計分!$AP333-計分!F333)</f>
        <v/>
      </c>
      <c r="G333">
        <f>IF(OR(計分!G333="",計分!$AP333=""),"",計分!$AP333-計分!G333)</f>
        <v/>
      </c>
      <c r="H333">
        <f>IF(OR(計分!H333="",計分!$AP333=""),"",計分!$AP333-計分!H333)</f>
        <v/>
      </c>
      <c r="I333">
        <f>IF(OR(計分!I333="",計分!$AP333=""),"",計分!$AP333-計分!I333)</f>
        <v/>
      </c>
      <c r="J333">
        <f>IF(OR(計分!J333="",計分!$AP333=""),"",計分!$AP333-計分!J333)</f>
        <v/>
      </c>
      <c r="K333">
        <f>IF(OR(計分!K333="",計分!$AP333=""),"",計分!$AP333-計分!K333)</f>
        <v/>
      </c>
      <c r="L333">
        <f>IF(OR(計分!L333="",計分!$AP333=""),"",計分!$AP333-計分!L333)</f>
        <v/>
      </c>
      <c r="M333">
        <f>IF(OR(計分!M333="",計分!$AP333=""),"",計分!$AP333-計分!M333)</f>
        <v/>
      </c>
      <c r="N333">
        <f>IF(OR(計分!N333="",計分!$AP333=""),"",計分!$AP333-計分!N333)</f>
        <v/>
      </c>
      <c r="O333">
        <f>IF(OR(計分!O333="",計分!$AP333=""),"",計分!$AP333-計分!O333)</f>
        <v/>
      </c>
      <c r="P333">
        <f>IF(OR(計分!P333="",計分!$AP333=""),"",計分!$AP333-計分!P333)</f>
        <v/>
      </c>
      <c r="Q333">
        <f>IF(OR(計分!Q333="",計分!$AP333=""),"",計分!$AP333-計分!Q333)</f>
        <v/>
      </c>
      <c r="R333">
        <f>IF(OR(計分!R333="",計分!$AP333=""),"",計分!$AP333-計分!R333)</f>
        <v/>
      </c>
      <c r="S333">
        <f>IF(OR(計分!S333="",計分!$AP333=""),"",計分!$AP333-計分!S333)</f>
        <v/>
      </c>
      <c r="T333">
        <f>IF(OR(計分!T333="",計分!$AP333=""),"",計分!$AP333-計分!T333)</f>
        <v/>
      </c>
      <c r="U333">
        <f>IF(OR(計分!U333="",計分!$AP333=""),"",計分!$AP333-計分!U333)</f>
        <v/>
      </c>
      <c r="V333">
        <f>IF(OR(計分!V333="",計分!$AP333=""),"",計分!$AP333-計分!V333)</f>
        <v/>
      </c>
      <c r="W333">
        <f>IF(OR(計分!W333="",計分!$AP333=""),"",計分!$AP333-計分!W333)</f>
        <v/>
      </c>
      <c r="X333">
        <f>IF(OR(計分!X333="",計分!$AP333=""),"",計分!$AP333-計分!X333)</f>
        <v/>
      </c>
      <c r="Y333">
        <f>IF(OR(計分!Y333="",計分!$AP333=""),"",計分!$AP333-計分!Y333)</f>
        <v/>
      </c>
      <c r="Z333">
        <f>IF(OR(計分!Z333="",計分!$AP333=""),"",計分!$AP333-計分!Z333)</f>
        <v/>
      </c>
      <c r="AA333">
        <f>IF(OR(計分!AA333="",計分!$AP333=""),"",計分!$AP333-計分!AA333)</f>
        <v/>
      </c>
      <c r="AB333">
        <f>IF(OR(計分!AB333="",計分!$AP333=""),"",計分!$AP333-計分!AB333)</f>
        <v/>
      </c>
      <c r="AC333">
        <f>IF(OR(計分!AC333="",計分!$AP333=""),"",計分!$AP333-計分!AC333)</f>
        <v/>
      </c>
      <c r="AD333">
        <f>IF(OR(計分!AD333="",計分!$AP333=""),"",計分!$AP333-計分!AD333)</f>
        <v/>
      </c>
      <c r="AE333">
        <f>IF(OR(計分!AE333="",計分!$AP333=""),"",計分!$AP333-計分!AE333)</f>
        <v/>
      </c>
      <c r="AF333">
        <f>IF(OR(計分!AF333="",計分!$AP333=""),"",計分!$AP333-計分!AF333)</f>
        <v/>
      </c>
      <c r="AG333">
        <f>IF(OR(計分!AG333="",計分!$AP333=""),"",計分!$AP333-計分!AG333)</f>
        <v/>
      </c>
      <c r="AH333">
        <f>IF(OR(計分!AH333="",計分!$AP333=""),"",計分!$AP333-計分!AH333)</f>
        <v/>
      </c>
      <c r="AI333">
        <f>IF(OR(計分!AI333="",計分!$AP333=""),"",計分!$AP333-計分!AI333)</f>
        <v/>
      </c>
      <c r="AJ333">
        <f>IF(OR(計分!AJ333="",計分!$AP333=""),"",計分!$AP333-計分!AJ333)</f>
        <v/>
      </c>
      <c r="AK333">
        <f>IF(OR(計分!AK333="",計分!$AP333=""),"",計分!$AP333-計分!AK333)</f>
        <v/>
      </c>
      <c r="AL333">
        <f>IF(OR(計分!AL333="",計分!$AP333=""),"",計分!$AP333-計分!AL333)</f>
        <v/>
      </c>
      <c r="AM333">
        <f>IF(OR(計分!AM333="",計分!$AP333=""),"",計分!$AP333-計分!AM333)</f>
        <v/>
      </c>
      <c r="AN333">
        <f>IF(OR(計分!AN333="",計分!$AP333=""),"",計分!$AP333-計分!AN333)</f>
        <v/>
      </c>
      <c r="AO333">
        <f>IF(OR(計分!AO333="",計分!$AP333=""),"",計分!$AP333-計分!AO333)</f>
        <v/>
      </c>
    </row>
    <row r="334">
      <c r="A334">
        <f>計分!A334</f>
        <v/>
      </c>
      <c r="B334">
        <f>IF(OR(計分!B334="",計分!$AP334=""),"",計分!$AP334-計分!B334)</f>
        <v/>
      </c>
      <c r="C334">
        <f>IF(OR(計分!C334="",計分!$AP334=""),"",計分!$AP334-計分!C334)</f>
        <v/>
      </c>
      <c r="D334">
        <f>IF(OR(計分!D334="",計分!$AP334=""),"",計分!$AP334-計分!D334)</f>
        <v/>
      </c>
      <c r="E334">
        <f>IF(OR(計分!E334="",計分!$AP334=""),"",計分!$AP334-計分!E334)</f>
        <v/>
      </c>
      <c r="F334">
        <f>IF(OR(計分!F334="",計分!$AP334=""),"",計分!$AP334-計分!F334)</f>
        <v/>
      </c>
      <c r="G334">
        <f>IF(OR(計分!G334="",計分!$AP334=""),"",計分!$AP334-計分!G334)</f>
        <v/>
      </c>
      <c r="H334">
        <f>IF(OR(計分!H334="",計分!$AP334=""),"",計分!$AP334-計分!H334)</f>
        <v/>
      </c>
      <c r="I334">
        <f>IF(OR(計分!I334="",計分!$AP334=""),"",計分!$AP334-計分!I334)</f>
        <v/>
      </c>
      <c r="J334">
        <f>IF(OR(計分!J334="",計分!$AP334=""),"",計分!$AP334-計分!J334)</f>
        <v/>
      </c>
      <c r="K334">
        <f>IF(OR(計分!K334="",計分!$AP334=""),"",計分!$AP334-計分!K334)</f>
        <v/>
      </c>
      <c r="L334">
        <f>IF(OR(計分!L334="",計分!$AP334=""),"",計分!$AP334-計分!L334)</f>
        <v/>
      </c>
      <c r="M334">
        <f>IF(OR(計分!M334="",計分!$AP334=""),"",計分!$AP334-計分!M334)</f>
        <v/>
      </c>
      <c r="N334">
        <f>IF(OR(計分!N334="",計分!$AP334=""),"",計分!$AP334-計分!N334)</f>
        <v/>
      </c>
      <c r="O334">
        <f>IF(OR(計分!O334="",計分!$AP334=""),"",計分!$AP334-計分!O334)</f>
        <v/>
      </c>
      <c r="P334">
        <f>IF(OR(計分!P334="",計分!$AP334=""),"",計分!$AP334-計分!P334)</f>
        <v/>
      </c>
      <c r="Q334">
        <f>IF(OR(計分!Q334="",計分!$AP334=""),"",計分!$AP334-計分!Q334)</f>
        <v/>
      </c>
      <c r="R334">
        <f>IF(OR(計分!R334="",計分!$AP334=""),"",計分!$AP334-計分!R334)</f>
        <v/>
      </c>
      <c r="S334">
        <f>IF(OR(計分!S334="",計分!$AP334=""),"",計分!$AP334-計分!S334)</f>
        <v/>
      </c>
      <c r="T334">
        <f>IF(OR(計分!T334="",計分!$AP334=""),"",計分!$AP334-計分!T334)</f>
        <v/>
      </c>
      <c r="U334">
        <f>IF(OR(計分!U334="",計分!$AP334=""),"",計分!$AP334-計分!U334)</f>
        <v/>
      </c>
      <c r="V334">
        <f>IF(OR(計分!V334="",計分!$AP334=""),"",計分!$AP334-計分!V334)</f>
        <v/>
      </c>
      <c r="W334">
        <f>IF(OR(計分!W334="",計分!$AP334=""),"",計分!$AP334-計分!W334)</f>
        <v/>
      </c>
      <c r="X334">
        <f>IF(OR(計分!X334="",計分!$AP334=""),"",計分!$AP334-計分!X334)</f>
        <v/>
      </c>
      <c r="Y334">
        <f>IF(OR(計分!Y334="",計分!$AP334=""),"",計分!$AP334-計分!Y334)</f>
        <v/>
      </c>
      <c r="Z334">
        <f>IF(OR(計分!Z334="",計分!$AP334=""),"",計分!$AP334-計分!Z334)</f>
        <v/>
      </c>
      <c r="AA334">
        <f>IF(OR(計分!AA334="",計分!$AP334=""),"",計分!$AP334-計分!AA334)</f>
        <v/>
      </c>
      <c r="AB334">
        <f>IF(OR(計分!AB334="",計分!$AP334=""),"",計分!$AP334-計分!AB334)</f>
        <v/>
      </c>
      <c r="AC334">
        <f>IF(OR(計分!AC334="",計分!$AP334=""),"",計分!$AP334-計分!AC334)</f>
        <v/>
      </c>
      <c r="AD334">
        <f>IF(OR(計分!AD334="",計分!$AP334=""),"",計分!$AP334-計分!AD334)</f>
        <v/>
      </c>
      <c r="AE334">
        <f>IF(OR(計分!AE334="",計分!$AP334=""),"",計分!$AP334-計分!AE334)</f>
        <v/>
      </c>
      <c r="AF334">
        <f>IF(OR(計分!AF334="",計分!$AP334=""),"",計分!$AP334-計分!AF334)</f>
        <v/>
      </c>
      <c r="AG334">
        <f>IF(OR(計分!AG334="",計分!$AP334=""),"",計分!$AP334-計分!AG334)</f>
        <v/>
      </c>
      <c r="AH334">
        <f>IF(OR(計分!AH334="",計分!$AP334=""),"",計分!$AP334-計分!AH334)</f>
        <v/>
      </c>
      <c r="AI334">
        <f>IF(OR(計分!AI334="",計分!$AP334=""),"",計分!$AP334-計分!AI334)</f>
        <v/>
      </c>
      <c r="AJ334">
        <f>IF(OR(計分!AJ334="",計分!$AP334=""),"",計分!$AP334-計分!AJ334)</f>
        <v/>
      </c>
      <c r="AK334">
        <f>IF(OR(計分!AK334="",計分!$AP334=""),"",計分!$AP334-計分!AK334)</f>
        <v/>
      </c>
      <c r="AL334">
        <f>IF(OR(計分!AL334="",計分!$AP334=""),"",計分!$AP334-計分!AL334)</f>
        <v/>
      </c>
      <c r="AM334">
        <f>IF(OR(計分!AM334="",計分!$AP334=""),"",計分!$AP334-計分!AM334)</f>
        <v/>
      </c>
      <c r="AN334">
        <f>IF(OR(計分!AN334="",計分!$AP334=""),"",計分!$AP334-計分!AN334)</f>
        <v/>
      </c>
      <c r="AO334">
        <f>IF(OR(計分!AO334="",計分!$AP334=""),"",計分!$AP334-計分!AO334)</f>
        <v/>
      </c>
    </row>
    <row r="335">
      <c r="A335">
        <f>計分!A335</f>
        <v/>
      </c>
      <c r="B335">
        <f>IF(OR(計分!B335="",計分!$AP335=""),"",計分!$AP335-計分!B335)</f>
        <v/>
      </c>
      <c r="C335">
        <f>IF(OR(計分!C335="",計分!$AP335=""),"",計分!$AP335-計分!C335)</f>
        <v/>
      </c>
      <c r="D335">
        <f>IF(OR(計分!D335="",計分!$AP335=""),"",計分!$AP335-計分!D335)</f>
        <v/>
      </c>
      <c r="E335">
        <f>IF(OR(計分!E335="",計分!$AP335=""),"",計分!$AP335-計分!E335)</f>
        <v/>
      </c>
      <c r="F335">
        <f>IF(OR(計分!F335="",計分!$AP335=""),"",計分!$AP335-計分!F335)</f>
        <v/>
      </c>
      <c r="G335">
        <f>IF(OR(計分!G335="",計分!$AP335=""),"",計分!$AP335-計分!G335)</f>
        <v/>
      </c>
      <c r="H335">
        <f>IF(OR(計分!H335="",計分!$AP335=""),"",計分!$AP335-計分!H335)</f>
        <v/>
      </c>
      <c r="I335">
        <f>IF(OR(計分!I335="",計分!$AP335=""),"",計分!$AP335-計分!I335)</f>
        <v/>
      </c>
      <c r="J335">
        <f>IF(OR(計分!J335="",計分!$AP335=""),"",計分!$AP335-計分!J335)</f>
        <v/>
      </c>
      <c r="K335">
        <f>IF(OR(計分!K335="",計分!$AP335=""),"",計分!$AP335-計分!K335)</f>
        <v/>
      </c>
      <c r="L335">
        <f>IF(OR(計分!L335="",計分!$AP335=""),"",計分!$AP335-計分!L335)</f>
        <v/>
      </c>
      <c r="M335">
        <f>IF(OR(計分!M335="",計分!$AP335=""),"",計分!$AP335-計分!M335)</f>
        <v/>
      </c>
      <c r="N335">
        <f>IF(OR(計分!N335="",計分!$AP335=""),"",計分!$AP335-計分!N335)</f>
        <v/>
      </c>
      <c r="O335">
        <f>IF(OR(計分!O335="",計分!$AP335=""),"",計分!$AP335-計分!O335)</f>
        <v/>
      </c>
      <c r="P335">
        <f>IF(OR(計分!P335="",計分!$AP335=""),"",計分!$AP335-計分!P335)</f>
        <v/>
      </c>
      <c r="Q335">
        <f>IF(OR(計分!Q335="",計分!$AP335=""),"",計分!$AP335-計分!Q335)</f>
        <v/>
      </c>
      <c r="R335">
        <f>IF(OR(計分!R335="",計分!$AP335=""),"",計分!$AP335-計分!R335)</f>
        <v/>
      </c>
      <c r="S335">
        <f>IF(OR(計分!S335="",計分!$AP335=""),"",計分!$AP335-計分!S335)</f>
        <v/>
      </c>
      <c r="T335">
        <f>IF(OR(計分!T335="",計分!$AP335=""),"",計分!$AP335-計分!T335)</f>
        <v/>
      </c>
      <c r="U335">
        <f>IF(OR(計分!U335="",計分!$AP335=""),"",計分!$AP335-計分!U335)</f>
        <v/>
      </c>
      <c r="V335">
        <f>IF(OR(計分!V335="",計分!$AP335=""),"",計分!$AP335-計分!V335)</f>
        <v/>
      </c>
      <c r="W335">
        <f>IF(OR(計分!W335="",計分!$AP335=""),"",計分!$AP335-計分!W335)</f>
        <v/>
      </c>
      <c r="X335">
        <f>IF(OR(計分!X335="",計分!$AP335=""),"",計分!$AP335-計分!X335)</f>
        <v/>
      </c>
      <c r="Y335">
        <f>IF(OR(計分!Y335="",計分!$AP335=""),"",計分!$AP335-計分!Y335)</f>
        <v/>
      </c>
      <c r="Z335">
        <f>IF(OR(計分!Z335="",計分!$AP335=""),"",計分!$AP335-計分!Z335)</f>
        <v/>
      </c>
      <c r="AA335">
        <f>IF(OR(計分!AA335="",計分!$AP335=""),"",計分!$AP335-計分!AA335)</f>
        <v/>
      </c>
      <c r="AB335">
        <f>IF(OR(計分!AB335="",計分!$AP335=""),"",計分!$AP335-計分!AB335)</f>
        <v/>
      </c>
      <c r="AC335">
        <f>IF(OR(計分!AC335="",計分!$AP335=""),"",計分!$AP335-計分!AC335)</f>
        <v/>
      </c>
      <c r="AD335">
        <f>IF(OR(計分!AD335="",計分!$AP335=""),"",計分!$AP335-計分!AD335)</f>
        <v/>
      </c>
      <c r="AE335">
        <f>IF(OR(計分!AE335="",計分!$AP335=""),"",計分!$AP335-計分!AE335)</f>
        <v/>
      </c>
      <c r="AF335">
        <f>IF(OR(計分!AF335="",計分!$AP335=""),"",計分!$AP335-計分!AF335)</f>
        <v/>
      </c>
      <c r="AG335">
        <f>IF(OR(計分!AG335="",計分!$AP335=""),"",計分!$AP335-計分!AG335)</f>
        <v/>
      </c>
      <c r="AH335">
        <f>IF(OR(計分!AH335="",計分!$AP335=""),"",計分!$AP335-計分!AH335)</f>
        <v/>
      </c>
      <c r="AI335">
        <f>IF(OR(計分!AI335="",計分!$AP335=""),"",計分!$AP335-計分!AI335)</f>
        <v/>
      </c>
      <c r="AJ335">
        <f>IF(OR(計分!AJ335="",計分!$AP335=""),"",計分!$AP335-計分!AJ335)</f>
        <v/>
      </c>
      <c r="AK335">
        <f>IF(OR(計分!AK335="",計分!$AP335=""),"",計分!$AP335-計分!AK335)</f>
        <v/>
      </c>
      <c r="AL335">
        <f>IF(OR(計分!AL335="",計分!$AP335=""),"",計分!$AP335-計分!AL335)</f>
        <v/>
      </c>
      <c r="AM335">
        <f>IF(OR(計分!AM335="",計分!$AP335=""),"",計分!$AP335-計分!AM335)</f>
        <v/>
      </c>
      <c r="AN335">
        <f>IF(OR(計分!AN335="",計分!$AP335=""),"",計分!$AP335-計分!AN335)</f>
        <v/>
      </c>
      <c r="AO335">
        <f>IF(OR(計分!AO335="",計分!$AP335=""),"",計分!$AP335-計分!AO335)</f>
        <v/>
      </c>
    </row>
    <row r="336">
      <c r="A336">
        <f>計分!A336</f>
        <v/>
      </c>
      <c r="B336">
        <f>IF(OR(計分!B336="",計分!$AP336=""),"",計分!$AP336-計分!B336)</f>
        <v/>
      </c>
      <c r="C336">
        <f>IF(OR(計分!C336="",計分!$AP336=""),"",計分!$AP336-計分!C336)</f>
        <v/>
      </c>
      <c r="D336">
        <f>IF(OR(計分!D336="",計分!$AP336=""),"",計分!$AP336-計分!D336)</f>
        <v/>
      </c>
      <c r="E336">
        <f>IF(OR(計分!E336="",計分!$AP336=""),"",計分!$AP336-計分!E336)</f>
        <v/>
      </c>
      <c r="F336">
        <f>IF(OR(計分!F336="",計分!$AP336=""),"",計分!$AP336-計分!F336)</f>
        <v/>
      </c>
      <c r="G336">
        <f>IF(OR(計分!G336="",計分!$AP336=""),"",計分!$AP336-計分!G336)</f>
        <v/>
      </c>
      <c r="H336">
        <f>IF(OR(計分!H336="",計分!$AP336=""),"",計分!$AP336-計分!H336)</f>
        <v/>
      </c>
      <c r="I336">
        <f>IF(OR(計分!I336="",計分!$AP336=""),"",計分!$AP336-計分!I336)</f>
        <v/>
      </c>
      <c r="J336">
        <f>IF(OR(計分!J336="",計分!$AP336=""),"",計分!$AP336-計分!J336)</f>
        <v/>
      </c>
      <c r="K336">
        <f>IF(OR(計分!K336="",計分!$AP336=""),"",計分!$AP336-計分!K336)</f>
        <v/>
      </c>
      <c r="L336">
        <f>IF(OR(計分!L336="",計分!$AP336=""),"",計分!$AP336-計分!L336)</f>
        <v/>
      </c>
      <c r="M336">
        <f>IF(OR(計分!M336="",計分!$AP336=""),"",計分!$AP336-計分!M336)</f>
        <v/>
      </c>
      <c r="N336">
        <f>IF(OR(計分!N336="",計分!$AP336=""),"",計分!$AP336-計分!N336)</f>
        <v/>
      </c>
      <c r="O336">
        <f>IF(OR(計分!O336="",計分!$AP336=""),"",計分!$AP336-計分!O336)</f>
        <v/>
      </c>
      <c r="P336">
        <f>IF(OR(計分!P336="",計分!$AP336=""),"",計分!$AP336-計分!P336)</f>
        <v/>
      </c>
      <c r="Q336">
        <f>IF(OR(計分!Q336="",計分!$AP336=""),"",計分!$AP336-計分!Q336)</f>
        <v/>
      </c>
      <c r="R336">
        <f>IF(OR(計分!R336="",計分!$AP336=""),"",計分!$AP336-計分!R336)</f>
        <v/>
      </c>
      <c r="S336">
        <f>IF(OR(計分!S336="",計分!$AP336=""),"",計分!$AP336-計分!S336)</f>
        <v/>
      </c>
      <c r="T336">
        <f>IF(OR(計分!T336="",計分!$AP336=""),"",計分!$AP336-計分!T336)</f>
        <v/>
      </c>
      <c r="U336">
        <f>IF(OR(計分!U336="",計分!$AP336=""),"",計分!$AP336-計分!U336)</f>
        <v/>
      </c>
      <c r="V336">
        <f>IF(OR(計分!V336="",計分!$AP336=""),"",計分!$AP336-計分!V336)</f>
        <v/>
      </c>
      <c r="W336">
        <f>IF(OR(計分!W336="",計分!$AP336=""),"",計分!$AP336-計分!W336)</f>
        <v/>
      </c>
      <c r="X336">
        <f>IF(OR(計分!X336="",計分!$AP336=""),"",計分!$AP336-計分!X336)</f>
        <v/>
      </c>
      <c r="Y336">
        <f>IF(OR(計分!Y336="",計分!$AP336=""),"",計分!$AP336-計分!Y336)</f>
        <v/>
      </c>
      <c r="Z336">
        <f>IF(OR(計分!Z336="",計分!$AP336=""),"",計分!$AP336-計分!Z336)</f>
        <v/>
      </c>
      <c r="AA336">
        <f>IF(OR(計分!AA336="",計分!$AP336=""),"",計分!$AP336-計分!AA336)</f>
        <v/>
      </c>
      <c r="AB336">
        <f>IF(OR(計分!AB336="",計分!$AP336=""),"",計分!$AP336-計分!AB336)</f>
        <v/>
      </c>
      <c r="AC336">
        <f>IF(OR(計分!AC336="",計分!$AP336=""),"",計分!$AP336-計分!AC336)</f>
        <v/>
      </c>
      <c r="AD336">
        <f>IF(OR(計分!AD336="",計分!$AP336=""),"",計分!$AP336-計分!AD336)</f>
        <v/>
      </c>
      <c r="AE336">
        <f>IF(OR(計分!AE336="",計分!$AP336=""),"",計分!$AP336-計分!AE336)</f>
        <v/>
      </c>
      <c r="AF336">
        <f>IF(OR(計分!AF336="",計分!$AP336=""),"",計分!$AP336-計分!AF336)</f>
        <v/>
      </c>
      <c r="AG336">
        <f>IF(OR(計分!AG336="",計分!$AP336=""),"",計分!$AP336-計分!AG336)</f>
        <v/>
      </c>
      <c r="AH336">
        <f>IF(OR(計分!AH336="",計分!$AP336=""),"",計分!$AP336-計分!AH336)</f>
        <v/>
      </c>
      <c r="AI336">
        <f>IF(OR(計分!AI336="",計分!$AP336=""),"",計分!$AP336-計分!AI336)</f>
        <v/>
      </c>
      <c r="AJ336">
        <f>IF(OR(計分!AJ336="",計分!$AP336=""),"",計分!$AP336-計分!AJ336)</f>
        <v/>
      </c>
      <c r="AK336">
        <f>IF(OR(計分!AK336="",計分!$AP336=""),"",計分!$AP336-計分!AK336)</f>
        <v/>
      </c>
      <c r="AL336">
        <f>IF(OR(計分!AL336="",計分!$AP336=""),"",計分!$AP336-計分!AL336)</f>
        <v/>
      </c>
      <c r="AM336">
        <f>IF(OR(計分!AM336="",計分!$AP336=""),"",計分!$AP336-計分!AM336)</f>
        <v/>
      </c>
      <c r="AN336">
        <f>IF(OR(計分!AN336="",計分!$AP336=""),"",計分!$AP336-計分!AN336)</f>
        <v/>
      </c>
      <c r="AO336">
        <f>IF(OR(計分!AO336="",計分!$AP336=""),"",計分!$AP336-計分!AO336)</f>
        <v/>
      </c>
    </row>
    <row r="337">
      <c r="A337">
        <f>計分!A337</f>
        <v/>
      </c>
      <c r="B337">
        <f>IF(OR(計分!B337="",計分!$AP337=""),"",計分!$AP337-計分!B337)</f>
        <v/>
      </c>
      <c r="C337">
        <f>IF(OR(計分!C337="",計分!$AP337=""),"",計分!$AP337-計分!C337)</f>
        <v/>
      </c>
      <c r="D337">
        <f>IF(OR(計分!D337="",計分!$AP337=""),"",計分!$AP337-計分!D337)</f>
        <v/>
      </c>
      <c r="E337">
        <f>IF(OR(計分!E337="",計分!$AP337=""),"",計分!$AP337-計分!E337)</f>
        <v/>
      </c>
      <c r="F337">
        <f>IF(OR(計分!F337="",計分!$AP337=""),"",計分!$AP337-計分!F337)</f>
        <v/>
      </c>
      <c r="G337">
        <f>IF(OR(計分!G337="",計分!$AP337=""),"",計分!$AP337-計分!G337)</f>
        <v/>
      </c>
      <c r="H337">
        <f>IF(OR(計分!H337="",計分!$AP337=""),"",計分!$AP337-計分!H337)</f>
        <v/>
      </c>
      <c r="I337">
        <f>IF(OR(計分!I337="",計分!$AP337=""),"",計分!$AP337-計分!I337)</f>
        <v/>
      </c>
      <c r="J337">
        <f>IF(OR(計分!J337="",計分!$AP337=""),"",計分!$AP337-計分!J337)</f>
        <v/>
      </c>
      <c r="K337">
        <f>IF(OR(計分!K337="",計分!$AP337=""),"",計分!$AP337-計分!K337)</f>
        <v/>
      </c>
      <c r="L337">
        <f>IF(OR(計分!L337="",計分!$AP337=""),"",計分!$AP337-計分!L337)</f>
        <v/>
      </c>
      <c r="M337">
        <f>IF(OR(計分!M337="",計分!$AP337=""),"",計分!$AP337-計分!M337)</f>
        <v/>
      </c>
      <c r="N337">
        <f>IF(OR(計分!N337="",計分!$AP337=""),"",計分!$AP337-計分!N337)</f>
        <v/>
      </c>
      <c r="O337">
        <f>IF(OR(計分!O337="",計分!$AP337=""),"",計分!$AP337-計分!O337)</f>
        <v/>
      </c>
      <c r="P337">
        <f>IF(OR(計分!P337="",計分!$AP337=""),"",計分!$AP337-計分!P337)</f>
        <v/>
      </c>
      <c r="Q337">
        <f>IF(OR(計分!Q337="",計分!$AP337=""),"",計分!$AP337-計分!Q337)</f>
        <v/>
      </c>
      <c r="R337">
        <f>IF(OR(計分!R337="",計分!$AP337=""),"",計分!$AP337-計分!R337)</f>
        <v/>
      </c>
      <c r="S337">
        <f>IF(OR(計分!S337="",計分!$AP337=""),"",計分!$AP337-計分!S337)</f>
        <v/>
      </c>
      <c r="T337">
        <f>IF(OR(計分!T337="",計分!$AP337=""),"",計分!$AP337-計分!T337)</f>
        <v/>
      </c>
      <c r="U337">
        <f>IF(OR(計分!U337="",計分!$AP337=""),"",計分!$AP337-計分!U337)</f>
        <v/>
      </c>
      <c r="V337">
        <f>IF(OR(計分!V337="",計分!$AP337=""),"",計分!$AP337-計分!V337)</f>
        <v/>
      </c>
      <c r="W337">
        <f>IF(OR(計分!W337="",計分!$AP337=""),"",計分!$AP337-計分!W337)</f>
        <v/>
      </c>
      <c r="X337">
        <f>IF(OR(計分!X337="",計分!$AP337=""),"",計分!$AP337-計分!X337)</f>
        <v/>
      </c>
      <c r="Y337">
        <f>IF(OR(計分!Y337="",計分!$AP337=""),"",計分!$AP337-計分!Y337)</f>
        <v/>
      </c>
      <c r="Z337">
        <f>IF(OR(計分!Z337="",計分!$AP337=""),"",計分!$AP337-計分!Z337)</f>
        <v/>
      </c>
      <c r="AA337">
        <f>IF(OR(計分!AA337="",計分!$AP337=""),"",計分!$AP337-計分!AA337)</f>
        <v/>
      </c>
      <c r="AB337">
        <f>IF(OR(計分!AB337="",計分!$AP337=""),"",計分!$AP337-計分!AB337)</f>
        <v/>
      </c>
      <c r="AC337">
        <f>IF(OR(計分!AC337="",計分!$AP337=""),"",計分!$AP337-計分!AC337)</f>
        <v/>
      </c>
      <c r="AD337">
        <f>IF(OR(計分!AD337="",計分!$AP337=""),"",計分!$AP337-計分!AD337)</f>
        <v/>
      </c>
      <c r="AE337">
        <f>IF(OR(計分!AE337="",計分!$AP337=""),"",計分!$AP337-計分!AE337)</f>
        <v/>
      </c>
      <c r="AF337">
        <f>IF(OR(計分!AF337="",計分!$AP337=""),"",計分!$AP337-計分!AF337)</f>
        <v/>
      </c>
      <c r="AG337">
        <f>IF(OR(計分!AG337="",計分!$AP337=""),"",計分!$AP337-計分!AG337)</f>
        <v/>
      </c>
      <c r="AH337">
        <f>IF(OR(計分!AH337="",計分!$AP337=""),"",計分!$AP337-計分!AH337)</f>
        <v/>
      </c>
      <c r="AI337">
        <f>IF(OR(計分!AI337="",計分!$AP337=""),"",計分!$AP337-計分!AI337)</f>
        <v/>
      </c>
      <c r="AJ337">
        <f>IF(OR(計分!AJ337="",計分!$AP337=""),"",計分!$AP337-計分!AJ337)</f>
        <v/>
      </c>
      <c r="AK337">
        <f>IF(OR(計分!AK337="",計分!$AP337=""),"",計分!$AP337-計分!AK337)</f>
        <v/>
      </c>
      <c r="AL337">
        <f>IF(OR(計分!AL337="",計分!$AP337=""),"",計分!$AP337-計分!AL337)</f>
        <v/>
      </c>
      <c r="AM337">
        <f>IF(OR(計分!AM337="",計分!$AP337=""),"",計分!$AP337-計分!AM337)</f>
        <v/>
      </c>
      <c r="AN337">
        <f>IF(OR(計分!AN337="",計分!$AP337=""),"",計分!$AP337-計分!AN337)</f>
        <v/>
      </c>
      <c r="AO337">
        <f>IF(OR(計分!AO337="",計分!$AP337=""),"",計分!$AP337-計分!AO337)</f>
        <v/>
      </c>
    </row>
    <row r="338">
      <c r="A338">
        <f>計分!A338</f>
        <v/>
      </c>
      <c r="B338">
        <f>IF(OR(計分!B338="",計分!$AP338=""),"",計分!$AP338-計分!B338)</f>
        <v/>
      </c>
      <c r="C338">
        <f>IF(OR(計分!C338="",計分!$AP338=""),"",計分!$AP338-計分!C338)</f>
        <v/>
      </c>
      <c r="D338">
        <f>IF(OR(計分!D338="",計分!$AP338=""),"",計分!$AP338-計分!D338)</f>
        <v/>
      </c>
      <c r="E338">
        <f>IF(OR(計分!E338="",計分!$AP338=""),"",計分!$AP338-計分!E338)</f>
        <v/>
      </c>
      <c r="F338">
        <f>IF(OR(計分!F338="",計分!$AP338=""),"",計分!$AP338-計分!F338)</f>
        <v/>
      </c>
      <c r="G338">
        <f>IF(OR(計分!G338="",計分!$AP338=""),"",計分!$AP338-計分!G338)</f>
        <v/>
      </c>
      <c r="H338">
        <f>IF(OR(計分!H338="",計分!$AP338=""),"",計分!$AP338-計分!H338)</f>
        <v/>
      </c>
      <c r="I338">
        <f>IF(OR(計分!I338="",計分!$AP338=""),"",計分!$AP338-計分!I338)</f>
        <v/>
      </c>
      <c r="J338">
        <f>IF(OR(計分!J338="",計分!$AP338=""),"",計分!$AP338-計分!J338)</f>
        <v/>
      </c>
      <c r="K338">
        <f>IF(OR(計分!K338="",計分!$AP338=""),"",計分!$AP338-計分!K338)</f>
        <v/>
      </c>
      <c r="L338">
        <f>IF(OR(計分!L338="",計分!$AP338=""),"",計分!$AP338-計分!L338)</f>
        <v/>
      </c>
      <c r="M338">
        <f>IF(OR(計分!M338="",計分!$AP338=""),"",計分!$AP338-計分!M338)</f>
        <v/>
      </c>
      <c r="N338">
        <f>IF(OR(計分!N338="",計分!$AP338=""),"",計分!$AP338-計分!N338)</f>
        <v/>
      </c>
      <c r="O338">
        <f>IF(OR(計分!O338="",計分!$AP338=""),"",計分!$AP338-計分!O338)</f>
        <v/>
      </c>
      <c r="P338">
        <f>IF(OR(計分!P338="",計分!$AP338=""),"",計分!$AP338-計分!P338)</f>
        <v/>
      </c>
      <c r="Q338">
        <f>IF(OR(計分!Q338="",計分!$AP338=""),"",計分!$AP338-計分!Q338)</f>
        <v/>
      </c>
      <c r="R338">
        <f>IF(OR(計分!R338="",計分!$AP338=""),"",計分!$AP338-計分!R338)</f>
        <v/>
      </c>
      <c r="S338">
        <f>IF(OR(計分!S338="",計分!$AP338=""),"",計分!$AP338-計分!S338)</f>
        <v/>
      </c>
      <c r="T338">
        <f>IF(OR(計分!T338="",計分!$AP338=""),"",計分!$AP338-計分!T338)</f>
        <v/>
      </c>
      <c r="U338">
        <f>IF(OR(計分!U338="",計分!$AP338=""),"",計分!$AP338-計分!U338)</f>
        <v/>
      </c>
      <c r="V338">
        <f>IF(OR(計分!V338="",計分!$AP338=""),"",計分!$AP338-計分!V338)</f>
        <v/>
      </c>
      <c r="W338">
        <f>IF(OR(計分!W338="",計分!$AP338=""),"",計分!$AP338-計分!W338)</f>
        <v/>
      </c>
      <c r="X338">
        <f>IF(OR(計分!X338="",計分!$AP338=""),"",計分!$AP338-計分!X338)</f>
        <v/>
      </c>
      <c r="Y338">
        <f>IF(OR(計分!Y338="",計分!$AP338=""),"",計分!$AP338-計分!Y338)</f>
        <v/>
      </c>
      <c r="Z338">
        <f>IF(OR(計分!Z338="",計分!$AP338=""),"",計分!$AP338-計分!Z338)</f>
        <v/>
      </c>
      <c r="AA338">
        <f>IF(OR(計分!AA338="",計分!$AP338=""),"",計分!$AP338-計分!AA338)</f>
        <v/>
      </c>
      <c r="AB338">
        <f>IF(OR(計分!AB338="",計分!$AP338=""),"",計分!$AP338-計分!AB338)</f>
        <v/>
      </c>
      <c r="AC338">
        <f>IF(OR(計分!AC338="",計分!$AP338=""),"",計分!$AP338-計分!AC338)</f>
        <v/>
      </c>
      <c r="AD338">
        <f>IF(OR(計分!AD338="",計分!$AP338=""),"",計分!$AP338-計分!AD338)</f>
        <v/>
      </c>
      <c r="AE338">
        <f>IF(OR(計分!AE338="",計分!$AP338=""),"",計分!$AP338-計分!AE338)</f>
        <v/>
      </c>
      <c r="AF338">
        <f>IF(OR(計分!AF338="",計分!$AP338=""),"",計分!$AP338-計分!AF338)</f>
        <v/>
      </c>
      <c r="AG338">
        <f>IF(OR(計分!AG338="",計分!$AP338=""),"",計分!$AP338-計分!AG338)</f>
        <v/>
      </c>
      <c r="AH338">
        <f>IF(OR(計分!AH338="",計分!$AP338=""),"",計分!$AP338-計分!AH338)</f>
        <v/>
      </c>
      <c r="AI338">
        <f>IF(OR(計分!AI338="",計分!$AP338=""),"",計分!$AP338-計分!AI338)</f>
        <v/>
      </c>
      <c r="AJ338">
        <f>IF(OR(計分!AJ338="",計分!$AP338=""),"",計分!$AP338-計分!AJ338)</f>
        <v/>
      </c>
      <c r="AK338">
        <f>IF(OR(計分!AK338="",計分!$AP338=""),"",計分!$AP338-計分!AK338)</f>
        <v/>
      </c>
      <c r="AL338">
        <f>IF(OR(計分!AL338="",計分!$AP338=""),"",計分!$AP338-計分!AL338)</f>
        <v/>
      </c>
      <c r="AM338">
        <f>IF(OR(計分!AM338="",計分!$AP338=""),"",計分!$AP338-計分!AM338)</f>
        <v/>
      </c>
      <c r="AN338">
        <f>IF(OR(計分!AN338="",計分!$AP338=""),"",計分!$AP338-計分!AN338)</f>
        <v/>
      </c>
      <c r="AO338">
        <f>IF(OR(計分!AO338="",計分!$AP338=""),"",計分!$AP338-計分!AO338)</f>
        <v/>
      </c>
    </row>
    <row r="339">
      <c r="A339">
        <f>計分!A339</f>
        <v/>
      </c>
      <c r="B339">
        <f>IF(OR(計分!B339="",計分!$AP339=""),"",計分!$AP339-計分!B339)</f>
        <v/>
      </c>
      <c r="C339">
        <f>IF(OR(計分!C339="",計分!$AP339=""),"",計分!$AP339-計分!C339)</f>
        <v/>
      </c>
      <c r="D339">
        <f>IF(OR(計分!D339="",計分!$AP339=""),"",計分!$AP339-計分!D339)</f>
        <v/>
      </c>
      <c r="E339">
        <f>IF(OR(計分!E339="",計分!$AP339=""),"",計分!$AP339-計分!E339)</f>
        <v/>
      </c>
      <c r="F339">
        <f>IF(OR(計分!F339="",計分!$AP339=""),"",計分!$AP339-計分!F339)</f>
        <v/>
      </c>
      <c r="G339">
        <f>IF(OR(計分!G339="",計分!$AP339=""),"",計分!$AP339-計分!G339)</f>
        <v/>
      </c>
      <c r="H339">
        <f>IF(OR(計分!H339="",計分!$AP339=""),"",計分!$AP339-計分!H339)</f>
        <v/>
      </c>
      <c r="I339">
        <f>IF(OR(計分!I339="",計分!$AP339=""),"",計分!$AP339-計分!I339)</f>
        <v/>
      </c>
      <c r="J339">
        <f>IF(OR(計分!J339="",計分!$AP339=""),"",計分!$AP339-計分!J339)</f>
        <v/>
      </c>
      <c r="K339">
        <f>IF(OR(計分!K339="",計分!$AP339=""),"",計分!$AP339-計分!K339)</f>
        <v/>
      </c>
      <c r="L339">
        <f>IF(OR(計分!L339="",計分!$AP339=""),"",計分!$AP339-計分!L339)</f>
        <v/>
      </c>
      <c r="M339">
        <f>IF(OR(計分!M339="",計分!$AP339=""),"",計分!$AP339-計分!M339)</f>
        <v/>
      </c>
      <c r="N339">
        <f>IF(OR(計分!N339="",計分!$AP339=""),"",計分!$AP339-計分!N339)</f>
        <v/>
      </c>
      <c r="O339">
        <f>IF(OR(計分!O339="",計分!$AP339=""),"",計分!$AP339-計分!O339)</f>
        <v/>
      </c>
      <c r="P339">
        <f>IF(OR(計分!P339="",計分!$AP339=""),"",計分!$AP339-計分!P339)</f>
        <v/>
      </c>
      <c r="Q339">
        <f>IF(OR(計分!Q339="",計分!$AP339=""),"",計分!$AP339-計分!Q339)</f>
        <v/>
      </c>
      <c r="R339">
        <f>IF(OR(計分!R339="",計分!$AP339=""),"",計分!$AP339-計分!R339)</f>
        <v/>
      </c>
      <c r="S339">
        <f>IF(OR(計分!S339="",計分!$AP339=""),"",計分!$AP339-計分!S339)</f>
        <v/>
      </c>
      <c r="T339">
        <f>IF(OR(計分!T339="",計分!$AP339=""),"",計分!$AP339-計分!T339)</f>
        <v/>
      </c>
      <c r="U339">
        <f>IF(OR(計分!U339="",計分!$AP339=""),"",計分!$AP339-計分!U339)</f>
        <v/>
      </c>
      <c r="V339">
        <f>IF(OR(計分!V339="",計分!$AP339=""),"",計分!$AP339-計分!V339)</f>
        <v/>
      </c>
      <c r="W339">
        <f>IF(OR(計分!W339="",計分!$AP339=""),"",計分!$AP339-計分!W339)</f>
        <v/>
      </c>
      <c r="X339">
        <f>IF(OR(計分!X339="",計分!$AP339=""),"",計分!$AP339-計分!X339)</f>
        <v/>
      </c>
      <c r="Y339">
        <f>IF(OR(計分!Y339="",計分!$AP339=""),"",計分!$AP339-計分!Y339)</f>
        <v/>
      </c>
      <c r="Z339">
        <f>IF(OR(計分!Z339="",計分!$AP339=""),"",計分!$AP339-計分!Z339)</f>
        <v/>
      </c>
      <c r="AA339">
        <f>IF(OR(計分!AA339="",計分!$AP339=""),"",計分!$AP339-計分!AA339)</f>
        <v/>
      </c>
      <c r="AB339">
        <f>IF(OR(計分!AB339="",計分!$AP339=""),"",計分!$AP339-計分!AB339)</f>
        <v/>
      </c>
      <c r="AC339">
        <f>IF(OR(計分!AC339="",計分!$AP339=""),"",計分!$AP339-計分!AC339)</f>
        <v/>
      </c>
      <c r="AD339">
        <f>IF(OR(計分!AD339="",計分!$AP339=""),"",計分!$AP339-計分!AD339)</f>
        <v/>
      </c>
      <c r="AE339">
        <f>IF(OR(計分!AE339="",計分!$AP339=""),"",計分!$AP339-計分!AE339)</f>
        <v/>
      </c>
      <c r="AF339">
        <f>IF(OR(計分!AF339="",計分!$AP339=""),"",計分!$AP339-計分!AF339)</f>
        <v/>
      </c>
      <c r="AG339">
        <f>IF(OR(計分!AG339="",計分!$AP339=""),"",計分!$AP339-計分!AG339)</f>
        <v/>
      </c>
      <c r="AH339">
        <f>IF(OR(計分!AH339="",計分!$AP339=""),"",計分!$AP339-計分!AH339)</f>
        <v/>
      </c>
      <c r="AI339">
        <f>IF(OR(計分!AI339="",計分!$AP339=""),"",計分!$AP339-計分!AI339)</f>
        <v/>
      </c>
      <c r="AJ339">
        <f>IF(OR(計分!AJ339="",計分!$AP339=""),"",計分!$AP339-計分!AJ339)</f>
        <v/>
      </c>
      <c r="AK339">
        <f>IF(OR(計分!AK339="",計分!$AP339=""),"",計分!$AP339-計分!AK339)</f>
        <v/>
      </c>
      <c r="AL339">
        <f>IF(OR(計分!AL339="",計分!$AP339=""),"",計分!$AP339-計分!AL339)</f>
        <v/>
      </c>
      <c r="AM339">
        <f>IF(OR(計分!AM339="",計分!$AP339=""),"",計分!$AP339-計分!AM339)</f>
        <v/>
      </c>
      <c r="AN339">
        <f>IF(OR(計分!AN339="",計分!$AP339=""),"",計分!$AP339-計分!AN339)</f>
        <v/>
      </c>
      <c r="AO339">
        <f>IF(OR(計分!AO339="",計分!$AP339=""),"",計分!$AP339-計分!AO339)</f>
        <v/>
      </c>
    </row>
    <row r="340">
      <c r="A340">
        <f>計分!A340</f>
        <v/>
      </c>
      <c r="B340">
        <f>IF(OR(計分!B340="",計分!$AP340=""),"",計分!$AP340-計分!B340)</f>
        <v/>
      </c>
      <c r="C340">
        <f>IF(OR(計分!C340="",計分!$AP340=""),"",計分!$AP340-計分!C340)</f>
        <v/>
      </c>
      <c r="D340">
        <f>IF(OR(計分!D340="",計分!$AP340=""),"",計分!$AP340-計分!D340)</f>
        <v/>
      </c>
      <c r="E340">
        <f>IF(OR(計分!E340="",計分!$AP340=""),"",計分!$AP340-計分!E340)</f>
        <v/>
      </c>
      <c r="F340">
        <f>IF(OR(計分!F340="",計分!$AP340=""),"",計分!$AP340-計分!F340)</f>
        <v/>
      </c>
      <c r="G340">
        <f>IF(OR(計分!G340="",計分!$AP340=""),"",計分!$AP340-計分!G340)</f>
        <v/>
      </c>
      <c r="H340">
        <f>IF(OR(計分!H340="",計分!$AP340=""),"",計分!$AP340-計分!H340)</f>
        <v/>
      </c>
      <c r="I340">
        <f>IF(OR(計分!I340="",計分!$AP340=""),"",計分!$AP340-計分!I340)</f>
        <v/>
      </c>
      <c r="J340">
        <f>IF(OR(計分!J340="",計分!$AP340=""),"",計分!$AP340-計分!J340)</f>
        <v/>
      </c>
      <c r="K340">
        <f>IF(OR(計分!K340="",計分!$AP340=""),"",計分!$AP340-計分!K340)</f>
        <v/>
      </c>
      <c r="L340">
        <f>IF(OR(計分!L340="",計分!$AP340=""),"",計分!$AP340-計分!L340)</f>
        <v/>
      </c>
      <c r="M340">
        <f>IF(OR(計分!M340="",計分!$AP340=""),"",計分!$AP340-計分!M340)</f>
        <v/>
      </c>
      <c r="N340">
        <f>IF(OR(計分!N340="",計分!$AP340=""),"",計分!$AP340-計分!N340)</f>
        <v/>
      </c>
      <c r="O340">
        <f>IF(OR(計分!O340="",計分!$AP340=""),"",計分!$AP340-計分!O340)</f>
        <v/>
      </c>
      <c r="P340">
        <f>IF(OR(計分!P340="",計分!$AP340=""),"",計分!$AP340-計分!P340)</f>
        <v/>
      </c>
      <c r="Q340">
        <f>IF(OR(計分!Q340="",計分!$AP340=""),"",計分!$AP340-計分!Q340)</f>
        <v/>
      </c>
      <c r="R340">
        <f>IF(OR(計分!R340="",計分!$AP340=""),"",計分!$AP340-計分!R340)</f>
        <v/>
      </c>
      <c r="S340">
        <f>IF(OR(計分!S340="",計分!$AP340=""),"",計分!$AP340-計分!S340)</f>
        <v/>
      </c>
      <c r="T340">
        <f>IF(OR(計分!T340="",計分!$AP340=""),"",計分!$AP340-計分!T340)</f>
        <v/>
      </c>
      <c r="U340">
        <f>IF(OR(計分!U340="",計分!$AP340=""),"",計分!$AP340-計分!U340)</f>
        <v/>
      </c>
      <c r="V340">
        <f>IF(OR(計分!V340="",計分!$AP340=""),"",計分!$AP340-計分!V340)</f>
        <v/>
      </c>
      <c r="W340">
        <f>IF(OR(計分!W340="",計分!$AP340=""),"",計分!$AP340-計分!W340)</f>
        <v/>
      </c>
      <c r="X340">
        <f>IF(OR(計分!X340="",計分!$AP340=""),"",計分!$AP340-計分!X340)</f>
        <v/>
      </c>
      <c r="Y340">
        <f>IF(OR(計分!Y340="",計分!$AP340=""),"",計分!$AP340-計分!Y340)</f>
        <v/>
      </c>
      <c r="Z340">
        <f>IF(OR(計分!Z340="",計分!$AP340=""),"",計分!$AP340-計分!Z340)</f>
        <v/>
      </c>
      <c r="AA340">
        <f>IF(OR(計分!AA340="",計分!$AP340=""),"",計分!$AP340-計分!AA340)</f>
        <v/>
      </c>
      <c r="AB340">
        <f>IF(OR(計分!AB340="",計分!$AP340=""),"",計分!$AP340-計分!AB340)</f>
        <v/>
      </c>
      <c r="AC340">
        <f>IF(OR(計分!AC340="",計分!$AP340=""),"",計分!$AP340-計分!AC340)</f>
        <v/>
      </c>
      <c r="AD340">
        <f>IF(OR(計分!AD340="",計分!$AP340=""),"",計分!$AP340-計分!AD340)</f>
        <v/>
      </c>
      <c r="AE340">
        <f>IF(OR(計分!AE340="",計分!$AP340=""),"",計分!$AP340-計分!AE340)</f>
        <v/>
      </c>
      <c r="AF340">
        <f>IF(OR(計分!AF340="",計分!$AP340=""),"",計分!$AP340-計分!AF340)</f>
        <v/>
      </c>
      <c r="AG340">
        <f>IF(OR(計分!AG340="",計分!$AP340=""),"",計分!$AP340-計分!AG340)</f>
        <v/>
      </c>
      <c r="AH340">
        <f>IF(OR(計分!AH340="",計分!$AP340=""),"",計分!$AP340-計分!AH340)</f>
        <v/>
      </c>
      <c r="AI340">
        <f>IF(OR(計分!AI340="",計分!$AP340=""),"",計分!$AP340-計分!AI340)</f>
        <v/>
      </c>
      <c r="AJ340">
        <f>IF(OR(計分!AJ340="",計分!$AP340=""),"",計分!$AP340-計分!AJ340)</f>
        <v/>
      </c>
      <c r="AK340">
        <f>IF(OR(計分!AK340="",計分!$AP340=""),"",計分!$AP340-計分!AK340)</f>
        <v/>
      </c>
      <c r="AL340">
        <f>IF(OR(計分!AL340="",計分!$AP340=""),"",計分!$AP340-計分!AL340)</f>
        <v/>
      </c>
      <c r="AM340">
        <f>IF(OR(計分!AM340="",計分!$AP340=""),"",計分!$AP340-計分!AM340)</f>
        <v/>
      </c>
      <c r="AN340">
        <f>IF(OR(計分!AN340="",計分!$AP340=""),"",計分!$AP340-計分!AN340)</f>
        <v/>
      </c>
      <c r="AO340">
        <f>IF(OR(計分!AO340="",計分!$AP340=""),"",計分!$AP340-計分!AO340)</f>
        <v/>
      </c>
    </row>
    <row r="341">
      <c r="A341">
        <f>計分!A341</f>
        <v/>
      </c>
      <c r="B341">
        <f>IF(OR(計分!B341="",計分!$AP341=""),"",計分!$AP341-計分!B341)</f>
        <v/>
      </c>
      <c r="C341">
        <f>IF(OR(計分!C341="",計分!$AP341=""),"",計分!$AP341-計分!C341)</f>
        <v/>
      </c>
      <c r="D341">
        <f>IF(OR(計分!D341="",計分!$AP341=""),"",計分!$AP341-計分!D341)</f>
        <v/>
      </c>
      <c r="E341">
        <f>IF(OR(計分!E341="",計分!$AP341=""),"",計分!$AP341-計分!E341)</f>
        <v/>
      </c>
      <c r="F341">
        <f>IF(OR(計分!F341="",計分!$AP341=""),"",計分!$AP341-計分!F341)</f>
        <v/>
      </c>
      <c r="G341">
        <f>IF(OR(計分!G341="",計分!$AP341=""),"",計分!$AP341-計分!G341)</f>
        <v/>
      </c>
      <c r="H341">
        <f>IF(OR(計分!H341="",計分!$AP341=""),"",計分!$AP341-計分!H341)</f>
        <v/>
      </c>
      <c r="I341">
        <f>IF(OR(計分!I341="",計分!$AP341=""),"",計分!$AP341-計分!I341)</f>
        <v/>
      </c>
      <c r="J341">
        <f>IF(OR(計分!J341="",計分!$AP341=""),"",計分!$AP341-計分!J341)</f>
        <v/>
      </c>
      <c r="K341">
        <f>IF(OR(計分!K341="",計分!$AP341=""),"",計分!$AP341-計分!K341)</f>
        <v/>
      </c>
      <c r="L341">
        <f>IF(OR(計分!L341="",計分!$AP341=""),"",計分!$AP341-計分!L341)</f>
        <v/>
      </c>
      <c r="M341">
        <f>IF(OR(計分!M341="",計分!$AP341=""),"",計分!$AP341-計分!M341)</f>
        <v/>
      </c>
      <c r="N341">
        <f>IF(OR(計分!N341="",計分!$AP341=""),"",計分!$AP341-計分!N341)</f>
        <v/>
      </c>
      <c r="O341">
        <f>IF(OR(計分!O341="",計分!$AP341=""),"",計分!$AP341-計分!O341)</f>
        <v/>
      </c>
      <c r="P341">
        <f>IF(OR(計分!P341="",計分!$AP341=""),"",計分!$AP341-計分!P341)</f>
        <v/>
      </c>
      <c r="Q341">
        <f>IF(OR(計分!Q341="",計分!$AP341=""),"",計分!$AP341-計分!Q341)</f>
        <v/>
      </c>
      <c r="R341">
        <f>IF(OR(計分!R341="",計分!$AP341=""),"",計分!$AP341-計分!R341)</f>
        <v/>
      </c>
      <c r="S341">
        <f>IF(OR(計分!S341="",計分!$AP341=""),"",計分!$AP341-計分!S341)</f>
        <v/>
      </c>
      <c r="T341">
        <f>IF(OR(計分!T341="",計分!$AP341=""),"",計分!$AP341-計分!T341)</f>
        <v/>
      </c>
      <c r="U341">
        <f>IF(OR(計分!U341="",計分!$AP341=""),"",計分!$AP341-計分!U341)</f>
        <v/>
      </c>
      <c r="V341">
        <f>IF(OR(計分!V341="",計分!$AP341=""),"",計分!$AP341-計分!V341)</f>
        <v/>
      </c>
      <c r="W341">
        <f>IF(OR(計分!W341="",計分!$AP341=""),"",計分!$AP341-計分!W341)</f>
        <v/>
      </c>
      <c r="X341">
        <f>IF(OR(計分!X341="",計分!$AP341=""),"",計分!$AP341-計分!X341)</f>
        <v/>
      </c>
      <c r="Y341">
        <f>IF(OR(計分!Y341="",計分!$AP341=""),"",計分!$AP341-計分!Y341)</f>
        <v/>
      </c>
      <c r="Z341">
        <f>IF(OR(計分!Z341="",計分!$AP341=""),"",計分!$AP341-計分!Z341)</f>
        <v/>
      </c>
      <c r="AA341">
        <f>IF(OR(計分!AA341="",計分!$AP341=""),"",計分!$AP341-計分!AA341)</f>
        <v/>
      </c>
      <c r="AB341">
        <f>IF(OR(計分!AB341="",計分!$AP341=""),"",計分!$AP341-計分!AB341)</f>
        <v/>
      </c>
      <c r="AC341">
        <f>IF(OR(計分!AC341="",計分!$AP341=""),"",計分!$AP341-計分!AC341)</f>
        <v/>
      </c>
      <c r="AD341">
        <f>IF(OR(計分!AD341="",計分!$AP341=""),"",計分!$AP341-計分!AD341)</f>
        <v/>
      </c>
      <c r="AE341">
        <f>IF(OR(計分!AE341="",計分!$AP341=""),"",計分!$AP341-計分!AE341)</f>
        <v/>
      </c>
      <c r="AF341">
        <f>IF(OR(計分!AF341="",計分!$AP341=""),"",計分!$AP341-計分!AF341)</f>
        <v/>
      </c>
      <c r="AG341">
        <f>IF(OR(計分!AG341="",計分!$AP341=""),"",計分!$AP341-計分!AG341)</f>
        <v/>
      </c>
      <c r="AH341">
        <f>IF(OR(計分!AH341="",計分!$AP341=""),"",計分!$AP341-計分!AH341)</f>
        <v/>
      </c>
      <c r="AI341">
        <f>IF(OR(計分!AI341="",計分!$AP341=""),"",計分!$AP341-計分!AI341)</f>
        <v/>
      </c>
      <c r="AJ341">
        <f>IF(OR(計分!AJ341="",計分!$AP341=""),"",計分!$AP341-計分!AJ341)</f>
        <v/>
      </c>
      <c r="AK341">
        <f>IF(OR(計分!AK341="",計分!$AP341=""),"",計分!$AP341-計分!AK341)</f>
        <v/>
      </c>
      <c r="AL341">
        <f>IF(OR(計分!AL341="",計分!$AP341=""),"",計分!$AP341-計分!AL341)</f>
        <v/>
      </c>
      <c r="AM341">
        <f>IF(OR(計分!AM341="",計分!$AP341=""),"",計分!$AP341-計分!AM341)</f>
        <v/>
      </c>
      <c r="AN341">
        <f>IF(OR(計分!AN341="",計分!$AP341=""),"",計分!$AP341-計分!AN341)</f>
        <v/>
      </c>
      <c r="AO341">
        <f>IF(OR(計分!AO341="",計分!$AP341=""),"",計分!$AP341-計分!AO341)</f>
        <v/>
      </c>
    </row>
    <row r="342">
      <c r="A342">
        <f>計分!A342</f>
        <v/>
      </c>
      <c r="B342">
        <f>IF(OR(計分!B342="",計分!$AP342=""),"",計分!$AP342-計分!B342)</f>
        <v/>
      </c>
      <c r="C342">
        <f>IF(OR(計分!C342="",計分!$AP342=""),"",計分!$AP342-計分!C342)</f>
        <v/>
      </c>
      <c r="D342">
        <f>IF(OR(計分!D342="",計分!$AP342=""),"",計分!$AP342-計分!D342)</f>
        <v/>
      </c>
      <c r="E342">
        <f>IF(OR(計分!E342="",計分!$AP342=""),"",計分!$AP342-計分!E342)</f>
        <v/>
      </c>
      <c r="F342">
        <f>IF(OR(計分!F342="",計分!$AP342=""),"",計分!$AP342-計分!F342)</f>
        <v/>
      </c>
      <c r="G342">
        <f>IF(OR(計分!G342="",計分!$AP342=""),"",計分!$AP342-計分!G342)</f>
        <v/>
      </c>
      <c r="H342">
        <f>IF(OR(計分!H342="",計分!$AP342=""),"",計分!$AP342-計分!H342)</f>
        <v/>
      </c>
      <c r="I342">
        <f>IF(OR(計分!I342="",計分!$AP342=""),"",計分!$AP342-計分!I342)</f>
        <v/>
      </c>
      <c r="J342">
        <f>IF(OR(計分!J342="",計分!$AP342=""),"",計分!$AP342-計分!J342)</f>
        <v/>
      </c>
      <c r="K342">
        <f>IF(OR(計分!K342="",計分!$AP342=""),"",計分!$AP342-計分!K342)</f>
        <v/>
      </c>
      <c r="L342">
        <f>IF(OR(計分!L342="",計分!$AP342=""),"",計分!$AP342-計分!L342)</f>
        <v/>
      </c>
      <c r="M342">
        <f>IF(OR(計分!M342="",計分!$AP342=""),"",計分!$AP342-計分!M342)</f>
        <v/>
      </c>
      <c r="N342">
        <f>IF(OR(計分!N342="",計分!$AP342=""),"",計分!$AP342-計分!N342)</f>
        <v/>
      </c>
      <c r="O342">
        <f>IF(OR(計分!O342="",計分!$AP342=""),"",計分!$AP342-計分!O342)</f>
        <v/>
      </c>
      <c r="P342">
        <f>IF(OR(計分!P342="",計分!$AP342=""),"",計分!$AP342-計分!P342)</f>
        <v/>
      </c>
      <c r="Q342">
        <f>IF(OR(計分!Q342="",計分!$AP342=""),"",計分!$AP342-計分!Q342)</f>
        <v/>
      </c>
      <c r="R342">
        <f>IF(OR(計分!R342="",計分!$AP342=""),"",計分!$AP342-計分!R342)</f>
        <v/>
      </c>
      <c r="S342">
        <f>IF(OR(計分!S342="",計分!$AP342=""),"",計分!$AP342-計分!S342)</f>
        <v/>
      </c>
      <c r="T342">
        <f>IF(OR(計分!T342="",計分!$AP342=""),"",計分!$AP342-計分!T342)</f>
        <v/>
      </c>
      <c r="U342">
        <f>IF(OR(計分!U342="",計分!$AP342=""),"",計分!$AP342-計分!U342)</f>
        <v/>
      </c>
      <c r="V342">
        <f>IF(OR(計分!V342="",計分!$AP342=""),"",計分!$AP342-計分!V342)</f>
        <v/>
      </c>
      <c r="W342">
        <f>IF(OR(計分!W342="",計分!$AP342=""),"",計分!$AP342-計分!W342)</f>
        <v/>
      </c>
      <c r="X342">
        <f>IF(OR(計分!X342="",計分!$AP342=""),"",計分!$AP342-計分!X342)</f>
        <v/>
      </c>
      <c r="Y342">
        <f>IF(OR(計分!Y342="",計分!$AP342=""),"",計分!$AP342-計分!Y342)</f>
        <v/>
      </c>
      <c r="Z342">
        <f>IF(OR(計分!Z342="",計分!$AP342=""),"",計分!$AP342-計分!Z342)</f>
        <v/>
      </c>
      <c r="AA342">
        <f>IF(OR(計分!AA342="",計分!$AP342=""),"",計分!$AP342-計分!AA342)</f>
        <v/>
      </c>
      <c r="AB342">
        <f>IF(OR(計分!AB342="",計分!$AP342=""),"",計分!$AP342-計分!AB342)</f>
        <v/>
      </c>
      <c r="AC342">
        <f>IF(OR(計分!AC342="",計分!$AP342=""),"",計分!$AP342-計分!AC342)</f>
        <v/>
      </c>
      <c r="AD342">
        <f>IF(OR(計分!AD342="",計分!$AP342=""),"",計分!$AP342-計分!AD342)</f>
        <v/>
      </c>
      <c r="AE342">
        <f>IF(OR(計分!AE342="",計分!$AP342=""),"",計分!$AP342-計分!AE342)</f>
        <v/>
      </c>
      <c r="AF342">
        <f>IF(OR(計分!AF342="",計分!$AP342=""),"",計分!$AP342-計分!AF342)</f>
        <v/>
      </c>
      <c r="AG342">
        <f>IF(OR(計分!AG342="",計分!$AP342=""),"",計分!$AP342-計分!AG342)</f>
        <v/>
      </c>
      <c r="AH342">
        <f>IF(OR(計分!AH342="",計分!$AP342=""),"",計分!$AP342-計分!AH342)</f>
        <v/>
      </c>
      <c r="AI342">
        <f>IF(OR(計分!AI342="",計分!$AP342=""),"",計分!$AP342-計分!AI342)</f>
        <v/>
      </c>
      <c r="AJ342">
        <f>IF(OR(計分!AJ342="",計分!$AP342=""),"",計分!$AP342-計分!AJ342)</f>
        <v/>
      </c>
      <c r="AK342">
        <f>IF(OR(計分!AK342="",計分!$AP342=""),"",計分!$AP342-計分!AK342)</f>
        <v/>
      </c>
      <c r="AL342">
        <f>IF(OR(計分!AL342="",計分!$AP342=""),"",計分!$AP342-計分!AL342)</f>
        <v/>
      </c>
      <c r="AM342">
        <f>IF(OR(計分!AM342="",計分!$AP342=""),"",計分!$AP342-計分!AM342)</f>
        <v/>
      </c>
      <c r="AN342">
        <f>IF(OR(計分!AN342="",計分!$AP342=""),"",計分!$AP342-計分!AN342)</f>
        <v/>
      </c>
      <c r="AO342">
        <f>IF(OR(計分!AO342="",計分!$AP342=""),"",計分!$AP342-計分!AO342)</f>
        <v/>
      </c>
    </row>
    <row r="343">
      <c r="A343">
        <f>計分!A343</f>
        <v/>
      </c>
      <c r="B343">
        <f>IF(OR(計分!B343="",計分!$AP343=""),"",計分!$AP343-計分!B343)</f>
        <v/>
      </c>
      <c r="C343">
        <f>IF(OR(計分!C343="",計分!$AP343=""),"",計分!$AP343-計分!C343)</f>
        <v/>
      </c>
      <c r="D343">
        <f>IF(OR(計分!D343="",計分!$AP343=""),"",計分!$AP343-計分!D343)</f>
        <v/>
      </c>
      <c r="E343">
        <f>IF(OR(計分!E343="",計分!$AP343=""),"",計分!$AP343-計分!E343)</f>
        <v/>
      </c>
      <c r="F343">
        <f>IF(OR(計分!F343="",計分!$AP343=""),"",計分!$AP343-計分!F343)</f>
        <v/>
      </c>
      <c r="G343">
        <f>IF(OR(計分!G343="",計分!$AP343=""),"",計分!$AP343-計分!G343)</f>
        <v/>
      </c>
      <c r="H343">
        <f>IF(OR(計分!H343="",計分!$AP343=""),"",計分!$AP343-計分!H343)</f>
        <v/>
      </c>
      <c r="I343">
        <f>IF(OR(計分!I343="",計分!$AP343=""),"",計分!$AP343-計分!I343)</f>
        <v/>
      </c>
      <c r="J343">
        <f>IF(OR(計分!J343="",計分!$AP343=""),"",計分!$AP343-計分!J343)</f>
        <v/>
      </c>
      <c r="K343">
        <f>IF(OR(計分!K343="",計分!$AP343=""),"",計分!$AP343-計分!K343)</f>
        <v/>
      </c>
      <c r="L343">
        <f>IF(OR(計分!L343="",計分!$AP343=""),"",計分!$AP343-計分!L343)</f>
        <v/>
      </c>
      <c r="M343">
        <f>IF(OR(計分!M343="",計分!$AP343=""),"",計分!$AP343-計分!M343)</f>
        <v/>
      </c>
      <c r="N343">
        <f>IF(OR(計分!N343="",計分!$AP343=""),"",計分!$AP343-計分!N343)</f>
        <v/>
      </c>
      <c r="O343">
        <f>IF(OR(計分!O343="",計分!$AP343=""),"",計分!$AP343-計分!O343)</f>
        <v/>
      </c>
      <c r="P343">
        <f>IF(OR(計分!P343="",計分!$AP343=""),"",計分!$AP343-計分!P343)</f>
        <v/>
      </c>
      <c r="Q343">
        <f>IF(OR(計分!Q343="",計分!$AP343=""),"",計分!$AP343-計分!Q343)</f>
        <v/>
      </c>
      <c r="R343">
        <f>IF(OR(計分!R343="",計分!$AP343=""),"",計分!$AP343-計分!R343)</f>
        <v/>
      </c>
      <c r="S343">
        <f>IF(OR(計分!S343="",計分!$AP343=""),"",計分!$AP343-計分!S343)</f>
        <v/>
      </c>
      <c r="T343">
        <f>IF(OR(計分!T343="",計分!$AP343=""),"",計分!$AP343-計分!T343)</f>
        <v/>
      </c>
      <c r="U343">
        <f>IF(OR(計分!U343="",計分!$AP343=""),"",計分!$AP343-計分!U343)</f>
        <v/>
      </c>
      <c r="V343">
        <f>IF(OR(計分!V343="",計分!$AP343=""),"",計分!$AP343-計分!V343)</f>
        <v/>
      </c>
      <c r="W343">
        <f>IF(OR(計分!W343="",計分!$AP343=""),"",計分!$AP343-計分!W343)</f>
        <v/>
      </c>
      <c r="X343">
        <f>IF(OR(計分!X343="",計分!$AP343=""),"",計分!$AP343-計分!X343)</f>
        <v/>
      </c>
      <c r="Y343">
        <f>IF(OR(計分!Y343="",計分!$AP343=""),"",計分!$AP343-計分!Y343)</f>
        <v/>
      </c>
      <c r="Z343">
        <f>IF(OR(計分!Z343="",計分!$AP343=""),"",計分!$AP343-計分!Z343)</f>
        <v/>
      </c>
      <c r="AA343">
        <f>IF(OR(計分!AA343="",計分!$AP343=""),"",計分!$AP343-計分!AA343)</f>
        <v/>
      </c>
      <c r="AB343">
        <f>IF(OR(計分!AB343="",計分!$AP343=""),"",計分!$AP343-計分!AB343)</f>
        <v/>
      </c>
      <c r="AC343">
        <f>IF(OR(計分!AC343="",計分!$AP343=""),"",計分!$AP343-計分!AC343)</f>
        <v/>
      </c>
      <c r="AD343">
        <f>IF(OR(計分!AD343="",計分!$AP343=""),"",計分!$AP343-計分!AD343)</f>
        <v/>
      </c>
      <c r="AE343">
        <f>IF(OR(計分!AE343="",計分!$AP343=""),"",計分!$AP343-計分!AE343)</f>
        <v/>
      </c>
      <c r="AF343">
        <f>IF(OR(計分!AF343="",計分!$AP343=""),"",計分!$AP343-計分!AF343)</f>
        <v/>
      </c>
      <c r="AG343">
        <f>IF(OR(計分!AG343="",計分!$AP343=""),"",計分!$AP343-計分!AG343)</f>
        <v/>
      </c>
      <c r="AH343">
        <f>IF(OR(計分!AH343="",計分!$AP343=""),"",計分!$AP343-計分!AH343)</f>
        <v/>
      </c>
      <c r="AI343">
        <f>IF(OR(計分!AI343="",計分!$AP343=""),"",計分!$AP343-計分!AI343)</f>
        <v/>
      </c>
      <c r="AJ343">
        <f>IF(OR(計分!AJ343="",計分!$AP343=""),"",計分!$AP343-計分!AJ343)</f>
        <v/>
      </c>
      <c r="AK343">
        <f>IF(OR(計分!AK343="",計分!$AP343=""),"",計分!$AP343-計分!AK343)</f>
        <v/>
      </c>
      <c r="AL343">
        <f>IF(OR(計分!AL343="",計分!$AP343=""),"",計分!$AP343-計分!AL343)</f>
        <v/>
      </c>
      <c r="AM343">
        <f>IF(OR(計分!AM343="",計分!$AP343=""),"",計分!$AP343-計分!AM343)</f>
        <v/>
      </c>
      <c r="AN343">
        <f>IF(OR(計分!AN343="",計分!$AP343=""),"",計分!$AP343-計分!AN343)</f>
        <v/>
      </c>
      <c r="AO343">
        <f>IF(OR(計分!AO343="",計分!$AP343=""),"",計分!$AP343-計分!AO343)</f>
        <v/>
      </c>
    </row>
    <row r="344">
      <c r="A344">
        <f>計分!A344</f>
        <v/>
      </c>
      <c r="B344">
        <f>IF(OR(計分!B344="",計分!$AP344=""),"",計分!$AP344-計分!B344)</f>
        <v/>
      </c>
      <c r="C344">
        <f>IF(OR(計分!C344="",計分!$AP344=""),"",計分!$AP344-計分!C344)</f>
        <v/>
      </c>
      <c r="D344">
        <f>IF(OR(計分!D344="",計分!$AP344=""),"",計分!$AP344-計分!D344)</f>
        <v/>
      </c>
      <c r="E344">
        <f>IF(OR(計分!E344="",計分!$AP344=""),"",計分!$AP344-計分!E344)</f>
        <v/>
      </c>
      <c r="F344">
        <f>IF(OR(計分!F344="",計分!$AP344=""),"",計分!$AP344-計分!F344)</f>
        <v/>
      </c>
      <c r="G344">
        <f>IF(OR(計分!G344="",計分!$AP344=""),"",計分!$AP344-計分!G344)</f>
        <v/>
      </c>
      <c r="H344">
        <f>IF(OR(計分!H344="",計分!$AP344=""),"",計分!$AP344-計分!H344)</f>
        <v/>
      </c>
      <c r="I344">
        <f>IF(OR(計分!I344="",計分!$AP344=""),"",計分!$AP344-計分!I344)</f>
        <v/>
      </c>
      <c r="J344">
        <f>IF(OR(計分!J344="",計分!$AP344=""),"",計分!$AP344-計分!J344)</f>
        <v/>
      </c>
      <c r="K344">
        <f>IF(OR(計分!K344="",計分!$AP344=""),"",計分!$AP344-計分!K344)</f>
        <v/>
      </c>
      <c r="L344">
        <f>IF(OR(計分!L344="",計分!$AP344=""),"",計分!$AP344-計分!L344)</f>
        <v/>
      </c>
      <c r="M344">
        <f>IF(OR(計分!M344="",計分!$AP344=""),"",計分!$AP344-計分!M344)</f>
        <v/>
      </c>
      <c r="N344">
        <f>IF(OR(計分!N344="",計分!$AP344=""),"",計分!$AP344-計分!N344)</f>
        <v/>
      </c>
      <c r="O344">
        <f>IF(OR(計分!O344="",計分!$AP344=""),"",計分!$AP344-計分!O344)</f>
        <v/>
      </c>
      <c r="P344">
        <f>IF(OR(計分!P344="",計分!$AP344=""),"",計分!$AP344-計分!P344)</f>
        <v/>
      </c>
      <c r="Q344">
        <f>IF(OR(計分!Q344="",計分!$AP344=""),"",計分!$AP344-計分!Q344)</f>
        <v/>
      </c>
      <c r="R344">
        <f>IF(OR(計分!R344="",計分!$AP344=""),"",計分!$AP344-計分!R344)</f>
        <v/>
      </c>
      <c r="S344">
        <f>IF(OR(計分!S344="",計分!$AP344=""),"",計分!$AP344-計分!S344)</f>
        <v/>
      </c>
      <c r="T344">
        <f>IF(OR(計分!T344="",計分!$AP344=""),"",計分!$AP344-計分!T344)</f>
        <v/>
      </c>
      <c r="U344">
        <f>IF(OR(計分!U344="",計分!$AP344=""),"",計分!$AP344-計分!U344)</f>
        <v/>
      </c>
      <c r="V344">
        <f>IF(OR(計分!V344="",計分!$AP344=""),"",計分!$AP344-計分!V344)</f>
        <v/>
      </c>
      <c r="W344">
        <f>IF(OR(計分!W344="",計分!$AP344=""),"",計分!$AP344-計分!W344)</f>
        <v/>
      </c>
      <c r="X344">
        <f>IF(OR(計分!X344="",計分!$AP344=""),"",計分!$AP344-計分!X344)</f>
        <v/>
      </c>
      <c r="Y344">
        <f>IF(OR(計分!Y344="",計分!$AP344=""),"",計分!$AP344-計分!Y344)</f>
        <v/>
      </c>
      <c r="Z344">
        <f>IF(OR(計分!Z344="",計分!$AP344=""),"",計分!$AP344-計分!Z344)</f>
        <v/>
      </c>
      <c r="AA344">
        <f>IF(OR(計分!AA344="",計分!$AP344=""),"",計分!$AP344-計分!AA344)</f>
        <v/>
      </c>
      <c r="AB344">
        <f>IF(OR(計分!AB344="",計分!$AP344=""),"",計分!$AP344-計分!AB344)</f>
        <v/>
      </c>
      <c r="AC344">
        <f>IF(OR(計分!AC344="",計分!$AP344=""),"",計分!$AP344-計分!AC344)</f>
        <v/>
      </c>
      <c r="AD344">
        <f>IF(OR(計分!AD344="",計分!$AP344=""),"",計分!$AP344-計分!AD344)</f>
        <v/>
      </c>
      <c r="AE344">
        <f>IF(OR(計分!AE344="",計分!$AP344=""),"",計分!$AP344-計分!AE344)</f>
        <v/>
      </c>
      <c r="AF344">
        <f>IF(OR(計分!AF344="",計分!$AP344=""),"",計分!$AP344-計分!AF344)</f>
        <v/>
      </c>
      <c r="AG344">
        <f>IF(OR(計分!AG344="",計分!$AP344=""),"",計分!$AP344-計分!AG344)</f>
        <v/>
      </c>
      <c r="AH344">
        <f>IF(OR(計分!AH344="",計分!$AP344=""),"",計分!$AP344-計分!AH344)</f>
        <v/>
      </c>
      <c r="AI344">
        <f>IF(OR(計分!AI344="",計分!$AP344=""),"",計分!$AP344-計分!AI344)</f>
        <v/>
      </c>
      <c r="AJ344">
        <f>IF(OR(計分!AJ344="",計分!$AP344=""),"",計分!$AP344-計分!AJ344)</f>
        <v/>
      </c>
      <c r="AK344">
        <f>IF(OR(計分!AK344="",計分!$AP344=""),"",計分!$AP344-計分!AK344)</f>
        <v/>
      </c>
      <c r="AL344">
        <f>IF(OR(計分!AL344="",計分!$AP344=""),"",計分!$AP344-計分!AL344)</f>
        <v/>
      </c>
      <c r="AM344">
        <f>IF(OR(計分!AM344="",計分!$AP344=""),"",計分!$AP344-計分!AM344)</f>
        <v/>
      </c>
      <c r="AN344">
        <f>IF(OR(計分!AN344="",計分!$AP344=""),"",計分!$AP344-計分!AN344)</f>
        <v/>
      </c>
      <c r="AO344">
        <f>IF(OR(計分!AO344="",計分!$AP344=""),"",計分!$AP344-計分!AO344)</f>
        <v/>
      </c>
    </row>
    <row r="345">
      <c r="A345">
        <f>計分!A345</f>
        <v/>
      </c>
      <c r="B345">
        <f>IF(OR(計分!B345="",計分!$AP345=""),"",計分!$AP345-計分!B345)</f>
        <v/>
      </c>
      <c r="C345">
        <f>IF(OR(計分!C345="",計分!$AP345=""),"",計分!$AP345-計分!C345)</f>
        <v/>
      </c>
      <c r="D345">
        <f>IF(OR(計分!D345="",計分!$AP345=""),"",計分!$AP345-計分!D345)</f>
        <v/>
      </c>
      <c r="E345">
        <f>IF(OR(計分!E345="",計分!$AP345=""),"",計分!$AP345-計分!E345)</f>
        <v/>
      </c>
      <c r="F345">
        <f>IF(OR(計分!F345="",計分!$AP345=""),"",計分!$AP345-計分!F345)</f>
        <v/>
      </c>
      <c r="G345">
        <f>IF(OR(計分!G345="",計分!$AP345=""),"",計分!$AP345-計分!G345)</f>
        <v/>
      </c>
      <c r="H345">
        <f>IF(OR(計分!H345="",計分!$AP345=""),"",計分!$AP345-計分!H345)</f>
        <v/>
      </c>
      <c r="I345">
        <f>IF(OR(計分!I345="",計分!$AP345=""),"",計分!$AP345-計分!I345)</f>
        <v/>
      </c>
      <c r="J345">
        <f>IF(OR(計分!J345="",計分!$AP345=""),"",計分!$AP345-計分!J345)</f>
        <v/>
      </c>
      <c r="K345">
        <f>IF(OR(計分!K345="",計分!$AP345=""),"",計分!$AP345-計分!K345)</f>
        <v/>
      </c>
      <c r="L345">
        <f>IF(OR(計分!L345="",計分!$AP345=""),"",計分!$AP345-計分!L345)</f>
        <v/>
      </c>
      <c r="M345">
        <f>IF(OR(計分!M345="",計分!$AP345=""),"",計分!$AP345-計分!M345)</f>
        <v/>
      </c>
      <c r="N345">
        <f>IF(OR(計分!N345="",計分!$AP345=""),"",計分!$AP345-計分!N345)</f>
        <v/>
      </c>
      <c r="O345">
        <f>IF(OR(計分!O345="",計分!$AP345=""),"",計分!$AP345-計分!O345)</f>
        <v/>
      </c>
      <c r="P345">
        <f>IF(OR(計分!P345="",計分!$AP345=""),"",計分!$AP345-計分!P345)</f>
        <v/>
      </c>
      <c r="Q345">
        <f>IF(OR(計分!Q345="",計分!$AP345=""),"",計分!$AP345-計分!Q345)</f>
        <v/>
      </c>
      <c r="R345">
        <f>IF(OR(計分!R345="",計分!$AP345=""),"",計分!$AP345-計分!R345)</f>
        <v/>
      </c>
      <c r="S345">
        <f>IF(OR(計分!S345="",計分!$AP345=""),"",計分!$AP345-計分!S345)</f>
        <v/>
      </c>
      <c r="T345">
        <f>IF(OR(計分!T345="",計分!$AP345=""),"",計分!$AP345-計分!T345)</f>
        <v/>
      </c>
      <c r="U345">
        <f>IF(OR(計分!U345="",計分!$AP345=""),"",計分!$AP345-計分!U345)</f>
        <v/>
      </c>
      <c r="V345">
        <f>IF(OR(計分!V345="",計分!$AP345=""),"",計分!$AP345-計分!V345)</f>
        <v/>
      </c>
      <c r="W345">
        <f>IF(OR(計分!W345="",計分!$AP345=""),"",計分!$AP345-計分!W345)</f>
        <v/>
      </c>
      <c r="X345">
        <f>IF(OR(計分!X345="",計分!$AP345=""),"",計分!$AP345-計分!X345)</f>
        <v/>
      </c>
      <c r="Y345">
        <f>IF(OR(計分!Y345="",計分!$AP345=""),"",計分!$AP345-計分!Y345)</f>
        <v/>
      </c>
      <c r="Z345">
        <f>IF(OR(計分!Z345="",計分!$AP345=""),"",計分!$AP345-計分!Z345)</f>
        <v/>
      </c>
      <c r="AA345">
        <f>IF(OR(計分!AA345="",計分!$AP345=""),"",計分!$AP345-計分!AA345)</f>
        <v/>
      </c>
      <c r="AB345">
        <f>IF(OR(計分!AB345="",計分!$AP345=""),"",計分!$AP345-計分!AB345)</f>
        <v/>
      </c>
      <c r="AC345">
        <f>IF(OR(計分!AC345="",計分!$AP345=""),"",計分!$AP345-計分!AC345)</f>
        <v/>
      </c>
      <c r="AD345">
        <f>IF(OR(計分!AD345="",計分!$AP345=""),"",計分!$AP345-計分!AD345)</f>
        <v/>
      </c>
      <c r="AE345">
        <f>IF(OR(計分!AE345="",計分!$AP345=""),"",計分!$AP345-計分!AE345)</f>
        <v/>
      </c>
      <c r="AF345">
        <f>IF(OR(計分!AF345="",計分!$AP345=""),"",計分!$AP345-計分!AF345)</f>
        <v/>
      </c>
      <c r="AG345">
        <f>IF(OR(計分!AG345="",計分!$AP345=""),"",計分!$AP345-計分!AG345)</f>
        <v/>
      </c>
      <c r="AH345">
        <f>IF(OR(計分!AH345="",計分!$AP345=""),"",計分!$AP345-計分!AH345)</f>
        <v/>
      </c>
      <c r="AI345">
        <f>IF(OR(計分!AI345="",計分!$AP345=""),"",計分!$AP345-計分!AI345)</f>
        <v/>
      </c>
      <c r="AJ345">
        <f>IF(OR(計分!AJ345="",計分!$AP345=""),"",計分!$AP345-計分!AJ345)</f>
        <v/>
      </c>
      <c r="AK345">
        <f>IF(OR(計分!AK345="",計分!$AP345=""),"",計分!$AP345-計分!AK345)</f>
        <v/>
      </c>
      <c r="AL345">
        <f>IF(OR(計分!AL345="",計分!$AP345=""),"",計分!$AP345-計分!AL345)</f>
        <v/>
      </c>
      <c r="AM345">
        <f>IF(OR(計分!AM345="",計分!$AP345=""),"",計分!$AP345-計分!AM345)</f>
        <v/>
      </c>
      <c r="AN345">
        <f>IF(OR(計分!AN345="",計分!$AP345=""),"",計分!$AP345-計分!AN345)</f>
        <v/>
      </c>
      <c r="AO345">
        <f>IF(OR(計分!AO345="",計分!$AP345=""),"",計分!$AP345-計分!AO345)</f>
        <v/>
      </c>
    </row>
    <row r="346">
      <c r="A346">
        <f>計分!A346</f>
        <v/>
      </c>
      <c r="B346">
        <f>IF(OR(計分!B346="",計分!$AP346=""),"",計分!$AP346-計分!B346)</f>
        <v/>
      </c>
      <c r="C346">
        <f>IF(OR(計分!C346="",計分!$AP346=""),"",計分!$AP346-計分!C346)</f>
        <v/>
      </c>
      <c r="D346">
        <f>IF(OR(計分!D346="",計分!$AP346=""),"",計分!$AP346-計分!D346)</f>
        <v/>
      </c>
      <c r="E346">
        <f>IF(OR(計分!E346="",計分!$AP346=""),"",計分!$AP346-計分!E346)</f>
        <v/>
      </c>
      <c r="F346">
        <f>IF(OR(計分!F346="",計分!$AP346=""),"",計分!$AP346-計分!F346)</f>
        <v/>
      </c>
      <c r="G346">
        <f>IF(OR(計分!G346="",計分!$AP346=""),"",計分!$AP346-計分!G346)</f>
        <v/>
      </c>
      <c r="H346">
        <f>IF(OR(計分!H346="",計分!$AP346=""),"",計分!$AP346-計分!H346)</f>
        <v/>
      </c>
      <c r="I346">
        <f>IF(OR(計分!I346="",計分!$AP346=""),"",計分!$AP346-計分!I346)</f>
        <v/>
      </c>
      <c r="J346">
        <f>IF(OR(計分!J346="",計分!$AP346=""),"",計分!$AP346-計分!J346)</f>
        <v/>
      </c>
      <c r="K346">
        <f>IF(OR(計分!K346="",計分!$AP346=""),"",計分!$AP346-計分!K346)</f>
        <v/>
      </c>
      <c r="L346">
        <f>IF(OR(計分!L346="",計分!$AP346=""),"",計分!$AP346-計分!L346)</f>
        <v/>
      </c>
      <c r="M346">
        <f>IF(OR(計分!M346="",計分!$AP346=""),"",計分!$AP346-計分!M346)</f>
        <v/>
      </c>
      <c r="N346">
        <f>IF(OR(計分!N346="",計分!$AP346=""),"",計分!$AP346-計分!N346)</f>
        <v/>
      </c>
      <c r="O346">
        <f>IF(OR(計分!O346="",計分!$AP346=""),"",計分!$AP346-計分!O346)</f>
        <v/>
      </c>
      <c r="P346">
        <f>IF(OR(計分!P346="",計分!$AP346=""),"",計分!$AP346-計分!P346)</f>
        <v/>
      </c>
      <c r="Q346">
        <f>IF(OR(計分!Q346="",計分!$AP346=""),"",計分!$AP346-計分!Q346)</f>
        <v/>
      </c>
      <c r="R346">
        <f>IF(OR(計分!R346="",計分!$AP346=""),"",計分!$AP346-計分!R346)</f>
        <v/>
      </c>
      <c r="S346">
        <f>IF(OR(計分!S346="",計分!$AP346=""),"",計分!$AP346-計分!S346)</f>
        <v/>
      </c>
      <c r="T346">
        <f>IF(OR(計分!T346="",計分!$AP346=""),"",計分!$AP346-計分!T346)</f>
        <v/>
      </c>
      <c r="U346">
        <f>IF(OR(計分!U346="",計分!$AP346=""),"",計分!$AP346-計分!U346)</f>
        <v/>
      </c>
      <c r="V346">
        <f>IF(OR(計分!V346="",計分!$AP346=""),"",計分!$AP346-計分!V346)</f>
        <v/>
      </c>
      <c r="W346">
        <f>IF(OR(計分!W346="",計分!$AP346=""),"",計分!$AP346-計分!W346)</f>
        <v/>
      </c>
      <c r="X346">
        <f>IF(OR(計分!X346="",計分!$AP346=""),"",計分!$AP346-計分!X346)</f>
        <v/>
      </c>
      <c r="Y346">
        <f>IF(OR(計分!Y346="",計分!$AP346=""),"",計分!$AP346-計分!Y346)</f>
        <v/>
      </c>
      <c r="Z346">
        <f>IF(OR(計分!Z346="",計分!$AP346=""),"",計分!$AP346-計分!Z346)</f>
        <v/>
      </c>
      <c r="AA346">
        <f>IF(OR(計分!AA346="",計分!$AP346=""),"",計分!$AP346-計分!AA346)</f>
        <v/>
      </c>
      <c r="AB346">
        <f>IF(OR(計分!AB346="",計分!$AP346=""),"",計分!$AP346-計分!AB346)</f>
        <v/>
      </c>
      <c r="AC346">
        <f>IF(OR(計分!AC346="",計分!$AP346=""),"",計分!$AP346-計分!AC346)</f>
        <v/>
      </c>
      <c r="AD346">
        <f>IF(OR(計分!AD346="",計分!$AP346=""),"",計分!$AP346-計分!AD346)</f>
        <v/>
      </c>
      <c r="AE346">
        <f>IF(OR(計分!AE346="",計分!$AP346=""),"",計分!$AP346-計分!AE346)</f>
        <v/>
      </c>
      <c r="AF346">
        <f>IF(OR(計分!AF346="",計分!$AP346=""),"",計分!$AP346-計分!AF346)</f>
        <v/>
      </c>
      <c r="AG346">
        <f>IF(OR(計分!AG346="",計分!$AP346=""),"",計分!$AP346-計分!AG346)</f>
        <v/>
      </c>
      <c r="AH346">
        <f>IF(OR(計分!AH346="",計分!$AP346=""),"",計分!$AP346-計分!AH346)</f>
        <v/>
      </c>
      <c r="AI346">
        <f>IF(OR(計分!AI346="",計分!$AP346=""),"",計分!$AP346-計分!AI346)</f>
        <v/>
      </c>
      <c r="AJ346">
        <f>IF(OR(計分!AJ346="",計分!$AP346=""),"",計分!$AP346-計分!AJ346)</f>
        <v/>
      </c>
      <c r="AK346">
        <f>IF(OR(計分!AK346="",計分!$AP346=""),"",計分!$AP346-計分!AK346)</f>
        <v/>
      </c>
      <c r="AL346">
        <f>IF(OR(計分!AL346="",計分!$AP346=""),"",計分!$AP346-計分!AL346)</f>
        <v/>
      </c>
      <c r="AM346">
        <f>IF(OR(計分!AM346="",計分!$AP346=""),"",計分!$AP346-計分!AM346)</f>
        <v/>
      </c>
      <c r="AN346">
        <f>IF(OR(計分!AN346="",計分!$AP346=""),"",計分!$AP346-計分!AN346)</f>
        <v/>
      </c>
      <c r="AO346">
        <f>IF(OR(計分!AO346="",計分!$AP346=""),"",計分!$AP346-計分!AO346)</f>
        <v/>
      </c>
    </row>
    <row r="347">
      <c r="A347">
        <f>計分!A347</f>
        <v/>
      </c>
      <c r="B347">
        <f>IF(OR(計分!B347="",計分!$AP347=""),"",計分!$AP347-計分!B347)</f>
        <v/>
      </c>
      <c r="C347">
        <f>IF(OR(計分!C347="",計分!$AP347=""),"",計分!$AP347-計分!C347)</f>
        <v/>
      </c>
      <c r="D347">
        <f>IF(OR(計分!D347="",計分!$AP347=""),"",計分!$AP347-計分!D347)</f>
        <v/>
      </c>
      <c r="E347">
        <f>IF(OR(計分!E347="",計分!$AP347=""),"",計分!$AP347-計分!E347)</f>
        <v/>
      </c>
      <c r="F347">
        <f>IF(OR(計分!F347="",計分!$AP347=""),"",計分!$AP347-計分!F347)</f>
        <v/>
      </c>
      <c r="G347">
        <f>IF(OR(計分!G347="",計分!$AP347=""),"",計分!$AP347-計分!G347)</f>
        <v/>
      </c>
      <c r="H347">
        <f>IF(OR(計分!H347="",計分!$AP347=""),"",計分!$AP347-計分!H347)</f>
        <v/>
      </c>
      <c r="I347">
        <f>IF(OR(計分!I347="",計分!$AP347=""),"",計分!$AP347-計分!I347)</f>
        <v/>
      </c>
      <c r="J347">
        <f>IF(OR(計分!J347="",計分!$AP347=""),"",計分!$AP347-計分!J347)</f>
        <v/>
      </c>
      <c r="K347">
        <f>IF(OR(計分!K347="",計分!$AP347=""),"",計分!$AP347-計分!K347)</f>
        <v/>
      </c>
      <c r="L347">
        <f>IF(OR(計分!L347="",計分!$AP347=""),"",計分!$AP347-計分!L347)</f>
        <v/>
      </c>
      <c r="M347">
        <f>IF(OR(計分!M347="",計分!$AP347=""),"",計分!$AP347-計分!M347)</f>
        <v/>
      </c>
      <c r="N347">
        <f>IF(OR(計分!N347="",計分!$AP347=""),"",計分!$AP347-計分!N347)</f>
        <v/>
      </c>
      <c r="O347">
        <f>IF(OR(計分!O347="",計分!$AP347=""),"",計分!$AP347-計分!O347)</f>
        <v/>
      </c>
      <c r="P347">
        <f>IF(OR(計分!P347="",計分!$AP347=""),"",計分!$AP347-計分!P347)</f>
        <v/>
      </c>
      <c r="Q347">
        <f>IF(OR(計分!Q347="",計分!$AP347=""),"",計分!$AP347-計分!Q347)</f>
        <v/>
      </c>
      <c r="R347">
        <f>IF(OR(計分!R347="",計分!$AP347=""),"",計分!$AP347-計分!R347)</f>
        <v/>
      </c>
      <c r="S347">
        <f>IF(OR(計分!S347="",計分!$AP347=""),"",計分!$AP347-計分!S347)</f>
        <v/>
      </c>
      <c r="T347">
        <f>IF(OR(計分!T347="",計分!$AP347=""),"",計分!$AP347-計分!T347)</f>
        <v/>
      </c>
      <c r="U347">
        <f>IF(OR(計分!U347="",計分!$AP347=""),"",計分!$AP347-計分!U347)</f>
        <v/>
      </c>
      <c r="V347">
        <f>IF(OR(計分!V347="",計分!$AP347=""),"",計分!$AP347-計分!V347)</f>
        <v/>
      </c>
      <c r="W347">
        <f>IF(OR(計分!W347="",計分!$AP347=""),"",計分!$AP347-計分!W347)</f>
        <v/>
      </c>
      <c r="X347">
        <f>IF(OR(計分!X347="",計分!$AP347=""),"",計分!$AP347-計分!X347)</f>
        <v/>
      </c>
      <c r="Y347">
        <f>IF(OR(計分!Y347="",計分!$AP347=""),"",計分!$AP347-計分!Y347)</f>
        <v/>
      </c>
      <c r="Z347">
        <f>IF(OR(計分!Z347="",計分!$AP347=""),"",計分!$AP347-計分!Z347)</f>
        <v/>
      </c>
      <c r="AA347">
        <f>IF(OR(計分!AA347="",計分!$AP347=""),"",計分!$AP347-計分!AA347)</f>
        <v/>
      </c>
      <c r="AB347">
        <f>IF(OR(計分!AB347="",計分!$AP347=""),"",計分!$AP347-計分!AB347)</f>
        <v/>
      </c>
      <c r="AC347">
        <f>IF(OR(計分!AC347="",計分!$AP347=""),"",計分!$AP347-計分!AC347)</f>
        <v/>
      </c>
      <c r="AD347">
        <f>IF(OR(計分!AD347="",計分!$AP347=""),"",計分!$AP347-計分!AD347)</f>
        <v/>
      </c>
      <c r="AE347">
        <f>IF(OR(計分!AE347="",計分!$AP347=""),"",計分!$AP347-計分!AE347)</f>
        <v/>
      </c>
      <c r="AF347">
        <f>IF(OR(計分!AF347="",計分!$AP347=""),"",計分!$AP347-計分!AF347)</f>
        <v/>
      </c>
      <c r="AG347">
        <f>IF(OR(計分!AG347="",計分!$AP347=""),"",計分!$AP347-計分!AG347)</f>
        <v/>
      </c>
      <c r="AH347">
        <f>IF(OR(計分!AH347="",計分!$AP347=""),"",計分!$AP347-計分!AH347)</f>
        <v/>
      </c>
      <c r="AI347">
        <f>IF(OR(計分!AI347="",計分!$AP347=""),"",計分!$AP347-計分!AI347)</f>
        <v/>
      </c>
      <c r="AJ347">
        <f>IF(OR(計分!AJ347="",計分!$AP347=""),"",計分!$AP347-計分!AJ347)</f>
        <v/>
      </c>
      <c r="AK347">
        <f>IF(OR(計分!AK347="",計分!$AP347=""),"",計分!$AP347-計分!AK347)</f>
        <v/>
      </c>
      <c r="AL347">
        <f>IF(OR(計分!AL347="",計分!$AP347=""),"",計分!$AP347-計分!AL347)</f>
        <v/>
      </c>
      <c r="AM347">
        <f>IF(OR(計分!AM347="",計分!$AP347=""),"",計分!$AP347-計分!AM347)</f>
        <v/>
      </c>
      <c r="AN347">
        <f>IF(OR(計分!AN347="",計分!$AP347=""),"",計分!$AP347-計分!AN347)</f>
        <v/>
      </c>
      <c r="AO347">
        <f>IF(OR(計分!AO347="",計分!$AP347=""),"",計分!$AP347-計分!AO347)</f>
        <v/>
      </c>
    </row>
    <row r="348">
      <c r="A348">
        <f>計分!A348</f>
        <v/>
      </c>
      <c r="B348">
        <f>IF(OR(計分!B348="",計分!$AP348=""),"",計分!$AP348-計分!B348)</f>
        <v/>
      </c>
      <c r="C348">
        <f>IF(OR(計分!C348="",計分!$AP348=""),"",計分!$AP348-計分!C348)</f>
        <v/>
      </c>
      <c r="D348">
        <f>IF(OR(計分!D348="",計分!$AP348=""),"",計分!$AP348-計分!D348)</f>
        <v/>
      </c>
      <c r="E348">
        <f>IF(OR(計分!E348="",計分!$AP348=""),"",計分!$AP348-計分!E348)</f>
        <v/>
      </c>
      <c r="F348">
        <f>IF(OR(計分!F348="",計分!$AP348=""),"",計分!$AP348-計分!F348)</f>
        <v/>
      </c>
      <c r="G348">
        <f>IF(OR(計分!G348="",計分!$AP348=""),"",計分!$AP348-計分!G348)</f>
        <v/>
      </c>
      <c r="H348">
        <f>IF(OR(計分!H348="",計分!$AP348=""),"",計分!$AP348-計分!H348)</f>
        <v/>
      </c>
      <c r="I348">
        <f>IF(OR(計分!I348="",計分!$AP348=""),"",計分!$AP348-計分!I348)</f>
        <v/>
      </c>
      <c r="J348">
        <f>IF(OR(計分!J348="",計分!$AP348=""),"",計分!$AP348-計分!J348)</f>
        <v/>
      </c>
      <c r="K348">
        <f>IF(OR(計分!K348="",計分!$AP348=""),"",計分!$AP348-計分!K348)</f>
        <v/>
      </c>
      <c r="L348">
        <f>IF(OR(計分!L348="",計分!$AP348=""),"",計分!$AP348-計分!L348)</f>
        <v/>
      </c>
      <c r="M348">
        <f>IF(OR(計分!M348="",計分!$AP348=""),"",計分!$AP348-計分!M348)</f>
        <v/>
      </c>
      <c r="N348">
        <f>IF(OR(計分!N348="",計分!$AP348=""),"",計分!$AP348-計分!N348)</f>
        <v/>
      </c>
      <c r="O348">
        <f>IF(OR(計分!O348="",計分!$AP348=""),"",計分!$AP348-計分!O348)</f>
        <v/>
      </c>
      <c r="P348">
        <f>IF(OR(計分!P348="",計分!$AP348=""),"",計分!$AP348-計分!P348)</f>
        <v/>
      </c>
      <c r="Q348">
        <f>IF(OR(計分!Q348="",計分!$AP348=""),"",計分!$AP348-計分!Q348)</f>
        <v/>
      </c>
      <c r="R348">
        <f>IF(OR(計分!R348="",計分!$AP348=""),"",計分!$AP348-計分!R348)</f>
        <v/>
      </c>
      <c r="S348">
        <f>IF(OR(計分!S348="",計分!$AP348=""),"",計分!$AP348-計分!S348)</f>
        <v/>
      </c>
      <c r="T348">
        <f>IF(OR(計分!T348="",計分!$AP348=""),"",計分!$AP348-計分!T348)</f>
        <v/>
      </c>
      <c r="U348">
        <f>IF(OR(計分!U348="",計分!$AP348=""),"",計分!$AP348-計分!U348)</f>
        <v/>
      </c>
      <c r="V348">
        <f>IF(OR(計分!V348="",計分!$AP348=""),"",計分!$AP348-計分!V348)</f>
        <v/>
      </c>
      <c r="W348">
        <f>IF(OR(計分!W348="",計分!$AP348=""),"",計分!$AP348-計分!W348)</f>
        <v/>
      </c>
      <c r="X348">
        <f>IF(OR(計分!X348="",計分!$AP348=""),"",計分!$AP348-計分!X348)</f>
        <v/>
      </c>
      <c r="Y348">
        <f>IF(OR(計分!Y348="",計分!$AP348=""),"",計分!$AP348-計分!Y348)</f>
        <v/>
      </c>
      <c r="Z348">
        <f>IF(OR(計分!Z348="",計分!$AP348=""),"",計分!$AP348-計分!Z348)</f>
        <v/>
      </c>
      <c r="AA348">
        <f>IF(OR(計分!AA348="",計分!$AP348=""),"",計分!$AP348-計分!AA348)</f>
        <v/>
      </c>
      <c r="AB348">
        <f>IF(OR(計分!AB348="",計分!$AP348=""),"",計分!$AP348-計分!AB348)</f>
        <v/>
      </c>
      <c r="AC348">
        <f>IF(OR(計分!AC348="",計分!$AP348=""),"",計分!$AP348-計分!AC348)</f>
        <v/>
      </c>
      <c r="AD348">
        <f>IF(OR(計分!AD348="",計分!$AP348=""),"",計分!$AP348-計分!AD348)</f>
        <v/>
      </c>
      <c r="AE348">
        <f>IF(OR(計分!AE348="",計分!$AP348=""),"",計分!$AP348-計分!AE348)</f>
        <v/>
      </c>
      <c r="AF348">
        <f>IF(OR(計分!AF348="",計分!$AP348=""),"",計分!$AP348-計分!AF348)</f>
        <v/>
      </c>
      <c r="AG348">
        <f>IF(OR(計分!AG348="",計分!$AP348=""),"",計分!$AP348-計分!AG348)</f>
        <v/>
      </c>
      <c r="AH348">
        <f>IF(OR(計分!AH348="",計分!$AP348=""),"",計分!$AP348-計分!AH348)</f>
        <v/>
      </c>
      <c r="AI348">
        <f>IF(OR(計分!AI348="",計分!$AP348=""),"",計分!$AP348-計分!AI348)</f>
        <v/>
      </c>
      <c r="AJ348">
        <f>IF(OR(計分!AJ348="",計分!$AP348=""),"",計分!$AP348-計分!AJ348)</f>
        <v/>
      </c>
      <c r="AK348">
        <f>IF(OR(計分!AK348="",計分!$AP348=""),"",計分!$AP348-計分!AK348)</f>
        <v/>
      </c>
      <c r="AL348">
        <f>IF(OR(計分!AL348="",計分!$AP348=""),"",計分!$AP348-計分!AL348)</f>
        <v/>
      </c>
      <c r="AM348">
        <f>IF(OR(計分!AM348="",計分!$AP348=""),"",計分!$AP348-計分!AM348)</f>
        <v/>
      </c>
      <c r="AN348">
        <f>IF(OR(計分!AN348="",計分!$AP348=""),"",計分!$AP348-計分!AN348)</f>
        <v/>
      </c>
      <c r="AO348">
        <f>IF(OR(計分!AO348="",計分!$AP348=""),"",計分!$AP348-計分!AO348)</f>
        <v/>
      </c>
    </row>
    <row r="349">
      <c r="A349">
        <f>計分!A349</f>
        <v/>
      </c>
      <c r="B349">
        <f>IF(OR(計分!B349="",計分!$AP349=""),"",計分!$AP349-計分!B349)</f>
        <v/>
      </c>
      <c r="C349">
        <f>IF(OR(計分!C349="",計分!$AP349=""),"",計分!$AP349-計分!C349)</f>
        <v/>
      </c>
      <c r="D349">
        <f>IF(OR(計分!D349="",計分!$AP349=""),"",計分!$AP349-計分!D349)</f>
        <v/>
      </c>
      <c r="E349">
        <f>IF(OR(計分!E349="",計分!$AP349=""),"",計分!$AP349-計分!E349)</f>
        <v/>
      </c>
      <c r="F349">
        <f>IF(OR(計分!F349="",計分!$AP349=""),"",計分!$AP349-計分!F349)</f>
        <v/>
      </c>
      <c r="G349">
        <f>IF(OR(計分!G349="",計分!$AP349=""),"",計分!$AP349-計分!G349)</f>
        <v/>
      </c>
      <c r="H349">
        <f>IF(OR(計分!H349="",計分!$AP349=""),"",計分!$AP349-計分!H349)</f>
        <v/>
      </c>
      <c r="I349">
        <f>IF(OR(計分!I349="",計分!$AP349=""),"",計分!$AP349-計分!I349)</f>
        <v/>
      </c>
      <c r="J349">
        <f>IF(OR(計分!J349="",計分!$AP349=""),"",計分!$AP349-計分!J349)</f>
        <v/>
      </c>
      <c r="K349">
        <f>IF(OR(計分!K349="",計分!$AP349=""),"",計分!$AP349-計分!K349)</f>
        <v/>
      </c>
      <c r="L349">
        <f>IF(OR(計分!L349="",計分!$AP349=""),"",計分!$AP349-計分!L349)</f>
        <v/>
      </c>
      <c r="M349">
        <f>IF(OR(計分!M349="",計分!$AP349=""),"",計分!$AP349-計分!M349)</f>
        <v/>
      </c>
      <c r="N349">
        <f>IF(OR(計分!N349="",計分!$AP349=""),"",計分!$AP349-計分!N349)</f>
        <v/>
      </c>
      <c r="O349">
        <f>IF(OR(計分!O349="",計分!$AP349=""),"",計分!$AP349-計分!O349)</f>
        <v/>
      </c>
      <c r="P349">
        <f>IF(OR(計分!P349="",計分!$AP349=""),"",計分!$AP349-計分!P349)</f>
        <v/>
      </c>
      <c r="Q349">
        <f>IF(OR(計分!Q349="",計分!$AP349=""),"",計分!$AP349-計分!Q349)</f>
        <v/>
      </c>
      <c r="R349">
        <f>IF(OR(計分!R349="",計分!$AP349=""),"",計分!$AP349-計分!R349)</f>
        <v/>
      </c>
      <c r="S349">
        <f>IF(OR(計分!S349="",計分!$AP349=""),"",計分!$AP349-計分!S349)</f>
        <v/>
      </c>
      <c r="T349">
        <f>IF(OR(計分!T349="",計分!$AP349=""),"",計分!$AP349-計分!T349)</f>
        <v/>
      </c>
      <c r="U349">
        <f>IF(OR(計分!U349="",計分!$AP349=""),"",計分!$AP349-計分!U349)</f>
        <v/>
      </c>
      <c r="V349">
        <f>IF(OR(計分!V349="",計分!$AP349=""),"",計分!$AP349-計分!V349)</f>
        <v/>
      </c>
      <c r="W349">
        <f>IF(OR(計分!W349="",計分!$AP349=""),"",計分!$AP349-計分!W349)</f>
        <v/>
      </c>
      <c r="X349">
        <f>IF(OR(計分!X349="",計分!$AP349=""),"",計分!$AP349-計分!X349)</f>
        <v/>
      </c>
      <c r="Y349">
        <f>IF(OR(計分!Y349="",計分!$AP349=""),"",計分!$AP349-計分!Y349)</f>
        <v/>
      </c>
      <c r="Z349">
        <f>IF(OR(計分!Z349="",計分!$AP349=""),"",計分!$AP349-計分!Z349)</f>
        <v/>
      </c>
      <c r="AA349">
        <f>IF(OR(計分!AA349="",計分!$AP349=""),"",計分!$AP349-計分!AA349)</f>
        <v/>
      </c>
      <c r="AB349">
        <f>IF(OR(計分!AB349="",計分!$AP349=""),"",計分!$AP349-計分!AB349)</f>
        <v/>
      </c>
      <c r="AC349">
        <f>IF(OR(計分!AC349="",計分!$AP349=""),"",計分!$AP349-計分!AC349)</f>
        <v/>
      </c>
      <c r="AD349">
        <f>IF(OR(計分!AD349="",計分!$AP349=""),"",計分!$AP349-計分!AD349)</f>
        <v/>
      </c>
      <c r="AE349">
        <f>IF(OR(計分!AE349="",計分!$AP349=""),"",計分!$AP349-計分!AE349)</f>
        <v/>
      </c>
      <c r="AF349">
        <f>IF(OR(計分!AF349="",計分!$AP349=""),"",計分!$AP349-計分!AF349)</f>
        <v/>
      </c>
      <c r="AG349">
        <f>IF(OR(計分!AG349="",計分!$AP349=""),"",計分!$AP349-計分!AG349)</f>
        <v/>
      </c>
      <c r="AH349">
        <f>IF(OR(計分!AH349="",計分!$AP349=""),"",計分!$AP349-計分!AH349)</f>
        <v/>
      </c>
      <c r="AI349">
        <f>IF(OR(計分!AI349="",計分!$AP349=""),"",計分!$AP349-計分!AI349)</f>
        <v/>
      </c>
      <c r="AJ349">
        <f>IF(OR(計分!AJ349="",計分!$AP349=""),"",計分!$AP349-計分!AJ349)</f>
        <v/>
      </c>
      <c r="AK349">
        <f>IF(OR(計分!AK349="",計分!$AP349=""),"",計分!$AP349-計分!AK349)</f>
        <v/>
      </c>
      <c r="AL349">
        <f>IF(OR(計分!AL349="",計分!$AP349=""),"",計分!$AP349-計分!AL349)</f>
        <v/>
      </c>
      <c r="AM349">
        <f>IF(OR(計分!AM349="",計分!$AP349=""),"",計分!$AP349-計分!AM349)</f>
        <v/>
      </c>
      <c r="AN349">
        <f>IF(OR(計分!AN349="",計分!$AP349=""),"",計分!$AP349-計分!AN349)</f>
        <v/>
      </c>
      <c r="AO349">
        <f>IF(OR(計分!AO349="",計分!$AP349=""),"",計分!$AP349-計分!AO349)</f>
        <v/>
      </c>
    </row>
    <row r="350">
      <c r="A350">
        <f>計分!A350</f>
        <v/>
      </c>
      <c r="B350">
        <f>IF(OR(計分!B350="",計分!$AP350=""),"",計分!$AP350-計分!B350)</f>
        <v/>
      </c>
      <c r="C350">
        <f>IF(OR(計分!C350="",計分!$AP350=""),"",計分!$AP350-計分!C350)</f>
        <v/>
      </c>
      <c r="D350">
        <f>IF(OR(計分!D350="",計分!$AP350=""),"",計分!$AP350-計分!D350)</f>
        <v/>
      </c>
      <c r="E350">
        <f>IF(OR(計分!E350="",計分!$AP350=""),"",計分!$AP350-計分!E350)</f>
        <v/>
      </c>
      <c r="F350">
        <f>IF(OR(計分!F350="",計分!$AP350=""),"",計分!$AP350-計分!F350)</f>
        <v/>
      </c>
      <c r="G350">
        <f>IF(OR(計分!G350="",計分!$AP350=""),"",計分!$AP350-計分!G350)</f>
        <v/>
      </c>
      <c r="H350">
        <f>IF(OR(計分!H350="",計分!$AP350=""),"",計分!$AP350-計分!H350)</f>
        <v/>
      </c>
      <c r="I350">
        <f>IF(OR(計分!I350="",計分!$AP350=""),"",計分!$AP350-計分!I350)</f>
        <v/>
      </c>
      <c r="J350">
        <f>IF(OR(計分!J350="",計分!$AP350=""),"",計分!$AP350-計分!J350)</f>
        <v/>
      </c>
      <c r="K350">
        <f>IF(OR(計分!K350="",計分!$AP350=""),"",計分!$AP350-計分!K350)</f>
        <v/>
      </c>
      <c r="L350">
        <f>IF(OR(計分!L350="",計分!$AP350=""),"",計分!$AP350-計分!L350)</f>
        <v/>
      </c>
      <c r="M350">
        <f>IF(OR(計分!M350="",計分!$AP350=""),"",計分!$AP350-計分!M350)</f>
        <v/>
      </c>
      <c r="N350">
        <f>IF(OR(計分!N350="",計分!$AP350=""),"",計分!$AP350-計分!N350)</f>
        <v/>
      </c>
      <c r="O350">
        <f>IF(OR(計分!O350="",計分!$AP350=""),"",計分!$AP350-計分!O350)</f>
        <v/>
      </c>
      <c r="P350">
        <f>IF(OR(計分!P350="",計分!$AP350=""),"",計分!$AP350-計分!P350)</f>
        <v/>
      </c>
      <c r="Q350">
        <f>IF(OR(計分!Q350="",計分!$AP350=""),"",計分!$AP350-計分!Q350)</f>
        <v/>
      </c>
      <c r="R350">
        <f>IF(OR(計分!R350="",計分!$AP350=""),"",計分!$AP350-計分!R350)</f>
        <v/>
      </c>
      <c r="S350">
        <f>IF(OR(計分!S350="",計分!$AP350=""),"",計分!$AP350-計分!S350)</f>
        <v/>
      </c>
      <c r="T350">
        <f>IF(OR(計分!T350="",計分!$AP350=""),"",計分!$AP350-計分!T350)</f>
        <v/>
      </c>
      <c r="U350">
        <f>IF(OR(計分!U350="",計分!$AP350=""),"",計分!$AP350-計分!U350)</f>
        <v/>
      </c>
      <c r="V350">
        <f>IF(OR(計分!V350="",計分!$AP350=""),"",計分!$AP350-計分!V350)</f>
        <v/>
      </c>
      <c r="W350">
        <f>IF(OR(計分!W350="",計分!$AP350=""),"",計分!$AP350-計分!W350)</f>
        <v/>
      </c>
      <c r="X350">
        <f>IF(OR(計分!X350="",計分!$AP350=""),"",計分!$AP350-計分!X350)</f>
        <v/>
      </c>
      <c r="Y350">
        <f>IF(OR(計分!Y350="",計分!$AP350=""),"",計分!$AP350-計分!Y350)</f>
        <v/>
      </c>
      <c r="Z350">
        <f>IF(OR(計分!Z350="",計分!$AP350=""),"",計分!$AP350-計分!Z350)</f>
        <v/>
      </c>
      <c r="AA350">
        <f>IF(OR(計分!AA350="",計分!$AP350=""),"",計分!$AP350-計分!AA350)</f>
        <v/>
      </c>
      <c r="AB350">
        <f>IF(OR(計分!AB350="",計分!$AP350=""),"",計分!$AP350-計分!AB350)</f>
        <v/>
      </c>
      <c r="AC350">
        <f>IF(OR(計分!AC350="",計分!$AP350=""),"",計分!$AP350-計分!AC350)</f>
        <v/>
      </c>
      <c r="AD350">
        <f>IF(OR(計分!AD350="",計分!$AP350=""),"",計分!$AP350-計分!AD350)</f>
        <v/>
      </c>
      <c r="AE350">
        <f>IF(OR(計分!AE350="",計分!$AP350=""),"",計分!$AP350-計分!AE350)</f>
        <v/>
      </c>
      <c r="AF350">
        <f>IF(OR(計分!AF350="",計分!$AP350=""),"",計分!$AP350-計分!AF350)</f>
        <v/>
      </c>
      <c r="AG350">
        <f>IF(OR(計分!AG350="",計分!$AP350=""),"",計分!$AP350-計分!AG350)</f>
        <v/>
      </c>
      <c r="AH350">
        <f>IF(OR(計分!AH350="",計分!$AP350=""),"",計分!$AP350-計分!AH350)</f>
        <v/>
      </c>
      <c r="AI350">
        <f>IF(OR(計分!AI350="",計分!$AP350=""),"",計分!$AP350-計分!AI350)</f>
        <v/>
      </c>
      <c r="AJ350">
        <f>IF(OR(計分!AJ350="",計分!$AP350=""),"",計分!$AP350-計分!AJ350)</f>
        <v/>
      </c>
      <c r="AK350">
        <f>IF(OR(計分!AK350="",計分!$AP350=""),"",計分!$AP350-計分!AK350)</f>
        <v/>
      </c>
      <c r="AL350">
        <f>IF(OR(計分!AL350="",計分!$AP350=""),"",計分!$AP350-計分!AL350)</f>
        <v/>
      </c>
      <c r="AM350">
        <f>IF(OR(計分!AM350="",計分!$AP350=""),"",計分!$AP350-計分!AM350)</f>
        <v/>
      </c>
      <c r="AN350">
        <f>IF(OR(計分!AN350="",計分!$AP350=""),"",計分!$AP350-計分!AN350)</f>
        <v/>
      </c>
      <c r="AO350">
        <f>IF(OR(計分!AO350="",計分!$AP350=""),"",計分!$AP350-計分!AO350)</f>
        <v/>
      </c>
    </row>
    <row r="351">
      <c r="A351">
        <f>計分!A351</f>
        <v/>
      </c>
      <c r="B351">
        <f>IF(OR(計分!B351="",計分!$AP351=""),"",計分!$AP351-計分!B351)</f>
        <v/>
      </c>
      <c r="C351">
        <f>IF(OR(計分!C351="",計分!$AP351=""),"",計分!$AP351-計分!C351)</f>
        <v/>
      </c>
      <c r="D351">
        <f>IF(OR(計分!D351="",計分!$AP351=""),"",計分!$AP351-計分!D351)</f>
        <v/>
      </c>
      <c r="E351">
        <f>IF(OR(計分!E351="",計分!$AP351=""),"",計分!$AP351-計分!E351)</f>
        <v/>
      </c>
      <c r="F351">
        <f>IF(OR(計分!F351="",計分!$AP351=""),"",計分!$AP351-計分!F351)</f>
        <v/>
      </c>
      <c r="G351">
        <f>IF(OR(計分!G351="",計分!$AP351=""),"",計分!$AP351-計分!G351)</f>
        <v/>
      </c>
      <c r="H351">
        <f>IF(OR(計分!H351="",計分!$AP351=""),"",計分!$AP351-計分!H351)</f>
        <v/>
      </c>
      <c r="I351">
        <f>IF(OR(計分!I351="",計分!$AP351=""),"",計分!$AP351-計分!I351)</f>
        <v/>
      </c>
      <c r="J351">
        <f>IF(OR(計分!J351="",計分!$AP351=""),"",計分!$AP351-計分!J351)</f>
        <v/>
      </c>
      <c r="K351">
        <f>IF(OR(計分!K351="",計分!$AP351=""),"",計分!$AP351-計分!K351)</f>
        <v/>
      </c>
      <c r="L351">
        <f>IF(OR(計分!L351="",計分!$AP351=""),"",計分!$AP351-計分!L351)</f>
        <v/>
      </c>
      <c r="M351">
        <f>IF(OR(計分!M351="",計分!$AP351=""),"",計分!$AP351-計分!M351)</f>
        <v/>
      </c>
      <c r="N351">
        <f>IF(OR(計分!N351="",計分!$AP351=""),"",計分!$AP351-計分!N351)</f>
        <v/>
      </c>
      <c r="O351">
        <f>IF(OR(計分!O351="",計分!$AP351=""),"",計分!$AP351-計分!O351)</f>
        <v/>
      </c>
      <c r="P351">
        <f>IF(OR(計分!P351="",計分!$AP351=""),"",計分!$AP351-計分!P351)</f>
        <v/>
      </c>
      <c r="Q351">
        <f>IF(OR(計分!Q351="",計分!$AP351=""),"",計分!$AP351-計分!Q351)</f>
        <v/>
      </c>
      <c r="R351">
        <f>IF(OR(計分!R351="",計分!$AP351=""),"",計分!$AP351-計分!R351)</f>
        <v/>
      </c>
      <c r="S351">
        <f>IF(OR(計分!S351="",計分!$AP351=""),"",計分!$AP351-計分!S351)</f>
        <v/>
      </c>
      <c r="T351">
        <f>IF(OR(計分!T351="",計分!$AP351=""),"",計分!$AP351-計分!T351)</f>
        <v/>
      </c>
      <c r="U351">
        <f>IF(OR(計分!U351="",計分!$AP351=""),"",計分!$AP351-計分!U351)</f>
        <v/>
      </c>
      <c r="V351">
        <f>IF(OR(計分!V351="",計分!$AP351=""),"",計分!$AP351-計分!V351)</f>
        <v/>
      </c>
      <c r="W351">
        <f>IF(OR(計分!W351="",計分!$AP351=""),"",計分!$AP351-計分!W351)</f>
        <v/>
      </c>
      <c r="X351">
        <f>IF(OR(計分!X351="",計分!$AP351=""),"",計分!$AP351-計分!X351)</f>
        <v/>
      </c>
      <c r="Y351">
        <f>IF(OR(計分!Y351="",計分!$AP351=""),"",計分!$AP351-計分!Y351)</f>
        <v/>
      </c>
      <c r="Z351">
        <f>IF(OR(計分!Z351="",計分!$AP351=""),"",計分!$AP351-計分!Z351)</f>
        <v/>
      </c>
      <c r="AA351">
        <f>IF(OR(計分!AA351="",計分!$AP351=""),"",計分!$AP351-計分!AA351)</f>
        <v/>
      </c>
      <c r="AB351">
        <f>IF(OR(計分!AB351="",計分!$AP351=""),"",計分!$AP351-計分!AB351)</f>
        <v/>
      </c>
      <c r="AC351">
        <f>IF(OR(計分!AC351="",計分!$AP351=""),"",計分!$AP351-計分!AC351)</f>
        <v/>
      </c>
      <c r="AD351">
        <f>IF(OR(計分!AD351="",計分!$AP351=""),"",計分!$AP351-計分!AD351)</f>
        <v/>
      </c>
      <c r="AE351">
        <f>IF(OR(計分!AE351="",計分!$AP351=""),"",計分!$AP351-計分!AE351)</f>
        <v/>
      </c>
      <c r="AF351">
        <f>IF(OR(計分!AF351="",計分!$AP351=""),"",計分!$AP351-計分!AF351)</f>
        <v/>
      </c>
      <c r="AG351">
        <f>IF(OR(計分!AG351="",計分!$AP351=""),"",計分!$AP351-計分!AG351)</f>
        <v/>
      </c>
      <c r="AH351">
        <f>IF(OR(計分!AH351="",計分!$AP351=""),"",計分!$AP351-計分!AH351)</f>
        <v/>
      </c>
      <c r="AI351">
        <f>IF(OR(計分!AI351="",計分!$AP351=""),"",計分!$AP351-計分!AI351)</f>
        <v/>
      </c>
      <c r="AJ351">
        <f>IF(OR(計分!AJ351="",計分!$AP351=""),"",計分!$AP351-計分!AJ351)</f>
        <v/>
      </c>
      <c r="AK351">
        <f>IF(OR(計分!AK351="",計分!$AP351=""),"",計分!$AP351-計分!AK351)</f>
        <v/>
      </c>
      <c r="AL351">
        <f>IF(OR(計分!AL351="",計分!$AP351=""),"",計分!$AP351-計分!AL351)</f>
        <v/>
      </c>
      <c r="AM351">
        <f>IF(OR(計分!AM351="",計分!$AP351=""),"",計分!$AP351-計分!AM351)</f>
        <v/>
      </c>
      <c r="AN351">
        <f>IF(OR(計分!AN351="",計分!$AP351=""),"",計分!$AP351-計分!AN351)</f>
        <v/>
      </c>
      <c r="AO351">
        <f>IF(OR(計分!AO351="",計分!$AP351=""),"",計分!$AP351-計分!AO351)</f>
        <v/>
      </c>
    </row>
    <row r="352">
      <c r="A352">
        <f>計分!A352</f>
        <v/>
      </c>
      <c r="B352">
        <f>IF(OR(計分!B352="",計分!$AP352=""),"",計分!$AP352-計分!B352)</f>
        <v/>
      </c>
      <c r="C352">
        <f>IF(OR(計分!C352="",計分!$AP352=""),"",計分!$AP352-計分!C352)</f>
        <v/>
      </c>
      <c r="D352">
        <f>IF(OR(計分!D352="",計分!$AP352=""),"",計分!$AP352-計分!D352)</f>
        <v/>
      </c>
      <c r="E352">
        <f>IF(OR(計分!E352="",計分!$AP352=""),"",計分!$AP352-計分!E352)</f>
        <v/>
      </c>
      <c r="F352">
        <f>IF(OR(計分!F352="",計分!$AP352=""),"",計分!$AP352-計分!F352)</f>
        <v/>
      </c>
      <c r="G352">
        <f>IF(OR(計分!G352="",計分!$AP352=""),"",計分!$AP352-計分!G352)</f>
        <v/>
      </c>
      <c r="H352">
        <f>IF(OR(計分!H352="",計分!$AP352=""),"",計分!$AP352-計分!H352)</f>
        <v/>
      </c>
      <c r="I352">
        <f>IF(OR(計分!I352="",計分!$AP352=""),"",計分!$AP352-計分!I352)</f>
        <v/>
      </c>
      <c r="J352">
        <f>IF(OR(計分!J352="",計分!$AP352=""),"",計分!$AP352-計分!J352)</f>
        <v/>
      </c>
      <c r="K352">
        <f>IF(OR(計分!K352="",計分!$AP352=""),"",計分!$AP352-計分!K352)</f>
        <v/>
      </c>
      <c r="L352">
        <f>IF(OR(計分!L352="",計分!$AP352=""),"",計分!$AP352-計分!L352)</f>
        <v/>
      </c>
      <c r="M352">
        <f>IF(OR(計分!M352="",計分!$AP352=""),"",計分!$AP352-計分!M352)</f>
        <v/>
      </c>
      <c r="N352">
        <f>IF(OR(計分!N352="",計分!$AP352=""),"",計分!$AP352-計分!N352)</f>
        <v/>
      </c>
      <c r="O352">
        <f>IF(OR(計分!O352="",計分!$AP352=""),"",計分!$AP352-計分!O352)</f>
        <v/>
      </c>
      <c r="P352">
        <f>IF(OR(計分!P352="",計分!$AP352=""),"",計分!$AP352-計分!P352)</f>
        <v/>
      </c>
      <c r="Q352">
        <f>IF(OR(計分!Q352="",計分!$AP352=""),"",計分!$AP352-計分!Q352)</f>
        <v/>
      </c>
      <c r="R352">
        <f>IF(OR(計分!R352="",計分!$AP352=""),"",計分!$AP352-計分!R352)</f>
        <v/>
      </c>
      <c r="S352">
        <f>IF(OR(計分!S352="",計分!$AP352=""),"",計分!$AP352-計分!S352)</f>
        <v/>
      </c>
      <c r="T352">
        <f>IF(OR(計分!T352="",計分!$AP352=""),"",計分!$AP352-計分!T352)</f>
        <v/>
      </c>
      <c r="U352">
        <f>IF(OR(計分!U352="",計分!$AP352=""),"",計分!$AP352-計分!U352)</f>
        <v/>
      </c>
      <c r="V352">
        <f>IF(OR(計分!V352="",計分!$AP352=""),"",計分!$AP352-計分!V352)</f>
        <v/>
      </c>
      <c r="W352">
        <f>IF(OR(計分!W352="",計分!$AP352=""),"",計分!$AP352-計分!W352)</f>
        <v/>
      </c>
      <c r="X352">
        <f>IF(OR(計分!X352="",計分!$AP352=""),"",計分!$AP352-計分!X352)</f>
        <v/>
      </c>
      <c r="Y352">
        <f>IF(OR(計分!Y352="",計分!$AP352=""),"",計分!$AP352-計分!Y352)</f>
        <v/>
      </c>
      <c r="Z352">
        <f>IF(OR(計分!Z352="",計分!$AP352=""),"",計分!$AP352-計分!Z352)</f>
        <v/>
      </c>
      <c r="AA352">
        <f>IF(OR(計分!AA352="",計分!$AP352=""),"",計分!$AP352-計分!AA352)</f>
        <v/>
      </c>
      <c r="AB352">
        <f>IF(OR(計分!AB352="",計分!$AP352=""),"",計分!$AP352-計分!AB352)</f>
        <v/>
      </c>
      <c r="AC352">
        <f>IF(OR(計分!AC352="",計分!$AP352=""),"",計分!$AP352-計分!AC352)</f>
        <v/>
      </c>
      <c r="AD352">
        <f>IF(OR(計分!AD352="",計分!$AP352=""),"",計分!$AP352-計分!AD352)</f>
        <v/>
      </c>
      <c r="AE352">
        <f>IF(OR(計分!AE352="",計分!$AP352=""),"",計分!$AP352-計分!AE352)</f>
        <v/>
      </c>
      <c r="AF352">
        <f>IF(OR(計分!AF352="",計分!$AP352=""),"",計分!$AP352-計分!AF352)</f>
        <v/>
      </c>
      <c r="AG352">
        <f>IF(OR(計分!AG352="",計分!$AP352=""),"",計分!$AP352-計分!AG352)</f>
        <v/>
      </c>
      <c r="AH352">
        <f>IF(OR(計分!AH352="",計分!$AP352=""),"",計分!$AP352-計分!AH352)</f>
        <v/>
      </c>
      <c r="AI352">
        <f>IF(OR(計分!AI352="",計分!$AP352=""),"",計分!$AP352-計分!AI352)</f>
        <v/>
      </c>
      <c r="AJ352">
        <f>IF(OR(計分!AJ352="",計分!$AP352=""),"",計分!$AP352-計分!AJ352)</f>
        <v/>
      </c>
      <c r="AK352">
        <f>IF(OR(計分!AK352="",計分!$AP352=""),"",計分!$AP352-計分!AK352)</f>
        <v/>
      </c>
      <c r="AL352">
        <f>IF(OR(計分!AL352="",計分!$AP352=""),"",計分!$AP352-計分!AL352)</f>
        <v/>
      </c>
      <c r="AM352">
        <f>IF(OR(計分!AM352="",計分!$AP352=""),"",計分!$AP352-計分!AM352)</f>
        <v/>
      </c>
      <c r="AN352">
        <f>IF(OR(計分!AN352="",計分!$AP352=""),"",計分!$AP352-計分!AN352)</f>
        <v/>
      </c>
      <c r="AO352">
        <f>IF(OR(計分!AO352="",計分!$AP352=""),"",計分!$AP352-計分!AO352)</f>
        <v/>
      </c>
    </row>
    <row r="353">
      <c r="A353">
        <f>計分!A353</f>
        <v/>
      </c>
      <c r="B353">
        <f>IF(OR(計分!B353="",計分!$AP353=""),"",計分!$AP353-計分!B353)</f>
        <v/>
      </c>
      <c r="C353">
        <f>IF(OR(計分!C353="",計分!$AP353=""),"",計分!$AP353-計分!C353)</f>
        <v/>
      </c>
      <c r="D353">
        <f>IF(OR(計分!D353="",計分!$AP353=""),"",計分!$AP353-計分!D353)</f>
        <v/>
      </c>
      <c r="E353">
        <f>IF(OR(計分!E353="",計分!$AP353=""),"",計分!$AP353-計分!E353)</f>
        <v/>
      </c>
      <c r="F353">
        <f>IF(OR(計分!F353="",計分!$AP353=""),"",計分!$AP353-計分!F353)</f>
        <v/>
      </c>
      <c r="G353">
        <f>IF(OR(計分!G353="",計分!$AP353=""),"",計分!$AP353-計分!G353)</f>
        <v/>
      </c>
      <c r="H353">
        <f>IF(OR(計分!H353="",計分!$AP353=""),"",計分!$AP353-計分!H353)</f>
        <v/>
      </c>
      <c r="I353">
        <f>IF(OR(計分!I353="",計分!$AP353=""),"",計分!$AP353-計分!I353)</f>
        <v/>
      </c>
      <c r="J353">
        <f>IF(OR(計分!J353="",計分!$AP353=""),"",計分!$AP353-計分!J353)</f>
        <v/>
      </c>
      <c r="K353">
        <f>IF(OR(計分!K353="",計分!$AP353=""),"",計分!$AP353-計分!K353)</f>
        <v/>
      </c>
      <c r="L353">
        <f>IF(OR(計分!L353="",計分!$AP353=""),"",計分!$AP353-計分!L353)</f>
        <v/>
      </c>
      <c r="M353">
        <f>IF(OR(計分!M353="",計分!$AP353=""),"",計分!$AP353-計分!M353)</f>
        <v/>
      </c>
      <c r="N353">
        <f>IF(OR(計分!N353="",計分!$AP353=""),"",計分!$AP353-計分!N353)</f>
        <v/>
      </c>
      <c r="O353">
        <f>IF(OR(計分!O353="",計分!$AP353=""),"",計分!$AP353-計分!O353)</f>
        <v/>
      </c>
      <c r="P353">
        <f>IF(OR(計分!P353="",計分!$AP353=""),"",計分!$AP353-計分!P353)</f>
        <v/>
      </c>
      <c r="Q353">
        <f>IF(OR(計分!Q353="",計分!$AP353=""),"",計分!$AP353-計分!Q353)</f>
        <v/>
      </c>
      <c r="R353">
        <f>IF(OR(計分!R353="",計分!$AP353=""),"",計分!$AP353-計分!R353)</f>
        <v/>
      </c>
      <c r="S353">
        <f>IF(OR(計分!S353="",計分!$AP353=""),"",計分!$AP353-計分!S353)</f>
        <v/>
      </c>
      <c r="T353">
        <f>IF(OR(計分!T353="",計分!$AP353=""),"",計分!$AP353-計分!T353)</f>
        <v/>
      </c>
      <c r="U353">
        <f>IF(OR(計分!U353="",計分!$AP353=""),"",計分!$AP353-計分!U353)</f>
        <v/>
      </c>
      <c r="V353">
        <f>IF(OR(計分!V353="",計分!$AP353=""),"",計分!$AP353-計分!V353)</f>
        <v/>
      </c>
      <c r="W353">
        <f>IF(OR(計分!W353="",計分!$AP353=""),"",計分!$AP353-計分!W353)</f>
        <v/>
      </c>
      <c r="X353">
        <f>IF(OR(計分!X353="",計分!$AP353=""),"",計分!$AP353-計分!X353)</f>
        <v/>
      </c>
      <c r="Y353">
        <f>IF(OR(計分!Y353="",計分!$AP353=""),"",計分!$AP353-計分!Y353)</f>
        <v/>
      </c>
      <c r="Z353">
        <f>IF(OR(計分!Z353="",計分!$AP353=""),"",計分!$AP353-計分!Z353)</f>
        <v/>
      </c>
      <c r="AA353">
        <f>IF(OR(計分!AA353="",計分!$AP353=""),"",計分!$AP353-計分!AA353)</f>
        <v/>
      </c>
      <c r="AB353">
        <f>IF(OR(計分!AB353="",計分!$AP353=""),"",計分!$AP353-計分!AB353)</f>
        <v/>
      </c>
      <c r="AC353">
        <f>IF(OR(計分!AC353="",計分!$AP353=""),"",計分!$AP353-計分!AC353)</f>
        <v/>
      </c>
      <c r="AD353">
        <f>IF(OR(計分!AD353="",計分!$AP353=""),"",計分!$AP353-計分!AD353)</f>
        <v/>
      </c>
      <c r="AE353">
        <f>IF(OR(計分!AE353="",計分!$AP353=""),"",計分!$AP353-計分!AE353)</f>
        <v/>
      </c>
      <c r="AF353">
        <f>IF(OR(計分!AF353="",計分!$AP353=""),"",計分!$AP353-計分!AF353)</f>
        <v/>
      </c>
      <c r="AG353">
        <f>IF(OR(計分!AG353="",計分!$AP353=""),"",計分!$AP353-計分!AG353)</f>
        <v/>
      </c>
      <c r="AH353">
        <f>IF(OR(計分!AH353="",計分!$AP353=""),"",計分!$AP353-計分!AH353)</f>
        <v/>
      </c>
      <c r="AI353">
        <f>IF(OR(計分!AI353="",計分!$AP353=""),"",計分!$AP353-計分!AI353)</f>
        <v/>
      </c>
      <c r="AJ353">
        <f>IF(OR(計分!AJ353="",計分!$AP353=""),"",計分!$AP353-計分!AJ353)</f>
        <v/>
      </c>
      <c r="AK353">
        <f>IF(OR(計分!AK353="",計分!$AP353=""),"",計分!$AP353-計分!AK353)</f>
        <v/>
      </c>
      <c r="AL353">
        <f>IF(OR(計分!AL353="",計分!$AP353=""),"",計分!$AP353-計分!AL353)</f>
        <v/>
      </c>
      <c r="AM353">
        <f>IF(OR(計分!AM353="",計分!$AP353=""),"",計分!$AP353-計分!AM353)</f>
        <v/>
      </c>
      <c r="AN353">
        <f>IF(OR(計分!AN353="",計分!$AP353=""),"",計分!$AP353-計分!AN353)</f>
        <v/>
      </c>
      <c r="AO353">
        <f>IF(OR(計分!AO353="",計分!$AP353=""),"",計分!$AP353-計分!AO353)</f>
        <v/>
      </c>
    </row>
    <row r="354">
      <c r="A354">
        <f>計分!A354</f>
        <v/>
      </c>
      <c r="B354">
        <f>IF(OR(計分!B354="",計分!$AP354=""),"",計分!$AP354-計分!B354)</f>
        <v/>
      </c>
      <c r="C354">
        <f>IF(OR(計分!C354="",計分!$AP354=""),"",計分!$AP354-計分!C354)</f>
        <v/>
      </c>
      <c r="D354">
        <f>IF(OR(計分!D354="",計分!$AP354=""),"",計分!$AP354-計分!D354)</f>
        <v/>
      </c>
      <c r="E354">
        <f>IF(OR(計分!E354="",計分!$AP354=""),"",計分!$AP354-計分!E354)</f>
        <v/>
      </c>
      <c r="F354">
        <f>IF(OR(計分!F354="",計分!$AP354=""),"",計分!$AP354-計分!F354)</f>
        <v/>
      </c>
      <c r="G354">
        <f>IF(OR(計分!G354="",計分!$AP354=""),"",計分!$AP354-計分!G354)</f>
        <v/>
      </c>
      <c r="H354">
        <f>IF(OR(計分!H354="",計分!$AP354=""),"",計分!$AP354-計分!H354)</f>
        <v/>
      </c>
      <c r="I354">
        <f>IF(OR(計分!I354="",計分!$AP354=""),"",計分!$AP354-計分!I354)</f>
        <v/>
      </c>
      <c r="J354">
        <f>IF(OR(計分!J354="",計分!$AP354=""),"",計分!$AP354-計分!J354)</f>
        <v/>
      </c>
      <c r="K354">
        <f>IF(OR(計分!K354="",計分!$AP354=""),"",計分!$AP354-計分!K354)</f>
        <v/>
      </c>
      <c r="L354">
        <f>IF(OR(計分!L354="",計分!$AP354=""),"",計分!$AP354-計分!L354)</f>
        <v/>
      </c>
      <c r="M354">
        <f>IF(OR(計分!M354="",計分!$AP354=""),"",計分!$AP354-計分!M354)</f>
        <v/>
      </c>
      <c r="N354">
        <f>IF(OR(計分!N354="",計分!$AP354=""),"",計分!$AP354-計分!N354)</f>
        <v/>
      </c>
      <c r="O354">
        <f>IF(OR(計分!O354="",計分!$AP354=""),"",計分!$AP354-計分!O354)</f>
        <v/>
      </c>
      <c r="P354">
        <f>IF(OR(計分!P354="",計分!$AP354=""),"",計分!$AP354-計分!P354)</f>
        <v/>
      </c>
      <c r="Q354">
        <f>IF(OR(計分!Q354="",計分!$AP354=""),"",計分!$AP354-計分!Q354)</f>
        <v/>
      </c>
      <c r="R354">
        <f>IF(OR(計分!R354="",計分!$AP354=""),"",計分!$AP354-計分!R354)</f>
        <v/>
      </c>
      <c r="S354">
        <f>IF(OR(計分!S354="",計分!$AP354=""),"",計分!$AP354-計分!S354)</f>
        <v/>
      </c>
      <c r="T354">
        <f>IF(OR(計分!T354="",計分!$AP354=""),"",計分!$AP354-計分!T354)</f>
        <v/>
      </c>
      <c r="U354">
        <f>IF(OR(計分!U354="",計分!$AP354=""),"",計分!$AP354-計分!U354)</f>
        <v/>
      </c>
      <c r="V354">
        <f>IF(OR(計分!V354="",計分!$AP354=""),"",計分!$AP354-計分!V354)</f>
        <v/>
      </c>
      <c r="W354">
        <f>IF(OR(計分!W354="",計分!$AP354=""),"",計分!$AP354-計分!W354)</f>
        <v/>
      </c>
      <c r="X354">
        <f>IF(OR(計分!X354="",計分!$AP354=""),"",計分!$AP354-計分!X354)</f>
        <v/>
      </c>
      <c r="Y354">
        <f>IF(OR(計分!Y354="",計分!$AP354=""),"",計分!$AP354-計分!Y354)</f>
        <v/>
      </c>
      <c r="Z354">
        <f>IF(OR(計分!Z354="",計分!$AP354=""),"",計分!$AP354-計分!Z354)</f>
        <v/>
      </c>
      <c r="AA354">
        <f>IF(OR(計分!AA354="",計分!$AP354=""),"",計分!$AP354-計分!AA354)</f>
        <v/>
      </c>
      <c r="AB354">
        <f>IF(OR(計分!AB354="",計分!$AP354=""),"",計分!$AP354-計分!AB354)</f>
        <v/>
      </c>
      <c r="AC354">
        <f>IF(OR(計分!AC354="",計分!$AP354=""),"",計分!$AP354-計分!AC354)</f>
        <v/>
      </c>
      <c r="AD354">
        <f>IF(OR(計分!AD354="",計分!$AP354=""),"",計分!$AP354-計分!AD354)</f>
        <v/>
      </c>
      <c r="AE354">
        <f>IF(OR(計分!AE354="",計分!$AP354=""),"",計分!$AP354-計分!AE354)</f>
        <v/>
      </c>
      <c r="AF354">
        <f>IF(OR(計分!AF354="",計分!$AP354=""),"",計分!$AP354-計分!AF354)</f>
        <v/>
      </c>
      <c r="AG354">
        <f>IF(OR(計分!AG354="",計分!$AP354=""),"",計分!$AP354-計分!AG354)</f>
        <v/>
      </c>
      <c r="AH354">
        <f>IF(OR(計分!AH354="",計分!$AP354=""),"",計分!$AP354-計分!AH354)</f>
        <v/>
      </c>
      <c r="AI354">
        <f>IF(OR(計分!AI354="",計分!$AP354=""),"",計分!$AP354-計分!AI354)</f>
        <v/>
      </c>
      <c r="AJ354">
        <f>IF(OR(計分!AJ354="",計分!$AP354=""),"",計分!$AP354-計分!AJ354)</f>
        <v/>
      </c>
      <c r="AK354">
        <f>IF(OR(計分!AK354="",計分!$AP354=""),"",計分!$AP354-計分!AK354)</f>
        <v/>
      </c>
      <c r="AL354">
        <f>IF(OR(計分!AL354="",計分!$AP354=""),"",計分!$AP354-計分!AL354)</f>
        <v/>
      </c>
      <c r="AM354">
        <f>IF(OR(計分!AM354="",計分!$AP354=""),"",計分!$AP354-計分!AM354)</f>
        <v/>
      </c>
      <c r="AN354">
        <f>IF(OR(計分!AN354="",計分!$AP354=""),"",計分!$AP354-計分!AN354)</f>
        <v/>
      </c>
      <c r="AO354">
        <f>IF(OR(計分!AO354="",計分!$AP354=""),"",計分!$AP354-計分!AO354)</f>
        <v/>
      </c>
    </row>
    <row r="355">
      <c r="A355">
        <f>計分!A355</f>
        <v/>
      </c>
      <c r="B355">
        <f>IF(OR(計分!B355="",計分!$AP355=""),"",計分!$AP355-計分!B355)</f>
        <v/>
      </c>
      <c r="C355">
        <f>IF(OR(計分!C355="",計分!$AP355=""),"",計分!$AP355-計分!C355)</f>
        <v/>
      </c>
      <c r="D355">
        <f>IF(OR(計分!D355="",計分!$AP355=""),"",計分!$AP355-計分!D355)</f>
        <v/>
      </c>
      <c r="E355">
        <f>IF(OR(計分!E355="",計分!$AP355=""),"",計分!$AP355-計分!E355)</f>
        <v/>
      </c>
      <c r="F355">
        <f>IF(OR(計分!F355="",計分!$AP355=""),"",計分!$AP355-計分!F355)</f>
        <v/>
      </c>
      <c r="G355">
        <f>IF(OR(計分!G355="",計分!$AP355=""),"",計分!$AP355-計分!G355)</f>
        <v/>
      </c>
      <c r="H355">
        <f>IF(OR(計分!H355="",計分!$AP355=""),"",計分!$AP355-計分!H355)</f>
        <v/>
      </c>
      <c r="I355">
        <f>IF(OR(計分!I355="",計分!$AP355=""),"",計分!$AP355-計分!I355)</f>
        <v/>
      </c>
      <c r="J355">
        <f>IF(OR(計分!J355="",計分!$AP355=""),"",計分!$AP355-計分!J355)</f>
        <v/>
      </c>
      <c r="K355">
        <f>IF(OR(計分!K355="",計分!$AP355=""),"",計分!$AP355-計分!K355)</f>
        <v/>
      </c>
      <c r="L355">
        <f>IF(OR(計分!L355="",計分!$AP355=""),"",計分!$AP355-計分!L355)</f>
        <v/>
      </c>
      <c r="M355">
        <f>IF(OR(計分!M355="",計分!$AP355=""),"",計分!$AP355-計分!M355)</f>
        <v/>
      </c>
      <c r="N355">
        <f>IF(OR(計分!N355="",計分!$AP355=""),"",計分!$AP355-計分!N355)</f>
        <v/>
      </c>
      <c r="O355">
        <f>IF(OR(計分!O355="",計分!$AP355=""),"",計分!$AP355-計分!O355)</f>
        <v/>
      </c>
      <c r="P355">
        <f>IF(OR(計分!P355="",計分!$AP355=""),"",計分!$AP355-計分!P355)</f>
        <v/>
      </c>
      <c r="Q355">
        <f>IF(OR(計分!Q355="",計分!$AP355=""),"",計分!$AP355-計分!Q355)</f>
        <v/>
      </c>
      <c r="R355">
        <f>IF(OR(計分!R355="",計分!$AP355=""),"",計分!$AP355-計分!R355)</f>
        <v/>
      </c>
      <c r="S355">
        <f>IF(OR(計分!S355="",計分!$AP355=""),"",計分!$AP355-計分!S355)</f>
        <v/>
      </c>
      <c r="T355">
        <f>IF(OR(計分!T355="",計分!$AP355=""),"",計分!$AP355-計分!T355)</f>
        <v/>
      </c>
      <c r="U355">
        <f>IF(OR(計分!U355="",計分!$AP355=""),"",計分!$AP355-計分!U355)</f>
        <v/>
      </c>
      <c r="V355">
        <f>IF(OR(計分!V355="",計分!$AP355=""),"",計分!$AP355-計分!V355)</f>
        <v/>
      </c>
      <c r="W355">
        <f>IF(OR(計分!W355="",計分!$AP355=""),"",計分!$AP355-計分!W355)</f>
        <v/>
      </c>
      <c r="X355">
        <f>IF(OR(計分!X355="",計分!$AP355=""),"",計分!$AP355-計分!X355)</f>
        <v/>
      </c>
      <c r="Y355">
        <f>IF(OR(計分!Y355="",計分!$AP355=""),"",計分!$AP355-計分!Y355)</f>
        <v/>
      </c>
      <c r="Z355">
        <f>IF(OR(計分!Z355="",計分!$AP355=""),"",計分!$AP355-計分!Z355)</f>
        <v/>
      </c>
      <c r="AA355">
        <f>IF(OR(計分!AA355="",計分!$AP355=""),"",計分!$AP355-計分!AA355)</f>
        <v/>
      </c>
      <c r="AB355">
        <f>IF(OR(計分!AB355="",計分!$AP355=""),"",計分!$AP355-計分!AB355)</f>
        <v/>
      </c>
      <c r="AC355">
        <f>IF(OR(計分!AC355="",計分!$AP355=""),"",計分!$AP355-計分!AC355)</f>
        <v/>
      </c>
      <c r="AD355">
        <f>IF(OR(計分!AD355="",計分!$AP355=""),"",計分!$AP355-計分!AD355)</f>
        <v/>
      </c>
      <c r="AE355">
        <f>IF(OR(計分!AE355="",計分!$AP355=""),"",計分!$AP355-計分!AE355)</f>
        <v/>
      </c>
      <c r="AF355">
        <f>IF(OR(計分!AF355="",計分!$AP355=""),"",計分!$AP355-計分!AF355)</f>
        <v/>
      </c>
      <c r="AG355">
        <f>IF(OR(計分!AG355="",計分!$AP355=""),"",計分!$AP355-計分!AG355)</f>
        <v/>
      </c>
      <c r="AH355">
        <f>IF(OR(計分!AH355="",計分!$AP355=""),"",計分!$AP355-計分!AH355)</f>
        <v/>
      </c>
      <c r="AI355">
        <f>IF(OR(計分!AI355="",計分!$AP355=""),"",計分!$AP355-計分!AI355)</f>
        <v/>
      </c>
      <c r="AJ355">
        <f>IF(OR(計分!AJ355="",計分!$AP355=""),"",計分!$AP355-計分!AJ355)</f>
        <v/>
      </c>
      <c r="AK355">
        <f>IF(OR(計分!AK355="",計分!$AP355=""),"",計分!$AP355-計分!AK355)</f>
        <v/>
      </c>
      <c r="AL355">
        <f>IF(OR(計分!AL355="",計分!$AP355=""),"",計分!$AP355-計分!AL355)</f>
        <v/>
      </c>
      <c r="AM355">
        <f>IF(OR(計分!AM355="",計分!$AP355=""),"",計分!$AP355-計分!AM355)</f>
        <v/>
      </c>
      <c r="AN355">
        <f>IF(OR(計分!AN355="",計分!$AP355=""),"",計分!$AP355-計分!AN355)</f>
        <v/>
      </c>
      <c r="AO355">
        <f>IF(OR(計分!AO355="",計分!$AP355=""),"",計分!$AP355-計分!AO355)</f>
        <v/>
      </c>
    </row>
    <row r="356">
      <c r="A356">
        <f>計分!A356</f>
        <v/>
      </c>
      <c r="B356">
        <f>IF(OR(計分!B356="",計分!$AP356=""),"",計分!$AP356-計分!B356)</f>
        <v/>
      </c>
      <c r="C356">
        <f>IF(OR(計分!C356="",計分!$AP356=""),"",計分!$AP356-計分!C356)</f>
        <v/>
      </c>
      <c r="D356">
        <f>IF(OR(計分!D356="",計分!$AP356=""),"",計分!$AP356-計分!D356)</f>
        <v/>
      </c>
      <c r="E356">
        <f>IF(OR(計分!E356="",計分!$AP356=""),"",計分!$AP356-計分!E356)</f>
        <v/>
      </c>
      <c r="F356">
        <f>IF(OR(計分!F356="",計分!$AP356=""),"",計分!$AP356-計分!F356)</f>
        <v/>
      </c>
      <c r="G356">
        <f>IF(OR(計分!G356="",計分!$AP356=""),"",計分!$AP356-計分!G356)</f>
        <v/>
      </c>
      <c r="H356">
        <f>IF(OR(計分!H356="",計分!$AP356=""),"",計分!$AP356-計分!H356)</f>
        <v/>
      </c>
      <c r="I356">
        <f>IF(OR(計分!I356="",計分!$AP356=""),"",計分!$AP356-計分!I356)</f>
        <v/>
      </c>
      <c r="J356">
        <f>IF(OR(計分!J356="",計分!$AP356=""),"",計分!$AP356-計分!J356)</f>
        <v/>
      </c>
      <c r="K356">
        <f>IF(OR(計分!K356="",計分!$AP356=""),"",計分!$AP356-計分!K356)</f>
        <v/>
      </c>
      <c r="L356">
        <f>IF(OR(計分!L356="",計分!$AP356=""),"",計分!$AP356-計分!L356)</f>
        <v/>
      </c>
      <c r="M356">
        <f>IF(OR(計分!M356="",計分!$AP356=""),"",計分!$AP356-計分!M356)</f>
        <v/>
      </c>
      <c r="N356">
        <f>IF(OR(計分!N356="",計分!$AP356=""),"",計分!$AP356-計分!N356)</f>
        <v/>
      </c>
      <c r="O356">
        <f>IF(OR(計分!O356="",計分!$AP356=""),"",計分!$AP356-計分!O356)</f>
        <v/>
      </c>
      <c r="P356">
        <f>IF(OR(計分!P356="",計分!$AP356=""),"",計分!$AP356-計分!P356)</f>
        <v/>
      </c>
      <c r="Q356">
        <f>IF(OR(計分!Q356="",計分!$AP356=""),"",計分!$AP356-計分!Q356)</f>
        <v/>
      </c>
      <c r="R356">
        <f>IF(OR(計分!R356="",計分!$AP356=""),"",計分!$AP356-計分!R356)</f>
        <v/>
      </c>
      <c r="S356">
        <f>IF(OR(計分!S356="",計分!$AP356=""),"",計分!$AP356-計分!S356)</f>
        <v/>
      </c>
      <c r="T356">
        <f>IF(OR(計分!T356="",計分!$AP356=""),"",計分!$AP356-計分!T356)</f>
        <v/>
      </c>
      <c r="U356">
        <f>IF(OR(計分!U356="",計分!$AP356=""),"",計分!$AP356-計分!U356)</f>
        <v/>
      </c>
      <c r="V356">
        <f>IF(OR(計分!V356="",計分!$AP356=""),"",計分!$AP356-計分!V356)</f>
        <v/>
      </c>
      <c r="W356">
        <f>IF(OR(計分!W356="",計分!$AP356=""),"",計分!$AP356-計分!W356)</f>
        <v/>
      </c>
      <c r="X356">
        <f>IF(OR(計分!X356="",計分!$AP356=""),"",計分!$AP356-計分!X356)</f>
        <v/>
      </c>
      <c r="Y356">
        <f>IF(OR(計分!Y356="",計分!$AP356=""),"",計分!$AP356-計分!Y356)</f>
        <v/>
      </c>
      <c r="Z356">
        <f>IF(OR(計分!Z356="",計分!$AP356=""),"",計分!$AP356-計分!Z356)</f>
        <v/>
      </c>
      <c r="AA356">
        <f>IF(OR(計分!AA356="",計分!$AP356=""),"",計分!$AP356-計分!AA356)</f>
        <v/>
      </c>
      <c r="AB356">
        <f>IF(OR(計分!AB356="",計分!$AP356=""),"",計分!$AP356-計分!AB356)</f>
        <v/>
      </c>
      <c r="AC356">
        <f>IF(OR(計分!AC356="",計分!$AP356=""),"",計分!$AP356-計分!AC356)</f>
        <v/>
      </c>
      <c r="AD356">
        <f>IF(OR(計分!AD356="",計分!$AP356=""),"",計分!$AP356-計分!AD356)</f>
        <v/>
      </c>
      <c r="AE356">
        <f>IF(OR(計分!AE356="",計分!$AP356=""),"",計分!$AP356-計分!AE356)</f>
        <v/>
      </c>
      <c r="AF356">
        <f>IF(OR(計分!AF356="",計分!$AP356=""),"",計分!$AP356-計分!AF356)</f>
        <v/>
      </c>
      <c r="AG356">
        <f>IF(OR(計分!AG356="",計分!$AP356=""),"",計分!$AP356-計分!AG356)</f>
        <v/>
      </c>
      <c r="AH356">
        <f>IF(OR(計分!AH356="",計分!$AP356=""),"",計分!$AP356-計分!AH356)</f>
        <v/>
      </c>
      <c r="AI356">
        <f>IF(OR(計分!AI356="",計分!$AP356=""),"",計分!$AP356-計分!AI356)</f>
        <v/>
      </c>
      <c r="AJ356">
        <f>IF(OR(計分!AJ356="",計分!$AP356=""),"",計分!$AP356-計分!AJ356)</f>
        <v/>
      </c>
      <c r="AK356">
        <f>IF(OR(計分!AK356="",計分!$AP356=""),"",計分!$AP356-計分!AK356)</f>
        <v/>
      </c>
      <c r="AL356">
        <f>IF(OR(計分!AL356="",計分!$AP356=""),"",計分!$AP356-計分!AL356)</f>
        <v/>
      </c>
      <c r="AM356">
        <f>IF(OR(計分!AM356="",計分!$AP356=""),"",計分!$AP356-計分!AM356)</f>
        <v/>
      </c>
      <c r="AN356">
        <f>IF(OR(計分!AN356="",計分!$AP356=""),"",計分!$AP356-計分!AN356)</f>
        <v/>
      </c>
      <c r="AO356">
        <f>IF(OR(計分!AO356="",計分!$AP356=""),"",計分!$AP356-計分!AO356)</f>
        <v/>
      </c>
    </row>
    <row r="357">
      <c r="A357">
        <f>計分!A357</f>
        <v/>
      </c>
      <c r="B357">
        <f>IF(OR(計分!B357="",計分!$AP357=""),"",計分!$AP357-計分!B357)</f>
        <v/>
      </c>
      <c r="C357">
        <f>IF(OR(計分!C357="",計分!$AP357=""),"",計分!$AP357-計分!C357)</f>
        <v/>
      </c>
      <c r="D357">
        <f>IF(OR(計分!D357="",計分!$AP357=""),"",計分!$AP357-計分!D357)</f>
        <v/>
      </c>
      <c r="E357">
        <f>IF(OR(計分!E357="",計分!$AP357=""),"",計分!$AP357-計分!E357)</f>
        <v/>
      </c>
      <c r="F357">
        <f>IF(OR(計分!F357="",計分!$AP357=""),"",計分!$AP357-計分!F357)</f>
        <v/>
      </c>
      <c r="G357">
        <f>IF(OR(計分!G357="",計分!$AP357=""),"",計分!$AP357-計分!G357)</f>
        <v/>
      </c>
      <c r="H357">
        <f>IF(OR(計分!H357="",計分!$AP357=""),"",計分!$AP357-計分!H357)</f>
        <v/>
      </c>
      <c r="I357">
        <f>IF(OR(計分!I357="",計分!$AP357=""),"",計分!$AP357-計分!I357)</f>
        <v/>
      </c>
      <c r="J357">
        <f>IF(OR(計分!J357="",計分!$AP357=""),"",計分!$AP357-計分!J357)</f>
        <v/>
      </c>
      <c r="K357">
        <f>IF(OR(計分!K357="",計分!$AP357=""),"",計分!$AP357-計分!K357)</f>
        <v/>
      </c>
      <c r="L357">
        <f>IF(OR(計分!L357="",計分!$AP357=""),"",計分!$AP357-計分!L357)</f>
        <v/>
      </c>
      <c r="M357">
        <f>IF(OR(計分!M357="",計分!$AP357=""),"",計分!$AP357-計分!M357)</f>
        <v/>
      </c>
      <c r="N357">
        <f>IF(OR(計分!N357="",計分!$AP357=""),"",計分!$AP357-計分!N357)</f>
        <v/>
      </c>
      <c r="O357">
        <f>IF(OR(計分!O357="",計分!$AP357=""),"",計分!$AP357-計分!O357)</f>
        <v/>
      </c>
      <c r="P357">
        <f>IF(OR(計分!P357="",計分!$AP357=""),"",計分!$AP357-計分!P357)</f>
        <v/>
      </c>
      <c r="Q357">
        <f>IF(OR(計分!Q357="",計分!$AP357=""),"",計分!$AP357-計分!Q357)</f>
        <v/>
      </c>
      <c r="R357">
        <f>IF(OR(計分!R357="",計分!$AP357=""),"",計分!$AP357-計分!R357)</f>
        <v/>
      </c>
      <c r="S357">
        <f>IF(OR(計分!S357="",計分!$AP357=""),"",計分!$AP357-計分!S357)</f>
        <v/>
      </c>
      <c r="T357">
        <f>IF(OR(計分!T357="",計分!$AP357=""),"",計分!$AP357-計分!T357)</f>
        <v/>
      </c>
      <c r="U357">
        <f>IF(OR(計分!U357="",計分!$AP357=""),"",計分!$AP357-計分!U357)</f>
        <v/>
      </c>
      <c r="V357">
        <f>IF(OR(計分!V357="",計分!$AP357=""),"",計分!$AP357-計分!V357)</f>
        <v/>
      </c>
      <c r="W357">
        <f>IF(OR(計分!W357="",計分!$AP357=""),"",計分!$AP357-計分!W357)</f>
        <v/>
      </c>
      <c r="X357">
        <f>IF(OR(計分!X357="",計分!$AP357=""),"",計分!$AP357-計分!X357)</f>
        <v/>
      </c>
      <c r="Y357">
        <f>IF(OR(計分!Y357="",計分!$AP357=""),"",計分!$AP357-計分!Y357)</f>
        <v/>
      </c>
      <c r="Z357">
        <f>IF(OR(計分!Z357="",計分!$AP357=""),"",計分!$AP357-計分!Z357)</f>
        <v/>
      </c>
      <c r="AA357">
        <f>IF(OR(計分!AA357="",計分!$AP357=""),"",計分!$AP357-計分!AA357)</f>
        <v/>
      </c>
      <c r="AB357">
        <f>IF(OR(計分!AB357="",計分!$AP357=""),"",計分!$AP357-計分!AB357)</f>
        <v/>
      </c>
      <c r="AC357">
        <f>IF(OR(計分!AC357="",計分!$AP357=""),"",計分!$AP357-計分!AC357)</f>
        <v/>
      </c>
      <c r="AD357">
        <f>IF(OR(計分!AD357="",計分!$AP357=""),"",計分!$AP357-計分!AD357)</f>
        <v/>
      </c>
      <c r="AE357">
        <f>IF(OR(計分!AE357="",計分!$AP357=""),"",計分!$AP357-計分!AE357)</f>
        <v/>
      </c>
      <c r="AF357">
        <f>IF(OR(計分!AF357="",計分!$AP357=""),"",計分!$AP357-計分!AF357)</f>
        <v/>
      </c>
      <c r="AG357">
        <f>IF(OR(計分!AG357="",計分!$AP357=""),"",計分!$AP357-計分!AG357)</f>
        <v/>
      </c>
      <c r="AH357">
        <f>IF(OR(計分!AH357="",計分!$AP357=""),"",計分!$AP357-計分!AH357)</f>
        <v/>
      </c>
      <c r="AI357">
        <f>IF(OR(計分!AI357="",計分!$AP357=""),"",計分!$AP357-計分!AI357)</f>
        <v/>
      </c>
      <c r="AJ357">
        <f>IF(OR(計分!AJ357="",計分!$AP357=""),"",計分!$AP357-計分!AJ357)</f>
        <v/>
      </c>
      <c r="AK357">
        <f>IF(OR(計分!AK357="",計分!$AP357=""),"",計分!$AP357-計分!AK357)</f>
        <v/>
      </c>
      <c r="AL357">
        <f>IF(OR(計分!AL357="",計分!$AP357=""),"",計分!$AP357-計分!AL357)</f>
        <v/>
      </c>
      <c r="AM357">
        <f>IF(OR(計分!AM357="",計分!$AP357=""),"",計分!$AP357-計分!AM357)</f>
        <v/>
      </c>
      <c r="AN357">
        <f>IF(OR(計分!AN357="",計分!$AP357=""),"",計分!$AP357-計分!AN357)</f>
        <v/>
      </c>
      <c r="AO357">
        <f>IF(OR(計分!AO357="",計分!$AP357=""),"",計分!$AP357-計分!AO357)</f>
        <v/>
      </c>
    </row>
    <row r="358">
      <c r="A358">
        <f>計分!A358</f>
        <v/>
      </c>
      <c r="B358">
        <f>IF(OR(計分!B358="",計分!$AP358=""),"",計分!$AP358-計分!B358)</f>
        <v/>
      </c>
      <c r="C358">
        <f>IF(OR(計分!C358="",計分!$AP358=""),"",計分!$AP358-計分!C358)</f>
        <v/>
      </c>
      <c r="D358">
        <f>IF(OR(計分!D358="",計分!$AP358=""),"",計分!$AP358-計分!D358)</f>
        <v/>
      </c>
      <c r="E358">
        <f>IF(OR(計分!E358="",計分!$AP358=""),"",計分!$AP358-計分!E358)</f>
        <v/>
      </c>
      <c r="F358">
        <f>IF(OR(計分!F358="",計分!$AP358=""),"",計分!$AP358-計分!F358)</f>
        <v/>
      </c>
      <c r="G358">
        <f>IF(OR(計分!G358="",計分!$AP358=""),"",計分!$AP358-計分!G358)</f>
        <v/>
      </c>
      <c r="H358">
        <f>IF(OR(計分!H358="",計分!$AP358=""),"",計分!$AP358-計分!H358)</f>
        <v/>
      </c>
      <c r="I358">
        <f>IF(OR(計分!I358="",計分!$AP358=""),"",計分!$AP358-計分!I358)</f>
        <v/>
      </c>
      <c r="J358">
        <f>IF(OR(計分!J358="",計分!$AP358=""),"",計分!$AP358-計分!J358)</f>
        <v/>
      </c>
      <c r="K358">
        <f>IF(OR(計分!K358="",計分!$AP358=""),"",計分!$AP358-計分!K358)</f>
        <v/>
      </c>
      <c r="L358">
        <f>IF(OR(計分!L358="",計分!$AP358=""),"",計分!$AP358-計分!L358)</f>
        <v/>
      </c>
      <c r="M358">
        <f>IF(OR(計分!M358="",計分!$AP358=""),"",計分!$AP358-計分!M358)</f>
        <v/>
      </c>
      <c r="N358">
        <f>IF(OR(計分!N358="",計分!$AP358=""),"",計分!$AP358-計分!N358)</f>
        <v/>
      </c>
      <c r="O358">
        <f>IF(OR(計分!O358="",計分!$AP358=""),"",計分!$AP358-計分!O358)</f>
        <v/>
      </c>
      <c r="P358">
        <f>IF(OR(計分!P358="",計分!$AP358=""),"",計分!$AP358-計分!P358)</f>
        <v/>
      </c>
      <c r="Q358">
        <f>IF(OR(計分!Q358="",計分!$AP358=""),"",計分!$AP358-計分!Q358)</f>
        <v/>
      </c>
      <c r="R358">
        <f>IF(OR(計分!R358="",計分!$AP358=""),"",計分!$AP358-計分!R358)</f>
        <v/>
      </c>
      <c r="S358">
        <f>IF(OR(計分!S358="",計分!$AP358=""),"",計分!$AP358-計分!S358)</f>
        <v/>
      </c>
      <c r="T358">
        <f>IF(OR(計分!T358="",計分!$AP358=""),"",計分!$AP358-計分!T358)</f>
        <v/>
      </c>
      <c r="U358">
        <f>IF(OR(計分!U358="",計分!$AP358=""),"",計分!$AP358-計分!U358)</f>
        <v/>
      </c>
      <c r="V358">
        <f>IF(OR(計分!V358="",計分!$AP358=""),"",計分!$AP358-計分!V358)</f>
        <v/>
      </c>
      <c r="W358">
        <f>IF(OR(計分!W358="",計分!$AP358=""),"",計分!$AP358-計分!W358)</f>
        <v/>
      </c>
      <c r="X358">
        <f>IF(OR(計分!X358="",計分!$AP358=""),"",計分!$AP358-計分!X358)</f>
        <v/>
      </c>
      <c r="Y358">
        <f>IF(OR(計分!Y358="",計分!$AP358=""),"",計分!$AP358-計分!Y358)</f>
        <v/>
      </c>
      <c r="Z358">
        <f>IF(OR(計分!Z358="",計分!$AP358=""),"",計分!$AP358-計分!Z358)</f>
        <v/>
      </c>
      <c r="AA358">
        <f>IF(OR(計分!AA358="",計分!$AP358=""),"",計分!$AP358-計分!AA358)</f>
        <v/>
      </c>
      <c r="AB358">
        <f>IF(OR(計分!AB358="",計分!$AP358=""),"",計分!$AP358-計分!AB358)</f>
        <v/>
      </c>
      <c r="AC358">
        <f>IF(OR(計分!AC358="",計分!$AP358=""),"",計分!$AP358-計分!AC358)</f>
        <v/>
      </c>
      <c r="AD358">
        <f>IF(OR(計分!AD358="",計分!$AP358=""),"",計分!$AP358-計分!AD358)</f>
        <v/>
      </c>
      <c r="AE358">
        <f>IF(OR(計分!AE358="",計分!$AP358=""),"",計分!$AP358-計分!AE358)</f>
        <v/>
      </c>
      <c r="AF358">
        <f>IF(OR(計分!AF358="",計分!$AP358=""),"",計分!$AP358-計分!AF358)</f>
        <v/>
      </c>
      <c r="AG358">
        <f>IF(OR(計分!AG358="",計分!$AP358=""),"",計分!$AP358-計分!AG358)</f>
        <v/>
      </c>
      <c r="AH358">
        <f>IF(OR(計分!AH358="",計分!$AP358=""),"",計分!$AP358-計分!AH358)</f>
        <v/>
      </c>
      <c r="AI358">
        <f>IF(OR(計分!AI358="",計分!$AP358=""),"",計分!$AP358-計分!AI358)</f>
        <v/>
      </c>
      <c r="AJ358">
        <f>IF(OR(計分!AJ358="",計分!$AP358=""),"",計分!$AP358-計分!AJ358)</f>
        <v/>
      </c>
      <c r="AK358">
        <f>IF(OR(計分!AK358="",計分!$AP358=""),"",計分!$AP358-計分!AK358)</f>
        <v/>
      </c>
      <c r="AL358">
        <f>IF(OR(計分!AL358="",計分!$AP358=""),"",計分!$AP358-計分!AL358)</f>
        <v/>
      </c>
      <c r="AM358">
        <f>IF(OR(計分!AM358="",計分!$AP358=""),"",計分!$AP358-計分!AM358)</f>
        <v/>
      </c>
      <c r="AN358">
        <f>IF(OR(計分!AN358="",計分!$AP358=""),"",計分!$AP358-計分!AN358)</f>
        <v/>
      </c>
      <c r="AO358">
        <f>IF(OR(計分!AO358="",計分!$AP358=""),"",計分!$AP358-計分!AO358)</f>
        <v/>
      </c>
    </row>
    <row r="359">
      <c r="A359">
        <f>計分!A359</f>
        <v/>
      </c>
      <c r="B359">
        <f>IF(OR(計分!B359="",計分!$AP359=""),"",計分!$AP359-計分!B359)</f>
        <v/>
      </c>
      <c r="C359">
        <f>IF(OR(計分!C359="",計分!$AP359=""),"",計分!$AP359-計分!C359)</f>
        <v/>
      </c>
      <c r="D359">
        <f>IF(OR(計分!D359="",計分!$AP359=""),"",計分!$AP359-計分!D359)</f>
        <v/>
      </c>
      <c r="E359">
        <f>IF(OR(計分!E359="",計分!$AP359=""),"",計分!$AP359-計分!E359)</f>
        <v/>
      </c>
      <c r="F359">
        <f>IF(OR(計分!F359="",計分!$AP359=""),"",計分!$AP359-計分!F359)</f>
        <v/>
      </c>
      <c r="G359">
        <f>IF(OR(計分!G359="",計分!$AP359=""),"",計分!$AP359-計分!G359)</f>
        <v/>
      </c>
      <c r="H359">
        <f>IF(OR(計分!H359="",計分!$AP359=""),"",計分!$AP359-計分!H359)</f>
        <v/>
      </c>
      <c r="I359">
        <f>IF(OR(計分!I359="",計分!$AP359=""),"",計分!$AP359-計分!I359)</f>
        <v/>
      </c>
      <c r="J359">
        <f>IF(OR(計分!J359="",計分!$AP359=""),"",計分!$AP359-計分!J359)</f>
        <v/>
      </c>
      <c r="K359">
        <f>IF(OR(計分!K359="",計分!$AP359=""),"",計分!$AP359-計分!K359)</f>
        <v/>
      </c>
      <c r="L359">
        <f>IF(OR(計分!L359="",計分!$AP359=""),"",計分!$AP359-計分!L359)</f>
        <v/>
      </c>
      <c r="M359">
        <f>IF(OR(計分!M359="",計分!$AP359=""),"",計分!$AP359-計分!M359)</f>
        <v/>
      </c>
      <c r="N359">
        <f>IF(OR(計分!N359="",計分!$AP359=""),"",計分!$AP359-計分!N359)</f>
        <v/>
      </c>
      <c r="O359">
        <f>IF(OR(計分!O359="",計分!$AP359=""),"",計分!$AP359-計分!O359)</f>
        <v/>
      </c>
      <c r="P359">
        <f>IF(OR(計分!P359="",計分!$AP359=""),"",計分!$AP359-計分!P359)</f>
        <v/>
      </c>
      <c r="Q359">
        <f>IF(OR(計分!Q359="",計分!$AP359=""),"",計分!$AP359-計分!Q359)</f>
        <v/>
      </c>
      <c r="R359">
        <f>IF(OR(計分!R359="",計分!$AP359=""),"",計分!$AP359-計分!R359)</f>
        <v/>
      </c>
      <c r="S359">
        <f>IF(OR(計分!S359="",計分!$AP359=""),"",計分!$AP359-計分!S359)</f>
        <v/>
      </c>
      <c r="T359">
        <f>IF(OR(計分!T359="",計分!$AP359=""),"",計分!$AP359-計分!T359)</f>
        <v/>
      </c>
      <c r="U359">
        <f>IF(OR(計分!U359="",計分!$AP359=""),"",計分!$AP359-計分!U359)</f>
        <v/>
      </c>
      <c r="V359">
        <f>IF(OR(計分!V359="",計分!$AP359=""),"",計分!$AP359-計分!V359)</f>
        <v/>
      </c>
      <c r="W359">
        <f>IF(OR(計分!W359="",計分!$AP359=""),"",計分!$AP359-計分!W359)</f>
        <v/>
      </c>
      <c r="X359">
        <f>IF(OR(計分!X359="",計分!$AP359=""),"",計分!$AP359-計分!X359)</f>
        <v/>
      </c>
      <c r="Y359">
        <f>IF(OR(計分!Y359="",計分!$AP359=""),"",計分!$AP359-計分!Y359)</f>
        <v/>
      </c>
      <c r="Z359">
        <f>IF(OR(計分!Z359="",計分!$AP359=""),"",計分!$AP359-計分!Z359)</f>
        <v/>
      </c>
      <c r="AA359">
        <f>IF(OR(計分!AA359="",計分!$AP359=""),"",計分!$AP359-計分!AA359)</f>
        <v/>
      </c>
      <c r="AB359">
        <f>IF(OR(計分!AB359="",計分!$AP359=""),"",計分!$AP359-計分!AB359)</f>
        <v/>
      </c>
      <c r="AC359">
        <f>IF(OR(計分!AC359="",計分!$AP359=""),"",計分!$AP359-計分!AC359)</f>
        <v/>
      </c>
      <c r="AD359">
        <f>IF(OR(計分!AD359="",計分!$AP359=""),"",計分!$AP359-計分!AD359)</f>
        <v/>
      </c>
      <c r="AE359">
        <f>IF(OR(計分!AE359="",計分!$AP359=""),"",計分!$AP359-計分!AE359)</f>
        <v/>
      </c>
      <c r="AF359">
        <f>IF(OR(計分!AF359="",計分!$AP359=""),"",計分!$AP359-計分!AF359)</f>
        <v/>
      </c>
      <c r="AG359">
        <f>IF(OR(計分!AG359="",計分!$AP359=""),"",計分!$AP359-計分!AG359)</f>
        <v/>
      </c>
      <c r="AH359">
        <f>IF(OR(計分!AH359="",計分!$AP359=""),"",計分!$AP359-計分!AH359)</f>
        <v/>
      </c>
      <c r="AI359">
        <f>IF(OR(計分!AI359="",計分!$AP359=""),"",計分!$AP359-計分!AI359)</f>
        <v/>
      </c>
      <c r="AJ359">
        <f>IF(OR(計分!AJ359="",計分!$AP359=""),"",計分!$AP359-計分!AJ359)</f>
        <v/>
      </c>
      <c r="AK359">
        <f>IF(OR(計分!AK359="",計分!$AP359=""),"",計分!$AP359-計分!AK359)</f>
        <v/>
      </c>
      <c r="AL359">
        <f>IF(OR(計分!AL359="",計分!$AP359=""),"",計分!$AP359-計分!AL359)</f>
        <v/>
      </c>
      <c r="AM359">
        <f>IF(OR(計分!AM359="",計分!$AP359=""),"",計分!$AP359-計分!AM359)</f>
        <v/>
      </c>
      <c r="AN359">
        <f>IF(OR(計分!AN359="",計分!$AP359=""),"",計分!$AP359-計分!AN359)</f>
        <v/>
      </c>
      <c r="AO359">
        <f>IF(OR(計分!AO359="",計分!$AP359=""),"",計分!$AP359-計分!AO359)</f>
        <v/>
      </c>
    </row>
    <row r="360">
      <c r="A360">
        <f>計分!A360</f>
        <v/>
      </c>
      <c r="B360">
        <f>IF(OR(計分!B360="",計分!$AP360=""),"",計分!$AP360-計分!B360)</f>
        <v/>
      </c>
      <c r="C360">
        <f>IF(OR(計分!C360="",計分!$AP360=""),"",計分!$AP360-計分!C360)</f>
        <v/>
      </c>
      <c r="D360">
        <f>IF(OR(計分!D360="",計分!$AP360=""),"",計分!$AP360-計分!D360)</f>
        <v/>
      </c>
      <c r="E360">
        <f>IF(OR(計分!E360="",計分!$AP360=""),"",計分!$AP360-計分!E360)</f>
        <v/>
      </c>
      <c r="F360">
        <f>IF(OR(計分!F360="",計分!$AP360=""),"",計分!$AP360-計分!F360)</f>
        <v/>
      </c>
      <c r="G360">
        <f>IF(OR(計分!G360="",計分!$AP360=""),"",計分!$AP360-計分!G360)</f>
        <v/>
      </c>
      <c r="H360">
        <f>IF(OR(計分!H360="",計分!$AP360=""),"",計分!$AP360-計分!H360)</f>
        <v/>
      </c>
      <c r="I360">
        <f>IF(OR(計分!I360="",計分!$AP360=""),"",計分!$AP360-計分!I360)</f>
        <v/>
      </c>
      <c r="J360">
        <f>IF(OR(計分!J360="",計分!$AP360=""),"",計分!$AP360-計分!J360)</f>
        <v/>
      </c>
      <c r="K360">
        <f>IF(OR(計分!K360="",計分!$AP360=""),"",計分!$AP360-計分!K360)</f>
        <v/>
      </c>
      <c r="L360">
        <f>IF(OR(計分!L360="",計分!$AP360=""),"",計分!$AP360-計分!L360)</f>
        <v/>
      </c>
      <c r="M360">
        <f>IF(OR(計分!M360="",計分!$AP360=""),"",計分!$AP360-計分!M360)</f>
        <v/>
      </c>
      <c r="N360">
        <f>IF(OR(計分!N360="",計分!$AP360=""),"",計分!$AP360-計分!N360)</f>
        <v/>
      </c>
      <c r="O360">
        <f>IF(OR(計分!O360="",計分!$AP360=""),"",計分!$AP360-計分!O360)</f>
        <v/>
      </c>
      <c r="P360">
        <f>IF(OR(計分!P360="",計分!$AP360=""),"",計分!$AP360-計分!P360)</f>
        <v/>
      </c>
      <c r="Q360">
        <f>IF(OR(計分!Q360="",計分!$AP360=""),"",計分!$AP360-計分!Q360)</f>
        <v/>
      </c>
      <c r="R360">
        <f>IF(OR(計分!R360="",計分!$AP360=""),"",計分!$AP360-計分!R360)</f>
        <v/>
      </c>
      <c r="S360">
        <f>IF(OR(計分!S360="",計分!$AP360=""),"",計分!$AP360-計分!S360)</f>
        <v/>
      </c>
      <c r="T360">
        <f>IF(OR(計分!T360="",計分!$AP360=""),"",計分!$AP360-計分!T360)</f>
        <v/>
      </c>
      <c r="U360">
        <f>IF(OR(計分!U360="",計分!$AP360=""),"",計分!$AP360-計分!U360)</f>
        <v/>
      </c>
      <c r="V360">
        <f>IF(OR(計分!V360="",計分!$AP360=""),"",計分!$AP360-計分!V360)</f>
        <v/>
      </c>
      <c r="W360">
        <f>IF(OR(計分!W360="",計分!$AP360=""),"",計分!$AP360-計分!W360)</f>
        <v/>
      </c>
      <c r="X360">
        <f>IF(OR(計分!X360="",計分!$AP360=""),"",計分!$AP360-計分!X360)</f>
        <v/>
      </c>
      <c r="Y360">
        <f>IF(OR(計分!Y360="",計分!$AP360=""),"",計分!$AP360-計分!Y360)</f>
        <v/>
      </c>
      <c r="Z360">
        <f>IF(OR(計分!Z360="",計分!$AP360=""),"",計分!$AP360-計分!Z360)</f>
        <v/>
      </c>
      <c r="AA360">
        <f>IF(OR(計分!AA360="",計分!$AP360=""),"",計分!$AP360-計分!AA360)</f>
        <v/>
      </c>
      <c r="AB360">
        <f>IF(OR(計分!AB360="",計分!$AP360=""),"",計分!$AP360-計分!AB360)</f>
        <v/>
      </c>
      <c r="AC360">
        <f>IF(OR(計分!AC360="",計分!$AP360=""),"",計分!$AP360-計分!AC360)</f>
        <v/>
      </c>
      <c r="AD360">
        <f>IF(OR(計分!AD360="",計分!$AP360=""),"",計分!$AP360-計分!AD360)</f>
        <v/>
      </c>
      <c r="AE360">
        <f>IF(OR(計分!AE360="",計分!$AP360=""),"",計分!$AP360-計分!AE360)</f>
        <v/>
      </c>
      <c r="AF360">
        <f>IF(OR(計分!AF360="",計分!$AP360=""),"",計分!$AP360-計分!AF360)</f>
        <v/>
      </c>
      <c r="AG360">
        <f>IF(OR(計分!AG360="",計分!$AP360=""),"",計分!$AP360-計分!AG360)</f>
        <v/>
      </c>
      <c r="AH360">
        <f>IF(OR(計分!AH360="",計分!$AP360=""),"",計分!$AP360-計分!AH360)</f>
        <v/>
      </c>
      <c r="AI360">
        <f>IF(OR(計分!AI360="",計分!$AP360=""),"",計分!$AP360-計分!AI360)</f>
        <v/>
      </c>
      <c r="AJ360">
        <f>IF(OR(計分!AJ360="",計分!$AP360=""),"",計分!$AP360-計分!AJ360)</f>
        <v/>
      </c>
      <c r="AK360">
        <f>IF(OR(計分!AK360="",計分!$AP360=""),"",計分!$AP360-計分!AK360)</f>
        <v/>
      </c>
      <c r="AL360">
        <f>IF(OR(計分!AL360="",計分!$AP360=""),"",計分!$AP360-計分!AL360)</f>
        <v/>
      </c>
      <c r="AM360">
        <f>IF(OR(計分!AM360="",計分!$AP360=""),"",計分!$AP360-計分!AM360)</f>
        <v/>
      </c>
      <c r="AN360">
        <f>IF(OR(計分!AN360="",計分!$AP360=""),"",計分!$AP360-計分!AN360)</f>
        <v/>
      </c>
      <c r="AO360">
        <f>IF(OR(計分!AO360="",計分!$AP360=""),"",計分!$AP360-計分!AO360)</f>
        <v/>
      </c>
    </row>
    <row r="361">
      <c r="A361">
        <f>計分!A361</f>
        <v/>
      </c>
      <c r="B361">
        <f>IF(OR(計分!B361="",計分!$AP361=""),"",計分!$AP361-計分!B361)</f>
        <v/>
      </c>
      <c r="C361">
        <f>IF(OR(計分!C361="",計分!$AP361=""),"",計分!$AP361-計分!C361)</f>
        <v/>
      </c>
      <c r="D361">
        <f>IF(OR(計分!D361="",計分!$AP361=""),"",計分!$AP361-計分!D361)</f>
        <v/>
      </c>
      <c r="E361">
        <f>IF(OR(計分!E361="",計分!$AP361=""),"",計分!$AP361-計分!E361)</f>
        <v/>
      </c>
      <c r="F361">
        <f>IF(OR(計分!F361="",計分!$AP361=""),"",計分!$AP361-計分!F361)</f>
        <v/>
      </c>
      <c r="G361">
        <f>IF(OR(計分!G361="",計分!$AP361=""),"",計分!$AP361-計分!G361)</f>
        <v/>
      </c>
      <c r="H361">
        <f>IF(OR(計分!H361="",計分!$AP361=""),"",計分!$AP361-計分!H361)</f>
        <v/>
      </c>
      <c r="I361">
        <f>IF(OR(計分!I361="",計分!$AP361=""),"",計分!$AP361-計分!I361)</f>
        <v/>
      </c>
      <c r="J361">
        <f>IF(OR(計分!J361="",計分!$AP361=""),"",計分!$AP361-計分!J361)</f>
        <v/>
      </c>
      <c r="K361">
        <f>IF(OR(計分!K361="",計分!$AP361=""),"",計分!$AP361-計分!K361)</f>
        <v/>
      </c>
      <c r="L361">
        <f>IF(OR(計分!L361="",計分!$AP361=""),"",計分!$AP361-計分!L361)</f>
        <v/>
      </c>
      <c r="M361">
        <f>IF(OR(計分!M361="",計分!$AP361=""),"",計分!$AP361-計分!M361)</f>
        <v/>
      </c>
      <c r="N361">
        <f>IF(OR(計分!N361="",計分!$AP361=""),"",計分!$AP361-計分!N361)</f>
        <v/>
      </c>
      <c r="O361">
        <f>IF(OR(計分!O361="",計分!$AP361=""),"",計分!$AP361-計分!O361)</f>
        <v/>
      </c>
      <c r="P361">
        <f>IF(OR(計分!P361="",計分!$AP361=""),"",計分!$AP361-計分!P361)</f>
        <v/>
      </c>
      <c r="Q361">
        <f>IF(OR(計分!Q361="",計分!$AP361=""),"",計分!$AP361-計分!Q361)</f>
        <v/>
      </c>
      <c r="R361">
        <f>IF(OR(計分!R361="",計分!$AP361=""),"",計分!$AP361-計分!R361)</f>
        <v/>
      </c>
      <c r="S361">
        <f>IF(OR(計分!S361="",計分!$AP361=""),"",計分!$AP361-計分!S361)</f>
        <v/>
      </c>
      <c r="T361">
        <f>IF(OR(計分!T361="",計分!$AP361=""),"",計分!$AP361-計分!T361)</f>
        <v/>
      </c>
      <c r="U361">
        <f>IF(OR(計分!U361="",計分!$AP361=""),"",計分!$AP361-計分!U361)</f>
        <v/>
      </c>
      <c r="V361">
        <f>IF(OR(計分!V361="",計分!$AP361=""),"",計分!$AP361-計分!V361)</f>
        <v/>
      </c>
      <c r="W361">
        <f>IF(OR(計分!W361="",計分!$AP361=""),"",計分!$AP361-計分!W361)</f>
        <v/>
      </c>
      <c r="X361">
        <f>IF(OR(計分!X361="",計分!$AP361=""),"",計分!$AP361-計分!X361)</f>
        <v/>
      </c>
      <c r="Y361">
        <f>IF(OR(計分!Y361="",計分!$AP361=""),"",計分!$AP361-計分!Y361)</f>
        <v/>
      </c>
      <c r="Z361">
        <f>IF(OR(計分!Z361="",計分!$AP361=""),"",計分!$AP361-計分!Z361)</f>
        <v/>
      </c>
      <c r="AA361">
        <f>IF(OR(計分!AA361="",計分!$AP361=""),"",計分!$AP361-計分!AA361)</f>
        <v/>
      </c>
      <c r="AB361">
        <f>IF(OR(計分!AB361="",計分!$AP361=""),"",計分!$AP361-計分!AB361)</f>
        <v/>
      </c>
      <c r="AC361">
        <f>IF(OR(計分!AC361="",計分!$AP361=""),"",計分!$AP361-計分!AC361)</f>
        <v/>
      </c>
      <c r="AD361">
        <f>IF(OR(計分!AD361="",計分!$AP361=""),"",計分!$AP361-計分!AD361)</f>
        <v/>
      </c>
      <c r="AE361">
        <f>IF(OR(計分!AE361="",計分!$AP361=""),"",計分!$AP361-計分!AE361)</f>
        <v/>
      </c>
      <c r="AF361">
        <f>IF(OR(計分!AF361="",計分!$AP361=""),"",計分!$AP361-計分!AF361)</f>
        <v/>
      </c>
      <c r="AG361">
        <f>IF(OR(計分!AG361="",計分!$AP361=""),"",計分!$AP361-計分!AG361)</f>
        <v/>
      </c>
      <c r="AH361">
        <f>IF(OR(計分!AH361="",計分!$AP361=""),"",計分!$AP361-計分!AH361)</f>
        <v/>
      </c>
      <c r="AI361">
        <f>IF(OR(計分!AI361="",計分!$AP361=""),"",計分!$AP361-計分!AI361)</f>
        <v/>
      </c>
      <c r="AJ361">
        <f>IF(OR(計分!AJ361="",計分!$AP361=""),"",計分!$AP361-計分!AJ361)</f>
        <v/>
      </c>
      <c r="AK361">
        <f>IF(OR(計分!AK361="",計分!$AP361=""),"",計分!$AP361-計分!AK361)</f>
        <v/>
      </c>
      <c r="AL361">
        <f>IF(OR(計分!AL361="",計分!$AP361=""),"",計分!$AP361-計分!AL361)</f>
        <v/>
      </c>
      <c r="AM361">
        <f>IF(OR(計分!AM361="",計分!$AP361=""),"",計分!$AP361-計分!AM361)</f>
        <v/>
      </c>
      <c r="AN361">
        <f>IF(OR(計分!AN361="",計分!$AP361=""),"",計分!$AP361-計分!AN361)</f>
        <v/>
      </c>
      <c r="AO361">
        <f>IF(OR(計分!AO361="",計分!$AP361=""),"",計分!$AP361-計分!AO361)</f>
        <v/>
      </c>
    </row>
    <row r="362">
      <c r="A362">
        <f>計分!A362</f>
        <v/>
      </c>
      <c r="B362">
        <f>IF(OR(計分!B362="",計分!$AP362=""),"",計分!$AP362-計分!B362)</f>
        <v/>
      </c>
      <c r="C362">
        <f>IF(OR(計分!C362="",計分!$AP362=""),"",計分!$AP362-計分!C362)</f>
        <v/>
      </c>
      <c r="D362">
        <f>IF(OR(計分!D362="",計分!$AP362=""),"",計分!$AP362-計分!D362)</f>
        <v/>
      </c>
      <c r="E362">
        <f>IF(OR(計分!E362="",計分!$AP362=""),"",計分!$AP362-計分!E362)</f>
        <v/>
      </c>
      <c r="F362">
        <f>IF(OR(計分!F362="",計分!$AP362=""),"",計分!$AP362-計分!F362)</f>
        <v/>
      </c>
      <c r="G362">
        <f>IF(OR(計分!G362="",計分!$AP362=""),"",計分!$AP362-計分!G362)</f>
        <v/>
      </c>
      <c r="H362">
        <f>IF(OR(計分!H362="",計分!$AP362=""),"",計分!$AP362-計分!H362)</f>
        <v/>
      </c>
      <c r="I362">
        <f>IF(OR(計分!I362="",計分!$AP362=""),"",計分!$AP362-計分!I362)</f>
        <v/>
      </c>
      <c r="J362">
        <f>IF(OR(計分!J362="",計分!$AP362=""),"",計分!$AP362-計分!J362)</f>
        <v/>
      </c>
      <c r="K362">
        <f>IF(OR(計分!K362="",計分!$AP362=""),"",計分!$AP362-計分!K362)</f>
        <v/>
      </c>
      <c r="L362">
        <f>IF(OR(計分!L362="",計分!$AP362=""),"",計分!$AP362-計分!L362)</f>
        <v/>
      </c>
      <c r="M362">
        <f>IF(OR(計分!M362="",計分!$AP362=""),"",計分!$AP362-計分!M362)</f>
        <v/>
      </c>
      <c r="N362">
        <f>IF(OR(計分!N362="",計分!$AP362=""),"",計分!$AP362-計分!N362)</f>
        <v/>
      </c>
      <c r="O362">
        <f>IF(OR(計分!O362="",計分!$AP362=""),"",計分!$AP362-計分!O362)</f>
        <v/>
      </c>
      <c r="P362">
        <f>IF(OR(計分!P362="",計分!$AP362=""),"",計分!$AP362-計分!P362)</f>
        <v/>
      </c>
      <c r="Q362">
        <f>IF(OR(計分!Q362="",計分!$AP362=""),"",計分!$AP362-計分!Q362)</f>
        <v/>
      </c>
      <c r="R362">
        <f>IF(OR(計分!R362="",計分!$AP362=""),"",計分!$AP362-計分!R362)</f>
        <v/>
      </c>
      <c r="S362">
        <f>IF(OR(計分!S362="",計分!$AP362=""),"",計分!$AP362-計分!S362)</f>
        <v/>
      </c>
      <c r="T362">
        <f>IF(OR(計分!T362="",計分!$AP362=""),"",計分!$AP362-計分!T362)</f>
        <v/>
      </c>
      <c r="U362">
        <f>IF(OR(計分!U362="",計分!$AP362=""),"",計分!$AP362-計分!U362)</f>
        <v/>
      </c>
      <c r="V362">
        <f>IF(OR(計分!V362="",計分!$AP362=""),"",計分!$AP362-計分!V362)</f>
        <v/>
      </c>
      <c r="W362">
        <f>IF(OR(計分!W362="",計分!$AP362=""),"",計分!$AP362-計分!W362)</f>
        <v/>
      </c>
      <c r="X362">
        <f>IF(OR(計分!X362="",計分!$AP362=""),"",計分!$AP362-計分!X362)</f>
        <v/>
      </c>
      <c r="Y362">
        <f>IF(OR(計分!Y362="",計分!$AP362=""),"",計分!$AP362-計分!Y362)</f>
        <v/>
      </c>
      <c r="Z362">
        <f>IF(OR(計分!Z362="",計分!$AP362=""),"",計分!$AP362-計分!Z362)</f>
        <v/>
      </c>
      <c r="AA362">
        <f>IF(OR(計分!AA362="",計分!$AP362=""),"",計分!$AP362-計分!AA362)</f>
        <v/>
      </c>
      <c r="AB362">
        <f>IF(OR(計分!AB362="",計分!$AP362=""),"",計分!$AP362-計分!AB362)</f>
        <v/>
      </c>
      <c r="AC362">
        <f>IF(OR(計分!AC362="",計分!$AP362=""),"",計分!$AP362-計分!AC362)</f>
        <v/>
      </c>
      <c r="AD362">
        <f>IF(OR(計分!AD362="",計分!$AP362=""),"",計分!$AP362-計分!AD362)</f>
        <v/>
      </c>
      <c r="AE362">
        <f>IF(OR(計分!AE362="",計分!$AP362=""),"",計分!$AP362-計分!AE362)</f>
        <v/>
      </c>
      <c r="AF362">
        <f>IF(OR(計分!AF362="",計分!$AP362=""),"",計分!$AP362-計分!AF362)</f>
        <v/>
      </c>
      <c r="AG362">
        <f>IF(OR(計分!AG362="",計分!$AP362=""),"",計分!$AP362-計分!AG362)</f>
        <v/>
      </c>
      <c r="AH362">
        <f>IF(OR(計分!AH362="",計分!$AP362=""),"",計分!$AP362-計分!AH362)</f>
        <v/>
      </c>
      <c r="AI362">
        <f>IF(OR(計分!AI362="",計分!$AP362=""),"",計分!$AP362-計分!AI362)</f>
        <v/>
      </c>
      <c r="AJ362">
        <f>IF(OR(計分!AJ362="",計分!$AP362=""),"",計分!$AP362-計分!AJ362)</f>
        <v/>
      </c>
      <c r="AK362">
        <f>IF(OR(計分!AK362="",計分!$AP362=""),"",計分!$AP362-計分!AK362)</f>
        <v/>
      </c>
      <c r="AL362">
        <f>IF(OR(計分!AL362="",計分!$AP362=""),"",計分!$AP362-計分!AL362)</f>
        <v/>
      </c>
      <c r="AM362">
        <f>IF(OR(計分!AM362="",計分!$AP362=""),"",計分!$AP362-計分!AM362)</f>
        <v/>
      </c>
      <c r="AN362">
        <f>IF(OR(計分!AN362="",計分!$AP362=""),"",計分!$AP362-計分!AN362)</f>
        <v/>
      </c>
      <c r="AO362">
        <f>IF(OR(計分!AO362="",計分!$AP362=""),"",計分!$AP362-計分!AO362)</f>
        <v/>
      </c>
    </row>
    <row r="363">
      <c r="A363">
        <f>計分!A363</f>
        <v/>
      </c>
      <c r="B363">
        <f>IF(OR(計分!B363="",計分!$AP363=""),"",計分!$AP363-計分!B363)</f>
        <v/>
      </c>
      <c r="C363">
        <f>IF(OR(計分!C363="",計分!$AP363=""),"",計分!$AP363-計分!C363)</f>
        <v/>
      </c>
      <c r="D363">
        <f>IF(OR(計分!D363="",計分!$AP363=""),"",計分!$AP363-計分!D363)</f>
        <v/>
      </c>
      <c r="E363">
        <f>IF(OR(計分!E363="",計分!$AP363=""),"",計分!$AP363-計分!E363)</f>
        <v/>
      </c>
      <c r="F363">
        <f>IF(OR(計分!F363="",計分!$AP363=""),"",計分!$AP363-計分!F363)</f>
        <v/>
      </c>
      <c r="G363">
        <f>IF(OR(計分!G363="",計分!$AP363=""),"",計分!$AP363-計分!G363)</f>
        <v/>
      </c>
      <c r="H363">
        <f>IF(OR(計分!H363="",計分!$AP363=""),"",計分!$AP363-計分!H363)</f>
        <v/>
      </c>
      <c r="I363">
        <f>IF(OR(計分!I363="",計分!$AP363=""),"",計分!$AP363-計分!I363)</f>
        <v/>
      </c>
      <c r="J363">
        <f>IF(OR(計分!J363="",計分!$AP363=""),"",計分!$AP363-計分!J363)</f>
        <v/>
      </c>
      <c r="K363">
        <f>IF(OR(計分!K363="",計分!$AP363=""),"",計分!$AP363-計分!K363)</f>
        <v/>
      </c>
      <c r="L363">
        <f>IF(OR(計分!L363="",計分!$AP363=""),"",計分!$AP363-計分!L363)</f>
        <v/>
      </c>
      <c r="M363">
        <f>IF(OR(計分!M363="",計分!$AP363=""),"",計分!$AP363-計分!M363)</f>
        <v/>
      </c>
      <c r="N363">
        <f>IF(OR(計分!N363="",計分!$AP363=""),"",計分!$AP363-計分!N363)</f>
        <v/>
      </c>
      <c r="O363">
        <f>IF(OR(計分!O363="",計分!$AP363=""),"",計分!$AP363-計分!O363)</f>
        <v/>
      </c>
      <c r="P363">
        <f>IF(OR(計分!P363="",計分!$AP363=""),"",計分!$AP363-計分!P363)</f>
        <v/>
      </c>
      <c r="Q363">
        <f>IF(OR(計分!Q363="",計分!$AP363=""),"",計分!$AP363-計分!Q363)</f>
        <v/>
      </c>
      <c r="R363">
        <f>IF(OR(計分!R363="",計分!$AP363=""),"",計分!$AP363-計分!R363)</f>
        <v/>
      </c>
      <c r="S363">
        <f>IF(OR(計分!S363="",計分!$AP363=""),"",計分!$AP363-計分!S363)</f>
        <v/>
      </c>
      <c r="T363">
        <f>IF(OR(計分!T363="",計分!$AP363=""),"",計分!$AP363-計分!T363)</f>
        <v/>
      </c>
      <c r="U363">
        <f>IF(OR(計分!U363="",計分!$AP363=""),"",計分!$AP363-計分!U363)</f>
        <v/>
      </c>
      <c r="V363">
        <f>IF(OR(計分!V363="",計分!$AP363=""),"",計分!$AP363-計分!V363)</f>
        <v/>
      </c>
      <c r="W363">
        <f>IF(OR(計分!W363="",計分!$AP363=""),"",計分!$AP363-計分!W363)</f>
        <v/>
      </c>
      <c r="X363">
        <f>IF(OR(計分!X363="",計分!$AP363=""),"",計分!$AP363-計分!X363)</f>
        <v/>
      </c>
      <c r="Y363">
        <f>IF(OR(計分!Y363="",計分!$AP363=""),"",計分!$AP363-計分!Y363)</f>
        <v/>
      </c>
      <c r="Z363">
        <f>IF(OR(計分!Z363="",計分!$AP363=""),"",計分!$AP363-計分!Z363)</f>
        <v/>
      </c>
      <c r="AA363">
        <f>IF(OR(計分!AA363="",計分!$AP363=""),"",計分!$AP363-計分!AA363)</f>
        <v/>
      </c>
      <c r="AB363">
        <f>IF(OR(計分!AB363="",計分!$AP363=""),"",計分!$AP363-計分!AB363)</f>
        <v/>
      </c>
      <c r="AC363">
        <f>IF(OR(計分!AC363="",計分!$AP363=""),"",計分!$AP363-計分!AC363)</f>
        <v/>
      </c>
      <c r="AD363">
        <f>IF(OR(計分!AD363="",計分!$AP363=""),"",計分!$AP363-計分!AD363)</f>
        <v/>
      </c>
      <c r="AE363">
        <f>IF(OR(計分!AE363="",計分!$AP363=""),"",計分!$AP363-計分!AE363)</f>
        <v/>
      </c>
      <c r="AF363">
        <f>IF(OR(計分!AF363="",計分!$AP363=""),"",計分!$AP363-計分!AF363)</f>
        <v/>
      </c>
      <c r="AG363">
        <f>IF(OR(計分!AG363="",計分!$AP363=""),"",計分!$AP363-計分!AG363)</f>
        <v/>
      </c>
      <c r="AH363">
        <f>IF(OR(計分!AH363="",計分!$AP363=""),"",計分!$AP363-計分!AH363)</f>
        <v/>
      </c>
      <c r="AI363">
        <f>IF(OR(計分!AI363="",計分!$AP363=""),"",計分!$AP363-計分!AI363)</f>
        <v/>
      </c>
      <c r="AJ363">
        <f>IF(OR(計分!AJ363="",計分!$AP363=""),"",計分!$AP363-計分!AJ363)</f>
        <v/>
      </c>
      <c r="AK363">
        <f>IF(OR(計分!AK363="",計分!$AP363=""),"",計分!$AP363-計分!AK363)</f>
        <v/>
      </c>
      <c r="AL363">
        <f>IF(OR(計分!AL363="",計分!$AP363=""),"",計分!$AP363-計分!AL363)</f>
        <v/>
      </c>
      <c r="AM363">
        <f>IF(OR(計分!AM363="",計分!$AP363=""),"",計分!$AP363-計分!AM363)</f>
        <v/>
      </c>
      <c r="AN363">
        <f>IF(OR(計分!AN363="",計分!$AP363=""),"",計分!$AP363-計分!AN363)</f>
        <v/>
      </c>
      <c r="AO363">
        <f>IF(OR(計分!AO363="",計分!$AP363=""),"",計分!$AP363-計分!AO363)</f>
        <v/>
      </c>
    </row>
    <row r="364">
      <c r="A364">
        <f>計分!A364</f>
        <v/>
      </c>
      <c r="B364">
        <f>IF(OR(計分!B364="",計分!$AP364=""),"",計分!$AP364-計分!B364)</f>
        <v/>
      </c>
      <c r="C364">
        <f>IF(OR(計分!C364="",計分!$AP364=""),"",計分!$AP364-計分!C364)</f>
        <v/>
      </c>
      <c r="D364">
        <f>IF(OR(計分!D364="",計分!$AP364=""),"",計分!$AP364-計分!D364)</f>
        <v/>
      </c>
      <c r="E364">
        <f>IF(OR(計分!E364="",計分!$AP364=""),"",計分!$AP364-計分!E364)</f>
        <v/>
      </c>
      <c r="F364">
        <f>IF(OR(計分!F364="",計分!$AP364=""),"",計分!$AP364-計分!F364)</f>
        <v/>
      </c>
      <c r="G364">
        <f>IF(OR(計分!G364="",計分!$AP364=""),"",計分!$AP364-計分!G364)</f>
        <v/>
      </c>
      <c r="H364">
        <f>IF(OR(計分!H364="",計分!$AP364=""),"",計分!$AP364-計分!H364)</f>
        <v/>
      </c>
      <c r="I364">
        <f>IF(OR(計分!I364="",計分!$AP364=""),"",計分!$AP364-計分!I364)</f>
        <v/>
      </c>
      <c r="J364">
        <f>IF(OR(計分!J364="",計分!$AP364=""),"",計分!$AP364-計分!J364)</f>
        <v/>
      </c>
      <c r="K364">
        <f>IF(OR(計分!K364="",計分!$AP364=""),"",計分!$AP364-計分!K364)</f>
        <v/>
      </c>
      <c r="L364">
        <f>IF(OR(計分!L364="",計分!$AP364=""),"",計分!$AP364-計分!L364)</f>
        <v/>
      </c>
      <c r="M364">
        <f>IF(OR(計分!M364="",計分!$AP364=""),"",計分!$AP364-計分!M364)</f>
        <v/>
      </c>
      <c r="N364">
        <f>IF(OR(計分!N364="",計分!$AP364=""),"",計分!$AP364-計分!N364)</f>
        <v/>
      </c>
      <c r="O364">
        <f>IF(OR(計分!O364="",計分!$AP364=""),"",計分!$AP364-計分!O364)</f>
        <v/>
      </c>
      <c r="P364">
        <f>IF(OR(計分!P364="",計分!$AP364=""),"",計分!$AP364-計分!P364)</f>
        <v/>
      </c>
      <c r="Q364">
        <f>IF(OR(計分!Q364="",計分!$AP364=""),"",計分!$AP364-計分!Q364)</f>
        <v/>
      </c>
      <c r="R364">
        <f>IF(OR(計分!R364="",計分!$AP364=""),"",計分!$AP364-計分!R364)</f>
        <v/>
      </c>
      <c r="S364">
        <f>IF(OR(計分!S364="",計分!$AP364=""),"",計分!$AP364-計分!S364)</f>
        <v/>
      </c>
      <c r="T364">
        <f>IF(OR(計分!T364="",計分!$AP364=""),"",計分!$AP364-計分!T364)</f>
        <v/>
      </c>
      <c r="U364">
        <f>IF(OR(計分!U364="",計分!$AP364=""),"",計分!$AP364-計分!U364)</f>
        <v/>
      </c>
      <c r="V364">
        <f>IF(OR(計分!V364="",計分!$AP364=""),"",計分!$AP364-計分!V364)</f>
        <v/>
      </c>
      <c r="W364">
        <f>IF(OR(計分!W364="",計分!$AP364=""),"",計分!$AP364-計分!W364)</f>
        <v/>
      </c>
      <c r="X364">
        <f>IF(OR(計分!X364="",計分!$AP364=""),"",計分!$AP364-計分!X364)</f>
        <v/>
      </c>
      <c r="Y364">
        <f>IF(OR(計分!Y364="",計分!$AP364=""),"",計分!$AP364-計分!Y364)</f>
        <v/>
      </c>
      <c r="Z364">
        <f>IF(OR(計分!Z364="",計分!$AP364=""),"",計分!$AP364-計分!Z364)</f>
        <v/>
      </c>
      <c r="AA364">
        <f>IF(OR(計分!AA364="",計分!$AP364=""),"",計分!$AP364-計分!AA364)</f>
        <v/>
      </c>
      <c r="AB364">
        <f>IF(OR(計分!AB364="",計分!$AP364=""),"",計分!$AP364-計分!AB364)</f>
        <v/>
      </c>
      <c r="AC364">
        <f>IF(OR(計分!AC364="",計分!$AP364=""),"",計分!$AP364-計分!AC364)</f>
        <v/>
      </c>
      <c r="AD364">
        <f>IF(OR(計分!AD364="",計分!$AP364=""),"",計分!$AP364-計分!AD364)</f>
        <v/>
      </c>
      <c r="AE364">
        <f>IF(OR(計分!AE364="",計分!$AP364=""),"",計分!$AP364-計分!AE364)</f>
        <v/>
      </c>
      <c r="AF364">
        <f>IF(OR(計分!AF364="",計分!$AP364=""),"",計分!$AP364-計分!AF364)</f>
        <v/>
      </c>
      <c r="AG364">
        <f>IF(OR(計分!AG364="",計分!$AP364=""),"",計分!$AP364-計分!AG364)</f>
        <v/>
      </c>
      <c r="AH364">
        <f>IF(OR(計分!AH364="",計分!$AP364=""),"",計分!$AP364-計分!AH364)</f>
        <v/>
      </c>
      <c r="AI364">
        <f>IF(OR(計分!AI364="",計分!$AP364=""),"",計分!$AP364-計分!AI364)</f>
        <v/>
      </c>
      <c r="AJ364">
        <f>IF(OR(計分!AJ364="",計分!$AP364=""),"",計分!$AP364-計分!AJ364)</f>
        <v/>
      </c>
      <c r="AK364">
        <f>IF(OR(計分!AK364="",計分!$AP364=""),"",計分!$AP364-計分!AK364)</f>
        <v/>
      </c>
      <c r="AL364">
        <f>IF(OR(計分!AL364="",計分!$AP364=""),"",計分!$AP364-計分!AL364)</f>
        <v/>
      </c>
      <c r="AM364">
        <f>IF(OR(計分!AM364="",計分!$AP364=""),"",計分!$AP364-計分!AM364)</f>
        <v/>
      </c>
      <c r="AN364">
        <f>IF(OR(計分!AN364="",計分!$AP364=""),"",計分!$AP364-計分!AN364)</f>
        <v/>
      </c>
      <c r="AO364">
        <f>IF(OR(計分!AO364="",計分!$AP364=""),"",計分!$AP364-計分!AO364)</f>
        <v/>
      </c>
    </row>
    <row r="365">
      <c r="A365">
        <f>計分!A365</f>
        <v/>
      </c>
      <c r="B365">
        <f>IF(OR(計分!B365="",計分!$AP365=""),"",計分!$AP365-計分!B365)</f>
        <v/>
      </c>
      <c r="C365">
        <f>IF(OR(計分!C365="",計分!$AP365=""),"",計分!$AP365-計分!C365)</f>
        <v/>
      </c>
      <c r="D365">
        <f>IF(OR(計分!D365="",計分!$AP365=""),"",計分!$AP365-計分!D365)</f>
        <v/>
      </c>
      <c r="E365">
        <f>IF(OR(計分!E365="",計分!$AP365=""),"",計分!$AP365-計分!E365)</f>
        <v/>
      </c>
      <c r="F365">
        <f>IF(OR(計分!F365="",計分!$AP365=""),"",計分!$AP365-計分!F365)</f>
        <v/>
      </c>
      <c r="G365">
        <f>IF(OR(計分!G365="",計分!$AP365=""),"",計分!$AP365-計分!G365)</f>
        <v/>
      </c>
      <c r="H365">
        <f>IF(OR(計分!H365="",計分!$AP365=""),"",計分!$AP365-計分!H365)</f>
        <v/>
      </c>
      <c r="I365">
        <f>IF(OR(計分!I365="",計分!$AP365=""),"",計分!$AP365-計分!I365)</f>
        <v/>
      </c>
      <c r="J365">
        <f>IF(OR(計分!J365="",計分!$AP365=""),"",計分!$AP365-計分!J365)</f>
        <v/>
      </c>
      <c r="K365">
        <f>IF(OR(計分!K365="",計分!$AP365=""),"",計分!$AP365-計分!K365)</f>
        <v/>
      </c>
      <c r="L365">
        <f>IF(OR(計分!L365="",計分!$AP365=""),"",計分!$AP365-計分!L365)</f>
        <v/>
      </c>
      <c r="M365">
        <f>IF(OR(計分!M365="",計分!$AP365=""),"",計分!$AP365-計分!M365)</f>
        <v/>
      </c>
      <c r="N365">
        <f>IF(OR(計分!N365="",計分!$AP365=""),"",計分!$AP365-計分!N365)</f>
        <v/>
      </c>
      <c r="O365">
        <f>IF(OR(計分!O365="",計分!$AP365=""),"",計分!$AP365-計分!O365)</f>
        <v/>
      </c>
      <c r="P365">
        <f>IF(OR(計分!P365="",計分!$AP365=""),"",計分!$AP365-計分!P365)</f>
        <v/>
      </c>
      <c r="Q365">
        <f>IF(OR(計分!Q365="",計分!$AP365=""),"",計分!$AP365-計分!Q365)</f>
        <v/>
      </c>
      <c r="R365">
        <f>IF(OR(計分!R365="",計分!$AP365=""),"",計分!$AP365-計分!R365)</f>
        <v/>
      </c>
      <c r="S365">
        <f>IF(OR(計分!S365="",計分!$AP365=""),"",計分!$AP365-計分!S365)</f>
        <v/>
      </c>
      <c r="T365">
        <f>IF(OR(計分!T365="",計分!$AP365=""),"",計分!$AP365-計分!T365)</f>
        <v/>
      </c>
      <c r="U365">
        <f>IF(OR(計分!U365="",計分!$AP365=""),"",計分!$AP365-計分!U365)</f>
        <v/>
      </c>
      <c r="V365">
        <f>IF(OR(計分!V365="",計分!$AP365=""),"",計分!$AP365-計分!V365)</f>
        <v/>
      </c>
      <c r="W365">
        <f>IF(OR(計分!W365="",計分!$AP365=""),"",計分!$AP365-計分!W365)</f>
        <v/>
      </c>
      <c r="X365">
        <f>IF(OR(計分!X365="",計分!$AP365=""),"",計分!$AP365-計分!X365)</f>
        <v/>
      </c>
      <c r="Y365">
        <f>IF(OR(計分!Y365="",計分!$AP365=""),"",計分!$AP365-計分!Y365)</f>
        <v/>
      </c>
      <c r="Z365">
        <f>IF(OR(計分!Z365="",計分!$AP365=""),"",計分!$AP365-計分!Z365)</f>
        <v/>
      </c>
      <c r="AA365">
        <f>IF(OR(計分!AA365="",計分!$AP365=""),"",計分!$AP365-計分!AA365)</f>
        <v/>
      </c>
      <c r="AB365">
        <f>IF(OR(計分!AB365="",計分!$AP365=""),"",計分!$AP365-計分!AB365)</f>
        <v/>
      </c>
      <c r="AC365">
        <f>IF(OR(計分!AC365="",計分!$AP365=""),"",計分!$AP365-計分!AC365)</f>
        <v/>
      </c>
      <c r="AD365">
        <f>IF(OR(計分!AD365="",計分!$AP365=""),"",計分!$AP365-計分!AD365)</f>
        <v/>
      </c>
      <c r="AE365">
        <f>IF(OR(計分!AE365="",計分!$AP365=""),"",計分!$AP365-計分!AE365)</f>
        <v/>
      </c>
      <c r="AF365">
        <f>IF(OR(計分!AF365="",計分!$AP365=""),"",計分!$AP365-計分!AF365)</f>
        <v/>
      </c>
      <c r="AG365">
        <f>IF(OR(計分!AG365="",計分!$AP365=""),"",計分!$AP365-計分!AG365)</f>
        <v/>
      </c>
      <c r="AH365">
        <f>IF(OR(計分!AH365="",計分!$AP365=""),"",計分!$AP365-計分!AH365)</f>
        <v/>
      </c>
      <c r="AI365">
        <f>IF(OR(計分!AI365="",計分!$AP365=""),"",計分!$AP365-計分!AI365)</f>
        <v/>
      </c>
      <c r="AJ365">
        <f>IF(OR(計分!AJ365="",計分!$AP365=""),"",計分!$AP365-計分!AJ365)</f>
        <v/>
      </c>
      <c r="AK365">
        <f>IF(OR(計分!AK365="",計分!$AP365=""),"",計分!$AP365-計分!AK365)</f>
        <v/>
      </c>
      <c r="AL365">
        <f>IF(OR(計分!AL365="",計分!$AP365=""),"",計分!$AP365-計分!AL365)</f>
        <v/>
      </c>
      <c r="AM365">
        <f>IF(OR(計分!AM365="",計分!$AP365=""),"",計分!$AP365-計分!AM365)</f>
        <v/>
      </c>
      <c r="AN365">
        <f>IF(OR(計分!AN365="",計分!$AP365=""),"",計分!$AP365-計分!AN365)</f>
        <v/>
      </c>
      <c r="AO365">
        <f>IF(OR(計分!AO365="",計分!$AP365=""),"",計分!$AP365-計分!AO365)</f>
        <v/>
      </c>
    </row>
    <row r="366">
      <c r="A366">
        <f>計分!A366</f>
        <v/>
      </c>
      <c r="B366">
        <f>IF(OR(計分!B366="",計分!$AP366=""),"",計分!$AP366-計分!B366)</f>
        <v/>
      </c>
      <c r="C366">
        <f>IF(OR(計分!C366="",計分!$AP366=""),"",計分!$AP366-計分!C366)</f>
        <v/>
      </c>
      <c r="D366">
        <f>IF(OR(計分!D366="",計分!$AP366=""),"",計分!$AP366-計分!D366)</f>
        <v/>
      </c>
      <c r="E366">
        <f>IF(OR(計分!E366="",計分!$AP366=""),"",計分!$AP366-計分!E366)</f>
        <v/>
      </c>
      <c r="F366">
        <f>IF(OR(計分!F366="",計分!$AP366=""),"",計分!$AP366-計分!F366)</f>
        <v/>
      </c>
      <c r="G366">
        <f>IF(OR(計分!G366="",計分!$AP366=""),"",計分!$AP366-計分!G366)</f>
        <v/>
      </c>
      <c r="H366">
        <f>IF(OR(計分!H366="",計分!$AP366=""),"",計分!$AP366-計分!H366)</f>
        <v/>
      </c>
      <c r="I366">
        <f>IF(OR(計分!I366="",計分!$AP366=""),"",計分!$AP366-計分!I366)</f>
        <v/>
      </c>
      <c r="J366">
        <f>IF(OR(計分!J366="",計分!$AP366=""),"",計分!$AP366-計分!J366)</f>
        <v/>
      </c>
      <c r="K366">
        <f>IF(OR(計分!K366="",計分!$AP366=""),"",計分!$AP366-計分!K366)</f>
        <v/>
      </c>
      <c r="L366">
        <f>IF(OR(計分!L366="",計分!$AP366=""),"",計分!$AP366-計分!L366)</f>
        <v/>
      </c>
      <c r="M366">
        <f>IF(OR(計分!M366="",計分!$AP366=""),"",計分!$AP366-計分!M366)</f>
        <v/>
      </c>
      <c r="N366">
        <f>IF(OR(計分!N366="",計分!$AP366=""),"",計分!$AP366-計分!N366)</f>
        <v/>
      </c>
      <c r="O366">
        <f>IF(OR(計分!O366="",計分!$AP366=""),"",計分!$AP366-計分!O366)</f>
        <v/>
      </c>
      <c r="P366">
        <f>IF(OR(計分!P366="",計分!$AP366=""),"",計分!$AP366-計分!P366)</f>
        <v/>
      </c>
      <c r="Q366">
        <f>IF(OR(計分!Q366="",計分!$AP366=""),"",計分!$AP366-計分!Q366)</f>
        <v/>
      </c>
      <c r="R366">
        <f>IF(OR(計分!R366="",計分!$AP366=""),"",計分!$AP366-計分!R366)</f>
        <v/>
      </c>
      <c r="S366">
        <f>IF(OR(計分!S366="",計分!$AP366=""),"",計分!$AP366-計分!S366)</f>
        <v/>
      </c>
      <c r="T366">
        <f>IF(OR(計分!T366="",計分!$AP366=""),"",計分!$AP366-計分!T366)</f>
        <v/>
      </c>
      <c r="U366">
        <f>IF(OR(計分!U366="",計分!$AP366=""),"",計分!$AP366-計分!U366)</f>
        <v/>
      </c>
      <c r="V366">
        <f>IF(OR(計分!V366="",計分!$AP366=""),"",計分!$AP366-計分!V366)</f>
        <v/>
      </c>
      <c r="W366">
        <f>IF(OR(計分!W366="",計分!$AP366=""),"",計分!$AP366-計分!W366)</f>
        <v/>
      </c>
      <c r="X366">
        <f>IF(OR(計分!X366="",計分!$AP366=""),"",計分!$AP366-計分!X366)</f>
        <v/>
      </c>
      <c r="Y366">
        <f>IF(OR(計分!Y366="",計分!$AP366=""),"",計分!$AP366-計分!Y366)</f>
        <v/>
      </c>
      <c r="Z366">
        <f>IF(OR(計分!Z366="",計分!$AP366=""),"",計分!$AP366-計分!Z366)</f>
        <v/>
      </c>
      <c r="AA366">
        <f>IF(OR(計分!AA366="",計分!$AP366=""),"",計分!$AP366-計分!AA366)</f>
        <v/>
      </c>
      <c r="AB366">
        <f>IF(OR(計分!AB366="",計分!$AP366=""),"",計分!$AP366-計分!AB366)</f>
        <v/>
      </c>
      <c r="AC366">
        <f>IF(OR(計分!AC366="",計分!$AP366=""),"",計分!$AP366-計分!AC366)</f>
        <v/>
      </c>
      <c r="AD366">
        <f>IF(OR(計分!AD366="",計分!$AP366=""),"",計分!$AP366-計分!AD366)</f>
        <v/>
      </c>
      <c r="AE366">
        <f>IF(OR(計分!AE366="",計分!$AP366=""),"",計分!$AP366-計分!AE366)</f>
        <v/>
      </c>
      <c r="AF366">
        <f>IF(OR(計分!AF366="",計分!$AP366=""),"",計分!$AP366-計分!AF366)</f>
        <v/>
      </c>
      <c r="AG366">
        <f>IF(OR(計分!AG366="",計分!$AP366=""),"",計分!$AP366-計分!AG366)</f>
        <v/>
      </c>
      <c r="AH366">
        <f>IF(OR(計分!AH366="",計分!$AP366=""),"",計分!$AP366-計分!AH366)</f>
        <v/>
      </c>
      <c r="AI366">
        <f>IF(OR(計分!AI366="",計分!$AP366=""),"",計分!$AP366-計分!AI366)</f>
        <v/>
      </c>
      <c r="AJ366">
        <f>IF(OR(計分!AJ366="",計分!$AP366=""),"",計分!$AP366-計分!AJ366)</f>
        <v/>
      </c>
      <c r="AK366">
        <f>IF(OR(計分!AK366="",計分!$AP366=""),"",計分!$AP366-計分!AK366)</f>
        <v/>
      </c>
      <c r="AL366">
        <f>IF(OR(計分!AL366="",計分!$AP366=""),"",計分!$AP366-計分!AL366)</f>
        <v/>
      </c>
      <c r="AM366">
        <f>IF(OR(計分!AM366="",計分!$AP366=""),"",計分!$AP366-計分!AM366)</f>
        <v/>
      </c>
      <c r="AN366">
        <f>IF(OR(計分!AN366="",計分!$AP366=""),"",計分!$AP366-計分!AN366)</f>
        <v/>
      </c>
      <c r="AO366">
        <f>IF(OR(計分!AO366="",計分!$AP366=""),"",計分!$AP366-計分!AO366)</f>
        <v/>
      </c>
    </row>
    <row r="367">
      <c r="A367">
        <f>計分!A367</f>
        <v/>
      </c>
      <c r="B367">
        <f>IF(OR(計分!B367="",計分!$AP367=""),"",計分!$AP367-計分!B367)</f>
        <v/>
      </c>
      <c r="C367">
        <f>IF(OR(計分!C367="",計分!$AP367=""),"",計分!$AP367-計分!C367)</f>
        <v/>
      </c>
      <c r="D367">
        <f>IF(OR(計分!D367="",計分!$AP367=""),"",計分!$AP367-計分!D367)</f>
        <v/>
      </c>
      <c r="E367">
        <f>IF(OR(計分!E367="",計分!$AP367=""),"",計分!$AP367-計分!E367)</f>
        <v/>
      </c>
      <c r="F367">
        <f>IF(OR(計分!F367="",計分!$AP367=""),"",計分!$AP367-計分!F367)</f>
        <v/>
      </c>
      <c r="G367">
        <f>IF(OR(計分!G367="",計分!$AP367=""),"",計分!$AP367-計分!G367)</f>
        <v/>
      </c>
      <c r="H367">
        <f>IF(OR(計分!H367="",計分!$AP367=""),"",計分!$AP367-計分!H367)</f>
        <v/>
      </c>
      <c r="I367">
        <f>IF(OR(計分!I367="",計分!$AP367=""),"",計分!$AP367-計分!I367)</f>
        <v/>
      </c>
      <c r="J367">
        <f>IF(OR(計分!J367="",計分!$AP367=""),"",計分!$AP367-計分!J367)</f>
        <v/>
      </c>
      <c r="K367">
        <f>IF(OR(計分!K367="",計分!$AP367=""),"",計分!$AP367-計分!K367)</f>
        <v/>
      </c>
      <c r="L367">
        <f>IF(OR(計分!L367="",計分!$AP367=""),"",計分!$AP367-計分!L367)</f>
        <v/>
      </c>
      <c r="M367">
        <f>IF(OR(計分!M367="",計分!$AP367=""),"",計分!$AP367-計分!M367)</f>
        <v/>
      </c>
      <c r="N367">
        <f>IF(OR(計分!N367="",計分!$AP367=""),"",計分!$AP367-計分!N367)</f>
        <v/>
      </c>
      <c r="O367">
        <f>IF(OR(計分!O367="",計分!$AP367=""),"",計分!$AP367-計分!O367)</f>
        <v/>
      </c>
      <c r="P367">
        <f>IF(OR(計分!P367="",計分!$AP367=""),"",計分!$AP367-計分!P367)</f>
        <v/>
      </c>
      <c r="Q367">
        <f>IF(OR(計分!Q367="",計分!$AP367=""),"",計分!$AP367-計分!Q367)</f>
        <v/>
      </c>
      <c r="R367">
        <f>IF(OR(計分!R367="",計分!$AP367=""),"",計分!$AP367-計分!R367)</f>
        <v/>
      </c>
      <c r="S367">
        <f>IF(OR(計分!S367="",計分!$AP367=""),"",計分!$AP367-計分!S367)</f>
        <v/>
      </c>
      <c r="T367">
        <f>IF(OR(計分!T367="",計分!$AP367=""),"",計分!$AP367-計分!T367)</f>
        <v/>
      </c>
      <c r="U367">
        <f>IF(OR(計分!U367="",計分!$AP367=""),"",計分!$AP367-計分!U367)</f>
        <v/>
      </c>
      <c r="V367">
        <f>IF(OR(計分!V367="",計分!$AP367=""),"",計分!$AP367-計分!V367)</f>
        <v/>
      </c>
      <c r="W367">
        <f>IF(OR(計分!W367="",計分!$AP367=""),"",計分!$AP367-計分!W367)</f>
        <v/>
      </c>
      <c r="X367">
        <f>IF(OR(計分!X367="",計分!$AP367=""),"",計分!$AP367-計分!X367)</f>
        <v/>
      </c>
      <c r="Y367">
        <f>IF(OR(計分!Y367="",計分!$AP367=""),"",計分!$AP367-計分!Y367)</f>
        <v/>
      </c>
      <c r="Z367">
        <f>IF(OR(計分!Z367="",計分!$AP367=""),"",計分!$AP367-計分!Z367)</f>
        <v/>
      </c>
      <c r="AA367">
        <f>IF(OR(計分!AA367="",計分!$AP367=""),"",計分!$AP367-計分!AA367)</f>
        <v/>
      </c>
      <c r="AB367">
        <f>IF(OR(計分!AB367="",計分!$AP367=""),"",計分!$AP367-計分!AB367)</f>
        <v/>
      </c>
      <c r="AC367">
        <f>IF(OR(計分!AC367="",計分!$AP367=""),"",計分!$AP367-計分!AC367)</f>
        <v/>
      </c>
      <c r="AD367">
        <f>IF(OR(計分!AD367="",計分!$AP367=""),"",計分!$AP367-計分!AD367)</f>
        <v/>
      </c>
      <c r="AE367">
        <f>IF(OR(計分!AE367="",計分!$AP367=""),"",計分!$AP367-計分!AE367)</f>
        <v/>
      </c>
      <c r="AF367">
        <f>IF(OR(計分!AF367="",計分!$AP367=""),"",計分!$AP367-計分!AF367)</f>
        <v/>
      </c>
      <c r="AG367">
        <f>IF(OR(計分!AG367="",計分!$AP367=""),"",計分!$AP367-計分!AG367)</f>
        <v/>
      </c>
      <c r="AH367">
        <f>IF(OR(計分!AH367="",計分!$AP367=""),"",計分!$AP367-計分!AH367)</f>
        <v/>
      </c>
      <c r="AI367">
        <f>IF(OR(計分!AI367="",計分!$AP367=""),"",計分!$AP367-計分!AI367)</f>
        <v/>
      </c>
      <c r="AJ367">
        <f>IF(OR(計分!AJ367="",計分!$AP367=""),"",計分!$AP367-計分!AJ367)</f>
        <v/>
      </c>
      <c r="AK367">
        <f>IF(OR(計分!AK367="",計分!$AP367=""),"",計分!$AP367-計分!AK367)</f>
        <v/>
      </c>
      <c r="AL367">
        <f>IF(OR(計分!AL367="",計分!$AP367=""),"",計分!$AP367-計分!AL367)</f>
        <v/>
      </c>
      <c r="AM367">
        <f>IF(OR(計分!AM367="",計分!$AP367=""),"",計分!$AP367-計分!AM367)</f>
        <v/>
      </c>
      <c r="AN367">
        <f>IF(OR(計分!AN367="",計分!$AP367=""),"",計分!$AP367-計分!AN367)</f>
        <v/>
      </c>
      <c r="AO367">
        <f>IF(OR(計分!AO367="",計分!$AP367=""),"",計分!$AP367-計分!AO367)</f>
        <v/>
      </c>
    </row>
    <row r="368">
      <c r="A368">
        <f>計分!A368</f>
        <v/>
      </c>
      <c r="B368">
        <f>IF(OR(計分!B368="",計分!$AP368=""),"",計分!$AP368-計分!B368)</f>
        <v/>
      </c>
      <c r="C368">
        <f>IF(OR(計分!C368="",計分!$AP368=""),"",計分!$AP368-計分!C368)</f>
        <v/>
      </c>
      <c r="D368">
        <f>IF(OR(計分!D368="",計分!$AP368=""),"",計分!$AP368-計分!D368)</f>
        <v/>
      </c>
      <c r="E368">
        <f>IF(OR(計分!E368="",計分!$AP368=""),"",計分!$AP368-計分!E368)</f>
        <v/>
      </c>
      <c r="F368">
        <f>IF(OR(計分!F368="",計分!$AP368=""),"",計分!$AP368-計分!F368)</f>
        <v/>
      </c>
      <c r="G368">
        <f>IF(OR(計分!G368="",計分!$AP368=""),"",計分!$AP368-計分!G368)</f>
        <v/>
      </c>
      <c r="H368">
        <f>IF(OR(計分!H368="",計分!$AP368=""),"",計分!$AP368-計分!H368)</f>
        <v/>
      </c>
      <c r="I368">
        <f>IF(OR(計分!I368="",計分!$AP368=""),"",計分!$AP368-計分!I368)</f>
        <v/>
      </c>
      <c r="J368">
        <f>IF(OR(計分!J368="",計分!$AP368=""),"",計分!$AP368-計分!J368)</f>
        <v/>
      </c>
      <c r="K368">
        <f>IF(OR(計分!K368="",計分!$AP368=""),"",計分!$AP368-計分!K368)</f>
        <v/>
      </c>
      <c r="L368">
        <f>IF(OR(計分!L368="",計分!$AP368=""),"",計分!$AP368-計分!L368)</f>
        <v/>
      </c>
      <c r="M368">
        <f>IF(OR(計分!M368="",計分!$AP368=""),"",計分!$AP368-計分!M368)</f>
        <v/>
      </c>
      <c r="N368">
        <f>IF(OR(計分!N368="",計分!$AP368=""),"",計分!$AP368-計分!N368)</f>
        <v/>
      </c>
      <c r="O368">
        <f>IF(OR(計分!O368="",計分!$AP368=""),"",計分!$AP368-計分!O368)</f>
        <v/>
      </c>
      <c r="P368">
        <f>IF(OR(計分!P368="",計分!$AP368=""),"",計分!$AP368-計分!P368)</f>
        <v/>
      </c>
      <c r="Q368">
        <f>IF(OR(計分!Q368="",計分!$AP368=""),"",計分!$AP368-計分!Q368)</f>
        <v/>
      </c>
      <c r="R368">
        <f>IF(OR(計分!R368="",計分!$AP368=""),"",計分!$AP368-計分!R368)</f>
        <v/>
      </c>
      <c r="S368">
        <f>IF(OR(計分!S368="",計分!$AP368=""),"",計分!$AP368-計分!S368)</f>
        <v/>
      </c>
      <c r="T368">
        <f>IF(OR(計分!T368="",計分!$AP368=""),"",計分!$AP368-計分!T368)</f>
        <v/>
      </c>
      <c r="U368">
        <f>IF(OR(計分!U368="",計分!$AP368=""),"",計分!$AP368-計分!U368)</f>
        <v/>
      </c>
      <c r="V368">
        <f>IF(OR(計分!V368="",計分!$AP368=""),"",計分!$AP368-計分!V368)</f>
        <v/>
      </c>
      <c r="W368">
        <f>IF(OR(計分!W368="",計分!$AP368=""),"",計分!$AP368-計分!W368)</f>
        <v/>
      </c>
      <c r="X368">
        <f>IF(OR(計分!X368="",計分!$AP368=""),"",計分!$AP368-計分!X368)</f>
        <v/>
      </c>
      <c r="Y368">
        <f>IF(OR(計分!Y368="",計分!$AP368=""),"",計分!$AP368-計分!Y368)</f>
        <v/>
      </c>
      <c r="Z368">
        <f>IF(OR(計分!Z368="",計分!$AP368=""),"",計分!$AP368-計分!Z368)</f>
        <v/>
      </c>
      <c r="AA368">
        <f>IF(OR(計分!AA368="",計分!$AP368=""),"",計分!$AP368-計分!AA368)</f>
        <v/>
      </c>
      <c r="AB368">
        <f>IF(OR(計分!AB368="",計分!$AP368=""),"",計分!$AP368-計分!AB368)</f>
        <v/>
      </c>
      <c r="AC368">
        <f>IF(OR(計分!AC368="",計分!$AP368=""),"",計分!$AP368-計分!AC368)</f>
        <v/>
      </c>
      <c r="AD368">
        <f>IF(OR(計分!AD368="",計分!$AP368=""),"",計分!$AP368-計分!AD368)</f>
        <v/>
      </c>
      <c r="AE368">
        <f>IF(OR(計分!AE368="",計分!$AP368=""),"",計分!$AP368-計分!AE368)</f>
        <v/>
      </c>
      <c r="AF368">
        <f>IF(OR(計分!AF368="",計分!$AP368=""),"",計分!$AP368-計分!AF368)</f>
        <v/>
      </c>
      <c r="AG368">
        <f>IF(OR(計分!AG368="",計分!$AP368=""),"",計分!$AP368-計分!AG368)</f>
        <v/>
      </c>
      <c r="AH368">
        <f>IF(OR(計分!AH368="",計分!$AP368=""),"",計分!$AP368-計分!AH368)</f>
        <v/>
      </c>
      <c r="AI368">
        <f>IF(OR(計分!AI368="",計分!$AP368=""),"",計分!$AP368-計分!AI368)</f>
        <v/>
      </c>
      <c r="AJ368">
        <f>IF(OR(計分!AJ368="",計分!$AP368=""),"",計分!$AP368-計分!AJ368)</f>
        <v/>
      </c>
      <c r="AK368">
        <f>IF(OR(計分!AK368="",計分!$AP368=""),"",計分!$AP368-計分!AK368)</f>
        <v/>
      </c>
      <c r="AL368">
        <f>IF(OR(計分!AL368="",計分!$AP368=""),"",計分!$AP368-計分!AL368)</f>
        <v/>
      </c>
      <c r="AM368">
        <f>IF(OR(計分!AM368="",計分!$AP368=""),"",計分!$AP368-計分!AM368)</f>
        <v/>
      </c>
      <c r="AN368">
        <f>IF(OR(計分!AN368="",計分!$AP368=""),"",計分!$AP368-計分!AN368)</f>
        <v/>
      </c>
      <c r="AO368">
        <f>IF(OR(計分!AO368="",計分!$AP368=""),"",計分!$AP368-計分!AO368)</f>
        <v/>
      </c>
    </row>
    <row r="369">
      <c r="A369">
        <f>計分!A369</f>
        <v/>
      </c>
      <c r="B369">
        <f>IF(OR(計分!B369="",計分!$AP369=""),"",計分!$AP369-計分!B369)</f>
        <v/>
      </c>
      <c r="C369">
        <f>IF(OR(計分!C369="",計分!$AP369=""),"",計分!$AP369-計分!C369)</f>
        <v/>
      </c>
      <c r="D369">
        <f>IF(OR(計分!D369="",計分!$AP369=""),"",計分!$AP369-計分!D369)</f>
        <v/>
      </c>
      <c r="E369">
        <f>IF(OR(計分!E369="",計分!$AP369=""),"",計分!$AP369-計分!E369)</f>
        <v/>
      </c>
      <c r="F369">
        <f>IF(OR(計分!F369="",計分!$AP369=""),"",計分!$AP369-計分!F369)</f>
        <v/>
      </c>
      <c r="G369">
        <f>IF(OR(計分!G369="",計分!$AP369=""),"",計分!$AP369-計分!G369)</f>
        <v/>
      </c>
      <c r="H369">
        <f>IF(OR(計分!H369="",計分!$AP369=""),"",計分!$AP369-計分!H369)</f>
        <v/>
      </c>
      <c r="I369">
        <f>IF(OR(計分!I369="",計分!$AP369=""),"",計分!$AP369-計分!I369)</f>
        <v/>
      </c>
      <c r="J369">
        <f>IF(OR(計分!J369="",計分!$AP369=""),"",計分!$AP369-計分!J369)</f>
        <v/>
      </c>
      <c r="K369">
        <f>IF(OR(計分!K369="",計分!$AP369=""),"",計分!$AP369-計分!K369)</f>
        <v/>
      </c>
      <c r="L369">
        <f>IF(OR(計分!L369="",計分!$AP369=""),"",計分!$AP369-計分!L369)</f>
        <v/>
      </c>
      <c r="M369">
        <f>IF(OR(計分!M369="",計分!$AP369=""),"",計分!$AP369-計分!M369)</f>
        <v/>
      </c>
      <c r="N369">
        <f>IF(OR(計分!N369="",計分!$AP369=""),"",計分!$AP369-計分!N369)</f>
        <v/>
      </c>
      <c r="O369">
        <f>IF(OR(計分!O369="",計分!$AP369=""),"",計分!$AP369-計分!O369)</f>
        <v/>
      </c>
      <c r="P369">
        <f>IF(OR(計分!P369="",計分!$AP369=""),"",計分!$AP369-計分!P369)</f>
        <v/>
      </c>
      <c r="Q369">
        <f>IF(OR(計分!Q369="",計分!$AP369=""),"",計分!$AP369-計分!Q369)</f>
        <v/>
      </c>
      <c r="R369">
        <f>IF(OR(計分!R369="",計分!$AP369=""),"",計分!$AP369-計分!R369)</f>
        <v/>
      </c>
      <c r="S369">
        <f>IF(OR(計分!S369="",計分!$AP369=""),"",計分!$AP369-計分!S369)</f>
        <v/>
      </c>
      <c r="T369">
        <f>IF(OR(計分!T369="",計分!$AP369=""),"",計分!$AP369-計分!T369)</f>
        <v/>
      </c>
      <c r="U369">
        <f>IF(OR(計分!U369="",計分!$AP369=""),"",計分!$AP369-計分!U369)</f>
        <v/>
      </c>
      <c r="V369">
        <f>IF(OR(計分!V369="",計分!$AP369=""),"",計分!$AP369-計分!V369)</f>
        <v/>
      </c>
      <c r="W369">
        <f>IF(OR(計分!W369="",計分!$AP369=""),"",計分!$AP369-計分!W369)</f>
        <v/>
      </c>
      <c r="X369">
        <f>IF(OR(計分!X369="",計分!$AP369=""),"",計分!$AP369-計分!X369)</f>
        <v/>
      </c>
      <c r="Y369">
        <f>IF(OR(計分!Y369="",計分!$AP369=""),"",計分!$AP369-計分!Y369)</f>
        <v/>
      </c>
      <c r="Z369">
        <f>IF(OR(計分!Z369="",計分!$AP369=""),"",計分!$AP369-計分!Z369)</f>
        <v/>
      </c>
      <c r="AA369">
        <f>IF(OR(計分!AA369="",計分!$AP369=""),"",計分!$AP369-計分!AA369)</f>
        <v/>
      </c>
      <c r="AB369">
        <f>IF(OR(計分!AB369="",計分!$AP369=""),"",計分!$AP369-計分!AB369)</f>
        <v/>
      </c>
      <c r="AC369">
        <f>IF(OR(計分!AC369="",計分!$AP369=""),"",計分!$AP369-計分!AC369)</f>
        <v/>
      </c>
      <c r="AD369">
        <f>IF(OR(計分!AD369="",計分!$AP369=""),"",計分!$AP369-計分!AD369)</f>
        <v/>
      </c>
      <c r="AE369">
        <f>IF(OR(計分!AE369="",計分!$AP369=""),"",計分!$AP369-計分!AE369)</f>
        <v/>
      </c>
      <c r="AF369">
        <f>IF(OR(計分!AF369="",計分!$AP369=""),"",計分!$AP369-計分!AF369)</f>
        <v/>
      </c>
      <c r="AG369">
        <f>IF(OR(計分!AG369="",計分!$AP369=""),"",計分!$AP369-計分!AG369)</f>
        <v/>
      </c>
      <c r="AH369">
        <f>IF(OR(計分!AH369="",計分!$AP369=""),"",計分!$AP369-計分!AH369)</f>
        <v/>
      </c>
      <c r="AI369">
        <f>IF(OR(計分!AI369="",計分!$AP369=""),"",計分!$AP369-計分!AI369)</f>
        <v/>
      </c>
      <c r="AJ369">
        <f>IF(OR(計分!AJ369="",計分!$AP369=""),"",計分!$AP369-計分!AJ369)</f>
        <v/>
      </c>
      <c r="AK369">
        <f>IF(OR(計分!AK369="",計分!$AP369=""),"",計分!$AP369-計分!AK369)</f>
        <v/>
      </c>
      <c r="AL369">
        <f>IF(OR(計分!AL369="",計分!$AP369=""),"",計分!$AP369-計分!AL369)</f>
        <v/>
      </c>
      <c r="AM369">
        <f>IF(OR(計分!AM369="",計分!$AP369=""),"",計分!$AP369-計分!AM369)</f>
        <v/>
      </c>
      <c r="AN369">
        <f>IF(OR(計分!AN369="",計分!$AP369=""),"",計分!$AP369-計分!AN369)</f>
        <v/>
      </c>
      <c r="AO369">
        <f>IF(OR(計分!AO369="",計分!$AP369=""),"",計分!$AP369-計分!AO369)</f>
        <v/>
      </c>
    </row>
    <row r="370">
      <c r="A370">
        <f>計分!A370</f>
        <v/>
      </c>
      <c r="B370">
        <f>IF(OR(計分!B370="",計分!$AP370=""),"",計分!$AP370-計分!B370)</f>
        <v/>
      </c>
      <c r="C370">
        <f>IF(OR(計分!C370="",計分!$AP370=""),"",計分!$AP370-計分!C370)</f>
        <v/>
      </c>
      <c r="D370">
        <f>IF(OR(計分!D370="",計分!$AP370=""),"",計分!$AP370-計分!D370)</f>
        <v/>
      </c>
      <c r="E370">
        <f>IF(OR(計分!E370="",計分!$AP370=""),"",計分!$AP370-計分!E370)</f>
        <v/>
      </c>
      <c r="F370">
        <f>IF(OR(計分!F370="",計分!$AP370=""),"",計分!$AP370-計分!F370)</f>
        <v/>
      </c>
      <c r="G370">
        <f>IF(OR(計分!G370="",計分!$AP370=""),"",計分!$AP370-計分!G370)</f>
        <v/>
      </c>
      <c r="H370">
        <f>IF(OR(計分!H370="",計分!$AP370=""),"",計分!$AP370-計分!H370)</f>
        <v/>
      </c>
      <c r="I370">
        <f>IF(OR(計分!I370="",計分!$AP370=""),"",計分!$AP370-計分!I370)</f>
        <v/>
      </c>
      <c r="J370">
        <f>IF(OR(計分!J370="",計分!$AP370=""),"",計分!$AP370-計分!J370)</f>
        <v/>
      </c>
      <c r="K370">
        <f>IF(OR(計分!K370="",計分!$AP370=""),"",計分!$AP370-計分!K370)</f>
        <v/>
      </c>
      <c r="L370">
        <f>IF(OR(計分!L370="",計分!$AP370=""),"",計分!$AP370-計分!L370)</f>
        <v/>
      </c>
      <c r="M370">
        <f>IF(OR(計分!M370="",計分!$AP370=""),"",計分!$AP370-計分!M370)</f>
        <v/>
      </c>
      <c r="N370">
        <f>IF(OR(計分!N370="",計分!$AP370=""),"",計分!$AP370-計分!N370)</f>
        <v/>
      </c>
      <c r="O370">
        <f>IF(OR(計分!O370="",計分!$AP370=""),"",計分!$AP370-計分!O370)</f>
        <v/>
      </c>
      <c r="P370">
        <f>IF(OR(計分!P370="",計分!$AP370=""),"",計分!$AP370-計分!P370)</f>
        <v/>
      </c>
      <c r="Q370">
        <f>IF(OR(計分!Q370="",計分!$AP370=""),"",計分!$AP370-計分!Q370)</f>
        <v/>
      </c>
      <c r="R370">
        <f>IF(OR(計分!R370="",計分!$AP370=""),"",計分!$AP370-計分!R370)</f>
        <v/>
      </c>
      <c r="S370">
        <f>IF(OR(計分!S370="",計分!$AP370=""),"",計分!$AP370-計分!S370)</f>
        <v/>
      </c>
      <c r="T370">
        <f>IF(OR(計分!T370="",計分!$AP370=""),"",計分!$AP370-計分!T370)</f>
        <v/>
      </c>
      <c r="U370">
        <f>IF(OR(計分!U370="",計分!$AP370=""),"",計分!$AP370-計分!U370)</f>
        <v/>
      </c>
      <c r="V370">
        <f>IF(OR(計分!V370="",計分!$AP370=""),"",計分!$AP370-計分!V370)</f>
        <v/>
      </c>
      <c r="W370">
        <f>IF(OR(計分!W370="",計分!$AP370=""),"",計分!$AP370-計分!W370)</f>
        <v/>
      </c>
      <c r="X370">
        <f>IF(OR(計分!X370="",計分!$AP370=""),"",計分!$AP370-計分!X370)</f>
        <v/>
      </c>
      <c r="Y370">
        <f>IF(OR(計分!Y370="",計分!$AP370=""),"",計分!$AP370-計分!Y370)</f>
        <v/>
      </c>
      <c r="Z370">
        <f>IF(OR(計分!Z370="",計分!$AP370=""),"",計分!$AP370-計分!Z370)</f>
        <v/>
      </c>
      <c r="AA370">
        <f>IF(OR(計分!AA370="",計分!$AP370=""),"",計分!$AP370-計分!AA370)</f>
        <v/>
      </c>
      <c r="AB370">
        <f>IF(OR(計分!AB370="",計分!$AP370=""),"",計分!$AP370-計分!AB370)</f>
        <v/>
      </c>
      <c r="AC370">
        <f>IF(OR(計分!AC370="",計分!$AP370=""),"",計分!$AP370-計分!AC370)</f>
        <v/>
      </c>
      <c r="AD370">
        <f>IF(OR(計分!AD370="",計分!$AP370=""),"",計分!$AP370-計分!AD370)</f>
        <v/>
      </c>
      <c r="AE370">
        <f>IF(OR(計分!AE370="",計分!$AP370=""),"",計分!$AP370-計分!AE370)</f>
        <v/>
      </c>
      <c r="AF370">
        <f>IF(OR(計分!AF370="",計分!$AP370=""),"",計分!$AP370-計分!AF370)</f>
        <v/>
      </c>
      <c r="AG370">
        <f>IF(OR(計分!AG370="",計分!$AP370=""),"",計分!$AP370-計分!AG370)</f>
        <v/>
      </c>
      <c r="AH370">
        <f>IF(OR(計分!AH370="",計分!$AP370=""),"",計分!$AP370-計分!AH370)</f>
        <v/>
      </c>
      <c r="AI370">
        <f>IF(OR(計分!AI370="",計分!$AP370=""),"",計分!$AP370-計分!AI370)</f>
        <v/>
      </c>
      <c r="AJ370">
        <f>IF(OR(計分!AJ370="",計分!$AP370=""),"",計分!$AP370-計分!AJ370)</f>
        <v/>
      </c>
      <c r="AK370">
        <f>IF(OR(計分!AK370="",計分!$AP370=""),"",計分!$AP370-計分!AK370)</f>
        <v/>
      </c>
      <c r="AL370">
        <f>IF(OR(計分!AL370="",計分!$AP370=""),"",計分!$AP370-計分!AL370)</f>
        <v/>
      </c>
      <c r="AM370">
        <f>IF(OR(計分!AM370="",計分!$AP370=""),"",計分!$AP370-計分!AM370)</f>
        <v/>
      </c>
      <c r="AN370">
        <f>IF(OR(計分!AN370="",計分!$AP370=""),"",計分!$AP370-計分!AN370)</f>
        <v/>
      </c>
      <c r="AO370">
        <f>IF(OR(計分!AO370="",計分!$AP370=""),"",計分!$AP370-計分!AO370)</f>
        <v/>
      </c>
    </row>
    <row r="371">
      <c r="A371">
        <f>計分!A371</f>
        <v/>
      </c>
      <c r="B371">
        <f>IF(OR(計分!B371="",計分!$AP371=""),"",計分!$AP371-計分!B371)</f>
        <v/>
      </c>
      <c r="C371">
        <f>IF(OR(計分!C371="",計分!$AP371=""),"",計分!$AP371-計分!C371)</f>
        <v/>
      </c>
      <c r="D371">
        <f>IF(OR(計分!D371="",計分!$AP371=""),"",計分!$AP371-計分!D371)</f>
        <v/>
      </c>
      <c r="E371">
        <f>IF(OR(計分!E371="",計分!$AP371=""),"",計分!$AP371-計分!E371)</f>
        <v/>
      </c>
      <c r="F371">
        <f>IF(OR(計分!F371="",計分!$AP371=""),"",計分!$AP371-計分!F371)</f>
        <v/>
      </c>
      <c r="G371">
        <f>IF(OR(計分!G371="",計分!$AP371=""),"",計分!$AP371-計分!G371)</f>
        <v/>
      </c>
      <c r="H371">
        <f>IF(OR(計分!H371="",計分!$AP371=""),"",計分!$AP371-計分!H371)</f>
        <v/>
      </c>
      <c r="I371">
        <f>IF(OR(計分!I371="",計分!$AP371=""),"",計分!$AP371-計分!I371)</f>
        <v/>
      </c>
      <c r="J371">
        <f>IF(OR(計分!J371="",計分!$AP371=""),"",計分!$AP371-計分!J371)</f>
        <v/>
      </c>
      <c r="K371">
        <f>IF(OR(計分!K371="",計分!$AP371=""),"",計分!$AP371-計分!K371)</f>
        <v/>
      </c>
      <c r="L371">
        <f>IF(OR(計分!L371="",計分!$AP371=""),"",計分!$AP371-計分!L371)</f>
        <v/>
      </c>
      <c r="M371">
        <f>IF(OR(計分!M371="",計分!$AP371=""),"",計分!$AP371-計分!M371)</f>
        <v/>
      </c>
      <c r="N371">
        <f>IF(OR(計分!N371="",計分!$AP371=""),"",計分!$AP371-計分!N371)</f>
        <v/>
      </c>
      <c r="O371">
        <f>IF(OR(計分!O371="",計分!$AP371=""),"",計分!$AP371-計分!O371)</f>
        <v/>
      </c>
      <c r="P371">
        <f>IF(OR(計分!P371="",計分!$AP371=""),"",計分!$AP371-計分!P371)</f>
        <v/>
      </c>
      <c r="Q371">
        <f>IF(OR(計分!Q371="",計分!$AP371=""),"",計分!$AP371-計分!Q371)</f>
        <v/>
      </c>
      <c r="R371">
        <f>IF(OR(計分!R371="",計分!$AP371=""),"",計分!$AP371-計分!R371)</f>
        <v/>
      </c>
      <c r="S371">
        <f>IF(OR(計分!S371="",計分!$AP371=""),"",計分!$AP371-計分!S371)</f>
        <v/>
      </c>
      <c r="T371">
        <f>IF(OR(計分!T371="",計分!$AP371=""),"",計分!$AP371-計分!T371)</f>
        <v/>
      </c>
      <c r="U371">
        <f>IF(OR(計分!U371="",計分!$AP371=""),"",計分!$AP371-計分!U371)</f>
        <v/>
      </c>
      <c r="V371">
        <f>IF(OR(計分!V371="",計分!$AP371=""),"",計分!$AP371-計分!V371)</f>
        <v/>
      </c>
      <c r="W371">
        <f>IF(OR(計分!W371="",計分!$AP371=""),"",計分!$AP371-計分!W371)</f>
        <v/>
      </c>
      <c r="X371">
        <f>IF(OR(計分!X371="",計分!$AP371=""),"",計分!$AP371-計分!X371)</f>
        <v/>
      </c>
      <c r="Y371">
        <f>IF(OR(計分!Y371="",計分!$AP371=""),"",計分!$AP371-計分!Y371)</f>
        <v/>
      </c>
      <c r="Z371">
        <f>IF(OR(計分!Z371="",計分!$AP371=""),"",計分!$AP371-計分!Z371)</f>
        <v/>
      </c>
      <c r="AA371">
        <f>IF(OR(計分!AA371="",計分!$AP371=""),"",計分!$AP371-計分!AA371)</f>
        <v/>
      </c>
      <c r="AB371">
        <f>IF(OR(計分!AB371="",計分!$AP371=""),"",計分!$AP371-計分!AB371)</f>
        <v/>
      </c>
      <c r="AC371">
        <f>IF(OR(計分!AC371="",計分!$AP371=""),"",計分!$AP371-計分!AC371)</f>
        <v/>
      </c>
      <c r="AD371">
        <f>IF(OR(計分!AD371="",計分!$AP371=""),"",計分!$AP371-計分!AD371)</f>
        <v/>
      </c>
      <c r="AE371">
        <f>IF(OR(計分!AE371="",計分!$AP371=""),"",計分!$AP371-計分!AE371)</f>
        <v/>
      </c>
      <c r="AF371">
        <f>IF(OR(計分!AF371="",計分!$AP371=""),"",計分!$AP371-計分!AF371)</f>
        <v/>
      </c>
      <c r="AG371">
        <f>IF(OR(計分!AG371="",計分!$AP371=""),"",計分!$AP371-計分!AG371)</f>
        <v/>
      </c>
      <c r="AH371">
        <f>IF(OR(計分!AH371="",計分!$AP371=""),"",計分!$AP371-計分!AH371)</f>
        <v/>
      </c>
      <c r="AI371">
        <f>IF(OR(計分!AI371="",計分!$AP371=""),"",計分!$AP371-計分!AI371)</f>
        <v/>
      </c>
      <c r="AJ371">
        <f>IF(OR(計分!AJ371="",計分!$AP371=""),"",計分!$AP371-計分!AJ371)</f>
        <v/>
      </c>
      <c r="AK371">
        <f>IF(OR(計分!AK371="",計分!$AP371=""),"",計分!$AP371-計分!AK371)</f>
        <v/>
      </c>
      <c r="AL371">
        <f>IF(OR(計分!AL371="",計分!$AP371=""),"",計分!$AP371-計分!AL371)</f>
        <v/>
      </c>
      <c r="AM371">
        <f>IF(OR(計分!AM371="",計分!$AP371=""),"",計分!$AP371-計分!AM371)</f>
        <v/>
      </c>
      <c r="AN371">
        <f>IF(OR(計分!AN371="",計分!$AP371=""),"",計分!$AP371-計分!AN371)</f>
        <v/>
      </c>
      <c r="AO371">
        <f>IF(OR(計分!AO371="",計分!$AP371=""),"",計分!$AP371-計分!AO371)</f>
        <v/>
      </c>
    </row>
    <row r="372">
      <c r="A372">
        <f>計分!A372</f>
        <v/>
      </c>
      <c r="B372">
        <f>IF(OR(計分!B372="",計分!$AP372=""),"",計分!$AP372-計分!B372)</f>
        <v/>
      </c>
      <c r="C372">
        <f>IF(OR(計分!C372="",計分!$AP372=""),"",計分!$AP372-計分!C372)</f>
        <v/>
      </c>
      <c r="D372">
        <f>IF(OR(計分!D372="",計分!$AP372=""),"",計分!$AP372-計分!D372)</f>
        <v/>
      </c>
      <c r="E372">
        <f>IF(OR(計分!E372="",計分!$AP372=""),"",計分!$AP372-計分!E372)</f>
        <v/>
      </c>
      <c r="F372">
        <f>IF(OR(計分!F372="",計分!$AP372=""),"",計分!$AP372-計分!F372)</f>
        <v/>
      </c>
      <c r="G372">
        <f>IF(OR(計分!G372="",計分!$AP372=""),"",計分!$AP372-計分!G372)</f>
        <v/>
      </c>
      <c r="H372">
        <f>IF(OR(計分!H372="",計分!$AP372=""),"",計分!$AP372-計分!H372)</f>
        <v/>
      </c>
      <c r="I372">
        <f>IF(OR(計分!I372="",計分!$AP372=""),"",計分!$AP372-計分!I372)</f>
        <v/>
      </c>
      <c r="J372">
        <f>IF(OR(計分!J372="",計分!$AP372=""),"",計分!$AP372-計分!J372)</f>
        <v/>
      </c>
      <c r="K372">
        <f>IF(OR(計分!K372="",計分!$AP372=""),"",計分!$AP372-計分!K372)</f>
        <v/>
      </c>
      <c r="L372">
        <f>IF(OR(計分!L372="",計分!$AP372=""),"",計分!$AP372-計分!L372)</f>
        <v/>
      </c>
      <c r="M372">
        <f>IF(OR(計分!M372="",計分!$AP372=""),"",計分!$AP372-計分!M372)</f>
        <v/>
      </c>
      <c r="N372">
        <f>IF(OR(計分!N372="",計分!$AP372=""),"",計分!$AP372-計分!N372)</f>
        <v/>
      </c>
      <c r="O372">
        <f>IF(OR(計分!O372="",計分!$AP372=""),"",計分!$AP372-計分!O372)</f>
        <v/>
      </c>
      <c r="P372">
        <f>IF(OR(計分!P372="",計分!$AP372=""),"",計分!$AP372-計分!P372)</f>
        <v/>
      </c>
      <c r="Q372">
        <f>IF(OR(計分!Q372="",計分!$AP372=""),"",計分!$AP372-計分!Q372)</f>
        <v/>
      </c>
      <c r="R372">
        <f>IF(OR(計分!R372="",計分!$AP372=""),"",計分!$AP372-計分!R372)</f>
        <v/>
      </c>
      <c r="S372">
        <f>IF(OR(計分!S372="",計分!$AP372=""),"",計分!$AP372-計分!S372)</f>
        <v/>
      </c>
      <c r="T372">
        <f>IF(OR(計分!T372="",計分!$AP372=""),"",計分!$AP372-計分!T372)</f>
        <v/>
      </c>
      <c r="U372">
        <f>IF(OR(計分!U372="",計分!$AP372=""),"",計分!$AP372-計分!U372)</f>
        <v/>
      </c>
      <c r="V372">
        <f>IF(OR(計分!V372="",計分!$AP372=""),"",計分!$AP372-計分!V372)</f>
        <v/>
      </c>
      <c r="W372">
        <f>IF(OR(計分!W372="",計分!$AP372=""),"",計分!$AP372-計分!W372)</f>
        <v/>
      </c>
      <c r="X372">
        <f>IF(OR(計分!X372="",計分!$AP372=""),"",計分!$AP372-計分!X372)</f>
        <v/>
      </c>
      <c r="Y372">
        <f>IF(OR(計分!Y372="",計分!$AP372=""),"",計分!$AP372-計分!Y372)</f>
        <v/>
      </c>
      <c r="Z372">
        <f>IF(OR(計分!Z372="",計分!$AP372=""),"",計分!$AP372-計分!Z372)</f>
        <v/>
      </c>
      <c r="AA372">
        <f>IF(OR(計分!AA372="",計分!$AP372=""),"",計分!$AP372-計分!AA372)</f>
        <v/>
      </c>
      <c r="AB372">
        <f>IF(OR(計分!AB372="",計分!$AP372=""),"",計分!$AP372-計分!AB372)</f>
        <v/>
      </c>
      <c r="AC372">
        <f>IF(OR(計分!AC372="",計分!$AP372=""),"",計分!$AP372-計分!AC372)</f>
        <v/>
      </c>
      <c r="AD372">
        <f>IF(OR(計分!AD372="",計分!$AP372=""),"",計分!$AP372-計分!AD372)</f>
        <v/>
      </c>
      <c r="AE372">
        <f>IF(OR(計分!AE372="",計分!$AP372=""),"",計分!$AP372-計分!AE372)</f>
        <v/>
      </c>
      <c r="AF372">
        <f>IF(OR(計分!AF372="",計分!$AP372=""),"",計分!$AP372-計分!AF372)</f>
        <v/>
      </c>
      <c r="AG372">
        <f>IF(OR(計分!AG372="",計分!$AP372=""),"",計分!$AP372-計分!AG372)</f>
        <v/>
      </c>
      <c r="AH372">
        <f>IF(OR(計分!AH372="",計分!$AP372=""),"",計分!$AP372-計分!AH372)</f>
        <v/>
      </c>
      <c r="AI372">
        <f>IF(OR(計分!AI372="",計分!$AP372=""),"",計分!$AP372-計分!AI372)</f>
        <v/>
      </c>
      <c r="AJ372">
        <f>IF(OR(計分!AJ372="",計分!$AP372=""),"",計分!$AP372-計分!AJ372)</f>
        <v/>
      </c>
      <c r="AK372">
        <f>IF(OR(計分!AK372="",計分!$AP372=""),"",計分!$AP372-計分!AK372)</f>
        <v/>
      </c>
      <c r="AL372">
        <f>IF(OR(計分!AL372="",計分!$AP372=""),"",計分!$AP372-計分!AL372)</f>
        <v/>
      </c>
      <c r="AM372">
        <f>IF(OR(計分!AM372="",計分!$AP372=""),"",計分!$AP372-計分!AM372)</f>
        <v/>
      </c>
      <c r="AN372">
        <f>IF(OR(計分!AN372="",計分!$AP372=""),"",計分!$AP372-計分!AN372)</f>
        <v/>
      </c>
      <c r="AO372">
        <f>IF(OR(計分!AO372="",計分!$AP372=""),"",計分!$AP372-計分!AO372)</f>
        <v/>
      </c>
    </row>
    <row r="373">
      <c r="A373">
        <f>計分!A373</f>
        <v/>
      </c>
      <c r="B373">
        <f>IF(OR(計分!B373="",計分!$AP373=""),"",計分!$AP373-計分!B373)</f>
        <v/>
      </c>
      <c r="C373">
        <f>IF(OR(計分!C373="",計分!$AP373=""),"",計分!$AP373-計分!C373)</f>
        <v/>
      </c>
      <c r="D373">
        <f>IF(OR(計分!D373="",計分!$AP373=""),"",計分!$AP373-計分!D373)</f>
        <v/>
      </c>
      <c r="E373">
        <f>IF(OR(計分!E373="",計分!$AP373=""),"",計分!$AP373-計分!E373)</f>
        <v/>
      </c>
      <c r="F373">
        <f>IF(OR(計分!F373="",計分!$AP373=""),"",計分!$AP373-計分!F373)</f>
        <v/>
      </c>
      <c r="G373">
        <f>IF(OR(計分!G373="",計分!$AP373=""),"",計分!$AP373-計分!G373)</f>
        <v/>
      </c>
      <c r="H373">
        <f>IF(OR(計分!H373="",計分!$AP373=""),"",計分!$AP373-計分!H373)</f>
        <v/>
      </c>
      <c r="I373">
        <f>IF(OR(計分!I373="",計分!$AP373=""),"",計分!$AP373-計分!I373)</f>
        <v/>
      </c>
      <c r="J373">
        <f>IF(OR(計分!J373="",計分!$AP373=""),"",計分!$AP373-計分!J373)</f>
        <v/>
      </c>
      <c r="K373">
        <f>IF(OR(計分!K373="",計分!$AP373=""),"",計分!$AP373-計分!K373)</f>
        <v/>
      </c>
      <c r="L373">
        <f>IF(OR(計分!L373="",計分!$AP373=""),"",計分!$AP373-計分!L373)</f>
        <v/>
      </c>
      <c r="M373">
        <f>IF(OR(計分!M373="",計分!$AP373=""),"",計分!$AP373-計分!M373)</f>
        <v/>
      </c>
      <c r="N373">
        <f>IF(OR(計分!N373="",計分!$AP373=""),"",計分!$AP373-計分!N373)</f>
        <v/>
      </c>
      <c r="O373">
        <f>IF(OR(計分!O373="",計分!$AP373=""),"",計分!$AP373-計分!O373)</f>
        <v/>
      </c>
      <c r="P373">
        <f>IF(OR(計分!P373="",計分!$AP373=""),"",計分!$AP373-計分!P373)</f>
        <v/>
      </c>
      <c r="Q373">
        <f>IF(OR(計分!Q373="",計分!$AP373=""),"",計分!$AP373-計分!Q373)</f>
        <v/>
      </c>
      <c r="R373">
        <f>IF(OR(計分!R373="",計分!$AP373=""),"",計分!$AP373-計分!R373)</f>
        <v/>
      </c>
      <c r="S373">
        <f>IF(OR(計分!S373="",計分!$AP373=""),"",計分!$AP373-計分!S373)</f>
        <v/>
      </c>
      <c r="T373">
        <f>IF(OR(計分!T373="",計分!$AP373=""),"",計分!$AP373-計分!T373)</f>
        <v/>
      </c>
      <c r="U373">
        <f>IF(OR(計分!U373="",計分!$AP373=""),"",計分!$AP373-計分!U373)</f>
        <v/>
      </c>
      <c r="V373">
        <f>IF(OR(計分!V373="",計分!$AP373=""),"",計分!$AP373-計分!V373)</f>
        <v/>
      </c>
      <c r="W373">
        <f>IF(OR(計分!W373="",計分!$AP373=""),"",計分!$AP373-計分!W373)</f>
        <v/>
      </c>
      <c r="X373">
        <f>IF(OR(計分!X373="",計分!$AP373=""),"",計分!$AP373-計分!X373)</f>
        <v/>
      </c>
      <c r="Y373">
        <f>IF(OR(計分!Y373="",計分!$AP373=""),"",計分!$AP373-計分!Y373)</f>
        <v/>
      </c>
      <c r="Z373">
        <f>IF(OR(計分!Z373="",計分!$AP373=""),"",計分!$AP373-計分!Z373)</f>
        <v/>
      </c>
      <c r="AA373">
        <f>IF(OR(計分!AA373="",計分!$AP373=""),"",計分!$AP373-計分!AA373)</f>
        <v/>
      </c>
      <c r="AB373">
        <f>IF(OR(計分!AB373="",計分!$AP373=""),"",計分!$AP373-計分!AB373)</f>
        <v/>
      </c>
      <c r="AC373">
        <f>IF(OR(計分!AC373="",計分!$AP373=""),"",計分!$AP373-計分!AC373)</f>
        <v/>
      </c>
      <c r="AD373">
        <f>IF(OR(計分!AD373="",計分!$AP373=""),"",計分!$AP373-計分!AD373)</f>
        <v/>
      </c>
      <c r="AE373">
        <f>IF(OR(計分!AE373="",計分!$AP373=""),"",計分!$AP373-計分!AE373)</f>
        <v/>
      </c>
      <c r="AF373">
        <f>IF(OR(計分!AF373="",計分!$AP373=""),"",計分!$AP373-計分!AF373)</f>
        <v/>
      </c>
      <c r="AG373">
        <f>IF(OR(計分!AG373="",計分!$AP373=""),"",計分!$AP373-計分!AG373)</f>
        <v/>
      </c>
      <c r="AH373">
        <f>IF(OR(計分!AH373="",計分!$AP373=""),"",計分!$AP373-計分!AH373)</f>
        <v/>
      </c>
      <c r="AI373">
        <f>IF(OR(計分!AI373="",計分!$AP373=""),"",計分!$AP373-計分!AI373)</f>
        <v/>
      </c>
      <c r="AJ373">
        <f>IF(OR(計分!AJ373="",計分!$AP373=""),"",計分!$AP373-計分!AJ373)</f>
        <v/>
      </c>
      <c r="AK373">
        <f>IF(OR(計分!AK373="",計分!$AP373=""),"",計分!$AP373-計分!AK373)</f>
        <v/>
      </c>
      <c r="AL373">
        <f>IF(OR(計分!AL373="",計分!$AP373=""),"",計分!$AP373-計分!AL373)</f>
        <v/>
      </c>
      <c r="AM373">
        <f>IF(OR(計分!AM373="",計分!$AP373=""),"",計分!$AP373-計分!AM373)</f>
        <v/>
      </c>
      <c r="AN373">
        <f>IF(OR(計分!AN373="",計分!$AP373=""),"",計分!$AP373-計分!AN373)</f>
        <v/>
      </c>
      <c r="AO373">
        <f>IF(OR(計分!AO373="",計分!$AP373=""),"",計分!$AP373-計分!AO373)</f>
        <v/>
      </c>
    </row>
    <row r="374">
      <c r="A374">
        <f>計分!A374</f>
        <v/>
      </c>
      <c r="B374">
        <f>IF(OR(計分!B374="",計分!$AP374=""),"",計分!$AP374-計分!B374)</f>
        <v/>
      </c>
      <c r="C374">
        <f>IF(OR(計分!C374="",計分!$AP374=""),"",計分!$AP374-計分!C374)</f>
        <v/>
      </c>
      <c r="D374">
        <f>IF(OR(計分!D374="",計分!$AP374=""),"",計分!$AP374-計分!D374)</f>
        <v/>
      </c>
      <c r="E374">
        <f>IF(OR(計分!E374="",計分!$AP374=""),"",計分!$AP374-計分!E374)</f>
        <v/>
      </c>
      <c r="F374">
        <f>IF(OR(計分!F374="",計分!$AP374=""),"",計分!$AP374-計分!F374)</f>
        <v/>
      </c>
      <c r="G374">
        <f>IF(OR(計分!G374="",計分!$AP374=""),"",計分!$AP374-計分!G374)</f>
        <v/>
      </c>
      <c r="H374">
        <f>IF(OR(計分!H374="",計分!$AP374=""),"",計分!$AP374-計分!H374)</f>
        <v/>
      </c>
      <c r="I374">
        <f>IF(OR(計分!I374="",計分!$AP374=""),"",計分!$AP374-計分!I374)</f>
        <v/>
      </c>
      <c r="J374">
        <f>IF(OR(計分!J374="",計分!$AP374=""),"",計分!$AP374-計分!J374)</f>
        <v/>
      </c>
      <c r="K374">
        <f>IF(OR(計分!K374="",計分!$AP374=""),"",計分!$AP374-計分!K374)</f>
        <v/>
      </c>
      <c r="L374">
        <f>IF(OR(計分!L374="",計分!$AP374=""),"",計分!$AP374-計分!L374)</f>
        <v/>
      </c>
      <c r="M374">
        <f>IF(OR(計分!M374="",計分!$AP374=""),"",計分!$AP374-計分!M374)</f>
        <v/>
      </c>
      <c r="N374">
        <f>IF(OR(計分!N374="",計分!$AP374=""),"",計分!$AP374-計分!N374)</f>
        <v/>
      </c>
      <c r="O374">
        <f>IF(OR(計分!O374="",計分!$AP374=""),"",計分!$AP374-計分!O374)</f>
        <v/>
      </c>
      <c r="P374">
        <f>IF(OR(計分!P374="",計分!$AP374=""),"",計分!$AP374-計分!P374)</f>
        <v/>
      </c>
      <c r="Q374">
        <f>IF(OR(計分!Q374="",計分!$AP374=""),"",計分!$AP374-計分!Q374)</f>
        <v/>
      </c>
      <c r="R374">
        <f>IF(OR(計分!R374="",計分!$AP374=""),"",計分!$AP374-計分!R374)</f>
        <v/>
      </c>
      <c r="S374">
        <f>IF(OR(計分!S374="",計分!$AP374=""),"",計分!$AP374-計分!S374)</f>
        <v/>
      </c>
      <c r="T374">
        <f>IF(OR(計分!T374="",計分!$AP374=""),"",計分!$AP374-計分!T374)</f>
        <v/>
      </c>
      <c r="U374">
        <f>IF(OR(計分!U374="",計分!$AP374=""),"",計分!$AP374-計分!U374)</f>
        <v/>
      </c>
      <c r="V374">
        <f>IF(OR(計分!V374="",計分!$AP374=""),"",計分!$AP374-計分!V374)</f>
        <v/>
      </c>
      <c r="W374">
        <f>IF(OR(計分!W374="",計分!$AP374=""),"",計分!$AP374-計分!W374)</f>
        <v/>
      </c>
      <c r="X374">
        <f>IF(OR(計分!X374="",計分!$AP374=""),"",計分!$AP374-計分!X374)</f>
        <v/>
      </c>
      <c r="Y374">
        <f>IF(OR(計分!Y374="",計分!$AP374=""),"",計分!$AP374-計分!Y374)</f>
        <v/>
      </c>
      <c r="Z374">
        <f>IF(OR(計分!Z374="",計分!$AP374=""),"",計分!$AP374-計分!Z374)</f>
        <v/>
      </c>
      <c r="AA374">
        <f>IF(OR(計分!AA374="",計分!$AP374=""),"",計分!$AP374-計分!AA374)</f>
        <v/>
      </c>
      <c r="AB374">
        <f>IF(OR(計分!AB374="",計分!$AP374=""),"",計分!$AP374-計分!AB374)</f>
        <v/>
      </c>
      <c r="AC374">
        <f>IF(OR(計分!AC374="",計分!$AP374=""),"",計分!$AP374-計分!AC374)</f>
        <v/>
      </c>
      <c r="AD374">
        <f>IF(OR(計分!AD374="",計分!$AP374=""),"",計分!$AP374-計分!AD374)</f>
        <v/>
      </c>
      <c r="AE374">
        <f>IF(OR(計分!AE374="",計分!$AP374=""),"",計分!$AP374-計分!AE374)</f>
        <v/>
      </c>
      <c r="AF374">
        <f>IF(OR(計分!AF374="",計分!$AP374=""),"",計分!$AP374-計分!AF374)</f>
        <v/>
      </c>
      <c r="AG374">
        <f>IF(OR(計分!AG374="",計分!$AP374=""),"",計分!$AP374-計分!AG374)</f>
        <v/>
      </c>
      <c r="AH374">
        <f>IF(OR(計分!AH374="",計分!$AP374=""),"",計分!$AP374-計分!AH374)</f>
        <v/>
      </c>
      <c r="AI374">
        <f>IF(OR(計分!AI374="",計分!$AP374=""),"",計分!$AP374-計分!AI374)</f>
        <v/>
      </c>
      <c r="AJ374">
        <f>IF(OR(計分!AJ374="",計分!$AP374=""),"",計分!$AP374-計分!AJ374)</f>
        <v/>
      </c>
      <c r="AK374">
        <f>IF(OR(計分!AK374="",計分!$AP374=""),"",計分!$AP374-計分!AK374)</f>
        <v/>
      </c>
      <c r="AL374">
        <f>IF(OR(計分!AL374="",計分!$AP374=""),"",計分!$AP374-計分!AL374)</f>
        <v/>
      </c>
      <c r="AM374">
        <f>IF(OR(計分!AM374="",計分!$AP374=""),"",計分!$AP374-計分!AM374)</f>
        <v/>
      </c>
      <c r="AN374">
        <f>IF(OR(計分!AN374="",計分!$AP374=""),"",計分!$AP374-計分!AN374)</f>
        <v/>
      </c>
      <c r="AO374">
        <f>IF(OR(計分!AO374="",計分!$AP374=""),"",計分!$AP374-計分!AO374)</f>
        <v/>
      </c>
    </row>
    <row r="375">
      <c r="A375">
        <f>計分!A375</f>
        <v/>
      </c>
      <c r="B375">
        <f>IF(OR(計分!B375="",計分!$AP375=""),"",計分!$AP375-計分!B375)</f>
        <v/>
      </c>
      <c r="C375">
        <f>IF(OR(計分!C375="",計分!$AP375=""),"",計分!$AP375-計分!C375)</f>
        <v/>
      </c>
      <c r="D375">
        <f>IF(OR(計分!D375="",計分!$AP375=""),"",計分!$AP375-計分!D375)</f>
        <v/>
      </c>
      <c r="E375">
        <f>IF(OR(計分!E375="",計分!$AP375=""),"",計分!$AP375-計分!E375)</f>
        <v/>
      </c>
      <c r="F375">
        <f>IF(OR(計分!F375="",計分!$AP375=""),"",計分!$AP375-計分!F375)</f>
        <v/>
      </c>
      <c r="G375">
        <f>IF(OR(計分!G375="",計分!$AP375=""),"",計分!$AP375-計分!G375)</f>
        <v/>
      </c>
      <c r="H375">
        <f>IF(OR(計分!H375="",計分!$AP375=""),"",計分!$AP375-計分!H375)</f>
        <v/>
      </c>
      <c r="I375">
        <f>IF(OR(計分!I375="",計分!$AP375=""),"",計分!$AP375-計分!I375)</f>
        <v/>
      </c>
      <c r="J375">
        <f>IF(OR(計分!J375="",計分!$AP375=""),"",計分!$AP375-計分!J375)</f>
        <v/>
      </c>
      <c r="K375">
        <f>IF(OR(計分!K375="",計分!$AP375=""),"",計分!$AP375-計分!K375)</f>
        <v/>
      </c>
      <c r="L375">
        <f>IF(OR(計分!L375="",計分!$AP375=""),"",計分!$AP375-計分!L375)</f>
        <v/>
      </c>
      <c r="M375">
        <f>IF(OR(計分!M375="",計分!$AP375=""),"",計分!$AP375-計分!M375)</f>
        <v/>
      </c>
      <c r="N375">
        <f>IF(OR(計分!N375="",計分!$AP375=""),"",計分!$AP375-計分!N375)</f>
        <v/>
      </c>
      <c r="O375">
        <f>IF(OR(計分!O375="",計分!$AP375=""),"",計分!$AP375-計分!O375)</f>
        <v/>
      </c>
      <c r="P375">
        <f>IF(OR(計分!P375="",計分!$AP375=""),"",計分!$AP375-計分!P375)</f>
        <v/>
      </c>
      <c r="Q375">
        <f>IF(OR(計分!Q375="",計分!$AP375=""),"",計分!$AP375-計分!Q375)</f>
        <v/>
      </c>
      <c r="R375">
        <f>IF(OR(計分!R375="",計分!$AP375=""),"",計分!$AP375-計分!R375)</f>
        <v/>
      </c>
      <c r="S375">
        <f>IF(OR(計分!S375="",計分!$AP375=""),"",計分!$AP375-計分!S375)</f>
        <v/>
      </c>
      <c r="T375">
        <f>IF(OR(計分!T375="",計分!$AP375=""),"",計分!$AP375-計分!T375)</f>
        <v/>
      </c>
      <c r="U375">
        <f>IF(OR(計分!U375="",計分!$AP375=""),"",計分!$AP375-計分!U375)</f>
        <v/>
      </c>
      <c r="V375">
        <f>IF(OR(計分!V375="",計分!$AP375=""),"",計分!$AP375-計分!V375)</f>
        <v/>
      </c>
      <c r="W375">
        <f>IF(OR(計分!W375="",計分!$AP375=""),"",計分!$AP375-計分!W375)</f>
        <v/>
      </c>
      <c r="X375">
        <f>IF(OR(計分!X375="",計分!$AP375=""),"",計分!$AP375-計分!X375)</f>
        <v/>
      </c>
      <c r="Y375">
        <f>IF(OR(計分!Y375="",計分!$AP375=""),"",計分!$AP375-計分!Y375)</f>
        <v/>
      </c>
      <c r="Z375">
        <f>IF(OR(計分!Z375="",計分!$AP375=""),"",計分!$AP375-計分!Z375)</f>
        <v/>
      </c>
      <c r="AA375">
        <f>IF(OR(計分!AA375="",計分!$AP375=""),"",計分!$AP375-計分!AA375)</f>
        <v/>
      </c>
      <c r="AB375">
        <f>IF(OR(計分!AB375="",計分!$AP375=""),"",計分!$AP375-計分!AB375)</f>
        <v/>
      </c>
      <c r="AC375">
        <f>IF(OR(計分!AC375="",計分!$AP375=""),"",計分!$AP375-計分!AC375)</f>
        <v/>
      </c>
      <c r="AD375">
        <f>IF(OR(計分!AD375="",計分!$AP375=""),"",計分!$AP375-計分!AD375)</f>
        <v/>
      </c>
      <c r="AE375">
        <f>IF(OR(計分!AE375="",計分!$AP375=""),"",計分!$AP375-計分!AE375)</f>
        <v/>
      </c>
      <c r="AF375">
        <f>IF(OR(計分!AF375="",計分!$AP375=""),"",計分!$AP375-計分!AF375)</f>
        <v/>
      </c>
      <c r="AG375">
        <f>IF(OR(計分!AG375="",計分!$AP375=""),"",計分!$AP375-計分!AG375)</f>
        <v/>
      </c>
      <c r="AH375">
        <f>IF(OR(計分!AH375="",計分!$AP375=""),"",計分!$AP375-計分!AH375)</f>
        <v/>
      </c>
      <c r="AI375">
        <f>IF(OR(計分!AI375="",計分!$AP375=""),"",計分!$AP375-計分!AI375)</f>
        <v/>
      </c>
      <c r="AJ375">
        <f>IF(OR(計分!AJ375="",計分!$AP375=""),"",計分!$AP375-計分!AJ375)</f>
        <v/>
      </c>
      <c r="AK375">
        <f>IF(OR(計分!AK375="",計分!$AP375=""),"",計分!$AP375-計分!AK375)</f>
        <v/>
      </c>
      <c r="AL375">
        <f>IF(OR(計分!AL375="",計分!$AP375=""),"",計分!$AP375-計分!AL375)</f>
        <v/>
      </c>
      <c r="AM375">
        <f>IF(OR(計分!AM375="",計分!$AP375=""),"",計分!$AP375-計分!AM375)</f>
        <v/>
      </c>
      <c r="AN375">
        <f>IF(OR(計分!AN375="",計分!$AP375=""),"",計分!$AP375-計分!AN375)</f>
        <v/>
      </c>
      <c r="AO375">
        <f>IF(OR(計分!AO375="",計分!$AP375=""),"",計分!$AP375-計分!AO375)</f>
        <v/>
      </c>
    </row>
    <row r="376">
      <c r="A376">
        <f>計分!A376</f>
        <v/>
      </c>
      <c r="B376">
        <f>IF(OR(計分!B376="",計分!$AP376=""),"",計分!$AP376-計分!B376)</f>
        <v/>
      </c>
      <c r="C376">
        <f>IF(OR(計分!C376="",計分!$AP376=""),"",計分!$AP376-計分!C376)</f>
        <v/>
      </c>
      <c r="D376">
        <f>IF(OR(計分!D376="",計分!$AP376=""),"",計分!$AP376-計分!D376)</f>
        <v/>
      </c>
      <c r="E376">
        <f>IF(OR(計分!E376="",計分!$AP376=""),"",計分!$AP376-計分!E376)</f>
        <v/>
      </c>
      <c r="F376">
        <f>IF(OR(計分!F376="",計分!$AP376=""),"",計分!$AP376-計分!F376)</f>
        <v/>
      </c>
      <c r="G376">
        <f>IF(OR(計分!G376="",計分!$AP376=""),"",計分!$AP376-計分!G376)</f>
        <v/>
      </c>
      <c r="H376">
        <f>IF(OR(計分!H376="",計分!$AP376=""),"",計分!$AP376-計分!H376)</f>
        <v/>
      </c>
      <c r="I376">
        <f>IF(OR(計分!I376="",計分!$AP376=""),"",計分!$AP376-計分!I376)</f>
        <v/>
      </c>
      <c r="J376">
        <f>IF(OR(計分!J376="",計分!$AP376=""),"",計分!$AP376-計分!J376)</f>
        <v/>
      </c>
      <c r="K376">
        <f>IF(OR(計分!K376="",計分!$AP376=""),"",計分!$AP376-計分!K376)</f>
        <v/>
      </c>
      <c r="L376">
        <f>IF(OR(計分!L376="",計分!$AP376=""),"",計分!$AP376-計分!L376)</f>
        <v/>
      </c>
      <c r="M376">
        <f>IF(OR(計分!M376="",計分!$AP376=""),"",計分!$AP376-計分!M376)</f>
        <v/>
      </c>
      <c r="N376">
        <f>IF(OR(計分!N376="",計分!$AP376=""),"",計分!$AP376-計分!N376)</f>
        <v/>
      </c>
      <c r="O376">
        <f>IF(OR(計分!O376="",計分!$AP376=""),"",計分!$AP376-計分!O376)</f>
        <v/>
      </c>
      <c r="P376">
        <f>IF(OR(計分!P376="",計分!$AP376=""),"",計分!$AP376-計分!P376)</f>
        <v/>
      </c>
      <c r="Q376">
        <f>IF(OR(計分!Q376="",計分!$AP376=""),"",計分!$AP376-計分!Q376)</f>
        <v/>
      </c>
      <c r="R376">
        <f>IF(OR(計分!R376="",計分!$AP376=""),"",計分!$AP376-計分!R376)</f>
        <v/>
      </c>
      <c r="S376">
        <f>IF(OR(計分!S376="",計分!$AP376=""),"",計分!$AP376-計分!S376)</f>
        <v/>
      </c>
      <c r="T376">
        <f>IF(OR(計分!T376="",計分!$AP376=""),"",計分!$AP376-計分!T376)</f>
        <v/>
      </c>
      <c r="U376">
        <f>IF(OR(計分!U376="",計分!$AP376=""),"",計分!$AP376-計分!U376)</f>
        <v/>
      </c>
      <c r="V376">
        <f>IF(OR(計分!V376="",計分!$AP376=""),"",計分!$AP376-計分!V376)</f>
        <v/>
      </c>
      <c r="W376">
        <f>IF(OR(計分!W376="",計分!$AP376=""),"",計分!$AP376-計分!W376)</f>
        <v/>
      </c>
      <c r="X376">
        <f>IF(OR(計分!X376="",計分!$AP376=""),"",計分!$AP376-計分!X376)</f>
        <v/>
      </c>
      <c r="Y376">
        <f>IF(OR(計分!Y376="",計分!$AP376=""),"",計分!$AP376-計分!Y376)</f>
        <v/>
      </c>
      <c r="Z376">
        <f>IF(OR(計分!Z376="",計分!$AP376=""),"",計分!$AP376-計分!Z376)</f>
        <v/>
      </c>
      <c r="AA376">
        <f>IF(OR(計分!AA376="",計分!$AP376=""),"",計分!$AP376-計分!AA376)</f>
        <v/>
      </c>
      <c r="AB376">
        <f>IF(OR(計分!AB376="",計分!$AP376=""),"",計分!$AP376-計分!AB376)</f>
        <v/>
      </c>
      <c r="AC376">
        <f>IF(OR(計分!AC376="",計分!$AP376=""),"",計分!$AP376-計分!AC376)</f>
        <v/>
      </c>
      <c r="AD376">
        <f>IF(OR(計分!AD376="",計分!$AP376=""),"",計分!$AP376-計分!AD376)</f>
        <v/>
      </c>
      <c r="AE376">
        <f>IF(OR(計分!AE376="",計分!$AP376=""),"",計分!$AP376-計分!AE376)</f>
        <v/>
      </c>
      <c r="AF376">
        <f>IF(OR(計分!AF376="",計分!$AP376=""),"",計分!$AP376-計分!AF376)</f>
        <v/>
      </c>
      <c r="AG376">
        <f>IF(OR(計分!AG376="",計分!$AP376=""),"",計分!$AP376-計分!AG376)</f>
        <v/>
      </c>
      <c r="AH376">
        <f>IF(OR(計分!AH376="",計分!$AP376=""),"",計分!$AP376-計分!AH376)</f>
        <v/>
      </c>
      <c r="AI376">
        <f>IF(OR(計分!AI376="",計分!$AP376=""),"",計分!$AP376-計分!AI376)</f>
        <v/>
      </c>
      <c r="AJ376">
        <f>IF(OR(計分!AJ376="",計分!$AP376=""),"",計分!$AP376-計分!AJ376)</f>
        <v/>
      </c>
      <c r="AK376">
        <f>IF(OR(計分!AK376="",計分!$AP376=""),"",計分!$AP376-計分!AK376)</f>
        <v/>
      </c>
      <c r="AL376">
        <f>IF(OR(計分!AL376="",計分!$AP376=""),"",計分!$AP376-計分!AL376)</f>
        <v/>
      </c>
      <c r="AM376">
        <f>IF(OR(計分!AM376="",計分!$AP376=""),"",計分!$AP376-計分!AM376)</f>
        <v/>
      </c>
      <c r="AN376">
        <f>IF(OR(計分!AN376="",計分!$AP376=""),"",計分!$AP376-計分!AN376)</f>
        <v/>
      </c>
      <c r="AO376">
        <f>IF(OR(計分!AO376="",計分!$AP376=""),"",計分!$AP376-計分!AO376)</f>
        <v/>
      </c>
    </row>
    <row r="377">
      <c r="A377">
        <f>計分!A377</f>
        <v/>
      </c>
      <c r="B377">
        <f>IF(OR(計分!B377="",計分!$AP377=""),"",計分!$AP377-計分!B377)</f>
        <v/>
      </c>
      <c r="C377">
        <f>IF(OR(計分!C377="",計分!$AP377=""),"",計分!$AP377-計分!C377)</f>
        <v/>
      </c>
      <c r="D377">
        <f>IF(OR(計分!D377="",計分!$AP377=""),"",計分!$AP377-計分!D377)</f>
        <v/>
      </c>
      <c r="E377">
        <f>IF(OR(計分!E377="",計分!$AP377=""),"",計分!$AP377-計分!E377)</f>
        <v/>
      </c>
      <c r="F377">
        <f>IF(OR(計分!F377="",計分!$AP377=""),"",計分!$AP377-計分!F377)</f>
        <v/>
      </c>
      <c r="G377">
        <f>IF(OR(計分!G377="",計分!$AP377=""),"",計分!$AP377-計分!G377)</f>
        <v/>
      </c>
      <c r="H377">
        <f>IF(OR(計分!H377="",計分!$AP377=""),"",計分!$AP377-計分!H377)</f>
        <v/>
      </c>
      <c r="I377">
        <f>IF(OR(計分!I377="",計分!$AP377=""),"",計分!$AP377-計分!I377)</f>
        <v/>
      </c>
      <c r="J377">
        <f>IF(OR(計分!J377="",計分!$AP377=""),"",計分!$AP377-計分!J377)</f>
        <v/>
      </c>
      <c r="K377">
        <f>IF(OR(計分!K377="",計分!$AP377=""),"",計分!$AP377-計分!K377)</f>
        <v/>
      </c>
      <c r="L377">
        <f>IF(OR(計分!L377="",計分!$AP377=""),"",計分!$AP377-計分!L377)</f>
        <v/>
      </c>
      <c r="M377">
        <f>IF(OR(計分!M377="",計分!$AP377=""),"",計分!$AP377-計分!M377)</f>
        <v/>
      </c>
      <c r="N377">
        <f>IF(OR(計分!N377="",計分!$AP377=""),"",計分!$AP377-計分!N377)</f>
        <v/>
      </c>
      <c r="O377">
        <f>IF(OR(計分!O377="",計分!$AP377=""),"",計分!$AP377-計分!O377)</f>
        <v/>
      </c>
      <c r="P377">
        <f>IF(OR(計分!P377="",計分!$AP377=""),"",計分!$AP377-計分!P377)</f>
        <v/>
      </c>
      <c r="Q377">
        <f>IF(OR(計分!Q377="",計分!$AP377=""),"",計分!$AP377-計分!Q377)</f>
        <v/>
      </c>
      <c r="R377">
        <f>IF(OR(計分!R377="",計分!$AP377=""),"",計分!$AP377-計分!R377)</f>
        <v/>
      </c>
      <c r="S377">
        <f>IF(OR(計分!S377="",計分!$AP377=""),"",計分!$AP377-計分!S377)</f>
        <v/>
      </c>
      <c r="T377">
        <f>IF(OR(計分!T377="",計分!$AP377=""),"",計分!$AP377-計分!T377)</f>
        <v/>
      </c>
      <c r="U377">
        <f>IF(OR(計分!U377="",計分!$AP377=""),"",計分!$AP377-計分!U377)</f>
        <v/>
      </c>
      <c r="V377">
        <f>IF(OR(計分!V377="",計分!$AP377=""),"",計分!$AP377-計分!V377)</f>
        <v/>
      </c>
      <c r="W377">
        <f>IF(OR(計分!W377="",計分!$AP377=""),"",計分!$AP377-計分!W377)</f>
        <v/>
      </c>
      <c r="X377">
        <f>IF(OR(計分!X377="",計分!$AP377=""),"",計分!$AP377-計分!X377)</f>
        <v/>
      </c>
      <c r="Y377">
        <f>IF(OR(計分!Y377="",計分!$AP377=""),"",計分!$AP377-計分!Y377)</f>
        <v/>
      </c>
      <c r="Z377">
        <f>IF(OR(計分!Z377="",計分!$AP377=""),"",計分!$AP377-計分!Z377)</f>
        <v/>
      </c>
      <c r="AA377">
        <f>IF(OR(計分!AA377="",計分!$AP377=""),"",計分!$AP377-計分!AA377)</f>
        <v/>
      </c>
      <c r="AB377">
        <f>IF(OR(計分!AB377="",計分!$AP377=""),"",計分!$AP377-計分!AB377)</f>
        <v/>
      </c>
      <c r="AC377">
        <f>IF(OR(計分!AC377="",計分!$AP377=""),"",計分!$AP377-計分!AC377)</f>
        <v/>
      </c>
      <c r="AD377">
        <f>IF(OR(計分!AD377="",計分!$AP377=""),"",計分!$AP377-計分!AD377)</f>
        <v/>
      </c>
      <c r="AE377">
        <f>IF(OR(計分!AE377="",計分!$AP377=""),"",計分!$AP377-計分!AE377)</f>
        <v/>
      </c>
      <c r="AF377">
        <f>IF(OR(計分!AF377="",計分!$AP377=""),"",計分!$AP377-計分!AF377)</f>
        <v/>
      </c>
      <c r="AG377">
        <f>IF(OR(計分!AG377="",計分!$AP377=""),"",計分!$AP377-計分!AG377)</f>
        <v/>
      </c>
      <c r="AH377">
        <f>IF(OR(計分!AH377="",計分!$AP377=""),"",計分!$AP377-計分!AH377)</f>
        <v/>
      </c>
      <c r="AI377">
        <f>IF(OR(計分!AI377="",計分!$AP377=""),"",計分!$AP377-計分!AI377)</f>
        <v/>
      </c>
      <c r="AJ377">
        <f>IF(OR(計分!AJ377="",計分!$AP377=""),"",計分!$AP377-計分!AJ377)</f>
        <v/>
      </c>
      <c r="AK377">
        <f>IF(OR(計分!AK377="",計分!$AP377=""),"",計分!$AP377-計分!AK377)</f>
        <v/>
      </c>
      <c r="AL377">
        <f>IF(OR(計分!AL377="",計分!$AP377=""),"",計分!$AP377-計分!AL377)</f>
        <v/>
      </c>
      <c r="AM377">
        <f>IF(OR(計分!AM377="",計分!$AP377=""),"",計分!$AP377-計分!AM377)</f>
        <v/>
      </c>
      <c r="AN377">
        <f>IF(OR(計分!AN377="",計分!$AP377=""),"",計分!$AP377-計分!AN377)</f>
        <v/>
      </c>
      <c r="AO377">
        <f>IF(OR(計分!AO377="",計分!$AP377=""),"",計分!$AP377-計分!AO377)</f>
        <v/>
      </c>
    </row>
    <row r="378">
      <c r="A378">
        <f>計分!A378</f>
        <v/>
      </c>
      <c r="B378">
        <f>IF(OR(計分!B378="",計分!$AP378=""),"",計分!$AP378-計分!B378)</f>
        <v/>
      </c>
      <c r="C378">
        <f>IF(OR(計分!C378="",計分!$AP378=""),"",計分!$AP378-計分!C378)</f>
        <v/>
      </c>
      <c r="D378">
        <f>IF(OR(計分!D378="",計分!$AP378=""),"",計分!$AP378-計分!D378)</f>
        <v/>
      </c>
      <c r="E378">
        <f>IF(OR(計分!E378="",計分!$AP378=""),"",計分!$AP378-計分!E378)</f>
        <v/>
      </c>
      <c r="F378">
        <f>IF(OR(計分!F378="",計分!$AP378=""),"",計分!$AP378-計分!F378)</f>
        <v/>
      </c>
      <c r="G378">
        <f>IF(OR(計分!G378="",計分!$AP378=""),"",計分!$AP378-計分!G378)</f>
        <v/>
      </c>
      <c r="H378">
        <f>IF(OR(計分!H378="",計分!$AP378=""),"",計分!$AP378-計分!H378)</f>
        <v/>
      </c>
      <c r="I378">
        <f>IF(OR(計分!I378="",計分!$AP378=""),"",計分!$AP378-計分!I378)</f>
        <v/>
      </c>
      <c r="J378">
        <f>IF(OR(計分!J378="",計分!$AP378=""),"",計分!$AP378-計分!J378)</f>
        <v/>
      </c>
      <c r="K378">
        <f>IF(OR(計分!K378="",計分!$AP378=""),"",計分!$AP378-計分!K378)</f>
        <v/>
      </c>
      <c r="L378">
        <f>IF(OR(計分!L378="",計分!$AP378=""),"",計分!$AP378-計分!L378)</f>
        <v/>
      </c>
      <c r="M378">
        <f>IF(OR(計分!M378="",計分!$AP378=""),"",計分!$AP378-計分!M378)</f>
        <v/>
      </c>
      <c r="N378">
        <f>IF(OR(計分!N378="",計分!$AP378=""),"",計分!$AP378-計分!N378)</f>
        <v/>
      </c>
      <c r="O378">
        <f>IF(OR(計分!O378="",計分!$AP378=""),"",計分!$AP378-計分!O378)</f>
        <v/>
      </c>
      <c r="P378">
        <f>IF(OR(計分!P378="",計分!$AP378=""),"",計分!$AP378-計分!P378)</f>
        <v/>
      </c>
      <c r="Q378">
        <f>IF(OR(計分!Q378="",計分!$AP378=""),"",計分!$AP378-計分!Q378)</f>
        <v/>
      </c>
      <c r="R378">
        <f>IF(OR(計分!R378="",計分!$AP378=""),"",計分!$AP378-計分!R378)</f>
        <v/>
      </c>
      <c r="S378">
        <f>IF(OR(計分!S378="",計分!$AP378=""),"",計分!$AP378-計分!S378)</f>
        <v/>
      </c>
      <c r="T378">
        <f>IF(OR(計分!T378="",計分!$AP378=""),"",計分!$AP378-計分!T378)</f>
        <v/>
      </c>
      <c r="U378">
        <f>IF(OR(計分!U378="",計分!$AP378=""),"",計分!$AP378-計分!U378)</f>
        <v/>
      </c>
      <c r="V378">
        <f>IF(OR(計分!V378="",計分!$AP378=""),"",計分!$AP378-計分!V378)</f>
        <v/>
      </c>
      <c r="W378">
        <f>IF(OR(計分!W378="",計分!$AP378=""),"",計分!$AP378-計分!W378)</f>
        <v/>
      </c>
      <c r="X378">
        <f>IF(OR(計分!X378="",計分!$AP378=""),"",計分!$AP378-計分!X378)</f>
        <v/>
      </c>
      <c r="Y378">
        <f>IF(OR(計分!Y378="",計分!$AP378=""),"",計分!$AP378-計分!Y378)</f>
        <v/>
      </c>
      <c r="Z378">
        <f>IF(OR(計分!Z378="",計分!$AP378=""),"",計分!$AP378-計分!Z378)</f>
        <v/>
      </c>
      <c r="AA378">
        <f>IF(OR(計分!AA378="",計分!$AP378=""),"",計分!$AP378-計分!AA378)</f>
        <v/>
      </c>
      <c r="AB378">
        <f>IF(OR(計分!AB378="",計分!$AP378=""),"",計分!$AP378-計分!AB378)</f>
        <v/>
      </c>
      <c r="AC378">
        <f>IF(OR(計分!AC378="",計分!$AP378=""),"",計分!$AP378-計分!AC378)</f>
        <v/>
      </c>
      <c r="AD378">
        <f>IF(OR(計分!AD378="",計分!$AP378=""),"",計分!$AP378-計分!AD378)</f>
        <v/>
      </c>
      <c r="AE378">
        <f>IF(OR(計分!AE378="",計分!$AP378=""),"",計分!$AP378-計分!AE378)</f>
        <v/>
      </c>
      <c r="AF378">
        <f>IF(OR(計分!AF378="",計分!$AP378=""),"",計分!$AP378-計分!AF378)</f>
        <v/>
      </c>
      <c r="AG378">
        <f>IF(OR(計分!AG378="",計分!$AP378=""),"",計分!$AP378-計分!AG378)</f>
        <v/>
      </c>
      <c r="AH378">
        <f>IF(OR(計分!AH378="",計分!$AP378=""),"",計分!$AP378-計分!AH378)</f>
        <v/>
      </c>
      <c r="AI378">
        <f>IF(OR(計分!AI378="",計分!$AP378=""),"",計分!$AP378-計分!AI378)</f>
        <v/>
      </c>
      <c r="AJ378">
        <f>IF(OR(計分!AJ378="",計分!$AP378=""),"",計分!$AP378-計分!AJ378)</f>
        <v/>
      </c>
      <c r="AK378">
        <f>IF(OR(計分!AK378="",計分!$AP378=""),"",計分!$AP378-計分!AK378)</f>
        <v/>
      </c>
      <c r="AL378">
        <f>IF(OR(計分!AL378="",計分!$AP378=""),"",計分!$AP378-計分!AL378)</f>
        <v/>
      </c>
      <c r="AM378">
        <f>IF(OR(計分!AM378="",計分!$AP378=""),"",計分!$AP378-計分!AM378)</f>
        <v/>
      </c>
      <c r="AN378">
        <f>IF(OR(計分!AN378="",計分!$AP378=""),"",計分!$AP378-計分!AN378)</f>
        <v/>
      </c>
      <c r="AO378">
        <f>IF(OR(計分!AO378="",計分!$AP378=""),"",計分!$AP378-計分!AO378)</f>
        <v/>
      </c>
    </row>
    <row r="379">
      <c r="A379">
        <f>計分!A379</f>
        <v/>
      </c>
      <c r="B379">
        <f>IF(OR(計分!B379="",計分!$AP379=""),"",計分!$AP379-計分!B379)</f>
        <v/>
      </c>
      <c r="C379">
        <f>IF(OR(計分!C379="",計分!$AP379=""),"",計分!$AP379-計分!C379)</f>
        <v/>
      </c>
      <c r="D379">
        <f>IF(OR(計分!D379="",計分!$AP379=""),"",計分!$AP379-計分!D379)</f>
        <v/>
      </c>
      <c r="E379">
        <f>IF(OR(計分!E379="",計分!$AP379=""),"",計分!$AP379-計分!E379)</f>
        <v/>
      </c>
      <c r="F379">
        <f>IF(OR(計分!F379="",計分!$AP379=""),"",計分!$AP379-計分!F379)</f>
        <v/>
      </c>
      <c r="G379">
        <f>IF(OR(計分!G379="",計分!$AP379=""),"",計分!$AP379-計分!G379)</f>
        <v/>
      </c>
      <c r="H379">
        <f>IF(OR(計分!H379="",計分!$AP379=""),"",計分!$AP379-計分!H379)</f>
        <v/>
      </c>
      <c r="I379">
        <f>IF(OR(計分!I379="",計分!$AP379=""),"",計分!$AP379-計分!I379)</f>
        <v/>
      </c>
      <c r="J379">
        <f>IF(OR(計分!J379="",計分!$AP379=""),"",計分!$AP379-計分!J379)</f>
        <v/>
      </c>
      <c r="K379">
        <f>IF(OR(計分!K379="",計分!$AP379=""),"",計分!$AP379-計分!K379)</f>
        <v/>
      </c>
      <c r="L379">
        <f>IF(OR(計分!L379="",計分!$AP379=""),"",計分!$AP379-計分!L379)</f>
        <v/>
      </c>
      <c r="M379">
        <f>IF(OR(計分!M379="",計分!$AP379=""),"",計分!$AP379-計分!M379)</f>
        <v/>
      </c>
      <c r="N379">
        <f>IF(OR(計分!N379="",計分!$AP379=""),"",計分!$AP379-計分!N379)</f>
        <v/>
      </c>
      <c r="O379">
        <f>IF(OR(計分!O379="",計分!$AP379=""),"",計分!$AP379-計分!O379)</f>
        <v/>
      </c>
      <c r="P379">
        <f>IF(OR(計分!P379="",計分!$AP379=""),"",計分!$AP379-計分!P379)</f>
        <v/>
      </c>
      <c r="Q379">
        <f>IF(OR(計分!Q379="",計分!$AP379=""),"",計分!$AP379-計分!Q379)</f>
        <v/>
      </c>
      <c r="R379">
        <f>IF(OR(計分!R379="",計分!$AP379=""),"",計分!$AP379-計分!R379)</f>
        <v/>
      </c>
      <c r="S379">
        <f>IF(OR(計分!S379="",計分!$AP379=""),"",計分!$AP379-計分!S379)</f>
        <v/>
      </c>
      <c r="T379">
        <f>IF(OR(計分!T379="",計分!$AP379=""),"",計分!$AP379-計分!T379)</f>
        <v/>
      </c>
      <c r="U379">
        <f>IF(OR(計分!U379="",計分!$AP379=""),"",計分!$AP379-計分!U379)</f>
        <v/>
      </c>
      <c r="V379">
        <f>IF(OR(計分!V379="",計分!$AP379=""),"",計分!$AP379-計分!V379)</f>
        <v/>
      </c>
      <c r="W379">
        <f>IF(OR(計分!W379="",計分!$AP379=""),"",計分!$AP379-計分!W379)</f>
        <v/>
      </c>
      <c r="X379">
        <f>IF(OR(計分!X379="",計分!$AP379=""),"",計分!$AP379-計分!X379)</f>
        <v/>
      </c>
      <c r="Y379">
        <f>IF(OR(計分!Y379="",計分!$AP379=""),"",計分!$AP379-計分!Y379)</f>
        <v/>
      </c>
      <c r="Z379">
        <f>IF(OR(計分!Z379="",計分!$AP379=""),"",計分!$AP379-計分!Z379)</f>
        <v/>
      </c>
      <c r="AA379">
        <f>IF(OR(計分!AA379="",計分!$AP379=""),"",計分!$AP379-計分!AA379)</f>
        <v/>
      </c>
      <c r="AB379">
        <f>IF(OR(計分!AB379="",計分!$AP379=""),"",計分!$AP379-計分!AB379)</f>
        <v/>
      </c>
      <c r="AC379">
        <f>IF(OR(計分!AC379="",計分!$AP379=""),"",計分!$AP379-計分!AC379)</f>
        <v/>
      </c>
      <c r="AD379">
        <f>IF(OR(計分!AD379="",計分!$AP379=""),"",計分!$AP379-計分!AD379)</f>
        <v/>
      </c>
      <c r="AE379">
        <f>IF(OR(計分!AE379="",計分!$AP379=""),"",計分!$AP379-計分!AE379)</f>
        <v/>
      </c>
      <c r="AF379">
        <f>IF(OR(計分!AF379="",計分!$AP379=""),"",計分!$AP379-計分!AF379)</f>
        <v/>
      </c>
      <c r="AG379">
        <f>IF(OR(計分!AG379="",計分!$AP379=""),"",計分!$AP379-計分!AG379)</f>
        <v/>
      </c>
      <c r="AH379">
        <f>IF(OR(計分!AH379="",計分!$AP379=""),"",計分!$AP379-計分!AH379)</f>
        <v/>
      </c>
      <c r="AI379">
        <f>IF(OR(計分!AI379="",計分!$AP379=""),"",計分!$AP379-計分!AI379)</f>
        <v/>
      </c>
      <c r="AJ379">
        <f>IF(OR(計分!AJ379="",計分!$AP379=""),"",計分!$AP379-計分!AJ379)</f>
        <v/>
      </c>
      <c r="AK379">
        <f>IF(OR(計分!AK379="",計分!$AP379=""),"",計分!$AP379-計分!AK379)</f>
        <v/>
      </c>
      <c r="AL379">
        <f>IF(OR(計分!AL379="",計分!$AP379=""),"",計分!$AP379-計分!AL379)</f>
        <v/>
      </c>
      <c r="AM379">
        <f>IF(OR(計分!AM379="",計分!$AP379=""),"",計分!$AP379-計分!AM379)</f>
        <v/>
      </c>
      <c r="AN379">
        <f>IF(OR(計分!AN379="",計分!$AP379=""),"",計分!$AP379-計分!AN379)</f>
        <v/>
      </c>
      <c r="AO379">
        <f>IF(OR(計分!AO379="",計分!$AP379=""),"",計分!$AP379-計分!AO379)</f>
        <v/>
      </c>
    </row>
    <row r="380">
      <c r="A380">
        <f>計分!A380</f>
        <v/>
      </c>
      <c r="B380">
        <f>IF(OR(計分!B380="",計分!$AP380=""),"",計分!$AP380-計分!B380)</f>
        <v/>
      </c>
      <c r="C380">
        <f>IF(OR(計分!C380="",計分!$AP380=""),"",計分!$AP380-計分!C380)</f>
        <v/>
      </c>
      <c r="D380">
        <f>IF(OR(計分!D380="",計分!$AP380=""),"",計分!$AP380-計分!D380)</f>
        <v/>
      </c>
      <c r="E380">
        <f>IF(OR(計分!E380="",計分!$AP380=""),"",計分!$AP380-計分!E380)</f>
        <v/>
      </c>
      <c r="F380">
        <f>IF(OR(計分!F380="",計分!$AP380=""),"",計分!$AP380-計分!F380)</f>
        <v/>
      </c>
      <c r="G380">
        <f>IF(OR(計分!G380="",計分!$AP380=""),"",計分!$AP380-計分!G380)</f>
        <v/>
      </c>
      <c r="H380">
        <f>IF(OR(計分!H380="",計分!$AP380=""),"",計分!$AP380-計分!H380)</f>
        <v/>
      </c>
      <c r="I380">
        <f>IF(OR(計分!I380="",計分!$AP380=""),"",計分!$AP380-計分!I380)</f>
        <v/>
      </c>
      <c r="J380">
        <f>IF(OR(計分!J380="",計分!$AP380=""),"",計分!$AP380-計分!J380)</f>
        <v/>
      </c>
      <c r="K380">
        <f>IF(OR(計分!K380="",計分!$AP380=""),"",計分!$AP380-計分!K380)</f>
        <v/>
      </c>
      <c r="L380">
        <f>IF(OR(計分!L380="",計分!$AP380=""),"",計分!$AP380-計分!L380)</f>
        <v/>
      </c>
      <c r="M380">
        <f>IF(OR(計分!M380="",計分!$AP380=""),"",計分!$AP380-計分!M380)</f>
        <v/>
      </c>
      <c r="N380">
        <f>IF(OR(計分!N380="",計分!$AP380=""),"",計分!$AP380-計分!N380)</f>
        <v/>
      </c>
      <c r="O380">
        <f>IF(OR(計分!O380="",計分!$AP380=""),"",計分!$AP380-計分!O380)</f>
        <v/>
      </c>
      <c r="P380">
        <f>IF(OR(計分!P380="",計分!$AP380=""),"",計分!$AP380-計分!P380)</f>
        <v/>
      </c>
      <c r="Q380">
        <f>IF(OR(計分!Q380="",計分!$AP380=""),"",計分!$AP380-計分!Q380)</f>
        <v/>
      </c>
      <c r="R380">
        <f>IF(OR(計分!R380="",計分!$AP380=""),"",計分!$AP380-計分!R380)</f>
        <v/>
      </c>
      <c r="S380">
        <f>IF(OR(計分!S380="",計分!$AP380=""),"",計分!$AP380-計分!S380)</f>
        <v/>
      </c>
      <c r="T380">
        <f>IF(OR(計分!T380="",計分!$AP380=""),"",計分!$AP380-計分!T380)</f>
        <v/>
      </c>
      <c r="U380">
        <f>IF(OR(計分!U380="",計分!$AP380=""),"",計分!$AP380-計分!U380)</f>
        <v/>
      </c>
      <c r="V380">
        <f>IF(OR(計分!V380="",計分!$AP380=""),"",計分!$AP380-計分!V380)</f>
        <v/>
      </c>
      <c r="W380">
        <f>IF(OR(計分!W380="",計分!$AP380=""),"",計分!$AP380-計分!W380)</f>
        <v/>
      </c>
      <c r="X380">
        <f>IF(OR(計分!X380="",計分!$AP380=""),"",計分!$AP380-計分!X380)</f>
        <v/>
      </c>
      <c r="Y380">
        <f>IF(OR(計分!Y380="",計分!$AP380=""),"",計分!$AP380-計分!Y380)</f>
        <v/>
      </c>
      <c r="Z380">
        <f>IF(OR(計分!Z380="",計分!$AP380=""),"",計分!$AP380-計分!Z380)</f>
        <v/>
      </c>
      <c r="AA380">
        <f>IF(OR(計分!AA380="",計分!$AP380=""),"",計分!$AP380-計分!AA380)</f>
        <v/>
      </c>
      <c r="AB380">
        <f>IF(OR(計分!AB380="",計分!$AP380=""),"",計分!$AP380-計分!AB380)</f>
        <v/>
      </c>
      <c r="AC380">
        <f>IF(OR(計分!AC380="",計分!$AP380=""),"",計分!$AP380-計分!AC380)</f>
        <v/>
      </c>
      <c r="AD380">
        <f>IF(OR(計分!AD380="",計分!$AP380=""),"",計分!$AP380-計分!AD380)</f>
        <v/>
      </c>
      <c r="AE380">
        <f>IF(OR(計分!AE380="",計分!$AP380=""),"",計分!$AP380-計分!AE380)</f>
        <v/>
      </c>
      <c r="AF380">
        <f>IF(OR(計分!AF380="",計分!$AP380=""),"",計分!$AP380-計分!AF380)</f>
        <v/>
      </c>
      <c r="AG380">
        <f>IF(OR(計分!AG380="",計分!$AP380=""),"",計分!$AP380-計分!AG380)</f>
        <v/>
      </c>
      <c r="AH380">
        <f>IF(OR(計分!AH380="",計分!$AP380=""),"",計分!$AP380-計分!AH380)</f>
        <v/>
      </c>
      <c r="AI380">
        <f>IF(OR(計分!AI380="",計分!$AP380=""),"",計分!$AP380-計分!AI380)</f>
        <v/>
      </c>
      <c r="AJ380">
        <f>IF(OR(計分!AJ380="",計分!$AP380=""),"",計分!$AP380-計分!AJ380)</f>
        <v/>
      </c>
      <c r="AK380">
        <f>IF(OR(計分!AK380="",計分!$AP380=""),"",計分!$AP380-計分!AK380)</f>
        <v/>
      </c>
      <c r="AL380">
        <f>IF(OR(計分!AL380="",計分!$AP380=""),"",計分!$AP380-計分!AL380)</f>
        <v/>
      </c>
      <c r="AM380">
        <f>IF(OR(計分!AM380="",計分!$AP380=""),"",計分!$AP380-計分!AM380)</f>
        <v/>
      </c>
      <c r="AN380">
        <f>IF(OR(計分!AN380="",計分!$AP380=""),"",計分!$AP380-計分!AN380)</f>
        <v/>
      </c>
      <c r="AO380">
        <f>IF(OR(計分!AO380="",計分!$AP380=""),"",計分!$AP380-計分!AO380)</f>
        <v/>
      </c>
    </row>
    <row r="381">
      <c r="A381">
        <f>計分!A381</f>
        <v/>
      </c>
      <c r="B381">
        <f>IF(OR(計分!B381="",計分!$AP381=""),"",計分!$AP381-計分!B381)</f>
        <v/>
      </c>
      <c r="C381">
        <f>IF(OR(計分!C381="",計分!$AP381=""),"",計分!$AP381-計分!C381)</f>
        <v/>
      </c>
      <c r="D381">
        <f>IF(OR(計分!D381="",計分!$AP381=""),"",計分!$AP381-計分!D381)</f>
        <v/>
      </c>
      <c r="E381">
        <f>IF(OR(計分!E381="",計分!$AP381=""),"",計分!$AP381-計分!E381)</f>
        <v/>
      </c>
      <c r="F381">
        <f>IF(OR(計分!F381="",計分!$AP381=""),"",計分!$AP381-計分!F381)</f>
        <v/>
      </c>
      <c r="G381">
        <f>IF(OR(計分!G381="",計分!$AP381=""),"",計分!$AP381-計分!G381)</f>
        <v/>
      </c>
      <c r="H381">
        <f>IF(OR(計分!H381="",計分!$AP381=""),"",計分!$AP381-計分!H381)</f>
        <v/>
      </c>
      <c r="I381">
        <f>IF(OR(計分!I381="",計分!$AP381=""),"",計分!$AP381-計分!I381)</f>
        <v/>
      </c>
      <c r="J381">
        <f>IF(OR(計分!J381="",計分!$AP381=""),"",計分!$AP381-計分!J381)</f>
        <v/>
      </c>
      <c r="K381">
        <f>IF(OR(計分!K381="",計分!$AP381=""),"",計分!$AP381-計分!K381)</f>
        <v/>
      </c>
      <c r="L381">
        <f>IF(OR(計分!L381="",計分!$AP381=""),"",計分!$AP381-計分!L381)</f>
        <v/>
      </c>
      <c r="M381">
        <f>IF(OR(計分!M381="",計分!$AP381=""),"",計分!$AP381-計分!M381)</f>
        <v/>
      </c>
      <c r="N381">
        <f>IF(OR(計分!N381="",計分!$AP381=""),"",計分!$AP381-計分!N381)</f>
        <v/>
      </c>
      <c r="O381">
        <f>IF(OR(計分!O381="",計分!$AP381=""),"",計分!$AP381-計分!O381)</f>
        <v/>
      </c>
      <c r="P381">
        <f>IF(OR(計分!P381="",計分!$AP381=""),"",計分!$AP381-計分!P381)</f>
        <v/>
      </c>
      <c r="Q381">
        <f>IF(OR(計分!Q381="",計分!$AP381=""),"",計分!$AP381-計分!Q381)</f>
        <v/>
      </c>
      <c r="R381">
        <f>IF(OR(計分!R381="",計分!$AP381=""),"",計分!$AP381-計分!R381)</f>
        <v/>
      </c>
      <c r="S381">
        <f>IF(OR(計分!S381="",計分!$AP381=""),"",計分!$AP381-計分!S381)</f>
        <v/>
      </c>
      <c r="T381">
        <f>IF(OR(計分!T381="",計分!$AP381=""),"",計分!$AP381-計分!T381)</f>
        <v/>
      </c>
      <c r="U381">
        <f>IF(OR(計分!U381="",計分!$AP381=""),"",計分!$AP381-計分!U381)</f>
        <v/>
      </c>
      <c r="V381">
        <f>IF(OR(計分!V381="",計分!$AP381=""),"",計分!$AP381-計分!V381)</f>
        <v/>
      </c>
      <c r="W381">
        <f>IF(OR(計分!W381="",計分!$AP381=""),"",計分!$AP381-計分!W381)</f>
        <v/>
      </c>
      <c r="X381">
        <f>IF(OR(計分!X381="",計分!$AP381=""),"",計分!$AP381-計分!X381)</f>
        <v/>
      </c>
      <c r="Y381">
        <f>IF(OR(計分!Y381="",計分!$AP381=""),"",計分!$AP381-計分!Y381)</f>
        <v/>
      </c>
      <c r="Z381">
        <f>IF(OR(計分!Z381="",計分!$AP381=""),"",計分!$AP381-計分!Z381)</f>
        <v/>
      </c>
      <c r="AA381">
        <f>IF(OR(計分!AA381="",計分!$AP381=""),"",計分!$AP381-計分!AA381)</f>
        <v/>
      </c>
      <c r="AB381">
        <f>IF(OR(計分!AB381="",計分!$AP381=""),"",計分!$AP381-計分!AB381)</f>
        <v/>
      </c>
      <c r="AC381">
        <f>IF(OR(計分!AC381="",計分!$AP381=""),"",計分!$AP381-計分!AC381)</f>
        <v/>
      </c>
      <c r="AD381">
        <f>IF(OR(計分!AD381="",計分!$AP381=""),"",計分!$AP381-計分!AD381)</f>
        <v/>
      </c>
      <c r="AE381">
        <f>IF(OR(計分!AE381="",計分!$AP381=""),"",計分!$AP381-計分!AE381)</f>
        <v/>
      </c>
      <c r="AF381">
        <f>IF(OR(計分!AF381="",計分!$AP381=""),"",計分!$AP381-計分!AF381)</f>
        <v/>
      </c>
      <c r="AG381">
        <f>IF(OR(計分!AG381="",計分!$AP381=""),"",計分!$AP381-計分!AG381)</f>
        <v/>
      </c>
      <c r="AH381">
        <f>IF(OR(計分!AH381="",計分!$AP381=""),"",計分!$AP381-計分!AH381)</f>
        <v/>
      </c>
      <c r="AI381">
        <f>IF(OR(計分!AI381="",計分!$AP381=""),"",計分!$AP381-計分!AI381)</f>
        <v/>
      </c>
      <c r="AJ381">
        <f>IF(OR(計分!AJ381="",計分!$AP381=""),"",計分!$AP381-計分!AJ381)</f>
        <v/>
      </c>
      <c r="AK381">
        <f>IF(OR(計分!AK381="",計分!$AP381=""),"",計分!$AP381-計分!AK381)</f>
        <v/>
      </c>
      <c r="AL381">
        <f>IF(OR(計分!AL381="",計分!$AP381=""),"",計分!$AP381-計分!AL381)</f>
        <v/>
      </c>
      <c r="AM381">
        <f>IF(OR(計分!AM381="",計分!$AP381=""),"",計分!$AP381-計分!AM381)</f>
        <v/>
      </c>
      <c r="AN381">
        <f>IF(OR(計分!AN381="",計分!$AP381=""),"",計分!$AP381-計分!AN381)</f>
        <v/>
      </c>
      <c r="AO381">
        <f>IF(OR(計分!AO381="",計分!$AP381=""),"",計分!$AP381-計分!AO381)</f>
        <v/>
      </c>
    </row>
    <row r="382">
      <c r="A382">
        <f>計分!A382</f>
        <v/>
      </c>
      <c r="B382">
        <f>IF(OR(計分!B382="",計分!$AP382=""),"",計分!$AP382-計分!B382)</f>
        <v/>
      </c>
      <c r="C382">
        <f>IF(OR(計分!C382="",計分!$AP382=""),"",計分!$AP382-計分!C382)</f>
        <v/>
      </c>
      <c r="D382">
        <f>IF(OR(計分!D382="",計分!$AP382=""),"",計分!$AP382-計分!D382)</f>
        <v/>
      </c>
      <c r="E382">
        <f>IF(OR(計分!E382="",計分!$AP382=""),"",計分!$AP382-計分!E382)</f>
        <v/>
      </c>
      <c r="F382">
        <f>IF(OR(計分!F382="",計分!$AP382=""),"",計分!$AP382-計分!F382)</f>
        <v/>
      </c>
      <c r="G382">
        <f>IF(OR(計分!G382="",計分!$AP382=""),"",計分!$AP382-計分!G382)</f>
        <v/>
      </c>
      <c r="H382">
        <f>IF(OR(計分!H382="",計分!$AP382=""),"",計分!$AP382-計分!H382)</f>
        <v/>
      </c>
      <c r="I382">
        <f>IF(OR(計分!I382="",計分!$AP382=""),"",計分!$AP382-計分!I382)</f>
        <v/>
      </c>
      <c r="J382">
        <f>IF(OR(計分!J382="",計分!$AP382=""),"",計分!$AP382-計分!J382)</f>
        <v/>
      </c>
      <c r="K382">
        <f>IF(OR(計分!K382="",計分!$AP382=""),"",計分!$AP382-計分!K382)</f>
        <v/>
      </c>
      <c r="L382">
        <f>IF(OR(計分!L382="",計分!$AP382=""),"",計分!$AP382-計分!L382)</f>
        <v/>
      </c>
      <c r="M382">
        <f>IF(OR(計分!M382="",計分!$AP382=""),"",計分!$AP382-計分!M382)</f>
        <v/>
      </c>
      <c r="N382">
        <f>IF(OR(計分!N382="",計分!$AP382=""),"",計分!$AP382-計分!N382)</f>
        <v/>
      </c>
      <c r="O382">
        <f>IF(OR(計分!O382="",計分!$AP382=""),"",計分!$AP382-計分!O382)</f>
        <v/>
      </c>
      <c r="P382">
        <f>IF(OR(計分!P382="",計分!$AP382=""),"",計分!$AP382-計分!P382)</f>
        <v/>
      </c>
      <c r="Q382">
        <f>IF(OR(計分!Q382="",計分!$AP382=""),"",計分!$AP382-計分!Q382)</f>
        <v/>
      </c>
      <c r="R382">
        <f>IF(OR(計分!R382="",計分!$AP382=""),"",計分!$AP382-計分!R382)</f>
        <v/>
      </c>
      <c r="S382">
        <f>IF(OR(計分!S382="",計分!$AP382=""),"",計分!$AP382-計分!S382)</f>
        <v/>
      </c>
      <c r="T382">
        <f>IF(OR(計分!T382="",計分!$AP382=""),"",計分!$AP382-計分!T382)</f>
        <v/>
      </c>
      <c r="U382">
        <f>IF(OR(計分!U382="",計分!$AP382=""),"",計分!$AP382-計分!U382)</f>
        <v/>
      </c>
      <c r="V382">
        <f>IF(OR(計分!V382="",計分!$AP382=""),"",計分!$AP382-計分!V382)</f>
        <v/>
      </c>
      <c r="W382">
        <f>IF(OR(計分!W382="",計分!$AP382=""),"",計分!$AP382-計分!W382)</f>
        <v/>
      </c>
      <c r="X382">
        <f>IF(OR(計分!X382="",計分!$AP382=""),"",計分!$AP382-計分!X382)</f>
        <v/>
      </c>
      <c r="Y382">
        <f>IF(OR(計分!Y382="",計分!$AP382=""),"",計分!$AP382-計分!Y382)</f>
        <v/>
      </c>
      <c r="Z382">
        <f>IF(OR(計分!Z382="",計分!$AP382=""),"",計分!$AP382-計分!Z382)</f>
        <v/>
      </c>
      <c r="AA382">
        <f>IF(OR(計分!AA382="",計分!$AP382=""),"",計分!$AP382-計分!AA382)</f>
        <v/>
      </c>
      <c r="AB382">
        <f>IF(OR(計分!AB382="",計分!$AP382=""),"",計分!$AP382-計分!AB382)</f>
        <v/>
      </c>
      <c r="AC382">
        <f>IF(OR(計分!AC382="",計分!$AP382=""),"",計分!$AP382-計分!AC382)</f>
        <v/>
      </c>
      <c r="AD382">
        <f>IF(OR(計分!AD382="",計分!$AP382=""),"",計分!$AP382-計分!AD382)</f>
        <v/>
      </c>
      <c r="AE382">
        <f>IF(OR(計分!AE382="",計分!$AP382=""),"",計分!$AP382-計分!AE382)</f>
        <v/>
      </c>
      <c r="AF382">
        <f>IF(OR(計分!AF382="",計分!$AP382=""),"",計分!$AP382-計分!AF382)</f>
        <v/>
      </c>
      <c r="AG382">
        <f>IF(OR(計分!AG382="",計分!$AP382=""),"",計分!$AP382-計分!AG382)</f>
        <v/>
      </c>
      <c r="AH382">
        <f>IF(OR(計分!AH382="",計分!$AP382=""),"",計分!$AP382-計分!AH382)</f>
        <v/>
      </c>
      <c r="AI382">
        <f>IF(OR(計分!AI382="",計分!$AP382=""),"",計分!$AP382-計分!AI382)</f>
        <v/>
      </c>
      <c r="AJ382">
        <f>IF(OR(計分!AJ382="",計分!$AP382=""),"",計分!$AP382-計分!AJ382)</f>
        <v/>
      </c>
      <c r="AK382">
        <f>IF(OR(計分!AK382="",計分!$AP382=""),"",計分!$AP382-計分!AK382)</f>
        <v/>
      </c>
      <c r="AL382">
        <f>IF(OR(計分!AL382="",計分!$AP382=""),"",計分!$AP382-計分!AL382)</f>
        <v/>
      </c>
      <c r="AM382">
        <f>IF(OR(計分!AM382="",計分!$AP382=""),"",計分!$AP382-計分!AM382)</f>
        <v/>
      </c>
      <c r="AN382">
        <f>IF(OR(計分!AN382="",計分!$AP382=""),"",計分!$AP382-計分!AN382)</f>
        <v/>
      </c>
      <c r="AO382">
        <f>IF(OR(計分!AO382="",計分!$AP382=""),"",計分!$AP382-計分!AO382)</f>
        <v/>
      </c>
    </row>
    <row r="383">
      <c r="A383">
        <f>計分!A383</f>
        <v/>
      </c>
      <c r="B383">
        <f>IF(OR(計分!B383="",計分!$AP383=""),"",計分!$AP383-計分!B383)</f>
        <v/>
      </c>
      <c r="C383">
        <f>IF(OR(計分!C383="",計分!$AP383=""),"",計分!$AP383-計分!C383)</f>
        <v/>
      </c>
      <c r="D383">
        <f>IF(OR(計分!D383="",計分!$AP383=""),"",計分!$AP383-計分!D383)</f>
        <v/>
      </c>
      <c r="E383">
        <f>IF(OR(計分!E383="",計分!$AP383=""),"",計分!$AP383-計分!E383)</f>
        <v/>
      </c>
      <c r="F383">
        <f>IF(OR(計分!F383="",計分!$AP383=""),"",計分!$AP383-計分!F383)</f>
        <v/>
      </c>
      <c r="G383">
        <f>IF(OR(計分!G383="",計分!$AP383=""),"",計分!$AP383-計分!G383)</f>
        <v/>
      </c>
      <c r="H383">
        <f>IF(OR(計分!H383="",計分!$AP383=""),"",計分!$AP383-計分!H383)</f>
        <v/>
      </c>
      <c r="I383">
        <f>IF(OR(計分!I383="",計分!$AP383=""),"",計分!$AP383-計分!I383)</f>
        <v/>
      </c>
      <c r="J383">
        <f>IF(OR(計分!J383="",計分!$AP383=""),"",計分!$AP383-計分!J383)</f>
        <v/>
      </c>
      <c r="K383">
        <f>IF(OR(計分!K383="",計分!$AP383=""),"",計分!$AP383-計分!K383)</f>
        <v/>
      </c>
      <c r="L383">
        <f>IF(OR(計分!L383="",計分!$AP383=""),"",計分!$AP383-計分!L383)</f>
        <v/>
      </c>
      <c r="M383">
        <f>IF(OR(計分!M383="",計分!$AP383=""),"",計分!$AP383-計分!M383)</f>
        <v/>
      </c>
      <c r="N383">
        <f>IF(OR(計分!N383="",計分!$AP383=""),"",計分!$AP383-計分!N383)</f>
        <v/>
      </c>
      <c r="O383">
        <f>IF(OR(計分!O383="",計分!$AP383=""),"",計分!$AP383-計分!O383)</f>
        <v/>
      </c>
      <c r="P383">
        <f>IF(OR(計分!P383="",計分!$AP383=""),"",計分!$AP383-計分!P383)</f>
        <v/>
      </c>
      <c r="Q383">
        <f>IF(OR(計分!Q383="",計分!$AP383=""),"",計分!$AP383-計分!Q383)</f>
        <v/>
      </c>
      <c r="R383">
        <f>IF(OR(計分!R383="",計分!$AP383=""),"",計分!$AP383-計分!R383)</f>
        <v/>
      </c>
      <c r="S383">
        <f>IF(OR(計分!S383="",計分!$AP383=""),"",計分!$AP383-計分!S383)</f>
        <v/>
      </c>
      <c r="T383">
        <f>IF(OR(計分!T383="",計分!$AP383=""),"",計分!$AP383-計分!T383)</f>
        <v/>
      </c>
      <c r="U383">
        <f>IF(OR(計分!U383="",計分!$AP383=""),"",計分!$AP383-計分!U383)</f>
        <v/>
      </c>
      <c r="V383">
        <f>IF(OR(計分!V383="",計分!$AP383=""),"",計分!$AP383-計分!V383)</f>
        <v/>
      </c>
      <c r="W383">
        <f>IF(OR(計分!W383="",計分!$AP383=""),"",計分!$AP383-計分!W383)</f>
        <v/>
      </c>
      <c r="X383">
        <f>IF(OR(計分!X383="",計分!$AP383=""),"",計分!$AP383-計分!X383)</f>
        <v/>
      </c>
      <c r="Y383">
        <f>IF(OR(計分!Y383="",計分!$AP383=""),"",計分!$AP383-計分!Y383)</f>
        <v/>
      </c>
      <c r="Z383">
        <f>IF(OR(計分!Z383="",計分!$AP383=""),"",計分!$AP383-計分!Z383)</f>
        <v/>
      </c>
      <c r="AA383">
        <f>IF(OR(計分!AA383="",計分!$AP383=""),"",計分!$AP383-計分!AA383)</f>
        <v/>
      </c>
      <c r="AB383">
        <f>IF(OR(計分!AB383="",計分!$AP383=""),"",計分!$AP383-計分!AB383)</f>
        <v/>
      </c>
      <c r="AC383">
        <f>IF(OR(計分!AC383="",計分!$AP383=""),"",計分!$AP383-計分!AC383)</f>
        <v/>
      </c>
      <c r="AD383">
        <f>IF(OR(計分!AD383="",計分!$AP383=""),"",計分!$AP383-計分!AD383)</f>
        <v/>
      </c>
      <c r="AE383">
        <f>IF(OR(計分!AE383="",計分!$AP383=""),"",計分!$AP383-計分!AE383)</f>
        <v/>
      </c>
      <c r="AF383">
        <f>IF(OR(計分!AF383="",計分!$AP383=""),"",計分!$AP383-計分!AF383)</f>
        <v/>
      </c>
      <c r="AG383">
        <f>IF(OR(計分!AG383="",計分!$AP383=""),"",計分!$AP383-計分!AG383)</f>
        <v/>
      </c>
      <c r="AH383">
        <f>IF(OR(計分!AH383="",計分!$AP383=""),"",計分!$AP383-計分!AH383)</f>
        <v/>
      </c>
      <c r="AI383">
        <f>IF(OR(計分!AI383="",計分!$AP383=""),"",計分!$AP383-計分!AI383)</f>
        <v/>
      </c>
      <c r="AJ383">
        <f>IF(OR(計分!AJ383="",計分!$AP383=""),"",計分!$AP383-計分!AJ383)</f>
        <v/>
      </c>
      <c r="AK383">
        <f>IF(OR(計分!AK383="",計分!$AP383=""),"",計分!$AP383-計分!AK383)</f>
        <v/>
      </c>
      <c r="AL383">
        <f>IF(OR(計分!AL383="",計分!$AP383=""),"",計分!$AP383-計分!AL383)</f>
        <v/>
      </c>
      <c r="AM383">
        <f>IF(OR(計分!AM383="",計分!$AP383=""),"",計分!$AP383-計分!AM383)</f>
        <v/>
      </c>
      <c r="AN383">
        <f>IF(OR(計分!AN383="",計分!$AP383=""),"",計分!$AP383-計分!AN383)</f>
        <v/>
      </c>
      <c r="AO383">
        <f>IF(OR(計分!AO383="",計分!$AP383=""),"",計分!$AP383-計分!AO383)</f>
        <v/>
      </c>
    </row>
    <row r="384">
      <c r="A384">
        <f>計分!A384</f>
        <v/>
      </c>
      <c r="B384">
        <f>IF(OR(計分!B384="",計分!$AP384=""),"",計分!$AP384-計分!B384)</f>
        <v/>
      </c>
      <c r="C384">
        <f>IF(OR(計分!C384="",計分!$AP384=""),"",計分!$AP384-計分!C384)</f>
        <v/>
      </c>
      <c r="D384">
        <f>IF(OR(計分!D384="",計分!$AP384=""),"",計分!$AP384-計分!D384)</f>
        <v/>
      </c>
      <c r="E384">
        <f>IF(OR(計分!E384="",計分!$AP384=""),"",計分!$AP384-計分!E384)</f>
        <v/>
      </c>
      <c r="F384">
        <f>IF(OR(計分!F384="",計分!$AP384=""),"",計分!$AP384-計分!F384)</f>
        <v/>
      </c>
      <c r="G384">
        <f>IF(OR(計分!G384="",計分!$AP384=""),"",計分!$AP384-計分!G384)</f>
        <v/>
      </c>
      <c r="H384">
        <f>IF(OR(計分!H384="",計分!$AP384=""),"",計分!$AP384-計分!H384)</f>
        <v/>
      </c>
      <c r="I384">
        <f>IF(OR(計分!I384="",計分!$AP384=""),"",計分!$AP384-計分!I384)</f>
        <v/>
      </c>
      <c r="J384">
        <f>IF(OR(計分!J384="",計分!$AP384=""),"",計分!$AP384-計分!J384)</f>
        <v/>
      </c>
      <c r="K384">
        <f>IF(OR(計分!K384="",計分!$AP384=""),"",計分!$AP384-計分!K384)</f>
        <v/>
      </c>
      <c r="L384">
        <f>IF(OR(計分!L384="",計分!$AP384=""),"",計分!$AP384-計分!L384)</f>
        <v/>
      </c>
      <c r="M384">
        <f>IF(OR(計分!M384="",計分!$AP384=""),"",計分!$AP384-計分!M384)</f>
        <v/>
      </c>
      <c r="N384">
        <f>IF(OR(計分!N384="",計分!$AP384=""),"",計分!$AP384-計分!N384)</f>
        <v/>
      </c>
      <c r="O384">
        <f>IF(OR(計分!O384="",計分!$AP384=""),"",計分!$AP384-計分!O384)</f>
        <v/>
      </c>
      <c r="P384">
        <f>IF(OR(計分!P384="",計分!$AP384=""),"",計分!$AP384-計分!P384)</f>
        <v/>
      </c>
      <c r="Q384">
        <f>IF(OR(計分!Q384="",計分!$AP384=""),"",計分!$AP384-計分!Q384)</f>
        <v/>
      </c>
      <c r="R384">
        <f>IF(OR(計分!R384="",計分!$AP384=""),"",計分!$AP384-計分!R384)</f>
        <v/>
      </c>
      <c r="S384">
        <f>IF(OR(計分!S384="",計分!$AP384=""),"",計分!$AP384-計分!S384)</f>
        <v/>
      </c>
      <c r="T384">
        <f>IF(OR(計分!T384="",計分!$AP384=""),"",計分!$AP384-計分!T384)</f>
        <v/>
      </c>
      <c r="U384">
        <f>IF(OR(計分!U384="",計分!$AP384=""),"",計分!$AP384-計分!U384)</f>
        <v/>
      </c>
      <c r="V384">
        <f>IF(OR(計分!V384="",計分!$AP384=""),"",計分!$AP384-計分!V384)</f>
        <v/>
      </c>
      <c r="W384">
        <f>IF(OR(計分!W384="",計分!$AP384=""),"",計分!$AP384-計分!W384)</f>
        <v/>
      </c>
      <c r="X384">
        <f>IF(OR(計分!X384="",計分!$AP384=""),"",計分!$AP384-計分!X384)</f>
        <v/>
      </c>
      <c r="Y384">
        <f>IF(OR(計分!Y384="",計分!$AP384=""),"",計分!$AP384-計分!Y384)</f>
        <v/>
      </c>
      <c r="Z384">
        <f>IF(OR(計分!Z384="",計分!$AP384=""),"",計分!$AP384-計分!Z384)</f>
        <v/>
      </c>
      <c r="AA384">
        <f>IF(OR(計分!AA384="",計分!$AP384=""),"",計分!$AP384-計分!AA384)</f>
        <v/>
      </c>
      <c r="AB384">
        <f>IF(OR(計分!AB384="",計分!$AP384=""),"",計分!$AP384-計分!AB384)</f>
        <v/>
      </c>
      <c r="AC384">
        <f>IF(OR(計分!AC384="",計分!$AP384=""),"",計分!$AP384-計分!AC384)</f>
        <v/>
      </c>
      <c r="AD384">
        <f>IF(OR(計分!AD384="",計分!$AP384=""),"",計分!$AP384-計分!AD384)</f>
        <v/>
      </c>
      <c r="AE384">
        <f>IF(OR(計分!AE384="",計分!$AP384=""),"",計分!$AP384-計分!AE384)</f>
        <v/>
      </c>
      <c r="AF384">
        <f>IF(OR(計分!AF384="",計分!$AP384=""),"",計分!$AP384-計分!AF384)</f>
        <v/>
      </c>
      <c r="AG384">
        <f>IF(OR(計分!AG384="",計分!$AP384=""),"",計分!$AP384-計分!AG384)</f>
        <v/>
      </c>
      <c r="AH384">
        <f>IF(OR(計分!AH384="",計分!$AP384=""),"",計分!$AP384-計分!AH384)</f>
        <v/>
      </c>
      <c r="AI384">
        <f>IF(OR(計分!AI384="",計分!$AP384=""),"",計分!$AP384-計分!AI384)</f>
        <v/>
      </c>
      <c r="AJ384">
        <f>IF(OR(計分!AJ384="",計分!$AP384=""),"",計分!$AP384-計分!AJ384)</f>
        <v/>
      </c>
      <c r="AK384">
        <f>IF(OR(計分!AK384="",計分!$AP384=""),"",計分!$AP384-計分!AK384)</f>
        <v/>
      </c>
      <c r="AL384">
        <f>IF(OR(計分!AL384="",計分!$AP384=""),"",計分!$AP384-計分!AL384)</f>
        <v/>
      </c>
      <c r="AM384">
        <f>IF(OR(計分!AM384="",計分!$AP384=""),"",計分!$AP384-計分!AM384)</f>
        <v/>
      </c>
      <c r="AN384">
        <f>IF(OR(計分!AN384="",計分!$AP384=""),"",計分!$AP384-計分!AN384)</f>
        <v/>
      </c>
      <c r="AO384">
        <f>IF(OR(計分!AO384="",計分!$AP384=""),"",計分!$AP384-計分!AO384)</f>
        <v/>
      </c>
    </row>
    <row r="385">
      <c r="A385">
        <f>計分!A385</f>
        <v/>
      </c>
      <c r="B385">
        <f>IF(OR(計分!B385="",計分!$AP385=""),"",計分!$AP385-計分!B385)</f>
        <v/>
      </c>
      <c r="C385">
        <f>IF(OR(計分!C385="",計分!$AP385=""),"",計分!$AP385-計分!C385)</f>
        <v/>
      </c>
      <c r="D385">
        <f>IF(OR(計分!D385="",計分!$AP385=""),"",計分!$AP385-計分!D385)</f>
        <v/>
      </c>
      <c r="E385">
        <f>IF(OR(計分!E385="",計分!$AP385=""),"",計分!$AP385-計分!E385)</f>
        <v/>
      </c>
      <c r="F385">
        <f>IF(OR(計分!F385="",計分!$AP385=""),"",計分!$AP385-計分!F385)</f>
        <v/>
      </c>
      <c r="G385">
        <f>IF(OR(計分!G385="",計分!$AP385=""),"",計分!$AP385-計分!G385)</f>
        <v/>
      </c>
      <c r="H385">
        <f>IF(OR(計分!H385="",計分!$AP385=""),"",計分!$AP385-計分!H385)</f>
        <v/>
      </c>
      <c r="I385">
        <f>IF(OR(計分!I385="",計分!$AP385=""),"",計分!$AP385-計分!I385)</f>
        <v/>
      </c>
      <c r="J385">
        <f>IF(OR(計分!J385="",計分!$AP385=""),"",計分!$AP385-計分!J385)</f>
        <v/>
      </c>
      <c r="K385">
        <f>IF(OR(計分!K385="",計分!$AP385=""),"",計分!$AP385-計分!K385)</f>
        <v/>
      </c>
      <c r="L385">
        <f>IF(OR(計分!L385="",計分!$AP385=""),"",計分!$AP385-計分!L385)</f>
        <v/>
      </c>
      <c r="M385">
        <f>IF(OR(計分!M385="",計分!$AP385=""),"",計分!$AP385-計分!M385)</f>
        <v/>
      </c>
      <c r="N385">
        <f>IF(OR(計分!N385="",計分!$AP385=""),"",計分!$AP385-計分!N385)</f>
        <v/>
      </c>
      <c r="O385">
        <f>IF(OR(計分!O385="",計分!$AP385=""),"",計分!$AP385-計分!O385)</f>
        <v/>
      </c>
      <c r="P385">
        <f>IF(OR(計分!P385="",計分!$AP385=""),"",計分!$AP385-計分!P385)</f>
        <v/>
      </c>
      <c r="Q385">
        <f>IF(OR(計分!Q385="",計分!$AP385=""),"",計分!$AP385-計分!Q385)</f>
        <v/>
      </c>
      <c r="R385">
        <f>IF(OR(計分!R385="",計分!$AP385=""),"",計分!$AP385-計分!R385)</f>
        <v/>
      </c>
      <c r="S385">
        <f>IF(OR(計分!S385="",計分!$AP385=""),"",計分!$AP385-計分!S385)</f>
        <v/>
      </c>
      <c r="T385">
        <f>IF(OR(計分!T385="",計分!$AP385=""),"",計分!$AP385-計分!T385)</f>
        <v/>
      </c>
      <c r="U385">
        <f>IF(OR(計分!U385="",計分!$AP385=""),"",計分!$AP385-計分!U385)</f>
        <v/>
      </c>
      <c r="V385">
        <f>IF(OR(計分!V385="",計分!$AP385=""),"",計分!$AP385-計分!V385)</f>
        <v/>
      </c>
      <c r="W385">
        <f>IF(OR(計分!W385="",計分!$AP385=""),"",計分!$AP385-計分!W385)</f>
        <v/>
      </c>
      <c r="X385">
        <f>IF(OR(計分!X385="",計分!$AP385=""),"",計分!$AP385-計分!X385)</f>
        <v/>
      </c>
      <c r="Y385">
        <f>IF(OR(計分!Y385="",計分!$AP385=""),"",計分!$AP385-計分!Y385)</f>
        <v/>
      </c>
      <c r="Z385">
        <f>IF(OR(計分!Z385="",計分!$AP385=""),"",計分!$AP385-計分!Z385)</f>
        <v/>
      </c>
      <c r="AA385">
        <f>IF(OR(計分!AA385="",計分!$AP385=""),"",計分!$AP385-計分!AA385)</f>
        <v/>
      </c>
      <c r="AB385">
        <f>IF(OR(計分!AB385="",計分!$AP385=""),"",計分!$AP385-計分!AB385)</f>
        <v/>
      </c>
      <c r="AC385">
        <f>IF(OR(計分!AC385="",計分!$AP385=""),"",計分!$AP385-計分!AC385)</f>
        <v/>
      </c>
      <c r="AD385">
        <f>IF(OR(計分!AD385="",計分!$AP385=""),"",計分!$AP385-計分!AD385)</f>
        <v/>
      </c>
      <c r="AE385">
        <f>IF(OR(計分!AE385="",計分!$AP385=""),"",計分!$AP385-計分!AE385)</f>
        <v/>
      </c>
      <c r="AF385">
        <f>IF(OR(計分!AF385="",計分!$AP385=""),"",計分!$AP385-計分!AF385)</f>
        <v/>
      </c>
      <c r="AG385">
        <f>IF(OR(計分!AG385="",計分!$AP385=""),"",計分!$AP385-計分!AG385)</f>
        <v/>
      </c>
      <c r="AH385">
        <f>IF(OR(計分!AH385="",計分!$AP385=""),"",計分!$AP385-計分!AH385)</f>
        <v/>
      </c>
      <c r="AI385">
        <f>IF(OR(計分!AI385="",計分!$AP385=""),"",計分!$AP385-計分!AI385)</f>
        <v/>
      </c>
      <c r="AJ385">
        <f>IF(OR(計分!AJ385="",計分!$AP385=""),"",計分!$AP385-計分!AJ385)</f>
        <v/>
      </c>
      <c r="AK385">
        <f>IF(OR(計分!AK385="",計分!$AP385=""),"",計分!$AP385-計分!AK385)</f>
        <v/>
      </c>
      <c r="AL385">
        <f>IF(OR(計分!AL385="",計分!$AP385=""),"",計分!$AP385-計分!AL385)</f>
        <v/>
      </c>
      <c r="AM385">
        <f>IF(OR(計分!AM385="",計分!$AP385=""),"",計分!$AP385-計分!AM385)</f>
        <v/>
      </c>
      <c r="AN385">
        <f>IF(OR(計分!AN385="",計分!$AP385=""),"",計分!$AP385-計分!AN385)</f>
        <v/>
      </c>
      <c r="AO385">
        <f>IF(OR(計分!AO385="",計分!$AP385=""),"",計分!$AP385-計分!AO385)</f>
        <v/>
      </c>
    </row>
    <row r="386">
      <c r="A386">
        <f>計分!A386</f>
        <v/>
      </c>
      <c r="B386">
        <f>IF(OR(計分!B386="",計分!$AP386=""),"",計分!$AP386-計分!B386)</f>
        <v/>
      </c>
      <c r="C386">
        <f>IF(OR(計分!C386="",計分!$AP386=""),"",計分!$AP386-計分!C386)</f>
        <v/>
      </c>
      <c r="D386">
        <f>IF(OR(計分!D386="",計分!$AP386=""),"",計分!$AP386-計分!D386)</f>
        <v/>
      </c>
      <c r="E386">
        <f>IF(OR(計分!E386="",計分!$AP386=""),"",計分!$AP386-計分!E386)</f>
        <v/>
      </c>
      <c r="F386">
        <f>IF(OR(計分!F386="",計分!$AP386=""),"",計分!$AP386-計分!F386)</f>
        <v/>
      </c>
      <c r="G386">
        <f>IF(OR(計分!G386="",計分!$AP386=""),"",計分!$AP386-計分!G386)</f>
        <v/>
      </c>
      <c r="H386">
        <f>IF(OR(計分!H386="",計分!$AP386=""),"",計分!$AP386-計分!H386)</f>
        <v/>
      </c>
      <c r="I386">
        <f>IF(OR(計分!I386="",計分!$AP386=""),"",計分!$AP386-計分!I386)</f>
        <v/>
      </c>
      <c r="J386">
        <f>IF(OR(計分!J386="",計分!$AP386=""),"",計分!$AP386-計分!J386)</f>
        <v/>
      </c>
      <c r="K386">
        <f>IF(OR(計分!K386="",計分!$AP386=""),"",計分!$AP386-計分!K386)</f>
        <v/>
      </c>
      <c r="L386">
        <f>IF(OR(計分!L386="",計分!$AP386=""),"",計分!$AP386-計分!L386)</f>
        <v/>
      </c>
      <c r="M386">
        <f>IF(OR(計分!M386="",計分!$AP386=""),"",計分!$AP386-計分!M386)</f>
        <v/>
      </c>
      <c r="N386">
        <f>IF(OR(計分!N386="",計分!$AP386=""),"",計分!$AP386-計分!N386)</f>
        <v/>
      </c>
      <c r="O386">
        <f>IF(OR(計分!O386="",計分!$AP386=""),"",計分!$AP386-計分!O386)</f>
        <v/>
      </c>
      <c r="P386">
        <f>IF(OR(計分!P386="",計分!$AP386=""),"",計分!$AP386-計分!P386)</f>
        <v/>
      </c>
      <c r="Q386">
        <f>IF(OR(計分!Q386="",計分!$AP386=""),"",計分!$AP386-計分!Q386)</f>
        <v/>
      </c>
      <c r="R386">
        <f>IF(OR(計分!R386="",計分!$AP386=""),"",計分!$AP386-計分!R386)</f>
        <v/>
      </c>
      <c r="S386">
        <f>IF(OR(計分!S386="",計分!$AP386=""),"",計分!$AP386-計分!S386)</f>
        <v/>
      </c>
      <c r="T386">
        <f>IF(OR(計分!T386="",計分!$AP386=""),"",計分!$AP386-計分!T386)</f>
        <v/>
      </c>
      <c r="U386">
        <f>IF(OR(計分!U386="",計分!$AP386=""),"",計分!$AP386-計分!U386)</f>
        <v/>
      </c>
      <c r="V386">
        <f>IF(OR(計分!V386="",計分!$AP386=""),"",計分!$AP386-計分!V386)</f>
        <v/>
      </c>
      <c r="W386">
        <f>IF(OR(計分!W386="",計分!$AP386=""),"",計分!$AP386-計分!W386)</f>
        <v/>
      </c>
      <c r="X386">
        <f>IF(OR(計分!X386="",計分!$AP386=""),"",計分!$AP386-計分!X386)</f>
        <v/>
      </c>
      <c r="Y386">
        <f>IF(OR(計分!Y386="",計分!$AP386=""),"",計分!$AP386-計分!Y386)</f>
        <v/>
      </c>
      <c r="Z386">
        <f>IF(OR(計分!Z386="",計分!$AP386=""),"",計分!$AP386-計分!Z386)</f>
        <v/>
      </c>
      <c r="AA386">
        <f>IF(OR(計分!AA386="",計分!$AP386=""),"",計分!$AP386-計分!AA386)</f>
        <v/>
      </c>
      <c r="AB386">
        <f>IF(OR(計分!AB386="",計分!$AP386=""),"",計分!$AP386-計分!AB386)</f>
        <v/>
      </c>
      <c r="AC386">
        <f>IF(OR(計分!AC386="",計分!$AP386=""),"",計分!$AP386-計分!AC386)</f>
        <v/>
      </c>
      <c r="AD386">
        <f>IF(OR(計分!AD386="",計分!$AP386=""),"",計分!$AP386-計分!AD386)</f>
        <v/>
      </c>
      <c r="AE386">
        <f>IF(OR(計分!AE386="",計分!$AP386=""),"",計分!$AP386-計分!AE386)</f>
        <v/>
      </c>
      <c r="AF386">
        <f>IF(OR(計分!AF386="",計分!$AP386=""),"",計分!$AP386-計分!AF386)</f>
        <v/>
      </c>
      <c r="AG386">
        <f>IF(OR(計分!AG386="",計分!$AP386=""),"",計分!$AP386-計分!AG386)</f>
        <v/>
      </c>
      <c r="AH386">
        <f>IF(OR(計分!AH386="",計分!$AP386=""),"",計分!$AP386-計分!AH386)</f>
        <v/>
      </c>
      <c r="AI386">
        <f>IF(OR(計分!AI386="",計分!$AP386=""),"",計分!$AP386-計分!AI386)</f>
        <v/>
      </c>
      <c r="AJ386">
        <f>IF(OR(計分!AJ386="",計分!$AP386=""),"",計分!$AP386-計分!AJ386)</f>
        <v/>
      </c>
      <c r="AK386">
        <f>IF(OR(計分!AK386="",計分!$AP386=""),"",計分!$AP386-計分!AK386)</f>
        <v/>
      </c>
      <c r="AL386">
        <f>IF(OR(計分!AL386="",計分!$AP386=""),"",計分!$AP386-計分!AL386)</f>
        <v/>
      </c>
      <c r="AM386">
        <f>IF(OR(計分!AM386="",計分!$AP386=""),"",計分!$AP386-計分!AM386)</f>
        <v/>
      </c>
      <c r="AN386">
        <f>IF(OR(計分!AN386="",計分!$AP386=""),"",計分!$AP386-計分!AN386)</f>
        <v/>
      </c>
      <c r="AO386">
        <f>IF(OR(計分!AO386="",計分!$AP386=""),"",計分!$AP386-計分!AO386)</f>
        <v/>
      </c>
    </row>
    <row r="387">
      <c r="A387">
        <f>計分!A387</f>
        <v/>
      </c>
      <c r="B387">
        <f>IF(OR(計分!B387="",計分!$AP387=""),"",計分!$AP387-計分!B387)</f>
        <v/>
      </c>
      <c r="C387">
        <f>IF(OR(計分!C387="",計分!$AP387=""),"",計分!$AP387-計分!C387)</f>
        <v/>
      </c>
      <c r="D387">
        <f>IF(OR(計分!D387="",計分!$AP387=""),"",計分!$AP387-計分!D387)</f>
        <v/>
      </c>
      <c r="E387">
        <f>IF(OR(計分!E387="",計分!$AP387=""),"",計分!$AP387-計分!E387)</f>
        <v/>
      </c>
      <c r="F387">
        <f>IF(OR(計分!F387="",計分!$AP387=""),"",計分!$AP387-計分!F387)</f>
        <v/>
      </c>
      <c r="G387">
        <f>IF(OR(計分!G387="",計分!$AP387=""),"",計分!$AP387-計分!G387)</f>
        <v/>
      </c>
      <c r="H387">
        <f>IF(OR(計分!H387="",計分!$AP387=""),"",計分!$AP387-計分!H387)</f>
        <v/>
      </c>
      <c r="I387">
        <f>IF(OR(計分!I387="",計分!$AP387=""),"",計分!$AP387-計分!I387)</f>
        <v/>
      </c>
      <c r="J387">
        <f>IF(OR(計分!J387="",計分!$AP387=""),"",計分!$AP387-計分!J387)</f>
        <v/>
      </c>
      <c r="K387">
        <f>IF(OR(計分!K387="",計分!$AP387=""),"",計分!$AP387-計分!K387)</f>
        <v/>
      </c>
      <c r="L387">
        <f>IF(OR(計分!L387="",計分!$AP387=""),"",計分!$AP387-計分!L387)</f>
        <v/>
      </c>
      <c r="M387">
        <f>IF(OR(計分!M387="",計分!$AP387=""),"",計分!$AP387-計分!M387)</f>
        <v/>
      </c>
      <c r="N387">
        <f>IF(OR(計分!N387="",計分!$AP387=""),"",計分!$AP387-計分!N387)</f>
        <v/>
      </c>
      <c r="O387">
        <f>IF(OR(計分!O387="",計分!$AP387=""),"",計分!$AP387-計分!O387)</f>
        <v/>
      </c>
      <c r="P387">
        <f>IF(OR(計分!P387="",計分!$AP387=""),"",計分!$AP387-計分!P387)</f>
        <v/>
      </c>
      <c r="Q387">
        <f>IF(OR(計分!Q387="",計分!$AP387=""),"",計分!$AP387-計分!Q387)</f>
        <v/>
      </c>
      <c r="R387">
        <f>IF(OR(計分!R387="",計分!$AP387=""),"",計分!$AP387-計分!R387)</f>
        <v/>
      </c>
      <c r="S387">
        <f>IF(OR(計分!S387="",計分!$AP387=""),"",計分!$AP387-計分!S387)</f>
        <v/>
      </c>
      <c r="T387">
        <f>IF(OR(計分!T387="",計分!$AP387=""),"",計分!$AP387-計分!T387)</f>
        <v/>
      </c>
      <c r="U387">
        <f>IF(OR(計分!U387="",計分!$AP387=""),"",計分!$AP387-計分!U387)</f>
        <v/>
      </c>
      <c r="V387">
        <f>IF(OR(計分!V387="",計分!$AP387=""),"",計分!$AP387-計分!V387)</f>
        <v/>
      </c>
      <c r="W387">
        <f>IF(OR(計分!W387="",計分!$AP387=""),"",計分!$AP387-計分!W387)</f>
        <v/>
      </c>
      <c r="X387">
        <f>IF(OR(計分!X387="",計分!$AP387=""),"",計分!$AP387-計分!X387)</f>
        <v/>
      </c>
      <c r="Y387">
        <f>IF(OR(計分!Y387="",計分!$AP387=""),"",計分!$AP387-計分!Y387)</f>
        <v/>
      </c>
      <c r="Z387">
        <f>IF(OR(計分!Z387="",計分!$AP387=""),"",計分!$AP387-計分!Z387)</f>
        <v/>
      </c>
      <c r="AA387">
        <f>IF(OR(計分!AA387="",計分!$AP387=""),"",計分!$AP387-計分!AA387)</f>
        <v/>
      </c>
      <c r="AB387">
        <f>IF(OR(計分!AB387="",計分!$AP387=""),"",計分!$AP387-計分!AB387)</f>
        <v/>
      </c>
      <c r="AC387">
        <f>IF(OR(計分!AC387="",計分!$AP387=""),"",計分!$AP387-計分!AC387)</f>
        <v/>
      </c>
      <c r="AD387">
        <f>IF(OR(計分!AD387="",計分!$AP387=""),"",計分!$AP387-計分!AD387)</f>
        <v/>
      </c>
      <c r="AE387">
        <f>IF(OR(計分!AE387="",計分!$AP387=""),"",計分!$AP387-計分!AE387)</f>
        <v/>
      </c>
      <c r="AF387">
        <f>IF(OR(計分!AF387="",計分!$AP387=""),"",計分!$AP387-計分!AF387)</f>
        <v/>
      </c>
      <c r="AG387">
        <f>IF(OR(計分!AG387="",計分!$AP387=""),"",計分!$AP387-計分!AG387)</f>
        <v/>
      </c>
      <c r="AH387">
        <f>IF(OR(計分!AH387="",計分!$AP387=""),"",計分!$AP387-計分!AH387)</f>
        <v/>
      </c>
      <c r="AI387">
        <f>IF(OR(計分!AI387="",計分!$AP387=""),"",計分!$AP387-計分!AI387)</f>
        <v/>
      </c>
      <c r="AJ387">
        <f>IF(OR(計分!AJ387="",計分!$AP387=""),"",計分!$AP387-計分!AJ387)</f>
        <v/>
      </c>
      <c r="AK387">
        <f>IF(OR(計分!AK387="",計分!$AP387=""),"",計分!$AP387-計分!AK387)</f>
        <v/>
      </c>
      <c r="AL387">
        <f>IF(OR(計分!AL387="",計分!$AP387=""),"",計分!$AP387-計分!AL387)</f>
        <v/>
      </c>
      <c r="AM387">
        <f>IF(OR(計分!AM387="",計分!$AP387=""),"",計分!$AP387-計分!AM387)</f>
        <v/>
      </c>
      <c r="AN387">
        <f>IF(OR(計分!AN387="",計分!$AP387=""),"",計分!$AP387-計分!AN387)</f>
        <v/>
      </c>
      <c r="AO387">
        <f>IF(OR(計分!AO387="",計分!$AP387=""),"",計分!$AP387-計分!AO387)</f>
        <v/>
      </c>
    </row>
    <row r="388">
      <c r="A388">
        <f>計分!A388</f>
        <v/>
      </c>
      <c r="B388">
        <f>IF(OR(計分!B388="",計分!$AP388=""),"",計分!$AP388-計分!B388)</f>
        <v/>
      </c>
      <c r="C388">
        <f>IF(OR(計分!C388="",計分!$AP388=""),"",計分!$AP388-計分!C388)</f>
        <v/>
      </c>
      <c r="D388">
        <f>IF(OR(計分!D388="",計分!$AP388=""),"",計分!$AP388-計分!D388)</f>
        <v/>
      </c>
      <c r="E388">
        <f>IF(OR(計分!E388="",計分!$AP388=""),"",計分!$AP388-計分!E388)</f>
        <v/>
      </c>
      <c r="F388">
        <f>IF(OR(計分!F388="",計分!$AP388=""),"",計分!$AP388-計分!F388)</f>
        <v/>
      </c>
      <c r="G388">
        <f>IF(OR(計分!G388="",計分!$AP388=""),"",計分!$AP388-計分!G388)</f>
        <v/>
      </c>
      <c r="H388">
        <f>IF(OR(計分!H388="",計分!$AP388=""),"",計分!$AP388-計分!H388)</f>
        <v/>
      </c>
      <c r="I388">
        <f>IF(OR(計分!I388="",計分!$AP388=""),"",計分!$AP388-計分!I388)</f>
        <v/>
      </c>
      <c r="J388">
        <f>IF(OR(計分!J388="",計分!$AP388=""),"",計分!$AP388-計分!J388)</f>
        <v/>
      </c>
      <c r="K388">
        <f>IF(OR(計分!K388="",計分!$AP388=""),"",計分!$AP388-計分!K388)</f>
        <v/>
      </c>
      <c r="L388">
        <f>IF(OR(計分!L388="",計分!$AP388=""),"",計分!$AP388-計分!L388)</f>
        <v/>
      </c>
      <c r="M388">
        <f>IF(OR(計分!M388="",計分!$AP388=""),"",計分!$AP388-計分!M388)</f>
        <v/>
      </c>
      <c r="N388">
        <f>IF(OR(計分!N388="",計分!$AP388=""),"",計分!$AP388-計分!N388)</f>
        <v/>
      </c>
      <c r="O388">
        <f>IF(OR(計分!O388="",計分!$AP388=""),"",計分!$AP388-計分!O388)</f>
        <v/>
      </c>
      <c r="P388">
        <f>IF(OR(計分!P388="",計分!$AP388=""),"",計分!$AP388-計分!P388)</f>
        <v/>
      </c>
      <c r="Q388">
        <f>IF(OR(計分!Q388="",計分!$AP388=""),"",計分!$AP388-計分!Q388)</f>
        <v/>
      </c>
      <c r="R388">
        <f>IF(OR(計分!R388="",計分!$AP388=""),"",計分!$AP388-計分!R388)</f>
        <v/>
      </c>
      <c r="S388">
        <f>IF(OR(計分!S388="",計分!$AP388=""),"",計分!$AP388-計分!S388)</f>
        <v/>
      </c>
      <c r="T388">
        <f>IF(OR(計分!T388="",計分!$AP388=""),"",計分!$AP388-計分!T388)</f>
        <v/>
      </c>
      <c r="U388">
        <f>IF(OR(計分!U388="",計分!$AP388=""),"",計分!$AP388-計分!U388)</f>
        <v/>
      </c>
      <c r="V388">
        <f>IF(OR(計分!V388="",計分!$AP388=""),"",計分!$AP388-計分!V388)</f>
        <v/>
      </c>
      <c r="W388">
        <f>IF(OR(計分!W388="",計分!$AP388=""),"",計分!$AP388-計分!W388)</f>
        <v/>
      </c>
      <c r="X388">
        <f>IF(OR(計分!X388="",計分!$AP388=""),"",計分!$AP388-計分!X388)</f>
        <v/>
      </c>
      <c r="Y388">
        <f>IF(OR(計分!Y388="",計分!$AP388=""),"",計分!$AP388-計分!Y388)</f>
        <v/>
      </c>
      <c r="Z388">
        <f>IF(OR(計分!Z388="",計分!$AP388=""),"",計分!$AP388-計分!Z388)</f>
        <v/>
      </c>
      <c r="AA388">
        <f>IF(OR(計分!AA388="",計分!$AP388=""),"",計分!$AP388-計分!AA388)</f>
        <v/>
      </c>
      <c r="AB388">
        <f>IF(OR(計分!AB388="",計分!$AP388=""),"",計分!$AP388-計分!AB388)</f>
        <v/>
      </c>
      <c r="AC388">
        <f>IF(OR(計分!AC388="",計分!$AP388=""),"",計分!$AP388-計分!AC388)</f>
        <v/>
      </c>
      <c r="AD388">
        <f>IF(OR(計分!AD388="",計分!$AP388=""),"",計分!$AP388-計分!AD388)</f>
        <v/>
      </c>
      <c r="AE388">
        <f>IF(OR(計分!AE388="",計分!$AP388=""),"",計分!$AP388-計分!AE388)</f>
        <v/>
      </c>
      <c r="AF388">
        <f>IF(OR(計分!AF388="",計分!$AP388=""),"",計分!$AP388-計分!AF388)</f>
        <v/>
      </c>
      <c r="AG388">
        <f>IF(OR(計分!AG388="",計分!$AP388=""),"",計分!$AP388-計分!AG388)</f>
        <v/>
      </c>
      <c r="AH388">
        <f>IF(OR(計分!AH388="",計分!$AP388=""),"",計分!$AP388-計分!AH388)</f>
        <v/>
      </c>
      <c r="AI388">
        <f>IF(OR(計分!AI388="",計分!$AP388=""),"",計分!$AP388-計分!AI388)</f>
        <v/>
      </c>
      <c r="AJ388">
        <f>IF(OR(計分!AJ388="",計分!$AP388=""),"",計分!$AP388-計分!AJ388)</f>
        <v/>
      </c>
      <c r="AK388">
        <f>IF(OR(計分!AK388="",計分!$AP388=""),"",計分!$AP388-計分!AK388)</f>
        <v/>
      </c>
      <c r="AL388">
        <f>IF(OR(計分!AL388="",計分!$AP388=""),"",計分!$AP388-計分!AL388)</f>
        <v/>
      </c>
      <c r="AM388">
        <f>IF(OR(計分!AM388="",計分!$AP388=""),"",計分!$AP388-計分!AM388)</f>
        <v/>
      </c>
      <c r="AN388">
        <f>IF(OR(計分!AN388="",計分!$AP388=""),"",計分!$AP388-計分!AN388)</f>
        <v/>
      </c>
      <c r="AO388">
        <f>IF(OR(計分!AO388="",計分!$AP388=""),"",計分!$AP388-計分!AO388)</f>
        <v/>
      </c>
    </row>
    <row r="389">
      <c r="A389">
        <f>計分!A389</f>
        <v/>
      </c>
      <c r="B389">
        <f>IF(OR(計分!B389="",計分!$AP389=""),"",計分!$AP389-計分!B389)</f>
        <v/>
      </c>
      <c r="C389">
        <f>IF(OR(計分!C389="",計分!$AP389=""),"",計分!$AP389-計分!C389)</f>
        <v/>
      </c>
      <c r="D389">
        <f>IF(OR(計分!D389="",計分!$AP389=""),"",計分!$AP389-計分!D389)</f>
        <v/>
      </c>
      <c r="E389">
        <f>IF(OR(計分!E389="",計分!$AP389=""),"",計分!$AP389-計分!E389)</f>
        <v/>
      </c>
      <c r="F389">
        <f>IF(OR(計分!F389="",計分!$AP389=""),"",計分!$AP389-計分!F389)</f>
        <v/>
      </c>
      <c r="G389">
        <f>IF(OR(計分!G389="",計分!$AP389=""),"",計分!$AP389-計分!G389)</f>
        <v/>
      </c>
      <c r="H389">
        <f>IF(OR(計分!H389="",計分!$AP389=""),"",計分!$AP389-計分!H389)</f>
        <v/>
      </c>
      <c r="I389">
        <f>IF(OR(計分!I389="",計分!$AP389=""),"",計分!$AP389-計分!I389)</f>
        <v/>
      </c>
      <c r="J389">
        <f>IF(OR(計分!J389="",計分!$AP389=""),"",計分!$AP389-計分!J389)</f>
        <v/>
      </c>
      <c r="K389">
        <f>IF(OR(計分!K389="",計分!$AP389=""),"",計分!$AP389-計分!K389)</f>
        <v/>
      </c>
      <c r="L389">
        <f>IF(OR(計分!L389="",計分!$AP389=""),"",計分!$AP389-計分!L389)</f>
        <v/>
      </c>
      <c r="M389">
        <f>IF(OR(計分!M389="",計分!$AP389=""),"",計分!$AP389-計分!M389)</f>
        <v/>
      </c>
      <c r="N389">
        <f>IF(OR(計分!N389="",計分!$AP389=""),"",計分!$AP389-計分!N389)</f>
        <v/>
      </c>
      <c r="O389">
        <f>IF(OR(計分!O389="",計分!$AP389=""),"",計分!$AP389-計分!O389)</f>
        <v/>
      </c>
      <c r="P389">
        <f>IF(OR(計分!P389="",計分!$AP389=""),"",計分!$AP389-計分!P389)</f>
        <v/>
      </c>
      <c r="Q389">
        <f>IF(OR(計分!Q389="",計分!$AP389=""),"",計分!$AP389-計分!Q389)</f>
        <v/>
      </c>
      <c r="R389">
        <f>IF(OR(計分!R389="",計分!$AP389=""),"",計分!$AP389-計分!R389)</f>
        <v/>
      </c>
      <c r="S389">
        <f>IF(OR(計分!S389="",計分!$AP389=""),"",計分!$AP389-計分!S389)</f>
        <v/>
      </c>
      <c r="T389">
        <f>IF(OR(計分!T389="",計分!$AP389=""),"",計分!$AP389-計分!T389)</f>
        <v/>
      </c>
      <c r="U389">
        <f>IF(OR(計分!U389="",計分!$AP389=""),"",計分!$AP389-計分!U389)</f>
        <v/>
      </c>
      <c r="V389">
        <f>IF(OR(計分!V389="",計分!$AP389=""),"",計分!$AP389-計分!V389)</f>
        <v/>
      </c>
      <c r="W389">
        <f>IF(OR(計分!W389="",計分!$AP389=""),"",計分!$AP389-計分!W389)</f>
        <v/>
      </c>
      <c r="X389">
        <f>IF(OR(計分!X389="",計分!$AP389=""),"",計分!$AP389-計分!X389)</f>
        <v/>
      </c>
      <c r="Y389">
        <f>IF(OR(計分!Y389="",計分!$AP389=""),"",計分!$AP389-計分!Y389)</f>
        <v/>
      </c>
      <c r="Z389">
        <f>IF(OR(計分!Z389="",計分!$AP389=""),"",計分!$AP389-計分!Z389)</f>
        <v/>
      </c>
      <c r="AA389">
        <f>IF(OR(計分!AA389="",計分!$AP389=""),"",計分!$AP389-計分!AA389)</f>
        <v/>
      </c>
      <c r="AB389">
        <f>IF(OR(計分!AB389="",計分!$AP389=""),"",計分!$AP389-計分!AB389)</f>
        <v/>
      </c>
      <c r="AC389">
        <f>IF(OR(計分!AC389="",計分!$AP389=""),"",計分!$AP389-計分!AC389)</f>
        <v/>
      </c>
      <c r="AD389">
        <f>IF(OR(計分!AD389="",計分!$AP389=""),"",計分!$AP389-計分!AD389)</f>
        <v/>
      </c>
      <c r="AE389">
        <f>IF(OR(計分!AE389="",計分!$AP389=""),"",計分!$AP389-計分!AE389)</f>
        <v/>
      </c>
      <c r="AF389">
        <f>IF(OR(計分!AF389="",計分!$AP389=""),"",計分!$AP389-計分!AF389)</f>
        <v/>
      </c>
      <c r="AG389">
        <f>IF(OR(計分!AG389="",計分!$AP389=""),"",計分!$AP389-計分!AG389)</f>
        <v/>
      </c>
      <c r="AH389">
        <f>IF(OR(計分!AH389="",計分!$AP389=""),"",計分!$AP389-計分!AH389)</f>
        <v/>
      </c>
      <c r="AI389">
        <f>IF(OR(計分!AI389="",計分!$AP389=""),"",計分!$AP389-計分!AI389)</f>
        <v/>
      </c>
      <c r="AJ389">
        <f>IF(OR(計分!AJ389="",計分!$AP389=""),"",計分!$AP389-計分!AJ389)</f>
        <v/>
      </c>
      <c r="AK389">
        <f>IF(OR(計分!AK389="",計分!$AP389=""),"",計分!$AP389-計分!AK389)</f>
        <v/>
      </c>
      <c r="AL389">
        <f>IF(OR(計分!AL389="",計分!$AP389=""),"",計分!$AP389-計分!AL389)</f>
        <v/>
      </c>
      <c r="AM389">
        <f>IF(OR(計分!AM389="",計分!$AP389=""),"",計分!$AP389-計分!AM389)</f>
        <v/>
      </c>
      <c r="AN389">
        <f>IF(OR(計分!AN389="",計分!$AP389=""),"",計分!$AP389-計分!AN389)</f>
        <v/>
      </c>
      <c r="AO389">
        <f>IF(OR(計分!AO389="",計分!$AP389=""),"",計分!$AP389-計分!AO389)</f>
        <v/>
      </c>
    </row>
    <row r="390">
      <c r="A390">
        <f>計分!A390</f>
        <v/>
      </c>
      <c r="B390">
        <f>IF(OR(計分!B390="",計分!$AP390=""),"",計分!$AP390-計分!B390)</f>
        <v/>
      </c>
      <c r="C390">
        <f>IF(OR(計分!C390="",計分!$AP390=""),"",計分!$AP390-計分!C390)</f>
        <v/>
      </c>
      <c r="D390">
        <f>IF(OR(計分!D390="",計分!$AP390=""),"",計分!$AP390-計分!D390)</f>
        <v/>
      </c>
      <c r="E390">
        <f>IF(OR(計分!E390="",計分!$AP390=""),"",計分!$AP390-計分!E390)</f>
        <v/>
      </c>
      <c r="F390">
        <f>IF(OR(計分!F390="",計分!$AP390=""),"",計分!$AP390-計分!F390)</f>
        <v/>
      </c>
      <c r="G390">
        <f>IF(OR(計分!G390="",計分!$AP390=""),"",計分!$AP390-計分!G390)</f>
        <v/>
      </c>
      <c r="H390">
        <f>IF(OR(計分!H390="",計分!$AP390=""),"",計分!$AP390-計分!H390)</f>
        <v/>
      </c>
      <c r="I390">
        <f>IF(OR(計分!I390="",計分!$AP390=""),"",計分!$AP390-計分!I390)</f>
        <v/>
      </c>
      <c r="J390">
        <f>IF(OR(計分!J390="",計分!$AP390=""),"",計分!$AP390-計分!J390)</f>
        <v/>
      </c>
      <c r="K390">
        <f>IF(OR(計分!K390="",計分!$AP390=""),"",計分!$AP390-計分!K390)</f>
        <v/>
      </c>
      <c r="L390">
        <f>IF(OR(計分!L390="",計分!$AP390=""),"",計分!$AP390-計分!L390)</f>
        <v/>
      </c>
      <c r="M390">
        <f>IF(OR(計分!M390="",計分!$AP390=""),"",計分!$AP390-計分!M390)</f>
        <v/>
      </c>
      <c r="N390">
        <f>IF(OR(計分!N390="",計分!$AP390=""),"",計分!$AP390-計分!N390)</f>
        <v/>
      </c>
      <c r="O390">
        <f>IF(OR(計分!O390="",計分!$AP390=""),"",計分!$AP390-計分!O390)</f>
        <v/>
      </c>
      <c r="P390">
        <f>IF(OR(計分!P390="",計分!$AP390=""),"",計分!$AP390-計分!P390)</f>
        <v/>
      </c>
      <c r="Q390">
        <f>IF(OR(計分!Q390="",計分!$AP390=""),"",計分!$AP390-計分!Q390)</f>
        <v/>
      </c>
      <c r="R390">
        <f>IF(OR(計分!R390="",計分!$AP390=""),"",計分!$AP390-計分!R390)</f>
        <v/>
      </c>
      <c r="S390">
        <f>IF(OR(計分!S390="",計分!$AP390=""),"",計分!$AP390-計分!S390)</f>
        <v/>
      </c>
      <c r="T390">
        <f>IF(OR(計分!T390="",計分!$AP390=""),"",計分!$AP390-計分!T390)</f>
        <v/>
      </c>
      <c r="U390">
        <f>IF(OR(計分!U390="",計分!$AP390=""),"",計分!$AP390-計分!U390)</f>
        <v/>
      </c>
      <c r="V390">
        <f>IF(OR(計分!V390="",計分!$AP390=""),"",計分!$AP390-計分!V390)</f>
        <v/>
      </c>
      <c r="W390">
        <f>IF(OR(計分!W390="",計分!$AP390=""),"",計分!$AP390-計分!W390)</f>
        <v/>
      </c>
      <c r="X390">
        <f>IF(OR(計分!X390="",計分!$AP390=""),"",計分!$AP390-計分!X390)</f>
        <v/>
      </c>
      <c r="Y390">
        <f>IF(OR(計分!Y390="",計分!$AP390=""),"",計分!$AP390-計分!Y390)</f>
        <v/>
      </c>
      <c r="Z390">
        <f>IF(OR(計分!Z390="",計分!$AP390=""),"",計分!$AP390-計分!Z390)</f>
        <v/>
      </c>
      <c r="AA390">
        <f>IF(OR(計分!AA390="",計分!$AP390=""),"",計分!$AP390-計分!AA390)</f>
        <v/>
      </c>
      <c r="AB390">
        <f>IF(OR(計分!AB390="",計分!$AP390=""),"",計分!$AP390-計分!AB390)</f>
        <v/>
      </c>
      <c r="AC390">
        <f>IF(OR(計分!AC390="",計分!$AP390=""),"",計分!$AP390-計分!AC390)</f>
        <v/>
      </c>
      <c r="AD390">
        <f>IF(OR(計分!AD390="",計分!$AP390=""),"",計分!$AP390-計分!AD390)</f>
        <v/>
      </c>
      <c r="AE390">
        <f>IF(OR(計分!AE390="",計分!$AP390=""),"",計分!$AP390-計分!AE390)</f>
        <v/>
      </c>
      <c r="AF390">
        <f>IF(OR(計分!AF390="",計分!$AP390=""),"",計分!$AP390-計分!AF390)</f>
        <v/>
      </c>
      <c r="AG390">
        <f>IF(OR(計分!AG390="",計分!$AP390=""),"",計分!$AP390-計分!AG390)</f>
        <v/>
      </c>
      <c r="AH390">
        <f>IF(OR(計分!AH390="",計分!$AP390=""),"",計分!$AP390-計分!AH390)</f>
        <v/>
      </c>
      <c r="AI390">
        <f>IF(OR(計分!AI390="",計分!$AP390=""),"",計分!$AP390-計分!AI390)</f>
        <v/>
      </c>
      <c r="AJ390">
        <f>IF(OR(計分!AJ390="",計分!$AP390=""),"",計分!$AP390-計分!AJ390)</f>
        <v/>
      </c>
      <c r="AK390">
        <f>IF(OR(計分!AK390="",計分!$AP390=""),"",計分!$AP390-計分!AK390)</f>
        <v/>
      </c>
      <c r="AL390">
        <f>IF(OR(計分!AL390="",計分!$AP390=""),"",計分!$AP390-計分!AL390)</f>
        <v/>
      </c>
      <c r="AM390">
        <f>IF(OR(計分!AM390="",計分!$AP390=""),"",計分!$AP390-計分!AM390)</f>
        <v/>
      </c>
      <c r="AN390">
        <f>IF(OR(計分!AN390="",計分!$AP390=""),"",計分!$AP390-計分!AN390)</f>
        <v/>
      </c>
      <c r="AO390">
        <f>IF(OR(計分!AO390="",計分!$AP390=""),"",計分!$AP390-計分!AO390)</f>
        <v/>
      </c>
    </row>
    <row r="391">
      <c r="A391">
        <f>計分!A391</f>
        <v/>
      </c>
      <c r="B391">
        <f>IF(OR(計分!B391="",計分!$AP391=""),"",計分!$AP391-計分!B391)</f>
        <v/>
      </c>
      <c r="C391">
        <f>IF(OR(計分!C391="",計分!$AP391=""),"",計分!$AP391-計分!C391)</f>
        <v/>
      </c>
      <c r="D391">
        <f>IF(OR(計分!D391="",計分!$AP391=""),"",計分!$AP391-計分!D391)</f>
        <v/>
      </c>
      <c r="E391">
        <f>IF(OR(計分!E391="",計分!$AP391=""),"",計分!$AP391-計分!E391)</f>
        <v/>
      </c>
      <c r="F391">
        <f>IF(OR(計分!F391="",計分!$AP391=""),"",計分!$AP391-計分!F391)</f>
        <v/>
      </c>
      <c r="G391">
        <f>IF(OR(計分!G391="",計分!$AP391=""),"",計分!$AP391-計分!G391)</f>
        <v/>
      </c>
      <c r="H391">
        <f>IF(OR(計分!H391="",計分!$AP391=""),"",計分!$AP391-計分!H391)</f>
        <v/>
      </c>
      <c r="I391">
        <f>IF(OR(計分!I391="",計分!$AP391=""),"",計分!$AP391-計分!I391)</f>
        <v/>
      </c>
      <c r="J391">
        <f>IF(OR(計分!J391="",計分!$AP391=""),"",計分!$AP391-計分!J391)</f>
        <v/>
      </c>
      <c r="K391">
        <f>IF(OR(計分!K391="",計分!$AP391=""),"",計分!$AP391-計分!K391)</f>
        <v/>
      </c>
      <c r="L391">
        <f>IF(OR(計分!L391="",計分!$AP391=""),"",計分!$AP391-計分!L391)</f>
        <v/>
      </c>
      <c r="M391">
        <f>IF(OR(計分!M391="",計分!$AP391=""),"",計分!$AP391-計分!M391)</f>
        <v/>
      </c>
      <c r="N391">
        <f>IF(OR(計分!N391="",計分!$AP391=""),"",計分!$AP391-計分!N391)</f>
        <v/>
      </c>
      <c r="O391">
        <f>IF(OR(計分!O391="",計分!$AP391=""),"",計分!$AP391-計分!O391)</f>
        <v/>
      </c>
      <c r="P391">
        <f>IF(OR(計分!P391="",計分!$AP391=""),"",計分!$AP391-計分!P391)</f>
        <v/>
      </c>
      <c r="Q391">
        <f>IF(OR(計分!Q391="",計分!$AP391=""),"",計分!$AP391-計分!Q391)</f>
        <v/>
      </c>
      <c r="R391">
        <f>IF(OR(計分!R391="",計分!$AP391=""),"",計分!$AP391-計分!R391)</f>
        <v/>
      </c>
      <c r="S391">
        <f>IF(OR(計分!S391="",計分!$AP391=""),"",計分!$AP391-計分!S391)</f>
        <v/>
      </c>
      <c r="T391">
        <f>IF(OR(計分!T391="",計分!$AP391=""),"",計分!$AP391-計分!T391)</f>
        <v/>
      </c>
      <c r="U391">
        <f>IF(OR(計分!U391="",計分!$AP391=""),"",計分!$AP391-計分!U391)</f>
        <v/>
      </c>
      <c r="V391">
        <f>IF(OR(計分!V391="",計分!$AP391=""),"",計分!$AP391-計分!V391)</f>
        <v/>
      </c>
      <c r="W391">
        <f>IF(OR(計分!W391="",計分!$AP391=""),"",計分!$AP391-計分!W391)</f>
        <v/>
      </c>
      <c r="X391">
        <f>IF(OR(計分!X391="",計分!$AP391=""),"",計分!$AP391-計分!X391)</f>
        <v/>
      </c>
      <c r="Y391">
        <f>IF(OR(計分!Y391="",計分!$AP391=""),"",計分!$AP391-計分!Y391)</f>
        <v/>
      </c>
      <c r="Z391">
        <f>IF(OR(計分!Z391="",計分!$AP391=""),"",計分!$AP391-計分!Z391)</f>
        <v/>
      </c>
      <c r="AA391">
        <f>IF(OR(計分!AA391="",計分!$AP391=""),"",計分!$AP391-計分!AA391)</f>
        <v/>
      </c>
      <c r="AB391">
        <f>IF(OR(計分!AB391="",計分!$AP391=""),"",計分!$AP391-計分!AB391)</f>
        <v/>
      </c>
      <c r="AC391">
        <f>IF(OR(計分!AC391="",計分!$AP391=""),"",計分!$AP391-計分!AC391)</f>
        <v/>
      </c>
      <c r="AD391">
        <f>IF(OR(計分!AD391="",計分!$AP391=""),"",計分!$AP391-計分!AD391)</f>
        <v/>
      </c>
      <c r="AE391">
        <f>IF(OR(計分!AE391="",計分!$AP391=""),"",計分!$AP391-計分!AE391)</f>
        <v/>
      </c>
      <c r="AF391">
        <f>IF(OR(計分!AF391="",計分!$AP391=""),"",計分!$AP391-計分!AF391)</f>
        <v/>
      </c>
      <c r="AG391">
        <f>IF(OR(計分!AG391="",計分!$AP391=""),"",計分!$AP391-計分!AG391)</f>
        <v/>
      </c>
      <c r="AH391">
        <f>IF(OR(計分!AH391="",計分!$AP391=""),"",計分!$AP391-計分!AH391)</f>
        <v/>
      </c>
      <c r="AI391">
        <f>IF(OR(計分!AI391="",計分!$AP391=""),"",計分!$AP391-計分!AI391)</f>
        <v/>
      </c>
      <c r="AJ391">
        <f>IF(OR(計分!AJ391="",計分!$AP391=""),"",計分!$AP391-計分!AJ391)</f>
        <v/>
      </c>
      <c r="AK391">
        <f>IF(OR(計分!AK391="",計分!$AP391=""),"",計分!$AP391-計分!AK391)</f>
        <v/>
      </c>
      <c r="AL391">
        <f>IF(OR(計分!AL391="",計分!$AP391=""),"",計分!$AP391-計分!AL391)</f>
        <v/>
      </c>
      <c r="AM391">
        <f>IF(OR(計分!AM391="",計分!$AP391=""),"",計分!$AP391-計分!AM391)</f>
        <v/>
      </c>
      <c r="AN391">
        <f>IF(OR(計分!AN391="",計分!$AP391=""),"",計分!$AP391-計分!AN391)</f>
        <v/>
      </c>
      <c r="AO391">
        <f>IF(OR(計分!AO391="",計分!$AP391=""),"",計分!$AP391-計分!AO391)</f>
        <v/>
      </c>
    </row>
    <row r="392">
      <c r="A392">
        <f>計分!A392</f>
        <v/>
      </c>
      <c r="B392">
        <f>IF(OR(計分!B392="",計分!$AP392=""),"",計分!$AP392-計分!B392)</f>
        <v/>
      </c>
      <c r="C392">
        <f>IF(OR(計分!C392="",計分!$AP392=""),"",計分!$AP392-計分!C392)</f>
        <v/>
      </c>
      <c r="D392">
        <f>IF(OR(計分!D392="",計分!$AP392=""),"",計分!$AP392-計分!D392)</f>
        <v/>
      </c>
      <c r="E392">
        <f>IF(OR(計分!E392="",計分!$AP392=""),"",計分!$AP392-計分!E392)</f>
        <v/>
      </c>
      <c r="F392">
        <f>IF(OR(計分!F392="",計分!$AP392=""),"",計分!$AP392-計分!F392)</f>
        <v/>
      </c>
      <c r="G392">
        <f>IF(OR(計分!G392="",計分!$AP392=""),"",計分!$AP392-計分!G392)</f>
        <v/>
      </c>
      <c r="H392">
        <f>IF(OR(計分!H392="",計分!$AP392=""),"",計分!$AP392-計分!H392)</f>
        <v/>
      </c>
      <c r="I392">
        <f>IF(OR(計分!I392="",計分!$AP392=""),"",計分!$AP392-計分!I392)</f>
        <v/>
      </c>
      <c r="J392">
        <f>IF(OR(計分!J392="",計分!$AP392=""),"",計分!$AP392-計分!J392)</f>
        <v/>
      </c>
      <c r="K392">
        <f>IF(OR(計分!K392="",計分!$AP392=""),"",計分!$AP392-計分!K392)</f>
        <v/>
      </c>
      <c r="L392">
        <f>IF(OR(計分!L392="",計分!$AP392=""),"",計分!$AP392-計分!L392)</f>
        <v/>
      </c>
      <c r="M392">
        <f>IF(OR(計分!M392="",計分!$AP392=""),"",計分!$AP392-計分!M392)</f>
        <v/>
      </c>
      <c r="N392">
        <f>IF(OR(計分!N392="",計分!$AP392=""),"",計分!$AP392-計分!N392)</f>
        <v/>
      </c>
      <c r="O392">
        <f>IF(OR(計分!O392="",計分!$AP392=""),"",計分!$AP392-計分!O392)</f>
        <v/>
      </c>
      <c r="P392">
        <f>IF(OR(計分!P392="",計分!$AP392=""),"",計分!$AP392-計分!P392)</f>
        <v/>
      </c>
      <c r="Q392">
        <f>IF(OR(計分!Q392="",計分!$AP392=""),"",計分!$AP392-計分!Q392)</f>
        <v/>
      </c>
      <c r="R392">
        <f>IF(OR(計分!R392="",計分!$AP392=""),"",計分!$AP392-計分!R392)</f>
        <v/>
      </c>
      <c r="S392">
        <f>IF(OR(計分!S392="",計分!$AP392=""),"",計分!$AP392-計分!S392)</f>
        <v/>
      </c>
      <c r="T392">
        <f>IF(OR(計分!T392="",計分!$AP392=""),"",計分!$AP392-計分!T392)</f>
        <v/>
      </c>
      <c r="U392">
        <f>IF(OR(計分!U392="",計分!$AP392=""),"",計分!$AP392-計分!U392)</f>
        <v/>
      </c>
      <c r="V392">
        <f>IF(OR(計分!V392="",計分!$AP392=""),"",計分!$AP392-計分!V392)</f>
        <v/>
      </c>
      <c r="W392">
        <f>IF(OR(計分!W392="",計分!$AP392=""),"",計分!$AP392-計分!W392)</f>
        <v/>
      </c>
      <c r="X392">
        <f>IF(OR(計分!X392="",計分!$AP392=""),"",計分!$AP392-計分!X392)</f>
        <v/>
      </c>
      <c r="Y392">
        <f>IF(OR(計分!Y392="",計分!$AP392=""),"",計分!$AP392-計分!Y392)</f>
        <v/>
      </c>
      <c r="Z392">
        <f>IF(OR(計分!Z392="",計分!$AP392=""),"",計分!$AP392-計分!Z392)</f>
        <v/>
      </c>
      <c r="AA392">
        <f>IF(OR(計分!AA392="",計分!$AP392=""),"",計分!$AP392-計分!AA392)</f>
        <v/>
      </c>
      <c r="AB392">
        <f>IF(OR(計分!AB392="",計分!$AP392=""),"",計分!$AP392-計分!AB392)</f>
        <v/>
      </c>
      <c r="AC392">
        <f>IF(OR(計分!AC392="",計分!$AP392=""),"",計分!$AP392-計分!AC392)</f>
        <v/>
      </c>
      <c r="AD392">
        <f>IF(OR(計分!AD392="",計分!$AP392=""),"",計分!$AP392-計分!AD392)</f>
        <v/>
      </c>
      <c r="AE392">
        <f>IF(OR(計分!AE392="",計分!$AP392=""),"",計分!$AP392-計分!AE392)</f>
        <v/>
      </c>
      <c r="AF392">
        <f>IF(OR(計分!AF392="",計分!$AP392=""),"",計分!$AP392-計分!AF392)</f>
        <v/>
      </c>
      <c r="AG392">
        <f>IF(OR(計分!AG392="",計分!$AP392=""),"",計分!$AP392-計分!AG392)</f>
        <v/>
      </c>
      <c r="AH392">
        <f>IF(OR(計分!AH392="",計分!$AP392=""),"",計分!$AP392-計分!AH392)</f>
        <v/>
      </c>
      <c r="AI392">
        <f>IF(OR(計分!AI392="",計分!$AP392=""),"",計分!$AP392-計分!AI392)</f>
        <v/>
      </c>
      <c r="AJ392">
        <f>IF(OR(計分!AJ392="",計分!$AP392=""),"",計分!$AP392-計分!AJ392)</f>
        <v/>
      </c>
      <c r="AK392">
        <f>IF(OR(計分!AK392="",計分!$AP392=""),"",計分!$AP392-計分!AK392)</f>
        <v/>
      </c>
      <c r="AL392">
        <f>IF(OR(計分!AL392="",計分!$AP392=""),"",計分!$AP392-計分!AL392)</f>
        <v/>
      </c>
      <c r="AM392">
        <f>IF(OR(計分!AM392="",計分!$AP392=""),"",計分!$AP392-計分!AM392)</f>
        <v/>
      </c>
      <c r="AN392">
        <f>IF(OR(計分!AN392="",計分!$AP392=""),"",計分!$AP392-計分!AN392)</f>
        <v/>
      </c>
      <c r="AO392">
        <f>IF(OR(計分!AO392="",計分!$AP392=""),"",計分!$AP392-計分!AO392)</f>
        <v/>
      </c>
    </row>
    <row r="393">
      <c r="A393">
        <f>計分!A393</f>
        <v/>
      </c>
      <c r="B393">
        <f>IF(OR(計分!B393="",計分!$AP393=""),"",計分!$AP393-計分!B393)</f>
        <v/>
      </c>
      <c r="C393">
        <f>IF(OR(計分!C393="",計分!$AP393=""),"",計分!$AP393-計分!C393)</f>
        <v/>
      </c>
      <c r="D393">
        <f>IF(OR(計分!D393="",計分!$AP393=""),"",計分!$AP393-計分!D393)</f>
        <v/>
      </c>
      <c r="E393">
        <f>IF(OR(計分!E393="",計分!$AP393=""),"",計分!$AP393-計分!E393)</f>
        <v/>
      </c>
      <c r="F393">
        <f>IF(OR(計分!F393="",計分!$AP393=""),"",計分!$AP393-計分!F393)</f>
        <v/>
      </c>
      <c r="G393">
        <f>IF(OR(計分!G393="",計分!$AP393=""),"",計分!$AP393-計分!G393)</f>
        <v/>
      </c>
      <c r="H393">
        <f>IF(OR(計分!H393="",計分!$AP393=""),"",計分!$AP393-計分!H393)</f>
        <v/>
      </c>
      <c r="I393">
        <f>IF(OR(計分!I393="",計分!$AP393=""),"",計分!$AP393-計分!I393)</f>
        <v/>
      </c>
      <c r="J393">
        <f>IF(OR(計分!J393="",計分!$AP393=""),"",計分!$AP393-計分!J393)</f>
        <v/>
      </c>
      <c r="K393">
        <f>IF(OR(計分!K393="",計分!$AP393=""),"",計分!$AP393-計分!K393)</f>
        <v/>
      </c>
      <c r="L393">
        <f>IF(OR(計分!L393="",計分!$AP393=""),"",計分!$AP393-計分!L393)</f>
        <v/>
      </c>
      <c r="M393">
        <f>IF(OR(計分!M393="",計分!$AP393=""),"",計分!$AP393-計分!M393)</f>
        <v/>
      </c>
      <c r="N393">
        <f>IF(OR(計分!N393="",計分!$AP393=""),"",計分!$AP393-計分!N393)</f>
        <v/>
      </c>
      <c r="O393">
        <f>IF(OR(計分!O393="",計分!$AP393=""),"",計分!$AP393-計分!O393)</f>
        <v/>
      </c>
      <c r="P393">
        <f>IF(OR(計分!P393="",計分!$AP393=""),"",計分!$AP393-計分!P393)</f>
        <v/>
      </c>
      <c r="Q393">
        <f>IF(OR(計分!Q393="",計分!$AP393=""),"",計分!$AP393-計分!Q393)</f>
        <v/>
      </c>
      <c r="R393">
        <f>IF(OR(計分!R393="",計分!$AP393=""),"",計分!$AP393-計分!R393)</f>
        <v/>
      </c>
      <c r="S393">
        <f>IF(OR(計分!S393="",計分!$AP393=""),"",計分!$AP393-計分!S393)</f>
        <v/>
      </c>
      <c r="T393">
        <f>IF(OR(計分!T393="",計分!$AP393=""),"",計分!$AP393-計分!T393)</f>
        <v/>
      </c>
      <c r="U393">
        <f>IF(OR(計分!U393="",計分!$AP393=""),"",計分!$AP393-計分!U393)</f>
        <v/>
      </c>
      <c r="V393">
        <f>IF(OR(計分!V393="",計分!$AP393=""),"",計分!$AP393-計分!V393)</f>
        <v/>
      </c>
      <c r="W393">
        <f>IF(OR(計分!W393="",計分!$AP393=""),"",計分!$AP393-計分!W393)</f>
        <v/>
      </c>
      <c r="X393">
        <f>IF(OR(計分!X393="",計分!$AP393=""),"",計分!$AP393-計分!X393)</f>
        <v/>
      </c>
      <c r="Y393">
        <f>IF(OR(計分!Y393="",計分!$AP393=""),"",計分!$AP393-計分!Y393)</f>
        <v/>
      </c>
      <c r="Z393">
        <f>IF(OR(計分!Z393="",計分!$AP393=""),"",計分!$AP393-計分!Z393)</f>
        <v/>
      </c>
      <c r="AA393">
        <f>IF(OR(計分!AA393="",計分!$AP393=""),"",計分!$AP393-計分!AA393)</f>
        <v/>
      </c>
      <c r="AB393">
        <f>IF(OR(計分!AB393="",計分!$AP393=""),"",計分!$AP393-計分!AB393)</f>
        <v/>
      </c>
      <c r="AC393">
        <f>IF(OR(計分!AC393="",計分!$AP393=""),"",計分!$AP393-計分!AC393)</f>
        <v/>
      </c>
      <c r="AD393">
        <f>IF(OR(計分!AD393="",計分!$AP393=""),"",計分!$AP393-計分!AD393)</f>
        <v/>
      </c>
      <c r="AE393">
        <f>IF(OR(計分!AE393="",計分!$AP393=""),"",計分!$AP393-計分!AE393)</f>
        <v/>
      </c>
      <c r="AF393">
        <f>IF(OR(計分!AF393="",計分!$AP393=""),"",計分!$AP393-計分!AF393)</f>
        <v/>
      </c>
      <c r="AG393">
        <f>IF(OR(計分!AG393="",計分!$AP393=""),"",計分!$AP393-計分!AG393)</f>
        <v/>
      </c>
      <c r="AH393">
        <f>IF(OR(計分!AH393="",計分!$AP393=""),"",計分!$AP393-計分!AH393)</f>
        <v/>
      </c>
      <c r="AI393">
        <f>IF(OR(計分!AI393="",計分!$AP393=""),"",計分!$AP393-計分!AI393)</f>
        <v/>
      </c>
      <c r="AJ393">
        <f>IF(OR(計分!AJ393="",計分!$AP393=""),"",計分!$AP393-計分!AJ393)</f>
        <v/>
      </c>
      <c r="AK393">
        <f>IF(OR(計分!AK393="",計分!$AP393=""),"",計分!$AP393-計分!AK393)</f>
        <v/>
      </c>
      <c r="AL393">
        <f>IF(OR(計分!AL393="",計分!$AP393=""),"",計分!$AP393-計分!AL393)</f>
        <v/>
      </c>
      <c r="AM393">
        <f>IF(OR(計分!AM393="",計分!$AP393=""),"",計分!$AP393-計分!AM393)</f>
        <v/>
      </c>
      <c r="AN393">
        <f>IF(OR(計分!AN393="",計分!$AP393=""),"",計分!$AP393-計分!AN393)</f>
        <v/>
      </c>
      <c r="AO393">
        <f>IF(OR(計分!AO393="",計分!$AP393=""),"",計分!$AP393-計分!AO393)</f>
        <v/>
      </c>
    </row>
    <row r="394">
      <c r="A394">
        <f>計分!A394</f>
        <v/>
      </c>
      <c r="B394">
        <f>IF(OR(計分!B394="",計分!$AP394=""),"",計分!$AP394-計分!B394)</f>
        <v/>
      </c>
      <c r="C394">
        <f>IF(OR(計分!C394="",計分!$AP394=""),"",計分!$AP394-計分!C394)</f>
        <v/>
      </c>
      <c r="D394">
        <f>IF(OR(計分!D394="",計分!$AP394=""),"",計分!$AP394-計分!D394)</f>
        <v/>
      </c>
      <c r="E394">
        <f>IF(OR(計分!E394="",計分!$AP394=""),"",計分!$AP394-計分!E394)</f>
        <v/>
      </c>
      <c r="F394">
        <f>IF(OR(計分!F394="",計分!$AP394=""),"",計分!$AP394-計分!F394)</f>
        <v/>
      </c>
      <c r="G394">
        <f>IF(OR(計分!G394="",計分!$AP394=""),"",計分!$AP394-計分!G394)</f>
        <v/>
      </c>
      <c r="H394">
        <f>IF(OR(計分!H394="",計分!$AP394=""),"",計分!$AP394-計分!H394)</f>
        <v/>
      </c>
      <c r="I394">
        <f>IF(OR(計分!I394="",計分!$AP394=""),"",計分!$AP394-計分!I394)</f>
        <v/>
      </c>
      <c r="J394">
        <f>IF(OR(計分!J394="",計分!$AP394=""),"",計分!$AP394-計分!J394)</f>
        <v/>
      </c>
      <c r="K394">
        <f>IF(OR(計分!K394="",計分!$AP394=""),"",計分!$AP394-計分!K394)</f>
        <v/>
      </c>
      <c r="L394">
        <f>IF(OR(計分!L394="",計分!$AP394=""),"",計分!$AP394-計分!L394)</f>
        <v/>
      </c>
      <c r="M394">
        <f>IF(OR(計分!M394="",計分!$AP394=""),"",計分!$AP394-計分!M394)</f>
        <v/>
      </c>
      <c r="N394">
        <f>IF(OR(計分!N394="",計分!$AP394=""),"",計分!$AP394-計分!N394)</f>
        <v/>
      </c>
      <c r="O394">
        <f>IF(OR(計分!O394="",計分!$AP394=""),"",計分!$AP394-計分!O394)</f>
        <v/>
      </c>
      <c r="P394">
        <f>IF(OR(計分!P394="",計分!$AP394=""),"",計分!$AP394-計分!P394)</f>
        <v/>
      </c>
      <c r="Q394">
        <f>IF(OR(計分!Q394="",計分!$AP394=""),"",計分!$AP394-計分!Q394)</f>
        <v/>
      </c>
      <c r="R394">
        <f>IF(OR(計分!R394="",計分!$AP394=""),"",計分!$AP394-計分!R394)</f>
        <v/>
      </c>
      <c r="S394">
        <f>IF(OR(計分!S394="",計分!$AP394=""),"",計分!$AP394-計分!S394)</f>
        <v/>
      </c>
      <c r="T394">
        <f>IF(OR(計分!T394="",計分!$AP394=""),"",計分!$AP394-計分!T394)</f>
        <v/>
      </c>
      <c r="U394">
        <f>IF(OR(計分!U394="",計分!$AP394=""),"",計分!$AP394-計分!U394)</f>
        <v/>
      </c>
      <c r="V394">
        <f>IF(OR(計分!V394="",計分!$AP394=""),"",計分!$AP394-計分!V394)</f>
        <v/>
      </c>
      <c r="W394">
        <f>IF(OR(計分!W394="",計分!$AP394=""),"",計分!$AP394-計分!W394)</f>
        <v/>
      </c>
      <c r="X394">
        <f>IF(OR(計分!X394="",計分!$AP394=""),"",計分!$AP394-計分!X394)</f>
        <v/>
      </c>
      <c r="Y394">
        <f>IF(OR(計分!Y394="",計分!$AP394=""),"",計分!$AP394-計分!Y394)</f>
        <v/>
      </c>
      <c r="Z394">
        <f>IF(OR(計分!Z394="",計分!$AP394=""),"",計分!$AP394-計分!Z394)</f>
        <v/>
      </c>
      <c r="AA394">
        <f>IF(OR(計分!AA394="",計分!$AP394=""),"",計分!$AP394-計分!AA394)</f>
        <v/>
      </c>
      <c r="AB394">
        <f>IF(OR(計分!AB394="",計分!$AP394=""),"",計分!$AP394-計分!AB394)</f>
        <v/>
      </c>
      <c r="AC394">
        <f>IF(OR(計分!AC394="",計分!$AP394=""),"",計分!$AP394-計分!AC394)</f>
        <v/>
      </c>
      <c r="AD394">
        <f>IF(OR(計分!AD394="",計分!$AP394=""),"",計分!$AP394-計分!AD394)</f>
        <v/>
      </c>
      <c r="AE394">
        <f>IF(OR(計分!AE394="",計分!$AP394=""),"",計分!$AP394-計分!AE394)</f>
        <v/>
      </c>
      <c r="AF394">
        <f>IF(OR(計分!AF394="",計分!$AP394=""),"",計分!$AP394-計分!AF394)</f>
        <v/>
      </c>
      <c r="AG394">
        <f>IF(OR(計分!AG394="",計分!$AP394=""),"",計分!$AP394-計分!AG394)</f>
        <v/>
      </c>
      <c r="AH394">
        <f>IF(OR(計分!AH394="",計分!$AP394=""),"",計分!$AP394-計分!AH394)</f>
        <v/>
      </c>
      <c r="AI394">
        <f>IF(OR(計分!AI394="",計分!$AP394=""),"",計分!$AP394-計分!AI394)</f>
        <v/>
      </c>
      <c r="AJ394">
        <f>IF(OR(計分!AJ394="",計分!$AP394=""),"",計分!$AP394-計分!AJ394)</f>
        <v/>
      </c>
      <c r="AK394">
        <f>IF(OR(計分!AK394="",計分!$AP394=""),"",計分!$AP394-計分!AK394)</f>
        <v/>
      </c>
      <c r="AL394">
        <f>IF(OR(計分!AL394="",計分!$AP394=""),"",計分!$AP394-計分!AL394)</f>
        <v/>
      </c>
      <c r="AM394">
        <f>IF(OR(計分!AM394="",計分!$AP394=""),"",計分!$AP394-計分!AM394)</f>
        <v/>
      </c>
      <c r="AN394">
        <f>IF(OR(計分!AN394="",計分!$AP394=""),"",計分!$AP394-計分!AN394)</f>
        <v/>
      </c>
      <c r="AO394">
        <f>IF(OR(計分!AO394="",計分!$AP394=""),"",計分!$AP394-計分!AO394)</f>
        <v/>
      </c>
    </row>
    <row r="395">
      <c r="A395">
        <f>計分!A395</f>
        <v/>
      </c>
      <c r="B395">
        <f>IF(OR(計分!B395="",計分!$AP395=""),"",計分!$AP395-計分!B395)</f>
        <v/>
      </c>
      <c r="C395">
        <f>IF(OR(計分!C395="",計分!$AP395=""),"",計分!$AP395-計分!C395)</f>
        <v/>
      </c>
      <c r="D395">
        <f>IF(OR(計分!D395="",計分!$AP395=""),"",計分!$AP395-計分!D395)</f>
        <v/>
      </c>
      <c r="E395">
        <f>IF(OR(計分!E395="",計分!$AP395=""),"",計分!$AP395-計分!E395)</f>
        <v/>
      </c>
      <c r="F395">
        <f>IF(OR(計分!F395="",計分!$AP395=""),"",計分!$AP395-計分!F395)</f>
        <v/>
      </c>
      <c r="G395">
        <f>IF(OR(計分!G395="",計分!$AP395=""),"",計分!$AP395-計分!G395)</f>
        <v/>
      </c>
      <c r="H395">
        <f>IF(OR(計分!H395="",計分!$AP395=""),"",計分!$AP395-計分!H395)</f>
        <v/>
      </c>
      <c r="I395">
        <f>IF(OR(計分!I395="",計分!$AP395=""),"",計分!$AP395-計分!I395)</f>
        <v/>
      </c>
      <c r="J395">
        <f>IF(OR(計分!J395="",計分!$AP395=""),"",計分!$AP395-計分!J395)</f>
        <v/>
      </c>
      <c r="K395">
        <f>IF(OR(計分!K395="",計分!$AP395=""),"",計分!$AP395-計分!K395)</f>
        <v/>
      </c>
      <c r="L395">
        <f>IF(OR(計分!L395="",計分!$AP395=""),"",計分!$AP395-計分!L395)</f>
        <v/>
      </c>
      <c r="M395">
        <f>IF(OR(計分!M395="",計分!$AP395=""),"",計分!$AP395-計分!M395)</f>
        <v/>
      </c>
      <c r="N395">
        <f>IF(OR(計分!N395="",計分!$AP395=""),"",計分!$AP395-計分!N395)</f>
        <v/>
      </c>
      <c r="O395">
        <f>IF(OR(計分!O395="",計分!$AP395=""),"",計分!$AP395-計分!O395)</f>
        <v/>
      </c>
      <c r="P395">
        <f>IF(OR(計分!P395="",計分!$AP395=""),"",計分!$AP395-計分!P395)</f>
        <v/>
      </c>
      <c r="Q395">
        <f>IF(OR(計分!Q395="",計分!$AP395=""),"",計分!$AP395-計分!Q395)</f>
        <v/>
      </c>
      <c r="R395">
        <f>IF(OR(計分!R395="",計分!$AP395=""),"",計分!$AP395-計分!R395)</f>
        <v/>
      </c>
      <c r="S395">
        <f>IF(OR(計分!S395="",計分!$AP395=""),"",計分!$AP395-計分!S395)</f>
        <v/>
      </c>
      <c r="T395">
        <f>IF(OR(計分!T395="",計分!$AP395=""),"",計分!$AP395-計分!T395)</f>
        <v/>
      </c>
      <c r="U395">
        <f>IF(OR(計分!U395="",計分!$AP395=""),"",計分!$AP395-計分!U395)</f>
        <v/>
      </c>
      <c r="V395">
        <f>IF(OR(計分!V395="",計分!$AP395=""),"",計分!$AP395-計分!V395)</f>
        <v/>
      </c>
      <c r="W395">
        <f>IF(OR(計分!W395="",計分!$AP395=""),"",計分!$AP395-計分!W395)</f>
        <v/>
      </c>
      <c r="X395">
        <f>IF(OR(計分!X395="",計分!$AP395=""),"",計分!$AP395-計分!X395)</f>
        <v/>
      </c>
      <c r="Y395">
        <f>IF(OR(計分!Y395="",計分!$AP395=""),"",計分!$AP395-計分!Y395)</f>
        <v/>
      </c>
      <c r="Z395">
        <f>IF(OR(計分!Z395="",計分!$AP395=""),"",計分!$AP395-計分!Z395)</f>
        <v/>
      </c>
      <c r="AA395">
        <f>IF(OR(計分!AA395="",計分!$AP395=""),"",計分!$AP395-計分!AA395)</f>
        <v/>
      </c>
      <c r="AB395">
        <f>IF(OR(計分!AB395="",計分!$AP395=""),"",計分!$AP395-計分!AB395)</f>
        <v/>
      </c>
      <c r="AC395">
        <f>IF(OR(計分!AC395="",計分!$AP395=""),"",計分!$AP395-計分!AC395)</f>
        <v/>
      </c>
      <c r="AD395">
        <f>IF(OR(計分!AD395="",計分!$AP395=""),"",計分!$AP395-計分!AD395)</f>
        <v/>
      </c>
      <c r="AE395">
        <f>IF(OR(計分!AE395="",計分!$AP395=""),"",計分!$AP395-計分!AE395)</f>
        <v/>
      </c>
      <c r="AF395">
        <f>IF(OR(計分!AF395="",計分!$AP395=""),"",計分!$AP395-計分!AF395)</f>
        <v/>
      </c>
      <c r="AG395">
        <f>IF(OR(計分!AG395="",計分!$AP395=""),"",計分!$AP395-計分!AG395)</f>
        <v/>
      </c>
      <c r="AH395">
        <f>IF(OR(計分!AH395="",計分!$AP395=""),"",計分!$AP395-計分!AH395)</f>
        <v/>
      </c>
      <c r="AI395">
        <f>IF(OR(計分!AI395="",計分!$AP395=""),"",計分!$AP395-計分!AI395)</f>
        <v/>
      </c>
      <c r="AJ395">
        <f>IF(OR(計分!AJ395="",計分!$AP395=""),"",計分!$AP395-計分!AJ395)</f>
        <v/>
      </c>
      <c r="AK395">
        <f>IF(OR(計分!AK395="",計分!$AP395=""),"",計分!$AP395-計分!AK395)</f>
        <v/>
      </c>
      <c r="AL395">
        <f>IF(OR(計分!AL395="",計分!$AP395=""),"",計分!$AP395-計分!AL395)</f>
        <v/>
      </c>
      <c r="AM395">
        <f>IF(OR(計分!AM395="",計分!$AP395=""),"",計分!$AP395-計分!AM395)</f>
        <v/>
      </c>
      <c r="AN395">
        <f>IF(OR(計分!AN395="",計分!$AP395=""),"",計分!$AP395-計分!AN395)</f>
        <v/>
      </c>
      <c r="AO395">
        <f>IF(OR(計分!AO395="",計分!$AP395=""),"",計分!$AP395-計分!AO395)</f>
        <v/>
      </c>
    </row>
    <row r="396">
      <c r="A396">
        <f>計分!A396</f>
        <v/>
      </c>
      <c r="B396">
        <f>IF(OR(計分!B396="",計分!$AP396=""),"",計分!$AP396-計分!B396)</f>
        <v/>
      </c>
      <c r="C396">
        <f>IF(OR(計分!C396="",計分!$AP396=""),"",計分!$AP396-計分!C396)</f>
        <v/>
      </c>
      <c r="D396">
        <f>IF(OR(計分!D396="",計分!$AP396=""),"",計分!$AP396-計分!D396)</f>
        <v/>
      </c>
      <c r="E396">
        <f>IF(OR(計分!E396="",計分!$AP396=""),"",計分!$AP396-計分!E396)</f>
        <v/>
      </c>
      <c r="F396">
        <f>IF(OR(計分!F396="",計分!$AP396=""),"",計分!$AP396-計分!F396)</f>
        <v/>
      </c>
      <c r="G396">
        <f>IF(OR(計分!G396="",計分!$AP396=""),"",計分!$AP396-計分!G396)</f>
        <v/>
      </c>
      <c r="H396">
        <f>IF(OR(計分!H396="",計分!$AP396=""),"",計分!$AP396-計分!H396)</f>
        <v/>
      </c>
      <c r="I396">
        <f>IF(OR(計分!I396="",計分!$AP396=""),"",計分!$AP396-計分!I396)</f>
        <v/>
      </c>
      <c r="J396">
        <f>IF(OR(計分!J396="",計分!$AP396=""),"",計分!$AP396-計分!J396)</f>
        <v/>
      </c>
      <c r="K396">
        <f>IF(OR(計分!K396="",計分!$AP396=""),"",計分!$AP396-計分!K396)</f>
        <v/>
      </c>
      <c r="L396">
        <f>IF(OR(計分!L396="",計分!$AP396=""),"",計分!$AP396-計分!L396)</f>
        <v/>
      </c>
      <c r="M396">
        <f>IF(OR(計分!M396="",計分!$AP396=""),"",計分!$AP396-計分!M396)</f>
        <v/>
      </c>
      <c r="N396">
        <f>IF(OR(計分!N396="",計分!$AP396=""),"",計分!$AP396-計分!N396)</f>
        <v/>
      </c>
      <c r="O396">
        <f>IF(OR(計分!O396="",計分!$AP396=""),"",計分!$AP396-計分!O396)</f>
        <v/>
      </c>
      <c r="P396">
        <f>IF(OR(計分!P396="",計分!$AP396=""),"",計分!$AP396-計分!P396)</f>
        <v/>
      </c>
      <c r="Q396">
        <f>IF(OR(計分!Q396="",計分!$AP396=""),"",計分!$AP396-計分!Q396)</f>
        <v/>
      </c>
      <c r="R396">
        <f>IF(OR(計分!R396="",計分!$AP396=""),"",計分!$AP396-計分!R396)</f>
        <v/>
      </c>
      <c r="S396">
        <f>IF(OR(計分!S396="",計分!$AP396=""),"",計分!$AP396-計分!S396)</f>
        <v/>
      </c>
      <c r="T396">
        <f>IF(OR(計分!T396="",計分!$AP396=""),"",計分!$AP396-計分!T396)</f>
        <v/>
      </c>
      <c r="U396">
        <f>IF(OR(計分!U396="",計分!$AP396=""),"",計分!$AP396-計分!U396)</f>
        <v/>
      </c>
      <c r="V396">
        <f>IF(OR(計分!V396="",計分!$AP396=""),"",計分!$AP396-計分!V396)</f>
        <v/>
      </c>
      <c r="W396">
        <f>IF(OR(計分!W396="",計分!$AP396=""),"",計分!$AP396-計分!W396)</f>
        <v/>
      </c>
      <c r="X396">
        <f>IF(OR(計分!X396="",計分!$AP396=""),"",計分!$AP396-計分!X396)</f>
        <v/>
      </c>
      <c r="Y396">
        <f>IF(OR(計分!Y396="",計分!$AP396=""),"",計分!$AP396-計分!Y396)</f>
        <v/>
      </c>
      <c r="Z396">
        <f>IF(OR(計分!Z396="",計分!$AP396=""),"",計分!$AP396-計分!Z396)</f>
        <v/>
      </c>
      <c r="AA396">
        <f>IF(OR(計分!AA396="",計分!$AP396=""),"",計分!$AP396-計分!AA396)</f>
        <v/>
      </c>
      <c r="AB396">
        <f>IF(OR(計分!AB396="",計分!$AP396=""),"",計分!$AP396-計分!AB396)</f>
        <v/>
      </c>
      <c r="AC396">
        <f>IF(OR(計分!AC396="",計分!$AP396=""),"",計分!$AP396-計分!AC396)</f>
        <v/>
      </c>
      <c r="AD396">
        <f>IF(OR(計分!AD396="",計分!$AP396=""),"",計分!$AP396-計分!AD396)</f>
        <v/>
      </c>
      <c r="AE396">
        <f>IF(OR(計分!AE396="",計分!$AP396=""),"",計分!$AP396-計分!AE396)</f>
        <v/>
      </c>
      <c r="AF396">
        <f>IF(OR(計分!AF396="",計分!$AP396=""),"",計分!$AP396-計分!AF396)</f>
        <v/>
      </c>
      <c r="AG396">
        <f>IF(OR(計分!AG396="",計分!$AP396=""),"",計分!$AP396-計分!AG396)</f>
        <v/>
      </c>
      <c r="AH396">
        <f>IF(OR(計分!AH396="",計分!$AP396=""),"",計分!$AP396-計分!AH396)</f>
        <v/>
      </c>
      <c r="AI396">
        <f>IF(OR(計分!AI396="",計分!$AP396=""),"",計分!$AP396-計分!AI396)</f>
        <v/>
      </c>
      <c r="AJ396">
        <f>IF(OR(計分!AJ396="",計分!$AP396=""),"",計分!$AP396-計分!AJ396)</f>
        <v/>
      </c>
      <c r="AK396">
        <f>IF(OR(計分!AK396="",計分!$AP396=""),"",計分!$AP396-計分!AK396)</f>
        <v/>
      </c>
      <c r="AL396">
        <f>IF(OR(計分!AL396="",計分!$AP396=""),"",計分!$AP396-計分!AL396)</f>
        <v/>
      </c>
      <c r="AM396">
        <f>IF(OR(計分!AM396="",計分!$AP396=""),"",計分!$AP396-計分!AM396)</f>
        <v/>
      </c>
      <c r="AN396">
        <f>IF(OR(計分!AN396="",計分!$AP396=""),"",計分!$AP396-計分!AN396)</f>
        <v/>
      </c>
      <c r="AO396">
        <f>IF(OR(計分!AO396="",計分!$AP396=""),"",計分!$AP396-計分!AO396)</f>
        <v/>
      </c>
    </row>
    <row r="397">
      <c r="A397">
        <f>計分!A397</f>
        <v/>
      </c>
      <c r="B397">
        <f>IF(OR(計分!B397="",計分!$AP397=""),"",計分!$AP397-計分!B397)</f>
        <v/>
      </c>
      <c r="C397">
        <f>IF(OR(計分!C397="",計分!$AP397=""),"",計分!$AP397-計分!C397)</f>
        <v/>
      </c>
      <c r="D397">
        <f>IF(OR(計分!D397="",計分!$AP397=""),"",計分!$AP397-計分!D397)</f>
        <v/>
      </c>
      <c r="E397">
        <f>IF(OR(計分!E397="",計分!$AP397=""),"",計分!$AP397-計分!E397)</f>
        <v/>
      </c>
      <c r="F397">
        <f>IF(OR(計分!F397="",計分!$AP397=""),"",計分!$AP397-計分!F397)</f>
        <v/>
      </c>
      <c r="G397">
        <f>IF(OR(計分!G397="",計分!$AP397=""),"",計分!$AP397-計分!G397)</f>
        <v/>
      </c>
      <c r="H397">
        <f>IF(OR(計分!H397="",計分!$AP397=""),"",計分!$AP397-計分!H397)</f>
        <v/>
      </c>
      <c r="I397">
        <f>IF(OR(計分!I397="",計分!$AP397=""),"",計分!$AP397-計分!I397)</f>
        <v/>
      </c>
      <c r="J397">
        <f>IF(OR(計分!J397="",計分!$AP397=""),"",計分!$AP397-計分!J397)</f>
        <v/>
      </c>
      <c r="K397">
        <f>IF(OR(計分!K397="",計分!$AP397=""),"",計分!$AP397-計分!K397)</f>
        <v/>
      </c>
      <c r="L397">
        <f>IF(OR(計分!L397="",計分!$AP397=""),"",計分!$AP397-計分!L397)</f>
        <v/>
      </c>
      <c r="M397">
        <f>IF(OR(計分!M397="",計分!$AP397=""),"",計分!$AP397-計分!M397)</f>
        <v/>
      </c>
      <c r="N397">
        <f>IF(OR(計分!N397="",計分!$AP397=""),"",計分!$AP397-計分!N397)</f>
        <v/>
      </c>
      <c r="O397">
        <f>IF(OR(計分!O397="",計分!$AP397=""),"",計分!$AP397-計分!O397)</f>
        <v/>
      </c>
      <c r="P397">
        <f>IF(OR(計分!P397="",計分!$AP397=""),"",計分!$AP397-計分!P397)</f>
        <v/>
      </c>
      <c r="Q397">
        <f>IF(OR(計分!Q397="",計分!$AP397=""),"",計分!$AP397-計分!Q397)</f>
        <v/>
      </c>
      <c r="R397">
        <f>IF(OR(計分!R397="",計分!$AP397=""),"",計分!$AP397-計分!R397)</f>
        <v/>
      </c>
      <c r="S397">
        <f>IF(OR(計分!S397="",計分!$AP397=""),"",計分!$AP397-計分!S397)</f>
        <v/>
      </c>
      <c r="T397">
        <f>IF(OR(計分!T397="",計分!$AP397=""),"",計分!$AP397-計分!T397)</f>
        <v/>
      </c>
      <c r="U397">
        <f>IF(OR(計分!U397="",計分!$AP397=""),"",計分!$AP397-計分!U397)</f>
        <v/>
      </c>
      <c r="V397">
        <f>IF(OR(計分!V397="",計分!$AP397=""),"",計分!$AP397-計分!V397)</f>
        <v/>
      </c>
      <c r="W397">
        <f>IF(OR(計分!W397="",計分!$AP397=""),"",計分!$AP397-計分!W397)</f>
        <v/>
      </c>
      <c r="X397">
        <f>IF(OR(計分!X397="",計分!$AP397=""),"",計分!$AP397-計分!X397)</f>
        <v/>
      </c>
      <c r="Y397">
        <f>IF(OR(計分!Y397="",計分!$AP397=""),"",計分!$AP397-計分!Y397)</f>
        <v/>
      </c>
      <c r="Z397">
        <f>IF(OR(計分!Z397="",計分!$AP397=""),"",計分!$AP397-計分!Z397)</f>
        <v/>
      </c>
      <c r="AA397">
        <f>IF(OR(計分!AA397="",計分!$AP397=""),"",計分!$AP397-計分!AA397)</f>
        <v/>
      </c>
      <c r="AB397">
        <f>IF(OR(計分!AB397="",計分!$AP397=""),"",計分!$AP397-計分!AB397)</f>
        <v/>
      </c>
      <c r="AC397">
        <f>IF(OR(計分!AC397="",計分!$AP397=""),"",計分!$AP397-計分!AC397)</f>
        <v/>
      </c>
      <c r="AD397">
        <f>IF(OR(計分!AD397="",計分!$AP397=""),"",計分!$AP397-計分!AD397)</f>
        <v/>
      </c>
      <c r="AE397">
        <f>IF(OR(計分!AE397="",計分!$AP397=""),"",計分!$AP397-計分!AE397)</f>
        <v/>
      </c>
      <c r="AF397">
        <f>IF(OR(計分!AF397="",計分!$AP397=""),"",計分!$AP397-計分!AF397)</f>
        <v/>
      </c>
      <c r="AG397">
        <f>IF(OR(計分!AG397="",計分!$AP397=""),"",計分!$AP397-計分!AG397)</f>
        <v/>
      </c>
      <c r="AH397">
        <f>IF(OR(計分!AH397="",計分!$AP397=""),"",計分!$AP397-計分!AH397)</f>
        <v/>
      </c>
      <c r="AI397">
        <f>IF(OR(計分!AI397="",計分!$AP397=""),"",計分!$AP397-計分!AI397)</f>
        <v/>
      </c>
      <c r="AJ397">
        <f>IF(OR(計分!AJ397="",計分!$AP397=""),"",計分!$AP397-計分!AJ397)</f>
        <v/>
      </c>
      <c r="AK397">
        <f>IF(OR(計分!AK397="",計分!$AP397=""),"",計分!$AP397-計分!AK397)</f>
        <v/>
      </c>
      <c r="AL397">
        <f>IF(OR(計分!AL397="",計分!$AP397=""),"",計分!$AP397-計分!AL397)</f>
        <v/>
      </c>
      <c r="AM397">
        <f>IF(OR(計分!AM397="",計分!$AP397=""),"",計分!$AP397-計分!AM397)</f>
        <v/>
      </c>
      <c r="AN397">
        <f>IF(OR(計分!AN397="",計分!$AP397=""),"",計分!$AP397-計分!AN397)</f>
        <v/>
      </c>
      <c r="AO397">
        <f>IF(OR(計分!AO397="",計分!$AP397=""),"",計分!$AP397-計分!AO397)</f>
        <v/>
      </c>
    </row>
    <row r="398">
      <c r="A398">
        <f>計分!A398</f>
        <v/>
      </c>
      <c r="B398">
        <f>IF(OR(計分!B398="",計分!$AP398=""),"",計分!$AP398-計分!B398)</f>
        <v/>
      </c>
      <c r="C398">
        <f>IF(OR(計分!C398="",計分!$AP398=""),"",計分!$AP398-計分!C398)</f>
        <v/>
      </c>
      <c r="D398">
        <f>IF(OR(計分!D398="",計分!$AP398=""),"",計分!$AP398-計分!D398)</f>
        <v/>
      </c>
      <c r="E398">
        <f>IF(OR(計分!E398="",計分!$AP398=""),"",計分!$AP398-計分!E398)</f>
        <v/>
      </c>
      <c r="F398">
        <f>IF(OR(計分!F398="",計分!$AP398=""),"",計分!$AP398-計分!F398)</f>
        <v/>
      </c>
      <c r="G398">
        <f>IF(OR(計分!G398="",計分!$AP398=""),"",計分!$AP398-計分!G398)</f>
        <v/>
      </c>
      <c r="H398">
        <f>IF(OR(計分!H398="",計分!$AP398=""),"",計分!$AP398-計分!H398)</f>
        <v/>
      </c>
      <c r="I398">
        <f>IF(OR(計分!I398="",計分!$AP398=""),"",計分!$AP398-計分!I398)</f>
        <v/>
      </c>
      <c r="J398">
        <f>IF(OR(計分!J398="",計分!$AP398=""),"",計分!$AP398-計分!J398)</f>
        <v/>
      </c>
      <c r="K398">
        <f>IF(OR(計分!K398="",計分!$AP398=""),"",計分!$AP398-計分!K398)</f>
        <v/>
      </c>
      <c r="L398">
        <f>IF(OR(計分!L398="",計分!$AP398=""),"",計分!$AP398-計分!L398)</f>
        <v/>
      </c>
      <c r="M398">
        <f>IF(OR(計分!M398="",計分!$AP398=""),"",計分!$AP398-計分!M398)</f>
        <v/>
      </c>
      <c r="N398">
        <f>IF(OR(計分!N398="",計分!$AP398=""),"",計分!$AP398-計分!N398)</f>
        <v/>
      </c>
      <c r="O398">
        <f>IF(OR(計分!O398="",計分!$AP398=""),"",計分!$AP398-計分!O398)</f>
        <v/>
      </c>
      <c r="P398">
        <f>IF(OR(計分!P398="",計分!$AP398=""),"",計分!$AP398-計分!P398)</f>
        <v/>
      </c>
      <c r="Q398">
        <f>IF(OR(計分!Q398="",計分!$AP398=""),"",計分!$AP398-計分!Q398)</f>
        <v/>
      </c>
      <c r="R398">
        <f>IF(OR(計分!R398="",計分!$AP398=""),"",計分!$AP398-計分!R398)</f>
        <v/>
      </c>
      <c r="S398">
        <f>IF(OR(計分!S398="",計分!$AP398=""),"",計分!$AP398-計分!S398)</f>
        <v/>
      </c>
      <c r="T398">
        <f>IF(OR(計分!T398="",計分!$AP398=""),"",計分!$AP398-計分!T398)</f>
        <v/>
      </c>
      <c r="U398">
        <f>IF(OR(計分!U398="",計分!$AP398=""),"",計分!$AP398-計分!U398)</f>
        <v/>
      </c>
      <c r="V398">
        <f>IF(OR(計分!V398="",計分!$AP398=""),"",計分!$AP398-計分!V398)</f>
        <v/>
      </c>
      <c r="W398">
        <f>IF(OR(計分!W398="",計分!$AP398=""),"",計分!$AP398-計分!W398)</f>
        <v/>
      </c>
      <c r="X398">
        <f>IF(OR(計分!X398="",計分!$AP398=""),"",計分!$AP398-計分!X398)</f>
        <v/>
      </c>
      <c r="Y398">
        <f>IF(OR(計分!Y398="",計分!$AP398=""),"",計分!$AP398-計分!Y398)</f>
        <v/>
      </c>
      <c r="Z398">
        <f>IF(OR(計分!Z398="",計分!$AP398=""),"",計分!$AP398-計分!Z398)</f>
        <v/>
      </c>
      <c r="AA398">
        <f>IF(OR(計分!AA398="",計分!$AP398=""),"",計分!$AP398-計分!AA398)</f>
        <v/>
      </c>
      <c r="AB398">
        <f>IF(OR(計分!AB398="",計分!$AP398=""),"",計分!$AP398-計分!AB398)</f>
        <v/>
      </c>
      <c r="AC398">
        <f>IF(OR(計分!AC398="",計分!$AP398=""),"",計分!$AP398-計分!AC398)</f>
        <v/>
      </c>
      <c r="AD398">
        <f>IF(OR(計分!AD398="",計分!$AP398=""),"",計分!$AP398-計分!AD398)</f>
        <v/>
      </c>
      <c r="AE398">
        <f>IF(OR(計分!AE398="",計分!$AP398=""),"",計分!$AP398-計分!AE398)</f>
        <v/>
      </c>
      <c r="AF398">
        <f>IF(OR(計分!AF398="",計分!$AP398=""),"",計分!$AP398-計分!AF398)</f>
        <v/>
      </c>
      <c r="AG398">
        <f>IF(OR(計分!AG398="",計分!$AP398=""),"",計分!$AP398-計分!AG398)</f>
        <v/>
      </c>
      <c r="AH398">
        <f>IF(OR(計分!AH398="",計分!$AP398=""),"",計分!$AP398-計分!AH398)</f>
        <v/>
      </c>
      <c r="AI398">
        <f>IF(OR(計分!AI398="",計分!$AP398=""),"",計分!$AP398-計分!AI398)</f>
        <v/>
      </c>
      <c r="AJ398">
        <f>IF(OR(計分!AJ398="",計分!$AP398=""),"",計分!$AP398-計分!AJ398)</f>
        <v/>
      </c>
      <c r="AK398">
        <f>IF(OR(計分!AK398="",計分!$AP398=""),"",計分!$AP398-計分!AK398)</f>
        <v/>
      </c>
      <c r="AL398">
        <f>IF(OR(計分!AL398="",計分!$AP398=""),"",計分!$AP398-計分!AL398)</f>
        <v/>
      </c>
      <c r="AM398">
        <f>IF(OR(計分!AM398="",計分!$AP398=""),"",計分!$AP398-計分!AM398)</f>
        <v/>
      </c>
      <c r="AN398">
        <f>IF(OR(計分!AN398="",計分!$AP398=""),"",計分!$AP398-計分!AN398)</f>
        <v/>
      </c>
      <c r="AO398">
        <f>IF(OR(計分!AO398="",計分!$AP398=""),"",計分!$AP398-計分!AO398)</f>
        <v/>
      </c>
    </row>
    <row r="399">
      <c r="A399">
        <f>計分!A399</f>
        <v/>
      </c>
      <c r="B399">
        <f>IF(OR(計分!B399="",計分!$AP399=""),"",計分!$AP399-計分!B399)</f>
        <v/>
      </c>
      <c r="C399">
        <f>IF(OR(計分!C399="",計分!$AP399=""),"",計分!$AP399-計分!C399)</f>
        <v/>
      </c>
      <c r="D399">
        <f>IF(OR(計分!D399="",計分!$AP399=""),"",計分!$AP399-計分!D399)</f>
        <v/>
      </c>
      <c r="E399">
        <f>IF(OR(計分!E399="",計分!$AP399=""),"",計分!$AP399-計分!E399)</f>
        <v/>
      </c>
      <c r="F399">
        <f>IF(OR(計分!F399="",計分!$AP399=""),"",計分!$AP399-計分!F399)</f>
        <v/>
      </c>
      <c r="G399">
        <f>IF(OR(計分!G399="",計分!$AP399=""),"",計分!$AP399-計分!G399)</f>
        <v/>
      </c>
      <c r="H399">
        <f>IF(OR(計分!H399="",計分!$AP399=""),"",計分!$AP399-計分!H399)</f>
        <v/>
      </c>
      <c r="I399">
        <f>IF(OR(計分!I399="",計分!$AP399=""),"",計分!$AP399-計分!I399)</f>
        <v/>
      </c>
      <c r="J399">
        <f>IF(OR(計分!J399="",計分!$AP399=""),"",計分!$AP399-計分!J399)</f>
        <v/>
      </c>
      <c r="K399">
        <f>IF(OR(計分!K399="",計分!$AP399=""),"",計分!$AP399-計分!K399)</f>
        <v/>
      </c>
      <c r="L399">
        <f>IF(OR(計分!L399="",計分!$AP399=""),"",計分!$AP399-計分!L399)</f>
        <v/>
      </c>
      <c r="M399">
        <f>IF(OR(計分!M399="",計分!$AP399=""),"",計分!$AP399-計分!M399)</f>
        <v/>
      </c>
      <c r="N399">
        <f>IF(OR(計分!N399="",計分!$AP399=""),"",計分!$AP399-計分!N399)</f>
        <v/>
      </c>
      <c r="O399">
        <f>IF(OR(計分!O399="",計分!$AP399=""),"",計分!$AP399-計分!O399)</f>
        <v/>
      </c>
      <c r="P399">
        <f>IF(OR(計分!P399="",計分!$AP399=""),"",計分!$AP399-計分!P399)</f>
        <v/>
      </c>
      <c r="Q399">
        <f>IF(OR(計分!Q399="",計分!$AP399=""),"",計分!$AP399-計分!Q399)</f>
        <v/>
      </c>
      <c r="R399">
        <f>IF(OR(計分!R399="",計分!$AP399=""),"",計分!$AP399-計分!R399)</f>
        <v/>
      </c>
      <c r="S399">
        <f>IF(OR(計分!S399="",計分!$AP399=""),"",計分!$AP399-計分!S399)</f>
        <v/>
      </c>
      <c r="T399">
        <f>IF(OR(計分!T399="",計分!$AP399=""),"",計分!$AP399-計分!T399)</f>
        <v/>
      </c>
      <c r="U399">
        <f>IF(OR(計分!U399="",計分!$AP399=""),"",計分!$AP399-計分!U399)</f>
        <v/>
      </c>
      <c r="V399">
        <f>IF(OR(計分!V399="",計分!$AP399=""),"",計分!$AP399-計分!V399)</f>
        <v/>
      </c>
      <c r="W399">
        <f>IF(OR(計分!W399="",計分!$AP399=""),"",計分!$AP399-計分!W399)</f>
        <v/>
      </c>
      <c r="X399">
        <f>IF(OR(計分!X399="",計分!$AP399=""),"",計分!$AP399-計分!X399)</f>
        <v/>
      </c>
      <c r="Y399">
        <f>IF(OR(計分!Y399="",計分!$AP399=""),"",計分!$AP399-計分!Y399)</f>
        <v/>
      </c>
      <c r="Z399">
        <f>IF(OR(計分!Z399="",計分!$AP399=""),"",計分!$AP399-計分!Z399)</f>
        <v/>
      </c>
      <c r="AA399">
        <f>IF(OR(計分!AA399="",計分!$AP399=""),"",計分!$AP399-計分!AA399)</f>
        <v/>
      </c>
      <c r="AB399">
        <f>IF(OR(計分!AB399="",計分!$AP399=""),"",計分!$AP399-計分!AB399)</f>
        <v/>
      </c>
      <c r="AC399">
        <f>IF(OR(計分!AC399="",計分!$AP399=""),"",計分!$AP399-計分!AC399)</f>
        <v/>
      </c>
      <c r="AD399">
        <f>IF(OR(計分!AD399="",計分!$AP399=""),"",計分!$AP399-計分!AD399)</f>
        <v/>
      </c>
      <c r="AE399">
        <f>IF(OR(計分!AE399="",計分!$AP399=""),"",計分!$AP399-計分!AE399)</f>
        <v/>
      </c>
      <c r="AF399">
        <f>IF(OR(計分!AF399="",計分!$AP399=""),"",計分!$AP399-計分!AF399)</f>
        <v/>
      </c>
      <c r="AG399">
        <f>IF(OR(計分!AG399="",計分!$AP399=""),"",計分!$AP399-計分!AG399)</f>
        <v/>
      </c>
      <c r="AH399">
        <f>IF(OR(計分!AH399="",計分!$AP399=""),"",計分!$AP399-計分!AH399)</f>
        <v/>
      </c>
      <c r="AI399">
        <f>IF(OR(計分!AI399="",計分!$AP399=""),"",計分!$AP399-計分!AI399)</f>
        <v/>
      </c>
      <c r="AJ399">
        <f>IF(OR(計分!AJ399="",計分!$AP399=""),"",計分!$AP399-計分!AJ399)</f>
        <v/>
      </c>
      <c r="AK399">
        <f>IF(OR(計分!AK399="",計分!$AP399=""),"",計分!$AP399-計分!AK399)</f>
        <v/>
      </c>
      <c r="AL399">
        <f>IF(OR(計分!AL399="",計分!$AP399=""),"",計分!$AP399-計分!AL399)</f>
        <v/>
      </c>
      <c r="AM399">
        <f>IF(OR(計分!AM399="",計分!$AP399=""),"",計分!$AP399-計分!AM399)</f>
        <v/>
      </c>
      <c r="AN399">
        <f>IF(OR(計分!AN399="",計分!$AP399=""),"",計分!$AP399-計分!AN399)</f>
        <v/>
      </c>
      <c r="AO399">
        <f>IF(OR(計分!AO399="",計分!$AP399=""),"",計分!$AP399-計分!AO399)</f>
        <v/>
      </c>
    </row>
    <row r="400">
      <c r="A400">
        <f>計分!A400</f>
        <v/>
      </c>
      <c r="B400">
        <f>IF(OR(計分!B400="",計分!$AP400=""),"",計分!$AP400-計分!B400)</f>
        <v/>
      </c>
      <c r="C400">
        <f>IF(OR(計分!C400="",計分!$AP400=""),"",計分!$AP400-計分!C400)</f>
        <v/>
      </c>
      <c r="D400">
        <f>IF(OR(計分!D400="",計分!$AP400=""),"",計分!$AP400-計分!D400)</f>
        <v/>
      </c>
      <c r="E400">
        <f>IF(OR(計分!E400="",計分!$AP400=""),"",計分!$AP400-計分!E400)</f>
        <v/>
      </c>
      <c r="F400">
        <f>IF(OR(計分!F400="",計分!$AP400=""),"",計分!$AP400-計分!F400)</f>
        <v/>
      </c>
      <c r="G400">
        <f>IF(OR(計分!G400="",計分!$AP400=""),"",計分!$AP400-計分!G400)</f>
        <v/>
      </c>
      <c r="H400">
        <f>IF(OR(計分!H400="",計分!$AP400=""),"",計分!$AP400-計分!H400)</f>
        <v/>
      </c>
      <c r="I400">
        <f>IF(OR(計分!I400="",計分!$AP400=""),"",計分!$AP400-計分!I400)</f>
        <v/>
      </c>
      <c r="J400">
        <f>IF(OR(計分!J400="",計分!$AP400=""),"",計分!$AP400-計分!J400)</f>
        <v/>
      </c>
      <c r="K400">
        <f>IF(OR(計分!K400="",計分!$AP400=""),"",計分!$AP400-計分!K400)</f>
        <v/>
      </c>
      <c r="L400">
        <f>IF(OR(計分!L400="",計分!$AP400=""),"",計分!$AP400-計分!L400)</f>
        <v/>
      </c>
      <c r="M400">
        <f>IF(OR(計分!M400="",計分!$AP400=""),"",計分!$AP400-計分!M400)</f>
        <v/>
      </c>
      <c r="N400">
        <f>IF(OR(計分!N400="",計分!$AP400=""),"",計分!$AP400-計分!N400)</f>
        <v/>
      </c>
      <c r="O400">
        <f>IF(OR(計分!O400="",計分!$AP400=""),"",計分!$AP400-計分!O400)</f>
        <v/>
      </c>
      <c r="P400">
        <f>IF(OR(計分!P400="",計分!$AP400=""),"",計分!$AP400-計分!P400)</f>
        <v/>
      </c>
      <c r="Q400">
        <f>IF(OR(計分!Q400="",計分!$AP400=""),"",計分!$AP400-計分!Q400)</f>
        <v/>
      </c>
      <c r="R400">
        <f>IF(OR(計分!R400="",計分!$AP400=""),"",計分!$AP400-計分!R400)</f>
        <v/>
      </c>
      <c r="S400">
        <f>IF(OR(計分!S400="",計分!$AP400=""),"",計分!$AP400-計分!S400)</f>
        <v/>
      </c>
      <c r="T400">
        <f>IF(OR(計分!T400="",計分!$AP400=""),"",計分!$AP400-計分!T400)</f>
        <v/>
      </c>
      <c r="U400">
        <f>IF(OR(計分!U400="",計分!$AP400=""),"",計分!$AP400-計分!U400)</f>
        <v/>
      </c>
      <c r="V400">
        <f>IF(OR(計分!V400="",計分!$AP400=""),"",計分!$AP400-計分!V400)</f>
        <v/>
      </c>
      <c r="W400">
        <f>IF(OR(計分!W400="",計分!$AP400=""),"",計分!$AP400-計分!W400)</f>
        <v/>
      </c>
      <c r="X400">
        <f>IF(OR(計分!X400="",計分!$AP400=""),"",計分!$AP400-計分!X400)</f>
        <v/>
      </c>
      <c r="Y400">
        <f>IF(OR(計分!Y400="",計分!$AP400=""),"",計分!$AP400-計分!Y400)</f>
        <v/>
      </c>
      <c r="Z400">
        <f>IF(OR(計分!Z400="",計分!$AP400=""),"",計分!$AP400-計分!Z400)</f>
        <v/>
      </c>
      <c r="AA400">
        <f>IF(OR(計分!AA400="",計分!$AP400=""),"",計分!$AP400-計分!AA400)</f>
        <v/>
      </c>
      <c r="AB400">
        <f>IF(OR(計分!AB400="",計分!$AP400=""),"",計分!$AP400-計分!AB400)</f>
        <v/>
      </c>
      <c r="AC400">
        <f>IF(OR(計分!AC400="",計分!$AP400=""),"",計分!$AP400-計分!AC400)</f>
        <v/>
      </c>
      <c r="AD400">
        <f>IF(OR(計分!AD400="",計分!$AP400=""),"",計分!$AP400-計分!AD400)</f>
        <v/>
      </c>
      <c r="AE400">
        <f>IF(OR(計分!AE400="",計分!$AP400=""),"",計分!$AP400-計分!AE400)</f>
        <v/>
      </c>
      <c r="AF400">
        <f>IF(OR(計分!AF400="",計分!$AP400=""),"",計分!$AP400-計分!AF400)</f>
        <v/>
      </c>
      <c r="AG400">
        <f>IF(OR(計分!AG400="",計分!$AP400=""),"",計分!$AP400-計分!AG400)</f>
        <v/>
      </c>
      <c r="AH400">
        <f>IF(OR(計分!AH400="",計分!$AP400=""),"",計分!$AP400-計分!AH400)</f>
        <v/>
      </c>
      <c r="AI400">
        <f>IF(OR(計分!AI400="",計分!$AP400=""),"",計分!$AP400-計分!AI400)</f>
        <v/>
      </c>
      <c r="AJ400">
        <f>IF(OR(計分!AJ400="",計分!$AP400=""),"",計分!$AP400-計分!AJ400)</f>
        <v/>
      </c>
      <c r="AK400">
        <f>IF(OR(計分!AK400="",計分!$AP400=""),"",計分!$AP400-計分!AK400)</f>
        <v/>
      </c>
      <c r="AL400">
        <f>IF(OR(計分!AL400="",計分!$AP400=""),"",計分!$AP400-計分!AL400)</f>
        <v/>
      </c>
      <c r="AM400">
        <f>IF(OR(計分!AM400="",計分!$AP400=""),"",計分!$AP400-計分!AM400)</f>
        <v/>
      </c>
      <c r="AN400">
        <f>IF(OR(計分!AN400="",計分!$AP400=""),"",計分!$AP400-計分!AN400)</f>
        <v/>
      </c>
      <c r="AO400">
        <f>IF(OR(計分!AO400="",計分!$AP400=""),"",計分!$AP400-計分!AO400)</f>
        <v/>
      </c>
    </row>
    <row r="401">
      <c r="A401">
        <f>計分!A401</f>
        <v/>
      </c>
      <c r="B401">
        <f>IF(OR(計分!B401="",計分!$AP401=""),"",計分!$AP401-計分!B401)</f>
        <v/>
      </c>
      <c r="C401">
        <f>IF(OR(計分!C401="",計分!$AP401=""),"",計分!$AP401-計分!C401)</f>
        <v/>
      </c>
      <c r="D401">
        <f>IF(OR(計分!D401="",計分!$AP401=""),"",計分!$AP401-計分!D401)</f>
        <v/>
      </c>
      <c r="E401">
        <f>IF(OR(計分!E401="",計分!$AP401=""),"",計分!$AP401-計分!E401)</f>
        <v/>
      </c>
      <c r="F401">
        <f>IF(OR(計分!F401="",計分!$AP401=""),"",計分!$AP401-計分!F401)</f>
        <v/>
      </c>
      <c r="G401">
        <f>IF(OR(計分!G401="",計分!$AP401=""),"",計分!$AP401-計分!G401)</f>
        <v/>
      </c>
      <c r="H401">
        <f>IF(OR(計分!H401="",計分!$AP401=""),"",計分!$AP401-計分!H401)</f>
        <v/>
      </c>
      <c r="I401">
        <f>IF(OR(計分!I401="",計分!$AP401=""),"",計分!$AP401-計分!I401)</f>
        <v/>
      </c>
      <c r="J401">
        <f>IF(OR(計分!J401="",計分!$AP401=""),"",計分!$AP401-計分!J401)</f>
        <v/>
      </c>
      <c r="K401">
        <f>IF(OR(計分!K401="",計分!$AP401=""),"",計分!$AP401-計分!K401)</f>
        <v/>
      </c>
      <c r="L401">
        <f>IF(OR(計分!L401="",計分!$AP401=""),"",計分!$AP401-計分!L401)</f>
        <v/>
      </c>
      <c r="M401">
        <f>IF(OR(計分!M401="",計分!$AP401=""),"",計分!$AP401-計分!M401)</f>
        <v/>
      </c>
      <c r="N401">
        <f>IF(OR(計分!N401="",計分!$AP401=""),"",計分!$AP401-計分!N401)</f>
        <v/>
      </c>
      <c r="O401">
        <f>IF(OR(計分!O401="",計分!$AP401=""),"",計分!$AP401-計分!O401)</f>
        <v/>
      </c>
      <c r="P401">
        <f>IF(OR(計分!P401="",計分!$AP401=""),"",計分!$AP401-計分!P401)</f>
        <v/>
      </c>
      <c r="Q401">
        <f>IF(OR(計分!Q401="",計分!$AP401=""),"",計分!$AP401-計分!Q401)</f>
        <v/>
      </c>
      <c r="R401">
        <f>IF(OR(計分!R401="",計分!$AP401=""),"",計分!$AP401-計分!R401)</f>
        <v/>
      </c>
      <c r="S401">
        <f>IF(OR(計分!S401="",計分!$AP401=""),"",計分!$AP401-計分!S401)</f>
        <v/>
      </c>
      <c r="T401">
        <f>IF(OR(計分!T401="",計分!$AP401=""),"",計分!$AP401-計分!T401)</f>
        <v/>
      </c>
      <c r="U401">
        <f>IF(OR(計分!U401="",計分!$AP401=""),"",計分!$AP401-計分!U401)</f>
        <v/>
      </c>
      <c r="V401">
        <f>IF(OR(計分!V401="",計分!$AP401=""),"",計分!$AP401-計分!V401)</f>
        <v/>
      </c>
      <c r="W401">
        <f>IF(OR(計分!W401="",計分!$AP401=""),"",計分!$AP401-計分!W401)</f>
        <v/>
      </c>
      <c r="X401">
        <f>IF(OR(計分!X401="",計分!$AP401=""),"",計分!$AP401-計分!X401)</f>
        <v/>
      </c>
      <c r="Y401">
        <f>IF(OR(計分!Y401="",計分!$AP401=""),"",計分!$AP401-計分!Y401)</f>
        <v/>
      </c>
      <c r="Z401">
        <f>IF(OR(計分!Z401="",計分!$AP401=""),"",計分!$AP401-計分!Z401)</f>
        <v/>
      </c>
      <c r="AA401">
        <f>IF(OR(計分!AA401="",計分!$AP401=""),"",計分!$AP401-計分!AA401)</f>
        <v/>
      </c>
      <c r="AB401">
        <f>IF(OR(計分!AB401="",計分!$AP401=""),"",計分!$AP401-計分!AB401)</f>
        <v/>
      </c>
      <c r="AC401">
        <f>IF(OR(計分!AC401="",計分!$AP401=""),"",計分!$AP401-計分!AC401)</f>
        <v/>
      </c>
      <c r="AD401">
        <f>IF(OR(計分!AD401="",計分!$AP401=""),"",計分!$AP401-計分!AD401)</f>
        <v/>
      </c>
      <c r="AE401">
        <f>IF(OR(計分!AE401="",計分!$AP401=""),"",計分!$AP401-計分!AE401)</f>
        <v/>
      </c>
      <c r="AF401">
        <f>IF(OR(計分!AF401="",計分!$AP401=""),"",計分!$AP401-計分!AF401)</f>
        <v/>
      </c>
      <c r="AG401">
        <f>IF(OR(計分!AG401="",計分!$AP401=""),"",計分!$AP401-計分!AG401)</f>
        <v/>
      </c>
      <c r="AH401">
        <f>IF(OR(計分!AH401="",計分!$AP401=""),"",計分!$AP401-計分!AH401)</f>
        <v/>
      </c>
      <c r="AI401">
        <f>IF(OR(計分!AI401="",計分!$AP401=""),"",計分!$AP401-計分!AI401)</f>
        <v/>
      </c>
      <c r="AJ401">
        <f>IF(OR(計分!AJ401="",計分!$AP401=""),"",計分!$AP401-計分!AJ401)</f>
        <v/>
      </c>
      <c r="AK401">
        <f>IF(OR(計分!AK401="",計分!$AP401=""),"",計分!$AP401-計分!AK401)</f>
        <v/>
      </c>
      <c r="AL401">
        <f>IF(OR(計分!AL401="",計分!$AP401=""),"",計分!$AP401-計分!AL401)</f>
        <v/>
      </c>
      <c r="AM401">
        <f>IF(OR(計分!AM401="",計分!$AP401=""),"",計分!$AP401-計分!AM401)</f>
        <v/>
      </c>
      <c r="AN401">
        <f>IF(OR(計分!AN401="",計分!$AP401=""),"",計分!$AP401-計分!AN401)</f>
        <v/>
      </c>
      <c r="AO401">
        <f>IF(OR(計分!AO401="",計分!$AP401=""),"",計分!$AP401-計分!AO401)</f>
        <v/>
      </c>
    </row>
    <row r="402">
      <c r="A402">
        <f>計分!A402</f>
        <v/>
      </c>
      <c r="B402">
        <f>IF(OR(計分!B402="",計分!$AP402=""),"",計分!$AP402-計分!B402)</f>
        <v/>
      </c>
      <c r="C402">
        <f>IF(OR(計分!C402="",計分!$AP402=""),"",計分!$AP402-計分!C402)</f>
        <v/>
      </c>
      <c r="D402">
        <f>IF(OR(計分!D402="",計分!$AP402=""),"",計分!$AP402-計分!D402)</f>
        <v/>
      </c>
      <c r="E402">
        <f>IF(OR(計分!E402="",計分!$AP402=""),"",計分!$AP402-計分!E402)</f>
        <v/>
      </c>
      <c r="F402">
        <f>IF(OR(計分!F402="",計分!$AP402=""),"",計分!$AP402-計分!F402)</f>
        <v/>
      </c>
      <c r="G402">
        <f>IF(OR(計分!G402="",計分!$AP402=""),"",計分!$AP402-計分!G402)</f>
        <v/>
      </c>
      <c r="H402">
        <f>IF(OR(計分!H402="",計分!$AP402=""),"",計分!$AP402-計分!H402)</f>
        <v/>
      </c>
      <c r="I402">
        <f>IF(OR(計分!I402="",計分!$AP402=""),"",計分!$AP402-計分!I402)</f>
        <v/>
      </c>
      <c r="J402">
        <f>IF(OR(計分!J402="",計分!$AP402=""),"",計分!$AP402-計分!J402)</f>
        <v/>
      </c>
      <c r="K402">
        <f>IF(OR(計分!K402="",計分!$AP402=""),"",計分!$AP402-計分!K402)</f>
        <v/>
      </c>
      <c r="L402">
        <f>IF(OR(計分!L402="",計分!$AP402=""),"",計分!$AP402-計分!L402)</f>
        <v/>
      </c>
      <c r="M402">
        <f>IF(OR(計分!M402="",計分!$AP402=""),"",計分!$AP402-計分!M402)</f>
        <v/>
      </c>
      <c r="N402">
        <f>IF(OR(計分!N402="",計分!$AP402=""),"",計分!$AP402-計分!N402)</f>
        <v/>
      </c>
      <c r="O402">
        <f>IF(OR(計分!O402="",計分!$AP402=""),"",計分!$AP402-計分!O402)</f>
        <v/>
      </c>
      <c r="P402">
        <f>IF(OR(計分!P402="",計分!$AP402=""),"",計分!$AP402-計分!P402)</f>
        <v/>
      </c>
      <c r="Q402">
        <f>IF(OR(計分!Q402="",計分!$AP402=""),"",計分!$AP402-計分!Q402)</f>
        <v/>
      </c>
      <c r="R402">
        <f>IF(OR(計分!R402="",計分!$AP402=""),"",計分!$AP402-計分!R402)</f>
        <v/>
      </c>
      <c r="S402">
        <f>IF(OR(計分!S402="",計分!$AP402=""),"",計分!$AP402-計分!S402)</f>
        <v/>
      </c>
      <c r="T402">
        <f>IF(OR(計分!T402="",計分!$AP402=""),"",計分!$AP402-計分!T402)</f>
        <v/>
      </c>
      <c r="U402">
        <f>IF(OR(計分!U402="",計分!$AP402=""),"",計分!$AP402-計分!U402)</f>
        <v/>
      </c>
      <c r="V402">
        <f>IF(OR(計分!V402="",計分!$AP402=""),"",計分!$AP402-計分!V402)</f>
        <v/>
      </c>
      <c r="W402">
        <f>IF(OR(計分!W402="",計分!$AP402=""),"",計分!$AP402-計分!W402)</f>
        <v/>
      </c>
      <c r="X402">
        <f>IF(OR(計分!X402="",計分!$AP402=""),"",計分!$AP402-計分!X402)</f>
        <v/>
      </c>
      <c r="Y402">
        <f>IF(OR(計分!Y402="",計分!$AP402=""),"",計分!$AP402-計分!Y402)</f>
        <v/>
      </c>
      <c r="Z402">
        <f>IF(OR(計分!Z402="",計分!$AP402=""),"",計分!$AP402-計分!Z402)</f>
        <v/>
      </c>
      <c r="AA402">
        <f>IF(OR(計分!AA402="",計分!$AP402=""),"",計分!$AP402-計分!AA402)</f>
        <v/>
      </c>
      <c r="AB402">
        <f>IF(OR(計分!AB402="",計分!$AP402=""),"",計分!$AP402-計分!AB402)</f>
        <v/>
      </c>
      <c r="AC402">
        <f>IF(OR(計分!AC402="",計分!$AP402=""),"",計分!$AP402-計分!AC402)</f>
        <v/>
      </c>
      <c r="AD402">
        <f>IF(OR(計分!AD402="",計分!$AP402=""),"",計分!$AP402-計分!AD402)</f>
        <v/>
      </c>
      <c r="AE402">
        <f>IF(OR(計分!AE402="",計分!$AP402=""),"",計分!$AP402-計分!AE402)</f>
        <v/>
      </c>
      <c r="AF402">
        <f>IF(OR(計分!AF402="",計分!$AP402=""),"",計分!$AP402-計分!AF402)</f>
        <v/>
      </c>
      <c r="AG402">
        <f>IF(OR(計分!AG402="",計分!$AP402=""),"",計分!$AP402-計分!AG402)</f>
        <v/>
      </c>
      <c r="AH402">
        <f>IF(OR(計分!AH402="",計分!$AP402=""),"",計分!$AP402-計分!AH402)</f>
        <v/>
      </c>
      <c r="AI402">
        <f>IF(OR(計分!AI402="",計分!$AP402=""),"",計分!$AP402-計分!AI402)</f>
        <v/>
      </c>
      <c r="AJ402">
        <f>IF(OR(計分!AJ402="",計分!$AP402=""),"",計分!$AP402-計分!AJ402)</f>
        <v/>
      </c>
      <c r="AK402">
        <f>IF(OR(計分!AK402="",計分!$AP402=""),"",計分!$AP402-計分!AK402)</f>
        <v/>
      </c>
      <c r="AL402">
        <f>IF(OR(計分!AL402="",計分!$AP402=""),"",計分!$AP402-計分!AL402)</f>
        <v/>
      </c>
      <c r="AM402">
        <f>IF(OR(計分!AM402="",計分!$AP402=""),"",計分!$AP402-計分!AM402)</f>
        <v/>
      </c>
      <c r="AN402">
        <f>IF(OR(計分!AN402="",計分!$AP402=""),"",計分!$AP402-計分!AN402)</f>
        <v/>
      </c>
      <c r="AO402">
        <f>IF(OR(計分!AO402="",計分!$AP402=""),"",計分!$AP402-計分!AO402)</f>
        <v/>
      </c>
    </row>
    <row r="403">
      <c r="A403">
        <f>計分!A403</f>
        <v/>
      </c>
      <c r="B403">
        <f>IF(OR(計分!B403="",計分!$AP403=""),"",計分!$AP403-計分!B403)</f>
        <v/>
      </c>
      <c r="C403">
        <f>IF(OR(計分!C403="",計分!$AP403=""),"",計分!$AP403-計分!C403)</f>
        <v/>
      </c>
      <c r="D403">
        <f>IF(OR(計分!D403="",計分!$AP403=""),"",計分!$AP403-計分!D403)</f>
        <v/>
      </c>
      <c r="E403">
        <f>IF(OR(計分!E403="",計分!$AP403=""),"",計分!$AP403-計分!E403)</f>
        <v/>
      </c>
      <c r="F403">
        <f>IF(OR(計分!F403="",計分!$AP403=""),"",計分!$AP403-計分!F403)</f>
        <v/>
      </c>
      <c r="G403">
        <f>IF(OR(計分!G403="",計分!$AP403=""),"",計分!$AP403-計分!G403)</f>
        <v/>
      </c>
      <c r="H403">
        <f>IF(OR(計分!H403="",計分!$AP403=""),"",計分!$AP403-計分!H403)</f>
        <v/>
      </c>
      <c r="I403">
        <f>IF(OR(計分!I403="",計分!$AP403=""),"",計分!$AP403-計分!I403)</f>
        <v/>
      </c>
      <c r="J403">
        <f>IF(OR(計分!J403="",計分!$AP403=""),"",計分!$AP403-計分!J403)</f>
        <v/>
      </c>
      <c r="K403">
        <f>IF(OR(計分!K403="",計分!$AP403=""),"",計分!$AP403-計分!K403)</f>
        <v/>
      </c>
      <c r="L403">
        <f>IF(OR(計分!L403="",計分!$AP403=""),"",計分!$AP403-計分!L403)</f>
        <v/>
      </c>
      <c r="M403">
        <f>IF(OR(計分!M403="",計分!$AP403=""),"",計分!$AP403-計分!M403)</f>
        <v/>
      </c>
      <c r="N403">
        <f>IF(OR(計分!N403="",計分!$AP403=""),"",計分!$AP403-計分!N403)</f>
        <v/>
      </c>
      <c r="O403">
        <f>IF(OR(計分!O403="",計分!$AP403=""),"",計分!$AP403-計分!O403)</f>
        <v/>
      </c>
      <c r="P403">
        <f>IF(OR(計分!P403="",計分!$AP403=""),"",計分!$AP403-計分!P403)</f>
        <v/>
      </c>
      <c r="Q403">
        <f>IF(OR(計分!Q403="",計分!$AP403=""),"",計分!$AP403-計分!Q403)</f>
        <v/>
      </c>
      <c r="R403">
        <f>IF(OR(計分!R403="",計分!$AP403=""),"",計分!$AP403-計分!R403)</f>
        <v/>
      </c>
      <c r="S403">
        <f>IF(OR(計分!S403="",計分!$AP403=""),"",計分!$AP403-計分!S403)</f>
        <v/>
      </c>
      <c r="T403">
        <f>IF(OR(計分!T403="",計分!$AP403=""),"",計分!$AP403-計分!T403)</f>
        <v/>
      </c>
      <c r="U403">
        <f>IF(OR(計分!U403="",計分!$AP403=""),"",計分!$AP403-計分!U403)</f>
        <v/>
      </c>
      <c r="V403">
        <f>IF(OR(計分!V403="",計分!$AP403=""),"",計分!$AP403-計分!V403)</f>
        <v/>
      </c>
      <c r="W403">
        <f>IF(OR(計分!W403="",計分!$AP403=""),"",計分!$AP403-計分!W403)</f>
        <v/>
      </c>
      <c r="X403">
        <f>IF(OR(計分!X403="",計分!$AP403=""),"",計分!$AP403-計分!X403)</f>
        <v/>
      </c>
      <c r="Y403">
        <f>IF(OR(計分!Y403="",計分!$AP403=""),"",計分!$AP403-計分!Y403)</f>
        <v/>
      </c>
      <c r="Z403">
        <f>IF(OR(計分!Z403="",計分!$AP403=""),"",計分!$AP403-計分!Z403)</f>
        <v/>
      </c>
      <c r="AA403">
        <f>IF(OR(計分!AA403="",計分!$AP403=""),"",計分!$AP403-計分!AA403)</f>
        <v/>
      </c>
      <c r="AB403">
        <f>IF(OR(計分!AB403="",計分!$AP403=""),"",計分!$AP403-計分!AB403)</f>
        <v/>
      </c>
      <c r="AC403">
        <f>IF(OR(計分!AC403="",計分!$AP403=""),"",計分!$AP403-計分!AC403)</f>
        <v/>
      </c>
      <c r="AD403">
        <f>IF(OR(計分!AD403="",計分!$AP403=""),"",計分!$AP403-計分!AD403)</f>
        <v/>
      </c>
      <c r="AE403">
        <f>IF(OR(計分!AE403="",計分!$AP403=""),"",計分!$AP403-計分!AE403)</f>
        <v/>
      </c>
      <c r="AF403">
        <f>IF(OR(計分!AF403="",計分!$AP403=""),"",計分!$AP403-計分!AF403)</f>
        <v/>
      </c>
      <c r="AG403">
        <f>IF(OR(計分!AG403="",計分!$AP403=""),"",計分!$AP403-計分!AG403)</f>
        <v/>
      </c>
      <c r="AH403">
        <f>IF(OR(計分!AH403="",計分!$AP403=""),"",計分!$AP403-計分!AH403)</f>
        <v/>
      </c>
      <c r="AI403">
        <f>IF(OR(計分!AI403="",計分!$AP403=""),"",計分!$AP403-計分!AI403)</f>
        <v/>
      </c>
      <c r="AJ403">
        <f>IF(OR(計分!AJ403="",計分!$AP403=""),"",計分!$AP403-計分!AJ403)</f>
        <v/>
      </c>
      <c r="AK403">
        <f>IF(OR(計分!AK403="",計分!$AP403=""),"",計分!$AP403-計分!AK403)</f>
        <v/>
      </c>
      <c r="AL403">
        <f>IF(OR(計分!AL403="",計分!$AP403=""),"",計分!$AP403-計分!AL403)</f>
        <v/>
      </c>
      <c r="AM403">
        <f>IF(OR(計分!AM403="",計分!$AP403=""),"",計分!$AP403-計分!AM403)</f>
        <v/>
      </c>
      <c r="AN403">
        <f>IF(OR(計分!AN403="",計分!$AP403=""),"",計分!$AP403-計分!AN403)</f>
        <v/>
      </c>
      <c r="AO403">
        <f>IF(OR(計分!AO403="",計分!$AP403=""),"",計分!$AP403-計分!AO403)</f>
        <v/>
      </c>
    </row>
    <row r="404">
      <c r="A404">
        <f>計分!A404</f>
        <v/>
      </c>
      <c r="B404">
        <f>IF(OR(計分!B404="",計分!$AP404=""),"",計分!$AP404-計分!B404)</f>
        <v/>
      </c>
      <c r="C404">
        <f>IF(OR(計分!C404="",計分!$AP404=""),"",計分!$AP404-計分!C404)</f>
        <v/>
      </c>
      <c r="D404">
        <f>IF(OR(計分!D404="",計分!$AP404=""),"",計分!$AP404-計分!D404)</f>
        <v/>
      </c>
      <c r="E404">
        <f>IF(OR(計分!E404="",計分!$AP404=""),"",計分!$AP404-計分!E404)</f>
        <v/>
      </c>
      <c r="F404">
        <f>IF(OR(計分!F404="",計分!$AP404=""),"",計分!$AP404-計分!F404)</f>
        <v/>
      </c>
      <c r="G404">
        <f>IF(OR(計分!G404="",計分!$AP404=""),"",計分!$AP404-計分!G404)</f>
        <v/>
      </c>
      <c r="H404">
        <f>IF(OR(計分!H404="",計分!$AP404=""),"",計分!$AP404-計分!H404)</f>
        <v/>
      </c>
      <c r="I404">
        <f>IF(OR(計分!I404="",計分!$AP404=""),"",計分!$AP404-計分!I404)</f>
        <v/>
      </c>
      <c r="J404">
        <f>IF(OR(計分!J404="",計分!$AP404=""),"",計分!$AP404-計分!J404)</f>
        <v/>
      </c>
      <c r="K404">
        <f>IF(OR(計分!K404="",計分!$AP404=""),"",計分!$AP404-計分!K404)</f>
        <v/>
      </c>
      <c r="L404">
        <f>IF(OR(計分!L404="",計分!$AP404=""),"",計分!$AP404-計分!L404)</f>
        <v/>
      </c>
      <c r="M404">
        <f>IF(OR(計分!M404="",計分!$AP404=""),"",計分!$AP404-計分!M404)</f>
        <v/>
      </c>
      <c r="N404">
        <f>IF(OR(計分!N404="",計分!$AP404=""),"",計分!$AP404-計分!N404)</f>
        <v/>
      </c>
      <c r="O404">
        <f>IF(OR(計分!O404="",計分!$AP404=""),"",計分!$AP404-計分!O404)</f>
        <v/>
      </c>
      <c r="P404">
        <f>IF(OR(計分!P404="",計分!$AP404=""),"",計分!$AP404-計分!P404)</f>
        <v/>
      </c>
      <c r="Q404">
        <f>IF(OR(計分!Q404="",計分!$AP404=""),"",計分!$AP404-計分!Q404)</f>
        <v/>
      </c>
      <c r="R404">
        <f>IF(OR(計分!R404="",計分!$AP404=""),"",計分!$AP404-計分!R404)</f>
        <v/>
      </c>
      <c r="S404">
        <f>IF(OR(計分!S404="",計分!$AP404=""),"",計分!$AP404-計分!S404)</f>
        <v/>
      </c>
      <c r="T404">
        <f>IF(OR(計分!T404="",計分!$AP404=""),"",計分!$AP404-計分!T404)</f>
        <v/>
      </c>
      <c r="U404">
        <f>IF(OR(計分!U404="",計分!$AP404=""),"",計分!$AP404-計分!U404)</f>
        <v/>
      </c>
      <c r="V404">
        <f>IF(OR(計分!V404="",計分!$AP404=""),"",計分!$AP404-計分!V404)</f>
        <v/>
      </c>
      <c r="W404">
        <f>IF(OR(計分!W404="",計分!$AP404=""),"",計分!$AP404-計分!W404)</f>
        <v/>
      </c>
      <c r="X404">
        <f>IF(OR(計分!X404="",計分!$AP404=""),"",計分!$AP404-計分!X404)</f>
        <v/>
      </c>
      <c r="Y404">
        <f>IF(OR(計分!Y404="",計分!$AP404=""),"",計分!$AP404-計分!Y404)</f>
        <v/>
      </c>
      <c r="Z404">
        <f>IF(OR(計分!Z404="",計分!$AP404=""),"",計分!$AP404-計分!Z404)</f>
        <v/>
      </c>
      <c r="AA404">
        <f>IF(OR(計分!AA404="",計分!$AP404=""),"",計分!$AP404-計分!AA404)</f>
        <v/>
      </c>
      <c r="AB404">
        <f>IF(OR(計分!AB404="",計分!$AP404=""),"",計分!$AP404-計分!AB404)</f>
        <v/>
      </c>
      <c r="AC404">
        <f>IF(OR(計分!AC404="",計分!$AP404=""),"",計分!$AP404-計分!AC404)</f>
        <v/>
      </c>
      <c r="AD404">
        <f>IF(OR(計分!AD404="",計分!$AP404=""),"",計分!$AP404-計分!AD404)</f>
        <v/>
      </c>
      <c r="AE404">
        <f>IF(OR(計分!AE404="",計分!$AP404=""),"",計分!$AP404-計分!AE404)</f>
        <v/>
      </c>
      <c r="AF404">
        <f>IF(OR(計分!AF404="",計分!$AP404=""),"",計分!$AP404-計分!AF404)</f>
        <v/>
      </c>
      <c r="AG404">
        <f>IF(OR(計分!AG404="",計分!$AP404=""),"",計分!$AP404-計分!AG404)</f>
        <v/>
      </c>
      <c r="AH404">
        <f>IF(OR(計分!AH404="",計分!$AP404=""),"",計分!$AP404-計分!AH404)</f>
        <v/>
      </c>
      <c r="AI404">
        <f>IF(OR(計分!AI404="",計分!$AP404=""),"",計分!$AP404-計分!AI404)</f>
        <v/>
      </c>
      <c r="AJ404">
        <f>IF(OR(計分!AJ404="",計分!$AP404=""),"",計分!$AP404-計分!AJ404)</f>
        <v/>
      </c>
      <c r="AK404">
        <f>IF(OR(計分!AK404="",計分!$AP404=""),"",計分!$AP404-計分!AK404)</f>
        <v/>
      </c>
      <c r="AL404">
        <f>IF(OR(計分!AL404="",計分!$AP404=""),"",計分!$AP404-計分!AL404)</f>
        <v/>
      </c>
      <c r="AM404">
        <f>IF(OR(計分!AM404="",計分!$AP404=""),"",計分!$AP404-計分!AM404)</f>
        <v/>
      </c>
      <c r="AN404">
        <f>IF(OR(計分!AN404="",計分!$AP404=""),"",計分!$AP404-計分!AN404)</f>
        <v/>
      </c>
      <c r="AO404">
        <f>IF(OR(計分!AO404="",計分!$AP404=""),"",計分!$AP404-計分!AO404)</f>
        <v/>
      </c>
    </row>
    <row r="405">
      <c r="A405">
        <f>計分!A405</f>
        <v/>
      </c>
      <c r="B405">
        <f>IF(OR(計分!B405="",計分!$AP405=""),"",計分!$AP405-計分!B405)</f>
        <v/>
      </c>
      <c r="C405">
        <f>IF(OR(計分!C405="",計分!$AP405=""),"",計分!$AP405-計分!C405)</f>
        <v/>
      </c>
      <c r="D405">
        <f>IF(OR(計分!D405="",計分!$AP405=""),"",計分!$AP405-計分!D405)</f>
        <v/>
      </c>
      <c r="E405">
        <f>IF(OR(計分!E405="",計分!$AP405=""),"",計分!$AP405-計分!E405)</f>
        <v/>
      </c>
      <c r="F405">
        <f>IF(OR(計分!F405="",計分!$AP405=""),"",計分!$AP405-計分!F405)</f>
        <v/>
      </c>
      <c r="G405">
        <f>IF(OR(計分!G405="",計分!$AP405=""),"",計分!$AP405-計分!G405)</f>
        <v/>
      </c>
      <c r="H405">
        <f>IF(OR(計分!H405="",計分!$AP405=""),"",計分!$AP405-計分!H405)</f>
        <v/>
      </c>
      <c r="I405">
        <f>IF(OR(計分!I405="",計分!$AP405=""),"",計分!$AP405-計分!I405)</f>
        <v/>
      </c>
      <c r="J405">
        <f>IF(OR(計分!J405="",計分!$AP405=""),"",計分!$AP405-計分!J405)</f>
        <v/>
      </c>
      <c r="K405">
        <f>IF(OR(計分!K405="",計分!$AP405=""),"",計分!$AP405-計分!K405)</f>
        <v/>
      </c>
      <c r="L405">
        <f>IF(OR(計分!L405="",計分!$AP405=""),"",計分!$AP405-計分!L405)</f>
        <v/>
      </c>
      <c r="M405">
        <f>IF(OR(計分!M405="",計分!$AP405=""),"",計分!$AP405-計分!M405)</f>
        <v/>
      </c>
      <c r="N405">
        <f>IF(OR(計分!N405="",計分!$AP405=""),"",計分!$AP405-計分!N405)</f>
        <v/>
      </c>
      <c r="O405">
        <f>IF(OR(計分!O405="",計分!$AP405=""),"",計分!$AP405-計分!O405)</f>
        <v/>
      </c>
      <c r="P405">
        <f>IF(OR(計分!P405="",計分!$AP405=""),"",計分!$AP405-計分!P405)</f>
        <v/>
      </c>
      <c r="Q405">
        <f>IF(OR(計分!Q405="",計分!$AP405=""),"",計分!$AP405-計分!Q405)</f>
        <v/>
      </c>
      <c r="R405">
        <f>IF(OR(計分!R405="",計分!$AP405=""),"",計分!$AP405-計分!R405)</f>
        <v/>
      </c>
      <c r="S405">
        <f>IF(OR(計分!S405="",計分!$AP405=""),"",計分!$AP405-計分!S405)</f>
        <v/>
      </c>
      <c r="T405">
        <f>IF(OR(計分!T405="",計分!$AP405=""),"",計分!$AP405-計分!T405)</f>
        <v/>
      </c>
      <c r="U405">
        <f>IF(OR(計分!U405="",計分!$AP405=""),"",計分!$AP405-計分!U405)</f>
        <v/>
      </c>
      <c r="V405">
        <f>IF(OR(計分!V405="",計分!$AP405=""),"",計分!$AP405-計分!V405)</f>
        <v/>
      </c>
      <c r="W405">
        <f>IF(OR(計分!W405="",計分!$AP405=""),"",計分!$AP405-計分!W405)</f>
        <v/>
      </c>
      <c r="X405">
        <f>IF(OR(計分!X405="",計分!$AP405=""),"",計分!$AP405-計分!X405)</f>
        <v/>
      </c>
      <c r="Y405">
        <f>IF(OR(計分!Y405="",計分!$AP405=""),"",計分!$AP405-計分!Y405)</f>
        <v/>
      </c>
      <c r="Z405">
        <f>IF(OR(計分!Z405="",計分!$AP405=""),"",計分!$AP405-計分!Z405)</f>
        <v/>
      </c>
      <c r="AA405">
        <f>IF(OR(計分!AA405="",計分!$AP405=""),"",計分!$AP405-計分!AA405)</f>
        <v/>
      </c>
      <c r="AB405">
        <f>IF(OR(計分!AB405="",計分!$AP405=""),"",計分!$AP405-計分!AB405)</f>
        <v/>
      </c>
      <c r="AC405">
        <f>IF(OR(計分!AC405="",計分!$AP405=""),"",計分!$AP405-計分!AC405)</f>
        <v/>
      </c>
      <c r="AD405">
        <f>IF(OR(計分!AD405="",計分!$AP405=""),"",計分!$AP405-計分!AD405)</f>
        <v/>
      </c>
      <c r="AE405">
        <f>IF(OR(計分!AE405="",計分!$AP405=""),"",計分!$AP405-計分!AE405)</f>
        <v/>
      </c>
      <c r="AF405">
        <f>IF(OR(計分!AF405="",計分!$AP405=""),"",計分!$AP405-計分!AF405)</f>
        <v/>
      </c>
      <c r="AG405">
        <f>IF(OR(計分!AG405="",計分!$AP405=""),"",計分!$AP405-計分!AG405)</f>
        <v/>
      </c>
      <c r="AH405">
        <f>IF(OR(計分!AH405="",計分!$AP405=""),"",計分!$AP405-計分!AH405)</f>
        <v/>
      </c>
      <c r="AI405">
        <f>IF(OR(計分!AI405="",計分!$AP405=""),"",計分!$AP405-計分!AI405)</f>
        <v/>
      </c>
      <c r="AJ405">
        <f>IF(OR(計分!AJ405="",計分!$AP405=""),"",計分!$AP405-計分!AJ405)</f>
        <v/>
      </c>
      <c r="AK405">
        <f>IF(OR(計分!AK405="",計分!$AP405=""),"",計分!$AP405-計分!AK405)</f>
        <v/>
      </c>
      <c r="AL405">
        <f>IF(OR(計分!AL405="",計分!$AP405=""),"",計分!$AP405-計分!AL405)</f>
        <v/>
      </c>
      <c r="AM405">
        <f>IF(OR(計分!AM405="",計分!$AP405=""),"",計分!$AP405-計分!AM405)</f>
        <v/>
      </c>
      <c r="AN405">
        <f>IF(OR(計分!AN405="",計分!$AP405=""),"",計分!$AP405-計分!AN405)</f>
        <v/>
      </c>
      <c r="AO405">
        <f>IF(OR(計分!AO405="",計分!$AP405=""),"",計分!$AP405-計分!AO405)</f>
        <v/>
      </c>
    </row>
    <row r="406">
      <c r="A406">
        <f>計分!A406</f>
        <v/>
      </c>
      <c r="B406">
        <f>IF(OR(計分!B406="",計分!$AP406=""),"",計分!$AP406-計分!B406)</f>
        <v/>
      </c>
      <c r="C406">
        <f>IF(OR(計分!C406="",計分!$AP406=""),"",計分!$AP406-計分!C406)</f>
        <v/>
      </c>
      <c r="D406">
        <f>IF(OR(計分!D406="",計分!$AP406=""),"",計分!$AP406-計分!D406)</f>
        <v/>
      </c>
      <c r="E406">
        <f>IF(OR(計分!E406="",計分!$AP406=""),"",計分!$AP406-計分!E406)</f>
        <v/>
      </c>
      <c r="F406">
        <f>IF(OR(計分!F406="",計分!$AP406=""),"",計分!$AP406-計分!F406)</f>
        <v/>
      </c>
      <c r="G406">
        <f>IF(OR(計分!G406="",計分!$AP406=""),"",計分!$AP406-計分!G406)</f>
        <v/>
      </c>
      <c r="H406">
        <f>IF(OR(計分!H406="",計分!$AP406=""),"",計分!$AP406-計分!H406)</f>
        <v/>
      </c>
      <c r="I406">
        <f>IF(OR(計分!I406="",計分!$AP406=""),"",計分!$AP406-計分!I406)</f>
        <v/>
      </c>
      <c r="J406">
        <f>IF(OR(計分!J406="",計分!$AP406=""),"",計分!$AP406-計分!J406)</f>
        <v/>
      </c>
      <c r="K406">
        <f>IF(OR(計分!K406="",計分!$AP406=""),"",計分!$AP406-計分!K406)</f>
        <v/>
      </c>
      <c r="L406">
        <f>IF(OR(計分!L406="",計分!$AP406=""),"",計分!$AP406-計分!L406)</f>
        <v/>
      </c>
      <c r="M406">
        <f>IF(OR(計分!M406="",計分!$AP406=""),"",計分!$AP406-計分!M406)</f>
        <v/>
      </c>
      <c r="N406">
        <f>IF(OR(計分!N406="",計分!$AP406=""),"",計分!$AP406-計分!N406)</f>
        <v/>
      </c>
      <c r="O406">
        <f>IF(OR(計分!O406="",計分!$AP406=""),"",計分!$AP406-計分!O406)</f>
        <v/>
      </c>
      <c r="P406">
        <f>IF(OR(計分!P406="",計分!$AP406=""),"",計分!$AP406-計分!P406)</f>
        <v/>
      </c>
      <c r="Q406">
        <f>IF(OR(計分!Q406="",計分!$AP406=""),"",計分!$AP406-計分!Q406)</f>
        <v/>
      </c>
      <c r="R406">
        <f>IF(OR(計分!R406="",計分!$AP406=""),"",計分!$AP406-計分!R406)</f>
        <v/>
      </c>
      <c r="S406">
        <f>IF(OR(計分!S406="",計分!$AP406=""),"",計分!$AP406-計分!S406)</f>
        <v/>
      </c>
      <c r="T406">
        <f>IF(OR(計分!T406="",計分!$AP406=""),"",計分!$AP406-計分!T406)</f>
        <v/>
      </c>
      <c r="U406">
        <f>IF(OR(計分!U406="",計分!$AP406=""),"",計分!$AP406-計分!U406)</f>
        <v/>
      </c>
      <c r="V406">
        <f>IF(OR(計分!V406="",計分!$AP406=""),"",計分!$AP406-計分!V406)</f>
        <v/>
      </c>
      <c r="W406">
        <f>IF(OR(計分!W406="",計分!$AP406=""),"",計分!$AP406-計分!W406)</f>
        <v/>
      </c>
      <c r="X406">
        <f>IF(OR(計分!X406="",計分!$AP406=""),"",計分!$AP406-計分!X406)</f>
        <v/>
      </c>
      <c r="Y406">
        <f>IF(OR(計分!Y406="",計分!$AP406=""),"",計分!$AP406-計分!Y406)</f>
        <v/>
      </c>
      <c r="Z406">
        <f>IF(OR(計分!Z406="",計分!$AP406=""),"",計分!$AP406-計分!Z406)</f>
        <v/>
      </c>
      <c r="AA406">
        <f>IF(OR(計分!AA406="",計分!$AP406=""),"",計分!$AP406-計分!AA406)</f>
        <v/>
      </c>
      <c r="AB406">
        <f>IF(OR(計分!AB406="",計分!$AP406=""),"",計分!$AP406-計分!AB406)</f>
        <v/>
      </c>
      <c r="AC406">
        <f>IF(OR(計分!AC406="",計分!$AP406=""),"",計分!$AP406-計分!AC406)</f>
        <v/>
      </c>
      <c r="AD406">
        <f>IF(OR(計分!AD406="",計分!$AP406=""),"",計分!$AP406-計分!AD406)</f>
        <v/>
      </c>
      <c r="AE406">
        <f>IF(OR(計分!AE406="",計分!$AP406=""),"",計分!$AP406-計分!AE406)</f>
        <v/>
      </c>
      <c r="AF406">
        <f>IF(OR(計分!AF406="",計分!$AP406=""),"",計分!$AP406-計分!AF406)</f>
        <v/>
      </c>
      <c r="AG406">
        <f>IF(OR(計分!AG406="",計分!$AP406=""),"",計分!$AP406-計分!AG406)</f>
        <v/>
      </c>
      <c r="AH406">
        <f>IF(OR(計分!AH406="",計分!$AP406=""),"",計分!$AP406-計分!AH406)</f>
        <v/>
      </c>
      <c r="AI406">
        <f>IF(OR(計分!AI406="",計分!$AP406=""),"",計分!$AP406-計分!AI406)</f>
        <v/>
      </c>
      <c r="AJ406">
        <f>IF(OR(計分!AJ406="",計分!$AP406=""),"",計分!$AP406-計分!AJ406)</f>
        <v/>
      </c>
      <c r="AK406">
        <f>IF(OR(計分!AK406="",計分!$AP406=""),"",計分!$AP406-計分!AK406)</f>
        <v/>
      </c>
      <c r="AL406">
        <f>IF(OR(計分!AL406="",計分!$AP406=""),"",計分!$AP406-計分!AL406)</f>
        <v/>
      </c>
      <c r="AM406">
        <f>IF(OR(計分!AM406="",計分!$AP406=""),"",計分!$AP406-計分!AM406)</f>
        <v/>
      </c>
      <c r="AN406">
        <f>IF(OR(計分!AN406="",計分!$AP406=""),"",計分!$AP406-計分!AN406)</f>
        <v/>
      </c>
      <c r="AO406">
        <f>IF(OR(計分!AO406="",計分!$AP406=""),"",計分!$AP406-計分!AO406)</f>
        <v/>
      </c>
    </row>
    <row r="407">
      <c r="A407">
        <f>計分!A407</f>
        <v/>
      </c>
      <c r="B407">
        <f>IF(OR(計分!B407="",計分!$AP407=""),"",計分!$AP407-計分!B407)</f>
        <v/>
      </c>
      <c r="C407">
        <f>IF(OR(計分!C407="",計分!$AP407=""),"",計分!$AP407-計分!C407)</f>
        <v/>
      </c>
      <c r="D407">
        <f>IF(OR(計分!D407="",計分!$AP407=""),"",計分!$AP407-計分!D407)</f>
        <v/>
      </c>
      <c r="E407">
        <f>IF(OR(計分!E407="",計分!$AP407=""),"",計分!$AP407-計分!E407)</f>
        <v/>
      </c>
      <c r="F407">
        <f>IF(OR(計分!F407="",計分!$AP407=""),"",計分!$AP407-計分!F407)</f>
        <v/>
      </c>
      <c r="G407">
        <f>IF(OR(計分!G407="",計分!$AP407=""),"",計分!$AP407-計分!G407)</f>
        <v/>
      </c>
      <c r="H407">
        <f>IF(OR(計分!H407="",計分!$AP407=""),"",計分!$AP407-計分!H407)</f>
        <v/>
      </c>
      <c r="I407">
        <f>IF(OR(計分!I407="",計分!$AP407=""),"",計分!$AP407-計分!I407)</f>
        <v/>
      </c>
      <c r="J407">
        <f>IF(OR(計分!J407="",計分!$AP407=""),"",計分!$AP407-計分!J407)</f>
        <v/>
      </c>
      <c r="K407">
        <f>IF(OR(計分!K407="",計分!$AP407=""),"",計分!$AP407-計分!K407)</f>
        <v/>
      </c>
      <c r="L407">
        <f>IF(OR(計分!L407="",計分!$AP407=""),"",計分!$AP407-計分!L407)</f>
        <v/>
      </c>
      <c r="M407">
        <f>IF(OR(計分!M407="",計分!$AP407=""),"",計分!$AP407-計分!M407)</f>
        <v/>
      </c>
      <c r="N407">
        <f>IF(OR(計分!N407="",計分!$AP407=""),"",計分!$AP407-計分!N407)</f>
        <v/>
      </c>
      <c r="O407">
        <f>IF(OR(計分!O407="",計分!$AP407=""),"",計分!$AP407-計分!O407)</f>
        <v/>
      </c>
      <c r="P407">
        <f>IF(OR(計分!P407="",計分!$AP407=""),"",計分!$AP407-計分!P407)</f>
        <v/>
      </c>
      <c r="Q407">
        <f>IF(OR(計分!Q407="",計分!$AP407=""),"",計分!$AP407-計分!Q407)</f>
        <v/>
      </c>
      <c r="R407">
        <f>IF(OR(計分!R407="",計分!$AP407=""),"",計分!$AP407-計分!R407)</f>
        <v/>
      </c>
      <c r="S407">
        <f>IF(OR(計分!S407="",計分!$AP407=""),"",計分!$AP407-計分!S407)</f>
        <v/>
      </c>
      <c r="T407">
        <f>IF(OR(計分!T407="",計分!$AP407=""),"",計分!$AP407-計分!T407)</f>
        <v/>
      </c>
      <c r="U407">
        <f>IF(OR(計分!U407="",計分!$AP407=""),"",計分!$AP407-計分!U407)</f>
        <v/>
      </c>
      <c r="V407">
        <f>IF(OR(計分!V407="",計分!$AP407=""),"",計分!$AP407-計分!V407)</f>
        <v/>
      </c>
      <c r="W407">
        <f>IF(OR(計分!W407="",計分!$AP407=""),"",計分!$AP407-計分!W407)</f>
        <v/>
      </c>
      <c r="X407">
        <f>IF(OR(計分!X407="",計分!$AP407=""),"",計分!$AP407-計分!X407)</f>
        <v/>
      </c>
      <c r="Y407">
        <f>IF(OR(計分!Y407="",計分!$AP407=""),"",計分!$AP407-計分!Y407)</f>
        <v/>
      </c>
      <c r="Z407">
        <f>IF(OR(計分!Z407="",計分!$AP407=""),"",計分!$AP407-計分!Z407)</f>
        <v/>
      </c>
      <c r="AA407">
        <f>IF(OR(計分!AA407="",計分!$AP407=""),"",計分!$AP407-計分!AA407)</f>
        <v/>
      </c>
      <c r="AB407">
        <f>IF(OR(計分!AB407="",計分!$AP407=""),"",計分!$AP407-計分!AB407)</f>
        <v/>
      </c>
      <c r="AC407">
        <f>IF(OR(計分!AC407="",計分!$AP407=""),"",計分!$AP407-計分!AC407)</f>
        <v/>
      </c>
      <c r="AD407">
        <f>IF(OR(計分!AD407="",計分!$AP407=""),"",計分!$AP407-計分!AD407)</f>
        <v/>
      </c>
      <c r="AE407">
        <f>IF(OR(計分!AE407="",計分!$AP407=""),"",計分!$AP407-計分!AE407)</f>
        <v/>
      </c>
      <c r="AF407">
        <f>IF(OR(計分!AF407="",計分!$AP407=""),"",計分!$AP407-計分!AF407)</f>
        <v/>
      </c>
      <c r="AG407">
        <f>IF(OR(計分!AG407="",計分!$AP407=""),"",計分!$AP407-計分!AG407)</f>
        <v/>
      </c>
      <c r="AH407">
        <f>IF(OR(計分!AH407="",計分!$AP407=""),"",計分!$AP407-計分!AH407)</f>
        <v/>
      </c>
      <c r="AI407">
        <f>IF(OR(計分!AI407="",計分!$AP407=""),"",計分!$AP407-計分!AI407)</f>
        <v/>
      </c>
      <c r="AJ407">
        <f>IF(OR(計分!AJ407="",計分!$AP407=""),"",計分!$AP407-計分!AJ407)</f>
        <v/>
      </c>
      <c r="AK407">
        <f>IF(OR(計分!AK407="",計分!$AP407=""),"",計分!$AP407-計分!AK407)</f>
        <v/>
      </c>
      <c r="AL407">
        <f>IF(OR(計分!AL407="",計分!$AP407=""),"",計分!$AP407-計分!AL407)</f>
        <v/>
      </c>
      <c r="AM407">
        <f>IF(OR(計分!AM407="",計分!$AP407=""),"",計分!$AP407-計分!AM407)</f>
        <v/>
      </c>
      <c r="AN407">
        <f>IF(OR(計分!AN407="",計分!$AP407=""),"",計分!$AP407-計分!AN407)</f>
        <v/>
      </c>
      <c r="AO407">
        <f>IF(OR(計分!AO407="",計分!$AP407=""),"",計分!$AP407-計分!AO407)</f>
        <v/>
      </c>
    </row>
    <row r="408">
      <c r="A408">
        <f>計分!A408</f>
        <v/>
      </c>
      <c r="B408">
        <f>IF(OR(計分!B408="",計分!$AP408=""),"",計分!$AP408-計分!B408)</f>
        <v/>
      </c>
      <c r="C408">
        <f>IF(OR(計分!C408="",計分!$AP408=""),"",計分!$AP408-計分!C408)</f>
        <v/>
      </c>
      <c r="D408">
        <f>IF(OR(計分!D408="",計分!$AP408=""),"",計分!$AP408-計分!D408)</f>
        <v/>
      </c>
      <c r="E408">
        <f>IF(OR(計分!E408="",計分!$AP408=""),"",計分!$AP408-計分!E408)</f>
        <v/>
      </c>
      <c r="F408">
        <f>IF(OR(計分!F408="",計分!$AP408=""),"",計分!$AP408-計分!F408)</f>
        <v/>
      </c>
      <c r="G408">
        <f>IF(OR(計分!G408="",計分!$AP408=""),"",計分!$AP408-計分!G408)</f>
        <v/>
      </c>
      <c r="H408">
        <f>IF(OR(計分!H408="",計分!$AP408=""),"",計分!$AP408-計分!H408)</f>
        <v/>
      </c>
      <c r="I408">
        <f>IF(OR(計分!I408="",計分!$AP408=""),"",計分!$AP408-計分!I408)</f>
        <v/>
      </c>
      <c r="J408">
        <f>IF(OR(計分!J408="",計分!$AP408=""),"",計分!$AP408-計分!J408)</f>
        <v/>
      </c>
      <c r="K408">
        <f>IF(OR(計分!K408="",計分!$AP408=""),"",計分!$AP408-計分!K408)</f>
        <v/>
      </c>
      <c r="L408">
        <f>IF(OR(計分!L408="",計分!$AP408=""),"",計分!$AP408-計分!L408)</f>
        <v/>
      </c>
      <c r="M408">
        <f>IF(OR(計分!M408="",計分!$AP408=""),"",計分!$AP408-計分!M408)</f>
        <v/>
      </c>
      <c r="N408">
        <f>IF(OR(計分!N408="",計分!$AP408=""),"",計分!$AP408-計分!N408)</f>
        <v/>
      </c>
      <c r="O408">
        <f>IF(OR(計分!O408="",計分!$AP408=""),"",計分!$AP408-計分!O408)</f>
        <v/>
      </c>
      <c r="P408">
        <f>IF(OR(計分!P408="",計分!$AP408=""),"",計分!$AP408-計分!P408)</f>
        <v/>
      </c>
      <c r="Q408">
        <f>IF(OR(計分!Q408="",計分!$AP408=""),"",計分!$AP408-計分!Q408)</f>
        <v/>
      </c>
      <c r="R408">
        <f>IF(OR(計分!R408="",計分!$AP408=""),"",計分!$AP408-計分!R408)</f>
        <v/>
      </c>
      <c r="S408">
        <f>IF(OR(計分!S408="",計分!$AP408=""),"",計分!$AP408-計分!S408)</f>
        <v/>
      </c>
      <c r="T408">
        <f>IF(OR(計分!T408="",計分!$AP408=""),"",計分!$AP408-計分!T408)</f>
        <v/>
      </c>
      <c r="U408">
        <f>IF(OR(計分!U408="",計分!$AP408=""),"",計分!$AP408-計分!U408)</f>
        <v/>
      </c>
      <c r="V408">
        <f>IF(OR(計分!V408="",計分!$AP408=""),"",計分!$AP408-計分!V408)</f>
        <v/>
      </c>
      <c r="W408">
        <f>IF(OR(計分!W408="",計分!$AP408=""),"",計分!$AP408-計分!W408)</f>
        <v/>
      </c>
      <c r="X408">
        <f>IF(OR(計分!X408="",計分!$AP408=""),"",計分!$AP408-計分!X408)</f>
        <v/>
      </c>
      <c r="Y408">
        <f>IF(OR(計分!Y408="",計分!$AP408=""),"",計分!$AP408-計分!Y408)</f>
        <v/>
      </c>
      <c r="Z408">
        <f>IF(OR(計分!Z408="",計分!$AP408=""),"",計分!$AP408-計分!Z408)</f>
        <v/>
      </c>
      <c r="AA408">
        <f>IF(OR(計分!AA408="",計分!$AP408=""),"",計分!$AP408-計分!AA408)</f>
        <v/>
      </c>
      <c r="AB408">
        <f>IF(OR(計分!AB408="",計分!$AP408=""),"",計分!$AP408-計分!AB408)</f>
        <v/>
      </c>
      <c r="AC408">
        <f>IF(OR(計分!AC408="",計分!$AP408=""),"",計分!$AP408-計分!AC408)</f>
        <v/>
      </c>
      <c r="AD408">
        <f>IF(OR(計分!AD408="",計分!$AP408=""),"",計分!$AP408-計分!AD408)</f>
        <v/>
      </c>
      <c r="AE408">
        <f>IF(OR(計分!AE408="",計分!$AP408=""),"",計分!$AP408-計分!AE408)</f>
        <v/>
      </c>
      <c r="AF408">
        <f>IF(OR(計分!AF408="",計分!$AP408=""),"",計分!$AP408-計分!AF408)</f>
        <v/>
      </c>
      <c r="AG408">
        <f>IF(OR(計分!AG408="",計分!$AP408=""),"",計分!$AP408-計分!AG408)</f>
        <v/>
      </c>
      <c r="AH408">
        <f>IF(OR(計分!AH408="",計分!$AP408=""),"",計分!$AP408-計分!AH408)</f>
        <v/>
      </c>
      <c r="AI408">
        <f>IF(OR(計分!AI408="",計分!$AP408=""),"",計分!$AP408-計分!AI408)</f>
        <v/>
      </c>
      <c r="AJ408">
        <f>IF(OR(計分!AJ408="",計分!$AP408=""),"",計分!$AP408-計分!AJ408)</f>
        <v/>
      </c>
      <c r="AK408">
        <f>IF(OR(計分!AK408="",計分!$AP408=""),"",計分!$AP408-計分!AK408)</f>
        <v/>
      </c>
      <c r="AL408">
        <f>IF(OR(計分!AL408="",計分!$AP408=""),"",計分!$AP408-計分!AL408)</f>
        <v/>
      </c>
      <c r="AM408">
        <f>IF(OR(計分!AM408="",計分!$AP408=""),"",計分!$AP408-計分!AM408)</f>
        <v/>
      </c>
      <c r="AN408">
        <f>IF(OR(計分!AN408="",計分!$AP408=""),"",計分!$AP408-計分!AN408)</f>
        <v/>
      </c>
      <c r="AO408">
        <f>IF(OR(計分!AO408="",計分!$AP408=""),"",計分!$AP408-計分!AO408)</f>
        <v/>
      </c>
    </row>
    <row r="409">
      <c r="A409">
        <f>計分!A409</f>
        <v/>
      </c>
      <c r="B409">
        <f>IF(OR(計分!B409="",計分!$AP409=""),"",計分!$AP409-計分!B409)</f>
        <v/>
      </c>
      <c r="C409">
        <f>IF(OR(計分!C409="",計分!$AP409=""),"",計分!$AP409-計分!C409)</f>
        <v/>
      </c>
      <c r="D409">
        <f>IF(OR(計分!D409="",計分!$AP409=""),"",計分!$AP409-計分!D409)</f>
        <v/>
      </c>
      <c r="E409">
        <f>IF(OR(計分!E409="",計分!$AP409=""),"",計分!$AP409-計分!E409)</f>
        <v/>
      </c>
      <c r="F409">
        <f>IF(OR(計分!F409="",計分!$AP409=""),"",計分!$AP409-計分!F409)</f>
        <v/>
      </c>
      <c r="G409">
        <f>IF(OR(計分!G409="",計分!$AP409=""),"",計分!$AP409-計分!G409)</f>
        <v/>
      </c>
      <c r="H409">
        <f>IF(OR(計分!H409="",計分!$AP409=""),"",計分!$AP409-計分!H409)</f>
        <v/>
      </c>
      <c r="I409">
        <f>IF(OR(計分!I409="",計分!$AP409=""),"",計分!$AP409-計分!I409)</f>
        <v/>
      </c>
      <c r="J409">
        <f>IF(OR(計分!J409="",計分!$AP409=""),"",計分!$AP409-計分!J409)</f>
        <v/>
      </c>
      <c r="K409">
        <f>IF(OR(計分!K409="",計分!$AP409=""),"",計分!$AP409-計分!K409)</f>
        <v/>
      </c>
      <c r="L409">
        <f>IF(OR(計分!L409="",計分!$AP409=""),"",計分!$AP409-計分!L409)</f>
        <v/>
      </c>
      <c r="M409">
        <f>IF(OR(計分!M409="",計分!$AP409=""),"",計分!$AP409-計分!M409)</f>
        <v/>
      </c>
      <c r="N409">
        <f>IF(OR(計分!N409="",計分!$AP409=""),"",計分!$AP409-計分!N409)</f>
        <v/>
      </c>
      <c r="O409">
        <f>IF(OR(計分!O409="",計分!$AP409=""),"",計分!$AP409-計分!O409)</f>
        <v/>
      </c>
      <c r="P409">
        <f>IF(OR(計分!P409="",計分!$AP409=""),"",計分!$AP409-計分!P409)</f>
        <v/>
      </c>
      <c r="Q409">
        <f>IF(OR(計分!Q409="",計分!$AP409=""),"",計分!$AP409-計分!Q409)</f>
        <v/>
      </c>
      <c r="R409">
        <f>IF(OR(計分!R409="",計分!$AP409=""),"",計分!$AP409-計分!R409)</f>
        <v/>
      </c>
      <c r="S409">
        <f>IF(OR(計分!S409="",計分!$AP409=""),"",計分!$AP409-計分!S409)</f>
        <v/>
      </c>
      <c r="T409">
        <f>IF(OR(計分!T409="",計分!$AP409=""),"",計分!$AP409-計分!T409)</f>
        <v/>
      </c>
      <c r="U409">
        <f>IF(OR(計分!U409="",計分!$AP409=""),"",計分!$AP409-計分!U409)</f>
        <v/>
      </c>
      <c r="V409">
        <f>IF(OR(計分!V409="",計分!$AP409=""),"",計分!$AP409-計分!V409)</f>
        <v/>
      </c>
      <c r="W409">
        <f>IF(OR(計分!W409="",計分!$AP409=""),"",計分!$AP409-計分!W409)</f>
        <v/>
      </c>
      <c r="X409">
        <f>IF(OR(計分!X409="",計分!$AP409=""),"",計分!$AP409-計分!X409)</f>
        <v/>
      </c>
      <c r="Y409">
        <f>IF(OR(計分!Y409="",計分!$AP409=""),"",計分!$AP409-計分!Y409)</f>
        <v/>
      </c>
      <c r="Z409">
        <f>IF(OR(計分!Z409="",計分!$AP409=""),"",計分!$AP409-計分!Z409)</f>
        <v/>
      </c>
      <c r="AA409">
        <f>IF(OR(計分!AA409="",計分!$AP409=""),"",計分!$AP409-計分!AA409)</f>
        <v/>
      </c>
      <c r="AB409">
        <f>IF(OR(計分!AB409="",計分!$AP409=""),"",計分!$AP409-計分!AB409)</f>
        <v/>
      </c>
      <c r="AC409">
        <f>IF(OR(計分!AC409="",計分!$AP409=""),"",計分!$AP409-計分!AC409)</f>
        <v/>
      </c>
      <c r="AD409">
        <f>IF(OR(計分!AD409="",計分!$AP409=""),"",計分!$AP409-計分!AD409)</f>
        <v/>
      </c>
      <c r="AE409">
        <f>IF(OR(計分!AE409="",計分!$AP409=""),"",計分!$AP409-計分!AE409)</f>
        <v/>
      </c>
      <c r="AF409">
        <f>IF(OR(計分!AF409="",計分!$AP409=""),"",計分!$AP409-計分!AF409)</f>
        <v/>
      </c>
      <c r="AG409">
        <f>IF(OR(計分!AG409="",計分!$AP409=""),"",計分!$AP409-計分!AG409)</f>
        <v/>
      </c>
      <c r="AH409">
        <f>IF(OR(計分!AH409="",計分!$AP409=""),"",計分!$AP409-計分!AH409)</f>
        <v/>
      </c>
      <c r="AI409">
        <f>IF(OR(計分!AI409="",計分!$AP409=""),"",計分!$AP409-計分!AI409)</f>
        <v/>
      </c>
      <c r="AJ409">
        <f>IF(OR(計分!AJ409="",計分!$AP409=""),"",計分!$AP409-計分!AJ409)</f>
        <v/>
      </c>
      <c r="AK409">
        <f>IF(OR(計分!AK409="",計分!$AP409=""),"",計分!$AP409-計分!AK409)</f>
        <v/>
      </c>
      <c r="AL409">
        <f>IF(OR(計分!AL409="",計分!$AP409=""),"",計分!$AP409-計分!AL409)</f>
        <v/>
      </c>
      <c r="AM409">
        <f>IF(OR(計分!AM409="",計分!$AP409=""),"",計分!$AP409-計分!AM409)</f>
        <v/>
      </c>
      <c r="AN409">
        <f>IF(OR(計分!AN409="",計分!$AP409=""),"",計分!$AP409-計分!AN409)</f>
        <v/>
      </c>
      <c r="AO409">
        <f>IF(OR(計分!AO409="",計分!$AP409=""),"",計分!$AP409-計分!AO409)</f>
        <v/>
      </c>
    </row>
    <row r="410">
      <c r="A410">
        <f>計分!A410</f>
        <v/>
      </c>
      <c r="B410">
        <f>IF(OR(計分!B410="",計分!$AP410=""),"",計分!$AP410-計分!B410)</f>
        <v/>
      </c>
      <c r="C410">
        <f>IF(OR(計分!C410="",計分!$AP410=""),"",計分!$AP410-計分!C410)</f>
        <v/>
      </c>
      <c r="D410">
        <f>IF(OR(計分!D410="",計分!$AP410=""),"",計分!$AP410-計分!D410)</f>
        <v/>
      </c>
      <c r="E410">
        <f>IF(OR(計分!E410="",計分!$AP410=""),"",計分!$AP410-計分!E410)</f>
        <v/>
      </c>
      <c r="F410">
        <f>IF(OR(計分!F410="",計分!$AP410=""),"",計分!$AP410-計分!F410)</f>
        <v/>
      </c>
      <c r="G410">
        <f>IF(OR(計分!G410="",計分!$AP410=""),"",計分!$AP410-計分!G410)</f>
        <v/>
      </c>
      <c r="H410">
        <f>IF(OR(計分!H410="",計分!$AP410=""),"",計分!$AP410-計分!H410)</f>
        <v/>
      </c>
      <c r="I410">
        <f>IF(OR(計分!I410="",計分!$AP410=""),"",計分!$AP410-計分!I410)</f>
        <v/>
      </c>
      <c r="J410">
        <f>IF(OR(計分!J410="",計分!$AP410=""),"",計分!$AP410-計分!J410)</f>
        <v/>
      </c>
      <c r="K410">
        <f>IF(OR(計分!K410="",計分!$AP410=""),"",計分!$AP410-計分!K410)</f>
        <v/>
      </c>
      <c r="L410">
        <f>IF(OR(計分!L410="",計分!$AP410=""),"",計分!$AP410-計分!L410)</f>
        <v/>
      </c>
      <c r="M410">
        <f>IF(OR(計分!M410="",計分!$AP410=""),"",計分!$AP410-計分!M410)</f>
        <v/>
      </c>
      <c r="N410">
        <f>IF(OR(計分!N410="",計分!$AP410=""),"",計分!$AP410-計分!N410)</f>
        <v/>
      </c>
      <c r="O410">
        <f>IF(OR(計分!O410="",計分!$AP410=""),"",計分!$AP410-計分!O410)</f>
        <v/>
      </c>
      <c r="P410">
        <f>IF(OR(計分!P410="",計分!$AP410=""),"",計分!$AP410-計分!P410)</f>
        <v/>
      </c>
      <c r="Q410">
        <f>IF(OR(計分!Q410="",計分!$AP410=""),"",計分!$AP410-計分!Q410)</f>
        <v/>
      </c>
      <c r="R410">
        <f>IF(OR(計分!R410="",計分!$AP410=""),"",計分!$AP410-計分!R410)</f>
        <v/>
      </c>
      <c r="S410">
        <f>IF(OR(計分!S410="",計分!$AP410=""),"",計分!$AP410-計分!S410)</f>
        <v/>
      </c>
      <c r="T410">
        <f>IF(OR(計分!T410="",計分!$AP410=""),"",計分!$AP410-計分!T410)</f>
        <v/>
      </c>
      <c r="U410">
        <f>IF(OR(計分!U410="",計分!$AP410=""),"",計分!$AP410-計分!U410)</f>
        <v/>
      </c>
      <c r="V410">
        <f>IF(OR(計分!V410="",計分!$AP410=""),"",計分!$AP410-計分!V410)</f>
        <v/>
      </c>
      <c r="W410">
        <f>IF(OR(計分!W410="",計分!$AP410=""),"",計分!$AP410-計分!W410)</f>
        <v/>
      </c>
      <c r="X410">
        <f>IF(OR(計分!X410="",計分!$AP410=""),"",計分!$AP410-計分!X410)</f>
        <v/>
      </c>
      <c r="Y410">
        <f>IF(OR(計分!Y410="",計分!$AP410=""),"",計分!$AP410-計分!Y410)</f>
        <v/>
      </c>
      <c r="Z410">
        <f>IF(OR(計分!Z410="",計分!$AP410=""),"",計分!$AP410-計分!Z410)</f>
        <v/>
      </c>
      <c r="AA410">
        <f>IF(OR(計分!AA410="",計分!$AP410=""),"",計分!$AP410-計分!AA410)</f>
        <v/>
      </c>
      <c r="AB410">
        <f>IF(OR(計分!AB410="",計分!$AP410=""),"",計分!$AP410-計分!AB410)</f>
        <v/>
      </c>
      <c r="AC410">
        <f>IF(OR(計分!AC410="",計分!$AP410=""),"",計分!$AP410-計分!AC410)</f>
        <v/>
      </c>
      <c r="AD410">
        <f>IF(OR(計分!AD410="",計分!$AP410=""),"",計分!$AP410-計分!AD410)</f>
        <v/>
      </c>
      <c r="AE410">
        <f>IF(OR(計分!AE410="",計分!$AP410=""),"",計分!$AP410-計分!AE410)</f>
        <v/>
      </c>
      <c r="AF410">
        <f>IF(OR(計分!AF410="",計分!$AP410=""),"",計分!$AP410-計分!AF410)</f>
        <v/>
      </c>
      <c r="AG410">
        <f>IF(OR(計分!AG410="",計分!$AP410=""),"",計分!$AP410-計分!AG410)</f>
        <v/>
      </c>
      <c r="AH410">
        <f>IF(OR(計分!AH410="",計分!$AP410=""),"",計分!$AP410-計分!AH410)</f>
        <v/>
      </c>
      <c r="AI410">
        <f>IF(OR(計分!AI410="",計分!$AP410=""),"",計分!$AP410-計分!AI410)</f>
        <v/>
      </c>
      <c r="AJ410">
        <f>IF(OR(計分!AJ410="",計分!$AP410=""),"",計分!$AP410-計分!AJ410)</f>
        <v/>
      </c>
      <c r="AK410">
        <f>IF(OR(計分!AK410="",計分!$AP410=""),"",計分!$AP410-計分!AK410)</f>
        <v/>
      </c>
      <c r="AL410">
        <f>IF(OR(計分!AL410="",計分!$AP410=""),"",計分!$AP410-計分!AL410)</f>
        <v/>
      </c>
      <c r="AM410">
        <f>IF(OR(計分!AM410="",計分!$AP410=""),"",計分!$AP410-計分!AM410)</f>
        <v/>
      </c>
      <c r="AN410">
        <f>IF(OR(計分!AN410="",計分!$AP410=""),"",計分!$AP410-計分!AN410)</f>
        <v/>
      </c>
      <c r="AO410">
        <f>IF(OR(計分!AO410="",計分!$AP410=""),"",計分!$AP410-計分!AO410)</f>
        <v/>
      </c>
    </row>
    <row r="411">
      <c r="A411">
        <f>計分!A411</f>
        <v/>
      </c>
      <c r="B411">
        <f>IF(OR(計分!B411="",計分!$AP411=""),"",計分!$AP411-計分!B411)</f>
        <v/>
      </c>
      <c r="C411">
        <f>IF(OR(計分!C411="",計分!$AP411=""),"",計分!$AP411-計分!C411)</f>
        <v/>
      </c>
      <c r="D411">
        <f>IF(OR(計分!D411="",計分!$AP411=""),"",計分!$AP411-計分!D411)</f>
        <v/>
      </c>
      <c r="E411">
        <f>IF(OR(計分!E411="",計分!$AP411=""),"",計分!$AP411-計分!E411)</f>
        <v/>
      </c>
      <c r="F411">
        <f>IF(OR(計分!F411="",計分!$AP411=""),"",計分!$AP411-計分!F411)</f>
        <v/>
      </c>
      <c r="G411">
        <f>IF(OR(計分!G411="",計分!$AP411=""),"",計分!$AP411-計分!G411)</f>
        <v/>
      </c>
      <c r="H411">
        <f>IF(OR(計分!H411="",計分!$AP411=""),"",計分!$AP411-計分!H411)</f>
        <v/>
      </c>
      <c r="I411">
        <f>IF(OR(計分!I411="",計分!$AP411=""),"",計分!$AP411-計分!I411)</f>
        <v/>
      </c>
      <c r="J411">
        <f>IF(OR(計分!J411="",計分!$AP411=""),"",計分!$AP411-計分!J411)</f>
        <v/>
      </c>
      <c r="K411">
        <f>IF(OR(計分!K411="",計分!$AP411=""),"",計分!$AP411-計分!K411)</f>
        <v/>
      </c>
      <c r="L411">
        <f>IF(OR(計分!L411="",計分!$AP411=""),"",計分!$AP411-計分!L411)</f>
        <v/>
      </c>
      <c r="M411">
        <f>IF(OR(計分!M411="",計分!$AP411=""),"",計分!$AP411-計分!M411)</f>
        <v/>
      </c>
      <c r="N411">
        <f>IF(OR(計分!N411="",計分!$AP411=""),"",計分!$AP411-計分!N411)</f>
        <v/>
      </c>
      <c r="O411">
        <f>IF(OR(計分!O411="",計分!$AP411=""),"",計分!$AP411-計分!O411)</f>
        <v/>
      </c>
      <c r="P411">
        <f>IF(OR(計分!P411="",計分!$AP411=""),"",計分!$AP411-計分!P411)</f>
        <v/>
      </c>
      <c r="Q411">
        <f>IF(OR(計分!Q411="",計分!$AP411=""),"",計分!$AP411-計分!Q411)</f>
        <v/>
      </c>
      <c r="R411">
        <f>IF(OR(計分!R411="",計分!$AP411=""),"",計分!$AP411-計分!R411)</f>
        <v/>
      </c>
      <c r="S411">
        <f>IF(OR(計分!S411="",計分!$AP411=""),"",計分!$AP411-計分!S411)</f>
        <v/>
      </c>
      <c r="T411">
        <f>IF(OR(計分!T411="",計分!$AP411=""),"",計分!$AP411-計分!T411)</f>
        <v/>
      </c>
      <c r="U411">
        <f>IF(OR(計分!U411="",計分!$AP411=""),"",計分!$AP411-計分!U411)</f>
        <v/>
      </c>
      <c r="V411">
        <f>IF(OR(計分!V411="",計分!$AP411=""),"",計分!$AP411-計分!V411)</f>
        <v/>
      </c>
      <c r="W411">
        <f>IF(OR(計分!W411="",計分!$AP411=""),"",計分!$AP411-計分!W411)</f>
        <v/>
      </c>
      <c r="X411">
        <f>IF(OR(計分!X411="",計分!$AP411=""),"",計分!$AP411-計分!X411)</f>
        <v/>
      </c>
      <c r="Y411">
        <f>IF(OR(計分!Y411="",計分!$AP411=""),"",計分!$AP411-計分!Y411)</f>
        <v/>
      </c>
      <c r="Z411">
        <f>IF(OR(計分!Z411="",計分!$AP411=""),"",計分!$AP411-計分!Z411)</f>
        <v/>
      </c>
      <c r="AA411">
        <f>IF(OR(計分!AA411="",計分!$AP411=""),"",計分!$AP411-計分!AA411)</f>
        <v/>
      </c>
      <c r="AB411">
        <f>IF(OR(計分!AB411="",計分!$AP411=""),"",計分!$AP411-計分!AB411)</f>
        <v/>
      </c>
      <c r="AC411">
        <f>IF(OR(計分!AC411="",計分!$AP411=""),"",計分!$AP411-計分!AC411)</f>
        <v/>
      </c>
      <c r="AD411">
        <f>IF(OR(計分!AD411="",計分!$AP411=""),"",計分!$AP411-計分!AD411)</f>
        <v/>
      </c>
      <c r="AE411">
        <f>IF(OR(計分!AE411="",計分!$AP411=""),"",計分!$AP411-計分!AE411)</f>
        <v/>
      </c>
      <c r="AF411">
        <f>IF(OR(計分!AF411="",計分!$AP411=""),"",計分!$AP411-計分!AF411)</f>
        <v/>
      </c>
      <c r="AG411">
        <f>IF(OR(計分!AG411="",計分!$AP411=""),"",計分!$AP411-計分!AG411)</f>
        <v/>
      </c>
      <c r="AH411">
        <f>IF(OR(計分!AH411="",計分!$AP411=""),"",計分!$AP411-計分!AH411)</f>
        <v/>
      </c>
      <c r="AI411">
        <f>IF(OR(計分!AI411="",計分!$AP411=""),"",計分!$AP411-計分!AI411)</f>
        <v/>
      </c>
      <c r="AJ411">
        <f>IF(OR(計分!AJ411="",計分!$AP411=""),"",計分!$AP411-計分!AJ411)</f>
        <v/>
      </c>
      <c r="AK411">
        <f>IF(OR(計分!AK411="",計分!$AP411=""),"",計分!$AP411-計分!AK411)</f>
        <v/>
      </c>
      <c r="AL411">
        <f>IF(OR(計分!AL411="",計分!$AP411=""),"",計分!$AP411-計分!AL411)</f>
        <v/>
      </c>
      <c r="AM411">
        <f>IF(OR(計分!AM411="",計分!$AP411=""),"",計分!$AP411-計分!AM411)</f>
        <v/>
      </c>
      <c r="AN411">
        <f>IF(OR(計分!AN411="",計分!$AP411=""),"",計分!$AP411-計分!AN411)</f>
        <v/>
      </c>
      <c r="AO411">
        <f>IF(OR(計分!AO411="",計分!$AP411=""),"",計分!$AP411-計分!AO411)</f>
        <v/>
      </c>
    </row>
    <row r="412">
      <c r="A412">
        <f>計分!A412</f>
        <v/>
      </c>
      <c r="B412">
        <f>IF(OR(計分!B412="",計分!$AP412=""),"",計分!$AP412-計分!B412)</f>
        <v/>
      </c>
      <c r="C412">
        <f>IF(OR(計分!C412="",計分!$AP412=""),"",計分!$AP412-計分!C412)</f>
        <v/>
      </c>
      <c r="D412">
        <f>IF(OR(計分!D412="",計分!$AP412=""),"",計分!$AP412-計分!D412)</f>
        <v/>
      </c>
      <c r="E412">
        <f>IF(OR(計分!E412="",計分!$AP412=""),"",計分!$AP412-計分!E412)</f>
        <v/>
      </c>
      <c r="F412">
        <f>IF(OR(計分!F412="",計分!$AP412=""),"",計分!$AP412-計分!F412)</f>
        <v/>
      </c>
      <c r="G412">
        <f>IF(OR(計分!G412="",計分!$AP412=""),"",計分!$AP412-計分!G412)</f>
        <v/>
      </c>
      <c r="H412">
        <f>IF(OR(計分!H412="",計分!$AP412=""),"",計分!$AP412-計分!H412)</f>
        <v/>
      </c>
      <c r="I412">
        <f>IF(OR(計分!I412="",計分!$AP412=""),"",計分!$AP412-計分!I412)</f>
        <v/>
      </c>
      <c r="J412">
        <f>IF(OR(計分!J412="",計分!$AP412=""),"",計分!$AP412-計分!J412)</f>
        <v/>
      </c>
      <c r="K412">
        <f>IF(OR(計分!K412="",計分!$AP412=""),"",計分!$AP412-計分!K412)</f>
        <v/>
      </c>
      <c r="L412">
        <f>IF(OR(計分!L412="",計分!$AP412=""),"",計分!$AP412-計分!L412)</f>
        <v/>
      </c>
      <c r="M412">
        <f>IF(OR(計分!M412="",計分!$AP412=""),"",計分!$AP412-計分!M412)</f>
        <v/>
      </c>
      <c r="N412">
        <f>IF(OR(計分!N412="",計分!$AP412=""),"",計分!$AP412-計分!N412)</f>
        <v/>
      </c>
      <c r="O412">
        <f>IF(OR(計分!O412="",計分!$AP412=""),"",計分!$AP412-計分!O412)</f>
        <v/>
      </c>
      <c r="P412">
        <f>IF(OR(計分!P412="",計分!$AP412=""),"",計分!$AP412-計分!P412)</f>
        <v/>
      </c>
      <c r="Q412">
        <f>IF(OR(計分!Q412="",計分!$AP412=""),"",計分!$AP412-計分!Q412)</f>
        <v/>
      </c>
      <c r="R412">
        <f>IF(OR(計分!R412="",計分!$AP412=""),"",計分!$AP412-計分!R412)</f>
        <v/>
      </c>
      <c r="S412">
        <f>IF(OR(計分!S412="",計分!$AP412=""),"",計分!$AP412-計分!S412)</f>
        <v/>
      </c>
      <c r="T412">
        <f>IF(OR(計分!T412="",計分!$AP412=""),"",計分!$AP412-計分!T412)</f>
        <v/>
      </c>
      <c r="U412">
        <f>IF(OR(計分!U412="",計分!$AP412=""),"",計分!$AP412-計分!U412)</f>
        <v/>
      </c>
      <c r="V412">
        <f>IF(OR(計分!V412="",計分!$AP412=""),"",計分!$AP412-計分!V412)</f>
        <v/>
      </c>
      <c r="W412">
        <f>IF(OR(計分!W412="",計分!$AP412=""),"",計分!$AP412-計分!W412)</f>
        <v/>
      </c>
      <c r="X412">
        <f>IF(OR(計分!X412="",計分!$AP412=""),"",計分!$AP412-計分!X412)</f>
        <v/>
      </c>
      <c r="Y412">
        <f>IF(OR(計分!Y412="",計分!$AP412=""),"",計分!$AP412-計分!Y412)</f>
        <v/>
      </c>
      <c r="Z412">
        <f>IF(OR(計分!Z412="",計分!$AP412=""),"",計分!$AP412-計分!Z412)</f>
        <v/>
      </c>
      <c r="AA412">
        <f>IF(OR(計分!AA412="",計分!$AP412=""),"",計分!$AP412-計分!AA412)</f>
        <v/>
      </c>
      <c r="AB412">
        <f>IF(OR(計分!AB412="",計分!$AP412=""),"",計分!$AP412-計分!AB412)</f>
        <v/>
      </c>
      <c r="AC412">
        <f>IF(OR(計分!AC412="",計分!$AP412=""),"",計分!$AP412-計分!AC412)</f>
        <v/>
      </c>
      <c r="AD412">
        <f>IF(OR(計分!AD412="",計分!$AP412=""),"",計分!$AP412-計分!AD412)</f>
        <v/>
      </c>
      <c r="AE412">
        <f>IF(OR(計分!AE412="",計分!$AP412=""),"",計分!$AP412-計分!AE412)</f>
        <v/>
      </c>
      <c r="AF412">
        <f>IF(OR(計分!AF412="",計分!$AP412=""),"",計分!$AP412-計分!AF412)</f>
        <v/>
      </c>
      <c r="AG412">
        <f>IF(OR(計分!AG412="",計分!$AP412=""),"",計分!$AP412-計分!AG412)</f>
        <v/>
      </c>
      <c r="AH412">
        <f>IF(OR(計分!AH412="",計分!$AP412=""),"",計分!$AP412-計分!AH412)</f>
        <v/>
      </c>
      <c r="AI412">
        <f>IF(OR(計分!AI412="",計分!$AP412=""),"",計分!$AP412-計分!AI412)</f>
        <v/>
      </c>
      <c r="AJ412">
        <f>IF(OR(計分!AJ412="",計分!$AP412=""),"",計分!$AP412-計分!AJ412)</f>
        <v/>
      </c>
      <c r="AK412">
        <f>IF(OR(計分!AK412="",計分!$AP412=""),"",計分!$AP412-計分!AK412)</f>
        <v/>
      </c>
      <c r="AL412">
        <f>IF(OR(計分!AL412="",計分!$AP412=""),"",計分!$AP412-計分!AL412)</f>
        <v/>
      </c>
      <c r="AM412">
        <f>IF(OR(計分!AM412="",計分!$AP412=""),"",計分!$AP412-計分!AM412)</f>
        <v/>
      </c>
      <c r="AN412">
        <f>IF(OR(計分!AN412="",計分!$AP412=""),"",計分!$AP412-計分!AN412)</f>
        <v/>
      </c>
      <c r="AO412">
        <f>IF(OR(計分!AO412="",計分!$AP412=""),"",計分!$AP412-計分!AO412)</f>
        <v/>
      </c>
    </row>
    <row r="413">
      <c r="A413">
        <f>計分!A413</f>
        <v/>
      </c>
      <c r="B413">
        <f>IF(OR(計分!B413="",計分!$AP413=""),"",計分!$AP413-計分!B413)</f>
        <v/>
      </c>
      <c r="C413">
        <f>IF(OR(計分!C413="",計分!$AP413=""),"",計分!$AP413-計分!C413)</f>
        <v/>
      </c>
      <c r="D413">
        <f>IF(OR(計分!D413="",計分!$AP413=""),"",計分!$AP413-計分!D413)</f>
        <v/>
      </c>
      <c r="E413">
        <f>IF(OR(計分!E413="",計分!$AP413=""),"",計分!$AP413-計分!E413)</f>
        <v/>
      </c>
      <c r="F413">
        <f>IF(OR(計分!F413="",計分!$AP413=""),"",計分!$AP413-計分!F413)</f>
        <v/>
      </c>
      <c r="G413">
        <f>IF(OR(計分!G413="",計分!$AP413=""),"",計分!$AP413-計分!G413)</f>
        <v/>
      </c>
      <c r="H413">
        <f>IF(OR(計分!H413="",計分!$AP413=""),"",計分!$AP413-計分!H413)</f>
        <v/>
      </c>
      <c r="I413">
        <f>IF(OR(計分!I413="",計分!$AP413=""),"",計分!$AP413-計分!I413)</f>
        <v/>
      </c>
      <c r="J413">
        <f>IF(OR(計分!J413="",計分!$AP413=""),"",計分!$AP413-計分!J413)</f>
        <v/>
      </c>
      <c r="K413">
        <f>IF(OR(計分!K413="",計分!$AP413=""),"",計分!$AP413-計分!K413)</f>
        <v/>
      </c>
      <c r="L413">
        <f>IF(OR(計分!L413="",計分!$AP413=""),"",計分!$AP413-計分!L413)</f>
        <v/>
      </c>
      <c r="M413">
        <f>IF(OR(計分!M413="",計分!$AP413=""),"",計分!$AP413-計分!M413)</f>
        <v/>
      </c>
      <c r="N413">
        <f>IF(OR(計分!N413="",計分!$AP413=""),"",計分!$AP413-計分!N413)</f>
        <v/>
      </c>
      <c r="O413">
        <f>IF(OR(計分!O413="",計分!$AP413=""),"",計分!$AP413-計分!O413)</f>
        <v/>
      </c>
      <c r="P413">
        <f>IF(OR(計分!P413="",計分!$AP413=""),"",計分!$AP413-計分!P413)</f>
        <v/>
      </c>
      <c r="Q413">
        <f>IF(OR(計分!Q413="",計分!$AP413=""),"",計分!$AP413-計分!Q413)</f>
        <v/>
      </c>
      <c r="R413">
        <f>IF(OR(計分!R413="",計分!$AP413=""),"",計分!$AP413-計分!R413)</f>
        <v/>
      </c>
      <c r="S413">
        <f>IF(OR(計分!S413="",計分!$AP413=""),"",計分!$AP413-計分!S413)</f>
        <v/>
      </c>
      <c r="T413">
        <f>IF(OR(計分!T413="",計分!$AP413=""),"",計分!$AP413-計分!T413)</f>
        <v/>
      </c>
      <c r="U413">
        <f>IF(OR(計分!U413="",計分!$AP413=""),"",計分!$AP413-計分!U413)</f>
        <v/>
      </c>
      <c r="V413">
        <f>IF(OR(計分!V413="",計分!$AP413=""),"",計分!$AP413-計分!V413)</f>
        <v/>
      </c>
      <c r="W413">
        <f>IF(OR(計分!W413="",計分!$AP413=""),"",計分!$AP413-計分!W413)</f>
        <v/>
      </c>
      <c r="X413">
        <f>IF(OR(計分!X413="",計分!$AP413=""),"",計分!$AP413-計分!X413)</f>
        <v/>
      </c>
      <c r="Y413">
        <f>IF(OR(計分!Y413="",計分!$AP413=""),"",計分!$AP413-計分!Y413)</f>
        <v/>
      </c>
      <c r="Z413">
        <f>IF(OR(計分!Z413="",計分!$AP413=""),"",計分!$AP413-計分!Z413)</f>
        <v/>
      </c>
      <c r="AA413">
        <f>IF(OR(計分!AA413="",計分!$AP413=""),"",計分!$AP413-計分!AA413)</f>
        <v/>
      </c>
      <c r="AB413">
        <f>IF(OR(計分!AB413="",計分!$AP413=""),"",計分!$AP413-計分!AB413)</f>
        <v/>
      </c>
      <c r="AC413">
        <f>IF(OR(計分!AC413="",計分!$AP413=""),"",計分!$AP413-計分!AC413)</f>
        <v/>
      </c>
      <c r="AD413">
        <f>IF(OR(計分!AD413="",計分!$AP413=""),"",計分!$AP413-計分!AD413)</f>
        <v/>
      </c>
      <c r="AE413">
        <f>IF(OR(計分!AE413="",計分!$AP413=""),"",計分!$AP413-計分!AE413)</f>
        <v/>
      </c>
      <c r="AF413">
        <f>IF(OR(計分!AF413="",計分!$AP413=""),"",計分!$AP413-計分!AF413)</f>
        <v/>
      </c>
      <c r="AG413">
        <f>IF(OR(計分!AG413="",計分!$AP413=""),"",計分!$AP413-計分!AG413)</f>
        <v/>
      </c>
      <c r="AH413">
        <f>IF(OR(計分!AH413="",計分!$AP413=""),"",計分!$AP413-計分!AH413)</f>
        <v/>
      </c>
      <c r="AI413">
        <f>IF(OR(計分!AI413="",計分!$AP413=""),"",計分!$AP413-計分!AI413)</f>
        <v/>
      </c>
      <c r="AJ413">
        <f>IF(OR(計分!AJ413="",計分!$AP413=""),"",計分!$AP413-計分!AJ413)</f>
        <v/>
      </c>
      <c r="AK413">
        <f>IF(OR(計分!AK413="",計分!$AP413=""),"",計分!$AP413-計分!AK413)</f>
        <v/>
      </c>
      <c r="AL413">
        <f>IF(OR(計分!AL413="",計分!$AP413=""),"",計分!$AP413-計分!AL413)</f>
        <v/>
      </c>
      <c r="AM413">
        <f>IF(OR(計分!AM413="",計分!$AP413=""),"",計分!$AP413-計分!AM413)</f>
        <v/>
      </c>
      <c r="AN413">
        <f>IF(OR(計分!AN413="",計分!$AP413=""),"",計分!$AP413-計分!AN413)</f>
        <v/>
      </c>
      <c r="AO413">
        <f>IF(OR(計分!AO413="",計分!$AP413=""),"",計分!$AP413-計分!AO413)</f>
        <v/>
      </c>
    </row>
    <row r="414">
      <c r="A414">
        <f>計分!A414</f>
        <v/>
      </c>
      <c r="B414">
        <f>IF(OR(計分!B414="",計分!$AP414=""),"",計分!$AP414-計分!B414)</f>
        <v/>
      </c>
      <c r="C414">
        <f>IF(OR(計分!C414="",計分!$AP414=""),"",計分!$AP414-計分!C414)</f>
        <v/>
      </c>
      <c r="D414">
        <f>IF(OR(計分!D414="",計分!$AP414=""),"",計分!$AP414-計分!D414)</f>
        <v/>
      </c>
      <c r="E414">
        <f>IF(OR(計分!E414="",計分!$AP414=""),"",計分!$AP414-計分!E414)</f>
        <v/>
      </c>
      <c r="F414">
        <f>IF(OR(計分!F414="",計分!$AP414=""),"",計分!$AP414-計分!F414)</f>
        <v/>
      </c>
      <c r="G414">
        <f>IF(OR(計分!G414="",計分!$AP414=""),"",計分!$AP414-計分!G414)</f>
        <v/>
      </c>
      <c r="H414">
        <f>IF(OR(計分!H414="",計分!$AP414=""),"",計分!$AP414-計分!H414)</f>
        <v/>
      </c>
      <c r="I414">
        <f>IF(OR(計分!I414="",計分!$AP414=""),"",計分!$AP414-計分!I414)</f>
        <v/>
      </c>
      <c r="J414">
        <f>IF(OR(計分!J414="",計分!$AP414=""),"",計分!$AP414-計分!J414)</f>
        <v/>
      </c>
      <c r="K414">
        <f>IF(OR(計分!K414="",計分!$AP414=""),"",計分!$AP414-計分!K414)</f>
        <v/>
      </c>
      <c r="L414">
        <f>IF(OR(計分!L414="",計分!$AP414=""),"",計分!$AP414-計分!L414)</f>
        <v/>
      </c>
      <c r="M414">
        <f>IF(OR(計分!M414="",計分!$AP414=""),"",計分!$AP414-計分!M414)</f>
        <v/>
      </c>
      <c r="N414">
        <f>IF(OR(計分!N414="",計分!$AP414=""),"",計分!$AP414-計分!N414)</f>
        <v/>
      </c>
      <c r="O414">
        <f>IF(OR(計分!O414="",計分!$AP414=""),"",計分!$AP414-計分!O414)</f>
        <v/>
      </c>
      <c r="P414">
        <f>IF(OR(計分!P414="",計分!$AP414=""),"",計分!$AP414-計分!P414)</f>
        <v/>
      </c>
      <c r="Q414">
        <f>IF(OR(計分!Q414="",計分!$AP414=""),"",計分!$AP414-計分!Q414)</f>
        <v/>
      </c>
      <c r="R414">
        <f>IF(OR(計分!R414="",計分!$AP414=""),"",計分!$AP414-計分!R414)</f>
        <v/>
      </c>
      <c r="S414">
        <f>IF(OR(計分!S414="",計分!$AP414=""),"",計分!$AP414-計分!S414)</f>
        <v/>
      </c>
      <c r="T414">
        <f>IF(OR(計分!T414="",計分!$AP414=""),"",計分!$AP414-計分!T414)</f>
        <v/>
      </c>
      <c r="U414">
        <f>IF(OR(計分!U414="",計分!$AP414=""),"",計分!$AP414-計分!U414)</f>
        <v/>
      </c>
      <c r="V414">
        <f>IF(OR(計分!V414="",計分!$AP414=""),"",計分!$AP414-計分!V414)</f>
        <v/>
      </c>
      <c r="W414">
        <f>IF(OR(計分!W414="",計分!$AP414=""),"",計分!$AP414-計分!W414)</f>
        <v/>
      </c>
      <c r="X414">
        <f>IF(OR(計分!X414="",計分!$AP414=""),"",計分!$AP414-計分!X414)</f>
        <v/>
      </c>
      <c r="Y414">
        <f>IF(OR(計分!Y414="",計分!$AP414=""),"",計分!$AP414-計分!Y414)</f>
        <v/>
      </c>
      <c r="Z414">
        <f>IF(OR(計分!Z414="",計分!$AP414=""),"",計分!$AP414-計分!Z414)</f>
        <v/>
      </c>
      <c r="AA414">
        <f>IF(OR(計分!AA414="",計分!$AP414=""),"",計分!$AP414-計分!AA414)</f>
        <v/>
      </c>
      <c r="AB414">
        <f>IF(OR(計分!AB414="",計分!$AP414=""),"",計分!$AP414-計分!AB414)</f>
        <v/>
      </c>
      <c r="AC414">
        <f>IF(OR(計分!AC414="",計分!$AP414=""),"",計分!$AP414-計分!AC414)</f>
        <v/>
      </c>
      <c r="AD414">
        <f>IF(OR(計分!AD414="",計分!$AP414=""),"",計分!$AP414-計分!AD414)</f>
        <v/>
      </c>
      <c r="AE414">
        <f>IF(OR(計分!AE414="",計分!$AP414=""),"",計分!$AP414-計分!AE414)</f>
        <v/>
      </c>
      <c r="AF414">
        <f>IF(OR(計分!AF414="",計分!$AP414=""),"",計分!$AP414-計分!AF414)</f>
        <v/>
      </c>
      <c r="AG414">
        <f>IF(OR(計分!AG414="",計分!$AP414=""),"",計分!$AP414-計分!AG414)</f>
        <v/>
      </c>
      <c r="AH414">
        <f>IF(OR(計分!AH414="",計分!$AP414=""),"",計分!$AP414-計分!AH414)</f>
        <v/>
      </c>
      <c r="AI414">
        <f>IF(OR(計分!AI414="",計分!$AP414=""),"",計分!$AP414-計分!AI414)</f>
        <v/>
      </c>
      <c r="AJ414">
        <f>IF(OR(計分!AJ414="",計分!$AP414=""),"",計分!$AP414-計分!AJ414)</f>
        <v/>
      </c>
      <c r="AK414">
        <f>IF(OR(計分!AK414="",計分!$AP414=""),"",計分!$AP414-計分!AK414)</f>
        <v/>
      </c>
      <c r="AL414">
        <f>IF(OR(計分!AL414="",計分!$AP414=""),"",計分!$AP414-計分!AL414)</f>
        <v/>
      </c>
      <c r="AM414">
        <f>IF(OR(計分!AM414="",計分!$AP414=""),"",計分!$AP414-計分!AM414)</f>
        <v/>
      </c>
      <c r="AN414">
        <f>IF(OR(計分!AN414="",計分!$AP414=""),"",計分!$AP414-計分!AN414)</f>
        <v/>
      </c>
      <c r="AO414">
        <f>IF(OR(計分!AO414="",計分!$AP414=""),"",計分!$AP414-計分!AO414)</f>
        <v/>
      </c>
    </row>
    <row r="415">
      <c r="A415">
        <f>計分!A415</f>
        <v/>
      </c>
      <c r="B415">
        <f>IF(OR(計分!B415="",計分!$AP415=""),"",計分!$AP415-計分!B415)</f>
        <v/>
      </c>
      <c r="C415">
        <f>IF(OR(計分!C415="",計分!$AP415=""),"",計分!$AP415-計分!C415)</f>
        <v/>
      </c>
      <c r="D415">
        <f>IF(OR(計分!D415="",計分!$AP415=""),"",計分!$AP415-計分!D415)</f>
        <v/>
      </c>
      <c r="E415">
        <f>IF(OR(計分!E415="",計分!$AP415=""),"",計分!$AP415-計分!E415)</f>
        <v/>
      </c>
      <c r="F415">
        <f>IF(OR(計分!F415="",計分!$AP415=""),"",計分!$AP415-計分!F415)</f>
        <v/>
      </c>
      <c r="G415">
        <f>IF(OR(計分!G415="",計分!$AP415=""),"",計分!$AP415-計分!G415)</f>
        <v/>
      </c>
      <c r="H415">
        <f>IF(OR(計分!H415="",計分!$AP415=""),"",計分!$AP415-計分!H415)</f>
        <v/>
      </c>
      <c r="I415">
        <f>IF(OR(計分!I415="",計分!$AP415=""),"",計分!$AP415-計分!I415)</f>
        <v/>
      </c>
      <c r="J415">
        <f>IF(OR(計分!J415="",計分!$AP415=""),"",計分!$AP415-計分!J415)</f>
        <v/>
      </c>
      <c r="K415">
        <f>IF(OR(計分!K415="",計分!$AP415=""),"",計分!$AP415-計分!K415)</f>
        <v/>
      </c>
      <c r="L415">
        <f>IF(OR(計分!L415="",計分!$AP415=""),"",計分!$AP415-計分!L415)</f>
        <v/>
      </c>
      <c r="M415">
        <f>IF(OR(計分!M415="",計分!$AP415=""),"",計分!$AP415-計分!M415)</f>
        <v/>
      </c>
      <c r="N415">
        <f>IF(OR(計分!N415="",計分!$AP415=""),"",計分!$AP415-計分!N415)</f>
        <v/>
      </c>
      <c r="O415">
        <f>IF(OR(計分!O415="",計分!$AP415=""),"",計分!$AP415-計分!O415)</f>
        <v/>
      </c>
      <c r="P415">
        <f>IF(OR(計分!P415="",計分!$AP415=""),"",計分!$AP415-計分!P415)</f>
        <v/>
      </c>
      <c r="Q415">
        <f>IF(OR(計分!Q415="",計分!$AP415=""),"",計分!$AP415-計分!Q415)</f>
        <v/>
      </c>
      <c r="R415">
        <f>IF(OR(計分!R415="",計分!$AP415=""),"",計分!$AP415-計分!R415)</f>
        <v/>
      </c>
      <c r="S415">
        <f>IF(OR(計分!S415="",計分!$AP415=""),"",計分!$AP415-計分!S415)</f>
        <v/>
      </c>
      <c r="T415">
        <f>IF(OR(計分!T415="",計分!$AP415=""),"",計分!$AP415-計分!T415)</f>
        <v/>
      </c>
      <c r="U415">
        <f>IF(OR(計分!U415="",計分!$AP415=""),"",計分!$AP415-計分!U415)</f>
        <v/>
      </c>
      <c r="V415">
        <f>IF(OR(計分!V415="",計分!$AP415=""),"",計分!$AP415-計分!V415)</f>
        <v/>
      </c>
      <c r="W415">
        <f>IF(OR(計分!W415="",計分!$AP415=""),"",計分!$AP415-計分!W415)</f>
        <v/>
      </c>
      <c r="X415">
        <f>IF(OR(計分!X415="",計分!$AP415=""),"",計分!$AP415-計分!X415)</f>
        <v/>
      </c>
      <c r="Y415">
        <f>IF(OR(計分!Y415="",計分!$AP415=""),"",計分!$AP415-計分!Y415)</f>
        <v/>
      </c>
      <c r="Z415">
        <f>IF(OR(計分!Z415="",計分!$AP415=""),"",計分!$AP415-計分!Z415)</f>
        <v/>
      </c>
      <c r="AA415">
        <f>IF(OR(計分!AA415="",計分!$AP415=""),"",計分!$AP415-計分!AA415)</f>
        <v/>
      </c>
      <c r="AB415">
        <f>IF(OR(計分!AB415="",計分!$AP415=""),"",計分!$AP415-計分!AB415)</f>
        <v/>
      </c>
      <c r="AC415">
        <f>IF(OR(計分!AC415="",計分!$AP415=""),"",計分!$AP415-計分!AC415)</f>
        <v/>
      </c>
      <c r="AD415">
        <f>IF(OR(計分!AD415="",計分!$AP415=""),"",計分!$AP415-計分!AD415)</f>
        <v/>
      </c>
      <c r="AE415">
        <f>IF(OR(計分!AE415="",計分!$AP415=""),"",計分!$AP415-計分!AE415)</f>
        <v/>
      </c>
      <c r="AF415">
        <f>IF(OR(計分!AF415="",計分!$AP415=""),"",計分!$AP415-計分!AF415)</f>
        <v/>
      </c>
      <c r="AG415">
        <f>IF(OR(計分!AG415="",計分!$AP415=""),"",計分!$AP415-計分!AG415)</f>
        <v/>
      </c>
      <c r="AH415">
        <f>IF(OR(計分!AH415="",計分!$AP415=""),"",計分!$AP415-計分!AH415)</f>
        <v/>
      </c>
      <c r="AI415">
        <f>IF(OR(計分!AI415="",計分!$AP415=""),"",計分!$AP415-計分!AI415)</f>
        <v/>
      </c>
      <c r="AJ415">
        <f>IF(OR(計分!AJ415="",計分!$AP415=""),"",計分!$AP415-計分!AJ415)</f>
        <v/>
      </c>
      <c r="AK415">
        <f>IF(OR(計分!AK415="",計分!$AP415=""),"",計分!$AP415-計分!AK415)</f>
        <v/>
      </c>
      <c r="AL415">
        <f>IF(OR(計分!AL415="",計分!$AP415=""),"",計分!$AP415-計分!AL415)</f>
        <v/>
      </c>
      <c r="AM415">
        <f>IF(OR(計分!AM415="",計分!$AP415=""),"",計分!$AP415-計分!AM415)</f>
        <v/>
      </c>
      <c r="AN415">
        <f>IF(OR(計分!AN415="",計分!$AP415=""),"",計分!$AP415-計分!AN415)</f>
        <v/>
      </c>
      <c r="AO415">
        <f>IF(OR(計分!AO415="",計分!$AP415=""),"",計分!$AP415-計分!AO415)</f>
        <v/>
      </c>
    </row>
    <row r="416">
      <c r="A416">
        <f>計分!A416</f>
        <v/>
      </c>
      <c r="B416">
        <f>IF(OR(計分!B416="",計分!$AP416=""),"",計分!$AP416-計分!B416)</f>
        <v/>
      </c>
      <c r="C416">
        <f>IF(OR(計分!C416="",計分!$AP416=""),"",計分!$AP416-計分!C416)</f>
        <v/>
      </c>
      <c r="D416">
        <f>IF(OR(計分!D416="",計分!$AP416=""),"",計分!$AP416-計分!D416)</f>
        <v/>
      </c>
      <c r="E416">
        <f>IF(OR(計分!E416="",計分!$AP416=""),"",計分!$AP416-計分!E416)</f>
        <v/>
      </c>
      <c r="F416">
        <f>IF(OR(計分!F416="",計分!$AP416=""),"",計分!$AP416-計分!F416)</f>
        <v/>
      </c>
      <c r="G416">
        <f>IF(OR(計分!G416="",計分!$AP416=""),"",計分!$AP416-計分!G416)</f>
        <v/>
      </c>
      <c r="H416">
        <f>IF(OR(計分!H416="",計分!$AP416=""),"",計分!$AP416-計分!H416)</f>
        <v/>
      </c>
      <c r="I416">
        <f>IF(OR(計分!I416="",計分!$AP416=""),"",計分!$AP416-計分!I416)</f>
        <v/>
      </c>
      <c r="J416">
        <f>IF(OR(計分!J416="",計分!$AP416=""),"",計分!$AP416-計分!J416)</f>
        <v/>
      </c>
      <c r="K416">
        <f>IF(OR(計分!K416="",計分!$AP416=""),"",計分!$AP416-計分!K416)</f>
        <v/>
      </c>
      <c r="L416">
        <f>IF(OR(計分!L416="",計分!$AP416=""),"",計分!$AP416-計分!L416)</f>
        <v/>
      </c>
      <c r="M416">
        <f>IF(OR(計分!M416="",計分!$AP416=""),"",計分!$AP416-計分!M416)</f>
        <v/>
      </c>
      <c r="N416">
        <f>IF(OR(計分!N416="",計分!$AP416=""),"",計分!$AP416-計分!N416)</f>
        <v/>
      </c>
      <c r="O416">
        <f>IF(OR(計分!O416="",計分!$AP416=""),"",計分!$AP416-計分!O416)</f>
        <v/>
      </c>
      <c r="P416">
        <f>IF(OR(計分!P416="",計分!$AP416=""),"",計分!$AP416-計分!P416)</f>
        <v/>
      </c>
      <c r="Q416">
        <f>IF(OR(計分!Q416="",計分!$AP416=""),"",計分!$AP416-計分!Q416)</f>
        <v/>
      </c>
      <c r="R416">
        <f>IF(OR(計分!R416="",計分!$AP416=""),"",計分!$AP416-計分!R416)</f>
        <v/>
      </c>
      <c r="S416">
        <f>IF(OR(計分!S416="",計分!$AP416=""),"",計分!$AP416-計分!S416)</f>
        <v/>
      </c>
      <c r="T416">
        <f>IF(OR(計分!T416="",計分!$AP416=""),"",計分!$AP416-計分!T416)</f>
        <v/>
      </c>
      <c r="U416">
        <f>IF(OR(計分!U416="",計分!$AP416=""),"",計分!$AP416-計分!U416)</f>
        <v/>
      </c>
      <c r="V416">
        <f>IF(OR(計分!V416="",計分!$AP416=""),"",計分!$AP416-計分!V416)</f>
        <v/>
      </c>
      <c r="W416">
        <f>IF(OR(計分!W416="",計分!$AP416=""),"",計分!$AP416-計分!W416)</f>
        <v/>
      </c>
      <c r="X416">
        <f>IF(OR(計分!X416="",計分!$AP416=""),"",計分!$AP416-計分!X416)</f>
        <v/>
      </c>
      <c r="Y416">
        <f>IF(OR(計分!Y416="",計分!$AP416=""),"",計分!$AP416-計分!Y416)</f>
        <v/>
      </c>
      <c r="Z416">
        <f>IF(OR(計分!Z416="",計分!$AP416=""),"",計分!$AP416-計分!Z416)</f>
        <v/>
      </c>
      <c r="AA416">
        <f>IF(OR(計分!AA416="",計分!$AP416=""),"",計分!$AP416-計分!AA416)</f>
        <v/>
      </c>
      <c r="AB416">
        <f>IF(OR(計分!AB416="",計分!$AP416=""),"",計分!$AP416-計分!AB416)</f>
        <v/>
      </c>
      <c r="AC416">
        <f>IF(OR(計分!AC416="",計分!$AP416=""),"",計分!$AP416-計分!AC416)</f>
        <v/>
      </c>
      <c r="AD416">
        <f>IF(OR(計分!AD416="",計分!$AP416=""),"",計分!$AP416-計分!AD416)</f>
        <v/>
      </c>
      <c r="AE416">
        <f>IF(OR(計分!AE416="",計分!$AP416=""),"",計分!$AP416-計分!AE416)</f>
        <v/>
      </c>
      <c r="AF416">
        <f>IF(OR(計分!AF416="",計分!$AP416=""),"",計分!$AP416-計分!AF416)</f>
        <v/>
      </c>
      <c r="AG416">
        <f>IF(OR(計分!AG416="",計分!$AP416=""),"",計分!$AP416-計分!AG416)</f>
        <v/>
      </c>
      <c r="AH416">
        <f>IF(OR(計分!AH416="",計分!$AP416=""),"",計分!$AP416-計分!AH416)</f>
        <v/>
      </c>
      <c r="AI416">
        <f>IF(OR(計分!AI416="",計分!$AP416=""),"",計分!$AP416-計分!AI416)</f>
        <v/>
      </c>
      <c r="AJ416">
        <f>IF(OR(計分!AJ416="",計分!$AP416=""),"",計分!$AP416-計分!AJ416)</f>
        <v/>
      </c>
      <c r="AK416">
        <f>IF(OR(計分!AK416="",計分!$AP416=""),"",計分!$AP416-計分!AK416)</f>
        <v/>
      </c>
      <c r="AL416">
        <f>IF(OR(計分!AL416="",計分!$AP416=""),"",計分!$AP416-計分!AL416)</f>
        <v/>
      </c>
      <c r="AM416">
        <f>IF(OR(計分!AM416="",計分!$AP416=""),"",計分!$AP416-計分!AM416)</f>
        <v/>
      </c>
      <c r="AN416">
        <f>IF(OR(計分!AN416="",計分!$AP416=""),"",計分!$AP416-計分!AN416)</f>
        <v/>
      </c>
      <c r="AO416">
        <f>IF(OR(計分!AO416="",計分!$AP416=""),"",計分!$AP416-計分!AO416)</f>
        <v/>
      </c>
    </row>
    <row r="417">
      <c r="A417">
        <f>計分!A417</f>
        <v/>
      </c>
      <c r="B417">
        <f>IF(OR(計分!B417="",計分!$AP417=""),"",計分!$AP417-計分!B417)</f>
        <v/>
      </c>
      <c r="C417">
        <f>IF(OR(計分!C417="",計分!$AP417=""),"",計分!$AP417-計分!C417)</f>
        <v/>
      </c>
      <c r="D417">
        <f>IF(OR(計分!D417="",計分!$AP417=""),"",計分!$AP417-計分!D417)</f>
        <v/>
      </c>
      <c r="E417">
        <f>IF(OR(計分!E417="",計分!$AP417=""),"",計分!$AP417-計分!E417)</f>
        <v/>
      </c>
      <c r="F417">
        <f>IF(OR(計分!F417="",計分!$AP417=""),"",計分!$AP417-計分!F417)</f>
        <v/>
      </c>
      <c r="G417">
        <f>IF(OR(計分!G417="",計分!$AP417=""),"",計分!$AP417-計分!G417)</f>
        <v/>
      </c>
      <c r="H417">
        <f>IF(OR(計分!H417="",計分!$AP417=""),"",計分!$AP417-計分!H417)</f>
        <v/>
      </c>
      <c r="I417">
        <f>IF(OR(計分!I417="",計分!$AP417=""),"",計分!$AP417-計分!I417)</f>
        <v/>
      </c>
      <c r="J417">
        <f>IF(OR(計分!J417="",計分!$AP417=""),"",計分!$AP417-計分!J417)</f>
        <v/>
      </c>
      <c r="K417">
        <f>IF(OR(計分!K417="",計分!$AP417=""),"",計分!$AP417-計分!K417)</f>
        <v/>
      </c>
      <c r="L417">
        <f>IF(OR(計分!L417="",計分!$AP417=""),"",計分!$AP417-計分!L417)</f>
        <v/>
      </c>
      <c r="M417">
        <f>IF(OR(計分!M417="",計分!$AP417=""),"",計分!$AP417-計分!M417)</f>
        <v/>
      </c>
      <c r="N417">
        <f>IF(OR(計分!N417="",計分!$AP417=""),"",計分!$AP417-計分!N417)</f>
        <v/>
      </c>
      <c r="O417">
        <f>IF(OR(計分!O417="",計分!$AP417=""),"",計分!$AP417-計分!O417)</f>
        <v/>
      </c>
      <c r="P417">
        <f>IF(OR(計分!P417="",計分!$AP417=""),"",計分!$AP417-計分!P417)</f>
        <v/>
      </c>
      <c r="Q417">
        <f>IF(OR(計分!Q417="",計分!$AP417=""),"",計分!$AP417-計分!Q417)</f>
        <v/>
      </c>
      <c r="R417">
        <f>IF(OR(計分!R417="",計分!$AP417=""),"",計分!$AP417-計分!R417)</f>
        <v/>
      </c>
      <c r="S417">
        <f>IF(OR(計分!S417="",計分!$AP417=""),"",計分!$AP417-計分!S417)</f>
        <v/>
      </c>
      <c r="T417">
        <f>IF(OR(計分!T417="",計分!$AP417=""),"",計分!$AP417-計分!T417)</f>
        <v/>
      </c>
      <c r="U417">
        <f>IF(OR(計分!U417="",計分!$AP417=""),"",計分!$AP417-計分!U417)</f>
        <v/>
      </c>
      <c r="V417">
        <f>IF(OR(計分!V417="",計分!$AP417=""),"",計分!$AP417-計分!V417)</f>
        <v/>
      </c>
      <c r="W417">
        <f>IF(OR(計分!W417="",計分!$AP417=""),"",計分!$AP417-計分!W417)</f>
        <v/>
      </c>
      <c r="X417">
        <f>IF(OR(計分!X417="",計分!$AP417=""),"",計分!$AP417-計分!X417)</f>
        <v/>
      </c>
      <c r="Y417">
        <f>IF(OR(計分!Y417="",計分!$AP417=""),"",計分!$AP417-計分!Y417)</f>
        <v/>
      </c>
      <c r="Z417">
        <f>IF(OR(計分!Z417="",計分!$AP417=""),"",計分!$AP417-計分!Z417)</f>
        <v/>
      </c>
      <c r="AA417">
        <f>IF(OR(計分!AA417="",計分!$AP417=""),"",計分!$AP417-計分!AA417)</f>
        <v/>
      </c>
      <c r="AB417">
        <f>IF(OR(計分!AB417="",計分!$AP417=""),"",計分!$AP417-計分!AB417)</f>
        <v/>
      </c>
      <c r="AC417">
        <f>IF(OR(計分!AC417="",計分!$AP417=""),"",計分!$AP417-計分!AC417)</f>
        <v/>
      </c>
      <c r="AD417">
        <f>IF(OR(計分!AD417="",計分!$AP417=""),"",計分!$AP417-計分!AD417)</f>
        <v/>
      </c>
      <c r="AE417">
        <f>IF(OR(計分!AE417="",計分!$AP417=""),"",計分!$AP417-計分!AE417)</f>
        <v/>
      </c>
      <c r="AF417">
        <f>IF(OR(計分!AF417="",計分!$AP417=""),"",計分!$AP417-計分!AF417)</f>
        <v/>
      </c>
      <c r="AG417">
        <f>IF(OR(計分!AG417="",計分!$AP417=""),"",計分!$AP417-計分!AG417)</f>
        <v/>
      </c>
      <c r="AH417">
        <f>IF(OR(計分!AH417="",計分!$AP417=""),"",計分!$AP417-計分!AH417)</f>
        <v/>
      </c>
      <c r="AI417">
        <f>IF(OR(計分!AI417="",計分!$AP417=""),"",計分!$AP417-計分!AI417)</f>
        <v/>
      </c>
      <c r="AJ417">
        <f>IF(OR(計分!AJ417="",計分!$AP417=""),"",計分!$AP417-計分!AJ417)</f>
        <v/>
      </c>
      <c r="AK417">
        <f>IF(OR(計分!AK417="",計分!$AP417=""),"",計分!$AP417-計分!AK417)</f>
        <v/>
      </c>
      <c r="AL417">
        <f>IF(OR(計分!AL417="",計分!$AP417=""),"",計分!$AP417-計分!AL417)</f>
        <v/>
      </c>
      <c r="AM417">
        <f>IF(OR(計分!AM417="",計分!$AP417=""),"",計分!$AP417-計分!AM417)</f>
        <v/>
      </c>
      <c r="AN417">
        <f>IF(OR(計分!AN417="",計分!$AP417=""),"",計分!$AP417-計分!AN417)</f>
        <v/>
      </c>
      <c r="AO417">
        <f>IF(OR(計分!AO417="",計分!$AP417=""),"",計分!$AP417-計分!AO417)</f>
        <v/>
      </c>
    </row>
    <row r="418">
      <c r="A418">
        <f>計分!A418</f>
        <v/>
      </c>
      <c r="B418">
        <f>IF(OR(計分!B418="",計分!$AP418=""),"",計分!$AP418-計分!B418)</f>
        <v/>
      </c>
      <c r="C418">
        <f>IF(OR(計分!C418="",計分!$AP418=""),"",計分!$AP418-計分!C418)</f>
        <v/>
      </c>
      <c r="D418">
        <f>IF(OR(計分!D418="",計分!$AP418=""),"",計分!$AP418-計分!D418)</f>
        <v/>
      </c>
      <c r="E418">
        <f>IF(OR(計分!E418="",計分!$AP418=""),"",計分!$AP418-計分!E418)</f>
        <v/>
      </c>
      <c r="F418">
        <f>IF(OR(計分!F418="",計分!$AP418=""),"",計分!$AP418-計分!F418)</f>
        <v/>
      </c>
      <c r="G418">
        <f>IF(OR(計分!G418="",計分!$AP418=""),"",計分!$AP418-計分!G418)</f>
        <v/>
      </c>
      <c r="H418">
        <f>IF(OR(計分!H418="",計分!$AP418=""),"",計分!$AP418-計分!H418)</f>
        <v/>
      </c>
      <c r="I418">
        <f>IF(OR(計分!I418="",計分!$AP418=""),"",計分!$AP418-計分!I418)</f>
        <v/>
      </c>
      <c r="J418">
        <f>IF(OR(計分!J418="",計分!$AP418=""),"",計分!$AP418-計分!J418)</f>
        <v/>
      </c>
      <c r="K418">
        <f>IF(OR(計分!K418="",計分!$AP418=""),"",計分!$AP418-計分!K418)</f>
        <v/>
      </c>
      <c r="L418">
        <f>IF(OR(計分!L418="",計分!$AP418=""),"",計分!$AP418-計分!L418)</f>
        <v/>
      </c>
      <c r="M418">
        <f>IF(OR(計分!M418="",計分!$AP418=""),"",計分!$AP418-計分!M418)</f>
        <v/>
      </c>
      <c r="N418">
        <f>IF(OR(計分!N418="",計分!$AP418=""),"",計分!$AP418-計分!N418)</f>
        <v/>
      </c>
      <c r="O418">
        <f>IF(OR(計分!O418="",計分!$AP418=""),"",計分!$AP418-計分!O418)</f>
        <v/>
      </c>
      <c r="P418">
        <f>IF(OR(計分!P418="",計分!$AP418=""),"",計分!$AP418-計分!P418)</f>
        <v/>
      </c>
      <c r="Q418">
        <f>IF(OR(計分!Q418="",計分!$AP418=""),"",計分!$AP418-計分!Q418)</f>
        <v/>
      </c>
      <c r="R418">
        <f>IF(OR(計分!R418="",計分!$AP418=""),"",計分!$AP418-計分!R418)</f>
        <v/>
      </c>
      <c r="S418">
        <f>IF(OR(計分!S418="",計分!$AP418=""),"",計分!$AP418-計分!S418)</f>
        <v/>
      </c>
      <c r="T418">
        <f>IF(OR(計分!T418="",計分!$AP418=""),"",計分!$AP418-計分!T418)</f>
        <v/>
      </c>
      <c r="U418">
        <f>IF(OR(計分!U418="",計分!$AP418=""),"",計分!$AP418-計分!U418)</f>
        <v/>
      </c>
      <c r="V418">
        <f>IF(OR(計分!V418="",計分!$AP418=""),"",計分!$AP418-計分!V418)</f>
        <v/>
      </c>
      <c r="W418">
        <f>IF(OR(計分!W418="",計分!$AP418=""),"",計分!$AP418-計分!W418)</f>
        <v/>
      </c>
      <c r="X418">
        <f>IF(OR(計分!X418="",計分!$AP418=""),"",計分!$AP418-計分!X418)</f>
        <v/>
      </c>
      <c r="Y418">
        <f>IF(OR(計分!Y418="",計分!$AP418=""),"",計分!$AP418-計分!Y418)</f>
        <v/>
      </c>
      <c r="Z418">
        <f>IF(OR(計分!Z418="",計分!$AP418=""),"",計分!$AP418-計分!Z418)</f>
        <v/>
      </c>
      <c r="AA418">
        <f>IF(OR(計分!AA418="",計分!$AP418=""),"",計分!$AP418-計分!AA418)</f>
        <v/>
      </c>
      <c r="AB418">
        <f>IF(OR(計分!AB418="",計分!$AP418=""),"",計分!$AP418-計分!AB418)</f>
        <v/>
      </c>
      <c r="AC418">
        <f>IF(OR(計分!AC418="",計分!$AP418=""),"",計分!$AP418-計分!AC418)</f>
        <v/>
      </c>
      <c r="AD418">
        <f>IF(OR(計分!AD418="",計分!$AP418=""),"",計分!$AP418-計分!AD418)</f>
        <v/>
      </c>
      <c r="AE418">
        <f>IF(OR(計分!AE418="",計分!$AP418=""),"",計分!$AP418-計分!AE418)</f>
        <v/>
      </c>
      <c r="AF418">
        <f>IF(OR(計分!AF418="",計分!$AP418=""),"",計分!$AP418-計分!AF418)</f>
        <v/>
      </c>
      <c r="AG418">
        <f>IF(OR(計分!AG418="",計分!$AP418=""),"",計分!$AP418-計分!AG418)</f>
        <v/>
      </c>
      <c r="AH418">
        <f>IF(OR(計分!AH418="",計分!$AP418=""),"",計分!$AP418-計分!AH418)</f>
        <v/>
      </c>
      <c r="AI418">
        <f>IF(OR(計分!AI418="",計分!$AP418=""),"",計分!$AP418-計分!AI418)</f>
        <v/>
      </c>
      <c r="AJ418">
        <f>IF(OR(計分!AJ418="",計分!$AP418=""),"",計分!$AP418-計分!AJ418)</f>
        <v/>
      </c>
      <c r="AK418">
        <f>IF(OR(計分!AK418="",計分!$AP418=""),"",計分!$AP418-計分!AK418)</f>
        <v/>
      </c>
      <c r="AL418">
        <f>IF(OR(計分!AL418="",計分!$AP418=""),"",計分!$AP418-計分!AL418)</f>
        <v/>
      </c>
      <c r="AM418">
        <f>IF(OR(計分!AM418="",計分!$AP418=""),"",計分!$AP418-計分!AM418)</f>
        <v/>
      </c>
      <c r="AN418">
        <f>IF(OR(計分!AN418="",計分!$AP418=""),"",計分!$AP418-計分!AN418)</f>
        <v/>
      </c>
      <c r="AO418">
        <f>IF(OR(計分!AO418="",計分!$AP418=""),"",計分!$AP418-計分!AO418)</f>
        <v/>
      </c>
    </row>
    <row r="419">
      <c r="A419">
        <f>計分!A419</f>
        <v/>
      </c>
      <c r="B419">
        <f>IF(OR(計分!B419="",計分!$AP419=""),"",計分!$AP419-計分!B419)</f>
        <v/>
      </c>
      <c r="C419">
        <f>IF(OR(計分!C419="",計分!$AP419=""),"",計分!$AP419-計分!C419)</f>
        <v/>
      </c>
      <c r="D419">
        <f>IF(OR(計分!D419="",計分!$AP419=""),"",計分!$AP419-計分!D419)</f>
        <v/>
      </c>
      <c r="E419">
        <f>IF(OR(計分!E419="",計分!$AP419=""),"",計分!$AP419-計分!E419)</f>
        <v/>
      </c>
      <c r="F419">
        <f>IF(OR(計分!F419="",計分!$AP419=""),"",計分!$AP419-計分!F419)</f>
        <v/>
      </c>
      <c r="G419">
        <f>IF(OR(計分!G419="",計分!$AP419=""),"",計分!$AP419-計分!G419)</f>
        <v/>
      </c>
      <c r="H419">
        <f>IF(OR(計分!H419="",計分!$AP419=""),"",計分!$AP419-計分!H419)</f>
        <v/>
      </c>
      <c r="I419">
        <f>IF(OR(計分!I419="",計分!$AP419=""),"",計分!$AP419-計分!I419)</f>
        <v/>
      </c>
      <c r="J419">
        <f>IF(OR(計分!J419="",計分!$AP419=""),"",計分!$AP419-計分!J419)</f>
        <v/>
      </c>
      <c r="K419">
        <f>IF(OR(計分!K419="",計分!$AP419=""),"",計分!$AP419-計分!K419)</f>
        <v/>
      </c>
      <c r="L419">
        <f>IF(OR(計分!L419="",計分!$AP419=""),"",計分!$AP419-計分!L419)</f>
        <v/>
      </c>
      <c r="M419">
        <f>IF(OR(計分!M419="",計分!$AP419=""),"",計分!$AP419-計分!M419)</f>
        <v/>
      </c>
      <c r="N419">
        <f>IF(OR(計分!N419="",計分!$AP419=""),"",計分!$AP419-計分!N419)</f>
        <v/>
      </c>
      <c r="O419">
        <f>IF(OR(計分!O419="",計分!$AP419=""),"",計分!$AP419-計分!O419)</f>
        <v/>
      </c>
      <c r="P419">
        <f>IF(OR(計分!P419="",計分!$AP419=""),"",計分!$AP419-計分!P419)</f>
        <v/>
      </c>
      <c r="Q419">
        <f>IF(OR(計分!Q419="",計分!$AP419=""),"",計分!$AP419-計分!Q419)</f>
        <v/>
      </c>
      <c r="R419">
        <f>IF(OR(計分!R419="",計分!$AP419=""),"",計分!$AP419-計分!R419)</f>
        <v/>
      </c>
      <c r="S419">
        <f>IF(OR(計分!S419="",計分!$AP419=""),"",計分!$AP419-計分!S419)</f>
        <v/>
      </c>
      <c r="T419">
        <f>IF(OR(計分!T419="",計分!$AP419=""),"",計分!$AP419-計分!T419)</f>
        <v/>
      </c>
      <c r="U419">
        <f>IF(OR(計分!U419="",計分!$AP419=""),"",計分!$AP419-計分!U419)</f>
        <v/>
      </c>
      <c r="V419">
        <f>IF(OR(計分!V419="",計分!$AP419=""),"",計分!$AP419-計分!V419)</f>
        <v/>
      </c>
      <c r="W419">
        <f>IF(OR(計分!W419="",計分!$AP419=""),"",計分!$AP419-計分!W419)</f>
        <v/>
      </c>
      <c r="X419">
        <f>IF(OR(計分!X419="",計分!$AP419=""),"",計分!$AP419-計分!X419)</f>
        <v/>
      </c>
      <c r="Y419">
        <f>IF(OR(計分!Y419="",計分!$AP419=""),"",計分!$AP419-計分!Y419)</f>
        <v/>
      </c>
      <c r="Z419">
        <f>IF(OR(計分!Z419="",計分!$AP419=""),"",計分!$AP419-計分!Z419)</f>
        <v/>
      </c>
      <c r="AA419">
        <f>IF(OR(計分!AA419="",計分!$AP419=""),"",計分!$AP419-計分!AA419)</f>
        <v/>
      </c>
      <c r="AB419">
        <f>IF(OR(計分!AB419="",計分!$AP419=""),"",計分!$AP419-計分!AB419)</f>
        <v/>
      </c>
      <c r="AC419">
        <f>IF(OR(計分!AC419="",計分!$AP419=""),"",計分!$AP419-計分!AC419)</f>
        <v/>
      </c>
      <c r="AD419">
        <f>IF(OR(計分!AD419="",計分!$AP419=""),"",計分!$AP419-計分!AD419)</f>
        <v/>
      </c>
      <c r="AE419">
        <f>IF(OR(計分!AE419="",計分!$AP419=""),"",計分!$AP419-計分!AE419)</f>
        <v/>
      </c>
      <c r="AF419">
        <f>IF(OR(計分!AF419="",計分!$AP419=""),"",計分!$AP419-計分!AF419)</f>
        <v/>
      </c>
      <c r="AG419">
        <f>IF(OR(計分!AG419="",計分!$AP419=""),"",計分!$AP419-計分!AG419)</f>
        <v/>
      </c>
      <c r="AH419">
        <f>IF(OR(計分!AH419="",計分!$AP419=""),"",計分!$AP419-計分!AH419)</f>
        <v/>
      </c>
      <c r="AI419">
        <f>IF(OR(計分!AI419="",計分!$AP419=""),"",計分!$AP419-計分!AI419)</f>
        <v/>
      </c>
      <c r="AJ419">
        <f>IF(OR(計分!AJ419="",計分!$AP419=""),"",計分!$AP419-計分!AJ419)</f>
        <v/>
      </c>
      <c r="AK419">
        <f>IF(OR(計分!AK419="",計分!$AP419=""),"",計分!$AP419-計分!AK419)</f>
        <v/>
      </c>
      <c r="AL419">
        <f>IF(OR(計分!AL419="",計分!$AP419=""),"",計分!$AP419-計分!AL419)</f>
        <v/>
      </c>
      <c r="AM419">
        <f>IF(OR(計分!AM419="",計分!$AP419=""),"",計分!$AP419-計分!AM419)</f>
        <v/>
      </c>
      <c r="AN419">
        <f>IF(OR(計分!AN419="",計分!$AP419=""),"",計分!$AP419-計分!AN419)</f>
        <v/>
      </c>
      <c r="AO419">
        <f>IF(OR(計分!AO419="",計分!$AP419=""),"",計分!$AP419-計分!AO419)</f>
        <v/>
      </c>
    </row>
    <row r="420">
      <c r="A420">
        <f>計分!A420</f>
        <v/>
      </c>
      <c r="B420">
        <f>IF(OR(計分!B420="",計分!$AP420=""),"",計分!$AP420-計分!B420)</f>
        <v/>
      </c>
      <c r="C420">
        <f>IF(OR(計分!C420="",計分!$AP420=""),"",計分!$AP420-計分!C420)</f>
        <v/>
      </c>
      <c r="D420">
        <f>IF(OR(計分!D420="",計分!$AP420=""),"",計分!$AP420-計分!D420)</f>
        <v/>
      </c>
      <c r="E420">
        <f>IF(OR(計分!E420="",計分!$AP420=""),"",計分!$AP420-計分!E420)</f>
        <v/>
      </c>
      <c r="F420">
        <f>IF(OR(計分!F420="",計分!$AP420=""),"",計分!$AP420-計分!F420)</f>
        <v/>
      </c>
      <c r="G420">
        <f>IF(OR(計分!G420="",計分!$AP420=""),"",計分!$AP420-計分!G420)</f>
        <v/>
      </c>
      <c r="H420">
        <f>IF(OR(計分!H420="",計分!$AP420=""),"",計分!$AP420-計分!H420)</f>
        <v/>
      </c>
      <c r="I420">
        <f>IF(OR(計分!I420="",計分!$AP420=""),"",計分!$AP420-計分!I420)</f>
        <v/>
      </c>
      <c r="J420">
        <f>IF(OR(計分!J420="",計分!$AP420=""),"",計分!$AP420-計分!J420)</f>
        <v/>
      </c>
      <c r="K420">
        <f>IF(OR(計分!K420="",計分!$AP420=""),"",計分!$AP420-計分!K420)</f>
        <v/>
      </c>
      <c r="L420">
        <f>IF(OR(計分!L420="",計分!$AP420=""),"",計分!$AP420-計分!L420)</f>
        <v/>
      </c>
      <c r="M420">
        <f>IF(OR(計分!M420="",計分!$AP420=""),"",計分!$AP420-計分!M420)</f>
        <v/>
      </c>
      <c r="N420">
        <f>IF(OR(計分!N420="",計分!$AP420=""),"",計分!$AP420-計分!N420)</f>
        <v/>
      </c>
      <c r="O420">
        <f>IF(OR(計分!O420="",計分!$AP420=""),"",計分!$AP420-計分!O420)</f>
        <v/>
      </c>
      <c r="P420">
        <f>IF(OR(計分!P420="",計分!$AP420=""),"",計分!$AP420-計分!P420)</f>
        <v/>
      </c>
      <c r="Q420">
        <f>IF(OR(計分!Q420="",計分!$AP420=""),"",計分!$AP420-計分!Q420)</f>
        <v/>
      </c>
      <c r="R420">
        <f>IF(OR(計分!R420="",計分!$AP420=""),"",計分!$AP420-計分!R420)</f>
        <v/>
      </c>
      <c r="S420">
        <f>IF(OR(計分!S420="",計分!$AP420=""),"",計分!$AP420-計分!S420)</f>
        <v/>
      </c>
      <c r="T420">
        <f>IF(OR(計分!T420="",計分!$AP420=""),"",計分!$AP420-計分!T420)</f>
        <v/>
      </c>
      <c r="U420">
        <f>IF(OR(計分!U420="",計分!$AP420=""),"",計分!$AP420-計分!U420)</f>
        <v/>
      </c>
      <c r="V420">
        <f>IF(OR(計分!V420="",計分!$AP420=""),"",計分!$AP420-計分!V420)</f>
        <v/>
      </c>
      <c r="W420">
        <f>IF(OR(計分!W420="",計分!$AP420=""),"",計分!$AP420-計分!W420)</f>
        <v/>
      </c>
      <c r="X420">
        <f>IF(OR(計分!X420="",計分!$AP420=""),"",計分!$AP420-計分!X420)</f>
        <v/>
      </c>
      <c r="Y420">
        <f>IF(OR(計分!Y420="",計分!$AP420=""),"",計分!$AP420-計分!Y420)</f>
        <v/>
      </c>
      <c r="Z420">
        <f>IF(OR(計分!Z420="",計分!$AP420=""),"",計分!$AP420-計分!Z420)</f>
        <v/>
      </c>
      <c r="AA420">
        <f>IF(OR(計分!AA420="",計分!$AP420=""),"",計分!$AP420-計分!AA420)</f>
        <v/>
      </c>
      <c r="AB420">
        <f>IF(OR(計分!AB420="",計分!$AP420=""),"",計分!$AP420-計分!AB420)</f>
        <v/>
      </c>
      <c r="AC420">
        <f>IF(OR(計分!AC420="",計分!$AP420=""),"",計分!$AP420-計分!AC420)</f>
        <v/>
      </c>
      <c r="AD420">
        <f>IF(OR(計分!AD420="",計分!$AP420=""),"",計分!$AP420-計分!AD420)</f>
        <v/>
      </c>
      <c r="AE420">
        <f>IF(OR(計分!AE420="",計分!$AP420=""),"",計分!$AP420-計分!AE420)</f>
        <v/>
      </c>
      <c r="AF420">
        <f>IF(OR(計分!AF420="",計分!$AP420=""),"",計分!$AP420-計分!AF420)</f>
        <v/>
      </c>
      <c r="AG420">
        <f>IF(OR(計分!AG420="",計分!$AP420=""),"",計分!$AP420-計分!AG420)</f>
        <v/>
      </c>
      <c r="AH420">
        <f>IF(OR(計分!AH420="",計分!$AP420=""),"",計分!$AP420-計分!AH420)</f>
        <v/>
      </c>
      <c r="AI420">
        <f>IF(OR(計分!AI420="",計分!$AP420=""),"",計分!$AP420-計分!AI420)</f>
        <v/>
      </c>
      <c r="AJ420">
        <f>IF(OR(計分!AJ420="",計分!$AP420=""),"",計分!$AP420-計分!AJ420)</f>
        <v/>
      </c>
      <c r="AK420">
        <f>IF(OR(計分!AK420="",計分!$AP420=""),"",計分!$AP420-計分!AK420)</f>
        <v/>
      </c>
      <c r="AL420">
        <f>IF(OR(計分!AL420="",計分!$AP420=""),"",計分!$AP420-計分!AL420)</f>
        <v/>
      </c>
      <c r="AM420">
        <f>IF(OR(計分!AM420="",計分!$AP420=""),"",計分!$AP420-計分!AM420)</f>
        <v/>
      </c>
      <c r="AN420">
        <f>IF(OR(計分!AN420="",計分!$AP420=""),"",計分!$AP420-計分!AN420)</f>
        <v/>
      </c>
      <c r="AO420">
        <f>IF(OR(計分!AO420="",計分!$AP420=""),"",計分!$AP420-計分!AO420)</f>
        <v/>
      </c>
    </row>
    <row r="421">
      <c r="A421">
        <f>計分!A421</f>
        <v/>
      </c>
      <c r="B421">
        <f>IF(OR(計分!B421="",計分!$AP421=""),"",計分!$AP421-計分!B421)</f>
        <v/>
      </c>
      <c r="C421">
        <f>IF(OR(計分!C421="",計分!$AP421=""),"",計分!$AP421-計分!C421)</f>
        <v/>
      </c>
      <c r="D421">
        <f>IF(OR(計分!D421="",計分!$AP421=""),"",計分!$AP421-計分!D421)</f>
        <v/>
      </c>
      <c r="E421">
        <f>IF(OR(計分!E421="",計分!$AP421=""),"",計分!$AP421-計分!E421)</f>
        <v/>
      </c>
      <c r="F421">
        <f>IF(OR(計分!F421="",計分!$AP421=""),"",計分!$AP421-計分!F421)</f>
        <v/>
      </c>
      <c r="G421">
        <f>IF(OR(計分!G421="",計分!$AP421=""),"",計分!$AP421-計分!G421)</f>
        <v/>
      </c>
      <c r="H421">
        <f>IF(OR(計分!H421="",計分!$AP421=""),"",計分!$AP421-計分!H421)</f>
        <v/>
      </c>
      <c r="I421">
        <f>IF(OR(計分!I421="",計分!$AP421=""),"",計分!$AP421-計分!I421)</f>
        <v/>
      </c>
      <c r="J421">
        <f>IF(OR(計分!J421="",計分!$AP421=""),"",計分!$AP421-計分!J421)</f>
        <v/>
      </c>
      <c r="K421">
        <f>IF(OR(計分!K421="",計分!$AP421=""),"",計分!$AP421-計分!K421)</f>
        <v/>
      </c>
      <c r="L421">
        <f>IF(OR(計分!L421="",計分!$AP421=""),"",計分!$AP421-計分!L421)</f>
        <v/>
      </c>
      <c r="M421">
        <f>IF(OR(計分!M421="",計分!$AP421=""),"",計分!$AP421-計分!M421)</f>
        <v/>
      </c>
      <c r="N421">
        <f>IF(OR(計分!N421="",計分!$AP421=""),"",計分!$AP421-計分!N421)</f>
        <v/>
      </c>
      <c r="O421">
        <f>IF(OR(計分!O421="",計分!$AP421=""),"",計分!$AP421-計分!O421)</f>
        <v/>
      </c>
      <c r="P421">
        <f>IF(OR(計分!P421="",計分!$AP421=""),"",計分!$AP421-計分!P421)</f>
        <v/>
      </c>
      <c r="Q421">
        <f>IF(OR(計分!Q421="",計分!$AP421=""),"",計分!$AP421-計分!Q421)</f>
        <v/>
      </c>
      <c r="R421">
        <f>IF(OR(計分!R421="",計分!$AP421=""),"",計分!$AP421-計分!R421)</f>
        <v/>
      </c>
      <c r="S421">
        <f>IF(OR(計分!S421="",計分!$AP421=""),"",計分!$AP421-計分!S421)</f>
        <v/>
      </c>
      <c r="T421">
        <f>IF(OR(計分!T421="",計分!$AP421=""),"",計分!$AP421-計分!T421)</f>
        <v/>
      </c>
      <c r="U421">
        <f>IF(OR(計分!U421="",計分!$AP421=""),"",計分!$AP421-計分!U421)</f>
        <v/>
      </c>
      <c r="V421">
        <f>IF(OR(計分!V421="",計分!$AP421=""),"",計分!$AP421-計分!V421)</f>
        <v/>
      </c>
      <c r="W421">
        <f>IF(OR(計分!W421="",計分!$AP421=""),"",計分!$AP421-計分!W421)</f>
        <v/>
      </c>
      <c r="X421">
        <f>IF(OR(計分!X421="",計分!$AP421=""),"",計分!$AP421-計分!X421)</f>
        <v/>
      </c>
      <c r="Y421">
        <f>IF(OR(計分!Y421="",計分!$AP421=""),"",計分!$AP421-計分!Y421)</f>
        <v/>
      </c>
      <c r="Z421">
        <f>IF(OR(計分!Z421="",計分!$AP421=""),"",計分!$AP421-計分!Z421)</f>
        <v/>
      </c>
      <c r="AA421">
        <f>IF(OR(計分!AA421="",計分!$AP421=""),"",計分!$AP421-計分!AA421)</f>
        <v/>
      </c>
      <c r="AB421">
        <f>IF(OR(計分!AB421="",計分!$AP421=""),"",計分!$AP421-計分!AB421)</f>
        <v/>
      </c>
      <c r="AC421">
        <f>IF(OR(計分!AC421="",計分!$AP421=""),"",計分!$AP421-計分!AC421)</f>
        <v/>
      </c>
      <c r="AD421">
        <f>IF(OR(計分!AD421="",計分!$AP421=""),"",計分!$AP421-計分!AD421)</f>
        <v/>
      </c>
      <c r="AE421">
        <f>IF(OR(計分!AE421="",計分!$AP421=""),"",計分!$AP421-計分!AE421)</f>
        <v/>
      </c>
      <c r="AF421">
        <f>IF(OR(計分!AF421="",計分!$AP421=""),"",計分!$AP421-計分!AF421)</f>
        <v/>
      </c>
      <c r="AG421">
        <f>IF(OR(計分!AG421="",計分!$AP421=""),"",計分!$AP421-計分!AG421)</f>
        <v/>
      </c>
      <c r="AH421">
        <f>IF(OR(計分!AH421="",計分!$AP421=""),"",計分!$AP421-計分!AH421)</f>
        <v/>
      </c>
      <c r="AI421">
        <f>IF(OR(計分!AI421="",計分!$AP421=""),"",計分!$AP421-計分!AI421)</f>
        <v/>
      </c>
      <c r="AJ421">
        <f>IF(OR(計分!AJ421="",計分!$AP421=""),"",計分!$AP421-計分!AJ421)</f>
        <v/>
      </c>
      <c r="AK421">
        <f>IF(OR(計分!AK421="",計分!$AP421=""),"",計分!$AP421-計分!AK421)</f>
        <v/>
      </c>
      <c r="AL421">
        <f>IF(OR(計分!AL421="",計分!$AP421=""),"",計分!$AP421-計分!AL421)</f>
        <v/>
      </c>
      <c r="AM421">
        <f>IF(OR(計分!AM421="",計分!$AP421=""),"",計分!$AP421-計分!AM421)</f>
        <v/>
      </c>
      <c r="AN421">
        <f>IF(OR(計分!AN421="",計分!$AP421=""),"",計分!$AP421-計分!AN421)</f>
        <v/>
      </c>
      <c r="AO421">
        <f>IF(OR(計分!AO421="",計分!$AP421=""),"",計分!$AP421-計分!AO421)</f>
        <v/>
      </c>
    </row>
    <row r="422">
      <c r="A422">
        <f>計分!A422</f>
        <v/>
      </c>
      <c r="B422">
        <f>IF(OR(計分!B422="",計分!$AP422=""),"",計分!$AP422-計分!B422)</f>
        <v/>
      </c>
      <c r="C422">
        <f>IF(OR(計分!C422="",計分!$AP422=""),"",計分!$AP422-計分!C422)</f>
        <v/>
      </c>
      <c r="D422">
        <f>IF(OR(計分!D422="",計分!$AP422=""),"",計分!$AP422-計分!D422)</f>
        <v/>
      </c>
      <c r="E422">
        <f>IF(OR(計分!E422="",計分!$AP422=""),"",計分!$AP422-計分!E422)</f>
        <v/>
      </c>
      <c r="F422">
        <f>IF(OR(計分!F422="",計分!$AP422=""),"",計分!$AP422-計分!F422)</f>
        <v/>
      </c>
      <c r="G422">
        <f>IF(OR(計分!G422="",計分!$AP422=""),"",計分!$AP422-計分!G422)</f>
        <v/>
      </c>
      <c r="H422">
        <f>IF(OR(計分!H422="",計分!$AP422=""),"",計分!$AP422-計分!H422)</f>
        <v/>
      </c>
      <c r="I422">
        <f>IF(OR(計分!I422="",計分!$AP422=""),"",計分!$AP422-計分!I422)</f>
        <v/>
      </c>
      <c r="J422">
        <f>IF(OR(計分!J422="",計分!$AP422=""),"",計分!$AP422-計分!J422)</f>
        <v/>
      </c>
      <c r="K422">
        <f>IF(OR(計分!K422="",計分!$AP422=""),"",計分!$AP422-計分!K422)</f>
        <v/>
      </c>
      <c r="L422">
        <f>IF(OR(計分!L422="",計分!$AP422=""),"",計分!$AP422-計分!L422)</f>
        <v/>
      </c>
      <c r="M422">
        <f>IF(OR(計分!M422="",計分!$AP422=""),"",計分!$AP422-計分!M422)</f>
        <v/>
      </c>
      <c r="N422">
        <f>IF(OR(計分!N422="",計分!$AP422=""),"",計分!$AP422-計分!N422)</f>
        <v/>
      </c>
      <c r="O422">
        <f>IF(OR(計分!O422="",計分!$AP422=""),"",計分!$AP422-計分!O422)</f>
        <v/>
      </c>
      <c r="P422">
        <f>IF(OR(計分!P422="",計分!$AP422=""),"",計分!$AP422-計分!P422)</f>
        <v/>
      </c>
      <c r="Q422">
        <f>IF(OR(計分!Q422="",計分!$AP422=""),"",計分!$AP422-計分!Q422)</f>
        <v/>
      </c>
      <c r="R422">
        <f>IF(OR(計分!R422="",計分!$AP422=""),"",計分!$AP422-計分!R422)</f>
        <v/>
      </c>
      <c r="S422">
        <f>IF(OR(計分!S422="",計分!$AP422=""),"",計分!$AP422-計分!S422)</f>
        <v/>
      </c>
      <c r="T422">
        <f>IF(OR(計分!T422="",計分!$AP422=""),"",計分!$AP422-計分!T422)</f>
        <v/>
      </c>
      <c r="U422">
        <f>IF(OR(計分!U422="",計分!$AP422=""),"",計分!$AP422-計分!U422)</f>
        <v/>
      </c>
      <c r="V422">
        <f>IF(OR(計分!V422="",計分!$AP422=""),"",計分!$AP422-計分!V422)</f>
        <v/>
      </c>
      <c r="W422">
        <f>IF(OR(計分!W422="",計分!$AP422=""),"",計分!$AP422-計分!W422)</f>
        <v/>
      </c>
      <c r="X422">
        <f>IF(OR(計分!X422="",計分!$AP422=""),"",計分!$AP422-計分!X422)</f>
        <v/>
      </c>
      <c r="Y422">
        <f>IF(OR(計分!Y422="",計分!$AP422=""),"",計分!$AP422-計分!Y422)</f>
        <v/>
      </c>
      <c r="Z422">
        <f>IF(OR(計分!Z422="",計分!$AP422=""),"",計分!$AP422-計分!Z422)</f>
        <v/>
      </c>
      <c r="AA422">
        <f>IF(OR(計分!AA422="",計分!$AP422=""),"",計分!$AP422-計分!AA422)</f>
        <v/>
      </c>
      <c r="AB422">
        <f>IF(OR(計分!AB422="",計分!$AP422=""),"",計分!$AP422-計分!AB422)</f>
        <v/>
      </c>
      <c r="AC422">
        <f>IF(OR(計分!AC422="",計分!$AP422=""),"",計分!$AP422-計分!AC422)</f>
        <v/>
      </c>
      <c r="AD422">
        <f>IF(OR(計分!AD422="",計分!$AP422=""),"",計分!$AP422-計分!AD422)</f>
        <v/>
      </c>
      <c r="AE422">
        <f>IF(OR(計分!AE422="",計分!$AP422=""),"",計分!$AP422-計分!AE422)</f>
        <v/>
      </c>
      <c r="AF422">
        <f>IF(OR(計分!AF422="",計分!$AP422=""),"",計分!$AP422-計分!AF422)</f>
        <v/>
      </c>
      <c r="AG422">
        <f>IF(OR(計分!AG422="",計分!$AP422=""),"",計分!$AP422-計分!AG422)</f>
        <v/>
      </c>
      <c r="AH422">
        <f>IF(OR(計分!AH422="",計分!$AP422=""),"",計分!$AP422-計分!AH422)</f>
        <v/>
      </c>
      <c r="AI422">
        <f>IF(OR(計分!AI422="",計分!$AP422=""),"",計分!$AP422-計分!AI422)</f>
        <v/>
      </c>
      <c r="AJ422">
        <f>IF(OR(計分!AJ422="",計分!$AP422=""),"",計分!$AP422-計分!AJ422)</f>
        <v/>
      </c>
      <c r="AK422">
        <f>IF(OR(計分!AK422="",計分!$AP422=""),"",計分!$AP422-計分!AK422)</f>
        <v/>
      </c>
      <c r="AL422">
        <f>IF(OR(計分!AL422="",計分!$AP422=""),"",計分!$AP422-計分!AL422)</f>
        <v/>
      </c>
      <c r="AM422">
        <f>IF(OR(計分!AM422="",計分!$AP422=""),"",計分!$AP422-計分!AM422)</f>
        <v/>
      </c>
      <c r="AN422">
        <f>IF(OR(計分!AN422="",計分!$AP422=""),"",計分!$AP422-計分!AN422)</f>
        <v/>
      </c>
      <c r="AO422">
        <f>IF(OR(計分!AO422="",計分!$AP422=""),"",計分!$AP422-計分!AO422)</f>
        <v/>
      </c>
    </row>
    <row r="423">
      <c r="A423">
        <f>計分!A423</f>
        <v/>
      </c>
      <c r="B423">
        <f>IF(OR(計分!B423="",計分!$AP423=""),"",計分!$AP423-計分!B423)</f>
        <v/>
      </c>
      <c r="C423">
        <f>IF(OR(計分!C423="",計分!$AP423=""),"",計分!$AP423-計分!C423)</f>
        <v/>
      </c>
      <c r="D423">
        <f>IF(OR(計分!D423="",計分!$AP423=""),"",計分!$AP423-計分!D423)</f>
        <v/>
      </c>
      <c r="E423">
        <f>IF(OR(計分!E423="",計分!$AP423=""),"",計分!$AP423-計分!E423)</f>
        <v/>
      </c>
      <c r="F423">
        <f>IF(OR(計分!F423="",計分!$AP423=""),"",計分!$AP423-計分!F423)</f>
        <v/>
      </c>
      <c r="G423">
        <f>IF(OR(計分!G423="",計分!$AP423=""),"",計分!$AP423-計分!G423)</f>
        <v/>
      </c>
      <c r="H423">
        <f>IF(OR(計分!H423="",計分!$AP423=""),"",計分!$AP423-計分!H423)</f>
        <v/>
      </c>
      <c r="I423">
        <f>IF(OR(計分!I423="",計分!$AP423=""),"",計分!$AP423-計分!I423)</f>
        <v/>
      </c>
      <c r="J423">
        <f>IF(OR(計分!J423="",計分!$AP423=""),"",計分!$AP423-計分!J423)</f>
        <v/>
      </c>
      <c r="K423">
        <f>IF(OR(計分!K423="",計分!$AP423=""),"",計分!$AP423-計分!K423)</f>
        <v/>
      </c>
      <c r="L423">
        <f>IF(OR(計分!L423="",計分!$AP423=""),"",計分!$AP423-計分!L423)</f>
        <v/>
      </c>
      <c r="M423">
        <f>IF(OR(計分!M423="",計分!$AP423=""),"",計分!$AP423-計分!M423)</f>
        <v/>
      </c>
      <c r="N423">
        <f>IF(OR(計分!N423="",計分!$AP423=""),"",計分!$AP423-計分!N423)</f>
        <v/>
      </c>
      <c r="O423">
        <f>IF(OR(計分!O423="",計分!$AP423=""),"",計分!$AP423-計分!O423)</f>
        <v/>
      </c>
      <c r="P423">
        <f>IF(OR(計分!P423="",計分!$AP423=""),"",計分!$AP423-計分!P423)</f>
        <v/>
      </c>
      <c r="Q423">
        <f>IF(OR(計分!Q423="",計分!$AP423=""),"",計分!$AP423-計分!Q423)</f>
        <v/>
      </c>
      <c r="R423">
        <f>IF(OR(計分!R423="",計分!$AP423=""),"",計分!$AP423-計分!R423)</f>
        <v/>
      </c>
      <c r="S423">
        <f>IF(OR(計分!S423="",計分!$AP423=""),"",計分!$AP423-計分!S423)</f>
        <v/>
      </c>
      <c r="T423">
        <f>IF(OR(計分!T423="",計分!$AP423=""),"",計分!$AP423-計分!T423)</f>
        <v/>
      </c>
      <c r="U423">
        <f>IF(OR(計分!U423="",計分!$AP423=""),"",計分!$AP423-計分!U423)</f>
        <v/>
      </c>
      <c r="V423">
        <f>IF(OR(計分!V423="",計分!$AP423=""),"",計分!$AP423-計分!V423)</f>
        <v/>
      </c>
      <c r="W423">
        <f>IF(OR(計分!W423="",計分!$AP423=""),"",計分!$AP423-計分!W423)</f>
        <v/>
      </c>
      <c r="X423">
        <f>IF(OR(計分!X423="",計分!$AP423=""),"",計分!$AP423-計分!X423)</f>
        <v/>
      </c>
      <c r="Y423">
        <f>IF(OR(計分!Y423="",計分!$AP423=""),"",計分!$AP423-計分!Y423)</f>
        <v/>
      </c>
      <c r="Z423">
        <f>IF(OR(計分!Z423="",計分!$AP423=""),"",計分!$AP423-計分!Z423)</f>
        <v/>
      </c>
      <c r="AA423">
        <f>IF(OR(計分!AA423="",計分!$AP423=""),"",計分!$AP423-計分!AA423)</f>
        <v/>
      </c>
      <c r="AB423">
        <f>IF(OR(計分!AB423="",計分!$AP423=""),"",計分!$AP423-計分!AB423)</f>
        <v/>
      </c>
      <c r="AC423">
        <f>IF(OR(計分!AC423="",計分!$AP423=""),"",計分!$AP423-計分!AC423)</f>
        <v/>
      </c>
      <c r="AD423">
        <f>IF(OR(計分!AD423="",計分!$AP423=""),"",計分!$AP423-計分!AD423)</f>
        <v/>
      </c>
      <c r="AE423">
        <f>IF(OR(計分!AE423="",計分!$AP423=""),"",計分!$AP423-計分!AE423)</f>
        <v/>
      </c>
      <c r="AF423">
        <f>IF(OR(計分!AF423="",計分!$AP423=""),"",計分!$AP423-計分!AF423)</f>
        <v/>
      </c>
      <c r="AG423">
        <f>IF(OR(計分!AG423="",計分!$AP423=""),"",計分!$AP423-計分!AG423)</f>
        <v/>
      </c>
      <c r="AH423">
        <f>IF(OR(計分!AH423="",計分!$AP423=""),"",計分!$AP423-計分!AH423)</f>
        <v/>
      </c>
      <c r="AI423">
        <f>IF(OR(計分!AI423="",計分!$AP423=""),"",計分!$AP423-計分!AI423)</f>
        <v/>
      </c>
      <c r="AJ423">
        <f>IF(OR(計分!AJ423="",計分!$AP423=""),"",計分!$AP423-計分!AJ423)</f>
        <v/>
      </c>
      <c r="AK423">
        <f>IF(OR(計分!AK423="",計分!$AP423=""),"",計分!$AP423-計分!AK423)</f>
        <v/>
      </c>
      <c r="AL423">
        <f>IF(OR(計分!AL423="",計分!$AP423=""),"",計分!$AP423-計分!AL423)</f>
        <v/>
      </c>
      <c r="AM423">
        <f>IF(OR(計分!AM423="",計分!$AP423=""),"",計分!$AP423-計分!AM423)</f>
        <v/>
      </c>
      <c r="AN423">
        <f>IF(OR(計分!AN423="",計分!$AP423=""),"",計分!$AP423-計分!AN423)</f>
        <v/>
      </c>
      <c r="AO423">
        <f>IF(OR(計分!AO423="",計分!$AP423=""),"",計分!$AP423-計分!AO423)</f>
        <v/>
      </c>
    </row>
    <row r="424">
      <c r="A424">
        <f>計分!A424</f>
        <v/>
      </c>
      <c r="B424">
        <f>IF(OR(計分!B424="",計分!$AP424=""),"",計分!$AP424-計分!B424)</f>
        <v/>
      </c>
      <c r="C424">
        <f>IF(OR(計分!C424="",計分!$AP424=""),"",計分!$AP424-計分!C424)</f>
        <v/>
      </c>
      <c r="D424">
        <f>IF(OR(計分!D424="",計分!$AP424=""),"",計分!$AP424-計分!D424)</f>
        <v/>
      </c>
      <c r="E424">
        <f>IF(OR(計分!E424="",計分!$AP424=""),"",計分!$AP424-計分!E424)</f>
        <v/>
      </c>
      <c r="F424">
        <f>IF(OR(計分!F424="",計分!$AP424=""),"",計分!$AP424-計分!F424)</f>
        <v/>
      </c>
      <c r="G424">
        <f>IF(OR(計分!G424="",計分!$AP424=""),"",計分!$AP424-計分!G424)</f>
        <v/>
      </c>
      <c r="H424">
        <f>IF(OR(計分!H424="",計分!$AP424=""),"",計分!$AP424-計分!H424)</f>
        <v/>
      </c>
      <c r="I424">
        <f>IF(OR(計分!I424="",計分!$AP424=""),"",計分!$AP424-計分!I424)</f>
        <v/>
      </c>
      <c r="J424">
        <f>IF(OR(計分!J424="",計分!$AP424=""),"",計分!$AP424-計分!J424)</f>
        <v/>
      </c>
      <c r="K424">
        <f>IF(OR(計分!K424="",計分!$AP424=""),"",計分!$AP424-計分!K424)</f>
        <v/>
      </c>
      <c r="L424">
        <f>IF(OR(計分!L424="",計分!$AP424=""),"",計分!$AP424-計分!L424)</f>
        <v/>
      </c>
      <c r="M424">
        <f>IF(OR(計分!M424="",計分!$AP424=""),"",計分!$AP424-計分!M424)</f>
        <v/>
      </c>
      <c r="N424">
        <f>IF(OR(計分!N424="",計分!$AP424=""),"",計分!$AP424-計分!N424)</f>
        <v/>
      </c>
      <c r="O424">
        <f>IF(OR(計分!O424="",計分!$AP424=""),"",計分!$AP424-計分!O424)</f>
        <v/>
      </c>
      <c r="P424">
        <f>IF(OR(計分!P424="",計分!$AP424=""),"",計分!$AP424-計分!P424)</f>
        <v/>
      </c>
      <c r="Q424">
        <f>IF(OR(計分!Q424="",計分!$AP424=""),"",計分!$AP424-計分!Q424)</f>
        <v/>
      </c>
      <c r="R424">
        <f>IF(OR(計分!R424="",計分!$AP424=""),"",計分!$AP424-計分!R424)</f>
        <v/>
      </c>
      <c r="S424">
        <f>IF(OR(計分!S424="",計分!$AP424=""),"",計分!$AP424-計分!S424)</f>
        <v/>
      </c>
      <c r="T424">
        <f>IF(OR(計分!T424="",計分!$AP424=""),"",計分!$AP424-計分!T424)</f>
        <v/>
      </c>
      <c r="U424">
        <f>IF(OR(計分!U424="",計分!$AP424=""),"",計分!$AP424-計分!U424)</f>
        <v/>
      </c>
      <c r="V424">
        <f>IF(OR(計分!V424="",計分!$AP424=""),"",計分!$AP424-計分!V424)</f>
        <v/>
      </c>
      <c r="W424">
        <f>IF(OR(計分!W424="",計分!$AP424=""),"",計分!$AP424-計分!W424)</f>
        <v/>
      </c>
      <c r="X424">
        <f>IF(OR(計分!X424="",計分!$AP424=""),"",計分!$AP424-計分!X424)</f>
        <v/>
      </c>
      <c r="Y424">
        <f>IF(OR(計分!Y424="",計分!$AP424=""),"",計分!$AP424-計分!Y424)</f>
        <v/>
      </c>
      <c r="Z424">
        <f>IF(OR(計分!Z424="",計分!$AP424=""),"",計分!$AP424-計分!Z424)</f>
        <v/>
      </c>
      <c r="AA424">
        <f>IF(OR(計分!AA424="",計分!$AP424=""),"",計分!$AP424-計分!AA424)</f>
        <v/>
      </c>
      <c r="AB424">
        <f>IF(OR(計分!AB424="",計分!$AP424=""),"",計分!$AP424-計分!AB424)</f>
        <v/>
      </c>
      <c r="AC424">
        <f>IF(OR(計分!AC424="",計分!$AP424=""),"",計分!$AP424-計分!AC424)</f>
        <v/>
      </c>
      <c r="AD424">
        <f>IF(OR(計分!AD424="",計分!$AP424=""),"",計分!$AP424-計分!AD424)</f>
        <v/>
      </c>
      <c r="AE424">
        <f>IF(OR(計分!AE424="",計分!$AP424=""),"",計分!$AP424-計分!AE424)</f>
        <v/>
      </c>
      <c r="AF424">
        <f>IF(OR(計分!AF424="",計分!$AP424=""),"",計分!$AP424-計分!AF424)</f>
        <v/>
      </c>
      <c r="AG424">
        <f>IF(OR(計分!AG424="",計分!$AP424=""),"",計分!$AP424-計分!AG424)</f>
        <v/>
      </c>
      <c r="AH424">
        <f>IF(OR(計分!AH424="",計分!$AP424=""),"",計分!$AP424-計分!AH424)</f>
        <v/>
      </c>
      <c r="AI424">
        <f>IF(OR(計分!AI424="",計分!$AP424=""),"",計分!$AP424-計分!AI424)</f>
        <v/>
      </c>
      <c r="AJ424">
        <f>IF(OR(計分!AJ424="",計分!$AP424=""),"",計分!$AP424-計分!AJ424)</f>
        <v/>
      </c>
      <c r="AK424">
        <f>IF(OR(計分!AK424="",計分!$AP424=""),"",計分!$AP424-計分!AK424)</f>
        <v/>
      </c>
      <c r="AL424">
        <f>IF(OR(計分!AL424="",計分!$AP424=""),"",計分!$AP424-計分!AL424)</f>
        <v/>
      </c>
      <c r="AM424">
        <f>IF(OR(計分!AM424="",計分!$AP424=""),"",計分!$AP424-計分!AM424)</f>
        <v/>
      </c>
      <c r="AN424">
        <f>IF(OR(計分!AN424="",計分!$AP424=""),"",計分!$AP424-計分!AN424)</f>
        <v/>
      </c>
      <c r="AO424">
        <f>IF(OR(計分!AO424="",計分!$AP424=""),"",計分!$AP424-計分!AO424)</f>
        <v/>
      </c>
    </row>
    <row r="425">
      <c r="A425">
        <f>計分!A425</f>
        <v/>
      </c>
      <c r="B425">
        <f>IF(OR(計分!B425="",計分!$AP425=""),"",計分!$AP425-計分!B425)</f>
        <v/>
      </c>
      <c r="C425">
        <f>IF(OR(計分!C425="",計分!$AP425=""),"",計分!$AP425-計分!C425)</f>
        <v/>
      </c>
      <c r="D425">
        <f>IF(OR(計分!D425="",計分!$AP425=""),"",計分!$AP425-計分!D425)</f>
        <v/>
      </c>
      <c r="E425">
        <f>IF(OR(計分!E425="",計分!$AP425=""),"",計分!$AP425-計分!E425)</f>
        <v/>
      </c>
      <c r="F425">
        <f>IF(OR(計分!F425="",計分!$AP425=""),"",計分!$AP425-計分!F425)</f>
        <v/>
      </c>
      <c r="G425">
        <f>IF(OR(計分!G425="",計分!$AP425=""),"",計分!$AP425-計分!G425)</f>
        <v/>
      </c>
      <c r="H425">
        <f>IF(OR(計分!H425="",計分!$AP425=""),"",計分!$AP425-計分!H425)</f>
        <v/>
      </c>
      <c r="I425">
        <f>IF(OR(計分!I425="",計分!$AP425=""),"",計分!$AP425-計分!I425)</f>
        <v/>
      </c>
      <c r="J425">
        <f>IF(OR(計分!J425="",計分!$AP425=""),"",計分!$AP425-計分!J425)</f>
        <v/>
      </c>
      <c r="K425">
        <f>IF(OR(計分!K425="",計分!$AP425=""),"",計分!$AP425-計分!K425)</f>
        <v/>
      </c>
      <c r="L425">
        <f>IF(OR(計分!L425="",計分!$AP425=""),"",計分!$AP425-計分!L425)</f>
        <v/>
      </c>
      <c r="M425">
        <f>IF(OR(計分!M425="",計分!$AP425=""),"",計分!$AP425-計分!M425)</f>
        <v/>
      </c>
      <c r="N425">
        <f>IF(OR(計分!N425="",計分!$AP425=""),"",計分!$AP425-計分!N425)</f>
        <v/>
      </c>
      <c r="O425">
        <f>IF(OR(計分!O425="",計分!$AP425=""),"",計分!$AP425-計分!O425)</f>
        <v/>
      </c>
      <c r="P425">
        <f>IF(OR(計分!P425="",計分!$AP425=""),"",計分!$AP425-計分!P425)</f>
        <v/>
      </c>
      <c r="Q425">
        <f>IF(OR(計分!Q425="",計分!$AP425=""),"",計分!$AP425-計分!Q425)</f>
        <v/>
      </c>
      <c r="R425">
        <f>IF(OR(計分!R425="",計分!$AP425=""),"",計分!$AP425-計分!R425)</f>
        <v/>
      </c>
      <c r="S425">
        <f>IF(OR(計分!S425="",計分!$AP425=""),"",計分!$AP425-計分!S425)</f>
        <v/>
      </c>
      <c r="T425">
        <f>IF(OR(計分!T425="",計分!$AP425=""),"",計分!$AP425-計分!T425)</f>
        <v/>
      </c>
      <c r="U425">
        <f>IF(OR(計分!U425="",計分!$AP425=""),"",計分!$AP425-計分!U425)</f>
        <v/>
      </c>
      <c r="V425">
        <f>IF(OR(計分!V425="",計分!$AP425=""),"",計分!$AP425-計分!V425)</f>
        <v/>
      </c>
      <c r="W425">
        <f>IF(OR(計分!W425="",計分!$AP425=""),"",計分!$AP425-計分!W425)</f>
        <v/>
      </c>
      <c r="X425">
        <f>IF(OR(計分!X425="",計分!$AP425=""),"",計分!$AP425-計分!X425)</f>
        <v/>
      </c>
      <c r="Y425">
        <f>IF(OR(計分!Y425="",計分!$AP425=""),"",計分!$AP425-計分!Y425)</f>
        <v/>
      </c>
      <c r="Z425">
        <f>IF(OR(計分!Z425="",計分!$AP425=""),"",計分!$AP425-計分!Z425)</f>
        <v/>
      </c>
      <c r="AA425">
        <f>IF(OR(計分!AA425="",計分!$AP425=""),"",計分!$AP425-計分!AA425)</f>
        <v/>
      </c>
      <c r="AB425">
        <f>IF(OR(計分!AB425="",計分!$AP425=""),"",計分!$AP425-計分!AB425)</f>
        <v/>
      </c>
      <c r="AC425">
        <f>IF(OR(計分!AC425="",計分!$AP425=""),"",計分!$AP425-計分!AC425)</f>
        <v/>
      </c>
      <c r="AD425">
        <f>IF(OR(計分!AD425="",計分!$AP425=""),"",計分!$AP425-計分!AD425)</f>
        <v/>
      </c>
      <c r="AE425">
        <f>IF(OR(計分!AE425="",計分!$AP425=""),"",計分!$AP425-計分!AE425)</f>
        <v/>
      </c>
      <c r="AF425">
        <f>IF(OR(計分!AF425="",計分!$AP425=""),"",計分!$AP425-計分!AF425)</f>
        <v/>
      </c>
      <c r="AG425">
        <f>IF(OR(計分!AG425="",計分!$AP425=""),"",計分!$AP425-計分!AG425)</f>
        <v/>
      </c>
      <c r="AH425">
        <f>IF(OR(計分!AH425="",計分!$AP425=""),"",計分!$AP425-計分!AH425)</f>
        <v/>
      </c>
      <c r="AI425">
        <f>IF(OR(計分!AI425="",計分!$AP425=""),"",計分!$AP425-計分!AI425)</f>
        <v/>
      </c>
      <c r="AJ425">
        <f>IF(OR(計分!AJ425="",計分!$AP425=""),"",計分!$AP425-計分!AJ425)</f>
        <v/>
      </c>
      <c r="AK425">
        <f>IF(OR(計分!AK425="",計分!$AP425=""),"",計分!$AP425-計分!AK425)</f>
        <v/>
      </c>
      <c r="AL425">
        <f>IF(OR(計分!AL425="",計分!$AP425=""),"",計分!$AP425-計分!AL425)</f>
        <v/>
      </c>
      <c r="AM425">
        <f>IF(OR(計分!AM425="",計分!$AP425=""),"",計分!$AP425-計分!AM425)</f>
        <v/>
      </c>
      <c r="AN425">
        <f>IF(OR(計分!AN425="",計分!$AP425=""),"",計分!$AP425-計分!AN425)</f>
        <v/>
      </c>
      <c r="AO425">
        <f>IF(OR(計分!AO425="",計分!$AP425=""),"",計分!$AP425-計分!AO425)</f>
        <v/>
      </c>
    </row>
    <row r="426">
      <c r="A426">
        <f>計分!A426</f>
        <v/>
      </c>
      <c r="B426">
        <f>IF(OR(計分!B426="",計分!$AP426=""),"",計分!$AP426-計分!B426)</f>
        <v/>
      </c>
      <c r="C426">
        <f>IF(OR(計分!C426="",計分!$AP426=""),"",計分!$AP426-計分!C426)</f>
        <v/>
      </c>
      <c r="D426">
        <f>IF(OR(計分!D426="",計分!$AP426=""),"",計分!$AP426-計分!D426)</f>
        <v/>
      </c>
      <c r="E426">
        <f>IF(OR(計分!E426="",計分!$AP426=""),"",計分!$AP426-計分!E426)</f>
        <v/>
      </c>
      <c r="F426">
        <f>IF(OR(計分!F426="",計分!$AP426=""),"",計分!$AP426-計分!F426)</f>
        <v/>
      </c>
      <c r="G426">
        <f>IF(OR(計分!G426="",計分!$AP426=""),"",計分!$AP426-計分!G426)</f>
        <v/>
      </c>
      <c r="H426">
        <f>IF(OR(計分!H426="",計分!$AP426=""),"",計分!$AP426-計分!H426)</f>
        <v/>
      </c>
      <c r="I426">
        <f>IF(OR(計分!I426="",計分!$AP426=""),"",計分!$AP426-計分!I426)</f>
        <v/>
      </c>
      <c r="J426">
        <f>IF(OR(計分!J426="",計分!$AP426=""),"",計分!$AP426-計分!J426)</f>
        <v/>
      </c>
      <c r="K426">
        <f>IF(OR(計分!K426="",計分!$AP426=""),"",計分!$AP426-計分!K426)</f>
        <v/>
      </c>
      <c r="L426">
        <f>IF(OR(計分!L426="",計分!$AP426=""),"",計分!$AP426-計分!L426)</f>
        <v/>
      </c>
      <c r="M426">
        <f>IF(OR(計分!M426="",計分!$AP426=""),"",計分!$AP426-計分!M426)</f>
        <v/>
      </c>
      <c r="N426">
        <f>IF(OR(計分!N426="",計分!$AP426=""),"",計分!$AP426-計分!N426)</f>
        <v/>
      </c>
      <c r="O426">
        <f>IF(OR(計分!O426="",計分!$AP426=""),"",計分!$AP426-計分!O426)</f>
        <v/>
      </c>
      <c r="P426">
        <f>IF(OR(計分!P426="",計分!$AP426=""),"",計分!$AP426-計分!P426)</f>
        <v/>
      </c>
      <c r="Q426">
        <f>IF(OR(計分!Q426="",計分!$AP426=""),"",計分!$AP426-計分!Q426)</f>
        <v/>
      </c>
      <c r="R426">
        <f>IF(OR(計分!R426="",計分!$AP426=""),"",計分!$AP426-計分!R426)</f>
        <v/>
      </c>
      <c r="S426">
        <f>IF(OR(計分!S426="",計分!$AP426=""),"",計分!$AP426-計分!S426)</f>
        <v/>
      </c>
      <c r="T426">
        <f>IF(OR(計分!T426="",計分!$AP426=""),"",計分!$AP426-計分!T426)</f>
        <v/>
      </c>
      <c r="U426">
        <f>IF(OR(計分!U426="",計分!$AP426=""),"",計分!$AP426-計分!U426)</f>
        <v/>
      </c>
      <c r="V426">
        <f>IF(OR(計分!V426="",計分!$AP426=""),"",計分!$AP426-計分!V426)</f>
        <v/>
      </c>
      <c r="W426">
        <f>IF(OR(計分!W426="",計分!$AP426=""),"",計分!$AP426-計分!W426)</f>
        <v/>
      </c>
      <c r="X426">
        <f>IF(OR(計分!X426="",計分!$AP426=""),"",計分!$AP426-計分!X426)</f>
        <v/>
      </c>
      <c r="Y426">
        <f>IF(OR(計分!Y426="",計分!$AP426=""),"",計分!$AP426-計分!Y426)</f>
        <v/>
      </c>
      <c r="Z426">
        <f>IF(OR(計分!Z426="",計分!$AP426=""),"",計分!$AP426-計分!Z426)</f>
        <v/>
      </c>
      <c r="AA426">
        <f>IF(OR(計分!AA426="",計分!$AP426=""),"",計分!$AP426-計分!AA426)</f>
        <v/>
      </c>
      <c r="AB426">
        <f>IF(OR(計分!AB426="",計分!$AP426=""),"",計分!$AP426-計分!AB426)</f>
        <v/>
      </c>
      <c r="AC426">
        <f>IF(OR(計分!AC426="",計分!$AP426=""),"",計分!$AP426-計分!AC426)</f>
        <v/>
      </c>
      <c r="AD426">
        <f>IF(OR(計分!AD426="",計分!$AP426=""),"",計分!$AP426-計分!AD426)</f>
        <v/>
      </c>
      <c r="AE426">
        <f>IF(OR(計分!AE426="",計分!$AP426=""),"",計分!$AP426-計分!AE426)</f>
        <v/>
      </c>
      <c r="AF426">
        <f>IF(OR(計分!AF426="",計分!$AP426=""),"",計分!$AP426-計分!AF426)</f>
        <v/>
      </c>
      <c r="AG426">
        <f>IF(OR(計分!AG426="",計分!$AP426=""),"",計分!$AP426-計分!AG426)</f>
        <v/>
      </c>
      <c r="AH426">
        <f>IF(OR(計分!AH426="",計分!$AP426=""),"",計分!$AP426-計分!AH426)</f>
        <v/>
      </c>
      <c r="AI426">
        <f>IF(OR(計分!AI426="",計分!$AP426=""),"",計分!$AP426-計分!AI426)</f>
        <v/>
      </c>
      <c r="AJ426">
        <f>IF(OR(計分!AJ426="",計分!$AP426=""),"",計分!$AP426-計分!AJ426)</f>
        <v/>
      </c>
      <c r="AK426">
        <f>IF(OR(計分!AK426="",計分!$AP426=""),"",計分!$AP426-計分!AK426)</f>
        <v/>
      </c>
      <c r="AL426">
        <f>IF(OR(計分!AL426="",計分!$AP426=""),"",計分!$AP426-計分!AL426)</f>
        <v/>
      </c>
      <c r="AM426">
        <f>IF(OR(計分!AM426="",計分!$AP426=""),"",計分!$AP426-計分!AM426)</f>
        <v/>
      </c>
      <c r="AN426">
        <f>IF(OR(計分!AN426="",計分!$AP426=""),"",計分!$AP426-計分!AN426)</f>
        <v/>
      </c>
      <c r="AO426">
        <f>IF(OR(計分!AO426="",計分!$AP426=""),"",計分!$AP426-計分!AO426)</f>
        <v/>
      </c>
    </row>
    <row r="427">
      <c r="A427">
        <f>計分!A427</f>
        <v/>
      </c>
      <c r="B427">
        <f>IF(OR(計分!B427="",計分!$AP427=""),"",計分!$AP427-計分!B427)</f>
        <v/>
      </c>
      <c r="C427">
        <f>IF(OR(計分!C427="",計分!$AP427=""),"",計分!$AP427-計分!C427)</f>
        <v/>
      </c>
      <c r="D427">
        <f>IF(OR(計分!D427="",計分!$AP427=""),"",計分!$AP427-計分!D427)</f>
        <v/>
      </c>
      <c r="E427">
        <f>IF(OR(計分!E427="",計分!$AP427=""),"",計分!$AP427-計分!E427)</f>
        <v/>
      </c>
      <c r="F427">
        <f>IF(OR(計分!F427="",計分!$AP427=""),"",計分!$AP427-計分!F427)</f>
        <v/>
      </c>
      <c r="G427">
        <f>IF(OR(計分!G427="",計分!$AP427=""),"",計分!$AP427-計分!G427)</f>
        <v/>
      </c>
      <c r="H427">
        <f>IF(OR(計分!H427="",計分!$AP427=""),"",計分!$AP427-計分!H427)</f>
        <v/>
      </c>
      <c r="I427">
        <f>IF(OR(計分!I427="",計分!$AP427=""),"",計分!$AP427-計分!I427)</f>
        <v/>
      </c>
      <c r="J427">
        <f>IF(OR(計分!J427="",計分!$AP427=""),"",計分!$AP427-計分!J427)</f>
        <v/>
      </c>
      <c r="K427">
        <f>IF(OR(計分!K427="",計分!$AP427=""),"",計分!$AP427-計分!K427)</f>
        <v/>
      </c>
      <c r="L427">
        <f>IF(OR(計分!L427="",計分!$AP427=""),"",計分!$AP427-計分!L427)</f>
        <v/>
      </c>
      <c r="M427">
        <f>IF(OR(計分!M427="",計分!$AP427=""),"",計分!$AP427-計分!M427)</f>
        <v/>
      </c>
      <c r="N427">
        <f>IF(OR(計分!N427="",計分!$AP427=""),"",計分!$AP427-計分!N427)</f>
        <v/>
      </c>
      <c r="O427">
        <f>IF(OR(計分!O427="",計分!$AP427=""),"",計分!$AP427-計分!O427)</f>
        <v/>
      </c>
      <c r="P427">
        <f>IF(OR(計分!P427="",計分!$AP427=""),"",計分!$AP427-計分!P427)</f>
        <v/>
      </c>
      <c r="Q427">
        <f>IF(OR(計分!Q427="",計分!$AP427=""),"",計分!$AP427-計分!Q427)</f>
        <v/>
      </c>
      <c r="R427">
        <f>IF(OR(計分!R427="",計分!$AP427=""),"",計分!$AP427-計分!R427)</f>
        <v/>
      </c>
      <c r="S427">
        <f>IF(OR(計分!S427="",計分!$AP427=""),"",計分!$AP427-計分!S427)</f>
        <v/>
      </c>
      <c r="T427">
        <f>IF(OR(計分!T427="",計分!$AP427=""),"",計分!$AP427-計分!T427)</f>
        <v/>
      </c>
      <c r="U427">
        <f>IF(OR(計分!U427="",計分!$AP427=""),"",計分!$AP427-計分!U427)</f>
        <v/>
      </c>
      <c r="V427">
        <f>IF(OR(計分!V427="",計分!$AP427=""),"",計分!$AP427-計分!V427)</f>
        <v/>
      </c>
      <c r="W427">
        <f>IF(OR(計分!W427="",計分!$AP427=""),"",計分!$AP427-計分!W427)</f>
        <v/>
      </c>
      <c r="X427">
        <f>IF(OR(計分!X427="",計分!$AP427=""),"",計分!$AP427-計分!X427)</f>
        <v/>
      </c>
      <c r="Y427">
        <f>IF(OR(計分!Y427="",計分!$AP427=""),"",計分!$AP427-計分!Y427)</f>
        <v/>
      </c>
      <c r="Z427">
        <f>IF(OR(計分!Z427="",計分!$AP427=""),"",計分!$AP427-計分!Z427)</f>
        <v/>
      </c>
      <c r="AA427">
        <f>IF(OR(計分!AA427="",計分!$AP427=""),"",計分!$AP427-計分!AA427)</f>
        <v/>
      </c>
      <c r="AB427">
        <f>IF(OR(計分!AB427="",計分!$AP427=""),"",計分!$AP427-計分!AB427)</f>
        <v/>
      </c>
      <c r="AC427">
        <f>IF(OR(計分!AC427="",計分!$AP427=""),"",計分!$AP427-計分!AC427)</f>
        <v/>
      </c>
      <c r="AD427">
        <f>IF(OR(計分!AD427="",計分!$AP427=""),"",計分!$AP427-計分!AD427)</f>
        <v/>
      </c>
      <c r="AE427">
        <f>IF(OR(計分!AE427="",計分!$AP427=""),"",計分!$AP427-計分!AE427)</f>
        <v/>
      </c>
      <c r="AF427">
        <f>IF(OR(計分!AF427="",計分!$AP427=""),"",計分!$AP427-計分!AF427)</f>
        <v/>
      </c>
      <c r="AG427">
        <f>IF(OR(計分!AG427="",計分!$AP427=""),"",計分!$AP427-計分!AG427)</f>
        <v/>
      </c>
      <c r="AH427">
        <f>IF(OR(計分!AH427="",計分!$AP427=""),"",計分!$AP427-計分!AH427)</f>
        <v/>
      </c>
      <c r="AI427">
        <f>IF(OR(計分!AI427="",計分!$AP427=""),"",計分!$AP427-計分!AI427)</f>
        <v/>
      </c>
      <c r="AJ427">
        <f>IF(OR(計分!AJ427="",計分!$AP427=""),"",計分!$AP427-計分!AJ427)</f>
        <v/>
      </c>
      <c r="AK427">
        <f>IF(OR(計分!AK427="",計分!$AP427=""),"",計分!$AP427-計分!AK427)</f>
        <v/>
      </c>
      <c r="AL427">
        <f>IF(OR(計分!AL427="",計分!$AP427=""),"",計分!$AP427-計分!AL427)</f>
        <v/>
      </c>
      <c r="AM427">
        <f>IF(OR(計分!AM427="",計分!$AP427=""),"",計分!$AP427-計分!AM427)</f>
        <v/>
      </c>
      <c r="AN427">
        <f>IF(OR(計分!AN427="",計分!$AP427=""),"",計分!$AP427-計分!AN427)</f>
        <v/>
      </c>
      <c r="AO427">
        <f>IF(OR(計分!AO427="",計分!$AP427=""),"",計分!$AP427-計分!AO427)</f>
        <v/>
      </c>
    </row>
    <row r="428">
      <c r="A428">
        <f>計分!A428</f>
        <v/>
      </c>
      <c r="B428">
        <f>IF(OR(計分!B428="",計分!$AP428=""),"",計分!$AP428-計分!B428)</f>
        <v/>
      </c>
      <c r="C428">
        <f>IF(OR(計分!C428="",計分!$AP428=""),"",計分!$AP428-計分!C428)</f>
        <v/>
      </c>
      <c r="D428">
        <f>IF(OR(計分!D428="",計分!$AP428=""),"",計分!$AP428-計分!D428)</f>
        <v/>
      </c>
      <c r="E428">
        <f>IF(OR(計分!E428="",計分!$AP428=""),"",計分!$AP428-計分!E428)</f>
        <v/>
      </c>
      <c r="F428">
        <f>IF(OR(計分!F428="",計分!$AP428=""),"",計分!$AP428-計分!F428)</f>
        <v/>
      </c>
      <c r="G428">
        <f>IF(OR(計分!G428="",計分!$AP428=""),"",計分!$AP428-計分!G428)</f>
        <v/>
      </c>
      <c r="H428">
        <f>IF(OR(計分!H428="",計分!$AP428=""),"",計分!$AP428-計分!H428)</f>
        <v/>
      </c>
      <c r="I428">
        <f>IF(OR(計分!I428="",計分!$AP428=""),"",計分!$AP428-計分!I428)</f>
        <v/>
      </c>
      <c r="J428">
        <f>IF(OR(計分!J428="",計分!$AP428=""),"",計分!$AP428-計分!J428)</f>
        <v/>
      </c>
      <c r="K428">
        <f>IF(OR(計分!K428="",計分!$AP428=""),"",計分!$AP428-計分!K428)</f>
        <v/>
      </c>
      <c r="L428">
        <f>IF(OR(計分!L428="",計分!$AP428=""),"",計分!$AP428-計分!L428)</f>
        <v/>
      </c>
      <c r="M428">
        <f>IF(OR(計分!M428="",計分!$AP428=""),"",計分!$AP428-計分!M428)</f>
        <v/>
      </c>
      <c r="N428">
        <f>IF(OR(計分!N428="",計分!$AP428=""),"",計分!$AP428-計分!N428)</f>
        <v/>
      </c>
      <c r="O428">
        <f>IF(OR(計分!O428="",計分!$AP428=""),"",計分!$AP428-計分!O428)</f>
        <v/>
      </c>
      <c r="P428">
        <f>IF(OR(計分!P428="",計分!$AP428=""),"",計分!$AP428-計分!P428)</f>
        <v/>
      </c>
      <c r="Q428">
        <f>IF(OR(計分!Q428="",計分!$AP428=""),"",計分!$AP428-計分!Q428)</f>
        <v/>
      </c>
      <c r="R428">
        <f>IF(OR(計分!R428="",計分!$AP428=""),"",計分!$AP428-計分!R428)</f>
        <v/>
      </c>
      <c r="S428">
        <f>IF(OR(計分!S428="",計分!$AP428=""),"",計分!$AP428-計分!S428)</f>
        <v/>
      </c>
      <c r="T428">
        <f>IF(OR(計分!T428="",計分!$AP428=""),"",計分!$AP428-計分!T428)</f>
        <v/>
      </c>
      <c r="U428">
        <f>IF(OR(計分!U428="",計分!$AP428=""),"",計分!$AP428-計分!U428)</f>
        <v/>
      </c>
      <c r="V428">
        <f>IF(OR(計分!V428="",計分!$AP428=""),"",計分!$AP428-計分!V428)</f>
        <v/>
      </c>
      <c r="W428">
        <f>IF(OR(計分!W428="",計分!$AP428=""),"",計分!$AP428-計分!W428)</f>
        <v/>
      </c>
      <c r="X428">
        <f>IF(OR(計分!X428="",計分!$AP428=""),"",計分!$AP428-計分!X428)</f>
        <v/>
      </c>
      <c r="Y428">
        <f>IF(OR(計分!Y428="",計分!$AP428=""),"",計分!$AP428-計分!Y428)</f>
        <v/>
      </c>
      <c r="Z428">
        <f>IF(OR(計分!Z428="",計分!$AP428=""),"",計分!$AP428-計分!Z428)</f>
        <v/>
      </c>
      <c r="AA428">
        <f>IF(OR(計分!AA428="",計分!$AP428=""),"",計分!$AP428-計分!AA428)</f>
        <v/>
      </c>
      <c r="AB428">
        <f>IF(OR(計分!AB428="",計分!$AP428=""),"",計分!$AP428-計分!AB428)</f>
        <v/>
      </c>
      <c r="AC428">
        <f>IF(OR(計分!AC428="",計分!$AP428=""),"",計分!$AP428-計分!AC428)</f>
        <v/>
      </c>
      <c r="AD428">
        <f>IF(OR(計分!AD428="",計分!$AP428=""),"",計分!$AP428-計分!AD428)</f>
        <v/>
      </c>
      <c r="AE428">
        <f>IF(OR(計分!AE428="",計分!$AP428=""),"",計分!$AP428-計分!AE428)</f>
        <v/>
      </c>
      <c r="AF428">
        <f>IF(OR(計分!AF428="",計分!$AP428=""),"",計分!$AP428-計分!AF428)</f>
        <v/>
      </c>
      <c r="AG428">
        <f>IF(OR(計分!AG428="",計分!$AP428=""),"",計分!$AP428-計分!AG428)</f>
        <v/>
      </c>
      <c r="AH428">
        <f>IF(OR(計分!AH428="",計分!$AP428=""),"",計分!$AP428-計分!AH428)</f>
        <v/>
      </c>
      <c r="AI428">
        <f>IF(OR(計分!AI428="",計分!$AP428=""),"",計分!$AP428-計分!AI428)</f>
        <v/>
      </c>
      <c r="AJ428">
        <f>IF(OR(計分!AJ428="",計分!$AP428=""),"",計分!$AP428-計分!AJ428)</f>
        <v/>
      </c>
      <c r="AK428">
        <f>IF(OR(計分!AK428="",計分!$AP428=""),"",計分!$AP428-計分!AK428)</f>
        <v/>
      </c>
      <c r="AL428">
        <f>IF(OR(計分!AL428="",計分!$AP428=""),"",計分!$AP428-計分!AL428)</f>
        <v/>
      </c>
      <c r="AM428">
        <f>IF(OR(計分!AM428="",計分!$AP428=""),"",計分!$AP428-計分!AM428)</f>
        <v/>
      </c>
      <c r="AN428">
        <f>IF(OR(計分!AN428="",計分!$AP428=""),"",計分!$AP428-計分!AN428)</f>
        <v/>
      </c>
      <c r="AO428">
        <f>IF(OR(計分!AO428="",計分!$AP428=""),"",計分!$AP428-計分!AO428)</f>
        <v/>
      </c>
    </row>
    <row r="429">
      <c r="A429">
        <f>計分!A429</f>
        <v/>
      </c>
      <c r="B429">
        <f>IF(OR(計分!B429="",計分!$AP429=""),"",計分!$AP429-計分!B429)</f>
        <v/>
      </c>
      <c r="C429">
        <f>IF(OR(計分!C429="",計分!$AP429=""),"",計分!$AP429-計分!C429)</f>
        <v/>
      </c>
      <c r="D429">
        <f>IF(OR(計分!D429="",計分!$AP429=""),"",計分!$AP429-計分!D429)</f>
        <v/>
      </c>
      <c r="E429">
        <f>IF(OR(計分!E429="",計分!$AP429=""),"",計分!$AP429-計分!E429)</f>
        <v/>
      </c>
      <c r="F429">
        <f>IF(OR(計分!F429="",計分!$AP429=""),"",計分!$AP429-計分!F429)</f>
        <v/>
      </c>
      <c r="G429">
        <f>IF(OR(計分!G429="",計分!$AP429=""),"",計分!$AP429-計分!G429)</f>
        <v/>
      </c>
      <c r="H429">
        <f>IF(OR(計分!H429="",計分!$AP429=""),"",計分!$AP429-計分!H429)</f>
        <v/>
      </c>
      <c r="I429">
        <f>IF(OR(計分!I429="",計分!$AP429=""),"",計分!$AP429-計分!I429)</f>
        <v/>
      </c>
      <c r="J429">
        <f>IF(OR(計分!J429="",計分!$AP429=""),"",計分!$AP429-計分!J429)</f>
        <v/>
      </c>
      <c r="K429">
        <f>IF(OR(計分!K429="",計分!$AP429=""),"",計分!$AP429-計分!K429)</f>
        <v/>
      </c>
      <c r="L429">
        <f>IF(OR(計分!L429="",計分!$AP429=""),"",計分!$AP429-計分!L429)</f>
        <v/>
      </c>
      <c r="M429">
        <f>IF(OR(計分!M429="",計分!$AP429=""),"",計分!$AP429-計分!M429)</f>
        <v/>
      </c>
      <c r="N429">
        <f>IF(OR(計分!N429="",計分!$AP429=""),"",計分!$AP429-計分!N429)</f>
        <v/>
      </c>
      <c r="O429">
        <f>IF(OR(計分!O429="",計分!$AP429=""),"",計分!$AP429-計分!O429)</f>
        <v/>
      </c>
      <c r="P429">
        <f>IF(OR(計分!P429="",計分!$AP429=""),"",計分!$AP429-計分!P429)</f>
        <v/>
      </c>
      <c r="Q429">
        <f>IF(OR(計分!Q429="",計分!$AP429=""),"",計分!$AP429-計分!Q429)</f>
        <v/>
      </c>
      <c r="R429">
        <f>IF(OR(計分!R429="",計分!$AP429=""),"",計分!$AP429-計分!R429)</f>
        <v/>
      </c>
      <c r="S429">
        <f>IF(OR(計分!S429="",計分!$AP429=""),"",計分!$AP429-計分!S429)</f>
        <v/>
      </c>
      <c r="T429">
        <f>IF(OR(計分!T429="",計分!$AP429=""),"",計分!$AP429-計分!T429)</f>
        <v/>
      </c>
      <c r="U429">
        <f>IF(OR(計分!U429="",計分!$AP429=""),"",計分!$AP429-計分!U429)</f>
        <v/>
      </c>
      <c r="V429">
        <f>IF(OR(計分!V429="",計分!$AP429=""),"",計分!$AP429-計分!V429)</f>
        <v/>
      </c>
      <c r="W429">
        <f>IF(OR(計分!W429="",計分!$AP429=""),"",計分!$AP429-計分!W429)</f>
        <v/>
      </c>
      <c r="X429">
        <f>IF(OR(計分!X429="",計分!$AP429=""),"",計分!$AP429-計分!X429)</f>
        <v/>
      </c>
      <c r="Y429">
        <f>IF(OR(計分!Y429="",計分!$AP429=""),"",計分!$AP429-計分!Y429)</f>
        <v/>
      </c>
      <c r="Z429">
        <f>IF(OR(計分!Z429="",計分!$AP429=""),"",計分!$AP429-計分!Z429)</f>
        <v/>
      </c>
      <c r="AA429">
        <f>IF(OR(計分!AA429="",計分!$AP429=""),"",計分!$AP429-計分!AA429)</f>
        <v/>
      </c>
      <c r="AB429">
        <f>IF(OR(計分!AB429="",計分!$AP429=""),"",計分!$AP429-計分!AB429)</f>
        <v/>
      </c>
      <c r="AC429">
        <f>IF(OR(計分!AC429="",計分!$AP429=""),"",計分!$AP429-計分!AC429)</f>
        <v/>
      </c>
      <c r="AD429">
        <f>IF(OR(計分!AD429="",計分!$AP429=""),"",計分!$AP429-計分!AD429)</f>
        <v/>
      </c>
      <c r="AE429">
        <f>IF(OR(計分!AE429="",計分!$AP429=""),"",計分!$AP429-計分!AE429)</f>
        <v/>
      </c>
      <c r="AF429">
        <f>IF(OR(計分!AF429="",計分!$AP429=""),"",計分!$AP429-計分!AF429)</f>
        <v/>
      </c>
      <c r="AG429">
        <f>IF(OR(計分!AG429="",計分!$AP429=""),"",計分!$AP429-計分!AG429)</f>
        <v/>
      </c>
      <c r="AH429">
        <f>IF(OR(計分!AH429="",計分!$AP429=""),"",計分!$AP429-計分!AH429)</f>
        <v/>
      </c>
      <c r="AI429">
        <f>IF(OR(計分!AI429="",計分!$AP429=""),"",計分!$AP429-計分!AI429)</f>
        <v/>
      </c>
      <c r="AJ429">
        <f>IF(OR(計分!AJ429="",計分!$AP429=""),"",計分!$AP429-計分!AJ429)</f>
        <v/>
      </c>
      <c r="AK429">
        <f>IF(OR(計分!AK429="",計分!$AP429=""),"",計分!$AP429-計分!AK429)</f>
        <v/>
      </c>
      <c r="AL429">
        <f>IF(OR(計分!AL429="",計分!$AP429=""),"",計分!$AP429-計分!AL429)</f>
        <v/>
      </c>
      <c r="AM429">
        <f>IF(OR(計分!AM429="",計分!$AP429=""),"",計分!$AP429-計分!AM429)</f>
        <v/>
      </c>
      <c r="AN429">
        <f>IF(OR(計分!AN429="",計分!$AP429=""),"",計分!$AP429-計分!AN429)</f>
        <v/>
      </c>
      <c r="AO429">
        <f>IF(OR(計分!AO429="",計分!$AP429=""),"",計分!$AP429-計分!AO429)</f>
        <v/>
      </c>
    </row>
    <row r="430">
      <c r="A430">
        <f>計分!A430</f>
        <v/>
      </c>
      <c r="B430">
        <f>IF(OR(計分!B430="",計分!$AP430=""),"",計分!$AP430-計分!B430)</f>
        <v/>
      </c>
      <c r="C430">
        <f>IF(OR(計分!C430="",計分!$AP430=""),"",計分!$AP430-計分!C430)</f>
        <v/>
      </c>
      <c r="D430">
        <f>IF(OR(計分!D430="",計分!$AP430=""),"",計分!$AP430-計分!D430)</f>
        <v/>
      </c>
      <c r="E430">
        <f>IF(OR(計分!E430="",計分!$AP430=""),"",計分!$AP430-計分!E430)</f>
        <v/>
      </c>
      <c r="F430">
        <f>IF(OR(計分!F430="",計分!$AP430=""),"",計分!$AP430-計分!F430)</f>
        <v/>
      </c>
      <c r="G430">
        <f>IF(OR(計分!G430="",計分!$AP430=""),"",計分!$AP430-計分!G430)</f>
        <v/>
      </c>
      <c r="H430">
        <f>IF(OR(計分!H430="",計分!$AP430=""),"",計分!$AP430-計分!H430)</f>
        <v/>
      </c>
      <c r="I430">
        <f>IF(OR(計分!I430="",計分!$AP430=""),"",計分!$AP430-計分!I430)</f>
        <v/>
      </c>
      <c r="J430">
        <f>IF(OR(計分!J430="",計分!$AP430=""),"",計分!$AP430-計分!J430)</f>
        <v/>
      </c>
      <c r="K430">
        <f>IF(OR(計分!K430="",計分!$AP430=""),"",計分!$AP430-計分!K430)</f>
        <v/>
      </c>
      <c r="L430">
        <f>IF(OR(計分!L430="",計分!$AP430=""),"",計分!$AP430-計分!L430)</f>
        <v/>
      </c>
      <c r="M430">
        <f>IF(OR(計分!M430="",計分!$AP430=""),"",計分!$AP430-計分!M430)</f>
        <v/>
      </c>
      <c r="N430">
        <f>IF(OR(計分!N430="",計分!$AP430=""),"",計分!$AP430-計分!N430)</f>
        <v/>
      </c>
      <c r="O430">
        <f>IF(OR(計分!O430="",計分!$AP430=""),"",計分!$AP430-計分!O430)</f>
        <v/>
      </c>
      <c r="P430">
        <f>IF(OR(計分!P430="",計分!$AP430=""),"",計分!$AP430-計分!P430)</f>
        <v/>
      </c>
      <c r="Q430">
        <f>IF(OR(計分!Q430="",計分!$AP430=""),"",計分!$AP430-計分!Q430)</f>
        <v/>
      </c>
      <c r="R430">
        <f>IF(OR(計分!R430="",計分!$AP430=""),"",計分!$AP430-計分!R430)</f>
        <v/>
      </c>
      <c r="S430">
        <f>IF(OR(計分!S430="",計分!$AP430=""),"",計分!$AP430-計分!S430)</f>
        <v/>
      </c>
      <c r="T430">
        <f>IF(OR(計分!T430="",計分!$AP430=""),"",計分!$AP430-計分!T430)</f>
        <v/>
      </c>
      <c r="U430">
        <f>IF(OR(計分!U430="",計分!$AP430=""),"",計分!$AP430-計分!U430)</f>
        <v/>
      </c>
      <c r="V430">
        <f>IF(OR(計分!V430="",計分!$AP430=""),"",計分!$AP430-計分!V430)</f>
        <v/>
      </c>
      <c r="W430">
        <f>IF(OR(計分!W430="",計分!$AP430=""),"",計分!$AP430-計分!W430)</f>
        <v/>
      </c>
      <c r="X430">
        <f>IF(OR(計分!X430="",計分!$AP430=""),"",計分!$AP430-計分!X430)</f>
        <v/>
      </c>
      <c r="Y430">
        <f>IF(OR(計分!Y430="",計分!$AP430=""),"",計分!$AP430-計分!Y430)</f>
        <v/>
      </c>
      <c r="Z430">
        <f>IF(OR(計分!Z430="",計分!$AP430=""),"",計分!$AP430-計分!Z430)</f>
        <v/>
      </c>
      <c r="AA430">
        <f>IF(OR(計分!AA430="",計分!$AP430=""),"",計分!$AP430-計分!AA430)</f>
        <v/>
      </c>
      <c r="AB430">
        <f>IF(OR(計分!AB430="",計分!$AP430=""),"",計分!$AP430-計分!AB430)</f>
        <v/>
      </c>
      <c r="AC430">
        <f>IF(OR(計分!AC430="",計分!$AP430=""),"",計分!$AP430-計分!AC430)</f>
        <v/>
      </c>
      <c r="AD430">
        <f>IF(OR(計分!AD430="",計分!$AP430=""),"",計分!$AP430-計分!AD430)</f>
        <v/>
      </c>
      <c r="AE430">
        <f>IF(OR(計分!AE430="",計分!$AP430=""),"",計分!$AP430-計分!AE430)</f>
        <v/>
      </c>
      <c r="AF430">
        <f>IF(OR(計分!AF430="",計分!$AP430=""),"",計分!$AP430-計分!AF430)</f>
        <v/>
      </c>
      <c r="AG430">
        <f>IF(OR(計分!AG430="",計分!$AP430=""),"",計分!$AP430-計分!AG430)</f>
        <v/>
      </c>
      <c r="AH430">
        <f>IF(OR(計分!AH430="",計分!$AP430=""),"",計分!$AP430-計分!AH430)</f>
        <v/>
      </c>
      <c r="AI430">
        <f>IF(OR(計分!AI430="",計分!$AP430=""),"",計分!$AP430-計分!AI430)</f>
        <v/>
      </c>
      <c r="AJ430">
        <f>IF(OR(計分!AJ430="",計分!$AP430=""),"",計分!$AP430-計分!AJ430)</f>
        <v/>
      </c>
      <c r="AK430">
        <f>IF(OR(計分!AK430="",計分!$AP430=""),"",計分!$AP430-計分!AK430)</f>
        <v/>
      </c>
      <c r="AL430">
        <f>IF(OR(計分!AL430="",計分!$AP430=""),"",計分!$AP430-計分!AL430)</f>
        <v/>
      </c>
      <c r="AM430">
        <f>IF(OR(計分!AM430="",計分!$AP430=""),"",計分!$AP430-計分!AM430)</f>
        <v/>
      </c>
      <c r="AN430">
        <f>IF(OR(計分!AN430="",計分!$AP430=""),"",計分!$AP430-計分!AN430)</f>
        <v/>
      </c>
      <c r="AO430">
        <f>IF(OR(計分!AO430="",計分!$AP430=""),"",計分!$AP430-計分!AO430)</f>
        <v/>
      </c>
    </row>
    <row r="431">
      <c r="A431">
        <f>計分!A431</f>
        <v/>
      </c>
      <c r="B431">
        <f>IF(OR(計分!B431="",計分!$AP431=""),"",計分!$AP431-計分!B431)</f>
        <v/>
      </c>
      <c r="C431">
        <f>IF(OR(計分!C431="",計分!$AP431=""),"",計分!$AP431-計分!C431)</f>
        <v/>
      </c>
      <c r="D431">
        <f>IF(OR(計分!D431="",計分!$AP431=""),"",計分!$AP431-計分!D431)</f>
        <v/>
      </c>
      <c r="E431">
        <f>IF(OR(計分!E431="",計分!$AP431=""),"",計分!$AP431-計分!E431)</f>
        <v/>
      </c>
      <c r="F431">
        <f>IF(OR(計分!F431="",計分!$AP431=""),"",計分!$AP431-計分!F431)</f>
        <v/>
      </c>
      <c r="G431">
        <f>IF(OR(計分!G431="",計分!$AP431=""),"",計分!$AP431-計分!G431)</f>
        <v/>
      </c>
      <c r="H431">
        <f>IF(OR(計分!H431="",計分!$AP431=""),"",計分!$AP431-計分!H431)</f>
        <v/>
      </c>
      <c r="I431">
        <f>IF(OR(計分!I431="",計分!$AP431=""),"",計分!$AP431-計分!I431)</f>
        <v/>
      </c>
      <c r="J431">
        <f>IF(OR(計分!J431="",計分!$AP431=""),"",計分!$AP431-計分!J431)</f>
        <v/>
      </c>
      <c r="K431">
        <f>IF(OR(計分!K431="",計分!$AP431=""),"",計分!$AP431-計分!K431)</f>
        <v/>
      </c>
      <c r="L431">
        <f>IF(OR(計分!L431="",計分!$AP431=""),"",計分!$AP431-計分!L431)</f>
        <v/>
      </c>
      <c r="M431">
        <f>IF(OR(計分!M431="",計分!$AP431=""),"",計分!$AP431-計分!M431)</f>
        <v/>
      </c>
      <c r="N431">
        <f>IF(OR(計分!N431="",計分!$AP431=""),"",計分!$AP431-計分!N431)</f>
        <v/>
      </c>
      <c r="O431">
        <f>IF(OR(計分!O431="",計分!$AP431=""),"",計分!$AP431-計分!O431)</f>
        <v/>
      </c>
      <c r="P431">
        <f>IF(OR(計分!P431="",計分!$AP431=""),"",計分!$AP431-計分!P431)</f>
        <v/>
      </c>
      <c r="Q431">
        <f>IF(OR(計分!Q431="",計分!$AP431=""),"",計分!$AP431-計分!Q431)</f>
        <v/>
      </c>
      <c r="R431">
        <f>IF(OR(計分!R431="",計分!$AP431=""),"",計分!$AP431-計分!R431)</f>
        <v/>
      </c>
      <c r="S431">
        <f>IF(OR(計分!S431="",計分!$AP431=""),"",計分!$AP431-計分!S431)</f>
        <v/>
      </c>
      <c r="T431">
        <f>IF(OR(計分!T431="",計分!$AP431=""),"",計分!$AP431-計分!T431)</f>
        <v/>
      </c>
      <c r="U431">
        <f>IF(OR(計分!U431="",計分!$AP431=""),"",計分!$AP431-計分!U431)</f>
        <v/>
      </c>
      <c r="V431">
        <f>IF(OR(計分!V431="",計分!$AP431=""),"",計分!$AP431-計分!V431)</f>
        <v/>
      </c>
      <c r="W431">
        <f>IF(OR(計分!W431="",計分!$AP431=""),"",計分!$AP431-計分!W431)</f>
        <v/>
      </c>
      <c r="X431">
        <f>IF(OR(計分!X431="",計分!$AP431=""),"",計分!$AP431-計分!X431)</f>
        <v/>
      </c>
      <c r="Y431">
        <f>IF(OR(計分!Y431="",計分!$AP431=""),"",計分!$AP431-計分!Y431)</f>
        <v/>
      </c>
      <c r="Z431">
        <f>IF(OR(計分!Z431="",計分!$AP431=""),"",計分!$AP431-計分!Z431)</f>
        <v/>
      </c>
      <c r="AA431">
        <f>IF(OR(計分!AA431="",計分!$AP431=""),"",計分!$AP431-計分!AA431)</f>
        <v/>
      </c>
      <c r="AB431">
        <f>IF(OR(計分!AB431="",計分!$AP431=""),"",計分!$AP431-計分!AB431)</f>
        <v/>
      </c>
      <c r="AC431">
        <f>IF(OR(計分!AC431="",計分!$AP431=""),"",計分!$AP431-計分!AC431)</f>
        <v/>
      </c>
      <c r="AD431">
        <f>IF(OR(計分!AD431="",計分!$AP431=""),"",計分!$AP431-計分!AD431)</f>
        <v/>
      </c>
      <c r="AE431">
        <f>IF(OR(計分!AE431="",計分!$AP431=""),"",計分!$AP431-計分!AE431)</f>
        <v/>
      </c>
      <c r="AF431">
        <f>IF(OR(計分!AF431="",計分!$AP431=""),"",計分!$AP431-計分!AF431)</f>
        <v/>
      </c>
      <c r="AG431">
        <f>IF(OR(計分!AG431="",計分!$AP431=""),"",計分!$AP431-計分!AG431)</f>
        <v/>
      </c>
      <c r="AH431">
        <f>IF(OR(計分!AH431="",計分!$AP431=""),"",計分!$AP431-計分!AH431)</f>
        <v/>
      </c>
      <c r="AI431">
        <f>IF(OR(計分!AI431="",計分!$AP431=""),"",計分!$AP431-計分!AI431)</f>
        <v/>
      </c>
      <c r="AJ431">
        <f>IF(OR(計分!AJ431="",計分!$AP431=""),"",計分!$AP431-計分!AJ431)</f>
        <v/>
      </c>
      <c r="AK431">
        <f>IF(OR(計分!AK431="",計分!$AP431=""),"",計分!$AP431-計分!AK431)</f>
        <v/>
      </c>
      <c r="AL431">
        <f>IF(OR(計分!AL431="",計分!$AP431=""),"",計分!$AP431-計分!AL431)</f>
        <v/>
      </c>
      <c r="AM431">
        <f>IF(OR(計分!AM431="",計分!$AP431=""),"",計分!$AP431-計分!AM431)</f>
        <v/>
      </c>
      <c r="AN431">
        <f>IF(OR(計分!AN431="",計分!$AP431=""),"",計分!$AP431-計分!AN431)</f>
        <v/>
      </c>
      <c r="AO431">
        <f>IF(OR(計分!AO431="",計分!$AP431=""),"",計分!$AP431-計分!AO431)</f>
        <v/>
      </c>
    </row>
    <row r="432">
      <c r="A432">
        <f>計分!A432</f>
        <v/>
      </c>
      <c r="B432">
        <f>IF(OR(計分!B432="",計分!$AP432=""),"",計分!$AP432-計分!B432)</f>
        <v/>
      </c>
      <c r="C432">
        <f>IF(OR(計分!C432="",計分!$AP432=""),"",計分!$AP432-計分!C432)</f>
        <v/>
      </c>
      <c r="D432">
        <f>IF(OR(計分!D432="",計分!$AP432=""),"",計分!$AP432-計分!D432)</f>
        <v/>
      </c>
      <c r="E432">
        <f>IF(OR(計分!E432="",計分!$AP432=""),"",計分!$AP432-計分!E432)</f>
        <v/>
      </c>
      <c r="F432">
        <f>IF(OR(計分!F432="",計分!$AP432=""),"",計分!$AP432-計分!F432)</f>
        <v/>
      </c>
      <c r="G432">
        <f>IF(OR(計分!G432="",計分!$AP432=""),"",計分!$AP432-計分!G432)</f>
        <v/>
      </c>
      <c r="H432">
        <f>IF(OR(計分!H432="",計分!$AP432=""),"",計分!$AP432-計分!H432)</f>
        <v/>
      </c>
      <c r="I432">
        <f>IF(OR(計分!I432="",計分!$AP432=""),"",計分!$AP432-計分!I432)</f>
        <v/>
      </c>
      <c r="J432">
        <f>IF(OR(計分!J432="",計分!$AP432=""),"",計分!$AP432-計分!J432)</f>
        <v/>
      </c>
      <c r="K432">
        <f>IF(OR(計分!K432="",計分!$AP432=""),"",計分!$AP432-計分!K432)</f>
        <v/>
      </c>
      <c r="L432">
        <f>IF(OR(計分!L432="",計分!$AP432=""),"",計分!$AP432-計分!L432)</f>
        <v/>
      </c>
      <c r="M432">
        <f>IF(OR(計分!M432="",計分!$AP432=""),"",計分!$AP432-計分!M432)</f>
        <v/>
      </c>
      <c r="N432">
        <f>IF(OR(計分!N432="",計分!$AP432=""),"",計分!$AP432-計分!N432)</f>
        <v/>
      </c>
      <c r="O432">
        <f>IF(OR(計分!O432="",計分!$AP432=""),"",計分!$AP432-計分!O432)</f>
        <v/>
      </c>
      <c r="P432">
        <f>IF(OR(計分!P432="",計分!$AP432=""),"",計分!$AP432-計分!P432)</f>
        <v/>
      </c>
      <c r="Q432">
        <f>IF(OR(計分!Q432="",計分!$AP432=""),"",計分!$AP432-計分!Q432)</f>
        <v/>
      </c>
      <c r="R432">
        <f>IF(OR(計分!R432="",計分!$AP432=""),"",計分!$AP432-計分!R432)</f>
        <v/>
      </c>
      <c r="S432">
        <f>IF(OR(計分!S432="",計分!$AP432=""),"",計分!$AP432-計分!S432)</f>
        <v/>
      </c>
      <c r="T432">
        <f>IF(OR(計分!T432="",計分!$AP432=""),"",計分!$AP432-計分!T432)</f>
        <v/>
      </c>
      <c r="U432">
        <f>IF(OR(計分!U432="",計分!$AP432=""),"",計分!$AP432-計分!U432)</f>
        <v/>
      </c>
      <c r="V432">
        <f>IF(OR(計分!V432="",計分!$AP432=""),"",計分!$AP432-計分!V432)</f>
        <v/>
      </c>
      <c r="W432">
        <f>IF(OR(計分!W432="",計分!$AP432=""),"",計分!$AP432-計分!W432)</f>
        <v/>
      </c>
      <c r="X432">
        <f>IF(OR(計分!X432="",計分!$AP432=""),"",計分!$AP432-計分!X432)</f>
        <v/>
      </c>
      <c r="Y432">
        <f>IF(OR(計分!Y432="",計分!$AP432=""),"",計分!$AP432-計分!Y432)</f>
        <v/>
      </c>
      <c r="Z432">
        <f>IF(OR(計分!Z432="",計分!$AP432=""),"",計分!$AP432-計分!Z432)</f>
        <v/>
      </c>
      <c r="AA432">
        <f>IF(OR(計分!AA432="",計分!$AP432=""),"",計分!$AP432-計分!AA432)</f>
        <v/>
      </c>
      <c r="AB432">
        <f>IF(OR(計分!AB432="",計分!$AP432=""),"",計分!$AP432-計分!AB432)</f>
        <v/>
      </c>
      <c r="AC432">
        <f>IF(OR(計分!AC432="",計分!$AP432=""),"",計分!$AP432-計分!AC432)</f>
        <v/>
      </c>
      <c r="AD432">
        <f>IF(OR(計分!AD432="",計分!$AP432=""),"",計分!$AP432-計分!AD432)</f>
        <v/>
      </c>
      <c r="AE432">
        <f>IF(OR(計分!AE432="",計分!$AP432=""),"",計分!$AP432-計分!AE432)</f>
        <v/>
      </c>
      <c r="AF432">
        <f>IF(OR(計分!AF432="",計分!$AP432=""),"",計分!$AP432-計分!AF432)</f>
        <v/>
      </c>
      <c r="AG432">
        <f>IF(OR(計分!AG432="",計分!$AP432=""),"",計分!$AP432-計分!AG432)</f>
        <v/>
      </c>
      <c r="AH432">
        <f>IF(OR(計分!AH432="",計分!$AP432=""),"",計分!$AP432-計分!AH432)</f>
        <v/>
      </c>
      <c r="AI432">
        <f>IF(OR(計分!AI432="",計分!$AP432=""),"",計分!$AP432-計分!AI432)</f>
        <v/>
      </c>
      <c r="AJ432">
        <f>IF(OR(計分!AJ432="",計分!$AP432=""),"",計分!$AP432-計分!AJ432)</f>
        <v/>
      </c>
      <c r="AK432">
        <f>IF(OR(計分!AK432="",計分!$AP432=""),"",計分!$AP432-計分!AK432)</f>
        <v/>
      </c>
      <c r="AL432">
        <f>IF(OR(計分!AL432="",計分!$AP432=""),"",計分!$AP432-計分!AL432)</f>
        <v/>
      </c>
      <c r="AM432">
        <f>IF(OR(計分!AM432="",計分!$AP432=""),"",計分!$AP432-計分!AM432)</f>
        <v/>
      </c>
      <c r="AN432">
        <f>IF(OR(計分!AN432="",計分!$AP432=""),"",計分!$AP432-計分!AN432)</f>
        <v/>
      </c>
      <c r="AO432">
        <f>IF(OR(計分!AO432="",計分!$AP432=""),"",計分!$AP432-計分!AO432)</f>
        <v/>
      </c>
    </row>
    <row r="433">
      <c r="A433">
        <f>計分!A433</f>
        <v/>
      </c>
      <c r="B433">
        <f>IF(OR(計分!B433="",計分!$AP433=""),"",計分!$AP433-計分!B433)</f>
        <v/>
      </c>
      <c r="C433">
        <f>IF(OR(計分!C433="",計分!$AP433=""),"",計分!$AP433-計分!C433)</f>
        <v/>
      </c>
      <c r="D433">
        <f>IF(OR(計分!D433="",計分!$AP433=""),"",計分!$AP433-計分!D433)</f>
        <v/>
      </c>
      <c r="E433">
        <f>IF(OR(計分!E433="",計分!$AP433=""),"",計分!$AP433-計分!E433)</f>
        <v/>
      </c>
      <c r="F433">
        <f>IF(OR(計分!F433="",計分!$AP433=""),"",計分!$AP433-計分!F433)</f>
        <v/>
      </c>
      <c r="G433">
        <f>IF(OR(計分!G433="",計分!$AP433=""),"",計分!$AP433-計分!G433)</f>
        <v/>
      </c>
      <c r="H433">
        <f>IF(OR(計分!H433="",計分!$AP433=""),"",計分!$AP433-計分!H433)</f>
        <v/>
      </c>
      <c r="I433">
        <f>IF(OR(計分!I433="",計分!$AP433=""),"",計分!$AP433-計分!I433)</f>
        <v/>
      </c>
      <c r="J433">
        <f>IF(OR(計分!J433="",計分!$AP433=""),"",計分!$AP433-計分!J433)</f>
        <v/>
      </c>
      <c r="K433">
        <f>IF(OR(計分!K433="",計分!$AP433=""),"",計分!$AP433-計分!K433)</f>
        <v/>
      </c>
      <c r="L433">
        <f>IF(OR(計分!L433="",計分!$AP433=""),"",計分!$AP433-計分!L433)</f>
        <v/>
      </c>
      <c r="M433">
        <f>IF(OR(計分!M433="",計分!$AP433=""),"",計分!$AP433-計分!M433)</f>
        <v/>
      </c>
      <c r="N433">
        <f>IF(OR(計分!N433="",計分!$AP433=""),"",計分!$AP433-計分!N433)</f>
        <v/>
      </c>
      <c r="O433">
        <f>IF(OR(計分!O433="",計分!$AP433=""),"",計分!$AP433-計分!O433)</f>
        <v/>
      </c>
      <c r="P433">
        <f>IF(OR(計分!P433="",計分!$AP433=""),"",計分!$AP433-計分!P433)</f>
        <v/>
      </c>
      <c r="Q433">
        <f>IF(OR(計分!Q433="",計分!$AP433=""),"",計分!$AP433-計分!Q433)</f>
        <v/>
      </c>
      <c r="R433">
        <f>IF(OR(計分!R433="",計分!$AP433=""),"",計分!$AP433-計分!R433)</f>
        <v/>
      </c>
      <c r="S433">
        <f>IF(OR(計分!S433="",計分!$AP433=""),"",計分!$AP433-計分!S433)</f>
        <v/>
      </c>
      <c r="T433">
        <f>IF(OR(計分!T433="",計分!$AP433=""),"",計分!$AP433-計分!T433)</f>
        <v/>
      </c>
      <c r="U433">
        <f>IF(OR(計分!U433="",計分!$AP433=""),"",計分!$AP433-計分!U433)</f>
        <v/>
      </c>
      <c r="V433">
        <f>IF(OR(計分!V433="",計分!$AP433=""),"",計分!$AP433-計分!V433)</f>
        <v/>
      </c>
      <c r="W433">
        <f>IF(OR(計分!W433="",計分!$AP433=""),"",計分!$AP433-計分!W433)</f>
        <v/>
      </c>
      <c r="X433">
        <f>IF(OR(計分!X433="",計分!$AP433=""),"",計分!$AP433-計分!X433)</f>
        <v/>
      </c>
      <c r="Y433">
        <f>IF(OR(計分!Y433="",計分!$AP433=""),"",計分!$AP433-計分!Y433)</f>
        <v/>
      </c>
      <c r="Z433">
        <f>IF(OR(計分!Z433="",計分!$AP433=""),"",計分!$AP433-計分!Z433)</f>
        <v/>
      </c>
      <c r="AA433">
        <f>IF(OR(計分!AA433="",計分!$AP433=""),"",計分!$AP433-計分!AA433)</f>
        <v/>
      </c>
      <c r="AB433">
        <f>IF(OR(計分!AB433="",計分!$AP433=""),"",計分!$AP433-計分!AB433)</f>
        <v/>
      </c>
      <c r="AC433">
        <f>IF(OR(計分!AC433="",計分!$AP433=""),"",計分!$AP433-計分!AC433)</f>
        <v/>
      </c>
      <c r="AD433">
        <f>IF(OR(計分!AD433="",計分!$AP433=""),"",計分!$AP433-計分!AD433)</f>
        <v/>
      </c>
      <c r="AE433">
        <f>IF(OR(計分!AE433="",計分!$AP433=""),"",計分!$AP433-計分!AE433)</f>
        <v/>
      </c>
      <c r="AF433">
        <f>IF(OR(計分!AF433="",計分!$AP433=""),"",計分!$AP433-計分!AF433)</f>
        <v/>
      </c>
      <c r="AG433">
        <f>IF(OR(計分!AG433="",計分!$AP433=""),"",計分!$AP433-計分!AG433)</f>
        <v/>
      </c>
      <c r="AH433">
        <f>IF(OR(計分!AH433="",計分!$AP433=""),"",計分!$AP433-計分!AH433)</f>
        <v/>
      </c>
      <c r="AI433">
        <f>IF(OR(計分!AI433="",計分!$AP433=""),"",計分!$AP433-計分!AI433)</f>
        <v/>
      </c>
      <c r="AJ433">
        <f>IF(OR(計分!AJ433="",計分!$AP433=""),"",計分!$AP433-計分!AJ433)</f>
        <v/>
      </c>
      <c r="AK433">
        <f>IF(OR(計分!AK433="",計分!$AP433=""),"",計分!$AP433-計分!AK433)</f>
        <v/>
      </c>
      <c r="AL433">
        <f>IF(OR(計分!AL433="",計分!$AP433=""),"",計分!$AP433-計分!AL433)</f>
        <v/>
      </c>
      <c r="AM433">
        <f>IF(OR(計分!AM433="",計分!$AP433=""),"",計分!$AP433-計分!AM433)</f>
        <v/>
      </c>
      <c r="AN433">
        <f>IF(OR(計分!AN433="",計分!$AP433=""),"",計分!$AP433-計分!AN433)</f>
        <v/>
      </c>
      <c r="AO433">
        <f>IF(OR(計分!AO433="",計分!$AP433=""),"",計分!$AP433-計分!AO433)</f>
        <v/>
      </c>
    </row>
    <row r="434">
      <c r="A434">
        <f>計分!A434</f>
        <v/>
      </c>
      <c r="B434">
        <f>IF(OR(計分!B434="",計分!$AP434=""),"",計分!$AP434-計分!B434)</f>
        <v/>
      </c>
      <c r="C434">
        <f>IF(OR(計分!C434="",計分!$AP434=""),"",計分!$AP434-計分!C434)</f>
        <v/>
      </c>
      <c r="D434">
        <f>IF(OR(計分!D434="",計分!$AP434=""),"",計分!$AP434-計分!D434)</f>
        <v/>
      </c>
      <c r="E434">
        <f>IF(OR(計分!E434="",計分!$AP434=""),"",計分!$AP434-計分!E434)</f>
        <v/>
      </c>
      <c r="F434">
        <f>IF(OR(計分!F434="",計分!$AP434=""),"",計分!$AP434-計分!F434)</f>
        <v/>
      </c>
      <c r="G434">
        <f>IF(OR(計分!G434="",計分!$AP434=""),"",計分!$AP434-計分!G434)</f>
        <v/>
      </c>
      <c r="H434">
        <f>IF(OR(計分!H434="",計分!$AP434=""),"",計分!$AP434-計分!H434)</f>
        <v/>
      </c>
      <c r="I434">
        <f>IF(OR(計分!I434="",計分!$AP434=""),"",計分!$AP434-計分!I434)</f>
        <v/>
      </c>
      <c r="J434">
        <f>IF(OR(計分!J434="",計分!$AP434=""),"",計分!$AP434-計分!J434)</f>
        <v/>
      </c>
      <c r="K434">
        <f>IF(OR(計分!K434="",計分!$AP434=""),"",計分!$AP434-計分!K434)</f>
        <v/>
      </c>
      <c r="L434">
        <f>IF(OR(計分!L434="",計分!$AP434=""),"",計分!$AP434-計分!L434)</f>
        <v/>
      </c>
      <c r="M434">
        <f>IF(OR(計分!M434="",計分!$AP434=""),"",計分!$AP434-計分!M434)</f>
        <v/>
      </c>
      <c r="N434">
        <f>IF(OR(計分!N434="",計分!$AP434=""),"",計分!$AP434-計分!N434)</f>
        <v/>
      </c>
      <c r="O434">
        <f>IF(OR(計分!O434="",計分!$AP434=""),"",計分!$AP434-計分!O434)</f>
        <v/>
      </c>
      <c r="P434">
        <f>IF(OR(計分!P434="",計分!$AP434=""),"",計分!$AP434-計分!P434)</f>
        <v/>
      </c>
      <c r="Q434">
        <f>IF(OR(計分!Q434="",計分!$AP434=""),"",計分!$AP434-計分!Q434)</f>
        <v/>
      </c>
      <c r="R434">
        <f>IF(OR(計分!R434="",計分!$AP434=""),"",計分!$AP434-計分!R434)</f>
        <v/>
      </c>
      <c r="S434">
        <f>IF(OR(計分!S434="",計分!$AP434=""),"",計分!$AP434-計分!S434)</f>
        <v/>
      </c>
      <c r="T434">
        <f>IF(OR(計分!T434="",計分!$AP434=""),"",計分!$AP434-計分!T434)</f>
        <v/>
      </c>
      <c r="U434">
        <f>IF(OR(計分!U434="",計分!$AP434=""),"",計分!$AP434-計分!U434)</f>
        <v/>
      </c>
      <c r="V434">
        <f>IF(OR(計分!V434="",計分!$AP434=""),"",計分!$AP434-計分!V434)</f>
        <v/>
      </c>
      <c r="W434">
        <f>IF(OR(計分!W434="",計分!$AP434=""),"",計分!$AP434-計分!W434)</f>
        <v/>
      </c>
      <c r="X434">
        <f>IF(OR(計分!X434="",計分!$AP434=""),"",計分!$AP434-計分!X434)</f>
        <v/>
      </c>
      <c r="Y434">
        <f>IF(OR(計分!Y434="",計分!$AP434=""),"",計分!$AP434-計分!Y434)</f>
        <v/>
      </c>
      <c r="Z434">
        <f>IF(OR(計分!Z434="",計分!$AP434=""),"",計分!$AP434-計分!Z434)</f>
        <v/>
      </c>
      <c r="AA434">
        <f>IF(OR(計分!AA434="",計分!$AP434=""),"",計分!$AP434-計分!AA434)</f>
        <v/>
      </c>
      <c r="AB434">
        <f>IF(OR(計分!AB434="",計分!$AP434=""),"",計分!$AP434-計分!AB434)</f>
        <v/>
      </c>
      <c r="AC434">
        <f>IF(OR(計分!AC434="",計分!$AP434=""),"",計分!$AP434-計分!AC434)</f>
        <v/>
      </c>
      <c r="AD434">
        <f>IF(OR(計分!AD434="",計分!$AP434=""),"",計分!$AP434-計分!AD434)</f>
        <v/>
      </c>
      <c r="AE434">
        <f>IF(OR(計分!AE434="",計分!$AP434=""),"",計分!$AP434-計分!AE434)</f>
        <v/>
      </c>
      <c r="AF434">
        <f>IF(OR(計分!AF434="",計分!$AP434=""),"",計分!$AP434-計分!AF434)</f>
        <v/>
      </c>
      <c r="AG434">
        <f>IF(OR(計分!AG434="",計分!$AP434=""),"",計分!$AP434-計分!AG434)</f>
        <v/>
      </c>
      <c r="AH434">
        <f>IF(OR(計分!AH434="",計分!$AP434=""),"",計分!$AP434-計分!AH434)</f>
        <v/>
      </c>
      <c r="AI434">
        <f>IF(OR(計分!AI434="",計分!$AP434=""),"",計分!$AP434-計分!AI434)</f>
        <v/>
      </c>
      <c r="AJ434">
        <f>IF(OR(計分!AJ434="",計分!$AP434=""),"",計分!$AP434-計分!AJ434)</f>
        <v/>
      </c>
      <c r="AK434">
        <f>IF(OR(計分!AK434="",計分!$AP434=""),"",計分!$AP434-計分!AK434)</f>
        <v/>
      </c>
      <c r="AL434">
        <f>IF(OR(計分!AL434="",計分!$AP434=""),"",計分!$AP434-計分!AL434)</f>
        <v/>
      </c>
      <c r="AM434">
        <f>IF(OR(計分!AM434="",計分!$AP434=""),"",計分!$AP434-計分!AM434)</f>
        <v/>
      </c>
      <c r="AN434">
        <f>IF(OR(計分!AN434="",計分!$AP434=""),"",計分!$AP434-計分!AN434)</f>
        <v/>
      </c>
      <c r="AO434">
        <f>IF(OR(計分!AO434="",計分!$AP434=""),"",計分!$AP434-計分!AO434)</f>
        <v/>
      </c>
    </row>
    <row r="435">
      <c r="A435">
        <f>計分!A435</f>
        <v/>
      </c>
      <c r="B435">
        <f>IF(OR(計分!B435="",計分!$AP435=""),"",計分!$AP435-計分!B435)</f>
        <v/>
      </c>
      <c r="C435">
        <f>IF(OR(計分!C435="",計分!$AP435=""),"",計分!$AP435-計分!C435)</f>
        <v/>
      </c>
      <c r="D435">
        <f>IF(OR(計分!D435="",計分!$AP435=""),"",計分!$AP435-計分!D435)</f>
        <v/>
      </c>
      <c r="E435">
        <f>IF(OR(計分!E435="",計分!$AP435=""),"",計分!$AP435-計分!E435)</f>
        <v/>
      </c>
      <c r="F435">
        <f>IF(OR(計分!F435="",計分!$AP435=""),"",計分!$AP435-計分!F435)</f>
        <v/>
      </c>
      <c r="G435">
        <f>IF(OR(計分!G435="",計分!$AP435=""),"",計分!$AP435-計分!G435)</f>
        <v/>
      </c>
      <c r="H435">
        <f>IF(OR(計分!H435="",計分!$AP435=""),"",計分!$AP435-計分!H435)</f>
        <v/>
      </c>
      <c r="I435">
        <f>IF(OR(計分!I435="",計分!$AP435=""),"",計分!$AP435-計分!I435)</f>
        <v/>
      </c>
      <c r="J435">
        <f>IF(OR(計分!J435="",計分!$AP435=""),"",計分!$AP435-計分!J435)</f>
        <v/>
      </c>
      <c r="K435">
        <f>IF(OR(計分!K435="",計分!$AP435=""),"",計分!$AP435-計分!K435)</f>
        <v/>
      </c>
      <c r="L435">
        <f>IF(OR(計分!L435="",計分!$AP435=""),"",計分!$AP435-計分!L435)</f>
        <v/>
      </c>
      <c r="M435">
        <f>IF(OR(計分!M435="",計分!$AP435=""),"",計分!$AP435-計分!M435)</f>
        <v/>
      </c>
      <c r="N435">
        <f>IF(OR(計分!N435="",計分!$AP435=""),"",計分!$AP435-計分!N435)</f>
        <v/>
      </c>
      <c r="O435">
        <f>IF(OR(計分!O435="",計分!$AP435=""),"",計分!$AP435-計分!O435)</f>
        <v/>
      </c>
      <c r="P435">
        <f>IF(OR(計分!P435="",計分!$AP435=""),"",計分!$AP435-計分!P435)</f>
        <v/>
      </c>
      <c r="Q435">
        <f>IF(OR(計分!Q435="",計分!$AP435=""),"",計分!$AP435-計分!Q435)</f>
        <v/>
      </c>
      <c r="R435">
        <f>IF(OR(計分!R435="",計分!$AP435=""),"",計分!$AP435-計分!R435)</f>
        <v/>
      </c>
      <c r="S435">
        <f>IF(OR(計分!S435="",計分!$AP435=""),"",計分!$AP435-計分!S435)</f>
        <v/>
      </c>
      <c r="T435">
        <f>IF(OR(計分!T435="",計分!$AP435=""),"",計分!$AP435-計分!T435)</f>
        <v/>
      </c>
      <c r="U435">
        <f>IF(OR(計分!U435="",計分!$AP435=""),"",計分!$AP435-計分!U435)</f>
        <v/>
      </c>
      <c r="V435">
        <f>IF(OR(計分!V435="",計分!$AP435=""),"",計分!$AP435-計分!V435)</f>
        <v/>
      </c>
      <c r="W435">
        <f>IF(OR(計分!W435="",計分!$AP435=""),"",計分!$AP435-計分!W435)</f>
        <v/>
      </c>
      <c r="X435">
        <f>IF(OR(計分!X435="",計分!$AP435=""),"",計分!$AP435-計分!X435)</f>
        <v/>
      </c>
      <c r="Y435">
        <f>IF(OR(計分!Y435="",計分!$AP435=""),"",計分!$AP435-計分!Y435)</f>
        <v/>
      </c>
      <c r="Z435">
        <f>IF(OR(計分!Z435="",計分!$AP435=""),"",計分!$AP435-計分!Z435)</f>
        <v/>
      </c>
      <c r="AA435">
        <f>IF(OR(計分!AA435="",計分!$AP435=""),"",計分!$AP435-計分!AA435)</f>
        <v/>
      </c>
      <c r="AB435">
        <f>IF(OR(計分!AB435="",計分!$AP435=""),"",計分!$AP435-計分!AB435)</f>
        <v/>
      </c>
      <c r="AC435">
        <f>IF(OR(計分!AC435="",計分!$AP435=""),"",計分!$AP435-計分!AC435)</f>
        <v/>
      </c>
      <c r="AD435">
        <f>IF(OR(計分!AD435="",計分!$AP435=""),"",計分!$AP435-計分!AD435)</f>
        <v/>
      </c>
      <c r="AE435">
        <f>IF(OR(計分!AE435="",計分!$AP435=""),"",計分!$AP435-計分!AE435)</f>
        <v/>
      </c>
      <c r="AF435">
        <f>IF(OR(計分!AF435="",計分!$AP435=""),"",計分!$AP435-計分!AF435)</f>
        <v/>
      </c>
      <c r="AG435">
        <f>IF(OR(計分!AG435="",計分!$AP435=""),"",計分!$AP435-計分!AG435)</f>
        <v/>
      </c>
      <c r="AH435">
        <f>IF(OR(計分!AH435="",計分!$AP435=""),"",計分!$AP435-計分!AH435)</f>
        <v/>
      </c>
      <c r="AI435">
        <f>IF(OR(計分!AI435="",計分!$AP435=""),"",計分!$AP435-計分!AI435)</f>
        <v/>
      </c>
      <c r="AJ435">
        <f>IF(OR(計分!AJ435="",計分!$AP435=""),"",計分!$AP435-計分!AJ435)</f>
        <v/>
      </c>
      <c r="AK435">
        <f>IF(OR(計分!AK435="",計分!$AP435=""),"",計分!$AP435-計分!AK435)</f>
        <v/>
      </c>
      <c r="AL435">
        <f>IF(OR(計分!AL435="",計分!$AP435=""),"",計分!$AP435-計分!AL435)</f>
        <v/>
      </c>
      <c r="AM435">
        <f>IF(OR(計分!AM435="",計分!$AP435=""),"",計分!$AP435-計分!AM435)</f>
        <v/>
      </c>
      <c r="AN435">
        <f>IF(OR(計分!AN435="",計分!$AP435=""),"",計分!$AP435-計分!AN435)</f>
        <v/>
      </c>
      <c r="AO435">
        <f>IF(OR(計分!AO435="",計分!$AP435=""),"",計分!$AP435-計分!AO435)</f>
        <v/>
      </c>
    </row>
    <row r="436">
      <c r="A436">
        <f>計分!A436</f>
        <v/>
      </c>
      <c r="B436">
        <f>IF(OR(計分!B436="",計分!$AP436=""),"",計分!$AP436-計分!B436)</f>
        <v/>
      </c>
      <c r="C436">
        <f>IF(OR(計分!C436="",計分!$AP436=""),"",計分!$AP436-計分!C436)</f>
        <v/>
      </c>
      <c r="D436">
        <f>IF(OR(計分!D436="",計分!$AP436=""),"",計分!$AP436-計分!D436)</f>
        <v/>
      </c>
      <c r="E436">
        <f>IF(OR(計分!E436="",計分!$AP436=""),"",計分!$AP436-計分!E436)</f>
        <v/>
      </c>
      <c r="F436">
        <f>IF(OR(計分!F436="",計分!$AP436=""),"",計分!$AP436-計分!F436)</f>
        <v/>
      </c>
      <c r="G436">
        <f>IF(OR(計分!G436="",計分!$AP436=""),"",計分!$AP436-計分!G436)</f>
        <v/>
      </c>
      <c r="H436">
        <f>IF(OR(計分!H436="",計分!$AP436=""),"",計分!$AP436-計分!H436)</f>
        <v/>
      </c>
      <c r="I436">
        <f>IF(OR(計分!I436="",計分!$AP436=""),"",計分!$AP436-計分!I436)</f>
        <v/>
      </c>
      <c r="J436">
        <f>IF(OR(計分!J436="",計分!$AP436=""),"",計分!$AP436-計分!J436)</f>
        <v/>
      </c>
      <c r="K436">
        <f>IF(OR(計分!K436="",計分!$AP436=""),"",計分!$AP436-計分!K436)</f>
        <v/>
      </c>
      <c r="L436">
        <f>IF(OR(計分!L436="",計分!$AP436=""),"",計分!$AP436-計分!L436)</f>
        <v/>
      </c>
      <c r="M436">
        <f>IF(OR(計分!M436="",計分!$AP436=""),"",計分!$AP436-計分!M436)</f>
        <v/>
      </c>
      <c r="N436">
        <f>IF(OR(計分!N436="",計分!$AP436=""),"",計分!$AP436-計分!N436)</f>
        <v/>
      </c>
      <c r="O436">
        <f>IF(OR(計分!O436="",計分!$AP436=""),"",計分!$AP436-計分!O436)</f>
        <v/>
      </c>
      <c r="P436">
        <f>IF(OR(計分!P436="",計分!$AP436=""),"",計分!$AP436-計分!P436)</f>
        <v/>
      </c>
      <c r="Q436">
        <f>IF(OR(計分!Q436="",計分!$AP436=""),"",計分!$AP436-計分!Q436)</f>
        <v/>
      </c>
      <c r="R436">
        <f>IF(OR(計分!R436="",計分!$AP436=""),"",計分!$AP436-計分!R436)</f>
        <v/>
      </c>
      <c r="S436">
        <f>IF(OR(計分!S436="",計分!$AP436=""),"",計分!$AP436-計分!S436)</f>
        <v/>
      </c>
      <c r="T436">
        <f>IF(OR(計分!T436="",計分!$AP436=""),"",計分!$AP436-計分!T436)</f>
        <v/>
      </c>
      <c r="U436">
        <f>IF(OR(計分!U436="",計分!$AP436=""),"",計分!$AP436-計分!U436)</f>
        <v/>
      </c>
      <c r="V436">
        <f>IF(OR(計分!V436="",計分!$AP436=""),"",計分!$AP436-計分!V436)</f>
        <v/>
      </c>
      <c r="W436">
        <f>IF(OR(計分!W436="",計分!$AP436=""),"",計分!$AP436-計分!W436)</f>
        <v/>
      </c>
      <c r="X436">
        <f>IF(OR(計分!X436="",計分!$AP436=""),"",計分!$AP436-計分!X436)</f>
        <v/>
      </c>
      <c r="Y436">
        <f>IF(OR(計分!Y436="",計分!$AP436=""),"",計分!$AP436-計分!Y436)</f>
        <v/>
      </c>
      <c r="Z436">
        <f>IF(OR(計分!Z436="",計分!$AP436=""),"",計分!$AP436-計分!Z436)</f>
        <v/>
      </c>
      <c r="AA436">
        <f>IF(OR(計分!AA436="",計分!$AP436=""),"",計分!$AP436-計分!AA436)</f>
        <v/>
      </c>
      <c r="AB436">
        <f>IF(OR(計分!AB436="",計分!$AP436=""),"",計分!$AP436-計分!AB436)</f>
        <v/>
      </c>
      <c r="AC436">
        <f>IF(OR(計分!AC436="",計分!$AP436=""),"",計分!$AP436-計分!AC436)</f>
        <v/>
      </c>
      <c r="AD436">
        <f>IF(OR(計分!AD436="",計分!$AP436=""),"",計分!$AP436-計分!AD436)</f>
        <v/>
      </c>
      <c r="AE436">
        <f>IF(OR(計分!AE436="",計分!$AP436=""),"",計分!$AP436-計分!AE436)</f>
        <v/>
      </c>
      <c r="AF436">
        <f>IF(OR(計分!AF436="",計分!$AP436=""),"",計分!$AP436-計分!AF436)</f>
        <v/>
      </c>
      <c r="AG436">
        <f>IF(OR(計分!AG436="",計分!$AP436=""),"",計分!$AP436-計分!AG436)</f>
        <v/>
      </c>
      <c r="AH436">
        <f>IF(OR(計分!AH436="",計分!$AP436=""),"",計分!$AP436-計分!AH436)</f>
        <v/>
      </c>
      <c r="AI436">
        <f>IF(OR(計分!AI436="",計分!$AP436=""),"",計分!$AP436-計分!AI436)</f>
        <v/>
      </c>
      <c r="AJ436">
        <f>IF(OR(計分!AJ436="",計分!$AP436=""),"",計分!$AP436-計分!AJ436)</f>
        <v/>
      </c>
      <c r="AK436">
        <f>IF(OR(計分!AK436="",計分!$AP436=""),"",計分!$AP436-計分!AK436)</f>
        <v/>
      </c>
      <c r="AL436">
        <f>IF(OR(計分!AL436="",計分!$AP436=""),"",計分!$AP436-計分!AL436)</f>
        <v/>
      </c>
      <c r="AM436">
        <f>IF(OR(計分!AM436="",計分!$AP436=""),"",計分!$AP436-計分!AM436)</f>
        <v/>
      </c>
      <c r="AN436">
        <f>IF(OR(計分!AN436="",計分!$AP436=""),"",計分!$AP436-計分!AN436)</f>
        <v/>
      </c>
      <c r="AO436">
        <f>IF(OR(計分!AO436="",計分!$AP436=""),"",計分!$AP436-計分!AO436)</f>
        <v/>
      </c>
    </row>
    <row r="437">
      <c r="A437">
        <f>計分!A437</f>
        <v/>
      </c>
      <c r="B437">
        <f>IF(OR(計分!B437="",計分!$AP437=""),"",計分!$AP437-計分!B437)</f>
        <v/>
      </c>
      <c r="C437">
        <f>IF(OR(計分!C437="",計分!$AP437=""),"",計分!$AP437-計分!C437)</f>
        <v/>
      </c>
      <c r="D437">
        <f>IF(OR(計分!D437="",計分!$AP437=""),"",計分!$AP437-計分!D437)</f>
        <v/>
      </c>
      <c r="E437">
        <f>IF(OR(計分!E437="",計分!$AP437=""),"",計分!$AP437-計分!E437)</f>
        <v/>
      </c>
      <c r="F437">
        <f>IF(OR(計分!F437="",計分!$AP437=""),"",計分!$AP437-計分!F437)</f>
        <v/>
      </c>
      <c r="G437">
        <f>IF(OR(計分!G437="",計分!$AP437=""),"",計分!$AP437-計分!G437)</f>
        <v/>
      </c>
      <c r="H437">
        <f>IF(OR(計分!H437="",計分!$AP437=""),"",計分!$AP437-計分!H437)</f>
        <v/>
      </c>
      <c r="I437">
        <f>IF(OR(計分!I437="",計分!$AP437=""),"",計分!$AP437-計分!I437)</f>
        <v/>
      </c>
      <c r="J437">
        <f>IF(OR(計分!J437="",計分!$AP437=""),"",計分!$AP437-計分!J437)</f>
        <v/>
      </c>
      <c r="K437">
        <f>IF(OR(計分!K437="",計分!$AP437=""),"",計分!$AP437-計分!K437)</f>
        <v/>
      </c>
      <c r="L437">
        <f>IF(OR(計分!L437="",計分!$AP437=""),"",計分!$AP437-計分!L437)</f>
        <v/>
      </c>
      <c r="M437">
        <f>IF(OR(計分!M437="",計分!$AP437=""),"",計分!$AP437-計分!M437)</f>
        <v/>
      </c>
      <c r="N437">
        <f>IF(OR(計分!N437="",計分!$AP437=""),"",計分!$AP437-計分!N437)</f>
        <v/>
      </c>
      <c r="O437">
        <f>IF(OR(計分!O437="",計分!$AP437=""),"",計分!$AP437-計分!O437)</f>
        <v/>
      </c>
      <c r="P437">
        <f>IF(OR(計分!P437="",計分!$AP437=""),"",計分!$AP437-計分!P437)</f>
        <v/>
      </c>
      <c r="Q437">
        <f>IF(OR(計分!Q437="",計分!$AP437=""),"",計分!$AP437-計分!Q437)</f>
        <v/>
      </c>
      <c r="R437">
        <f>IF(OR(計分!R437="",計分!$AP437=""),"",計分!$AP437-計分!R437)</f>
        <v/>
      </c>
      <c r="S437">
        <f>IF(OR(計分!S437="",計分!$AP437=""),"",計分!$AP437-計分!S437)</f>
        <v/>
      </c>
      <c r="T437">
        <f>IF(OR(計分!T437="",計分!$AP437=""),"",計分!$AP437-計分!T437)</f>
        <v/>
      </c>
      <c r="U437">
        <f>IF(OR(計分!U437="",計分!$AP437=""),"",計分!$AP437-計分!U437)</f>
        <v/>
      </c>
      <c r="V437">
        <f>IF(OR(計分!V437="",計分!$AP437=""),"",計分!$AP437-計分!V437)</f>
        <v/>
      </c>
      <c r="W437">
        <f>IF(OR(計分!W437="",計分!$AP437=""),"",計分!$AP437-計分!W437)</f>
        <v/>
      </c>
      <c r="X437">
        <f>IF(OR(計分!X437="",計分!$AP437=""),"",計分!$AP437-計分!X437)</f>
        <v/>
      </c>
      <c r="Y437">
        <f>IF(OR(計分!Y437="",計分!$AP437=""),"",計分!$AP437-計分!Y437)</f>
        <v/>
      </c>
      <c r="Z437">
        <f>IF(OR(計分!Z437="",計分!$AP437=""),"",計分!$AP437-計分!Z437)</f>
        <v/>
      </c>
      <c r="AA437">
        <f>IF(OR(計分!AA437="",計分!$AP437=""),"",計分!$AP437-計分!AA437)</f>
        <v/>
      </c>
      <c r="AB437">
        <f>IF(OR(計分!AB437="",計分!$AP437=""),"",計分!$AP437-計分!AB437)</f>
        <v/>
      </c>
      <c r="AC437">
        <f>IF(OR(計分!AC437="",計分!$AP437=""),"",計分!$AP437-計分!AC437)</f>
        <v/>
      </c>
      <c r="AD437">
        <f>IF(OR(計分!AD437="",計分!$AP437=""),"",計分!$AP437-計分!AD437)</f>
        <v/>
      </c>
      <c r="AE437">
        <f>IF(OR(計分!AE437="",計分!$AP437=""),"",計分!$AP437-計分!AE437)</f>
        <v/>
      </c>
      <c r="AF437">
        <f>IF(OR(計分!AF437="",計分!$AP437=""),"",計分!$AP437-計分!AF437)</f>
        <v/>
      </c>
      <c r="AG437">
        <f>IF(OR(計分!AG437="",計分!$AP437=""),"",計分!$AP437-計分!AG437)</f>
        <v/>
      </c>
      <c r="AH437">
        <f>IF(OR(計分!AH437="",計分!$AP437=""),"",計分!$AP437-計分!AH437)</f>
        <v/>
      </c>
      <c r="AI437">
        <f>IF(OR(計分!AI437="",計分!$AP437=""),"",計分!$AP437-計分!AI437)</f>
        <v/>
      </c>
      <c r="AJ437">
        <f>IF(OR(計分!AJ437="",計分!$AP437=""),"",計分!$AP437-計分!AJ437)</f>
        <v/>
      </c>
      <c r="AK437">
        <f>IF(OR(計分!AK437="",計分!$AP437=""),"",計分!$AP437-計分!AK437)</f>
        <v/>
      </c>
      <c r="AL437">
        <f>IF(OR(計分!AL437="",計分!$AP437=""),"",計分!$AP437-計分!AL437)</f>
        <v/>
      </c>
      <c r="AM437">
        <f>IF(OR(計分!AM437="",計分!$AP437=""),"",計分!$AP437-計分!AM437)</f>
        <v/>
      </c>
      <c r="AN437">
        <f>IF(OR(計分!AN437="",計分!$AP437=""),"",計分!$AP437-計分!AN437)</f>
        <v/>
      </c>
      <c r="AO437">
        <f>IF(OR(計分!AO437="",計分!$AP437=""),"",計分!$AP437-計分!AO437)</f>
        <v/>
      </c>
    </row>
    <row r="438">
      <c r="A438">
        <f>計分!A438</f>
        <v/>
      </c>
      <c r="B438">
        <f>IF(OR(計分!B438="",計分!$AP438=""),"",計分!$AP438-計分!B438)</f>
        <v/>
      </c>
      <c r="C438">
        <f>IF(OR(計分!C438="",計分!$AP438=""),"",計分!$AP438-計分!C438)</f>
        <v/>
      </c>
      <c r="D438">
        <f>IF(OR(計分!D438="",計分!$AP438=""),"",計分!$AP438-計分!D438)</f>
        <v/>
      </c>
      <c r="E438">
        <f>IF(OR(計分!E438="",計分!$AP438=""),"",計分!$AP438-計分!E438)</f>
        <v/>
      </c>
      <c r="F438">
        <f>IF(OR(計分!F438="",計分!$AP438=""),"",計分!$AP438-計分!F438)</f>
        <v/>
      </c>
      <c r="G438">
        <f>IF(OR(計分!G438="",計分!$AP438=""),"",計分!$AP438-計分!G438)</f>
        <v/>
      </c>
      <c r="H438">
        <f>IF(OR(計分!H438="",計分!$AP438=""),"",計分!$AP438-計分!H438)</f>
        <v/>
      </c>
      <c r="I438">
        <f>IF(OR(計分!I438="",計分!$AP438=""),"",計分!$AP438-計分!I438)</f>
        <v/>
      </c>
      <c r="J438">
        <f>IF(OR(計分!J438="",計分!$AP438=""),"",計分!$AP438-計分!J438)</f>
        <v/>
      </c>
      <c r="K438">
        <f>IF(OR(計分!K438="",計分!$AP438=""),"",計分!$AP438-計分!K438)</f>
        <v/>
      </c>
      <c r="L438">
        <f>IF(OR(計分!L438="",計分!$AP438=""),"",計分!$AP438-計分!L438)</f>
        <v/>
      </c>
      <c r="M438">
        <f>IF(OR(計分!M438="",計分!$AP438=""),"",計分!$AP438-計分!M438)</f>
        <v/>
      </c>
      <c r="N438">
        <f>IF(OR(計分!N438="",計分!$AP438=""),"",計分!$AP438-計分!N438)</f>
        <v/>
      </c>
      <c r="O438">
        <f>IF(OR(計分!O438="",計分!$AP438=""),"",計分!$AP438-計分!O438)</f>
        <v/>
      </c>
      <c r="P438">
        <f>IF(OR(計分!P438="",計分!$AP438=""),"",計分!$AP438-計分!P438)</f>
        <v/>
      </c>
      <c r="Q438">
        <f>IF(OR(計分!Q438="",計分!$AP438=""),"",計分!$AP438-計分!Q438)</f>
        <v/>
      </c>
      <c r="R438">
        <f>IF(OR(計分!R438="",計分!$AP438=""),"",計分!$AP438-計分!R438)</f>
        <v/>
      </c>
      <c r="S438">
        <f>IF(OR(計分!S438="",計分!$AP438=""),"",計分!$AP438-計分!S438)</f>
        <v/>
      </c>
      <c r="T438">
        <f>IF(OR(計分!T438="",計分!$AP438=""),"",計分!$AP438-計分!T438)</f>
        <v/>
      </c>
      <c r="U438">
        <f>IF(OR(計分!U438="",計分!$AP438=""),"",計分!$AP438-計分!U438)</f>
        <v/>
      </c>
      <c r="V438">
        <f>IF(OR(計分!V438="",計分!$AP438=""),"",計分!$AP438-計分!V438)</f>
        <v/>
      </c>
      <c r="W438">
        <f>IF(OR(計分!W438="",計分!$AP438=""),"",計分!$AP438-計分!W438)</f>
        <v/>
      </c>
      <c r="X438">
        <f>IF(OR(計分!X438="",計分!$AP438=""),"",計分!$AP438-計分!X438)</f>
        <v/>
      </c>
      <c r="Y438">
        <f>IF(OR(計分!Y438="",計分!$AP438=""),"",計分!$AP438-計分!Y438)</f>
        <v/>
      </c>
      <c r="Z438">
        <f>IF(OR(計分!Z438="",計分!$AP438=""),"",計分!$AP438-計分!Z438)</f>
        <v/>
      </c>
      <c r="AA438">
        <f>IF(OR(計分!AA438="",計分!$AP438=""),"",計分!$AP438-計分!AA438)</f>
        <v/>
      </c>
      <c r="AB438">
        <f>IF(OR(計分!AB438="",計分!$AP438=""),"",計分!$AP438-計分!AB438)</f>
        <v/>
      </c>
      <c r="AC438">
        <f>IF(OR(計分!AC438="",計分!$AP438=""),"",計分!$AP438-計分!AC438)</f>
        <v/>
      </c>
      <c r="AD438">
        <f>IF(OR(計分!AD438="",計分!$AP438=""),"",計分!$AP438-計分!AD438)</f>
        <v/>
      </c>
      <c r="AE438">
        <f>IF(OR(計分!AE438="",計分!$AP438=""),"",計分!$AP438-計分!AE438)</f>
        <v/>
      </c>
      <c r="AF438">
        <f>IF(OR(計分!AF438="",計分!$AP438=""),"",計分!$AP438-計分!AF438)</f>
        <v/>
      </c>
      <c r="AG438">
        <f>IF(OR(計分!AG438="",計分!$AP438=""),"",計分!$AP438-計分!AG438)</f>
        <v/>
      </c>
      <c r="AH438">
        <f>IF(OR(計分!AH438="",計分!$AP438=""),"",計分!$AP438-計分!AH438)</f>
        <v/>
      </c>
      <c r="AI438">
        <f>IF(OR(計分!AI438="",計分!$AP438=""),"",計分!$AP438-計分!AI438)</f>
        <v/>
      </c>
      <c r="AJ438">
        <f>IF(OR(計分!AJ438="",計分!$AP438=""),"",計分!$AP438-計分!AJ438)</f>
        <v/>
      </c>
      <c r="AK438">
        <f>IF(OR(計分!AK438="",計分!$AP438=""),"",計分!$AP438-計分!AK438)</f>
        <v/>
      </c>
      <c r="AL438">
        <f>IF(OR(計分!AL438="",計分!$AP438=""),"",計分!$AP438-計分!AL438)</f>
        <v/>
      </c>
      <c r="AM438">
        <f>IF(OR(計分!AM438="",計分!$AP438=""),"",計分!$AP438-計分!AM438)</f>
        <v/>
      </c>
      <c r="AN438">
        <f>IF(OR(計分!AN438="",計分!$AP438=""),"",計分!$AP438-計分!AN438)</f>
        <v/>
      </c>
      <c r="AO438">
        <f>IF(OR(計分!AO438="",計分!$AP438=""),"",計分!$AP438-計分!AO438)</f>
        <v/>
      </c>
    </row>
    <row r="439">
      <c r="A439">
        <f>計分!A439</f>
        <v/>
      </c>
      <c r="B439">
        <f>IF(OR(計分!B439="",計分!$AP439=""),"",計分!$AP439-計分!B439)</f>
        <v/>
      </c>
      <c r="C439">
        <f>IF(OR(計分!C439="",計分!$AP439=""),"",計分!$AP439-計分!C439)</f>
        <v/>
      </c>
      <c r="D439">
        <f>IF(OR(計分!D439="",計分!$AP439=""),"",計分!$AP439-計分!D439)</f>
        <v/>
      </c>
      <c r="E439">
        <f>IF(OR(計分!E439="",計分!$AP439=""),"",計分!$AP439-計分!E439)</f>
        <v/>
      </c>
      <c r="F439">
        <f>IF(OR(計分!F439="",計分!$AP439=""),"",計分!$AP439-計分!F439)</f>
        <v/>
      </c>
      <c r="G439">
        <f>IF(OR(計分!G439="",計分!$AP439=""),"",計分!$AP439-計分!G439)</f>
        <v/>
      </c>
      <c r="H439">
        <f>IF(OR(計分!H439="",計分!$AP439=""),"",計分!$AP439-計分!H439)</f>
        <v/>
      </c>
      <c r="I439">
        <f>IF(OR(計分!I439="",計分!$AP439=""),"",計分!$AP439-計分!I439)</f>
        <v/>
      </c>
      <c r="J439">
        <f>IF(OR(計分!J439="",計分!$AP439=""),"",計分!$AP439-計分!J439)</f>
        <v/>
      </c>
      <c r="K439">
        <f>IF(OR(計分!K439="",計分!$AP439=""),"",計分!$AP439-計分!K439)</f>
        <v/>
      </c>
      <c r="L439">
        <f>IF(OR(計分!L439="",計分!$AP439=""),"",計分!$AP439-計分!L439)</f>
        <v/>
      </c>
      <c r="M439">
        <f>IF(OR(計分!M439="",計分!$AP439=""),"",計分!$AP439-計分!M439)</f>
        <v/>
      </c>
      <c r="N439">
        <f>IF(OR(計分!N439="",計分!$AP439=""),"",計分!$AP439-計分!N439)</f>
        <v/>
      </c>
      <c r="O439">
        <f>IF(OR(計分!O439="",計分!$AP439=""),"",計分!$AP439-計分!O439)</f>
        <v/>
      </c>
      <c r="P439">
        <f>IF(OR(計分!P439="",計分!$AP439=""),"",計分!$AP439-計分!P439)</f>
        <v/>
      </c>
      <c r="Q439">
        <f>IF(OR(計分!Q439="",計分!$AP439=""),"",計分!$AP439-計分!Q439)</f>
        <v/>
      </c>
      <c r="R439">
        <f>IF(OR(計分!R439="",計分!$AP439=""),"",計分!$AP439-計分!R439)</f>
        <v/>
      </c>
      <c r="S439">
        <f>IF(OR(計分!S439="",計分!$AP439=""),"",計分!$AP439-計分!S439)</f>
        <v/>
      </c>
      <c r="T439">
        <f>IF(OR(計分!T439="",計分!$AP439=""),"",計分!$AP439-計分!T439)</f>
        <v/>
      </c>
      <c r="U439">
        <f>IF(OR(計分!U439="",計分!$AP439=""),"",計分!$AP439-計分!U439)</f>
        <v/>
      </c>
      <c r="V439">
        <f>IF(OR(計分!V439="",計分!$AP439=""),"",計分!$AP439-計分!V439)</f>
        <v/>
      </c>
      <c r="W439">
        <f>IF(OR(計分!W439="",計分!$AP439=""),"",計分!$AP439-計分!W439)</f>
        <v/>
      </c>
      <c r="X439">
        <f>IF(OR(計分!X439="",計分!$AP439=""),"",計分!$AP439-計分!X439)</f>
        <v/>
      </c>
      <c r="Y439">
        <f>IF(OR(計分!Y439="",計分!$AP439=""),"",計分!$AP439-計分!Y439)</f>
        <v/>
      </c>
      <c r="Z439">
        <f>IF(OR(計分!Z439="",計分!$AP439=""),"",計分!$AP439-計分!Z439)</f>
        <v/>
      </c>
      <c r="AA439">
        <f>IF(OR(計分!AA439="",計分!$AP439=""),"",計分!$AP439-計分!AA439)</f>
        <v/>
      </c>
      <c r="AB439">
        <f>IF(OR(計分!AB439="",計分!$AP439=""),"",計分!$AP439-計分!AB439)</f>
        <v/>
      </c>
      <c r="AC439">
        <f>IF(OR(計分!AC439="",計分!$AP439=""),"",計分!$AP439-計分!AC439)</f>
        <v/>
      </c>
      <c r="AD439">
        <f>IF(OR(計分!AD439="",計分!$AP439=""),"",計分!$AP439-計分!AD439)</f>
        <v/>
      </c>
      <c r="AE439">
        <f>IF(OR(計分!AE439="",計分!$AP439=""),"",計分!$AP439-計分!AE439)</f>
        <v/>
      </c>
      <c r="AF439">
        <f>IF(OR(計分!AF439="",計分!$AP439=""),"",計分!$AP439-計分!AF439)</f>
        <v/>
      </c>
      <c r="AG439">
        <f>IF(OR(計分!AG439="",計分!$AP439=""),"",計分!$AP439-計分!AG439)</f>
        <v/>
      </c>
      <c r="AH439">
        <f>IF(OR(計分!AH439="",計分!$AP439=""),"",計分!$AP439-計分!AH439)</f>
        <v/>
      </c>
      <c r="AI439">
        <f>IF(OR(計分!AI439="",計分!$AP439=""),"",計分!$AP439-計分!AI439)</f>
        <v/>
      </c>
      <c r="AJ439">
        <f>IF(OR(計分!AJ439="",計分!$AP439=""),"",計分!$AP439-計分!AJ439)</f>
        <v/>
      </c>
      <c r="AK439">
        <f>IF(OR(計分!AK439="",計分!$AP439=""),"",計分!$AP439-計分!AK439)</f>
        <v/>
      </c>
      <c r="AL439">
        <f>IF(OR(計分!AL439="",計分!$AP439=""),"",計分!$AP439-計分!AL439)</f>
        <v/>
      </c>
      <c r="AM439">
        <f>IF(OR(計分!AM439="",計分!$AP439=""),"",計分!$AP439-計分!AM439)</f>
        <v/>
      </c>
      <c r="AN439">
        <f>IF(OR(計分!AN439="",計分!$AP439=""),"",計分!$AP439-計分!AN439)</f>
        <v/>
      </c>
      <c r="AO439">
        <f>IF(OR(計分!AO439="",計分!$AP439=""),"",計分!$AP439-計分!AO439)</f>
        <v/>
      </c>
    </row>
    <row r="440">
      <c r="A440">
        <f>計分!A440</f>
        <v/>
      </c>
      <c r="B440">
        <f>IF(OR(計分!B440="",計分!$AP440=""),"",計分!$AP440-計分!B440)</f>
        <v/>
      </c>
      <c r="C440">
        <f>IF(OR(計分!C440="",計分!$AP440=""),"",計分!$AP440-計分!C440)</f>
        <v/>
      </c>
      <c r="D440">
        <f>IF(OR(計分!D440="",計分!$AP440=""),"",計分!$AP440-計分!D440)</f>
        <v/>
      </c>
      <c r="E440">
        <f>IF(OR(計分!E440="",計分!$AP440=""),"",計分!$AP440-計分!E440)</f>
        <v/>
      </c>
      <c r="F440">
        <f>IF(OR(計分!F440="",計分!$AP440=""),"",計分!$AP440-計分!F440)</f>
        <v/>
      </c>
      <c r="G440">
        <f>IF(OR(計分!G440="",計分!$AP440=""),"",計分!$AP440-計分!G440)</f>
        <v/>
      </c>
      <c r="H440">
        <f>IF(OR(計分!H440="",計分!$AP440=""),"",計分!$AP440-計分!H440)</f>
        <v/>
      </c>
      <c r="I440">
        <f>IF(OR(計分!I440="",計分!$AP440=""),"",計分!$AP440-計分!I440)</f>
        <v/>
      </c>
      <c r="J440">
        <f>IF(OR(計分!J440="",計分!$AP440=""),"",計分!$AP440-計分!J440)</f>
        <v/>
      </c>
      <c r="K440">
        <f>IF(OR(計分!K440="",計分!$AP440=""),"",計分!$AP440-計分!K440)</f>
        <v/>
      </c>
      <c r="L440">
        <f>IF(OR(計分!L440="",計分!$AP440=""),"",計分!$AP440-計分!L440)</f>
        <v/>
      </c>
      <c r="M440">
        <f>IF(OR(計分!M440="",計分!$AP440=""),"",計分!$AP440-計分!M440)</f>
        <v/>
      </c>
      <c r="N440">
        <f>IF(OR(計分!N440="",計分!$AP440=""),"",計分!$AP440-計分!N440)</f>
        <v/>
      </c>
      <c r="O440">
        <f>IF(OR(計分!O440="",計分!$AP440=""),"",計分!$AP440-計分!O440)</f>
        <v/>
      </c>
      <c r="P440">
        <f>IF(OR(計分!P440="",計分!$AP440=""),"",計分!$AP440-計分!P440)</f>
        <v/>
      </c>
      <c r="Q440">
        <f>IF(OR(計分!Q440="",計分!$AP440=""),"",計分!$AP440-計分!Q440)</f>
        <v/>
      </c>
      <c r="R440">
        <f>IF(OR(計分!R440="",計分!$AP440=""),"",計分!$AP440-計分!R440)</f>
        <v/>
      </c>
      <c r="S440">
        <f>IF(OR(計分!S440="",計分!$AP440=""),"",計分!$AP440-計分!S440)</f>
        <v/>
      </c>
      <c r="T440">
        <f>IF(OR(計分!T440="",計分!$AP440=""),"",計分!$AP440-計分!T440)</f>
        <v/>
      </c>
      <c r="U440">
        <f>IF(OR(計分!U440="",計分!$AP440=""),"",計分!$AP440-計分!U440)</f>
        <v/>
      </c>
      <c r="V440">
        <f>IF(OR(計分!V440="",計分!$AP440=""),"",計分!$AP440-計分!V440)</f>
        <v/>
      </c>
      <c r="W440">
        <f>IF(OR(計分!W440="",計分!$AP440=""),"",計分!$AP440-計分!W440)</f>
        <v/>
      </c>
      <c r="X440">
        <f>IF(OR(計分!X440="",計分!$AP440=""),"",計分!$AP440-計分!X440)</f>
        <v/>
      </c>
      <c r="Y440">
        <f>IF(OR(計分!Y440="",計分!$AP440=""),"",計分!$AP440-計分!Y440)</f>
        <v/>
      </c>
      <c r="Z440">
        <f>IF(OR(計分!Z440="",計分!$AP440=""),"",計分!$AP440-計分!Z440)</f>
        <v/>
      </c>
      <c r="AA440">
        <f>IF(OR(計分!AA440="",計分!$AP440=""),"",計分!$AP440-計分!AA440)</f>
        <v/>
      </c>
      <c r="AB440">
        <f>IF(OR(計分!AB440="",計分!$AP440=""),"",計分!$AP440-計分!AB440)</f>
        <v/>
      </c>
      <c r="AC440">
        <f>IF(OR(計分!AC440="",計分!$AP440=""),"",計分!$AP440-計分!AC440)</f>
        <v/>
      </c>
      <c r="AD440">
        <f>IF(OR(計分!AD440="",計分!$AP440=""),"",計分!$AP440-計分!AD440)</f>
        <v/>
      </c>
      <c r="AE440">
        <f>IF(OR(計分!AE440="",計分!$AP440=""),"",計分!$AP440-計分!AE440)</f>
        <v/>
      </c>
      <c r="AF440">
        <f>IF(OR(計分!AF440="",計分!$AP440=""),"",計分!$AP440-計分!AF440)</f>
        <v/>
      </c>
      <c r="AG440">
        <f>IF(OR(計分!AG440="",計分!$AP440=""),"",計分!$AP440-計分!AG440)</f>
        <v/>
      </c>
      <c r="AH440">
        <f>IF(OR(計分!AH440="",計分!$AP440=""),"",計分!$AP440-計分!AH440)</f>
        <v/>
      </c>
      <c r="AI440">
        <f>IF(OR(計分!AI440="",計分!$AP440=""),"",計分!$AP440-計分!AI440)</f>
        <v/>
      </c>
      <c r="AJ440">
        <f>IF(OR(計分!AJ440="",計分!$AP440=""),"",計分!$AP440-計分!AJ440)</f>
        <v/>
      </c>
      <c r="AK440">
        <f>IF(OR(計分!AK440="",計分!$AP440=""),"",計分!$AP440-計分!AK440)</f>
        <v/>
      </c>
      <c r="AL440">
        <f>IF(OR(計分!AL440="",計分!$AP440=""),"",計分!$AP440-計分!AL440)</f>
        <v/>
      </c>
      <c r="AM440">
        <f>IF(OR(計分!AM440="",計分!$AP440=""),"",計分!$AP440-計分!AM440)</f>
        <v/>
      </c>
      <c r="AN440">
        <f>IF(OR(計分!AN440="",計分!$AP440=""),"",計分!$AP440-計分!AN440)</f>
        <v/>
      </c>
      <c r="AO440">
        <f>IF(OR(計分!AO440="",計分!$AP440=""),"",計分!$AP440-計分!AO440)</f>
        <v/>
      </c>
    </row>
    <row r="441">
      <c r="A441">
        <f>計分!A441</f>
        <v/>
      </c>
      <c r="B441">
        <f>IF(OR(計分!B441="",計分!$AP441=""),"",計分!$AP441-計分!B441)</f>
        <v/>
      </c>
      <c r="C441">
        <f>IF(OR(計分!C441="",計分!$AP441=""),"",計分!$AP441-計分!C441)</f>
        <v/>
      </c>
      <c r="D441">
        <f>IF(OR(計分!D441="",計分!$AP441=""),"",計分!$AP441-計分!D441)</f>
        <v/>
      </c>
      <c r="E441">
        <f>IF(OR(計分!E441="",計分!$AP441=""),"",計分!$AP441-計分!E441)</f>
        <v/>
      </c>
      <c r="F441">
        <f>IF(OR(計分!F441="",計分!$AP441=""),"",計分!$AP441-計分!F441)</f>
        <v/>
      </c>
      <c r="G441">
        <f>IF(OR(計分!G441="",計分!$AP441=""),"",計分!$AP441-計分!G441)</f>
        <v/>
      </c>
      <c r="H441">
        <f>IF(OR(計分!H441="",計分!$AP441=""),"",計分!$AP441-計分!H441)</f>
        <v/>
      </c>
      <c r="I441">
        <f>IF(OR(計分!I441="",計分!$AP441=""),"",計分!$AP441-計分!I441)</f>
        <v/>
      </c>
      <c r="J441">
        <f>IF(OR(計分!J441="",計分!$AP441=""),"",計分!$AP441-計分!J441)</f>
        <v/>
      </c>
      <c r="K441">
        <f>IF(OR(計分!K441="",計分!$AP441=""),"",計分!$AP441-計分!K441)</f>
        <v/>
      </c>
      <c r="L441">
        <f>IF(OR(計分!L441="",計分!$AP441=""),"",計分!$AP441-計分!L441)</f>
        <v/>
      </c>
      <c r="M441">
        <f>IF(OR(計分!M441="",計分!$AP441=""),"",計分!$AP441-計分!M441)</f>
        <v/>
      </c>
      <c r="N441">
        <f>IF(OR(計分!N441="",計分!$AP441=""),"",計分!$AP441-計分!N441)</f>
        <v/>
      </c>
      <c r="O441">
        <f>IF(OR(計分!O441="",計分!$AP441=""),"",計分!$AP441-計分!O441)</f>
        <v/>
      </c>
      <c r="P441">
        <f>IF(OR(計分!P441="",計分!$AP441=""),"",計分!$AP441-計分!P441)</f>
        <v/>
      </c>
      <c r="Q441">
        <f>IF(OR(計分!Q441="",計分!$AP441=""),"",計分!$AP441-計分!Q441)</f>
        <v/>
      </c>
      <c r="R441">
        <f>IF(OR(計分!R441="",計分!$AP441=""),"",計分!$AP441-計分!R441)</f>
        <v/>
      </c>
      <c r="S441">
        <f>IF(OR(計分!S441="",計分!$AP441=""),"",計分!$AP441-計分!S441)</f>
        <v/>
      </c>
      <c r="T441">
        <f>IF(OR(計分!T441="",計分!$AP441=""),"",計分!$AP441-計分!T441)</f>
        <v/>
      </c>
      <c r="U441">
        <f>IF(OR(計分!U441="",計分!$AP441=""),"",計分!$AP441-計分!U441)</f>
        <v/>
      </c>
      <c r="V441">
        <f>IF(OR(計分!V441="",計分!$AP441=""),"",計分!$AP441-計分!V441)</f>
        <v/>
      </c>
      <c r="W441">
        <f>IF(OR(計分!W441="",計分!$AP441=""),"",計分!$AP441-計分!W441)</f>
        <v/>
      </c>
      <c r="X441">
        <f>IF(OR(計分!X441="",計分!$AP441=""),"",計分!$AP441-計分!X441)</f>
        <v/>
      </c>
      <c r="Y441">
        <f>IF(OR(計分!Y441="",計分!$AP441=""),"",計分!$AP441-計分!Y441)</f>
        <v/>
      </c>
      <c r="Z441">
        <f>IF(OR(計分!Z441="",計分!$AP441=""),"",計分!$AP441-計分!Z441)</f>
        <v/>
      </c>
      <c r="AA441">
        <f>IF(OR(計分!AA441="",計分!$AP441=""),"",計分!$AP441-計分!AA441)</f>
        <v/>
      </c>
      <c r="AB441">
        <f>IF(OR(計分!AB441="",計分!$AP441=""),"",計分!$AP441-計分!AB441)</f>
        <v/>
      </c>
      <c r="AC441">
        <f>IF(OR(計分!AC441="",計分!$AP441=""),"",計分!$AP441-計分!AC441)</f>
        <v/>
      </c>
      <c r="AD441">
        <f>IF(OR(計分!AD441="",計分!$AP441=""),"",計分!$AP441-計分!AD441)</f>
        <v/>
      </c>
      <c r="AE441">
        <f>IF(OR(計分!AE441="",計分!$AP441=""),"",計分!$AP441-計分!AE441)</f>
        <v/>
      </c>
      <c r="AF441">
        <f>IF(OR(計分!AF441="",計分!$AP441=""),"",計分!$AP441-計分!AF441)</f>
        <v/>
      </c>
      <c r="AG441">
        <f>IF(OR(計分!AG441="",計分!$AP441=""),"",計分!$AP441-計分!AG441)</f>
        <v/>
      </c>
      <c r="AH441">
        <f>IF(OR(計分!AH441="",計分!$AP441=""),"",計分!$AP441-計分!AH441)</f>
        <v/>
      </c>
      <c r="AI441">
        <f>IF(OR(計分!AI441="",計分!$AP441=""),"",計分!$AP441-計分!AI441)</f>
        <v/>
      </c>
      <c r="AJ441">
        <f>IF(OR(計分!AJ441="",計分!$AP441=""),"",計分!$AP441-計分!AJ441)</f>
        <v/>
      </c>
      <c r="AK441">
        <f>IF(OR(計分!AK441="",計分!$AP441=""),"",計分!$AP441-計分!AK441)</f>
        <v/>
      </c>
      <c r="AL441">
        <f>IF(OR(計分!AL441="",計分!$AP441=""),"",計分!$AP441-計分!AL441)</f>
        <v/>
      </c>
      <c r="AM441">
        <f>IF(OR(計分!AM441="",計分!$AP441=""),"",計分!$AP441-計分!AM441)</f>
        <v/>
      </c>
      <c r="AN441">
        <f>IF(OR(計分!AN441="",計分!$AP441=""),"",計分!$AP441-計分!AN441)</f>
        <v/>
      </c>
      <c r="AO441">
        <f>IF(OR(計分!AO441="",計分!$AP441=""),"",計分!$AP441-計分!AO441)</f>
        <v/>
      </c>
    </row>
    <row r="442">
      <c r="A442">
        <f>計分!A442</f>
        <v/>
      </c>
      <c r="B442">
        <f>IF(OR(計分!B442="",計分!$AP442=""),"",計分!$AP442-計分!B442)</f>
        <v/>
      </c>
      <c r="C442">
        <f>IF(OR(計分!C442="",計分!$AP442=""),"",計分!$AP442-計分!C442)</f>
        <v/>
      </c>
      <c r="D442">
        <f>IF(OR(計分!D442="",計分!$AP442=""),"",計分!$AP442-計分!D442)</f>
        <v/>
      </c>
      <c r="E442">
        <f>IF(OR(計分!E442="",計分!$AP442=""),"",計分!$AP442-計分!E442)</f>
        <v/>
      </c>
      <c r="F442">
        <f>IF(OR(計分!F442="",計分!$AP442=""),"",計分!$AP442-計分!F442)</f>
        <v/>
      </c>
      <c r="G442">
        <f>IF(OR(計分!G442="",計分!$AP442=""),"",計分!$AP442-計分!G442)</f>
        <v/>
      </c>
      <c r="H442">
        <f>IF(OR(計分!H442="",計分!$AP442=""),"",計分!$AP442-計分!H442)</f>
        <v/>
      </c>
      <c r="I442">
        <f>IF(OR(計分!I442="",計分!$AP442=""),"",計分!$AP442-計分!I442)</f>
        <v/>
      </c>
      <c r="J442">
        <f>IF(OR(計分!J442="",計分!$AP442=""),"",計分!$AP442-計分!J442)</f>
        <v/>
      </c>
      <c r="K442">
        <f>IF(OR(計分!K442="",計分!$AP442=""),"",計分!$AP442-計分!K442)</f>
        <v/>
      </c>
      <c r="L442">
        <f>IF(OR(計分!L442="",計分!$AP442=""),"",計分!$AP442-計分!L442)</f>
        <v/>
      </c>
      <c r="M442">
        <f>IF(OR(計分!M442="",計分!$AP442=""),"",計分!$AP442-計分!M442)</f>
        <v/>
      </c>
      <c r="N442">
        <f>IF(OR(計分!N442="",計分!$AP442=""),"",計分!$AP442-計分!N442)</f>
        <v/>
      </c>
      <c r="O442">
        <f>IF(OR(計分!O442="",計分!$AP442=""),"",計分!$AP442-計分!O442)</f>
        <v/>
      </c>
      <c r="P442">
        <f>IF(OR(計分!P442="",計分!$AP442=""),"",計分!$AP442-計分!P442)</f>
        <v/>
      </c>
      <c r="Q442">
        <f>IF(OR(計分!Q442="",計分!$AP442=""),"",計分!$AP442-計分!Q442)</f>
        <v/>
      </c>
      <c r="R442">
        <f>IF(OR(計分!R442="",計分!$AP442=""),"",計分!$AP442-計分!R442)</f>
        <v/>
      </c>
      <c r="S442">
        <f>IF(OR(計分!S442="",計分!$AP442=""),"",計分!$AP442-計分!S442)</f>
        <v/>
      </c>
      <c r="T442">
        <f>IF(OR(計分!T442="",計分!$AP442=""),"",計分!$AP442-計分!T442)</f>
        <v/>
      </c>
      <c r="U442">
        <f>IF(OR(計分!U442="",計分!$AP442=""),"",計分!$AP442-計分!U442)</f>
        <v/>
      </c>
      <c r="V442">
        <f>IF(OR(計分!V442="",計分!$AP442=""),"",計分!$AP442-計分!V442)</f>
        <v/>
      </c>
      <c r="W442">
        <f>IF(OR(計分!W442="",計分!$AP442=""),"",計分!$AP442-計分!W442)</f>
        <v/>
      </c>
      <c r="X442">
        <f>IF(OR(計分!X442="",計分!$AP442=""),"",計分!$AP442-計分!X442)</f>
        <v/>
      </c>
      <c r="Y442">
        <f>IF(OR(計分!Y442="",計分!$AP442=""),"",計分!$AP442-計分!Y442)</f>
        <v/>
      </c>
      <c r="Z442">
        <f>IF(OR(計分!Z442="",計分!$AP442=""),"",計分!$AP442-計分!Z442)</f>
        <v/>
      </c>
      <c r="AA442">
        <f>IF(OR(計分!AA442="",計分!$AP442=""),"",計分!$AP442-計分!AA442)</f>
        <v/>
      </c>
      <c r="AB442">
        <f>IF(OR(計分!AB442="",計分!$AP442=""),"",計分!$AP442-計分!AB442)</f>
        <v/>
      </c>
      <c r="AC442">
        <f>IF(OR(計分!AC442="",計分!$AP442=""),"",計分!$AP442-計分!AC442)</f>
        <v/>
      </c>
      <c r="AD442">
        <f>IF(OR(計分!AD442="",計分!$AP442=""),"",計分!$AP442-計分!AD442)</f>
        <v/>
      </c>
      <c r="AE442">
        <f>IF(OR(計分!AE442="",計分!$AP442=""),"",計分!$AP442-計分!AE442)</f>
        <v/>
      </c>
      <c r="AF442">
        <f>IF(OR(計分!AF442="",計分!$AP442=""),"",計分!$AP442-計分!AF442)</f>
        <v/>
      </c>
      <c r="AG442">
        <f>IF(OR(計分!AG442="",計分!$AP442=""),"",計分!$AP442-計分!AG442)</f>
        <v/>
      </c>
      <c r="AH442">
        <f>IF(OR(計分!AH442="",計分!$AP442=""),"",計分!$AP442-計分!AH442)</f>
        <v/>
      </c>
      <c r="AI442">
        <f>IF(OR(計分!AI442="",計分!$AP442=""),"",計分!$AP442-計分!AI442)</f>
        <v/>
      </c>
      <c r="AJ442">
        <f>IF(OR(計分!AJ442="",計分!$AP442=""),"",計分!$AP442-計分!AJ442)</f>
        <v/>
      </c>
      <c r="AK442">
        <f>IF(OR(計分!AK442="",計分!$AP442=""),"",計分!$AP442-計分!AK442)</f>
        <v/>
      </c>
      <c r="AL442">
        <f>IF(OR(計分!AL442="",計分!$AP442=""),"",計分!$AP442-計分!AL442)</f>
        <v/>
      </c>
      <c r="AM442">
        <f>IF(OR(計分!AM442="",計分!$AP442=""),"",計分!$AP442-計分!AM442)</f>
        <v/>
      </c>
      <c r="AN442">
        <f>IF(OR(計分!AN442="",計分!$AP442=""),"",計分!$AP442-計分!AN442)</f>
        <v/>
      </c>
      <c r="AO442">
        <f>IF(OR(計分!AO442="",計分!$AP442=""),"",計分!$AP442-計分!AO442)</f>
        <v/>
      </c>
    </row>
    <row r="443">
      <c r="A443">
        <f>計分!A443</f>
        <v/>
      </c>
      <c r="B443">
        <f>IF(OR(計分!B443="",計分!$AP443=""),"",計分!$AP443-計分!B443)</f>
        <v/>
      </c>
      <c r="C443">
        <f>IF(OR(計分!C443="",計分!$AP443=""),"",計分!$AP443-計分!C443)</f>
        <v/>
      </c>
      <c r="D443">
        <f>IF(OR(計分!D443="",計分!$AP443=""),"",計分!$AP443-計分!D443)</f>
        <v/>
      </c>
      <c r="E443">
        <f>IF(OR(計分!E443="",計分!$AP443=""),"",計分!$AP443-計分!E443)</f>
        <v/>
      </c>
      <c r="F443">
        <f>IF(OR(計分!F443="",計分!$AP443=""),"",計分!$AP443-計分!F443)</f>
        <v/>
      </c>
      <c r="G443">
        <f>IF(OR(計分!G443="",計分!$AP443=""),"",計分!$AP443-計分!G443)</f>
        <v/>
      </c>
      <c r="H443">
        <f>IF(OR(計分!H443="",計分!$AP443=""),"",計分!$AP443-計分!H443)</f>
        <v/>
      </c>
      <c r="I443">
        <f>IF(OR(計分!I443="",計分!$AP443=""),"",計分!$AP443-計分!I443)</f>
        <v/>
      </c>
      <c r="J443">
        <f>IF(OR(計分!J443="",計分!$AP443=""),"",計分!$AP443-計分!J443)</f>
        <v/>
      </c>
      <c r="K443">
        <f>IF(OR(計分!K443="",計分!$AP443=""),"",計分!$AP443-計分!K443)</f>
        <v/>
      </c>
      <c r="L443">
        <f>IF(OR(計分!L443="",計分!$AP443=""),"",計分!$AP443-計分!L443)</f>
        <v/>
      </c>
      <c r="M443">
        <f>IF(OR(計分!M443="",計分!$AP443=""),"",計分!$AP443-計分!M443)</f>
        <v/>
      </c>
      <c r="N443">
        <f>IF(OR(計分!N443="",計分!$AP443=""),"",計分!$AP443-計分!N443)</f>
        <v/>
      </c>
      <c r="O443">
        <f>IF(OR(計分!O443="",計分!$AP443=""),"",計分!$AP443-計分!O443)</f>
        <v/>
      </c>
      <c r="P443">
        <f>IF(OR(計分!P443="",計分!$AP443=""),"",計分!$AP443-計分!P443)</f>
        <v/>
      </c>
      <c r="Q443">
        <f>IF(OR(計分!Q443="",計分!$AP443=""),"",計分!$AP443-計分!Q443)</f>
        <v/>
      </c>
      <c r="R443">
        <f>IF(OR(計分!R443="",計分!$AP443=""),"",計分!$AP443-計分!R443)</f>
        <v/>
      </c>
      <c r="S443">
        <f>IF(OR(計分!S443="",計分!$AP443=""),"",計分!$AP443-計分!S443)</f>
        <v/>
      </c>
      <c r="T443">
        <f>IF(OR(計分!T443="",計分!$AP443=""),"",計分!$AP443-計分!T443)</f>
        <v/>
      </c>
      <c r="U443">
        <f>IF(OR(計分!U443="",計分!$AP443=""),"",計分!$AP443-計分!U443)</f>
        <v/>
      </c>
      <c r="V443">
        <f>IF(OR(計分!V443="",計分!$AP443=""),"",計分!$AP443-計分!V443)</f>
        <v/>
      </c>
      <c r="W443">
        <f>IF(OR(計分!W443="",計分!$AP443=""),"",計分!$AP443-計分!W443)</f>
        <v/>
      </c>
      <c r="X443">
        <f>IF(OR(計分!X443="",計分!$AP443=""),"",計分!$AP443-計分!X443)</f>
        <v/>
      </c>
      <c r="Y443">
        <f>IF(OR(計分!Y443="",計分!$AP443=""),"",計分!$AP443-計分!Y443)</f>
        <v/>
      </c>
      <c r="Z443">
        <f>IF(OR(計分!Z443="",計分!$AP443=""),"",計分!$AP443-計分!Z443)</f>
        <v/>
      </c>
      <c r="AA443">
        <f>IF(OR(計分!AA443="",計分!$AP443=""),"",計分!$AP443-計分!AA443)</f>
        <v/>
      </c>
      <c r="AB443">
        <f>IF(OR(計分!AB443="",計分!$AP443=""),"",計分!$AP443-計分!AB443)</f>
        <v/>
      </c>
      <c r="AC443">
        <f>IF(OR(計分!AC443="",計分!$AP443=""),"",計分!$AP443-計分!AC443)</f>
        <v/>
      </c>
      <c r="AD443">
        <f>IF(OR(計分!AD443="",計分!$AP443=""),"",計分!$AP443-計分!AD443)</f>
        <v/>
      </c>
      <c r="AE443">
        <f>IF(OR(計分!AE443="",計分!$AP443=""),"",計分!$AP443-計分!AE443)</f>
        <v/>
      </c>
      <c r="AF443">
        <f>IF(OR(計分!AF443="",計分!$AP443=""),"",計分!$AP443-計分!AF443)</f>
        <v/>
      </c>
      <c r="AG443">
        <f>IF(OR(計分!AG443="",計分!$AP443=""),"",計分!$AP443-計分!AG443)</f>
        <v/>
      </c>
      <c r="AH443">
        <f>IF(OR(計分!AH443="",計分!$AP443=""),"",計分!$AP443-計分!AH443)</f>
        <v/>
      </c>
      <c r="AI443">
        <f>IF(OR(計分!AI443="",計分!$AP443=""),"",計分!$AP443-計分!AI443)</f>
        <v/>
      </c>
      <c r="AJ443">
        <f>IF(OR(計分!AJ443="",計分!$AP443=""),"",計分!$AP443-計分!AJ443)</f>
        <v/>
      </c>
      <c r="AK443">
        <f>IF(OR(計分!AK443="",計分!$AP443=""),"",計分!$AP443-計分!AK443)</f>
        <v/>
      </c>
      <c r="AL443">
        <f>IF(OR(計分!AL443="",計分!$AP443=""),"",計分!$AP443-計分!AL443)</f>
        <v/>
      </c>
      <c r="AM443">
        <f>IF(OR(計分!AM443="",計分!$AP443=""),"",計分!$AP443-計分!AM443)</f>
        <v/>
      </c>
      <c r="AN443">
        <f>IF(OR(計分!AN443="",計分!$AP443=""),"",計分!$AP443-計分!AN443)</f>
        <v/>
      </c>
      <c r="AO443">
        <f>IF(OR(計分!AO443="",計分!$AP443=""),"",計分!$AP443-計分!AO443)</f>
        <v/>
      </c>
    </row>
    <row r="444">
      <c r="A444">
        <f>計分!A444</f>
        <v/>
      </c>
      <c r="B444">
        <f>IF(OR(計分!B444="",計分!$AP444=""),"",計分!$AP444-計分!B444)</f>
        <v/>
      </c>
      <c r="C444">
        <f>IF(OR(計分!C444="",計分!$AP444=""),"",計分!$AP444-計分!C444)</f>
        <v/>
      </c>
      <c r="D444">
        <f>IF(OR(計分!D444="",計分!$AP444=""),"",計分!$AP444-計分!D444)</f>
        <v/>
      </c>
      <c r="E444">
        <f>IF(OR(計分!E444="",計分!$AP444=""),"",計分!$AP444-計分!E444)</f>
        <v/>
      </c>
      <c r="F444">
        <f>IF(OR(計分!F444="",計分!$AP444=""),"",計分!$AP444-計分!F444)</f>
        <v/>
      </c>
      <c r="G444">
        <f>IF(OR(計分!G444="",計分!$AP444=""),"",計分!$AP444-計分!G444)</f>
        <v/>
      </c>
      <c r="H444">
        <f>IF(OR(計分!H444="",計分!$AP444=""),"",計分!$AP444-計分!H444)</f>
        <v/>
      </c>
      <c r="I444">
        <f>IF(OR(計分!I444="",計分!$AP444=""),"",計分!$AP444-計分!I444)</f>
        <v/>
      </c>
      <c r="J444">
        <f>IF(OR(計分!J444="",計分!$AP444=""),"",計分!$AP444-計分!J444)</f>
        <v/>
      </c>
      <c r="K444">
        <f>IF(OR(計分!K444="",計分!$AP444=""),"",計分!$AP444-計分!K444)</f>
        <v/>
      </c>
      <c r="L444">
        <f>IF(OR(計分!L444="",計分!$AP444=""),"",計分!$AP444-計分!L444)</f>
        <v/>
      </c>
      <c r="M444">
        <f>IF(OR(計分!M444="",計分!$AP444=""),"",計分!$AP444-計分!M444)</f>
        <v/>
      </c>
      <c r="N444">
        <f>IF(OR(計分!N444="",計分!$AP444=""),"",計分!$AP444-計分!N444)</f>
        <v/>
      </c>
      <c r="O444">
        <f>IF(OR(計分!O444="",計分!$AP444=""),"",計分!$AP444-計分!O444)</f>
        <v/>
      </c>
      <c r="P444">
        <f>IF(OR(計分!P444="",計分!$AP444=""),"",計分!$AP444-計分!P444)</f>
        <v/>
      </c>
      <c r="Q444">
        <f>IF(OR(計分!Q444="",計分!$AP444=""),"",計分!$AP444-計分!Q444)</f>
        <v/>
      </c>
      <c r="R444">
        <f>IF(OR(計分!R444="",計分!$AP444=""),"",計分!$AP444-計分!R444)</f>
        <v/>
      </c>
      <c r="S444">
        <f>IF(OR(計分!S444="",計分!$AP444=""),"",計分!$AP444-計分!S444)</f>
        <v/>
      </c>
      <c r="T444">
        <f>IF(OR(計分!T444="",計分!$AP444=""),"",計分!$AP444-計分!T444)</f>
        <v/>
      </c>
      <c r="U444">
        <f>IF(OR(計分!U444="",計分!$AP444=""),"",計分!$AP444-計分!U444)</f>
        <v/>
      </c>
      <c r="V444">
        <f>IF(OR(計分!V444="",計分!$AP444=""),"",計分!$AP444-計分!V444)</f>
        <v/>
      </c>
      <c r="W444">
        <f>IF(OR(計分!W444="",計分!$AP444=""),"",計分!$AP444-計分!W444)</f>
        <v/>
      </c>
      <c r="X444">
        <f>IF(OR(計分!X444="",計分!$AP444=""),"",計分!$AP444-計分!X444)</f>
        <v/>
      </c>
      <c r="Y444">
        <f>IF(OR(計分!Y444="",計分!$AP444=""),"",計分!$AP444-計分!Y444)</f>
        <v/>
      </c>
      <c r="Z444">
        <f>IF(OR(計分!Z444="",計分!$AP444=""),"",計分!$AP444-計分!Z444)</f>
        <v/>
      </c>
      <c r="AA444">
        <f>IF(OR(計分!AA444="",計分!$AP444=""),"",計分!$AP444-計分!AA444)</f>
        <v/>
      </c>
      <c r="AB444">
        <f>IF(OR(計分!AB444="",計分!$AP444=""),"",計分!$AP444-計分!AB444)</f>
        <v/>
      </c>
      <c r="AC444">
        <f>IF(OR(計分!AC444="",計分!$AP444=""),"",計分!$AP444-計分!AC444)</f>
        <v/>
      </c>
      <c r="AD444">
        <f>IF(OR(計分!AD444="",計分!$AP444=""),"",計分!$AP444-計分!AD444)</f>
        <v/>
      </c>
      <c r="AE444">
        <f>IF(OR(計分!AE444="",計分!$AP444=""),"",計分!$AP444-計分!AE444)</f>
        <v/>
      </c>
      <c r="AF444">
        <f>IF(OR(計分!AF444="",計分!$AP444=""),"",計分!$AP444-計分!AF444)</f>
        <v/>
      </c>
      <c r="AG444">
        <f>IF(OR(計分!AG444="",計分!$AP444=""),"",計分!$AP444-計分!AG444)</f>
        <v/>
      </c>
      <c r="AH444">
        <f>IF(OR(計分!AH444="",計分!$AP444=""),"",計分!$AP444-計分!AH444)</f>
        <v/>
      </c>
      <c r="AI444">
        <f>IF(OR(計分!AI444="",計分!$AP444=""),"",計分!$AP444-計分!AI444)</f>
        <v/>
      </c>
      <c r="AJ444">
        <f>IF(OR(計分!AJ444="",計分!$AP444=""),"",計分!$AP444-計分!AJ444)</f>
        <v/>
      </c>
      <c r="AK444">
        <f>IF(OR(計分!AK444="",計分!$AP444=""),"",計分!$AP444-計分!AK444)</f>
        <v/>
      </c>
      <c r="AL444">
        <f>IF(OR(計分!AL444="",計分!$AP444=""),"",計分!$AP444-計分!AL444)</f>
        <v/>
      </c>
      <c r="AM444">
        <f>IF(OR(計分!AM444="",計分!$AP444=""),"",計分!$AP444-計分!AM444)</f>
        <v/>
      </c>
      <c r="AN444">
        <f>IF(OR(計分!AN444="",計分!$AP444=""),"",計分!$AP444-計分!AN444)</f>
        <v/>
      </c>
      <c r="AO444">
        <f>IF(OR(計分!AO444="",計分!$AP444=""),"",計分!$AP444-計分!AO444)</f>
        <v/>
      </c>
    </row>
    <row r="445">
      <c r="A445">
        <f>計分!A445</f>
        <v/>
      </c>
      <c r="B445">
        <f>IF(OR(計分!B445="",計分!$AP445=""),"",計分!$AP445-計分!B445)</f>
        <v/>
      </c>
      <c r="C445">
        <f>IF(OR(計分!C445="",計分!$AP445=""),"",計分!$AP445-計分!C445)</f>
        <v/>
      </c>
      <c r="D445">
        <f>IF(OR(計分!D445="",計分!$AP445=""),"",計分!$AP445-計分!D445)</f>
        <v/>
      </c>
      <c r="E445">
        <f>IF(OR(計分!E445="",計分!$AP445=""),"",計分!$AP445-計分!E445)</f>
        <v/>
      </c>
      <c r="F445">
        <f>IF(OR(計分!F445="",計分!$AP445=""),"",計分!$AP445-計分!F445)</f>
        <v/>
      </c>
      <c r="G445">
        <f>IF(OR(計分!G445="",計分!$AP445=""),"",計分!$AP445-計分!G445)</f>
        <v/>
      </c>
      <c r="H445">
        <f>IF(OR(計分!H445="",計分!$AP445=""),"",計分!$AP445-計分!H445)</f>
        <v/>
      </c>
      <c r="I445">
        <f>IF(OR(計分!I445="",計分!$AP445=""),"",計分!$AP445-計分!I445)</f>
        <v/>
      </c>
      <c r="J445">
        <f>IF(OR(計分!J445="",計分!$AP445=""),"",計分!$AP445-計分!J445)</f>
        <v/>
      </c>
      <c r="K445">
        <f>IF(OR(計分!K445="",計分!$AP445=""),"",計分!$AP445-計分!K445)</f>
        <v/>
      </c>
      <c r="L445">
        <f>IF(OR(計分!L445="",計分!$AP445=""),"",計分!$AP445-計分!L445)</f>
        <v/>
      </c>
      <c r="M445">
        <f>IF(OR(計分!M445="",計分!$AP445=""),"",計分!$AP445-計分!M445)</f>
        <v/>
      </c>
      <c r="N445">
        <f>IF(OR(計分!N445="",計分!$AP445=""),"",計分!$AP445-計分!N445)</f>
        <v/>
      </c>
      <c r="O445">
        <f>IF(OR(計分!O445="",計分!$AP445=""),"",計分!$AP445-計分!O445)</f>
        <v/>
      </c>
      <c r="P445">
        <f>IF(OR(計分!P445="",計分!$AP445=""),"",計分!$AP445-計分!P445)</f>
        <v/>
      </c>
      <c r="Q445">
        <f>IF(OR(計分!Q445="",計分!$AP445=""),"",計分!$AP445-計分!Q445)</f>
        <v/>
      </c>
      <c r="R445">
        <f>IF(OR(計分!R445="",計分!$AP445=""),"",計分!$AP445-計分!R445)</f>
        <v/>
      </c>
      <c r="S445">
        <f>IF(OR(計分!S445="",計分!$AP445=""),"",計分!$AP445-計分!S445)</f>
        <v/>
      </c>
      <c r="T445">
        <f>IF(OR(計分!T445="",計分!$AP445=""),"",計分!$AP445-計分!T445)</f>
        <v/>
      </c>
      <c r="U445">
        <f>IF(OR(計分!U445="",計分!$AP445=""),"",計分!$AP445-計分!U445)</f>
        <v/>
      </c>
      <c r="V445">
        <f>IF(OR(計分!V445="",計分!$AP445=""),"",計分!$AP445-計分!V445)</f>
        <v/>
      </c>
      <c r="W445">
        <f>IF(OR(計分!W445="",計分!$AP445=""),"",計分!$AP445-計分!W445)</f>
        <v/>
      </c>
      <c r="X445">
        <f>IF(OR(計分!X445="",計分!$AP445=""),"",計分!$AP445-計分!X445)</f>
        <v/>
      </c>
      <c r="Y445">
        <f>IF(OR(計分!Y445="",計分!$AP445=""),"",計分!$AP445-計分!Y445)</f>
        <v/>
      </c>
      <c r="Z445">
        <f>IF(OR(計分!Z445="",計分!$AP445=""),"",計分!$AP445-計分!Z445)</f>
        <v/>
      </c>
      <c r="AA445">
        <f>IF(OR(計分!AA445="",計分!$AP445=""),"",計分!$AP445-計分!AA445)</f>
        <v/>
      </c>
      <c r="AB445">
        <f>IF(OR(計分!AB445="",計分!$AP445=""),"",計分!$AP445-計分!AB445)</f>
        <v/>
      </c>
      <c r="AC445">
        <f>IF(OR(計分!AC445="",計分!$AP445=""),"",計分!$AP445-計分!AC445)</f>
        <v/>
      </c>
      <c r="AD445">
        <f>IF(OR(計分!AD445="",計分!$AP445=""),"",計分!$AP445-計分!AD445)</f>
        <v/>
      </c>
      <c r="AE445">
        <f>IF(OR(計分!AE445="",計分!$AP445=""),"",計分!$AP445-計分!AE445)</f>
        <v/>
      </c>
      <c r="AF445">
        <f>IF(OR(計分!AF445="",計分!$AP445=""),"",計分!$AP445-計分!AF445)</f>
        <v/>
      </c>
      <c r="AG445">
        <f>IF(OR(計分!AG445="",計分!$AP445=""),"",計分!$AP445-計分!AG445)</f>
        <v/>
      </c>
      <c r="AH445">
        <f>IF(OR(計分!AH445="",計分!$AP445=""),"",計分!$AP445-計分!AH445)</f>
        <v/>
      </c>
      <c r="AI445">
        <f>IF(OR(計分!AI445="",計分!$AP445=""),"",計分!$AP445-計分!AI445)</f>
        <v/>
      </c>
      <c r="AJ445">
        <f>IF(OR(計分!AJ445="",計分!$AP445=""),"",計分!$AP445-計分!AJ445)</f>
        <v/>
      </c>
      <c r="AK445">
        <f>IF(OR(計分!AK445="",計分!$AP445=""),"",計分!$AP445-計分!AK445)</f>
        <v/>
      </c>
      <c r="AL445">
        <f>IF(OR(計分!AL445="",計分!$AP445=""),"",計分!$AP445-計分!AL445)</f>
        <v/>
      </c>
      <c r="AM445">
        <f>IF(OR(計分!AM445="",計分!$AP445=""),"",計分!$AP445-計分!AM445)</f>
        <v/>
      </c>
      <c r="AN445">
        <f>IF(OR(計分!AN445="",計分!$AP445=""),"",計分!$AP445-計分!AN445)</f>
        <v/>
      </c>
      <c r="AO445">
        <f>IF(OR(計分!AO445="",計分!$AP445=""),"",計分!$AP445-計分!AO445)</f>
        <v/>
      </c>
    </row>
    <row r="446">
      <c r="A446">
        <f>計分!A446</f>
        <v/>
      </c>
      <c r="B446">
        <f>IF(OR(計分!B446="",計分!$AP446=""),"",計分!$AP446-計分!B446)</f>
        <v/>
      </c>
      <c r="C446">
        <f>IF(OR(計分!C446="",計分!$AP446=""),"",計分!$AP446-計分!C446)</f>
        <v/>
      </c>
      <c r="D446">
        <f>IF(OR(計分!D446="",計分!$AP446=""),"",計分!$AP446-計分!D446)</f>
        <v/>
      </c>
      <c r="E446">
        <f>IF(OR(計分!E446="",計分!$AP446=""),"",計分!$AP446-計分!E446)</f>
        <v/>
      </c>
      <c r="F446">
        <f>IF(OR(計分!F446="",計分!$AP446=""),"",計分!$AP446-計分!F446)</f>
        <v/>
      </c>
      <c r="G446">
        <f>IF(OR(計分!G446="",計分!$AP446=""),"",計分!$AP446-計分!G446)</f>
        <v/>
      </c>
      <c r="H446">
        <f>IF(OR(計分!H446="",計分!$AP446=""),"",計分!$AP446-計分!H446)</f>
        <v/>
      </c>
      <c r="I446">
        <f>IF(OR(計分!I446="",計分!$AP446=""),"",計分!$AP446-計分!I446)</f>
        <v/>
      </c>
      <c r="J446">
        <f>IF(OR(計分!J446="",計分!$AP446=""),"",計分!$AP446-計分!J446)</f>
        <v/>
      </c>
      <c r="K446">
        <f>IF(OR(計分!K446="",計分!$AP446=""),"",計分!$AP446-計分!K446)</f>
        <v/>
      </c>
      <c r="L446">
        <f>IF(OR(計分!L446="",計分!$AP446=""),"",計分!$AP446-計分!L446)</f>
        <v/>
      </c>
      <c r="M446">
        <f>IF(OR(計分!M446="",計分!$AP446=""),"",計分!$AP446-計分!M446)</f>
        <v/>
      </c>
      <c r="N446">
        <f>IF(OR(計分!N446="",計分!$AP446=""),"",計分!$AP446-計分!N446)</f>
        <v/>
      </c>
      <c r="O446">
        <f>IF(OR(計分!O446="",計分!$AP446=""),"",計分!$AP446-計分!O446)</f>
        <v/>
      </c>
      <c r="P446">
        <f>IF(OR(計分!P446="",計分!$AP446=""),"",計分!$AP446-計分!P446)</f>
        <v/>
      </c>
      <c r="Q446">
        <f>IF(OR(計分!Q446="",計分!$AP446=""),"",計分!$AP446-計分!Q446)</f>
        <v/>
      </c>
      <c r="R446">
        <f>IF(OR(計分!R446="",計分!$AP446=""),"",計分!$AP446-計分!R446)</f>
        <v/>
      </c>
      <c r="S446">
        <f>IF(OR(計分!S446="",計分!$AP446=""),"",計分!$AP446-計分!S446)</f>
        <v/>
      </c>
      <c r="T446">
        <f>IF(OR(計分!T446="",計分!$AP446=""),"",計分!$AP446-計分!T446)</f>
        <v/>
      </c>
      <c r="U446">
        <f>IF(OR(計分!U446="",計分!$AP446=""),"",計分!$AP446-計分!U446)</f>
        <v/>
      </c>
      <c r="V446">
        <f>IF(OR(計分!V446="",計分!$AP446=""),"",計分!$AP446-計分!V446)</f>
        <v/>
      </c>
      <c r="W446">
        <f>IF(OR(計分!W446="",計分!$AP446=""),"",計分!$AP446-計分!W446)</f>
        <v/>
      </c>
      <c r="X446">
        <f>IF(OR(計分!X446="",計分!$AP446=""),"",計分!$AP446-計分!X446)</f>
        <v/>
      </c>
      <c r="Y446">
        <f>IF(OR(計分!Y446="",計分!$AP446=""),"",計分!$AP446-計分!Y446)</f>
        <v/>
      </c>
      <c r="Z446">
        <f>IF(OR(計分!Z446="",計分!$AP446=""),"",計分!$AP446-計分!Z446)</f>
        <v/>
      </c>
      <c r="AA446">
        <f>IF(OR(計分!AA446="",計分!$AP446=""),"",計分!$AP446-計分!AA446)</f>
        <v/>
      </c>
      <c r="AB446">
        <f>IF(OR(計分!AB446="",計分!$AP446=""),"",計分!$AP446-計分!AB446)</f>
        <v/>
      </c>
      <c r="AC446">
        <f>IF(OR(計分!AC446="",計分!$AP446=""),"",計分!$AP446-計分!AC446)</f>
        <v/>
      </c>
      <c r="AD446">
        <f>IF(OR(計分!AD446="",計分!$AP446=""),"",計分!$AP446-計分!AD446)</f>
        <v/>
      </c>
      <c r="AE446">
        <f>IF(OR(計分!AE446="",計分!$AP446=""),"",計分!$AP446-計分!AE446)</f>
        <v/>
      </c>
      <c r="AF446">
        <f>IF(OR(計分!AF446="",計分!$AP446=""),"",計分!$AP446-計分!AF446)</f>
        <v/>
      </c>
      <c r="AG446">
        <f>IF(OR(計分!AG446="",計分!$AP446=""),"",計分!$AP446-計分!AG446)</f>
        <v/>
      </c>
      <c r="AH446">
        <f>IF(OR(計分!AH446="",計分!$AP446=""),"",計分!$AP446-計分!AH446)</f>
        <v/>
      </c>
      <c r="AI446">
        <f>IF(OR(計分!AI446="",計分!$AP446=""),"",計分!$AP446-計分!AI446)</f>
        <v/>
      </c>
      <c r="AJ446">
        <f>IF(OR(計分!AJ446="",計分!$AP446=""),"",計分!$AP446-計分!AJ446)</f>
        <v/>
      </c>
      <c r="AK446">
        <f>IF(OR(計分!AK446="",計分!$AP446=""),"",計分!$AP446-計分!AK446)</f>
        <v/>
      </c>
      <c r="AL446">
        <f>IF(OR(計分!AL446="",計分!$AP446=""),"",計分!$AP446-計分!AL446)</f>
        <v/>
      </c>
      <c r="AM446">
        <f>IF(OR(計分!AM446="",計分!$AP446=""),"",計分!$AP446-計分!AM446)</f>
        <v/>
      </c>
      <c r="AN446">
        <f>IF(OR(計分!AN446="",計分!$AP446=""),"",計分!$AP446-計分!AN446)</f>
        <v/>
      </c>
      <c r="AO446">
        <f>IF(OR(計分!AO446="",計分!$AP446=""),"",計分!$AP446-計分!AO446)</f>
        <v/>
      </c>
    </row>
    <row r="447">
      <c r="A447">
        <f>計分!A447</f>
        <v/>
      </c>
      <c r="B447">
        <f>IF(OR(計分!B447="",計分!$AP447=""),"",計分!$AP447-計分!B447)</f>
        <v/>
      </c>
      <c r="C447">
        <f>IF(OR(計分!C447="",計分!$AP447=""),"",計分!$AP447-計分!C447)</f>
        <v/>
      </c>
      <c r="D447">
        <f>IF(OR(計分!D447="",計分!$AP447=""),"",計分!$AP447-計分!D447)</f>
        <v/>
      </c>
      <c r="E447">
        <f>IF(OR(計分!E447="",計分!$AP447=""),"",計分!$AP447-計分!E447)</f>
        <v/>
      </c>
      <c r="F447">
        <f>IF(OR(計分!F447="",計分!$AP447=""),"",計分!$AP447-計分!F447)</f>
        <v/>
      </c>
      <c r="G447">
        <f>IF(OR(計分!G447="",計分!$AP447=""),"",計分!$AP447-計分!G447)</f>
        <v/>
      </c>
      <c r="H447">
        <f>IF(OR(計分!H447="",計分!$AP447=""),"",計分!$AP447-計分!H447)</f>
        <v/>
      </c>
      <c r="I447">
        <f>IF(OR(計分!I447="",計分!$AP447=""),"",計分!$AP447-計分!I447)</f>
        <v/>
      </c>
      <c r="J447">
        <f>IF(OR(計分!J447="",計分!$AP447=""),"",計分!$AP447-計分!J447)</f>
        <v/>
      </c>
      <c r="K447">
        <f>IF(OR(計分!K447="",計分!$AP447=""),"",計分!$AP447-計分!K447)</f>
        <v/>
      </c>
      <c r="L447">
        <f>IF(OR(計分!L447="",計分!$AP447=""),"",計分!$AP447-計分!L447)</f>
        <v/>
      </c>
      <c r="M447">
        <f>IF(OR(計分!M447="",計分!$AP447=""),"",計分!$AP447-計分!M447)</f>
        <v/>
      </c>
      <c r="N447">
        <f>IF(OR(計分!N447="",計分!$AP447=""),"",計分!$AP447-計分!N447)</f>
        <v/>
      </c>
      <c r="O447">
        <f>IF(OR(計分!O447="",計分!$AP447=""),"",計分!$AP447-計分!O447)</f>
        <v/>
      </c>
      <c r="P447">
        <f>IF(OR(計分!P447="",計分!$AP447=""),"",計分!$AP447-計分!P447)</f>
        <v/>
      </c>
      <c r="Q447">
        <f>IF(OR(計分!Q447="",計分!$AP447=""),"",計分!$AP447-計分!Q447)</f>
        <v/>
      </c>
      <c r="R447">
        <f>IF(OR(計分!R447="",計分!$AP447=""),"",計分!$AP447-計分!R447)</f>
        <v/>
      </c>
      <c r="S447">
        <f>IF(OR(計分!S447="",計分!$AP447=""),"",計分!$AP447-計分!S447)</f>
        <v/>
      </c>
      <c r="T447">
        <f>IF(OR(計分!T447="",計分!$AP447=""),"",計分!$AP447-計分!T447)</f>
        <v/>
      </c>
      <c r="U447">
        <f>IF(OR(計分!U447="",計分!$AP447=""),"",計分!$AP447-計分!U447)</f>
        <v/>
      </c>
      <c r="V447">
        <f>IF(OR(計分!V447="",計分!$AP447=""),"",計分!$AP447-計分!V447)</f>
        <v/>
      </c>
      <c r="W447">
        <f>IF(OR(計分!W447="",計分!$AP447=""),"",計分!$AP447-計分!W447)</f>
        <v/>
      </c>
      <c r="X447">
        <f>IF(OR(計分!X447="",計分!$AP447=""),"",計分!$AP447-計分!X447)</f>
        <v/>
      </c>
      <c r="Y447">
        <f>IF(OR(計分!Y447="",計分!$AP447=""),"",計分!$AP447-計分!Y447)</f>
        <v/>
      </c>
      <c r="Z447">
        <f>IF(OR(計分!Z447="",計分!$AP447=""),"",計分!$AP447-計分!Z447)</f>
        <v/>
      </c>
      <c r="AA447">
        <f>IF(OR(計分!AA447="",計分!$AP447=""),"",計分!$AP447-計分!AA447)</f>
        <v/>
      </c>
      <c r="AB447">
        <f>IF(OR(計分!AB447="",計分!$AP447=""),"",計分!$AP447-計分!AB447)</f>
        <v/>
      </c>
      <c r="AC447">
        <f>IF(OR(計分!AC447="",計分!$AP447=""),"",計分!$AP447-計分!AC447)</f>
        <v/>
      </c>
      <c r="AD447">
        <f>IF(OR(計分!AD447="",計分!$AP447=""),"",計分!$AP447-計分!AD447)</f>
        <v/>
      </c>
      <c r="AE447">
        <f>IF(OR(計分!AE447="",計分!$AP447=""),"",計分!$AP447-計分!AE447)</f>
        <v/>
      </c>
      <c r="AF447">
        <f>IF(OR(計分!AF447="",計分!$AP447=""),"",計分!$AP447-計分!AF447)</f>
        <v/>
      </c>
      <c r="AG447">
        <f>IF(OR(計分!AG447="",計分!$AP447=""),"",計分!$AP447-計分!AG447)</f>
        <v/>
      </c>
      <c r="AH447">
        <f>IF(OR(計分!AH447="",計分!$AP447=""),"",計分!$AP447-計分!AH447)</f>
        <v/>
      </c>
      <c r="AI447">
        <f>IF(OR(計分!AI447="",計分!$AP447=""),"",計分!$AP447-計分!AI447)</f>
        <v/>
      </c>
      <c r="AJ447">
        <f>IF(OR(計分!AJ447="",計分!$AP447=""),"",計分!$AP447-計分!AJ447)</f>
        <v/>
      </c>
      <c r="AK447">
        <f>IF(OR(計分!AK447="",計分!$AP447=""),"",計分!$AP447-計分!AK447)</f>
        <v/>
      </c>
      <c r="AL447">
        <f>IF(OR(計分!AL447="",計分!$AP447=""),"",計分!$AP447-計分!AL447)</f>
        <v/>
      </c>
      <c r="AM447">
        <f>IF(OR(計分!AM447="",計分!$AP447=""),"",計分!$AP447-計分!AM447)</f>
        <v/>
      </c>
      <c r="AN447">
        <f>IF(OR(計分!AN447="",計分!$AP447=""),"",計分!$AP447-計分!AN447)</f>
        <v/>
      </c>
      <c r="AO447">
        <f>IF(OR(計分!AO447="",計分!$AP447=""),"",計分!$AP447-計分!AO447)</f>
        <v/>
      </c>
    </row>
    <row r="448">
      <c r="A448">
        <f>計分!A448</f>
        <v/>
      </c>
      <c r="B448">
        <f>IF(OR(計分!B448="",計分!$AP448=""),"",計分!$AP448-計分!B448)</f>
        <v/>
      </c>
      <c r="C448">
        <f>IF(OR(計分!C448="",計分!$AP448=""),"",計分!$AP448-計分!C448)</f>
        <v/>
      </c>
      <c r="D448">
        <f>IF(OR(計分!D448="",計分!$AP448=""),"",計分!$AP448-計分!D448)</f>
        <v/>
      </c>
      <c r="E448">
        <f>IF(OR(計分!E448="",計分!$AP448=""),"",計分!$AP448-計分!E448)</f>
        <v/>
      </c>
      <c r="F448">
        <f>IF(OR(計分!F448="",計分!$AP448=""),"",計分!$AP448-計分!F448)</f>
        <v/>
      </c>
      <c r="G448">
        <f>IF(OR(計分!G448="",計分!$AP448=""),"",計分!$AP448-計分!G448)</f>
        <v/>
      </c>
      <c r="H448">
        <f>IF(OR(計分!H448="",計分!$AP448=""),"",計分!$AP448-計分!H448)</f>
        <v/>
      </c>
      <c r="I448">
        <f>IF(OR(計分!I448="",計分!$AP448=""),"",計分!$AP448-計分!I448)</f>
        <v/>
      </c>
      <c r="J448">
        <f>IF(OR(計分!J448="",計分!$AP448=""),"",計分!$AP448-計分!J448)</f>
        <v/>
      </c>
      <c r="K448">
        <f>IF(OR(計分!K448="",計分!$AP448=""),"",計分!$AP448-計分!K448)</f>
        <v/>
      </c>
      <c r="L448">
        <f>IF(OR(計分!L448="",計分!$AP448=""),"",計分!$AP448-計分!L448)</f>
        <v/>
      </c>
      <c r="M448">
        <f>IF(OR(計分!M448="",計分!$AP448=""),"",計分!$AP448-計分!M448)</f>
        <v/>
      </c>
      <c r="N448">
        <f>IF(OR(計分!N448="",計分!$AP448=""),"",計分!$AP448-計分!N448)</f>
        <v/>
      </c>
      <c r="O448">
        <f>IF(OR(計分!O448="",計分!$AP448=""),"",計分!$AP448-計分!O448)</f>
        <v/>
      </c>
      <c r="P448">
        <f>IF(OR(計分!P448="",計分!$AP448=""),"",計分!$AP448-計分!P448)</f>
        <v/>
      </c>
      <c r="Q448">
        <f>IF(OR(計分!Q448="",計分!$AP448=""),"",計分!$AP448-計分!Q448)</f>
        <v/>
      </c>
      <c r="R448">
        <f>IF(OR(計分!R448="",計分!$AP448=""),"",計分!$AP448-計分!R448)</f>
        <v/>
      </c>
      <c r="S448">
        <f>IF(OR(計分!S448="",計分!$AP448=""),"",計分!$AP448-計分!S448)</f>
        <v/>
      </c>
      <c r="T448">
        <f>IF(OR(計分!T448="",計分!$AP448=""),"",計分!$AP448-計分!T448)</f>
        <v/>
      </c>
      <c r="U448">
        <f>IF(OR(計分!U448="",計分!$AP448=""),"",計分!$AP448-計分!U448)</f>
        <v/>
      </c>
      <c r="V448">
        <f>IF(OR(計分!V448="",計分!$AP448=""),"",計分!$AP448-計分!V448)</f>
        <v/>
      </c>
      <c r="W448">
        <f>IF(OR(計分!W448="",計分!$AP448=""),"",計分!$AP448-計分!W448)</f>
        <v/>
      </c>
      <c r="X448">
        <f>IF(OR(計分!X448="",計分!$AP448=""),"",計分!$AP448-計分!X448)</f>
        <v/>
      </c>
      <c r="Y448">
        <f>IF(OR(計分!Y448="",計分!$AP448=""),"",計分!$AP448-計分!Y448)</f>
        <v/>
      </c>
      <c r="Z448">
        <f>IF(OR(計分!Z448="",計分!$AP448=""),"",計分!$AP448-計分!Z448)</f>
        <v/>
      </c>
      <c r="AA448">
        <f>IF(OR(計分!AA448="",計分!$AP448=""),"",計分!$AP448-計分!AA448)</f>
        <v/>
      </c>
      <c r="AB448">
        <f>IF(OR(計分!AB448="",計分!$AP448=""),"",計分!$AP448-計分!AB448)</f>
        <v/>
      </c>
      <c r="AC448">
        <f>IF(OR(計分!AC448="",計分!$AP448=""),"",計分!$AP448-計分!AC448)</f>
        <v/>
      </c>
      <c r="AD448">
        <f>IF(OR(計分!AD448="",計分!$AP448=""),"",計分!$AP448-計分!AD448)</f>
        <v/>
      </c>
      <c r="AE448">
        <f>IF(OR(計分!AE448="",計分!$AP448=""),"",計分!$AP448-計分!AE448)</f>
        <v/>
      </c>
      <c r="AF448">
        <f>IF(OR(計分!AF448="",計分!$AP448=""),"",計分!$AP448-計分!AF448)</f>
        <v/>
      </c>
      <c r="AG448">
        <f>IF(OR(計分!AG448="",計分!$AP448=""),"",計分!$AP448-計分!AG448)</f>
        <v/>
      </c>
      <c r="AH448">
        <f>IF(OR(計分!AH448="",計分!$AP448=""),"",計分!$AP448-計分!AH448)</f>
        <v/>
      </c>
      <c r="AI448">
        <f>IF(OR(計分!AI448="",計分!$AP448=""),"",計分!$AP448-計分!AI448)</f>
        <v/>
      </c>
      <c r="AJ448">
        <f>IF(OR(計分!AJ448="",計分!$AP448=""),"",計分!$AP448-計分!AJ448)</f>
        <v/>
      </c>
      <c r="AK448">
        <f>IF(OR(計分!AK448="",計分!$AP448=""),"",計分!$AP448-計分!AK448)</f>
        <v/>
      </c>
      <c r="AL448">
        <f>IF(OR(計分!AL448="",計分!$AP448=""),"",計分!$AP448-計分!AL448)</f>
        <v/>
      </c>
      <c r="AM448">
        <f>IF(OR(計分!AM448="",計分!$AP448=""),"",計分!$AP448-計分!AM448)</f>
        <v/>
      </c>
      <c r="AN448">
        <f>IF(OR(計分!AN448="",計分!$AP448=""),"",計分!$AP448-計分!AN448)</f>
        <v/>
      </c>
      <c r="AO448">
        <f>IF(OR(計分!AO448="",計分!$AP448=""),"",計分!$AP448-計分!AO448)</f>
        <v/>
      </c>
    </row>
    <row r="449">
      <c r="A449">
        <f>計分!A449</f>
        <v/>
      </c>
      <c r="B449">
        <f>IF(OR(計分!B449="",計分!$AP449=""),"",計分!$AP449-計分!B449)</f>
        <v/>
      </c>
      <c r="C449">
        <f>IF(OR(計分!C449="",計分!$AP449=""),"",計分!$AP449-計分!C449)</f>
        <v/>
      </c>
      <c r="D449">
        <f>IF(OR(計分!D449="",計分!$AP449=""),"",計分!$AP449-計分!D449)</f>
        <v/>
      </c>
      <c r="E449">
        <f>IF(OR(計分!E449="",計分!$AP449=""),"",計分!$AP449-計分!E449)</f>
        <v/>
      </c>
      <c r="F449">
        <f>IF(OR(計分!F449="",計分!$AP449=""),"",計分!$AP449-計分!F449)</f>
        <v/>
      </c>
      <c r="G449">
        <f>IF(OR(計分!G449="",計分!$AP449=""),"",計分!$AP449-計分!G449)</f>
        <v/>
      </c>
      <c r="H449">
        <f>IF(OR(計分!H449="",計分!$AP449=""),"",計分!$AP449-計分!H449)</f>
        <v/>
      </c>
      <c r="I449">
        <f>IF(OR(計分!I449="",計分!$AP449=""),"",計分!$AP449-計分!I449)</f>
        <v/>
      </c>
      <c r="J449">
        <f>IF(OR(計分!J449="",計分!$AP449=""),"",計分!$AP449-計分!J449)</f>
        <v/>
      </c>
      <c r="K449">
        <f>IF(OR(計分!K449="",計分!$AP449=""),"",計分!$AP449-計分!K449)</f>
        <v/>
      </c>
      <c r="L449">
        <f>IF(OR(計分!L449="",計分!$AP449=""),"",計分!$AP449-計分!L449)</f>
        <v/>
      </c>
      <c r="M449">
        <f>IF(OR(計分!M449="",計分!$AP449=""),"",計分!$AP449-計分!M449)</f>
        <v/>
      </c>
      <c r="N449">
        <f>IF(OR(計分!N449="",計分!$AP449=""),"",計分!$AP449-計分!N449)</f>
        <v/>
      </c>
      <c r="O449">
        <f>IF(OR(計分!O449="",計分!$AP449=""),"",計分!$AP449-計分!O449)</f>
        <v/>
      </c>
      <c r="P449">
        <f>IF(OR(計分!P449="",計分!$AP449=""),"",計分!$AP449-計分!P449)</f>
        <v/>
      </c>
      <c r="Q449">
        <f>IF(OR(計分!Q449="",計分!$AP449=""),"",計分!$AP449-計分!Q449)</f>
        <v/>
      </c>
      <c r="R449">
        <f>IF(OR(計分!R449="",計分!$AP449=""),"",計分!$AP449-計分!R449)</f>
        <v/>
      </c>
      <c r="S449">
        <f>IF(OR(計分!S449="",計分!$AP449=""),"",計分!$AP449-計分!S449)</f>
        <v/>
      </c>
      <c r="T449">
        <f>IF(OR(計分!T449="",計分!$AP449=""),"",計分!$AP449-計分!T449)</f>
        <v/>
      </c>
      <c r="U449">
        <f>IF(OR(計分!U449="",計分!$AP449=""),"",計分!$AP449-計分!U449)</f>
        <v/>
      </c>
      <c r="V449">
        <f>IF(OR(計分!V449="",計分!$AP449=""),"",計分!$AP449-計分!V449)</f>
        <v/>
      </c>
      <c r="W449">
        <f>IF(OR(計分!W449="",計分!$AP449=""),"",計分!$AP449-計分!W449)</f>
        <v/>
      </c>
      <c r="X449">
        <f>IF(OR(計分!X449="",計分!$AP449=""),"",計分!$AP449-計分!X449)</f>
        <v/>
      </c>
      <c r="Y449">
        <f>IF(OR(計分!Y449="",計分!$AP449=""),"",計分!$AP449-計分!Y449)</f>
        <v/>
      </c>
      <c r="Z449">
        <f>IF(OR(計分!Z449="",計分!$AP449=""),"",計分!$AP449-計分!Z449)</f>
        <v/>
      </c>
      <c r="AA449">
        <f>IF(OR(計分!AA449="",計分!$AP449=""),"",計分!$AP449-計分!AA449)</f>
        <v/>
      </c>
      <c r="AB449">
        <f>IF(OR(計分!AB449="",計分!$AP449=""),"",計分!$AP449-計分!AB449)</f>
        <v/>
      </c>
      <c r="AC449">
        <f>IF(OR(計分!AC449="",計分!$AP449=""),"",計分!$AP449-計分!AC449)</f>
        <v/>
      </c>
      <c r="AD449">
        <f>IF(OR(計分!AD449="",計分!$AP449=""),"",計分!$AP449-計分!AD449)</f>
        <v/>
      </c>
      <c r="AE449">
        <f>IF(OR(計分!AE449="",計分!$AP449=""),"",計分!$AP449-計分!AE449)</f>
        <v/>
      </c>
      <c r="AF449">
        <f>IF(OR(計分!AF449="",計分!$AP449=""),"",計分!$AP449-計分!AF449)</f>
        <v/>
      </c>
      <c r="AG449">
        <f>IF(OR(計分!AG449="",計分!$AP449=""),"",計分!$AP449-計分!AG449)</f>
        <v/>
      </c>
      <c r="AH449">
        <f>IF(OR(計分!AH449="",計分!$AP449=""),"",計分!$AP449-計分!AH449)</f>
        <v/>
      </c>
      <c r="AI449">
        <f>IF(OR(計分!AI449="",計分!$AP449=""),"",計分!$AP449-計分!AI449)</f>
        <v/>
      </c>
      <c r="AJ449">
        <f>IF(OR(計分!AJ449="",計分!$AP449=""),"",計分!$AP449-計分!AJ449)</f>
        <v/>
      </c>
      <c r="AK449">
        <f>IF(OR(計分!AK449="",計分!$AP449=""),"",計分!$AP449-計分!AK449)</f>
        <v/>
      </c>
      <c r="AL449">
        <f>IF(OR(計分!AL449="",計分!$AP449=""),"",計分!$AP449-計分!AL449)</f>
        <v/>
      </c>
      <c r="AM449">
        <f>IF(OR(計分!AM449="",計分!$AP449=""),"",計分!$AP449-計分!AM449)</f>
        <v/>
      </c>
      <c r="AN449">
        <f>IF(OR(計分!AN449="",計分!$AP449=""),"",計分!$AP449-計分!AN449)</f>
        <v/>
      </c>
      <c r="AO449">
        <f>IF(OR(計分!AO449="",計分!$AP449=""),"",計分!$AP449-計分!AO449)</f>
        <v/>
      </c>
    </row>
    <row r="450">
      <c r="A450">
        <f>計分!A450</f>
        <v/>
      </c>
      <c r="B450">
        <f>IF(OR(計分!B450="",計分!$AP450=""),"",計分!$AP450-計分!B450)</f>
        <v/>
      </c>
      <c r="C450">
        <f>IF(OR(計分!C450="",計分!$AP450=""),"",計分!$AP450-計分!C450)</f>
        <v/>
      </c>
      <c r="D450">
        <f>IF(OR(計分!D450="",計分!$AP450=""),"",計分!$AP450-計分!D450)</f>
        <v/>
      </c>
      <c r="E450">
        <f>IF(OR(計分!E450="",計分!$AP450=""),"",計分!$AP450-計分!E450)</f>
        <v/>
      </c>
      <c r="F450">
        <f>IF(OR(計分!F450="",計分!$AP450=""),"",計分!$AP450-計分!F450)</f>
        <v/>
      </c>
      <c r="G450">
        <f>IF(OR(計分!G450="",計分!$AP450=""),"",計分!$AP450-計分!G450)</f>
        <v/>
      </c>
      <c r="H450">
        <f>IF(OR(計分!H450="",計分!$AP450=""),"",計分!$AP450-計分!H450)</f>
        <v/>
      </c>
      <c r="I450">
        <f>IF(OR(計分!I450="",計分!$AP450=""),"",計分!$AP450-計分!I450)</f>
        <v/>
      </c>
      <c r="J450">
        <f>IF(OR(計分!J450="",計分!$AP450=""),"",計分!$AP450-計分!J450)</f>
        <v/>
      </c>
      <c r="K450">
        <f>IF(OR(計分!K450="",計分!$AP450=""),"",計分!$AP450-計分!K450)</f>
        <v/>
      </c>
      <c r="L450">
        <f>IF(OR(計分!L450="",計分!$AP450=""),"",計分!$AP450-計分!L450)</f>
        <v/>
      </c>
      <c r="M450">
        <f>IF(OR(計分!M450="",計分!$AP450=""),"",計分!$AP450-計分!M450)</f>
        <v/>
      </c>
      <c r="N450">
        <f>IF(OR(計分!N450="",計分!$AP450=""),"",計分!$AP450-計分!N450)</f>
        <v/>
      </c>
      <c r="O450">
        <f>IF(OR(計分!O450="",計分!$AP450=""),"",計分!$AP450-計分!O450)</f>
        <v/>
      </c>
      <c r="P450">
        <f>IF(OR(計分!P450="",計分!$AP450=""),"",計分!$AP450-計分!P450)</f>
        <v/>
      </c>
      <c r="Q450">
        <f>IF(OR(計分!Q450="",計分!$AP450=""),"",計分!$AP450-計分!Q450)</f>
        <v/>
      </c>
      <c r="R450">
        <f>IF(OR(計分!R450="",計分!$AP450=""),"",計分!$AP450-計分!R450)</f>
        <v/>
      </c>
      <c r="S450">
        <f>IF(OR(計分!S450="",計分!$AP450=""),"",計分!$AP450-計分!S450)</f>
        <v/>
      </c>
      <c r="T450">
        <f>IF(OR(計分!T450="",計分!$AP450=""),"",計分!$AP450-計分!T450)</f>
        <v/>
      </c>
      <c r="U450">
        <f>IF(OR(計分!U450="",計分!$AP450=""),"",計分!$AP450-計分!U450)</f>
        <v/>
      </c>
      <c r="V450">
        <f>IF(OR(計分!V450="",計分!$AP450=""),"",計分!$AP450-計分!V450)</f>
        <v/>
      </c>
      <c r="W450">
        <f>IF(OR(計分!W450="",計分!$AP450=""),"",計分!$AP450-計分!W450)</f>
        <v/>
      </c>
      <c r="X450">
        <f>IF(OR(計分!X450="",計分!$AP450=""),"",計分!$AP450-計分!X450)</f>
        <v/>
      </c>
      <c r="Y450">
        <f>IF(OR(計分!Y450="",計分!$AP450=""),"",計分!$AP450-計分!Y450)</f>
        <v/>
      </c>
      <c r="Z450">
        <f>IF(OR(計分!Z450="",計分!$AP450=""),"",計分!$AP450-計分!Z450)</f>
        <v/>
      </c>
      <c r="AA450">
        <f>IF(OR(計分!AA450="",計分!$AP450=""),"",計分!$AP450-計分!AA450)</f>
        <v/>
      </c>
      <c r="AB450">
        <f>IF(OR(計分!AB450="",計分!$AP450=""),"",計分!$AP450-計分!AB450)</f>
        <v/>
      </c>
      <c r="AC450">
        <f>IF(OR(計分!AC450="",計分!$AP450=""),"",計分!$AP450-計分!AC450)</f>
        <v/>
      </c>
      <c r="AD450">
        <f>IF(OR(計分!AD450="",計分!$AP450=""),"",計分!$AP450-計分!AD450)</f>
        <v/>
      </c>
      <c r="AE450">
        <f>IF(OR(計分!AE450="",計分!$AP450=""),"",計分!$AP450-計分!AE450)</f>
        <v/>
      </c>
      <c r="AF450">
        <f>IF(OR(計分!AF450="",計分!$AP450=""),"",計分!$AP450-計分!AF450)</f>
        <v/>
      </c>
      <c r="AG450">
        <f>IF(OR(計分!AG450="",計分!$AP450=""),"",計分!$AP450-計分!AG450)</f>
        <v/>
      </c>
      <c r="AH450">
        <f>IF(OR(計分!AH450="",計分!$AP450=""),"",計分!$AP450-計分!AH450)</f>
        <v/>
      </c>
      <c r="AI450">
        <f>IF(OR(計分!AI450="",計分!$AP450=""),"",計分!$AP450-計分!AI450)</f>
        <v/>
      </c>
      <c r="AJ450">
        <f>IF(OR(計分!AJ450="",計分!$AP450=""),"",計分!$AP450-計分!AJ450)</f>
        <v/>
      </c>
      <c r="AK450">
        <f>IF(OR(計分!AK450="",計分!$AP450=""),"",計分!$AP450-計分!AK450)</f>
        <v/>
      </c>
      <c r="AL450">
        <f>IF(OR(計分!AL450="",計分!$AP450=""),"",計分!$AP450-計分!AL450)</f>
        <v/>
      </c>
      <c r="AM450">
        <f>IF(OR(計分!AM450="",計分!$AP450=""),"",計分!$AP450-計分!AM450)</f>
        <v/>
      </c>
      <c r="AN450">
        <f>IF(OR(計分!AN450="",計分!$AP450=""),"",計分!$AP450-計分!AN450)</f>
        <v/>
      </c>
      <c r="AO450">
        <f>IF(OR(計分!AO450="",計分!$AP450=""),"",計分!$AP450-計分!AO450)</f>
        <v/>
      </c>
    </row>
    <row r="451">
      <c r="A451">
        <f>計分!A451</f>
        <v/>
      </c>
      <c r="B451">
        <f>IF(OR(計分!B451="",計分!$AP451=""),"",計分!$AP451-計分!B451)</f>
        <v/>
      </c>
      <c r="C451">
        <f>IF(OR(計分!C451="",計分!$AP451=""),"",計分!$AP451-計分!C451)</f>
        <v/>
      </c>
      <c r="D451">
        <f>IF(OR(計分!D451="",計分!$AP451=""),"",計分!$AP451-計分!D451)</f>
        <v/>
      </c>
      <c r="E451">
        <f>IF(OR(計分!E451="",計分!$AP451=""),"",計分!$AP451-計分!E451)</f>
        <v/>
      </c>
      <c r="F451">
        <f>IF(OR(計分!F451="",計分!$AP451=""),"",計分!$AP451-計分!F451)</f>
        <v/>
      </c>
      <c r="G451">
        <f>IF(OR(計分!G451="",計分!$AP451=""),"",計分!$AP451-計分!G451)</f>
        <v/>
      </c>
      <c r="H451">
        <f>IF(OR(計分!H451="",計分!$AP451=""),"",計分!$AP451-計分!H451)</f>
        <v/>
      </c>
      <c r="I451">
        <f>IF(OR(計分!I451="",計分!$AP451=""),"",計分!$AP451-計分!I451)</f>
        <v/>
      </c>
      <c r="J451">
        <f>IF(OR(計分!J451="",計分!$AP451=""),"",計分!$AP451-計分!J451)</f>
        <v/>
      </c>
      <c r="K451">
        <f>IF(OR(計分!K451="",計分!$AP451=""),"",計分!$AP451-計分!K451)</f>
        <v/>
      </c>
      <c r="L451">
        <f>IF(OR(計分!L451="",計分!$AP451=""),"",計分!$AP451-計分!L451)</f>
        <v/>
      </c>
      <c r="M451">
        <f>IF(OR(計分!M451="",計分!$AP451=""),"",計分!$AP451-計分!M451)</f>
        <v/>
      </c>
      <c r="N451">
        <f>IF(OR(計分!N451="",計分!$AP451=""),"",計分!$AP451-計分!N451)</f>
        <v/>
      </c>
      <c r="O451">
        <f>IF(OR(計分!O451="",計分!$AP451=""),"",計分!$AP451-計分!O451)</f>
        <v/>
      </c>
      <c r="P451">
        <f>IF(OR(計分!P451="",計分!$AP451=""),"",計分!$AP451-計分!P451)</f>
        <v/>
      </c>
      <c r="Q451">
        <f>IF(OR(計分!Q451="",計分!$AP451=""),"",計分!$AP451-計分!Q451)</f>
        <v/>
      </c>
      <c r="R451">
        <f>IF(OR(計分!R451="",計分!$AP451=""),"",計分!$AP451-計分!R451)</f>
        <v/>
      </c>
      <c r="S451">
        <f>IF(OR(計分!S451="",計分!$AP451=""),"",計分!$AP451-計分!S451)</f>
        <v/>
      </c>
      <c r="T451">
        <f>IF(OR(計分!T451="",計分!$AP451=""),"",計分!$AP451-計分!T451)</f>
        <v/>
      </c>
      <c r="U451">
        <f>IF(OR(計分!U451="",計分!$AP451=""),"",計分!$AP451-計分!U451)</f>
        <v/>
      </c>
      <c r="V451">
        <f>IF(OR(計分!V451="",計分!$AP451=""),"",計分!$AP451-計分!V451)</f>
        <v/>
      </c>
      <c r="W451">
        <f>IF(OR(計分!W451="",計分!$AP451=""),"",計分!$AP451-計分!W451)</f>
        <v/>
      </c>
      <c r="X451">
        <f>IF(OR(計分!X451="",計分!$AP451=""),"",計分!$AP451-計分!X451)</f>
        <v/>
      </c>
      <c r="Y451">
        <f>IF(OR(計分!Y451="",計分!$AP451=""),"",計分!$AP451-計分!Y451)</f>
        <v/>
      </c>
      <c r="Z451">
        <f>IF(OR(計分!Z451="",計分!$AP451=""),"",計分!$AP451-計分!Z451)</f>
        <v/>
      </c>
      <c r="AA451">
        <f>IF(OR(計分!AA451="",計分!$AP451=""),"",計分!$AP451-計分!AA451)</f>
        <v/>
      </c>
      <c r="AB451">
        <f>IF(OR(計分!AB451="",計分!$AP451=""),"",計分!$AP451-計分!AB451)</f>
        <v/>
      </c>
      <c r="AC451">
        <f>IF(OR(計分!AC451="",計分!$AP451=""),"",計分!$AP451-計分!AC451)</f>
        <v/>
      </c>
      <c r="AD451">
        <f>IF(OR(計分!AD451="",計分!$AP451=""),"",計分!$AP451-計分!AD451)</f>
        <v/>
      </c>
      <c r="AE451">
        <f>IF(OR(計分!AE451="",計分!$AP451=""),"",計分!$AP451-計分!AE451)</f>
        <v/>
      </c>
      <c r="AF451">
        <f>IF(OR(計分!AF451="",計分!$AP451=""),"",計分!$AP451-計分!AF451)</f>
        <v/>
      </c>
      <c r="AG451">
        <f>IF(OR(計分!AG451="",計分!$AP451=""),"",計分!$AP451-計分!AG451)</f>
        <v/>
      </c>
      <c r="AH451">
        <f>IF(OR(計分!AH451="",計分!$AP451=""),"",計分!$AP451-計分!AH451)</f>
        <v/>
      </c>
      <c r="AI451">
        <f>IF(OR(計分!AI451="",計分!$AP451=""),"",計分!$AP451-計分!AI451)</f>
        <v/>
      </c>
      <c r="AJ451">
        <f>IF(OR(計分!AJ451="",計分!$AP451=""),"",計分!$AP451-計分!AJ451)</f>
        <v/>
      </c>
      <c r="AK451">
        <f>IF(OR(計分!AK451="",計分!$AP451=""),"",計分!$AP451-計分!AK451)</f>
        <v/>
      </c>
      <c r="AL451">
        <f>IF(OR(計分!AL451="",計分!$AP451=""),"",計分!$AP451-計分!AL451)</f>
        <v/>
      </c>
      <c r="AM451">
        <f>IF(OR(計分!AM451="",計分!$AP451=""),"",計分!$AP451-計分!AM451)</f>
        <v/>
      </c>
      <c r="AN451">
        <f>IF(OR(計分!AN451="",計分!$AP451=""),"",計分!$AP451-計分!AN451)</f>
        <v/>
      </c>
      <c r="AO451">
        <f>IF(OR(計分!AO451="",計分!$AP451=""),"",計分!$AP451-計分!AO451)</f>
        <v/>
      </c>
    </row>
    <row r="452">
      <c r="A452">
        <f>計分!A452</f>
        <v/>
      </c>
      <c r="B452">
        <f>IF(OR(計分!B452="",計分!$AP452=""),"",計分!$AP452-計分!B452)</f>
        <v/>
      </c>
      <c r="C452">
        <f>IF(OR(計分!C452="",計分!$AP452=""),"",計分!$AP452-計分!C452)</f>
        <v/>
      </c>
      <c r="D452">
        <f>IF(OR(計分!D452="",計分!$AP452=""),"",計分!$AP452-計分!D452)</f>
        <v/>
      </c>
      <c r="E452">
        <f>IF(OR(計分!E452="",計分!$AP452=""),"",計分!$AP452-計分!E452)</f>
        <v/>
      </c>
      <c r="F452">
        <f>IF(OR(計分!F452="",計分!$AP452=""),"",計分!$AP452-計分!F452)</f>
        <v/>
      </c>
      <c r="G452">
        <f>IF(OR(計分!G452="",計分!$AP452=""),"",計分!$AP452-計分!G452)</f>
        <v/>
      </c>
      <c r="H452">
        <f>IF(OR(計分!H452="",計分!$AP452=""),"",計分!$AP452-計分!H452)</f>
        <v/>
      </c>
      <c r="I452">
        <f>IF(OR(計分!I452="",計分!$AP452=""),"",計分!$AP452-計分!I452)</f>
        <v/>
      </c>
      <c r="J452">
        <f>IF(OR(計分!J452="",計分!$AP452=""),"",計分!$AP452-計分!J452)</f>
        <v/>
      </c>
      <c r="K452">
        <f>IF(OR(計分!K452="",計分!$AP452=""),"",計分!$AP452-計分!K452)</f>
        <v/>
      </c>
      <c r="L452">
        <f>IF(OR(計分!L452="",計分!$AP452=""),"",計分!$AP452-計分!L452)</f>
        <v/>
      </c>
      <c r="M452">
        <f>IF(OR(計分!M452="",計分!$AP452=""),"",計分!$AP452-計分!M452)</f>
        <v/>
      </c>
      <c r="N452">
        <f>IF(OR(計分!N452="",計分!$AP452=""),"",計分!$AP452-計分!N452)</f>
        <v/>
      </c>
      <c r="O452">
        <f>IF(OR(計分!O452="",計分!$AP452=""),"",計分!$AP452-計分!O452)</f>
        <v/>
      </c>
      <c r="P452">
        <f>IF(OR(計分!P452="",計分!$AP452=""),"",計分!$AP452-計分!P452)</f>
        <v/>
      </c>
      <c r="Q452">
        <f>IF(OR(計分!Q452="",計分!$AP452=""),"",計分!$AP452-計分!Q452)</f>
        <v/>
      </c>
      <c r="R452">
        <f>IF(OR(計分!R452="",計分!$AP452=""),"",計分!$AP452-計分!R452)</f>
        <v/>
      </c>
      <c r="S452">
        <f>IF(OR(計分!S452="",計分!$AP452=""),"",計分!$AP452-計分!S452)</f>
        <v/>
      </c>
      <c r="T452">
        <f>IF(OR(計分!T452="",計分!$AP452=""),"",計分!$AP452-計分!T452)</f>
        <v/>
      </c>
      <c r="U452">
        <f>IF(OR(計分!U452="",計分!$AP452=""),"",計分!$AP452-計分!U452)</f>
        <v/>
      </c>
      <c r="V452">
        <f>IF(OR(計分!V452="",計分!$AP452=""),"",計分!$AP452-計分!V452)</f>
        <v/>
      </c>
      <c r="W452">
        <f>IF(OR(計分!W452="",計分!$AP452=""),"",計分!$AP452-計分!W452)</f>
        <v/>
      </c>
      <c r="X452">
        <f>IF(OR(計分!X452="",計分!$AP452=""),"",計分!$AP452-計分!X452)</f>
        <v/>
      </c>
      <c r="Y452">
        <f>IF(OR(計分!Y452="",計分!$AP452=""),"",計分!$AP452-計分!Y452)</f>
        <v/>
      </c>
      <c r="Z452">
        <f>IF(OR(計分!Z452="",計分!$AP452=""),"",計分!$AP452-計分!Z452)</f>
        <v/>
      </c>
      <c r="AA452">
        <f>IF(OR(計分!AA452="",計分!$AP452=""),"",計分!$AP452-計分!AA452)</f>
        <v/>
      </c>
      <c r="AB452">
        <f>IF(OR(計分!AB452="",計分!$AP452=""),"",計分!$AP452-計分!AB452)</f>
        <v/>
      </c>
      <c r="AC452">
        <f>IF(OR(計分!AC452="",計分!$AP452=""),"",計分!$AP452-計分!AC452)</f>
        <v/>
      </c>
      <c r="AD452">
        <f>IF(OR(計分!AD452="",計分!$AP452=""),"",計分!$AP452-計分!AD452)</f>
        <v/>
      </c>
      <c r="AE452">
        <f>IF(OR(計分!AE452="",計分!$AP452=""),"",計分!$AP452-計分!AE452)</f>
        <v/>
      </c>
      <c r="AF452">
        <f>IF(OR(計分!AF452="",計分!$AP452=""),"",計分!$AP452-計分!AF452)</f>
        <v/>
      </c>
      <c r="AG452">
        <f>IF(OR(計分!AG452="",計分!$AP452=""),"",計分!$AP452-計分!AG452)</f>
        <v/>
      </c>
      <c r="AH452">
        <f>IF(OR(計分!AH452="",計分!$AP452=""),"",計分!$AP452-計分!AH452)</f>
        <v/>
      </c>
      <c r="AI452">
        <f>IF(OR(計分!AI452="",計分!$AP452=""),"",計分!$AP452-計分!AI452)</f>
        <v/>
      </c>
      <c r="AJ452">
        <f>IF(OR(計分!AJ452="",計分!$AP452=""),"",計分!$AP452-計分!AJ452)</f>
        <v/>
      </c>
      <c r="AK452">
        <f>IF(OR(計分!AK452="",計分!$AP452=""),"",計分!$AP452-計分!AK452)</f>
        <v/>
      </c>
      <c r="AL452">
        <f>IF(OR(計分!AL452="",計分!$AP452=""),"",計分!$AP452-計分!AL452)</f>
        <v/>
      </c>
      <c r="AM452">
        <f>IF(OR(計分!AM452="",計分!$AP452=""),"",計分!$AP452-計分!AM452)</f>
        <v/>
      </c>
      <c r="AN452">
        <f>IF(OR(計分!AN452="",計分!$AP452=""),"",計分!$AP452-計分!AN452)</f>
        <v/>
      </c>
      <c r="AO452">
        <f>IF(OR(計分!AO452="",計分!$AP452=""),"",計分!$AP452-計分!AO452)</f>
        <v/>
      </c>
    </row>
    <row r="453">
      <c r="A453">
        <f>計分!A453</f>
        <v/>
      </c>
      <c r="B453">
        <f>IF(OR(計分!B453="",計分!$AP453=""),"",計分!$AP453-計分!B453)</f>
        <v/>
      </c>
      <c r="C453">
        <f>IF(OR(計分!C453="",計分!$AP453=""),"",計分!$AP453-計分!C453)</f>
        <v/>
      </c>
      <c r="D453">
        <f>IF(OR(計分!D453="",計分!$AP453=""),"",計分!$AP453-計分!D453)</f>
        <v/>
      </c>
      <c r="E453">
        <f>IF(OR(計分!E453="",計分!$AP453=""),"",計分!$AP453-計分!E453)</f>
        <v/>
      </c>
      <c r="F453">
        <f>IF(OR(計分!F453="",計分!$AP453=""),"",計分!$AP453-計分!F453)</f>
        <v/>
      </c>
      <c r="G453">
        <f>IF(OR(計分!G453="",計分!$AP453=""),"",計分!$AP453-計分!G453)</f>
        <v/>
      </c>
      <c r="H453">
        <f>IF(OR(計分!H453="",計分!$AP453=""),"",計分!$AP453-計分!H453)</f>
        <v/>
      </c>
      <c r="I453">
        <f>IF(OR(計分!I453="",計分!$AP453=""),"",計分!$AP453-計分!I453)</f>
        <v/>
      </c>
      <c r="J453">
        <f>IF(OR(計分!J453="",計分!$AP453=""),"",計分!$AP453-計分!J453)</f>
        <v/>
      </c>
      <c r="K453">
        <f>IF(OR(計分!K453="",計分!$AP453=""),"",計分!$AP453-計分!K453)</f>
        <v/>
      </c>
      <c r="L453">
        <f>IF(OR(計分!L453="",計分!$AP453=""),"",計分!$AP453-計分!L453)</f>
        <v/>
      </c>
      <c r="M453">
        <f>IF(OR(計分!M453="",計分!$AP453=""),"",計分!$AP453-計分!M453)</f>
        <v/>
      </c>
      <c r="N453">
        <f>IF(OR(計分!N453="",計分!$AP453=""),"",計分!$AP453-計分!N453)</f>
        <v/>
      </c>
      <c r="O453">
        <f>IF(OR(計分!O453="",計分!$AP453=""),"",計分!$AP453-計分!O453)</f>
        <v/>
      </c>
      <c r="P453">
        <f>IF(OR(計分!P453="",計分!$AP453=""),"",計分!$AP453-計分!P453)</f>
        <v/>
      </c>
      <c r="Q453">
        <f>IF(OR(計分!Q453="",計分!$AP453=""),"",計分!$AP453-計分!Q453)</f>
        <v/>
      </c>
      <c r="R453">
        <f>IF(OR(計分!R453="",計分!$AP453=""),"",計分!$AP453-計分!R453)</f>
        <v/>
      </c>
      <c r="S453">
        <f>IF(OR(計分!S453="",計分!$AP453=""),"",計分!$AP453-計分!S453)</f>
        <v/>
      </c>
      <c r="T453">
        <f>IF(OR(計分!T453="",計分!$AP453=""),"",計分!$AP453-計分!T453)</f>
        <v/>
      </c>
      <c r="U453">
        <f>IF(OR(計分!U453="",計分!$AP453=""),"",計分!$AP453-計分!U453)</f>
        <v/>
      </c>
      <c r="V453">
        <f>IF(OR(計分!V453="",計分!$AP453=""),"",計分!$AP453-計分!V453)</f>
        <v/>
      </c>
      <c r="W453">
        <f>IF(OR(計分!W453="",計分!$AP453=""),"",計分!$AP453-計分!W453)</f>
        <v/>
      </c>
      <c r="X453">
        <f>IF(OR(計分!X453="",計分!$AP453=""),"",計分!$AP453-計分!X453)</f>
        <v/>
      </c>
      <c r="Y453">
        <f>IF(OR(計分!Y453="",計分!$AP453=""),"",計分!$AP453-計分!Y453)</f>
        <v/>
      </c>
      <c r="Z453">
        <f>IF(OR(計分!Z453="",計分!$AP453=""),"",計分!$AP453-計分!Z453)</f>
        <v/>
      </c>
      <c r="AA453">
        <f>IF(OR(計分!AA453="",計分!$AP453=""),"",計分!$AP453-計分!AA453)</f>
        <v/>
      </c>
      <c r="AB453">
        <f>IF(OR(計分!AB453="",計分!$AP453=""),"",計分!$AP453-計分!AB453)</f>
        <v/>
      </c>
      <c r="AC453">
        <f>IF(OR(計分!AC453="",計分!$AP453=""),"",計分!$AP453-計分!AC453)</f>
        <v/>
      </c>
      <c r="AD453">
        <f>IF(OR(計分!AD453="",計分!$AP453=""),"",計分!$AP453-計分!AD453)</f>
        <v/>
      </c>
      <c r="AE453">
        <f>IF(OR(計分!AE453="",計分!$AP453=""),"",計分!$AP453-計分!AE453)</f>
        <v/>
      </c>
      <c r="AF453">
        <f>IF(OR(計分!AF453="",計分!$AP453=""),"",計分!$AP453-計分!AF453)</f>
        <v/>
      </c>
      <c r="AG453">
        <f>IF(OR(計分!AG453="",計分!$AP453=""),"",計分!$AP453-計分!AG453)</f>
        <v/>
      </c>
      <c r="AH453">
        <f>IF(OR(計分!AH453="",計分!$AP453=""),"",計分!$AP453-計分!AH453)</f>
        <v/>
      </c>
      <c r="AI453">
        <f>IF(OR(計分!AI453="",計分!$AP453=""),"",計分!$AP453-計分!AI453)</f>
        <v/>
      </c>
      <c r="AJ453">
        <f>IF(OR(計分!AJ453="",計分!$AP453=""),"",計分!$AP453-計分!AJ453)</f>
        <v/>
      </c>
      <c r="AK453">
        <f>IF(OR(計分!AK453="",計分!$AP453=""),"",計分!$AP453-計分!AK453)</f>
        <v/>
      </c>
      <c r="AL453">
        <f>IF(OR(計分!AL453="",計分!$AP453=""),"",計分!$AP453-計分!AL453)</f>
        <v/>
      </c>
      <c r="AM453">
        <f>IF(OR(計分!AM453="",計分!$AP453=""),"",計分!$AP453-計分!AM453)</f>
        <v/>
      </c>
      <c r="AN453">
        <f>IF(OR(計分!AN453="",計分!$AP453=""),"",計分!$AP453-計分!AN453)</f>
        <v/>
      </c>
      <c r="AO453">
        <f>IF(OR(計分!AO453="",計分!$AP453=""),"",計分!$AP453-計分!AO453)</f>
        <v/>
      </c>
    </row>
    <row r="454">
      <c r="A454">
        <f>計分!A454</f>
        <v/>
      </c>
      <c r="B454">
        <f>IF(OR(計分!B454="",計分!$AP454=""),"",計分!$AP454-計分!B454)</f>
        <v/>
      </c>
      <c r="C454">
        <f>IF(OR(計分!C454="",計分!$AP454=""),"",計分!$AP454-計分!C454)</f>
        <v/>
      </c>
      <c r="D454">
        <f>IF(OR(計分!D454="",計分!$AP454=""),"",計分!$AP454-計分!D454)</f>
        <v/>
      </c>
      <c r="E454">
        <f>IF(OR(計分!E454="",計分!$AP454=""),"",計分!$AP454-計分!E454)</f>
        <v/>
      </c>
      <c r="F454">
        <f>IF(OR(計分!F454="",計分!$AP454=""),"",計分!$AP454-計分!F454)</f>
        <v/>
      </c>
      <c r="G454">
        <f>IF(OR(計分!G454="",計分!$AP454=""),"",計分!$AP454-計分!G454)</f>
        <v/>
      </c>
      <c r="H454">
        <f>IF(OR(計分!H454="",計分!$AP454=""),"",計分!$AP454-計分!H454)</f>
        <v/>
      </c>
      <c r="I454">
        <f>IF(OR(計分!I454="",計分!$AP454=""),"",計分!$AP454-計分!I454)</f>
        <v/>
      </c>
      <c r="J454">
        <f>IF(OR(計分!J454="",計分!$AP454=""),"",計分!$AP454-計分!J454)</f>
        <v/>
      </c>
      <c r="K454">
        <f>IF(OR(計分!K454="",計分!$AP454=""),"",計分!$AP454-計分!K454)</f>
        <v/>
      </c>
      <c r="L454">
        <f>IF(OR(計分!L454="",計分!$AP454=""),"",計分!$AP454-計分!L454)</f>
        <v/>
      </c>
      <c r="M454">
        <f>IF(OR(計分!M454="",計分!$AP454=""),"",計分!$AP454-計分!M454)</f>
        <v/>
      </c>
      <c r="N454">
        <f>IF(OR(計分!N454="",計分!$AP454=""),"",計分!$AP454-計分!N454)</f>
        <v/>
      </c>
      <c r="O454">
        <f>IF(OR(計分!O454="",計分!$AP454=""),"",計分!$AP454-計分!O454)</f>
        <v/>
      </c>
      <c r="P454">
        <f>IF(OR(計分!P454="",計分!$AP454=""),"",計分!$AP454-計分!P454)</f>
        <v/>
      </c>
      <c r="Q454">
        <f>IF(OR(計分!Q454="",計分!$AP454=""),"",計分!$AP454-計分!Q454)</f>
        <v/>
      </c>
      <c r="R454">
        <f>IF(OR(計分!R454="",計分!$AP454=""),"",計分!$AP454-計分!R454)</f>
        <v/>
      </c>
      <c r="S454">
        <f>IF(OR(計分!S454="",計分!$AP454=""),"",計分!$AP454-計分!S454)</f>
        <v/>
      </c>
      <c r="T454">
        <f>IF(OR(計分!T454="",計分!$AP454=""),"",計分!$AP454-計分!T454)</f>
        <v/>
      </c>
      <c r="U454">
        <f>IF(OR(計分!U454="",計分!$AP454=""),"",計分!$AP454-計分!U454)</f>
        <v/>
      </c>
      <c r="V454">
        <f>IF(OR(計分!V454="",計分!$AP454=""),"",計分!$AP454-計分!V454)</f>
        <v/>
      </c>
      <c r="W454">
        <f>IF(OR(計分!W454="",計分!$AP454=""),"",計分!$AP454-計分!W454)</f>
        <v/>
      </c>
      <c r="X454">
        <f>IF(OR(計分!X454="",計分!$AP454=""),"",計分!$AP454-計分!X454)</f>
        <v/>
      </c>
      <c r="Y454">
        <f>IF(OR(計分!Y454="",計分!$AP454=""),"",計分!$AP454-計分!Y454)</f>
        <v/>
      </c>
      <c r="Z454">
        <f>IF(OR(計分!Z454="",計分!$AP454=""),"",計分!$AP454-計分!Z454)</f>
        <v/>
      </c>
      <c r="AA454">
        <f>IF(OR(計分!AA454="",計分!$AP454=""),"",計分!$AP454-計分!AA454)</f>
        <v/>
      </c>
      <c r="AB454">
        <f>IF(OR(計分!AB454="",計分!$AP454=""),"",計分!$AP454-計分!AB454)</f>
        <v/>
      </c>
      <c r="AC454">
        <f>IF(OR(計分!AC454="",計分!$AP454=""),"",計分!$AP454-計分!AC454)</f>
        <v/>
      </c>
      <c r="AD454">
        <f>IF(OR(計分!AD454="",計分!$AP454=""),"",計分!$AP454-計分!AD454)</f>
        <v/>
      </c>
      <c r="AE454">
        <f>IF(OR(計分!AE454="",計分!$AP454=""),"",計分!$AP454-計分!AE454)</f>
        <v/>
      </c>
      <c r="AF454">
        <f>IF(OR(計分!AF454="",計分!$AP454=""),"",計分!$AP454-計分!AF454)</f>
        <v/>
      </c>
      <c r="AG454">
        <f>IF(OR(計分!AG454="",計分!$AP454=""),"",計分!$AP454-計分!AG454)</f>
        <v/>
      </c>
      <c r="AH454">
        <f>IF(OR(計分!AH454="",計分!$AP454=""),"",計分!$AP454-計分!AH454)</f>
        <v/>
      </c>
      <c r="AI454">
        <f>IF(OR(計分!AI454="",計分!$AP454=""),"",計分!$AP454-計分!AI454)</f>
        <v/>
      </c>
      <c r="AJ454">
        <f>IF(OR(計分!AJ454="",計分!$AP454=""),"",計分!$AP454-計分!AJ454)</f>
        <v/>
      </c>
      <c r="AK454">
        <f>IF(OR(計分!AK454="",計分!$AP454=""),"",計分!$AP454-計分!AK454)</f>
        <v/>
      </c>
      <c r="AL454">
        <f>IF(OR(計分!AL454="",計分!$AP454=""),"",計分!$AP454-計分!AL454)</f>
        <v/>
      </c>
      <c r="AM454">
        <f>IF(OR(計分!AM454="",計分!$AP454=""),"",計分!$AP454-計分!AM454)</f>
        <v/>
      </c>
      <c r="AN454">
        <f>IF(OR(計分!AN454="",計分!$AP454=""),"",計分!$AP454-計分!AN454)</f>
        <v/>
      </c>
      <c r="AO454">
        <f>IF(OR(計分!AO454="",計分!$AP454=""),"",計分!$AP454-計分!AO454)</f>
        <v/>
      </c>
    </row>
    <row r="455">
      <c r="A455">
        <f>計分!A455</f>
        <v/>
      </c>
      <c r="B455">
        <f>IF(OR(計分!B455="",計分!$AP455=""),"",計分!$AP455-計分!B455)</f>
        <v/>
      </c>
      <c r="C455">
        <f>IF(OR(計分!C455="",計分!$AP455=""),"",計分!$AP455-計分!C455)</f>
        <v/>
      </c>
      <c r="D455">
        <f>IF(OR(計分!D455="",計分!$AP455=""),"",計分!$AP455-計分!D455)</f>
        <v/>
      </c>
      <c r="E455">
        <f>IF(OR(計分!E455="",計分!$AP455=""),"",計分!$AP455-計分!E455)</f>
        <v/>
      </c>
      <c r="F455">
        <f>IF(OR(計分!F455="",計分!$AP455=""),"",計分!$AP455-計分!F455)</f>
        <v/>
      </c>
      <c r="G455">
        <f>IF(OR(計分!G455="",計分!$AP455=""),"",計分!$AP455-計分!G455)</f>
        <v/>
      </c>
      <c r="H455">
        <f>IF(OR(計分!H455="",計分!$AP455=""),"",計分!$AP455-計分!H455)</f>
        <v/>
      </c>
      <c r="I455">
        <f>IF(OR(計分!I455="",計分!$AP455=""),"",計分!$AP455-計分!I455)</f>
        <v/>
      </c>
      <c r="J455">
        <f>IF(OR(計分!J455="",計分!$AP455=""),"",計分!$AP455-計分!J455)</f>
        <v/>
      </c>
      <c r="K455">
        <f>IF(OR(計分!K455="",計分!$AP455=""),"",計分!$AP455-計分!K455)</f>
        <v/>
      </c>
      <c r="L455">
        <f>IF(OR(計分!L455="",計分!$AP455=""),"",計分!$AP455-計分!L455)</f>
        <v/>
      </c>
      <c r="M455">
        <f>IF(OR(計分!M455="",計分!$AP455=""),"",計分!$AP455-計分!M455)</f>
        <v/>
      </c>
      <c r="N455">
        <f>IF(OR(計分!N455="",計分!$AP455=""),"",計分!$AP455-計分!N455)</f>
        <v/>
      </c>
      <c r="O455">
        <f>IF(OR(計分!O455="",計分!$AP455=""),"",計分!$AP455-計分!O455)</f>
        <v/>
      </c>
      <c r="P455">
        <f>IF(OR(計分!P455="",計分!$AP455=""),"",計分!$AP455-計分!P455)</f>
        <v/>
      </c>
      <c r="Q455">
        <f>IF(OR(計分!Q455="",計分!$AP455=""),"",計分!$AP455-計分!Q455)</f>
        <v/>
      </c>
      <c r="R455">
        <f>IF(OR(計分!R455="",計分!$AP455=""),"",計分!$AP455-計分!R455)</f>
        <v/>
      </c>
      <c r="S455">
        <f>IF(OR(計分!S455="",計分!$AP455=""),"",計分!$AP455-計分!S455)</f>
        <v/>
      </c>
      <c r="T455">
        <f>IF(OR(計分!T455="",計分!$AP455=""),"",計分!$AP455-計分!T455)</f>
        <v/>
      </c>
      <c r="U455">
        <f>IF(OR(計分!U455="",計分!$AP455=""),"",計分!$AP455-計分!U455)</f>
        <v/>
      </c>
      <c r="V455">
        <f>IF(OR(計分!V455="",計分!$AP455=""),"",計分!$AP455-計分!V455)</f>
        <v/>
      </c>
      <c r="W455">
        <f>IF(OR(計分!W455="",計分!$AP455=""),"",計分!$AP455-計分!W455)</f>
        <v/>
      </c>
      <c r="X455">
        <f>IF(OR(計分!X455="",計分!$AP455=""),"",計分!$AP455-計分!X455)</f>
        <v/>
      </c>
      <c r="Y455">
        <f>IF(OR(計分!Y455="",計分!$AP455=""),"",計分!$AP455-計分!Y455)</f>
        <v/>
      </c>
      <c r="Z455">
        <f>IF(OR(計分!Z455="",計分!$AP455=""),"",計分!$AP455-計分!Z455)</f>
        <v/>
      </c>
      <c r="AA455">
        <f>IF(OR(計分!AA455="",計分!$AP455=""),"",計分!$AP455-計分!AA455)</f>
        <v/>
      </c>
      <c r="AB455">
        <f>IF(OR(計分!AB455="",計分!$AP455=""),"",計分!$AP455-計分!AB455)</f>
        <v/>
      </c>
      <c r="AC455">
        <f>IF(OR(計分!AC455="",計分!$AP455=""),"",計分!$AP455-計分!AC455)</f>
        <v/>
      </c>
      <c r="AD455">
        <f>IF(OR(計分!AD455="",計分!$AP455=""),"",計分!$AP455-計分!AD455)</f>
        <v/>
      </c>
      <c r="AE455">
        <f>IF(OR(計分!AE455="",計分!$AP455=""),"",計分!$AP455-計分!AE455)</f>
        <v/>
      </c>
      <c r="AF455">
        <f>IF(OR(計分!AF455="",計分!$AP455=""),"",計分!$AP455-計分!AF455)</f>
        <v/>
      </c>
      <c r="AG455">
        <f>IF(OR(計分!AG455="",計分!$AP455=""),"",計分!$AP455-計分!AG455)</f>
        <v/>
      </c>
      <c r="AH455">
        <f>IF(OR(計分!AH455="",計分!$AP455=""),"",計分!$AP455-計分!AH455)</f>
        <v/>
      </c>
      <c r="AI455">
        <f>IF(OR(計分!AI455="",計分!$AP455=""),"",計分!$AP455-計分!AI455)</f>
        <v/>
      </c>
      <c r="AJ455">
        <f>IF(OR(計分!AJ455="",計分!$AP455=""),"",計分!$AP455-計分!AJ455)</f>
        <v/>
      </c>
      <c r="AK455">
        <f>IF(OR(計分!AK455="",計分!$AP455=""),"",計分!$AP455-計分!AK455)</f>
        <v/>
      </c>
      <c r="AL455">
        <f>IF(OR(計分!AL455="",計分!$AP455=""),"",計分!$AP455-計分!AL455)</f>
        <v/>
      </c>
      <c r="AM455">
        <f>IF(OR(計分!AM455="",計分!$AP455=""),"",計分!$AP455-計分!AM455)</f>
        <v/>
      </c>
      <c r="AN455">
        <f>IF(OR(計分!AN455="",計分!$AP455=""),"",計分!$AP455-計分!AN455)</f>
        <v/>
      </c>
      <c r="AO455">
        <f>IF(OR(計分!AO455="",計分!$AP455=""),"",計分!$AP455-計分!AO455)</f>
        <v/>
      </c>
    </row>
    <row r="456">
      <c r="A456">
        <f>計分!A456</f>
        <v/>
      </c>
      <c r="B456">
        <f>IF(OR(計分!B456="",計分!$AP456=""),"",計分!$AP456-計分!B456)</f>
        <v/>
      </c>
      <c r="C456">
        <f>IF(OR(計分!C456="",計分!$AP456=""),"",計分!$AP456-計分!C456)</f>
        <v/>
      </c>
      <c r="D456">
        <f>IF(OR(計分!D456="",計分!$AP456=""),"",計分!$AP456-計分!D456)</f>
        <v/>
      </c>
      <c r="E456">
        <f>IF(OR(計分!E456="",計分!$AP456=""),"",計分!$AP456-計分!E456)</f>
        <v/>
      </c>
      <c r="F456">
        <f>IF(OR(計分!F456="",計分!$AP456=""),"",計分!$AP456-計分!F456)</f>
        <v/>
      </c>
      <c r="G456">
        <f>IF(OR(計分!G456="",計分!$AP456=""),"",計分!$AP456-計分!G456)</f>
        <v/>
      </c>
      <c r="H456">
        <f>IF(OR(計分!H456="",計分!$AP456=""),"",計分!$AP456-計分!H456)</f>
        <v/>
      </c>
      <c r="I456">
        <f>IF(OR(計分!I456="",計分!$AP456=""),"",計分!$AP456-計分!I456)</f>
        <v/>
      </c>
      <c r="J456">
        <f>IF(OR(計分!J456="",計分!$AP456=""),"",計分!$AP456-計分!J456)</f>
        <v/>
      </c>
      <c r="K456">
        <f>IF(OR(計分!K456="",計分!$AP456=""),"",計分!$AP456-計分!K456)</f>
        <v/>
      </c>
      <c r="L456">
        <f>IF(OR(計分!L456="",計分!$AP456=""),"",計分!$AP456-計分!L456)</f>
        <v/>
      </c>
      <c r="M456">
        <f>IF(OR(計分!M456="",計分!$AP456=""),"",計分!$AP456-計分!M456)</f>
        <v/>
      </c>
      <c r="N456">
        <f>IF(OR(計分!N456="",計分!$AP456=""),"",計分!$AP456-計分!N456)</f>
        <v/>
      </c>
      <c r="O456">
        <f>IF(OR(計分!O456="",計分!$AP456=""),"",計分!$AP456-計分!O456)</f>
        <v/>
      </c>
      <c r="P456">
        <f>IF(OR(計分!P456="",計分!$AP456=""),"",計分!$AP456-計分!P456)</f>
        <v/>
      </c>
      <c r="Q456">
        <f>IF(OR(計分!Q456="",計分!$AP456=""),"",計分!$AP456-計分!Q456)</f>
        <v/>
      </c>
      <c r="R456">
        <f>IF(OR(計分!R456="",計分!$AP456=""),"",計分!$AP456-計分!R456)</f>
        <v/>
      </c>
      <c r="S456">
        <f>IF(OR(計分!S456="",計分!$AP456=""),"",計分!$AP456-計分!S456)</f>
        <v/>
      </c>
      <c r="T456">
        <f>IF(OR(計分!T456="",計分!$AP456=""),"",計分!$AP456-計分!T456)</f>
        <v/>
      </c>
      <c r="U456">
        <f>IF(OR(計分!U456="",計分!$AP456=""),"",計分!$AP456-計分!U456)</f>
        <v/>
      </c>
      <c r="V456">
        <f>IF(OR(計分!V456="",計分!$AP456=""),"",計分!$AP456-計分!V456)</f>
        <v/>
      </c>
      <c r="W456">
        <f>IF(OR(計分!W456="",計分!$AP456=""),"",計分!$AP456-計分!W456)</f>
        <v/>
      </c>
      <c r="X456">
        <f>IF(OR(計分!X456="",計分!$AP456=""),"",計分!$AP456-計分!X456)</f>
        <v/>
      </c>
      <c r="Y456">
        <f>IF(OR(計分!Y456="",計分!$AP456=""),"",計分!$AP456-計分!Y456)</f>
        <v/>
      </c>
      <c r="Z456">
        <f>IF(OR(計分!Z456="",計分!$AP456=""),"",計分!$AP456-計分!Z456)</f>
        <v/>
      </c>
      <c r="AA456">
        <f>IF(OR(計分!AA456="",計分!$AP456=""),"",計分!$AP456-計分!AA456)</f>
        <v/>
      </c>
      <c r="AB456">
        <f>IF(OR(計分!AB456="",計分!$AP456=""),"",計分!$AP456-計分!AB456)</f>
        <v/>
      </c>
      <c r="AC456">
        <f>IF(OR(計分!AC456="",計分!$AP456=""),"",計分!$AP456-計分!AC456)</f>
        <v/>
      </c>
      <c r="AD456">
        <f>IF(OR(計分!AD456="",計分!$AP456=""),"",計分!$AP456-計分!AD456)</f>
        <v/>
      </c>
      <c r="AE456">
        <f>IF(OR(計分!AE456="",計分!$AP456=""),"",計分!$AP456-計分!AE456)</f>
        <v/>
      </c>
      <c r="AF456">
        <f>IF(OR(計分!AF456="",計分!$AP456=""),"",計分!$AP456-計分!AF456)</f>
        <v/>
      </c>
      <c r="AG456">
        <f>IF(OR(計分!AG456="",計分!$AP456=""),"",計分!$AP456-計分!AG456)</f>
        <v/>
      </c>
      <c r="AH456">
        <f>IF(OR(計分!AH456="",計分!$AP456=""),"",計分!$AP456-計分!AH456)</f>
        <v/>
      </c>
      <c r="AI456">
        <f>IF(OR(計分!AI456="",計分!$AP456=""),"",計分!$AP456-計分!AI456)</f>
        <v/>
      </c>
      <c r="AJ456">
        <f>IF(OR(計分!AJ456="",計分!$AP456=""),"",計分!$AP456-計分!AJ456)</f>
        <v/>
      </c>
      <c r="AK456">
        <f>IF(OR(計分!AK456="",計分!$AP456=""),"",計分!$AP456-計分!AK456)</f>
        <v/>
      </c>
      <c r="AL456">
        <f>IF(OR(計分!AL456="",計分!$AP456=""),"",計分!$AP456-計分!AL456)</f>
        <v/>
      </c>
      <c r="AM456">
        <f>IF(OR(計分!AM456="",計分!$AP456=""),"",計分!$AP456-計分!AM456)</f>
        <v/>
      </c>
      <c r="AN456">
        <f>IF(OR(計分!AN456="",計分!$AP456=""),"",計分!$AP456-計分!AN456)</f>
        <v/>
      </c>
      <c r="AO456">
        <f>IF(OR(計分!AO456="",計分!$AP456=""),"",計分!$AP456-計分!AO456)</f>
        <v/>
      </c>
    </row>
    <row r="457">
      <c r="A457">
        <f>計分!A457</f>
        <v/>
      </c>
      <c r="B457">
        <f>IF(OR(計分!B457="",計分!$AP457=""),"",計分!$AP457-計分!B457)</f>
        <v/>
      </c>
      <c r="C457">
        <f>IF(OR(計分!C457="",計分!$AP457=""),"",計分!$AP457-計分!C457)</f>
        <v/>
      </c>
      <c r="D457">
        <f>IF(OR(計分!D457="",計分!$AP457=""),"",計分!$AP457-計分!D457)</f>
        <v/>
      </c>
      <c r="E457">
        <f>IF(OR(計分!E457="",計分!$AP457=""),"",計分!$AP457-計分!E457)</f>
        <v/>
      </c>
      <c r="F457">
        <f>IF(OR(計分!F457="",計分!$AP457=""),"",計分!$AP457-計分!F457)</f>
        <v/>
      </c>
      <c r="G457">
        <f>IF(OR(計分!G457="",計分!$AP457=""),"",計分!$AP457-計分!G457)</f>
        <v/>
      </c>
      <c r="H457">
        <f>IF(OR(計分!H457="",計分!$AP457=""),"",計分!$AP457-計分!H457)</f>
        <v/>
      </c>
      <c r="I457">
        <f>IF(OR(計分!I457="",計分!$AP457=""),"",計分!$AP457-計分!I457)</f>
        <v/>
      </c>
      <c r="J457">
        <f>IF(OR(計分!J457="",計分!$AP457=""),"",計分!$AP457-計分!J457)</f>
        <v/>
      </c>
      <c r="K457">
        <f>IF(OR(計分!K457="",計分!$AP457=""),"",計分!$AP457-計分!K457)</f>
        <v/>
      </c>
      <c r="L457">
        <f>IF(OR(計分!L457="",計分!$AP457=""),"",計分!$AP457-計分!L457)</f>
        <v/>
      </c>
      <c r="M457">
        <f>IF(OR(計分!M457="",計分!$AP457=""),"",計分!$AP457-計分!M457)</f>
        <v/>
      </c>
      <c r="N457">
        <f>IF(OR(計分!N457="",計分!$AP457=""),"",計分!$AP457-計分!N457)</f>
        <v/>
      </c>
      <c r="O457">
        <f>IF(OR(計分!O457="",計分!$AP457=""),"",計分!$AP457-計分!O457)</f>
        <v/>
      </c>
      <c r="P457">
        <f>IF(OR(計分!P457="",計分!$AP457=""),"",計分!$AP457-計分!P457)</f>
        <v/>
      </c>
      <c r="Q457">
        <f>IF(OR(計分!Q457="",計分!$AP457=""),"",計分!$AP457-計分!Q457)</f>
        <v/>
      </c>
      <c r="R457">
        <f>IF(OR(計分!R457="",計分!$AP457=""),"",計分!$AP457-計分!R457)</f>
        <v/>
      </c>
      <c r="S457">
        <f>IF(OR(計分!S457="",計分!$AP457=""),"",計分!$AP457-計分!S457)</f>
        <v/>
      </c>
      <c r="T457">
        <f>IF(OR(計分!T457="",計分!$AP457=""),"",計分!$AP457-計分!T457)</f>
        <v/>
      </c>
      <c r="U457">
        <f>IF(OR(計分!U457="",計分!$AP457=""),"",計分!$AP457-計分!U457)</f>
        <v/>
      </c>
      <c r="V457">
        <f>IF(OR(計分!V457="",計分!$AP457=""),"",計分!$AP457-計分!V457)</f>
        <v/>
      </c>
      <c r="W457">
        <f>IF(OR(計分!W457="",計分!$AP457=""),"",計分!$AP457-計分!W457)</f>
        <v/>
      </c>
      <c r="X457">
        <f>IF(OR(計分!X457="",計分!$AP457=""),"",計分!$AP457-計分!X457)</f>
        <v/>
      </c>
      <c r="Y457">
        <f>IF(OR(計分!Y457="",計分!$AP457=""),"",計分!$AP457-計分!Y457)</f>
        <v/>
      </c>
      <c r="Z457">
        <f>IF(OR(計分!Z457="",計分!$AP457=""),"",計分!$AP457-計分!Z457)</f>
        <v/>
      </c>
      <c r="AA457">
        <f>IF(OR(計分!AA457="",計分!$AP457=""),"",計分!$AP457-計分!AA457)</f>
        <v/>
      </c>
      <c r="AB457">
        <f>IF(OR(計分!AB457="",計分!$AP457=""),"",計分!$AP457-計分!AB457)</f>
        <v/>
      </c>
      <c r="AC457">
        <f>IF(OR(計分!AC457="",計分!$AP457=""),"",計分!$AP457-計分!AC457)</f>
        <v/>
      </c>
      <c r="AD457">
        <f>IF(OR(計分!AD457="",計分!$AP457=""),"",計分!$AP457-計分!AD457)</f>
        <v/>
      </c>
      <c r="AE457">
        <f>IF(OR(計分!AE457="",計分!$AP457=""),"",計分!$AP457-計分!AE457)</f>
        <v/>
      </c>
      <c r="AF457">
        <f>IF(OR(計分!AF457="",計分!$AP457=""),"",計分!$AP457-計分!AF457)</f>
        <v/>
      </c>
      <c r="AG457">
        <f>IF(OR(計分!AG457="",計分!$AP457=""),"",計分!$AP457-計分!AG457)</f>
        <v/>
      </c>
      <c r="AH457">
        <f>IF(OR(計分!AH457="",計分!$AP457=""),"",計分!$AP457-計分!AH457)</f>
        <v/>
      </c>
      <c r="AI457">
        <f>IF(OR(計分!AI457="",計分!$AP457=""),"",計分!$AP457-計分!AI457)</f>
        <v/>
      </c>
      <c r="AJ457">
        <f>IF(OR(計分!AJ457="",計分!$AP457=""),"",計分!$AP457-計分!AJ457)</f>
        <v/>
      </c>
      <c r="AK457">
        <f>IF(OR(計分!AK457="",計分!$AP457=""),"",計分!$AP457-計分!AK457)</f>
        <v/>
      </c>
      <c r="AL457">
        <f>IF(OR(計分!AL457="",計分!$AP457=""),"",計分!$AP457-計分!AL457)</f>
        <v/>
      </c>
      <c r="AM457">
        <f>IF(OR(計分!AM457="",計分!$AP457=""),"",計分!$AP457-計分!AM457)</f>
        <v/>
      </c>
      <c r="AN457">
        <f>IF(OR(計分!AN457="",計分!$AP457=""),"",計分!$AP457-計分!AN457)</f>
        <v/>
      </c>
      <c r="AO457">
        <f>IF(OR(計分!AO457="",計分!$AP457=""),"",計分!$AP457-計分!AO457)</f>
        <v/>
      </c>
    </row>
    <row r="458">
      <c r="A458">
        <f>計分!A458</f>
        <v/>
      </c>
      <c r="B458">
        <f>IF(OR(計分!B458="",計分!$AP458=""),"",計分!$AP458-計分!B458)</f>
        <v/>
      </c>
      <c r="C458">
        <f>IF(OR(計分!C458="",計分!$AP458=""),"",計分!$AP458-計分!C458)</f>
        <v/>
      </c>
      <c r="D458">
        <f>IF(OR(計分!D458="",計分!$AP458=""),"",計分!$AP458-計分!D458)</f>
        <v/>
      </c>
      <c r="E458">
        <f>IF(OR(計分!E458="",計分!$AP458=""),"",計分!$AP458-計分!E458)</f>
        <v/>
      </c>
      <c r="F458">
        <f>IF(OR(計分!F458="",計分!$AP458=""),"",計分!$AP458-計分!F458)</f>
        <v/>
      </c>
      <c r="G458">
        <f>IF(OR(計分!G458="",計分!$AP458=""),"",計分!$AP458-計分!G458)</f>
        <v/>
      </c>
      <c r="H458">
        <f>IF(OR(計分!H458="",計分!$AP458=""),"",計分!$AP458-計分!H458)</f>
        <v/>
      </c>
      <c r="I458">
        <f>IF(OR(計分!I458="",計分!$AP458=""),"",計分!$AP458-計分!I458)</f>
        <v/>
      </c>
      <c r="J458">
        <f>IF(OR(計分!J458="",計分!$AP458=""),"",計分!$AP458-計分!J458)</f>
        <v/>
      </c>
      <c r="K458">
        <f>IF(OR(計分!K458="",計分!$AP458=""),"",計分!$AP458-計分!K458)</f>
        <v/>
      </c>
      <c r="L458">
        <f>IF(OR(計分!L458="",計分!$AP458=""),"",計分!$AP458-計分!L458)</f>
        <v/>
      </c>
      <c r="M458">
        <f>IF(OR(計分!M458="",計分!$AP458=""),"",計分!$AP458-計分!M458)</f>
        <v/>
      </c>
      <c r="N458">
        <f>IF(OR(計分!N458="",計分!$AP458=""),"",計分!$AP458-計分!N458)</f>
        <v/>
      </c>
      <c r="O458">
        <f>IF(OR(計分!O458="",計分!$AP458=""),"",計分!$AP458-計分!O458)</f>
        <v/>
      </c>
      <c r="P458">
        <f>IF(OR(計分!P458="",計分!$AP458=""),"",計分!$AP458-計分!P458)</f>
        <v/>
      </c>
      <c r="Q458">
        <f>IF(OR(計分!Q458="",計分!$AP458=""),"",計分!$AP458-計分!Q458)</f>
        <v/>
      </c>
      <c r="R458">
        <f>IF(OR(計分!R458="",計分!$AP458=""),"",計分!$AP458-計分!R458)</f>
        <v/>
      </c>
      <c r="S458">
        <f>IF(OR(計分!S458="",計分!$AP458=""),"",計分!$AP458-計分!S458)</f>
        <v/>
      </c>
      <c r="T458">
        <f>IF(OR(計分!T458="",計分!$AP458=""),"",計分!$AP458-計分!T458)</f>
        <v/>
      </c>
      <c r="U458">
        <f>IF(OR(計分!U458="",計分!$AP458=""),"",計分!$AP458-計分!U458)</f>
        <v/>
      </c>
      <c r="V458">
        <f>IF(OR(計分!V458="",計分!$AP458=""),"",計分!$AP458-計分!V458)</f>
        <v/>
      </c>
      <c r="W458">
        <f>IF(OR(計分!W458="",計分!$AP458=""),"",計分!$AP458-計分!W458)</f>
        <v/>
      </c>
      <c r="X458">
        <f>IF(OR(計分!X458="",計分!$AP458=""),"",計分!$AP458-計分!X458)</f>
        <v/>
      </c>
      <c r="Y458">
        <f>IF(OR(計分!Y458="",計分!$AP458=""),"",計分!$AP458-計分!Y458)</f>
        <v/>
      </c>
      <c r="Z458">
        <f>IF(OR(計分!Z458="",計分!$AP458=""),"",計分!$AP458-計分!Z458)</f>
        <v/>
      </c>
      <c r="AA458">
        <f>IF(OR(計分!AA458="",計分!$AP458=""),"",計分!$AP458-計分!AA458)</f>
        <v/>
      </c>
      <c r="AB458">
        <f>IF(OR(計分!AB458="",計分!$AP458=""),"",計分!$AP458-計分!AB458)</f>
        <v/>
      </c>
      <c r="AC458">
        <f>IF(OR(計分!AC458="",計分!$AP458=""),"",計分!$AP458-計分!AC458)</f>
        <v/>
      </c>
      <c r="AD458">
        <f>IF(OR(計分!AD458="",計分!$AP458=""),"",計分!$AP458-計分!AD458)</f>
        <v/>
      </c>
      <c r="AE458">
        <f>IF(OR(計分!AE458="",計分!$AP458=""),"",計分!$AP458-計分!AE458)</f>
        <v/>
      </c>
      <c r="AF458">
        <f>IF(OR(計分!AF458="",計分!$AP458=""),"",計分!$AP458-計分!AF458)</f>
        <v/>
      </c>
      <c r="AG458">
        <f>IF(OR(計分!AG458="",計分!$AP458=""),"",計分!$AP458-計分!AG458)</f>
        <v/>
      </c>
      <c r="AH458">
        <f>IF(OR(計分!AH458="",計分!$AP458=""),"",計分!$AP458-計分!AH458)</f>
        <v/>
      </c>
      <c r="AI458">
        <f>IF(OR(計分!AI458="",計分!$AP458=""),"",計分!$AP458-計分!AI458)</f>
        <v/>
      </c>
      <c r="AJ458">
        <f>IF(OR(計分!AJ458="",計分!$AP458=""),"",計分!$AP458-計分!AJ458)</f>
        <v/>
      </c>
      <c r="AK458">
        <f>IF(OR(計分!AK458="",計分!$AP458=""),"",計分!$AP458-計分!AK458)</f>
        <v/>
      </c>
      <c r="AL458">
        <f>IF(OR(計分!AL458="",計分!$AP458=""),"",計分!$AP458-計分!AL458)</f>
        <v/>
      </c>
      <c r="AM458">
        <f>IF(OR(計分!AM458="",計分!$AP458=""),"",計分!$AP458-計分!AM458)</f>
        <v/>
      </c>
      <c r="AN458">
        <f>IF(OR(計分!AN458="",計分!$AP458=""),"",計分!$AP458-計分!AN458)</f>
        <v/>
      </c>
      <c r="AO458">
        <f>IF(OR(計分!AO458="",計分!$AP458=""),"",計分!$AP458-計分!AO458)</f>
        <v/>
      </c>
    </row>
    <row r="459">
      <c r="A459">
        <f>計分!A459</f>
        <v/>
      </c>
      <c r="B459">
        <f>IF(OR(計分!B459="",計分!$AP459=""),"",計分!$AP459-計分!B459)</f>
        <v/>
      </c>
      <c r="C459">
        <f>IF(OR(計分!C459="",計分!$AP459=""),"",計分!$AP459-計分!C459)</f>
        <v/>
      </c>
      <c r="D459">
        <f>IF(OR(計分!D459="",計分!$AP459=""),"",計分!$AP459-計分!D459)</f>
        <v/>
      </c>
      <c r="E459">
        <f>IF(OR(計分!E459="",計分!$AP459=""),"",計分!$AP459-計分!E459)</f>
        <v/>
      </c>
      <c r="F459">
        <f>IF(OR(計分!F459="",計分!$AP459=""),"",計分!$AP459-計分!F459)</f>
        <v/>
      </c>
      <c r="G459">
        <f>IF(OR(計分!G459="",計分!$AP459=""),"",計分!$AP459-計分!G459)</f>
        <v/>
      </c>
      <c r="H459">
        <f>IF(OR(計分!H459="",計分!$AP459=""),"",計分!$AP459-計分!H459)</f>
        <v/>
      </c>
      <c r="I459">
        <f>IF(OR(計分!I459="",計分!$AP459=""),"",計分!$AP459-計分!I459)</f>
        <v/>
      </c>
      <c r="J459">
        <f>IF(OR(計分!J459="",計分!$AP459=""),"",計分!$AP459-計分!J459)</f>
        <v/>
      </c>
      <c r="K459">
        <f>IF(OR(計分!K459="",計分!$AP459=""),"",計分!$AP459-計分!K459)</f>
        <v/>
      </c>
      <c r="L459">
        <f>IF(OR(計分!L459="",計分!$AP459=""),"",計分!$AP459-計分!L459)</f>
        <v/>
      </c>
      <c r="M459">
        <f>IF(OR(計分!M459="",計分!$AP459=""),"",計分!$AP459-計分!M459)</f>
        <v/>
      </c>
      <c r="N459">
        <f>IF(OR(計分!N459="",計分!$AP459=""),"",計分!$AP459-計分!N459)</f>
        <v/>
      </c>
      <c r="O459">
        <f>IF(OR(計分!O459="",計分!$AP459=""),"",計分!$AP459-計分!O459)</f>
        <v/>
      </c>
      <c r="P459">
        <f>IF(OR(計分!P459="",計分!$AP459=""),"",計分!$AP459-計分!P459)</f>
        <v/>
      </c>
      <c r="Q459">
        <f>IF(OR(計分!Q459="",計分!$AP459=""),"",計分!$AP459-計分!Q459)</f>
        <v/>
      </c>
      <c r="R459">
        <f>IF(OR(計分!R459="",計分!$AP459=""),"",計分!$AP459-計分!R459)</f>
        <v/>
      </c>
      <c r="S459">
        <f>IF(OR(計分!S459="",計分!$AP459=""),"",計分!$AP459-計分!S459)</f>
        <v/>
      </c>
      <c r="T459">
        <f>IF(OR(計分!T459="",計分!$AP459=""),"",計分!$AP459-計分!T459)</f>
        <v/>
      </c>
      <c r="U459">
        <f>IF(OR(計分!U459="",計分!$AP459=""),"",計分!$AP459-計分!U459)</f>
        <v/>
      </c>
      <c r="V459">
        <f>IF(OR(計分!V459="",計分!$AP459=""),"",計分!$AP459-計分!V459)</f>
        <v/>
      </c>
      <c r="W459">
        <f>IF(OR(計分!W459="",計分!$AP459=""),"",計分!$AP459-計分!W459)</f>
        <v/>
      </c>
      <c r="X459">
        <f>IF(OR(計分!X459="",計分!$AP459=""),"",計分!$AP459-計分!X459)</f>
        <v/>
      </c>
      <c r="Y459">
        <f>IF(OR(計分!Y459="",計分!$AP459=""),"",計分!$AP459-計分!Y459)</f>
        <v/>
      </c>
      <c r="Z459">
        <f>IF(OR(計分!Z459="",計分!$AP459=""),"",計分!$AP459-計分!Z459)</f>
        <v/>
      </c>
      <c r="AA459">
        <f>IF(OR(計分!AA459="",計分!$AP459=""),"",計分!$AP459-計分!AA459)</f>
        <v/>
      </c>
      <c r="AB459">
        <f>IF(OR(計分!AB459="",計分!$AP459=""),"",計分!$AP459-計分!AB459)</f>
        <v/>
      </c>
      <c r="AC459">
        <f>IF(OR(計分!AC459="",計分!$AP459=""),"",計分!$AP459-計分!AC459)</f>
        <v/>
      </c>
      <c r="AD459">
        <f>IF(OR(計分!AD459="",計分!$AP459=""),"",計分!$AP459-計分!AD459)</f>
        <v/>
      </c>
      <c r="AE459">
        <f>IF(OR(計分!AE459="",計分!$AP459=""),"",計分!$AP459-計分!AE459)</f>
        <v/>
      </c>
      <c r="AF459">
        <f>IF(OR(計分!AF459="",計分!$AP459=""),"",計分!$AP459-計分!AF459)</f>
        <v/>
      </c>
      <c r="AG459">
        <f>IF(OR(計分!AG459="",計分!$AP459=""),"",計分!$AP459-計分!AG459)</f>
        <v/>
      </c>
      <c r="AH459">
        <f>IF(OR(計分!AH459="",計分!$AP459=""),"",計分!$AP459-計分!AH459)</f>
        <v/>
      </c>
      <c r="AI459">
        <f>IF(OR(計分!AI459="",計分!$AP459=""),"",計分!$AP459-計分!AI459)</f>
        <v/>
      </c>
      <c r="AJ459">
        <f>IF(OR(計分!AJ459="",計分!$AP459=""),"",計分!$AP459-計分!AJ459)</f>
        <v/>
      </c>
      <c r="AK459">
        <f>IF(OR(計分!AK459="",計分!$AP459=""),"",計分!$AP459-計分!AK459)</f>
        <v/>
      </c>
      <c r="AL459">
        <f>IF(OR(計分!AL459="",計分!$AP459=""),"",計分!$AP459-計分!AL459)</f>
        <v/>
      </c>
      <c r="AM459">
        <f>IF(OR(計分!AM459="",計分!$AP459=""),"",計分!$AP459-計分!AM459)</f>
        <v/>
      </c>
      <c r="AN459">
        <f>IF(OR(計分!AN459="",計分!$AP459=""),"",計分!$AP459-計分!AN459)</f>
        <v/>
      </c>
      <c r="AO459">
        <f>IF(OR(計分!AO459="",計分!$AP459=""),"",計分!$AP459-計分!AO459)</f>
        <v/>
      </c>
    </row>
    <row r="460">
      <c r="A460">
        <f>計分!A460</f>
        <v/>
      </c>
      <c r="B460">
        <f>IF(OR(計分!B460="",計分!$AP460=""),"",計分!$AP460-計分!B460)</f>
        <v/>
      </c>
      <c r="C460">
        <f>IF(OR(計分!C460="",計分!$AP460=""),"",計分!$AP460-計分!C460)</f>
        <v/>
      </c>
      <c r="D460">
        <f>IF(OR(計分!D460="",計分!$AP460=""),"",計分!$AP460-計分!D460)</f>
        <v/>
      </c>
      <c r="E460">
        <f>IF(OR(計分!E460="",計分!$AP460=""),"",計分!$AP460-計分!E460)</f>
        <v/>
      </c>
      <c r="F460">
        <f>IF(OR(計分!F460="",計分!$AP460=""),"",計分!$AP460-計分!F460)</f>
        <v/>
      </c>
      <c r="G460">
        <f>IF(OR(計分!G460="",計分!$AP460=""),"",計分!$AP460-計分!G460)</f>
        <v/>
      </c>
      <c r="H460">
        <f>IF(OR(計分!H460="",計分!$AP460=""),"",計分!$AP460-計分!H460)</f>
        <v/>
      </c>
      <c r="I460">
        <f>IF(OR(計分!I460="",計分!$AP460=""),"",計分!$AP460-計分!I460)</f>
        <v/>
      </c>
      <c r="J460">
        <f>IF(OR(計分!J460="",計分!$AP460=""),"",計分!$AP460-計分!J460)</f>
        <v/>
      </c>
      <c r="K460">
        <f>IF(OR(計分!K460="",計分!$AP460=""),"",計分!$AP460-計分!K460)</f>
        <v/>
      </c>
      <c r="L460">
        <f>IF(OR(計分!L460="",計分!$AP460=""),"",計分!$AP460-計分!L460)</f>
        <v/>
      </c>
      <c r="M460">
        <f>IF(OR(計分!M460="",計分!$AP460=""),"",計分!$AP460-計分!M460)</f>
        <v/>
      </c>
      <c r="N460">
        <f>IF(OR(計分!N460="",計分!$AP460=""),"",計分!$AP460-計分!N460)</f>
        <v/>
      </c>
      <c r="O460">
        <f>IF(OR(計分!O460="",計分!$AP460=""),"",計分!$AP460-計分!O460)</f>
        <v/>
      </c>
      <c r="P460">
        <f>IF(OR(計分!P460="",計分!$AP460=""),"",計分!$AP460-計分!P460)</f>
        <v/>
      </c>
      <c r="Q460">
        <f>IF(OR(計分!Q460="",計分!$AP460=""),"",計分!$AP460-計分!Q460)</f>
        <v/>
      </c>
      <c r="R460">
        <f>IF(OR(計分!R460="",計分!$AP460=""),"",計分!$AP460-計分!R460)</f>
        <v/>
      </c>
      <c r="S460">
        <f>IF(OR(計分!S460="",計分!$AP460=""),"",計分!$AP460-計分!S460)</f>
        <v/>
      </c>
      <c r="T460">
        <f>IF(OR(計分!T460="",計分!$AP460=""),"",計分!$AP460-計分!T460)</f>
        <v/>
      </c>
      <c r="U460">
        <f>IF(OR(計分!U460="",計分!$AP460=""),"",計分!$AP460-計分!U460)</f>
        <v/>
      </c>
      <c r="V460">
        <f>IF(OR(計分!V460="",計分!$AP460=""),"",計分!$AP460-計分!V460)</f>
        <v/>
      </c>
      <c r="W460">
        <f>IF(OR(計分!W460="",計分!$AP460=""),"",計分!$AP460-計分!W460)</f>
        <v/>
      </c>
      <c r="X460">
        <f>IF(OR(計分!X460="",計分!$AP460=""),"",計分!$AP460-計分!X460)</f>
        <v/>
      </c>
      <c r="Y460">
        <f>IF(OR(計分!Y460="",計分!$AP460=""),"",計分!$AP460-計分!Y460)</f>
        <v/>
      </c>
      <c r="Z460">
        <f>IF(OR(計分!Z460="",計分!$AP460=""),"",計分!$AP460-計分!Z460)</f>
        <v/>
      </c>
      <c r="AA460">
        <f>IF(OR(計分!AA460="",計分!$AP460=""),"",計分!$AP460-計分!AA460)</f>
        <v/>
      </c>
      <c r="AB460">
        <f>IF(OR(計分!AB460="",計分!$AP460=""),"",計分!$AP460-計分!AB460)</f>
        <v/>
      </c>
      <c r="AC460">
        <f>IF(OR(計分!AC460="",計分!$AP460=""),"",計分!$AP460-計分!AC460)</f>
        <v/>
      </c>
      <c r="AD460">
        <f>IF(OR(計分!AD460="",計分!$AP460=""),"",計分!$AP460-計分!AD460)</f>
        <v/>
      </c>
      <c r="AE460">
        <f>IF(OR(計分!AE460="",計分!$AP460=""),"",計分!$AP460-計分!AE460)</f>
        <v/>
      </c>
      <c r="AF460">
        <f>IF(OR(計分!AF460="",計分!$AP460=""),"",計分!$AP460-計分!AF460)</f>
        <v/>
      </c>
      <c r="AG460">
        <f>IF(OR(計分!AG460="",計分!$AP460=""),"",計分!$AP460-計分!AG460)</f>
        <v/>
      </c>
      <c r="AH460">
        <f>IF(OR(計分!AH460="",計分!$AP460=""),"",計分!$AP460-計分!AH460)</f>
        <v/>
      </c>
      <c r="AI460">
        <f>IF(OR(計分!AI460="",計分!$AP460=""),"",計分!$AP460-計分!AI460)</f>
        <v/>
      </c>
      <c r="AJ460">
        <f>IF(OR(計分!AJ460="",計分!$AP460=""),"",計分!$AP460-計分!AJ460)</f>
        <v/>
      </c>
      <c r="AK460">
        <f>IF(OR(計分!AK460="",計分!$AP460=""),"",計分!$AP460-計分!AK460)</f>
        <v/>
      </c>
      <c r="AL460">
        <f>IF(OR(計分!AL460="",計分!$AP460=""),"",計分!$AP460-計分!AL460)</f>
        <v/>
      </c>
      <c r="AM460">
        <f>IF(OR(計分!AM460="",計分!$AP460=""),"",計分!$AP460-計分!AM460)</f>
        <v/>
      </c>
      <c r="AN460">
        <f>IF(OR(計分!AN460="",計分!$AP460=""),"",計分!$AP460-計分!AN460)</f>
        <v/>
      </c>
      <c r="AO460">
        <f>IF(OR(計分!AO460="",計分!$AP460=""),"",計分!$AP460-計分!AO460)</f>
        <v/>
      </c>
    </row>
    <row r="461">
      <c r="A461">
        <f>計分!A461</f>
        <v/>
      </c>
      <c r="B461">
        <f>IF(OR(計分!B461="",計分!$AP461=""),"",計分!$AP461-計分!B461)</f>
        <v/>
      </c>
      <c r="C461">
        <f>IF(OR(計分!C461="",計分!$AP461=""),"",計分!$AP461-計分!C461)</f>
        <v/>
      </c>
      <c r="D461">
        <f>IF(OR(計分!D461="",計分!$AP461=""),"",計分!$AP461-計分!D461)</f>
        <v/>
      </c>
      <c r="E461">
        <f>IF(OR(計分!E461="",計分!$AP461=""),"",計分!$AP461-計分!E461)</f>
        <v/>
      </c>
      <c r="F461">
        <f>IF(OR(計分!F461="",計分!$AP461=""),"",計分!$AP461-計分!F461)</f>
        <v/>
      </c>
      <c r="G461">
        <f>IF(OR(計分!G461="",計分!$AP461=""),"",計分!$AP461-計分!G461)</f>
        <v/>
      </c>
      <c r="H461">
        <f>IF(OR(計分!H461="",計分!$AP461=""),"",計分!$AP461-計分!H461)</f>
        <v/>
      </c>
      <c r="I461">
        <f>IF(OR(計分!I461="",計分!$AP461=""),"",計分!$AP461-計分!I461)</f>
        <v/>
      </c>
      <c r="J461">
        <f>IF(OR(計分!J461="",計分!$AP461=""),"",計分!$AP461-計分!J461)</f>
        <v/>
      </c>
      <c r="K461">
        <f>IF(OR(計分!K461="",計分!$AP461=""),"",計分!$AP461-計分!K461)</f>
        <v/>
      </c>
      <c r="L461">
        <f>IF(OR(計分!L461="",計分!$AP461=""),"",計分!$AP461-計分!L461)</f>
        <v/>
      </c>
      <c r="M461">
        <f>IF(OR(計分!M461="",計分!$AP461=""),"",計分!$AP461-計分!M461)</f>
        <v/>
      </c>
      <c r="N461">
        <f>IF(OR(計分!N461="",計分!$AP461=""),"",計分!$AP461-計分!N461)</f>
        <v/>
      </c>
      <c r="O461">
        <f>IF(OR(計分!O461="",計分!$AP461=""),"",計分!$AP461-計分!O461)</f>
        <v/>
      </c>
      <c r="P461">
        <f>IF(OR(計分!P461="",計分!$AP461=""),"",計分!$AP461-計分!P461)</f>
        <v/>
      </c>
      <c r="Q461">
        <f>IF(OR(計分!Q461="",計分!$AP461=""),"",計分!$AP461-計分!Q461)</f>
        <v/>
      </c>
      <c r="R461">
        <f>IF(OR(計分!R461="",計分!$AP461=""),"",計分!$AP461-計分!R461)</f>
        <v/>
      </c>
      <c r="S461">
        <f>IF(OR(計分!S461="",計分!$AP461=""),"",計分!$AP461-計分!S461)</f>
        <v/>
      </c>
      <c r="T461">
        <f>IF(OR(計分!T461="",計分!$AP461=""),"",計分!$AP461-計分!T461)</f>
        <v/>
      </c>
      <c r="U461">
        <f>IF(OR(計分!U461="",計分!$AP461=""),"",計分!$AP461-計分!U461)</f>
        <v/>
      </c>
      <c r="V461">
        <f>IF(OR(計分!V461="",計分!$AP461=""),"",計分!$AP461-計分!V461)</f>
        <v/>
      </c>
      <c r="W461">
        <f>IF(OR(計分!W461="",計分!$AP461=""),"",計分!$AP461-計分!W461)</f>
        <v/>
      </c>
      <c r="X461">
        <f>IF(OR(計分!X461="",計分!$AP461=""),"",計分!$AP461-計分!X461)</f>
        <v/>
      </c>
      <c r="Y461">
        <f>IF(OR(計分!Y461="",計分!$AP461=""),"",計分!$AP461-計分!Y461)</f>
        <v/>
      </c>
      <c r="Z461">
        <f>IF(OR(計分!Z461="",計分!$AP461=""),"",計分!$AP461-計分!Z461)</f>
        <v/>
      </c>
      <c r="AA461">
        <f>IF(OR(計分!AA461="",計分!$AP461=""),"",計分!$AP461-計分!AA461)</f>
        <v/>
      </c>
      <c r="AB461">
        <f>IF(OR(計分!AB461="",計分!$AP461=""),"",計分!$AP461-計分!AB461)</f>
        <v/>
      </c>
      <c r="AC461">
        <f>IF(OR(計分!AC461="",計分!$AP461=""),"",計分!$AP461-計分!AC461)</f>
        <v/>
      </c>
      <c r="AD461">
        <f>IF(OR(計分!AD461="",計分!$AP461=""),"",計分!$AP461-計分!AD461)</f>
        <v/>
      </c>
      <c r="AE461">
        <f>IF(OR(計分!AE461="",計分!$AP461=""),"",計分!$AP461-計分!AE461)</f>
        <v/>
      </c>
      <c r="AF461">
        <f>IF(OR(計分!AF461="",計分!$AP461=""),"",計分!$AP461-計分!AF461)</f>
        <v/>
      </c>
      <c r="AG461">
        <f>IF(OR(計分!AG461="",計分!$AP461=""),"",計分!$AP461-計分!AG461)</f>
        <v/>
      </c>
      <c r="AH461">
        <f>IF(OR(計分!AH461="",計分!$AP461=""),"",計分!$AP461-計分!AH461)</f>
        <v/>
      </c>
      <c r="AI461">
        <f>IF(OR(計分!AI461="",計分!$AP461=""),"",計分!$AP461-計分!AI461)</f>
        <v/>
      </c>
      <c r="AJ461">
        <f>IF(OR(計分!AJ461="",計分!$AP461=""),"",計分!$AP461-計分!AJ461)</f>
        <v/>
      </c>
      <c r="AK461">
        <f>IF(OR(計分!AK461="",計分!$AP461=""),"",計分!$AP461-計分!AK461)</f>
        <v/>
      </c>
      <c r="AL461">
        <f>IF(OR(計分!AL461="",計分!$AP461=""),"",計分!$AP461-計分!AL461)</f>
        <v/>
      </c>
      <c r="AM461">
        <f>IF(OR(計分!AM461="",計分!$AP461=""),"",計分!$AP461-計分!AM461)</f>
        <v/>
      </c>
      <c r="AN461">
        <f>IF(OR(計分!AN461="",計分!$AP461=""),"",計分!$AP461-計分!AN461)</f>
        <v/>
      </c>
      <c r="AO461">
        <f>IF(OR(計分!AO461="",計分!$AP461=""),"",計分!$AP461-計分!AO461)</f>
        <v/>
      </c>
    </row>
    <row r="462">
      <c r="A462">
        <f>計分!A462</f>
        <v/>
      </c>
      <c r="B462">
        <f>IF(OR(計分!B462="",計分!$AP462=""),"",計分!$AP462-計分!B462)</f>
        <v/>
      </c>
      <c r="C462">
        <f>IF(OR(計分!C462="",計分!$AP462=""),"",計分!$AP462-計分!C462)</f>
        <v/>
      </c>
      <c r="D462">
        <f>IF(OR(計分!D462="",計分!$AP462=""),"",計分!$AP462-計分!D462)</f>
        <v/>
      </c>
      <c r="E462">
        <f>IF(OR(計分!E462="",計分!$AP462=""),"",計分!$AP462-計分!E462)</f>
        <v/>
      </c>
      <c r="F462">
        <f>IF(OR(計分!F462="",計分!$AP462=""),"",計分!$AP462-計分!F462)</f>
        <v/>
      </c>
      <c r="G462">
        <f>IF(OR(計分!G462="",計分!$AP462=""),"",計分!$AP462-計分!G462)</f>
        <v/>
      </c>
      <c r="H462">
        <f>IF(OR(計分!H462="",計分!$AP462=""),"",計分!$AP462-計分!H462)</f>
        <v/>
      </c>
      <c r="I462">
        <f>IF(OR(計分!I462="",計分!$AP462=""),"",計分!$AP462-計分!I462)</f>
        <v/>
      </c>
      <c r="J462">
        <f>IF(OR(計分!J462="",計分!$AP462=""),"",計分!$AP462-計分!J462)</f>
        <v/>
      </c>
      <c r="K462">
        <f>IF(OR(計分!K462="",計分!$AP462=""),"",計分!$AP462-計分!K462)</f>
        <v/>
      </c>
      <c r="L462">
        <f>IF(OR(計分!L462="",計分!$AP462=""),"",計分!$AP462-計分!L462)</f>
        <v/>
      </c>
      <c r="M462">
        <f>IF(OR(計分!M462="",計分!$AP462=""),"",計分!$AP462-計分!M462)</f>
        <v/>
      </c>
      <c r="N462">
        <f>IF(OR(計分!N462="",計分!$AP462=""),"",計分!$AP462-計分!N462)</f>
        <v/>
      </c>
      <c r="O462">
        <f>IF(OR(計分!O462="",計分!$AP462=""),"",計分!$AP462-計分!O462)</f>
        <v/>
      </c>
      <c r="P462">
        <f>IF(OR(計分!P462="",計分!$AP462=""),"",計分!$AP462-計分!P462)</f>
        <v/>
      </c>
      <c r="Q462">
        <f>IF(OR(計分!Q462="",計分!$AP462=""),"",計分!$AP462-計分!Q462)</f>
        <v/>
      </c>
      <c r="R462">
        <f>IF(OR(計分!R462="",計分!$AP462=""),"",計分!$AP462-計分!R462)</f>
        <v/>
      </c>
      <c r="S462">
        <f>IF(OR(計分!S462="",計分!$AP462=""),"",計分!$AP462-計分!S462)</f>
        <v/>
      </c>
      <c r="T462">
        <f>IF(OR(計分!T462="",計分!$AP462=""),"",計分!$AP462-計分!T462)</f>
        <v/>
      </c>
      <c r="U462">
        <f>IF(OR(計分!U462="",計分!$AP462=""),"",計分!$AP462-計分!U462)</f>
        <v/>
      </c>
      <c r="V462">
        <f>IF(OR(計分!V462="",計分!$AP462=""),"",計分!$AP462-計分!V462)</f>
        <v/>
      </c>
      <c r="W462">
        <f>IF(OR(計分!W462="",計分!$AP462=""),"",計分!$AP462-計分!W462)</f>
        <v/>
      </c>
      <c r="X462">
        <f>IF(OR(計分!X462="",計分!$AP462=""),"",計分!$AP462-計分!X462)</f>
        <v/>
      </c>
      <c r="Y462">
        <f>IF(OR(計分!Y462="",計分!$AP462=""),"",計分!$AP462-計分!Y462)</f>
        <v/>
      </c>
      <c r="Z462">
        <f>IF(OR(計分!Z462="",計分!$AP462=""),"",計分!$AP462-計分!Z462)</f>
        <v/>
      </c>
      <c r="AA462">
        <f>IF(OR(計分!AA462="",計分!$AP462=""),"",計分!$AP462-計分!AA462)</f>
        <v/>
      </c>
      <c r="AB462">
        <f>IF(OR(計分!AB462="",計分!$AP462=""),"",計分!$AP462-計分!AB462)</f>
        <v/>
      </c>
      <c r="AC462">
        <f>IF(OR(計分!AC462="",計分!$AP462=""),"",計分!$AP462-計分!AC462)</f>
        <v/>
      </c>
      <c r="AD462">
        <f>IF(OR(計分!AD462="",計分!$AP462=""),"",計分!$AP462-計分!AD462)</f>
        <v/>
      </c>
      <c r="AE462">
        <f>IF(OR(計分!AE462="",計分!$AP462=""),"",計分!$AP462-計分!AE462)</f>
        <v/>
      </c>
      <c r="AF462">
        <f>IF(OR(計分!AF462="",計分!$AP462=""),"",計分!$AP462-計分!AF462)</f>
        <v/>
      </c>
      <c r="AG462">
        <f>IF(OR(計分!AG462="",計分!$AP462=""),"",計分!$AP462-計分!AG462)</f>
        <v/>
      </c>
      <c r="AH462">
        <f>IF(OR(計分!AH462="",計分!$AP462=""),"",計分!$AP462-計分!AH462)</f>
        <v/>
      </c>
      <c r="AI462">
        <f>IF(OR(計分!AI462="",計分!$AP462=""),"",計分!$AP462-計分!AI462)</f>
        <v/>
      </c>
      <c r="AJ462">
        <f>IF(OR(計分!AJ462="",計分!$AP462=""),"",計分!$AP462-計分!AJ462)</f>
        <v/>
      </c>
      <c r="AK462">
        <f>IF(OR(計分!AK462="",計分!$AP462=""),"",計分!$AP462-計分!AK462)</f>
        <v/>
      </c>
      <c r="AL462">
        <f>IF(OR(計分!AL462="",計分!$AP462=""),"",計分!$AP462-計分!AL462)</f>
        <v/>
      </c>
      <c r="AM462">
        <f>IF(OR(計分!AM462="",計分!$AP462=""),"",計分!$AP462-計分!AM462)</f>
        <v/>
      </c>
      <c r="AN462">
        <f>IF(OR(計分!AN462="",計分!$AP462=""),"",計分!$AP462-計分!AN462)</f>
        <v/>
      </c>
      <c r="AO462">
        <f>IF(OR(計分!AO462="",計分!$AP462=""),"",計分!$AP462-計分!AO462)</f>
        <v/>
      </c>
    </row>
    <row r="463">
      <c r="A463">
        <f>計分!A463</f>
        <v/>
      </c>
      <c r="B463">
        <f>IF(OR(計分!B463="",計分!$AP463=""),"",計分!$AP463-計分!B463)</f>
        <v/>
      </c>
      <c r="C463">
        <f>IF(OR(計分!C463="",計分!$AP463=""),"",計分!$AP463-計分!C463)</f>
        <v/>
      </c>
      <c r="D463">
        <f>IF(OR(計分!D463="",計分!$AP463=""),"",計分!$AP463-計分!D463)</f>
        <v/>
      </c>
      <c r="E463">
        <f>IF(OR(計分!E463="",計分!$AP463=""),"",計分!$AP463-計分!E463)</f>
        <v/>
      </c>
      <c r="F463">
        <f>IF(OR(計分!F463="",計分!$AP463=""),"",計分!$AP463-計分!F463)</f>
        <v/>
      </c>
      <c r="G463">
        <f>IF(OR(計分!G463="",計分!$AP463=""),"",計分!$AP463-計分!G463)</f>
        <v/>
      </c>
      <c r="H463">
        <f>IF(OR(計分!H463="",計分!$AP463=""),"",計分!$AP463-計分!H463)</f>
        <v/>
      </c>
      <c r="I463">
        <f>IF(OR(計分!I463="",計分!$AP463=""),"",計分!$AP463-計分!I463)</f>
        <v/>
      </c>
      <c r="J463">
        <f>IF(OR(計分!J463="",計分!$AP463=""),"",計分!$AP463-計分!J463)</f>
        <v/>
      </c>
      <c r="K463">
        <f>IF(OR(計分!K463="",計分!$AP463=""),"",計分!$AP463-計分!K463)</f>
        <v/>
      </c>
      <c r="L463">
        <f>IF(OR(計分!L463="",計分!$AP463=""),"",計分!$AP463-計分!L463)</f>
        <v/>
      </c>
      <c r="M463">
        <f>IF(OR(計分!M463="",計分!$AP463=""),"",計分!$AP463-計分!M463)</f>
        <v/>
      </c>
      <c r="N463">
        <f>IF(OR(計分!N463="",計分!$AP463=""),"",計分!$AP463-計分!N463)</f>
        <v/>
      </c>
      <c r="O463">
        <f>IF(OR(計分!O463="",計分!$AP463=""),"",計分!$AP463-計分!O463)</f>
        <v/>
      </c>
      <c r="P463">
        <f>IF(OR(計分!P463="",計分!$AP463=""),"",計分!$AP463-計分!P463)</f>
        <v/>
      </c>
      <c r="Q463">
        <f>IF(OR(計分!Q463="",計分!$AP463=""),"",計分!$AP463-計分!Q463)</f>
        <v/>
      </c>
      <c r="R463">
        <f>IF(OR(計分!R463="",計分!$AP463=""),"",計分!$AP463-計分!R463)</f>
        <v/>
      </c>
      <c r="S463">
        <f>IF(OR(計分!S463="",計分!$AP463=""),"",計分!$AP463-計分!S463)</f>
        <v/>
      </c>
      <c r="T463">
        <f>IF(OR(計分!T463="",計分!$AP463=""),"",計分!$AP463-計分!T463)</f>
        <v/>
      </c>
      <c r="U463">
        <f>IF(OR(計分!U463="",計分!$AP463=""),"",計分!$AP463-計分!U463)</f>
        <v/>
      </c>
      <c r="V463">
        <f>IF(OR(計分!V463="",計分!$AP463=""),"",計分!$AP463-計分!V463)</f>
        <v/>
      </c>
      <c r="W463">
        <f>IF(OR(計分!W463="",計分!$AP463=""),"",計分!$AP463-計分!W463)</f>
        <v/>
      </c>
      <c r="X463">
        <f>IF(OR(計分!X463="",計分!$AP463=""),"",計分!$AP463-計分!X463)</f>
        <v/>
      </c>
      <c r="Y463">
        <f>IF(OR(計分!Y463="",計分!$AP463=""),"",計分!$AP463-計分!Y463)</f>
        <v/>
      </c>
      <c r="Z463">
        <f>IF(OR(計分!Z463="",計分!$AP463=""),"",計分!$AP463-計分!Z463)</f>
        <v/>
      </c>
      <c r="AA463">
        <f>IF(OR(計分!AA463="",計分!$AP463=""),"",計分!$AP463-計分!AA463)</f>
        <v/>
      </c>
      <c r="AB463">
        <f>IF(OR(計分!AB463="",計分!$AP463=""),"",計分!$AP463-計分!AB463)</f>
        <v/>
      </c>
      <c r="AC463">
        <f>IF(OR(計分!AC463="",計分!$AP463=""),"",計分!$AP463-計分!AC463)</f>
        <v/>
      </c>
      <c r="AD463">
        <f>IF(OR(計分!AD463="",計分!$AP463=""),"",計分!$AP463-計分!AD463)</f>
        <v/>
      </c>
      <c r="AE463">
        <f>IF(OR(計分!AE463="",計分!$AP463=""),"",計分!$AP463-計分!AE463)</f>
        <v/>
      </c>
      <c r="AF463">
        <f>IF(OR(計分!AF463="",計分!$AP463=""),"",計分!$AP463-計分!AF463)</f>
        <v/>
      </c>
      <c r="AG463">
        <f>IF(OR(計分!AG463="",計分!$AP463=""),"",計分!$AP463-計分!AG463)</f>
        <v/>
      </c>
      <c r="AH463">
        <f>IF(OR(計分!AH463="",計分!$AP463=""),"",計分!$AP463-計分!AH463)</f>
        <v/>
      </c>
      <c r="AI463">
        <f>IF(OR(計分!AI463="",計分!$AP463=""),"",計分!$AP463-計分!AI463)</f>
        <v/>
      </c>
      <c r="AJ463">
        <f>IF(OR(計分!AJ463="",計分!$AP463=""),"",計分!$AP463-計分!AJ463)</f>
        <v/>
      </c>
      <c r="AK463">
        <f>IF(OR(計分!AK463="",計分!$AP463=""),"",計分!$AP463-計分!AK463)</f>
        <v/>
      </c>
      <c r="AL463">
        <f>IF(OR(計分!AL463="",計分!$AP463=""),"",計分!$AP463-計分!AL463)</f>
        <v/>
      </c>
      <c r="AM463">
        <f>IF(OR(計分!AM463="",計分!$AP463=""),"",計分!$AP463-計分!AM463)</f>
        <v/>
      </c>
      <c r="AN463">
        <f>IF(OR(計分!AN463="",計分!$AP463=""),"",計分!$AP463-計分!AN463)</f>
        <v/>
      </c>
      <c r="AO463">
        <f>IF(OR(計分!AO463="",計分!$AP463=""),"",計分!$AP463-計分!AO463)</f>
        <v/>
      </c>
    </row>
    <row r="464">
      <c r="A464">
        <f>計分!A464</f>
        <v/>
      </c>
      <c r="B464">
        <f>IF(OR(計分!B464="",計分!$AP464=""),"",計分!$AP464-計分!B464)</f>
        <v/>
      </c>
      <c r="C464">
        <f>IF(OR(計分!C464="",計分!$AP464=""),"",計分!$AP464-計分!C464)</f>
        <v/>
      </c>
      <c r="D464">
        <f>IF(OR(計分!D464="",計分!$AP464=""),"",計分!$AP464-計分!D464)</f>
        <v/>
      </c>
      <c r="E464">
        <f>IF(OR(計分!E464="",計分!$AP464=""),"",計分!$AP464-計分!E464)</f>
        <v/>
      </c>
      <c r="F464">
        <f>IF(OR(計分!F464="",計分!$AP464=""),"",計分!$AP464-計分!F464)</f>
        <v/>
      </c>
      <c r="G464">
        <f>IF(OR(計分!G464="",計分!$AP464=""),"",計分!$AP464-計分!G464)</f>
        <v/>
      </c>
      <c r="H464">
        <f>IF(OR(計分!H464="",計分!$AP464=""),"",計分!$AP464-計分!H464)</f>
        <v/>
      </c>
      <c r="I464">
        <f>IF(OR(計分!I464="",計分!$AP464=""),"",計分!$AP464-計分!I464)</f>
        <v/>
      </c>
      <c r="J464">
        <f>IF(OR(計分!J464="",計分!$AP464=""),"",計分!$AP464-計分!J464)</f>
        <v/>
      </c>
      <c r="K464">
        <f>IF(OR(計分!K464="",計分!$AP464=""),"",計分!$AP464-計分!K464)</f>
        <v/>
      </c>
      <c r="L464">
        <f>IF(OR(計分!L464="",計分!$AP464=""),"",計分!$AP464-計分!L464)</f>
        <v/>
      </c>
      <c r="M464">
        <f>IF(OR(計分!M464="",計分!$AP464=""),"",計分!$AP464-計分!M464)</f>
        <v/>
      </c>
      <c r="N464">
        <f>IF(OR(計分!N464="",計分!$AP464=""),"",計分!$AP464-計分!N464)</f>
        <v/>
      </c>
      <c r="O464">
        <f>IF(OR(計分!O464="",計分!$AP464=""),"",計分!$AP464-計分!O464)</f>
        <v/>
      </c>
      <c r="P464">
        <f>IF(OR(計分!P464="",計分!$AP464=""),"",計分!$AP464-計分!P464)</f>
        <v/>
      </c>
      <c r="Q464">
        <f>IF(OR(計分!Q464="",計分!$AP464=""),"",計分!$AP464-計分!Q464)</f>
        <v/>
      </c>
      <c r="R464">
        <f>IF(OR(計分!R464="",計分!$AP464=""),"",計分!$AP464-計分!R464)</f>
        <v/>
      </c>
      <c r="S464">
        <f>IF(OR(計分!S464="",計分!$AP464=""),"",計分!$AP464-計分!S464)</f>
        <v/>
      </c>
      <c r="T464">
        <f>IF(OR(計分!T464="",計分!$AP464=""),"",計分!$AP464-計分!T464)</f>
        <v/>
      </c>
      <c r="U464">
        <f>IF(OR(計分!U464="",計分!$AP464=""),"",計分!$AP464-計分!U464)</f>
        <v/>
      </c>
      <c r="V464">
        <f>IF(OR(計分!V464="",計分!$AP464=""),"",計分!$AP464-計分!V464)</f>
        <v/>
      </c>
      <c r="W464">
        <f>IF(OR(計分!W464="",計分!$AP464=""),"",計分!$AP464-計分!W464)</f>
        <v/>
      </c>
      <c r="X464">
        <f>IF(OR(計分!X464="",計分!$AP464=""),"",計分!$AP464-計分!X464)</f>
        <v/>
      </c>
      <c r="Y464">
        <f>IF(OR(計分!Y464="",計分!$AP464=""),"",計分!$AP464-計分!Y464)</f>
        <v/>
      </c>
      <c r="Z464">
        <f>IF(OR(計分!Z464="",計分!$AP464=""),"",計分!$AP464-計分!Z464)</f>
        <v/>
      </c>
      <c r="AA464">
        <f>IF(OR(計分!AA464="",計分!$AP464=""),"",計分!$AP464-計分!AA464)</f>
        <v/>
      </c>
      <c r="AB464">
        <f>IF(OR(計分!AB464="",計分!$AP464=""),"",計分!$AP464-計分!AB464)</f>
        <v/>
      </c>
      <c r="AC464">
        <f>IF(OR(計分!AC464="",計分!$AP464=""),"",計分!$AP464-計分!AC464)</f>
        <v/>
      </c>
      <c r="AD464">
        <f>IF(OR(計分!AD464="",計分!$AP464=""),"",計分!$AP464-計分!AD464)</f>
        <v/>
      </c>
      <c r="AE464">
        <f>IF(OR(計分!AE464="",計分!$AP464=""),"",計分!$AP464-計分!AE464)</f>
        <v/>
      </c>
      <c r="AF464">
        <f>IF(OR(計分!AF464="",計分!$AP464=""),"",計分!$AP464-計分!AF464)</f>
        <v/>
      </c>
      <c r="AG464">
        <f>IF(OR(計分!AG464="",計分!$AP464=""),"",計分!$AP464-計分!AG464)</f>
        <v/>
      </c>
      <c r="AH464">
        <f>IF(OR(計分!AH464="",計分!$AP464=""),"",計分!$AP464-計分!AH464)</f>
        <v/>
      </c>
      <c r="AI464">
        <f>IF(OR(計分!AI464="",計分!$AP464=""),"",計分!$AP464-計分!AI464)</f>
        <v/>
      </c>
      <c r="AJ464">
        <f>IF(OR(計分!AJ464="",計分!$AP464=""),"",計分!$AP464-計分!AJ464)</f>
        <v/>
      </c>
      <c r="AK464">
        <f>IF(OR(計分!AK464="",計分!$AP464=""),"",計分!$AP464-計分!AK464)</f>
        <v/>
      </c>
      <c r="AL464">
        <f>IF(OR(計分!AL464="",計分!$AP464=""),"",計分!$AP464-計分!AL464)</f>
        <v/>
      </c>
      <c r="AM464">
        <f>IF(OR(計分!AM464="",計分!$AP464=""),"",計分!$AP464-計分!AM464)</f>
        <v/>
      </c>
      <c r="AN464">
        <f>IF(OR(計分!AN464="",計分!$AP464=""),"",計分!$AP464-計分!AN464)</f>
        <v/>
      </c>
      <c r="AO464">
        <f>IF(OR(計分!AO464="",計分!$AP464=""),"",計分!$AP464-計分!AO464)</f>
        <v/>
      </c>
    </row>
    <row r="465">
      <c r="A465">
        <f>計分!A465</f>
        <v/>
      </c>
      <c r="B465">
        <f>IF(OR(計分!B465="",計分!$AP465=""),"",計分!$AP465-計分!B465)</f>
        <v/>
      </c>
      <c r="C465">
        <f>IF(OR(計分!C465="",計分!$AP465=""),"",計分!$AP465-計分!C465)</f>
        <v/>
      </c>
      <c r="D465">
        <f>IF(OR(計分!D465="",計分!$AP465=""),"",計分!$AP465-計分!D465)</f>
        <v/>
      </c>
      <c r="E465">
        <f>IF(OR(計分!E465="",計分!$AP465=""),"",計分!$AP465-計分!E465)</f>
        <v/>
      </c>
      <c r="F465">
        <f>IF(OR(計分!F465="",計分!$AP465=""),"",計分!$AP465-計分!F465)</f>
        <v/>
      </c>
      <c r="G465">
        <f>IF(OR(計分!G465="",計分!$AP465=""),"",計分!$AP465-計分!G465)</f>
        <v/>
      </c>
      <c r="H465">
        <f>IF(OR(計分!H465="",計分!$AP465=""),"",計分!$AP465-計分!H465)</f>
        <v/>
      </c>
      <c r="I465">
        <f>IF(OR(計分!I465="",計分!$AP465=""),"",計分!$AP465-計分!I465)</f>
        <v/>
      </c>
      <c r="J465">
        <f>IF(OR(計分!J465="",計分!$AP465=""),"",計分!$AP465-計分!J465)</f>
        <v/>
      </c>
      <c r="K465">
        <f>IF(OR(計分!K465="",計分!$AP465=""),"",計分!$AP465-計分!K465)</f>
        <v/>
      </c>
      <c r="L465">
        <f>IF(OR(計分!L465="",計分!$AP465=""),"",計分!$AP465-計分!L465)</f>
        <v/>
      </c>
      <c r="M465">
        <f>IF(OR(計分!M465="",計分!$AP465=""),"",計分!$AP465-計分!M465)</f>
        <v/>
      </c>
      <c r="N465">
        <f>IF(OR(計分!N465="",計分!$AP465=""),"",計分!$AP465-計分!N465)</f>
        <v/>
      </c>
      <c r="O465">
        <f>IF(OR(計分!O465="",計分!$AP465=""),"",計分!$AP465-計分!O465)</f>
        <v/>
      </c>
      <c r="P465">
        <f>IF(OR(計分!P465="",計分!$AP465=""),"",計分!$AP465-計分!P465)</f>
        <v/>
      </c>
      <c r="Q465">
        <f>IF(OR(計分!Q465="",計分!$AP465=""),"",計分!$AP465-計分!Q465)</f>
        <v/>
      </c>
      <c r="R465">
        <f>IF(OR(計分!R465="",計分!$AP465=""),"",計分!$AP465-計分!R465)</f>
        <v/>
      </c>
      <c r="S465">
        <f>IF(OR(計分!S465="",計分!$AP465=""),"",計分!$AP465-計分!S465)</f>
        <v/>
      </c>
      <c r="T465">
        <f>IF(OR(計分!T465="",計分!$AP465=""),"",計分!$AP465-計分!T465)</f>
        <v/>
      </c>
      <c r="U465">
        <f>IF(OR(計分!U465="",計分!$AP465=""),"",計分!$AP465-計分!U465)</f>
        <v/>
      </c>
      <c r="V465">
        <f>IF(OR(計分!V465="",計分!$AP465=""),"",計分!$AP465-計分!V465)</f>
        <v/>
      </c>
      <c r="W465">
        <f>IF(OR(計分!W465="",計分!$AP465=""),"",計分!$AP465-計分!W465)</f>
        <v/>
      </c>
      <c r="X465">
        <f>IF(OR(計分!X465="",計分!$AP465=""),"",計分!$AP465-計分!X465)</f>
        <v/>
      </c>
      <c r="Y465">
        <f>IF(OR(計分!Y465="",計分!$AP465=""),"",計分!$AP465-計分!Y465)</f>
        <v/>
      </c>
      <c r="Z465">
        <f>IF(OR(計分!Z465="",計分!$AP465=""),"",計分!$AP465-計分!Z465)</f>
        <v/>
      </c>
      <c r="AA465">
        <f>IF(OR(計分!AA465="",計分!$AP465=""),"",計分!$AP465-計分!AA465)</f>
        <v/>
      </c>
      <c r="AB465">
        <f>IF(OR(計分!AB465="",計分!$AP465=""),"",計分!$AP465-計分!AB465)</f>
        <v/>
      </c>
      <c r="AC465">
        <f>IF(OR(計分!AC465="",計分!$AP465=""),"",計分!$AP465-計分!AC465)</f>
        <v/>
      </c>
      <c r="AD465">
        <f>IF(OR(計分!AD465="",計分!$AP465=""),"",計分!$AP465-計分!AD465)</f>
        <v/>
      </c>
      <c r="AE465">
        <f>IF(OR(計分!AE465="",計分!$AP465=""),"",計分!$AP465-計分!AE465)</f>
        <v/>
      </c>
      <c r="AF465">
        <f>IF(OR(計分!AF465="",計分!$AP465=""),"",計分!$AP465-計分!AF465)</f>
        <v/>
      </c>
      <c r="AG465">
        <f>IF(OR(計分!AG465="",計分!$AP465=""),"",計分!$AP465-計分!AG465)</f>
        <v/>
      </c>
      <c r="AH465">
        <f>IF(OR(計分!AH465="",計分!$AP465=""),"",計分!$AP465-計分!AH465)</f>
        <v/>
      </c>
      <c r="AI465">
        <f>IF(OR(計分!AI465="",計分!$AP465=""),"",計分!$AP465-計分!AI465)</f>
        <v/>
      </c>
      <c r="AJ465">
        <f>IF(OR(計分!AJ465="",計分!$AP465=""),"",計分!$AP465-計分!AJ465)</f>
        <v/>
      </c>
      <c r="AK465">
        <f>IF(OR(計分!AK465="",計分!$AP465=""),"",計分!$AP465-計分!AK465)</f>
        <v/>
      </c>
      <c r="AL465">
        <f>IF(OR(計分!AL465="",計分!$AP465=""),"",計分!$AP465-計分!AL465)</f>
        <v/>
      </c>
      <c r="AM465">
        <f>IF(OR(計分!AM465="",計分!$AP465=""),"",計分!$AP465-計分!AM465)</f>
        <v/>
      </c>
      <c r="AN465">
        <f>IF(OR(計分!AN465="",計分!$AP465=""),"",計分!$AP465-計分!AN465)</f>
        <v/>
      </c>
      <c r="AO465">
        <f>IF(OR(計分!AO465="",計分!$AP465=""),"",計分!$AP465-計分!AO465)</f>
        <v/>
      </c>
    </row>
    <row r="466">
      <c r="A466">
        <f>計分!A466</f>
        <v/>
      </c>
      <c r="B466">
        <f>IF(OR(計分!B466="",計分!$AP466=""),"",計分!$AP466-計分!B466)</f>
        <v/>
      </c>
      <c r="C466">
        <f>IF(OR(計分!C466="",計分!$AP466=""),"",計分!$AP466-計分!C466)</f>
        <v/>
      </c>
      <c r="D466">
        <f>IF(OR(計分!D466="",計分!$AP466=""),"",計分!$AP466-計分!D466)</f>
        <v/>
      </c>
      <c r="E466">
        <f>IF(OR(計分!E466="",計分!$AP466=""),"",計分!$AP466-計分!E466)</f>
        <v/>
      </c>
      <c r="F466">
        <f>IF(OR(計分!F466="",計分!$AP466=""),"",計分!$AP466-計分!F466)</f>
        <v/>
      </c>
      <c r="G466">
        <f>IF(OR(計分!G466="",計分!$AP466=""),"",計分!$AP466-計分!G466)</f>
        <v/>
      </c>
      <c r="H466">
        <f>IF(OR(計分!H466="",計分!$AP466=""),"",計分!$AP466-計分!H466)</f>
        <v/>
      </c>
      <c r="I466">
        <f>IF(OR(計分!I466="",計分!$AP466=""),"",計分!$AP466-計分!I466)</f>
        <v/>
      </c>
      <c r="J466">
        <f>IF(OR(計分!J466="",計分!$AP466=""),"",計分!$AP466-計分!J466)</f>
        <v/>
      </c>
      <c r="K466">
        <f>IF(OR(計分!K466="",計分!$AP466=""),"",計分!$AP466-計分!K466)</f>
        <v/>
      </c>
      <c r="L466">
        <f>IF(OR(計分!L466="",計分!$AP466=""),"",計分!$AP466-計分!L466)</f>
        <v/>
      </c>
      <c r="M466">
        <f>IF(OR(計分!M466="",計分!$AP466=""),"",計分!$AP466-計分!M466)</f>
        <v/>
      </c>
      <c r="N466">
        <f>IF(OR(計分!N466="",計分!$AP466=""),"",計分!$AP466-計分!N466)</f>
        <v/>
      </c>
      <c r="O466">
        <f>IF(OR(計分!O466="",計分!$AP466=""),"",計分!$AP466-計分!O466)</f>
        <v/>
      </c>
      <c r="P466">
        <f>IF(OR(計分!P466="",計分!$AP466=""),"",計分!$AP466-計分!P466)</f>
        <v/>
      </c>
      <c r="Q466">
        <f>IF(OR(計分!Q466="",計分!$AP466=""),"",計分!$AP466-計分!Q466)</f>
        <v/>
      </c>
      <c r="R466">
        <f>IF(OR(計分!R466="",計分!$AP466=""),"",計分!$AP466-計分!R466)</f>
        <v/>
      </c>
      <c r="S466">
        <f>IF(OR(計分!S466="",計分!$AP466=""),"",計分!$AP466-計分!S466)</f>
        <v/>
      </c>
      <c r="T466">
        <f>IF(OR(計分!T466="",計分!$AP466=""),"",計分!$AP466-計分!T466)</f>
        <v/>
      </c>
      <c r="U466">
        <f>IF(OR(計分!U466="",計分!$AP466=""),"",計分!$AP466-計分!U466)</f>
        <v/>
      </c>
      <c r="V466">
        <f>IF(OR(計分!V466="",計分!$AP466=""),"",計分!$AP466-計分!V466)</f>
        <v/>
      </c>
      <c r="W466">
        <f>IF(OR(計分!W466="",計分!$AP466=""),"",計分!$AP466-計分!W466)</f>
        <v/>
      </c>
      <c r="X466">
        <f>IF(OR(計分!X466="",計分!$AP466=""),"",計分!$AP466-計分!X466)</f>
        <v/>
      </c>
      <c r="Y466">
        <f>IF(OR(計分!Y466="",計分!$AP466=""),"",計分!$AP466-計分!Y466)</f>
        <v/>
      </c>
      <c r="Z466">
        <f>IF(OR(計分!Z466="",計分!$AP466=""),"",計分!$AP466-計分!Z466)</f>
        <v/>
      </c>
      <c r="AA466">
        <f>IF(OR(計分!AA466="",計分!$AP466=""),"",計分!$AP466-計分!AA466)</f>
        <v/>
      </c>
      <c r="AB466">
        <f>IF(OR(計分!AB466="",計分!$AP466=""),"",計分!$AP466-計分!AB466)</f>
        <v/>
      </c>
      <c r="AC466">
        <f>IF(OR(計分!AC466="",計分!$AP466=""),"",計分!$AP466-計分!AC466)</f>
        <v/>
      </c>
      <c r="AD466">
        <f>IF(OR(計分!AD466="",計分!$AP466=""),"",計分!$AP466-計分!AD466)</f>
        <v/>
      </c>
      <c r="AE466">
        <f>IF(OR(計分!AE466="",計分!$AP466=""),"",計分!$AP466-計分!AE466)</f>
        <v/>
      </c>
      <c r="AF466">
        <f>IF(OR(計分!AF466="",計分!$AP466=""),"",計分!$AP466-計分!AF466)</f>
        <v/>
      </c>
      <c r="AG466">
        <f>IF(OR(計分!AG466="",計分!$AP466=""),"",計分!$AP466-計分!AG466)</f>
        <v/>
      </c>
      <c r="AH466">
        <f>IF(OR(計分!AH466="",計分!$AP466=""),"",計分!$AP466-計分!AH466)</f>
        <v/>
      </c>
      <c r="AI466">
        <f>IF(OR(計分!AI466="",計分!$AP466=""),"",計分!$AP466-計分!AI466)</f>
        <v/>
      </c>
      <c r="AJ466">
        <f>IF(OR(計分!AJ466="",計分!$AP466=""),"",計分!$AP466-計分!AJ466)</f>
        <v/>
      </c>
      <c r="AK466">
        <f>IF(OR(計分!AK466="",計分!$AP466=""),"",計分!$AP466-計分!AK466)</f>
        <v/>
      </c>
      <c r="AL466">
        <f>IF(OR(計分!AL466="",計分!$AP466=""),"",計分!$AP466-計分!AL466)</f>
        <v/>
      </c>
      <c r="AM466">
        <f>IF(OR(計分!AM466="",計分!$AP466=""),"",計分!$AP466-計分!AM466)</f>
        <v/>
      </c>
      <c r="AN466">
        <f>IF(OR(計分!AN466="",計分!$AP466=""),"",計分!$AP466-計分!AN466)</f>
        <v/>
      </c>
      <c r="AO466">
        <f>IF(OR(計分!AO466="",計分!$AP466=""),"",計分!$AP466-計分!AO466)</f>
        <v/>
      </c>
    </row>
    <row r="467">
      <c r="A467">
        <f>計分!A467</f>
        <v/>
      </c>
      <c r="B467">
        <f>IF(OR(計分!B467="",計分!$AP467=""),"",計分!$AP467-計分!B467)</f>
        <v/>
      </c>
      <c r="C467">
        <f>IF(OR(計分!C467="",計分!$AP467=""),"",計分!$AP467-計分!C467)</f>
        <v/>
      </c>
      <c r="D467">
        <f>IF(OR(計分!D467="",計分!$AP467=""),"",計分!$AP467-計分!D467)</f>
        <v/>
      </c>
      <c r="E467">
        <f>IF(OR(計分!E467="",計分!$AP467=""),"",計分!$AP467-計分!E467)</f>
        <v/>
      </c>
      <c r="F467">
        <f>IF(OR(計分!F467="",計分!$AP467=""),"",計分!$AP467-計分!F467)</f>
        <v/>
      </c>
      <c r="G467">
        <f>IF(OR(計分!G467="",計分!$AP467=""),"",計分!$AP467-計分!G467)</f>
        <v/>
      </c>
      <c r="H467">
        <f>IF(OR(計分!H467="",計分!$AP467=""),"",計分!$AP467-計分!H467)</f>
        <v/>
      </c>
      <c r="I467">
        <f>IF(OR(計分!I467="",計分!$AP467=""),"",計分!$AP467-計分!I467)</f>
        <v/>
      </c>
      <c r="J467">
        <f>IF(OR(計分!J467="",計分!$AP467=""),"",計分!$AP467-計分!J467)</f>
        <v/>
      </c>
      <c r="K467">
        <f>IF(OR(計分!K467="",計分!$AP467=""),"",計分!$AP467-計分!K467)</f>
        <v/>
      </c>
      <c r="L467">
        <f>IF(OR(計分!L467="",計分!$AP467=""),"",計分!$AP467-計分!L467)</f>
        <v/>
      </c>
      <c r="M467">
        <f>IF(OR(計分!M467="",計分!$AP467=""),"",計分!$AP467-計分!M467)</f>
        <v/>
      </c>
      <c r="N467">
        <f>IF(OR(計分!N467="",計分!$AP467=""),"",計分!$AP467-計分!N467)</f>
        <v/>
      </c>
      <c r="O467">
        <f>IF(OR(計分!O467="",計分!$AP467=""),"",計分!$AP467-計分!O467)</f>
        <v/>
      </c>
      <c r="P467">
        <f>IF(OR(計分!P467="",計分!$AP467=""),"",計分!$AP467-計分!P467)</f>
        <v/>
      </c>
      <c r="Q467">
        <f>IF(OR(計分!Q467="",計分!$AP467=""),"",計分!$AP467-計分!Q467)</f>
        <v/>
      </c>
      <c r="R467">
        <f>IF(OR(計分!R467="",計分!$AP467=""),"",計分!$AP467-計分!R467)</f>
        <v/>
      </c>
      <c r="S467">
        <f>IF(OR(計分!S467="",計分!$AP467=""),"",計分!$AP467-計分!S467)</f>
        <v/>
      </c>
      <c r="T467">
        <f>IF(OR(計分!T467="",計分!$AP467=""),"",計分!$AP467-計分!T467)</f>
        <v/>
      </c>
      <c r="U467">
        <f>IF(OR(計分!U467="",計分!$AP467=""),"",計分!$AP467-計分!U467)</f>
        <v/>
      </c>
      <c r="V467">
        <f>IF(OR(計分!V467="",計分!$AP467=""),"",計分!$AP467-計分!V467)</f>
        <v/>
      </c>
      <c r="W467">
        <f>IF(OR(計分!W467="",計分!$AP467=""),"",計分!$AP467-計分!W467)</f>
        <v/>
      </c>
      <c r="X467">
        <f>IF(OR(計分!X467="",計分!$AP467=""),"",計分!$AP467-計分!X467)</f>
        <v/>
      </c>
      <c r="Y467">
        <f>IF(OR(計分!Y467="",計分!$AP467=""),"",計分!$AP467-計分!Y467)</f>
        <v/>
      </c>
      <c r="Z467">
        <f>IF(OR(計分!Z467="",計分!$AP467=""),"",計分!$AP467-計分!Z467)</f>
        <v/>
      </c>
      <c r="AA467">
        <f>IF(OR(計分!AA467="",計分!$AP467=""),"",計分!$AP467-計分!AA467)</f>
        <v/>
      </c>
      <c r="AB467">
        <f>IF(OR(計分!AB467="",計分!$AP467=""),"",計分!$AP467-計分!AB467)</f>
        <v/>
      </c>
      <c r="AC467">
        <f>IF(OR(計分!AC467="",計分!$AP467=""),"",計分!$AP467-計分!AC467)</f>
        <v/>
      </c>
      <c r="AD467">
        <f>IF(OR(計分!AD467="",計分!$AP467=""),"",計分!$AP467-計分!AD467)</f>
        <v/>
      </c>
      <c r="AE467">
        <f>IF(OR(計分!AE467="",計分!$AP467=""),"",計分!$AP467-計分!AE467)</f>
        <v/>
      </c>
      <c r="AF467">
        <f>IF(OR(計分!AF467="",計分!$AP467=""),"",計分!$AP467-計分!AF467)</f>
        <v/>
      </c>
      <c r="AG467">
        <f>IF(OR(計分!AG467="",計分!$AP467=""),"",計分!$AP467-計分!AG467)</f>
        <v/>
      </c>
      <c r="AH467">
        <f>IF(OR(計分!AH467="",計分!$AP467=""),"",計分!$AP467-計分!AH467)</f>
        <v/>
      </c>
      <c r="AI467">
        <f>IF(OR(計分!AI467="",計分!$AP467=""),"",計分!$AP467-計分!AI467)</f>
        <v/>
      </c>
      <c r="AJ467">
        <f>IF(OR(計分!AJ467="",計分!$AP467=""),"",計分!$AP467-計分!AJ467)</f>
        <v/>
      </c>
      <c r="AK467">
        <f>IF(OR(計分!AK467="",計分!$AP467=""),"",計分!$AP467-計分!AK467)</f>
        <v/>
      </c>
      <c r="AL467">
        <f>IF(OR(計分!AL467="",計分!$AP467=""),"",計分!$AP467-計分!AL467)</f>
        <v/>
      </c>
      <c r="AM467">
        <f>IF(OR(計分!AM467="",計分!$AP467=""),"",計分!$AP467-計分!AM467)</f>
        <v/>
      </c>
      <c r="AN467">
        <f>IF(OR(計分!AN467="",計分!$AP467=""),"",計分!$AP467-計分!AN467)</f>
        <v/>
      </c>
      <c r="AO467">
        <f>IF(OR(計分!AO467="",計分!$AP467=""),"",計分!$AP467-計分!AO467)</f>
        <v/>
      </c>
    </row>
    <row r="468">
      <c r="A468">
        <f>計分!A468</f>
        <v/>
      </c>
      <c r="B468">
        <f>IF(OR(計分!B468="",計分!$AP468=""),"",計分!$AP468-計分!B468)</f>
        <v/>
      </c>
      <c r="C468">
        <f>IF(OR(計分!C468="",計分!$AP468=""),"",計分!$AP468-計分!C468)</f>
        <v/>
      </c>
      <c r="D468">
        <f>IF(OR(計分!D468="",計分!$AP468=""),"",計分!$AP468-計分!D468)</f>
        <v/>
      </c>
      <c r="E468">
        <f>IF(OR(計分!E468="",計分!$AP468=""),"",計分!$AP468-計分!E468)</f>
        <v/>
      </c>
      <c r="F468">
        <f>IF(OR(計分!F468="",計分!$AP468=""),"",計分!$AP468-計分!F468)</f>
        <v/>
      </c>
      <c r="G468">
        <f>IF(OR(計分!G468="",計分!$AP468=""),"",計分!$AP468-計分!G468)</f>
        <v/>
      </c>
      <c r="H468">
        <f>IF(OR(計分!H468="",計分!$AP468=""),"",計分!$AP468-計分!H468)</f>
        <v/>
      </c>
      <c r="I468">
        <f>IF(OR(計分!I468="",計分!$AP468=""),"",計分!$AP468-計分!I468)</f>
        <v/>
      </c>
      <c r="J468">
        <f>IF(OR(計分!J468="",計分!$AP468=""),"",計分!$AP468-計分!J468)</f>
        <v/>
      </c>
      <c r="K468">
        <f>IF(OR(計分!K468="",計分!$AP468=""),"",計分!$AP468-計分!K468)</f>
        <v/>
      </c>
      <c r="L468">
        <f>IF(OR(計分!L468="",計分!$AP468=""),"",計分!$AP468-計分!L468)</f>
        <v/>
      </c>
      <c r="M468">
        <f>IF(OR(計分!M468="",計分!$AP468=""),"",計分!$AP468-計分!M468)</f>
        <v/>
      </c>
      <c r="N468">
        <f>IF(OR(計分!N468="",計分!$AP468=""),"",計分!$AP468-計分!N468)</f>
        <v/>
      </c>
      <c r="O468">
        <f>IF(OR(計分!O468="",計分!$AP468=""),"",計分!$AP468-計分!O468)</f>
        <v/>
      </c>
      <c r="P468">
        <f>IF(OR(計分!P468="",計分!$AP468=""),"",計分!$AP468-計分!P468)</f>
        <v/>
      </c>
      <c r="Q468">
        <f>IF(OR(計分!Q468="",計分!$AP468=""),"",計分!$AP468-計分!Q468)</f>
        <v/>
      </c>
      <c r="R468">
        <f>IF(OR(計分!R468="",計分!$AP468=""),"",計分!$AP468-計分!R468)</f>
        <v/>
      </c>
      <c r="S468">
        <f>IF(OR(計分!S468="",計分!$AP468=""),"",計分!$AP468-計分!S468)</f>
        <v/>
      </c>
      <c r="T468">
        <f>IF(OR(計分!T468="",計分!$AP468=""),"",計分!$AP468-計分!T468)</f>
        <v/>
      </c>
      <c r="U468">
        <f>IF(OR(計分!U468="",計分!$AP468=""),"",計分!$AP468-計分!U468)</f>
        <v/>
      </c>
      <c r="V468">
        <f>IF(OR(計分!V468="",計分!$AP468=""),"",計分!$AP468-計分!V468)</f>
        <v/>
      </c>
      <c r="W468">
        <f>IF(OR(計分!W468="",計分!$AP468=""),"",計分!$AP468-計分!W468)</f>
        <v/>
      </c>
      <c r="X468">
        <f>IF(OR(計分!X468="",計分!$AP468=""),"",計分!$AP468-計分!X468)</f>
        <v/>
      </c>
      <c r="Y468">
        <f>IF(OR(計分!Y468="",計分!$AP468=""),"",計分!$AP468-計分!Y468)</f>
        <v/>
      </c>
      <c r="Z468">
        <f>IF(OR(計分!Z468="",計分!$AP468=""),"",計分!$AP468-計分!Z468)</f>
        <v/>
      </c>
      <c r="AA468">
        <f>IF(OR(計分!AA468="",計分!$AP468=""),"",計分!$AP468-計分!AA468)</f>
        <v/>
      </c>
      <c r="AB468">
        <f>IF(OR(計分!AB468="",計分!$AP468=""),"",計分!$AP468-計分!AB468)</f>
        <v/>
      </c>
      <c r="AC468">
        <f>IF(OR(計分!AC468="",計分!$AP468=""),"",計分!$AP468-計分!AC468)</f>
        <v/>
      </c>
      <c r="AD468">
        <f>IF(OR(計分!AD468="",計分!$AP468=""),"",計分!$AP468-計分!AD468)</f>
        <v/>
      </c>
      <c r="AE468">
        <f>IF(OR(計分!AE468="",計分!$AP468=""),"",計分!$AP468-計分!AE468)</f>
        <v/>
      </c>
      <c r="AF468">
        <f>IF(OR(計分!AF468="",計分!$AP468=""),"",計分!$AP468-計分!AF468)</f>
        <v/>
      </c>
      <c r="AG468">
        <f>IF(OR(計分!AG468="",計分!$AP468=""),"",計分!$AP468-計分!AG468)</f>
        <v/>
      </c>
      <c r="AH468">
        <f>IF(OR(計分!AH468="",計分!$AP468=""),"",計分!$AP468-計分!AH468)</f>
        <v/>
      </c>
      <c r="AI468">
        <f>IF(OR(計分!AI468="",計分!$AP468=""),"",計分!$AP468-計分!AI468)</f>
        <v/>
      </c>
      <c r="AJ468">
        <f>IF(OR(計分!AJ468="",計分!$AP468=""),"",計分!$AP468-計分!AJ468)</f>
        <v/>
      </c>
      <c r="AK468">
        <f>IF(OR(計分!AK468="",計分!$AP468=""),"",計分!$AP468-計分!AK468)</f>
        <v/>
      </c>
      <c r="AL468">
        <f>IF(OR(計分!AL468="",計分!$AP468=""),"",計分!$AP468-計分!AL468)</f>
        <v/>
      </c>
      <c r="AM468">
        <f>IF(OR(計分!AM468="",計分!$AP468=""),"",計分!$AP468-計分!AM468)</f>
        <v/>
      </c>
      <c r="AN468">
        <f>IF(OR(計分!AN468="",計分!$AP468=""),"",計分!$AP468-計分!AN468)</f>
        <v/>
      </c>
      <c r="AO468">
        <f>IF(OR(計分!AO468="",計分!$AP468=""),"",計分!$AP468-計分!AO468)</f>
        <v/>
      </c>
    </row>
    <row r="469">
      <c r="A469">
        <f>計分!A469</f>
        <v/>
      </c>
      <c r="B469">
        <f>IF(OR(計分!B469="",計分!$AP469=""),"",計分!$AP469-計分!B469)</f>
        <v/>
      </c>
      <c r="C469">
        <f>IF(OR(計分!C469="",計分!$AP469=""),"",計分!$AP469-計分!C469)</f>
        <v/>
      </c>
      <c r="D469">
        <f>IF(OR(計分!D469="",計分!$AP469=""),"",計分!$AP469-計分!D469)</f>
        <v/>
      </c>
      <c r="E469">
        <f>IF(OR(計分!E469="",計分!$AP469=""),"",計分!$AP469-計分!E469)</f>
        <v/>
      </c>
      <c r="F469">
        <f>IF(OR(計分!F469="",計分!$AP469=""),"",計分!$AP469-計分!F469)</f>
        <v/>
      </c>
      <c r="G469">
        <f>IF(OR(計分!G469="",計分!$AP469=""),"",計分!$AP469-計分!G469)</f>
        <v/>
      </c>
      <c r="H469">
        <f>IF(OR(計分!H469="",計分!$AP469=""),"",計分!$AP469-計分!H469)</f>
        <v/>
      </c>
      <c r="I469">
        <f>IF(OR(計分!I469="",計分!$AP469=""),"",計分!$AP469-計分!I469)</f>
        <v/>
      </c>
      <c r="J469">
        <f>IF(OR(計分!J469="",計分!$AP469=""),"",計分!$AP469-計分!J469)</f>
        <v/>
      </c>
      <c r="K469">
        <f>IF(OR(計分!K469="",計分!$AP469=""),"",計分!$AP469-計分!K469)</f>
        <v/>
      </c>
      <c r="L469">
        <f>IF(OR(計分!L469="",計分!$AP469=""),"",計分!$AP469-計分!L469)</f>
        <v/>
      </c>
      <c r="M469">
        <f>IF(OR(計分!M469="",計分!$AP469=""),"",計分!$AP469-計分!M469)</f>
        <v/>
      </c>
      <c r="N469">
        <f>IF(OR(計分!N469="",計分!$AP469=""),"",計分!$AP469-計分!N469)</f>
        <v/>
      </c>
      <c r="O469">
        <f>IF(OR(計分!O469="",計分!$AP469=""),"",計分!$AP469-計分!O469)</f>
        <v/>
      </c>
      <c r="P469">
        <f>IF(OR(計分!P469="",計分!$AP469=""),"",計分!$AP469-計分!P469)</f>
        <v/>
      </c>
      <c r="Q469">
        <f>IF(OR(計分!Q469="",計分!$AP469=""),"",計分!$AP469-計分!Q469)</f>
        <v/>
      </c>
      <c r="R469">
        <f>IF(OR(計分!R469="",計分!$AP469=""),"",計分!$AP469-計分!R469)</f>
        <v/>
      </c>
      <c r="S469">
        <f>IF(OR(計分!S469="",計分!$AP469=""),"",計分!$AP469-計分!S469)</f>
        <v/>
      </c>
      <c r="T469">
        <f>IF(OR(計分!T469="",計分!$AP469=""),"",計分!$AP469-計分!T469)</f>
        <v/>
      </c>
      <c r="U469">
        <f>IF(OR(計分!U469="",計分!$AP469=""),"",計分!$AP469-計分!U469)</f>
        <v/>
      </c>
      <c r="V469">
        <f>IF(OR(計分!V469="",計分!$AP469=""),"",計分!$AP469-計分!V469)</f>
        <v/>
      </c>
      <c r="W469">
        <f>IF(OR(計分!W469="",計分!$AP469=""),"",計分!$AP469-計分!W469)</f>
        <v/>
      </c>
      <c r="X469">
        <f>IF(OR(計分!X469="",計分!$AP469=""),"",計分!$AP469-計分!X469)</f>
        <v/>
      </c>
      <c r="Y469">
        <f>IF(OR(計分!Y469="",計分!$AP469=""),"",計分!$AP469-計分!Y469)</f>
        <v/>
      </c>
      <c r="Z469">
        <f>IF(OR(計分!Z469="",計分!$AP469=""),"",計分!$AP469-計分!Z469)</f>
        <v/>
      </c>
      <c r="AA469">
        <f>IF(OR(計分!AA469="",計分!$AP469=""),"",計分!$AP469-計分!AA469)</f>
        <v/>
      </c>
      <c r="AB469">
        <f>IF(OR(計分!AB469="",計分!$AP469=""),"",計分!$AP469-計分!AB469)</f>
        <v/>
      </c>
      <c r="AC469">
        <f>IF(OR(計分!AC469="",計分!$AP469=""),"",計分!$AP469-計分!AC469)</f>
        <v/>
      </c>
      <c r="AD469">
        <f>IF(OR(計分!AD469="",計分!$AP469=""),"",計分!$AP469-計分!AD469)</f>
        <v/>
      </c>
      <c r="AE469">
        <f>IF(OR(計分!AE469="",計分!$AP469=""),"",計分!$AP469-計分!AE469)</f>
        <v/>
      </c>
      <c r="AF469">
        <f>IF(OR(計分!AF469="",計分!$AP469=""),"",計分!$AP469-計分!AF469)</f>
        <v/>
      </c>
      <c r="AG469">
        <f>IF(OR(計分!AG469="",計分!$AP469=""),"",計分!$AP469-計分!AG469)</f>
        <v/>
      </c>
      <c r="AH469">
        <f>IF(OR(計分!AH469="",計分!$AP469=""),"",計分!$AP469-計分!AH469)</f>
        <v/>
      </c>
      <c r="AI469">
        <f>IF(OR(計分!AI469="",計分!$AP469=""),"",計分!$AP469-計分!AI469)</f>
        <v/>
      </c>
      <c r="AJ469">
        <f>IF(OR(計分!AJ469="",計分!$AP469=""),"",計分!$AP469-計分!AJ469)</f>
        <v/>
      </c>
      <c r="AK469">
        <f>IF(OR(計分!AK469="",計分!$AP469=""),"",計分!$AP469-計分!AK469)</f>
        <v/>
      </c>
      <c r="AL469">
        <f>IF(OR(計分!AL469="",計分!$AP469=""),"",計分!$AP469-計分!AL469)</f>
        <v/>
      </c>
      <c r="AM469">
        <f>IF(OR(計分!AM469="",計分!$AP469=""),"",計分!$AP469-計分!AM469)</f>
        <v/>
      </c>
      <c r="AN469">
        <f>IF(OR(計分!AN469="",計分!$AP469=""),"",計分!$AP469-計分!AN469)</f>
        <v/>
      </c>
      <c r="AO469">
        <f>IF(OR(計分!AO469="",計分!$AP469=""),"",計分!$AP469-計分!AO469)</f>
        <v/>
      </c>
    </row>
    <row r="470">
      <c r="A470">
        <f>計分!A470</f>
        <v/>
      </c>
      <c r="B470">
        <f>IF(OR(計分!B470="",計分!$AP470=""),"",計分!$AP470-計分!B470)</f>
        <v/>
      </c>
      <c r="C470">
        <f>IF(OR(計分!C470="",計分!$AP470=""),"",計分!$AP470-計分!C470)</f>
        <v/>
      </c>
      <c r="D470">
        <f>IF(OR(計分!D470="",計分!$AP470=""),"",計分!$AP470-計分!D470)</f>
        <v/>
      </c>
      <c r="E470">
        <f>IF(OR(計分!E470="",計分!$AP470=""),"",計分!$AP470-計分!E470)</f>
        <v/>
      </c>
      <c r="F470">
        <f>IF(OR(計分!F470="",計分!$AP470=""),"",計分!$AP470-計分!F470)</f>
        <v/>
      </c>
      <c r="G470">
        <f>IF(OR(計分!G470="",計分!$AP470=""),"",計分!$AP470-計分!G470)</f>
        <v/>
      </c>
      <c r="H470">
        <f>IF(OR(計分!H470="",計分!$AP470=""),"",計分!$AP470-計分!H470)</f>
        <v/>
      </c>
      <c r="I470">
        <f>IF(OR(計分!I470="",計分!$AP470=""),"",計分!$AP470-計分!I470)</f>
        <v/>
      </c>
      <c r="J470">
        <f>IF(OR(計分!J470="",計分!$AP470=""),"",計分!$AP470-計分!J470)</f>
        <v/>
      </c>
      <c r="K470">
        <f>IF(OR(計分!K470="",計分!$AP470=""),"",計分!$AP470-計分!K470)</f>
        <v/>
      </c>
      <c r="L470">
        <f>IF(OR(計分!L470="",計分!$AP470=""),"",計分!$AP470-計分!L470)</f>
        <v/>
      </c>
      <c r="M470">
        <f>IF(OR(計分!M470="",計分!$AP470=""),"",計分!$AP470-計分!M470)</f>
        <v/>
      </c>
      <c r="N470">
        <f>IF(OR(計分!N470="",計分!$AP470=""),"",計分!$AP470-計分!N470)</f>
        <v/>
      </c>
      <c r="O470">
        <f>IF(OR(計分!O470="",計分!$AP470=""),"",計分!$AP470-計分!O470)</f>
        <v/>
      </c>
      <c r="P470">
        <f>IF(OR(計分!P470="",計分!$AP470=""),"",計分!$AP470-計分!P470)</f>
        <v/>
      </c>
      <c r="Q470">
        <f>IF(OR(計分!Q470="",計分!$AP470=""),"",計分!$AP470-計分!Q470)</f>
        <v/>
      </c>
      <c r="R470">
        <f>IF(OR(計分!R470="",計分!$AP470=""),"",計分!$AP470-計分!R470)</f>
        <v/>
      </c>
      <c r="S470">
        <f>IF(OR(計分!S470="",計分!$AP470=""),"",計分!$AP470-計分!S470)</f>
        <v/>
      </c>
      <c r="T470">
        <f>IF(OR(計分!T470="",計分!$AP470=""),"",計分!$AP470-計分!T470)</f>
        <v/>
      </c>
      <c r="U470">
        <f>IF(OR(計分!U470="",計分!$AP470=""),"",計分!$AP470-計分!U470)</f>
        <v/>
      </c>
      <c r="V470">
        <f>IF(OR(計分!V470="",計分!$AP470=""),"",計分!$AP470-計分!V470)</f>
        <v/>
      </c>
      <c r="W470">
        <f>IF(OR(計分!W470="",計分!$AP470=""),"",計分!$AP470-計分!W470)</f>
        <v/>
      </c>
      <c r="X470">
        <f>IF(OR(計分!X470="",計分!$AP470=""),"",計分!$AP470-計分!X470)</f>
        <v/>
      </c>
      <c r="Y470">
        <f>IF(OR(計分!Y470="",計分!$AP470=""),"",計分!$AP470-計分!Y470)</f>
        <v/>
      </c>
      <c r="Z470">
        <f>IF(OR(計分!Z470="",計分!$AP470=""),"",計分!$AP470-計分!Z470)</f>
        <v/>
      </c>
      <c r="AA470">
        <f>IF(OR(計分!AA470="",計分!$AP470=""),"",計分!$AP470-計分!AA470)</f>
        <v/>
      </c>
      <c r="AB470">
        <f>IF(OR(計分!AB470="",計分!$AP470=""),"",計分!$AP470-計分!AB470)</f>
        <v/>
      </c>
      <c r="AC470">
        <f>IF(OR(計分!AC470="",計分!$AP470=""),"",計分!$AP470-計分!AC470)</f>
        <v/>
      </c>
      <c r="AD470">
        <f>IF(OR(計分!AD470="",計分!$AP470=""),"",計分!$AP470-計分!AD470)</f>
        <v/>
      </c>
      <c r="AE470">
        <f>IF(OR(計分!AE470="",計分!$AP470=""),"",計分!$AP470-計分!AE470)</f>
        <v/>
      </c>
      <c r="AF470">
        <f>IF(OR(計分!AF470="",計分!$AP470=""),"",計分!$AP470-計分!AF470)</f>
        <v/>
      </c>
      <c r="AG470">
        <f>IF(OR(計分!AG470="",計分!$AP470=""),"",計分!$AP470-計分!AG470)</f>
        <v/>
      </c>
      <c r="AH470">
        <f>IF(OR(計分!AH470="",計分!$AP470=""),"",計分!$AP470-計分!AH470)</f>
        <v/>
      </c>
      <c r="AI470">
        <f>IF(OR(計分!AI470="",計分!$AP470=""),"",計分!$AP470-計分!AI470)</f>
        <v/>
      </c>
      <c r="AJ470">
        <f>IF(OR(計分!AJ470="",計分!$AP470=""),"",計分!$AP470-計分!AJ470)</f>
        <v/>
      </c>
      <c r="AK470">
        <f>IF(OR(計分!AK470="",計分!$AP470=""),"",計分!$AP470-計分!AK470)</f>
        <v/>
      </c>
      <c r="AL470">
        <f>IF(OR(計分!AL470="",計分!$AP470=""),"",計分!$AP470-計分!AL470)</f>
        <v/>
      </c>
      <c r="AM470">
        <f>IF(OR(計分!AM470="",計分!$AP470=""),"",計分!$AP470-計分!AM470)</f>
        <v/>
      </c>
      <c r="AN470">
        <f>IF(OR(計分!AN470="",計分!$AP470=""),"",計分!$AP470-計分!AN470)</f>
        <v/>
      </c>
      <c r="AO470">
        <f>IF(OR(計分!AO470="",計分!$AP470=""),"",計分!$AP470-計分!AO470)</f>
        <v/>
      </c>
    </row>
    <row r="471">
      <c r="A471">
        <f>計分!A471</f>
        <v/>
      </c>
      <c r="B471">
        <f>IF(OR(計分!B471="",計分!$AP471=""),"",計分!$AP471-計分!B471)</f>
        <v/>
      </c>
      <c r="C471">
        <f>IF(OR(計分!C471="",計分!$AP471=""),"",計分!$AP471-計分!C471)</f>
        <v/>
      </c>
      <c r="D471">
        <f>IF(OR(計分!D471="",計分!$AP471=""),"",計分!$AP471-計分!D471)</f>
        <v/>
      </c>
      <c r="E471">
        <f>IF(OR(計分!E471="",計分!$AP471=""),"",計分!$AP471-計分!E471)</f>
        <v/>
      </c>
      <c r="F471">
        <f>IF(OR(計分!F471="",計分!$AP471=""),"",計分!$AP471-計分!F471)</f>
        <v/>
      </c>
      <c r="G471">
        <f>IF(OR(計分!G471="",計分!$AP471=""),"",計分!$AP471-計分!G471)</f>
        <v/>
      </c>
      <c r="H471">
        <f>IF(OR(計分!H471="",計分!$AP471=""),"",計分!$AP471-計分!H471)</f>
        <v/>
      </c>
      <c r="I471">
        <f>IF(OR(計分!I471="",計分!$AP471=""),"",計分!$AP471-計分!I471)</f>
        <v/>
      </c>
      <c r="J471">
        <f>IF(OR(計分!J471="",計分!$AP471=""),"",計分!$AP471-計分!J471)</f>
        <v/>
      </c>
      <c r="K471">
        <f>IF(OR(計分!K471="",計分!$AP471=""),"",計分!$AP471-計分!K471)</f>
        <v/>
      </c>
      <c r="L471">
        <f>IF(OR(計分!L471="",計分!$AP471=""),"",計分!$AP471-計分!L471)</f>
        <v/>
      </c>
      <c r="M471">
        <f>IF(OR(計分!M471="",計分!$AP471=""),"",計分!$AP471-計分!M471)</f>
        <v/>
      </c>
      <c r="N471">
        <f>IF(OR(計分!N471="",計分!$AP471=""),"",計分!$AP471-計分!N471)</f>
        <v/>
      </c>
      <c r="O471">
        <f>IF(OR(計分!O471="",計分!$AP471=""),"",計分!$AP471-計分!O471)</f>
        <v/>
      </c>
      <c r="P471">
        <f>IF(OR(計分!P471="",計分!$AP471=""),"",計分!$AP471-計分!P471)</f>
        <v/>
      </c>
      <c r="Q471">
        <f>IF(OR(計分!Q471="",計分!$AP471=""),"",計分!$AP471-計分!Q471)</f>
        <v/>
      </c>
      <c r="R471">
        <f>IF(OR(計分!R471="",計分!$AP471=""),"",計分!$AP471-計分!R471)</f>
        <v/>
      </c>
      <c r="S471">
        <f>IF(OR(計分!S471="",計分!$AP471=""),"",計分!$AP471-計分!S471)</f>
        <v/>
      </c>
      <c r="T471">
        <f>IF(OR(計分!T471="",計分!$AP471=""),"",計分!$AP471-計分!T471)</f>
        <v/>
      </c>
      <c r="U471">
        <f>IF(OR(計分!U471="",計分!$AP471=""),"",計分!$AP471-計分!U471)</f>
        <v/>
      </c>
      <c r="V471">
        <f>IF(OR(計分!V471="",計分!$AP471=""),"",計分!$AP471-計分!V471)</f>
        <v/>
      </c>
      <c r="W471">
        <f>IF(OR(計分!W471="",計分!$AP471=""),"",計分!$AP471-計分!W471)</f>
        <v/>
      </c>
      <c r="X471">
        <f>IF(OR(計分!X471="",計分!$AP471=""),"",計分!$AP471-計分!X471)</f>
        <v/>
      </c>
      <c r="Y471">
        <f>IF(OR(計分!Y471="",計分!$AP471=""),"",計分!$AP471-計分!Y471)</f>
        <v/>
      </c>
      <c r="Z471">
        <f>IF(OR(計分!Z471="",計分!$AP471=""),"",計分!$AP471-計分!Z471)</f>
        <v/>
      </c>
      <c r="AA471">
        <f>IF(OR(計分!AA471="",計分!$AP471=""),"",計分!$AP471-計分!AA471)</f>
        <v/>
      </c>
      <c r="AB471">
        <f>IF(OR(計分!AB471="",計分!$AP471=""),"",計分!$AP471-計分!AB471)</f>
        <v/>
      </c>
      <c r="AC471">
        <f>IF(OR(計分!AC471="",計分!$AP471=""),"",計分!$AP471-計分!AC471)</f>
        <v/>
      </c>
      <c r="AD471">
        <f>IF(OR(計分!AD471="",計分!$AP471=""),"",計分!$AP471-計分!AD471)</f>
        <v/>
      </c>
      <c r="AE471">
        <f>IF(OR(計分!AE471="",計分!$AP471=""),"",計分!$AP471-計分!AE471)</f>
        <v/>
      </c>
      <c r="AF471">
        <f>IF(OR(計分!AF471="",計分!$AP471=""),"",計分!$AP471-計分!AF471)</f>
        <v/>
      </c>
      <c r="AG471">
        <f>IF(OR(計分!AG471="",計分!$AP471=""),"",計分!$AP471-計分!AG471)</f>
        <v/>
      </c>
      <c r="AH471">
        <f>IF(OR(計分!AH471="",計分!$AP471=""),"",計分!$AP471-計分!AH471)</f>
        <v/>
      </c>
      <c r="AI471">
        <f>IF(OR(計分!AI471="",計分!$AP471=""),"",計分!$AP471-計分!AI471)</f>
        <v/>
      </c>
      <c r="AJ471">
        <f>IF(OR(計分!AJ471="",計分!$AP471=""),"",計分!$AP471-計分!AJ471)</f>
        <v/>
      </c>
      <c r="AK471">
        <f>IF(OR(計分!AK471="",計分!$AP471=""),"",計分!$AP471-計分!AK471)</f>
        <v/>
      </c>
      <c r="AL471">
        <f>IF(OR(計分!AL471="",計分!$AP471=""),"",計分!$AP471-計分!AL471)</f>
        <v/>
      </c>
      <c r="AM471">
        <f>IF(OR(計分!AM471="",計分!$AP471=""),"",計分!$AP471-計分!AM471)</f>
        <v/>
      </c>
      <c r="AN471">
        <f>IF(OR(計分!AN471="",計分!$AP471=""),"",計分!$AP471-計分!AN471)</f>
        <v/>
      </c>
      <c r="AO471">
        <f>IF(OR(計分!AO471="",計分!$AP471=""),"",計分!$AP471-計分!AO471)</f>
        <v/>
      </c>
    </row>
    <row r="472">
      <c r="A472">
        <f>計分!A472</f>
        <v/>
      </c>
      <c r="B472">
        <f>IF(OR(計分!B472="",計分!$AP472=""),"",計分!$AP472-計分!B472)</f>
        <v/>
      </c>
      <c r="C472">
        <f>IF(OR(計分!C472="",計分!$AP472=""),"",計分!$AP472-計分!C472)</f>
        <v/>
      </c>
      <c r="D472">
        <f>IF(OR(計分!D472="",計分!$AP472=""),"",計分!$AP472-計分!D472)</f>
        <v/>
      </c>
      <c r="E472">
        <f>IF(OR(計分!E472="",計分!$AP472=""),"",計分!$AP472-計分!E472)</f>
        <v/>
      </c>
      <c r="F472">
        <f>IF(OR(計分!F472="",計分!$AP472=""),"",計分!$AP472-計分!F472)</f>
        <v/>
      </c>
      <c r="G472">
        <f>IF(OR(計分!G472="",計分!$AP472=""),"",計分!$AP472-計分!G472)</f>
        <v/>
      </c>
      <c r="H472">
        <f>IF(OR(計分!H472="",計分!$AP472=""),"",計分!$AP472-計分!H472)</f>
        <v/>
      </c>
      <c r="I472">
        <f>IF(OR(計分!I472="",計分!$AP472=""),"",計分!$AP472-計分!I472)</f>
        <v/>
      </c>
      <c r="J472">
        <f>IF(OR(計分!J472="",計分!$AP472=""),"",計分!$AP472-計分!J472)</f>
        <v/>
      </c>
      <c r="K472">
        <f>IF(OR(計分!K472="",計分!$AP472=""),"",計分!$AP472-計分!K472)</f>
        <v/>
      </c>
      <c r="L472">
        <f>IF(OR(計分!L472="",計分!$AP472=""),"",計分!$AP472-計分!L472)</f>
        <v/>
      </c>
      <c r="M472">
        <f>IF(OR(計分!M472="",計分!$AP472=""),"",計分!$AP472-計分!M472)</f>
        <v/>
      </c>
      <c r="N472">
        <f>IF(OR(計分!N472="",計分!$AP472=""),"",計分!$AP472-計分!N472)</f>
        <v/>
      </c>
      <c r="O472">
        <f>IF(OR(計分!O472="",計分!$AP472=""),"",計分!$AP472-計分!O472)</f>
        <v/>
      </c>
      <c r="P472">
        <f>IF(OR(計分!P472="",計分!$AP472=""),"",計分!$AP472-計分!P472)</f>
        <v/>
      </c>
      <c r="Q472">
        <f>IF(OR(計分!Q472="",計分!$AP472=""),"",計分!$AP472-計分!Q472)</f>
        <v/>
      </c>
      <c r="R472">
        <f>IF(OR(計分!R472="",計分!$AP472=""),"",計分!$AP472-計分!R472)</f>
        <v/>
      </c>
      <c r="S472">
        <f>IF(OR(計分!S472="",計分!$AP472=""),"",計分!$AP472-計分!S472)</f>
        <v/>
      </c>
      <c r="T472">
        <f>IF(OR(計分!T472="",計分!$AP472=""),"",計分!$AP472-計分!T472)</f>
        <v/>
      </c>
      <c r="U472">
        <f>IF(OR(計分!U472="",計分!$AP472=""),"",計分!$AP472-計分!U472)</f>
        <v/>
      </c>
      <c r="V472">
        <f>IF(OR(計分!V472="",計分!$AP472=""),"",計分!$AP472-計分!V472)</f>
        <v/>
      </c>
      <c r="W472">
        <f>IF(OR(計分!W472="",計分!$AP472=""),"",計分!$AP472-計分!W472)</f>
        <v/>
      </c>
      <c r="X472">
        <f>IF(OR(計分!X472="",計分!$AP472=""),"",計分!$AP472-計分!X472)</f>
        <v/>
      </c>
      <c r="Y472">
        <f>IF(OR(計分!Y472="",計分!$AP472=""),"",計分!$AP472-計分!Y472)</f>
        <v/>
      </c>
      <c r="Z472">
        <f>IF(OR(計分!Z472="",計分!$AP472=""),"",計分!$AP472-計分!Z472)</f>
        <v/>
      </c>
      <c r="AA472">
        <f>IF(OR(計分!AA472="",計分!$AP472=""),"",計分!$AP472-計分!AA472)</f>
        <v/>
      </c>
      <c r="AB472">
        <f>IF(OR(計分!AB472="",計分!$AP472=""),"",計分!$AP472-計分!AB472)</f>
        <v/>
      </c>
      <c r="AC472">
        <f>IF(OR(計分!AC472="",計分!$AP472=""),"",計分!$AP472-計分!AC472)</f>
        <v/>
      </c>
      <c r="AD472">
        <f>IF(OR(計分!AD472="",計分!$AP472=""),"",計分!$AP472-計分!AD472)</f>
        <v/>
      </c>
      <c r="AE472">
        <f>IF(OR(計分!AE472="",計分!$AP472=""),"",計分!$AP472-計分!AE472)</f>
        <v/>
      </c>
      <c r="AF472">
        <f>IF(OR(計分!AF472="",計分!$AP472=""),"",計分!$AP472-計分!AF472)</f>
        <v/>
      </c>
      <c r="AG472">
        <f>IF(OR(計分!AG472="",計分!$AP472=""),"",計分!$AP472-計分!AG472)</f>
        <v/>
      </c>
      <c r="AH472">
        <f>IF(OR(計分!AH472="",計分!$AP472=""),"",計分!$AP472-計分!AH472)</f>
        <v/>
      </c>
      <c r="AI472">
        <f>IF(OR(計分!AI472="",計分!$AP472=""),"",計分!$AP472-計分!AI472)</f>
        <v/>
      </c>
      <c r="AJ472">
        <f>IF(OR(計分!AJ472="",計分!$AP472=""),"",計分!$AP472-計分!AJ472)</f>
        <v/>
      </c>
      <c r="AK472">
        <f>IF(OR(計分!AK472="",計分!$AP472=""),"",計分!$AP472-計分!AK472)</f>
        <v/>
      </c>
      <c r="AL472">
        <f>IF(OR(計分!AL472="",計分!$AP472=""),"",計分!$AP472-計分!AL472)</f>
        <v/>
      </c>
      <c r="AM472">
        <f>IF(OR(計分!AM472="",計分!$AP472=""),"",計分!$AP472-計分!AM472)</f>
        <v/>
      </c>
      <c r="AN472">
        <f>IF(OR(計分!AN472="",計分!$AP472=""),"",計分!$AP472-計分!AN472)</f>
        <v/>
      </c>
      <c r="AO472">
        <f>IF(OR(計分!AO472="",計分!$AP472=""),"",計分!$AP472-計分!AO472)</f>
        <v/>
      </c>
    </row>
    <row r="473">
      <c r="A473">
        <f>計分!A473</f>
        <v/>
      </c>
      <c r="B473">
        <f>IF(OR(計分!B473="",計分!$AP473=""),"",計分!$AP473-計分!B473)</f>
        <v/>
      </c>
      <c r="C473">
        <f>IF(OR(計分!C473="",計分!$AP473=""),"",計分!$AP473-計分!C473)</f>
        <v/>
      </c>
      <c r="D473">
        <f>IF(OR(計分!D473="",計分!$AP473=""),"",計分!$AP473-計分!D473)</f>
        <v/>
      </c>
      <c r="E473">
        <f>IF(OR(計分!E473="",計分!$AP473=""),"",計分!$AP473-計分!E473)</f>
        <v/>
      </c>
      <c r="F473">
        <f>IF(OR(計分!F473="",計分!$AP473=""),"",計分!$AP473-計分!F473)</f>
        <v/>
      </c>
      <c r="G473">
        <f>IF(OR(計分!G473="",計分!$AP473=""),"",計分!$AP473-計分!G473)</f>
        <v/>
      </c>
      <c r="H473">
        <f>IF(OR(計分!H473="",計分!$AP473=""),"",計分!$AP473-計分!H473)</f>
        <v/>
      </c>
      <c r="I473">
        <f>IF(OR(計分!I473="",計分!$AP473=""),"",計分!$AP473-計分!I473)</f>
        <v/>
      </c>
      <c r="J473">
        <f>IF(OR(計分!J473="",計分!$AP473=""),"",計分!$AP473-計分!J473)</f>
        <v/>
      </c>
      <c r="K473">
        <f>IF(OR(計分!K473="",計分!$AP473=""),"",計分!$AP473-計分!K473)</f>
        <v/>
      </c>
      <c r="L473">
        <f>IF(OR(計分!L473="",計分!$AP473=""),"",計分!$AP473-計分!L473)</f>
        <v/>
      </c>
      <c r="M473">
        <f>IF(OR(計分!M473="",計分!$AP473=""),"",計分!$AP473-計分!M473)</f>
        <v/>
      </c>
      <c r="N473">
        <f>IF(OR(計分!N473="",計分!$AP473=""),"",計分!$AP473-計分!N473)</f>
        <v/>
      </c>
      <c r="O473">
        <f>IF(OR(計分!O473="",計分!$AP473=""),"",計分!$AP473-計分!O473)</f>
        <v/>
      </c>
      <c r="P473">
        <f>IF(OR(計分!P473="",計分!$AP473=""),"",計分!$AP473-計分!P473)</f>
        <v/>
      </c>
      <c r="Q473">
        <f>IF(OR(計分!Q473="",計分!$AP473=""),"",計分!$AP473-計分!Q473)</f>
        <v/>
      </c>
      <c r="R473">
        <f>IF(OR(計分!R473="",計分!$AP473=""),"",計分!$AP473-計分!R473)</f>
        <v/>
      </c>
      <c r="S473">
        <f>IF(OR(計分!S473="",計分!$AP473=""),"",計分!$AP473-計分!S473)</f>
        <v/>
      </c>
      <c r="T473">
        <f>IF(OR(計分!T473="",計分!$AP473=""),"",計分!$AP473-計分!T473)</f>
        <v/>
      </c>
      <c r="U473">
        <f>IF(OR(計分!U473="",計分!$AP473=""),"",計分!$AP473-計分!U473)</f>
        <v/>
      </c>
      <c r="V473">
        <f>IF(OR(計分!V473="",計分!$AP473=""),"",計分!$AP473-計分!V473)</f>
        <v/>
      </c>
      <c r="W473">
        <f>IF(OR(計分!W473="",計分!$AP473=""),"",計分!$AP473-計分!W473)</f>
        <v/>
      </c>
      <c r="X473">
        <f>IF(OR(計分!X473="",計分!$AP473=""),"",計分!$AP473-計分!X473)</f>
        <v/>
      </c>
      <c r="Y473">
        <f>IF(OR(計分!Y473="",計分!$AP473=""),"",計分!$AP473-計分!Y473)</f>
        <v/>
      </c>
      <c r="Z473">
        <f>IF(OR(計分!Z473="",計分!$AP473=""),"",計分!$AP473-計分!Z473)</f>
        <v/>
      </c>
      <c r="AA473">
        <f>IF(OR(計分!AA473="",計分!$AP473=""),"",計分!$AP473-計分!AA473)</f>
        <v/>
      </c>
      <c r="AB473">
        <f>IF(OR(計分!AB473="",計分!$AP473=""),"",計分!$AP473-計分!AB473)</f>
        <v/>
      </c>
      <c r="AC473">
        <f>IF(OR(計分!AC473="",計分!$AP473=""),"",計分!$AP473-計分!AC473)</f>
        <v/>
      </c>
      <c r="AD473">
        <f>IF(OR(計分!AD473="",計分!$AP473=""),"",計分!$AP473-計分!AD473)</f>
        <v/>
      </c>
      <c r="AE473">
        <f>IF(OR(計分!AE473="",計分!$AP473=""),"",計分!$AP473-計分!AE473)</f>
        <v/>
      </c>
      <c r="AF473">
        <f>IF(OR(計分!AF473="",計分!$AP473=""),"",計分!$AP473-計分!AF473)</f>
        <v/>
      </c>
      <c r="AG473">
        <f>IF(OR(計分!AG473="",計分!$AP473=""),"",計分!$AP473-計分!AG473)</f>
        <v/>
      </c>
      <c r="AH473">
        <f>IF(OR(計分!AH473="",計分!$AP473=""),"",計分!$AP473-計分!AH473)</f>
        <v/>
      </c>
      <c r="AI473">
        <f>IF(OR(計分!AI473="",計分!$AP473=""),"",計分!$AP473-計分!AI473)</f>
        <v/>
      </c>
      <c r="AJ473">
        <f>IF(OR(計分!AJ473="",計分!$AP473=""),"",計分!$AP473-計分!AJ473)</f>
        <v/>
      </c>
      <c r="AK473">
        <f>IF(OR(計分!AK473="",計分!$AP473=""),"",計分!$AP473-計分!AK473)</f>
        <v/>
      </c>
      <c r="AL473">
        <f>IF(OR(計分!AL473="",計分!$AP473=""),"",計分!$AP473-計分!AL473)</f>
        <v/>
      </c>
      <c r="AM473">
        <f>IF(OR(計分!AM473="",計分!$AP473=""),"",計分!$AP473-計分!AM473)</f>
        <v/>
      </c>
      <c r="AN473">
        <f>IF(OR(計分!AN473="",計分!$AP473=""),"",計分!$AP473-計分!AN473)</f>
        <v/>
      </c>
      <c r="AO473">
        <f>IF(OR(計分!AO473="",計分!$AP473=""),"",計分!$AP473-計分!AO473)</f>
        <v/>
      </c>
    </row>
    <row r="474">
      <c r="A474">
        <f>計分!A474</f>
        <v/>
      </c>
      <c r="B474">
        <f>IF(OR(計分!B474="",計分!$AP474=""),"",計分!$AP474-計分!B474)</f>
        <v/>
      </c>
      <c r="C474">
        <f>IF(OR(計分!C474="",計分!$AP474=""),"",計分!$AP474-計分!C474)</f>
        <v/>
      </c>
      <c r="D474">
        <f>IF(OR(計分!D474="",計分!$AP474=""),"",計分!$AP474-計分!D474)</f>
        <v/>
      </c>
      <c r="E474">
        <f>IF(OR(計分!E474="",計分!$AP474=""),"",計分!$AP474-計分!E474)</f>
        <v/>
      </c>
      <c r="F474">
        <f>IF(OR(計分!F474="",計分!$AP474=""),"",計分!$AP474-計分!F474)</f>
        <v/>
      </c>
      <c r="G474">
        <f>IF(OR(計分!G474="",計分!$AP474=""),"",計分!$AP474-計分!G474)</f>
        <v/>
      </c>
      <c r="H474">
        <f>IF(OR(計分!H474="",計分!$AP474=""),"",計分!$AP474-計分!H474)</f>
        <v/>
      </c>
      <c r="I474">
        <f>IF(OR(計分!I474="",計分!$AP474=""),"",計分!$AP474-計分!I474)</f>
        <v/>
      </c>
      <c r="J474">
        <f>IF(OR(計分!J474="",計分!$AP474=""),"",計分!$AP474-計分!J474)</f>
        <v/>
      </c>
      <c r="K474">
        <f>IF(OR(計分!K474="",計分!$AP474=""),"",計分!$AP474-計分!K474)</f>
        <v/>
      </c>
      <c r="L474">
        <f>IF(OR(計分!L474="",計分!$AP474=""),"",計分!$AP474-計分!L474)</f>
        <v/>
      </c>
      <c r="M474">
        <f>IF(OR(計分!M474="",計分!$AP474=""),"",計分!$AP474-計分!M474)</f>
        <v/>
      </c>
      <c r="N474">
        <f>IF(OR(計分!N474="",計分!$AP474=""),"",計分!$AP474-計分!N474)</f>
        <v/>
      </c>
      <c r="O474">
        <f>IF(OR(計分!O474="",計分!$AP474=""),"",計分!$AP474-計分!O474)</f>
        <v/>
      </c>
      <c r="P474">
        <f>IF(OR(計分!P474="",計分!$AP474=""),"",計分!$AP474-計分!P474)</f>
        <v/>
      </c>
      <c r="Q474">
        <f>IF(OR(計分!Q474="",計分!$AP474=""),"",計分!$AP474-計分!Q474)</f>
        <v/>
      </c>
      <c r="R474">
        <f>IF(OR(計分!R474="",計分!$AP474=""),"",計分!$AP474-計分!R474)</f>
        <v/>
      </c>
      <c r="S474">
        <f>IF(OR(計分!S474="",計分!$AP474=""),"",計分!$AP474-計分!S474)</f>
        <v/>
      </c>
      <c r="T474">
        <f>IF(OR(計分!T474="",計分!$AP474=""),"",計分!$AP474-計分!T474)</f>
        <v/>
      </c>
      <c r="U474">
        <f>IF(OR(計分!U474="",計分!$AP474=""),"",計分!$AP474-計分!U474)</f>
        <v/>
      </c>
      <c r="V474">
        <f>IF(OR(計分!V474="",計分!$AP474=""),"",計分!$AP474-計分!V474)</f>
        <v/>
      </c>
      <c r="W474">
        <f>IF(OR(計分!W474="",計分!$AP474=""),"",計分!$AP474-計分!W474)</f>
        <v/>
      </c>
      <c r="X474">
        <f>IF(OR(計分!X474="",計分!$AP474=""),"",計分!$AP474-計分!X474)</f>
        <v/>
      </c>
      <c r="Y474">
        <f>IF(OR(計分!Y474="",計分!$AP474=""),"",計分!$AP474-計分!Y474)</f>
        <v/>
      </c>
      <c r="Z474">
        <f>IF(OR(計分!Z474="",計分!$AP474=""),"",計分!$AP474-計分!Z474)</f>
        <v/>
      </c>
      <c r="AA474">
        <f>IF(OR(計分!AA474="",計分!$AP474=""),"",計分!$AP474-計分!AA474)</f>
        <v/>
      </c>
      <c r="AB474">
        <f>IF(OR(計分!AB474="",計分!$AP474=""),"",計分!$AP474-計分!AB474)</f>
        <v/>
      </c>
      <c r="AC474">
        <f>IF(OR(計分!AC474="",計分!$AP474=""),"",計分!$AP474-計分!AC474)</f>
        <v/>
      </c>
      <c r="AD474">
        <f>IF(OR(計分!AD474="",計分!$AP474=""),"",計分!$AP474-計分!AD474)</f>
        <v/>
      </c>
      <c r="AE474">
        <f>IF(OR(計分!AE474="",計分!$AP474=""),"",計分!$AP474-計分!AE474)</f>
        <v/>
      </c>
      <c r="AF474">
        <f>IF(OR(計分!AF474="",計分!$AP474=""),"",計分!$AP474-計分!AF474)</f>
        <v/>
      </c>
      <c r="AG474">
        <f>IF(OR(計分!AG474="",計分!$AP474=""),"",計分!$AP474-計分!AG474)</f>
        <v/>
      </c>
      <c r="AH474">
        <f>IF(OR(計分!AH474="",計分!$AP474=""),"",計分!$AP474-計分!AH474)</f>
        <v/>
      </c>
      <c r="AI474">
        <f>IF(OR(計分!AI474="",計分!$AP474=""),"",計分!$AP474-計分!AI474)</f>
        <v/>
      </c>
      <c r="AJ474">
        <f>IF(OR(計分!AJ474="",計分!$AP474=""),"",計分!$AP474-計分!AJ474)</f>
        <v/>
      </c>
      <c r="AK474">
        <f>IF(OR(計分!AK474="",計分!$AP474=""),"",計分!$AP474-計分!AK474)</f>
        <v/>
      </c>
      <c r="AL474">
        <f>IF(OR(計分!AL474="",計分!$AP474=""),"",計分!$AP474-計分!AL474)</f>
        <v/>
      </c>
      <c r="AM474">
        <f>IF(OR(計分!AM474="",計分!$AP474=""),"",計分!$AP474-計分!AM474)</f>
        <v/>
      </c>
      <c r="AN474">
        <f>IF(OR(計分!AN474="",計分!$AP474=""),"",計分!$AP474-計分!AN474)</f>
        <v/>
      </c>
      <c r="AO474">
        <f>IF(OR(計分!AO474="",計分!$AP474=""),"",計分!$AP474-計分!AO474)</f>
        <v/>
      </c>
    </row>
    <row r="475">
      <c r="A475">
        <f>計分!A475</f>
        <v/>
      </c>
      <c r="B475">
        <f>IF(OR(計分!B475="",計分!$AP475=""),"",計分!$AP475-計分!B475)</f>
        <v/>
      </c>
      <c r="C475">
        <f>IF(OR(計分!C475="",計分!$AP475=""),"",計分!$AP475-計分!C475)</f>
        <v/>
      </c>
      <c r="D475">
        <f>IF(OR(計分!D475="",計分!$AP475=""),"",計分!$AP475-計分!D475)</f>
        <v/>
      </c>
      <c r="E475">
        <f>IF(OR(計分!E475="",計分!$AP475=""),"",計分!$AP475-計分!E475)</f>
        <v/>
      </c>
      <c r="F475">
        <f>IF(OR(計分!F475="",計分!$AP475=""),"",計分!$AP475-計分!F475)</f>
        <v/>
      </c>
      <c r="G475">
        <f>IF(OR(計分!G475="",計分!$AP475=""),"",計分!$AP475-計分!G475)</f>
        <v/>
      </c>
      <c r="H475">
        <f>IF(OR(計分!H475="",計分!$AP475=""),"",計分!$AP475-計分!H475)</f>
        <v/>
      </c>
      <c r="I475">
        <f>IF(OR(計分!I475="",計分!$AP475=""),"",計分!$AP475-計分!I475)</f>
        <v/>
      </c>
      <c r="J475">
        <f>IF(OR(計分!J475="",計分!$AP475=""),"",計分!$AP475-計分!J475)</f>
        <v/>
      </c>
      <c r="K475">
        <f>IF(OR(計分!K475="",計分!$AP475=""),"",計分!$AP475-計分!K475)</f>
        <v/>
      </c>
      <c r="L475">
        <f>IF(OR(計分!L475="",計分!$AP475=""),"",計分!$AP475-計分!L475)</f>
        <v/>
      </c>
      <c r="M475">
        <f>IF(OR(計分!M475="",計分!$AP475=""),"",計分!$AP475-計分!M475)</f>
        <v/>
      </c>
      <c r="N475">
        <f>IF(OR(計分!N475="",計分!$AP475=""),"",計分!$AP475-計分!N475)</f>
        <v/>
      </c>
      <c r="O475">
        <f>IF(OR(計分!O475="",計分!$AP475=""),"",計分!$AP475-計分!O475)</f>
        <v/>
      </c>
      <c r="P475">
        <f>IF(OR(計分!P475="",計分!$AP475=""),"",計分!$AP475-計分!P475)</f>
        <v/>
      </c>
      <c r="Q475">
        <f>IF(OR(計分!Q475="",計分!$AP475=""),"",計分!$AP475-計分!Q475)</f>
        <v/>
      </c>
      <c r="R475">
        <f>IF(OR(計分!R475="",計分!$AP475=""),"",計分!$AP475-計分!R475)</f>
        <v/>
      </c>
      <c r="S475">
        <f>IF(OR(計分!S475="",計分!$AP475=""),"",計分!$AP475-計分!S475)</f>
        <v/>
      </c>
      <c r="T475">
        <f>IF(OR(計分!T475="",計分!$AP475=""),"",計分!$AP475-計分!T475)</f>
        <v/>
      </c>
      <c r="U475">
        <f>IF(OR(計分!U475="",計分!$AP475=""),"",計分!$AP475-計分!U475)</f>
        <v/>
      </c>
      <c r="V475">
        <f>IF(OR(計分!V475="",計分!$AP475=""),"",計分!$AP475-計分!V475)</f>
        <v/>
      </c>
      <c r="W475">
        <f>IF(OR(計分!W475="",計分!$AP475=""),"",計分!$AP475-計分!W475)</f>
        <v/>
      </c>
      <c r="X475">
        <f>IF(OR(計分!X475="",計分!$AP475=""),"",計分!$AP475-計分!X475)</f>
        <v/>
      </c>
      <c r="Y475">
        <f>IF(OR(計分!Y475="",計分!$AP475=""),"",計分!$AP475-計分!Y475)</f>
        <v/>
      </c>
      <c r="Z475">
        <f>IF(OR(計分!Z475="",計分!$AP475=""),"",計分!$AP475-計分!Z475)</f>
        <v/>
      </c>
      <c r="AA475">
        <f>IF(OR(計分!AA475="",計分!$AP475=""),"",計分!$AP475-計分!AA475)</f>
        <v/>
      </c>
      <c r="AB475">
        <f>IF(OR(計分!AB475="",計分!$AP475=""),"",計分!$AP475-計分!AB475)</f>
        <v/>
      </c>
      <c r="AC475">
        <f>IF(OR(計分!AC475="",計分!$AP475=""),"",計分!$AP475-計分!AC475)</f>
        <v/>
      </c>
      <c r="AD475">
        <f>IF(OR(計分!AD475="",計分!$AP475=""),"",計分!$AP475-計分!AD475)</f>
        <v/>
      </c>
      <c r="AE475">
        <f>IF(OR(計分!AE475="",計分!$AP475=""),"",計分!$AP475-計分!AE475)</f>
        <v/>
      </c>
      <c r="AF475">
        <f>IF(OR(計分!AF475="",計分!$AP475=""),"",計分!$AP475-計分!AF475)</f>
        <v/>
      </c>
      <c r="AG475">
        <f>IF(OR(計分!AG475="",計分!$AP475=""),"",計分!$AP475-計分!AG475)</f>
        <v/>
      </c>
      <c r="AH475">
        <f>IF(OR(計分!AH475="",計分!$AP475=""),"",計分!$AP475-計分!AH475)</f>
        <v/>
      </c>
      <c r="AI475">
        <f>IF(OR(計分!AI475="",計分!$AP475=""),"",計分!$AP475-計分!AI475)</f>
        <v/>
      </c>
      <c r="AJ475">
        <f>IF(OR(計分!AJ475="",計分!$AP475=""),"",計分!$AP475-計分!AJ475)</f>
        <v/>
      </c>
      <c r="AK475">
        <f>IF(OR(計分!AK475="",計分!$AP475=""),"",計分!$AP475-計分!AK475)</f>
        <v/>
      </c>
      <c r="AL475">
        <f>IF(OR(計分!AL475="",計分!$AP475=""),"",計分!$AP475-計分!AL475)</f>
        <v/>
      </c>
      <c r="AM475">
        <f>IF(OR(計分!AM475="",計分!$AP475=""),"",計分!$AP475-計分!AM475)</f>
        <v/>
      </c>
      <c r="AN475">
        <f>IF(OR(計分!AN475="",計分!$AP475=""),"",計分!$AP475-計分!AN475)</f>
        <v/>
      </c>
      <c r="AO475">
        <f>IF(OR(計分!AO475="",計分!$AP475=""),"",計分!$AP475-計分!AO475)</f>
        <v/>
      </c>
    </row>
    <row r="476">
      <c r="A476">
        <f>計分!A476</f>
        <v/>
      </c>
      <c r="B476">
        <f>IF(OR(計分!B476="",計分!$AP476=""),"",計分!$AP476-計分!B476)</f>
        <v/>
      </c>
      <c r="C476">
        <f>IF(OR(計分!C476="",計分!$AP476=""),"",計分!$AP476-計分!C476)</f>
        <v/>
      </c>
      <c r="D476">
        <f>IF(OR(計分!D476="",計分!$AP476=""),"",計分!$AP476-計分!D476)</f>
        <v/>
      </c>
      <c r="E476">
        <f>IF(OR(計分!E476="",計分!$AP476=""),"",計分!$AP476-計分!E476)</f>
        <v/>
      </c>
      <c r="F476">
        <f>IF(OR(計分!F476="",計分!$AP476=""),"",計分!$AP476-計分!F476)</f>
        <v/>
      </c>
      <c r="G476">
        <f>IF(OR(計分!G476="",計分!$AP476=""),"",計分!$AP476-計分!G476)</f>
        <v/>
      </c>
      <c r="H476">
        <f>IF(OR(計分!H476="",計分!$AP476=""),"",計分!$AP476-計分!H476)</f>
        <v/>
      </c>
      <c r="I476">
        <f>IF(OR(計分!I476="",計分!$AP476=""),"",計分!$AP476-計分!I476)</f>
        <v/>
      </c>
      <c r="J476">
        <f>IF(OR(計分!J476="",計分!$AP476=""),"",計分!$AP476-計分!J476)</f>
        <v/>
      </c>
      <c r="K476">
        <f>IF(OR(計分!K476="",計分!$AP476=""),"",計分!$AP476-計分!K476)</f>
        <v/>
      </c>
      <c r="L476">
        <f>IF(OR(計分!L476="",計分!$AP476=""),"",計分!$AP476-計分!L476)</f>
        <v/>
      </c>
      <c r="M476">
        <f>IF(OR(計分!M476="",計分!$AP476=""),"",計分!$AP476-計分!M476)</f>
        <v/>
      </c>
      <c r="N476">
        <f>IF(OR(計分!N476="",計分!$AP476=""),"",計分!$AP476-計分!N476)</f>
        <v/>
      </c>
      <c r="O476">
        <f>IF(OR(計分!O476="",計分!$AP476=""),"",計分!$AP476-計分!O476)</f>
        <v/>
      </c>
      <c r="P476">
        <f>IF(OR(計分!P476="",計分!$AP476=""),"",計分!$AP476-計分!P476)</f>
        <v/>
      </c>
      <c r="Q476">
        <f>IF(OR(計分!Q476="",計分!$AP476=""),"",計分!$AP476-計分!Q476)</f>
        <v/>
      </c>
      <c r="R476">
        <f>IF(OR(計分!R476="",計分!$AP476=""),"",計分!$AP476-計分!R476)</f>
        <v/>
      </c>
      <c r="S476">
        <f>IF(OR(計分!S476="",計分!$AP476=""),"",計分!$AP476-計分!S476)</f>
        <v/>
      </c>
      <c r="T476">
        <f>IF(OR(計分!T476="",計分!$AP476=""),"",計分!$AP476-計分!T476)</f>
        <v/>
      </c>
      <c r="U476">
        <f>IF(OR(計分!U476="",計分!$AP476=""),"",計分!$AP476-計分!U476)</f>
        <v/>
      </c>
      <c r="V476">
        <f>IF(OR(計分!V476="",計分!$AP476=""),"",計分!$AP476-計分!V476)</f>
        <v/>
      </c>
      <c r="W476">
        <f>IF(OR(計分!W476="",計分!$AP476=""),"",計分!$AP476-計分!W476)</f>
        <v/>
      </c>
      <c r="X476">
        <f>IF(OR(計分!X476="",計分!$AP476=""),"",計分!$AP476-計分!X476)</f>
        <v/>
      </c>
      <c r="Y476">
        <f>IF(OR(計分!Y476="",計分!$AP476=""),"",計分!$AP476-計分!Y476)</f>
        <v/>
      </c>
      <c r="Z476">
        <f>IF(OR(計分!Z476="",計分!$AP476=""),"",計分!$AP476-計分!Z476)</f>
        <v/>
      </c>
      <c r="AA476">
        <f>IF(OR(計分!AA476="",計分!$AP476=""),"",計分!$AP476-計分!AA476)</f>
        <v/>
      </c>
      <c r="AB476">
        <f>IF(OR(計分!AB476="",計分!$AP476=""),"",計分!$AP476-計分!AB476)</f>
        <v/>
      </c>
      <c r="AC476">
        <f>IF(OR(計分!AC476="",計分!$AP476=""),"",計分!$AP476-計分!AC476)</f>
        <v/>
      </c>
      <c r="AD476">
        <f>IF(OR(計分!AD476="",計分!$AP476=""),"",計分!$AP476-計分!AD476)</f>
        <v/>
      </c>
      <c r="AE476">
        <f>IF(OR(計分!AE476="",計分!$AP476=""),"",計分!$AP476-計分!AE476)</f>
        <v/>
      </c>
      <c r="AF476">
        <f>IF(OR(計分!AF476="",計分!$AP476=""),"",計分!$AP476-計分!AF476)</f>
        <v/>
      </c>
      <c r="AG476">
        <f>IF(OR(計分!AG476="",計分!$AP476=""),"",計分!$AP476-計分!AG476)</f>
        <v/>
      </c>
      <c r="AH476">
        <f>IF(OR(計分!AH476="",計分!$AP476=""),"",計分!$AP476-計分!AH476)</f>
        <v/>
      </c>
      <c r="AI476">
        <f>IF(OR(計分!AI476="",計分!$AP476=""),"",計分!$AP476-計分!AI476)</f>
        <v/>
      </c>
      <c r="AJ476">
        <f>IF(OR(計分!AJ476="",計分!$AP476=""),"",計分!$AP476-計分!AJ476)</f>
        <v/>
      </c>
      <c r="AK476">
        <f>IF(OR(計分!AK476="",計分!$AP476=""),"",計分!$AP476-計分!AK476)</f>
        <v/>
      </c>
      <c r="AL476">
        <f>IF(OR(計分!AL476="",計分!$AP476=""),"",計分!$AP476-計分!AL476)</f>
        <v/>
      </c>
      <c r="AM476">
        <f>IF(OR(計分!AM476="",計分!$AP476=""),"",計分!$AP476-計分!AM476)</f>
        <v/>
      </c>
      <c r="AN476">
        <f>IF(OR(計分!AN476="",計分!$AP476=""),"",計分!$AP476-計分!AN476)</f>
        <v/>
      </c>
      <c r="AO476">
        <f>IF(OR(計分!AO476="",計分!$AP476=""),"",計分!$AP476-計分!AO476)</f>
        <v/>
      </c>
    </row>
    <row r="477">
      <c r="A477">
        <f>計分!A477</f>
        <v/>
      </c>
      <c r="B477">
        <f>IF(OR(計分!B477="",計分!$AP477=""),"",計分!$AP477-計分!B477)</f>
        <v/>
      </c>
      <c r="C477">
        <f>IF(OR(計分!C477="",計分!$AP477=""),"",計分!$AP477-計分!C477)</f>
        <v/>
      </c>
      <c r="D477">
        <f>IF(OR(計分!D477="",計分!$AP477=""),"",計分!$AP477-計分!D477)</f>
        <v/>
      </c>
      <c r="E477">
        <f>IF(OR(計分!E477="",計分!$AP477=""),"",計分!$AP477-計分!E477)</f>
        <v/>
      </c>
      <c r="F477">
        <f>IF(OR(計分!F477="",計分!$AP477=""),"",計分!$AP477-計分!F477)</f>
        <v/>
      </c>
      <c r="G477">
        <f>IF(OR(計分!G477="",計分!$AP477=""),"",計分!$AP477-計分!G477)</f>
        <v/>
      </c>
      <c r="H477">
        <f>IF(OR(計分!H477="",計分!$AP477=""),"",計分!$AP477-計分!H477)</f>
        <v/>
      </c>
      <c r="I477">
        <f>IF(OR(計分!I477="",計分!$AP477=""),"",計分!$AP477-計分!I477)</f>
        <v/>
      </c>
      <c r="J477">
        <f>IF(OR(計分!J477="",計分!$AP477=""),"",計分!$AP477-計分!J477)</f>
        <v/>
      </c>
      <c r="K477">
        <f>IF(OR(計分!K477="",計分!$AP477=""),"",計分!$AP477-計分!K477)</f>
        <v/>
      </c>
      <c r="L477">
        <f>IF(OR(計分!L477="",計分!$AP477=""),"",計分!$AP477-計分!L477)</f>
        <v/>
      </c>
      <c r="M477">
        <f>IF(OR(計分!M477="",計分!$AP477=""),"",計分!$AP477-計分!M477)</f>
        <v/>
      </c>
      <c r="N477">
        <f>IF(OR(計分!N477="",計分!$AP477=""),"",計分!$AP477-計分!N477)</f>
        <v/>
      </c>
      <c r="O477">
        <f>IF(OR(計分!O477="",計分!$AP477=""),"",計分!$AP477-計分!O477)</f>
        <v/>
      </c>
      <c r="P477">
        <f>IF(OR(計分!P477="",計分!$AP477=""),"",計分!$AP477-計分!P477)</f>
        <v/>
      </c>
      <c r="Q477">
        <f>IF(OR(計分!Q477="",計分!$AP477=""),"",計分!$AP477-計分!Q477)</f>
        <v/>
      </c>
      <c r="R477">
        <f>IF(OR(計分!R477="",計分!$AP477=""),"",計分!$AP477-計分!R477)</f>
        <v/>
      </c>
      <c r="S477">
        <f>IF(OR(計分!S477="",計分!$AP477=""),"",計分!$AP477-計分!S477)</f>
        <v/>
      </c>
      <c r="T477">
        <f>IF(OR(計分!T477="",計分!$AP477=""),"",計分!$AP477-計分!T477)</f>
        <v/>
      </c>
      <c r="U477">
        <f>IF(OR(計分!U477="",計分!$AP477=""),"",計分!$AP477-計分!U477)</f>
        <v/>
      </c>
      <c r="V477">
        <f>IF(OR(計分!V477="",計分!$AP477=""),"",計分!$AP477-計分!V477)</f>
        <v/>
      </c>
      <c r="W477">
        <f>IF(OR(計分!W477="",計分!$AP477=""),"",計分!$AP477-計分!W477)</f>
        <v/>
      </c>
      <c r="X477">
        <f>IF(OR(計分!X477="",計分!$AP477=""),"",計分!$AP477-計分!X477)</f>
        <v/>
      </c>
      <c r="Y477">
        <f>IF(OR(計分!Y477="",計分!$AP477=""),"",計分!$AP477-計分!Y477)</f>
        <v/>
      </c>
      <c r="Z477">
        <f>IF(OR(計分!Z477="",計分!$AP477=""),"",計分!$AP477-計分!Z477)</f>
        <v/>
      </c>
      <c r="AA477">
        <f>IF(OR(計分!AA477="",計分!$AP477=""),"",計分!$AP477-計分!AA477)</f>
        <v/>
      </c>
      <c r="AB477">
        <f>IF(OR(計分!AB477="",計分!$AP477=""),"",計分!$AP477-計分!AB477)</f>
        <v/>
      </c>
      <c r="AC477">
        <f>IF(OR(計分!AC477="",計分!$AP477=""),"",計分!$AP477-計分!AC477)</f>
        <v/>
      </c>
      <c r="AD477">
        <f>IF(OR(計分!AD477="",計分!$AP477=""),"",計分!$AP477-計分!AD477)</f>
        <v/>
      </c>
      <c r="AE477">
        <f>IF(OR(計分!AE477="",計分!$AP477=""),"",計分!$AP477-計分!AE477)</f>
        <v/>
      </c>
      <c r="AF477">
        <f>IF(OR(計分!AF477="",計分!$AP477=""),"",計分!$AP477-計分!AF477)</f>
        <v/>
      </c>
      <c r="AG477">
        <f>IF(OR(計分!AG477="",計分!$AP477=""),"",計分!$AP477-計分!AG477)</f>
        <v/>
      </c>
      <c r="AH477">
        <f>IF(OR(計分!AH477="",計分!$AP477=""),"",計分!$AP477-計分!AH477)</f>
        <v/>
      </c>
      <c r="AI477">
        <f>IF(OR(計分!AI477="",計分!$AP477=""),"",計分!$AP477-計分!AI477)</f>
        <v/>
      </c>
      <c r="AJ477">
        <f>IF(OR(計分!AJ477="",計分!$AP477=""),"",計分!$AP477-計分!AJ477)</f>
        <v/>
      </c>
      <c r="AK477">
        <f>IF(OR(計分!AK477="",計分!$AP477=""),"",計分!$AP477-計分!AK477)</f>
        <v/>
      </c>
      <c r="AL477">
        <f>IF(OR(計分!AL477="",計分!$AP477=""),"",計分!$AP477-計分!AL477)</f>
        <v/>
      </c>
      <c r="AM477">
        <f>IF(OR(計分!AM477="",計分!$AP477=""),"",計分!$AP477-計分!AM477)</f>
        <v/>
      </c>
      <c r="AN477">
        <f>IF(OR(計分!AN477="",計分!$AP477=""),"",計分!$AP477-計分!AN477)</f>
        <v/>
      </c>
      <c r="AO477">
        <f>IF(OR(計分!AO477="",計分!$AP477=""),"",計分!$AP477-計分!AO477)</f>
        <v/>
      </c>
    </row>
    <row r="478">
      <c r="A478">
        <f>計分!A478</f>
        <v/>
      </c>
      <c r="B478">
        <f>IF(OR(計分!B478="",計分!$AP478=""),"",計分!$AP478-計分!B478)</f>
        <v/>
      </c>
      <c r="C478">
        <f>IF(OR(計分!C478="",計分!$AP478=""),"",計分!$AP478-計分!C478)</f>
        <v/>
      </c>
      <c r="D478">
        <f>IF(OR(計分!D478="",計分!$AP478=""),"",計分!$AP478-計分!D478)</f>
        <v/>
      </c>
      <c r="E478">
        <f>IF(OR(計分!E478="",計分!$AP478=""),"",計分!$AP478-計分!E478)</f>
        <v/>
      </c>
      <c r="F478">
        <f>IF(OR(計分!F478="",計分!$AP478=""),"",計分!$AP478-計分!F478)</f>
        <v/>
      </c>
      <c r="G478">
        <f>IF(OR(計分!G478="",計分!$AP478=""),"",計分!$AP478-計分!G478)</f>
        <v/>
      </c>
      <c r="H478">
        <f>IF(OR(計分!H478="",計分!$AP478=""),"",計分!$AP478-計分!H478)</f>
        <v/>
      </c>
      <c r="I478">
        <f>IF(OR(計分!I478="",計分!$AP478=""),"",計分!$AP478-計分!I478)</f>
        <v/>
      </c>
      <c r="J478">
        <f>IF(OR(計分!J478="",計分!$AP478=""),"",計分!$AP478-計分!J478)</f>
        <v/>
      </c>
      <c r="K478">
        <f>IF(OR(計分!K478="",計分!$AP478=""),"",計分!$AP478-計分!K478)</f>
        <v/>
      </c>
      <c r="L478">
        <f>IF(OR(計分!L478="",計分!$AP478=""),"",計分!$AP478-計分!L478)</f>
        <v/>
      </c>
      <c r="M478">
        <f>IF(OR(計分!M478="",計分!$AP478=""),"",計分!$AP478-計分!M478)</f>
        <v/>
      </c>
      <c r="N478">
        <f>IF(OR(計分!N478="",計分!$AP478=""),"",計分!$AP478-計分!N478)</f>
        <v/>
      </c>
      <c r="O478">
        <f>IF(OR(計分!O478="",計分!$AP478=""),"",計分!$AP478-計分!O478)</f>
        <v/>
      </c>
      <c r="P478">
        <f>IF(OR(計分!P478="",計分!$AP478=""),"",計分!$AP478-計分!P478)</f>
        <v/>
      </c>
      <c r="Q478">
        <f>IF(OR(計分!Q478="",計分!$AP478=""),"",計分!$AP478-計分!Q478)</f>
        <v/>
      </c>
      <c r="R478">
        <f>IF(OR(計分!R478="",計分!$AP478=""),"",計分!$AP478-計分!R478)</f>
        <v/>
      </c>
      <c r="S478">
        <f>IF(OR(計分!S478="",計分!$AP478=""),"",計分!$AP478-計分!S478)</f>
        <v/>
      </c>
      <c r="T478">
        <f>IF(OR(計分!T478="",計分!$AP478=""),"",計分!$AP478-計分!T478)</f>
        <v/>
      </c>
      <c r="U478">
        <f>IF(OR(計分!U478="",計分!$AP478=""),"",計分!$AP478-計分!U478)</f>
        <v/>
      </c>
      <c r="V478">
        <f>IF(OR(計分!V478="",計分!$AP478=""),"",計分!$AP478-計分!V478)</f>
        <v/>
      </c>
      <c r="W478">
        <f>IF(OR(計分!W478="",計分!$AP478=""),"",計分!$AP478-計分!W478)</f>
        <v/>
      </c>
      <c r="X478">
        <f>IF(OR(計分!X478="",計分!$AP478=""),"",計分!$AP478-計分!X478)</f>
        <v/>
      </c>
      <c r="Y478">
        <f>IF(OR(計分!Y478="",計分!$AP478=""),"",計分!$AP478-計分!Y478)</f>
        <v/>
      </c>
      <c r="Z478">
        <f>IF(OR(計分!Z478="",計分!$AP478=""),"",計分!$AP478-計分!Z478)</f>
        <v/>
      </c>
      <c r="AA478">
        <f>IF(OR(計分!AA478="",計分!$AP478=""),"",計分!$AP478-計分!AA478)</f>
        <v/>
      </c>
      <c r="AB478">
        <f>IF(OR(計分!AB478="",計分!$AP478=""),"",計分!$AP478-計分!AB478)</f>
        <v/>
      </c>
      <c r="AC478">
        <f>IF(OR(計分!AC478="",計分!$AP478=""),"",計分!$AP478-計分!AC478)</f>
        <v/>
      </c>
      <c r="AD478">
        <f>IF(OR(計分!AD478="",計分!$AP478=""),"",計分!$AP478-計分!AD478)</f>
        <v/>
      </c>
      <c r="AE478">
        <f>IF(OR(計分!AE478="",計分!$AP478=""),"",計分!$AP478-計分!AE478)</f>
        <v/>
      </c>
      <c r="AF478">
        <f>IF(OR(計分!AF478="",計分!$AP478=""),"",計分!$AP478-計分!AF478)</f>
        <v/>
      </c>
      <c r="AG478">
        <f>IF(OR(計分!AG478="",計分!$AP478=""),"",計分!$AP478-計分!AG478)</f>
        <v/>
      </c>
      <c r="AH478">
        <f>IF(OR(計分!AH478="",計分!$AP478=""),"",計分!$AP478-計分!AH478)</f>
        <v/>
      </c>
      <c r="AI478">
        <f>IF(OR(計分!AI478="",計分!$AP478=""),"",計分!$AP478-計分!AI478)</f>
        <v/>
      </c>
      <c r="AJ478">
        <f>IF(OR(計分!AJ478="",計分!$AP478=""),"",計分!$AP478-計分!AJ478)</f>
        <v/>
      </c>
      <c r="AK478">
        <f>IF(OR(計分!AK478="",計分!$AP478=""),"",計分!$AP478-計分!AK478)</f>
        <v/>
      </c>
      <c r="AL478">
        <f>IF(OR(計分!AL478="",計分!$AP478=""),"",計分!$AP478-計分!AL478)</f>
        <v/>
      </c>
      <c r="AM478">
        <f>IF(OR(計分!AM478="",計分!$AP478=""),"",計分!$AP478-計分!AM478)</f>
        <v/>
      </c>
      <c r="AN478">
        <f>IF(OR(計分!AN478="",計分!$AP478=""),"",計分!$AP478-計分!AN478)</f>
        <v/>
      </c>
      <c r="AO478">
        <f>IF(OR(計分!AO478="",計分!$AP478=""),"",計分!$AP478-計分!AO478)</f>
        <v/>
      </c>
    </row>
    <row r="479">
      <c r="A479">
        <f>計分!A479</f>
        <v/>
      </c>
      <c r="B479">
        <f>IF(OR(計分!B479="",計分!$AP479=""),"",計分!$AP479-計分!B479)</f>
        <v/>
      </c>
      <c r="C479">
        <f>IF(OR(計分!C479="",計分!$AP479=""),"",計分!$AP479-計分!C479)</f>
        <v/>
      </c>
      <c r="D479">
        <f>IF(OR(計分!D479="",計分!$AP479=""),"",計分!$AP479-計分!D479)</f>
        <v/>
      </c>
      <c r="E479">
        <f>IF(OR(計分!E479="",計分!$AP479=""),"",計分!$AP479-計分!E479)</f>
        <v/>
      </c>
      <c r="F479">
        <f>IF(OR(計分!F479="",計分!$AP479=""),"",計分!$AP479-計分!F479)</f>
        <v/>
      </c>
      <c r="G479">
        <f>IF(OR(計分!G479="",計分!$AP479=""),"",計分!$AP479-計分!G479)</f>
        <v/>
      </c>
      <c r="H479">
        <f>IF(OR(計分!H479="",計分!$AP479=""),"",計分!$AP479-計分!H479)</f>
        <v/>
      </c>
      <c r="I479">
        <f>IF(OR(計分!I479="",計分!$AP479=""),"",計分!$AP479-計分!I479)</f>
        <v/>
      </c>
      <c r="J479">
        <f>IF(OR(計分!J479="",計分!$AP479=""),"",計分!$AP479-計分!J479)</f>
        <v/>
      </c>
      <c r="K479">
        <f>IF(OR(計分!K479="",計分!$AP479=""),"",計分!$AP479-計分!K479)</f>
        <v/>
      </c>
      <c r="L479">
        <f>IF(OR(計分!L479="",計分!$AP479=""),"",計分!$AP479-計分!L479)</f>
        <v/>
      </c>
      <c r="M479">
        <f>IF(OR(計分!M479="",計分!$AP479=""),"",計分!$AP479-計分!M479)</f>
        <v/>
      </c>
      <c r="N479">
        <f>IF(OR(計分!N479="",計分!$AP479=""),"",計分!$AP479-計分!N479)</f>
        <v/>
      </c>
      <c r="O479">
        <f>IF(OR(計分!O479="",計分!$AP479=""),"",計分!$AP479-計分!O479)</f>
        <v/>
      </c>
      <c r="P479">
        <f>IF(OR(計分!P479="",計分!$AP479=""),"",計分!$AP479-計分!P479)</f>
        <v/>
      </c>
      <c r="Q479">
        <f>IF(OR(計分!Q479="",計分!$AP479=""),"",計分!$AP479-計分!Q479)</f>
        <v/>
      </c>
      <c r="R479">
        <f>IF(OR(計分!R479="",計分!$AP479=""),"",計分!$AP479-計分!R479)</f>
        <v/>
      </c>
      <c r="S479">
        <f>IF(OR(計分!S479="",計分!$AP479=""),"",計分!$AP479-計分!S479)</f>
        <v/>
      </c>
      <c r="T479">
        <f>IF(OR(計分!T479="",計分!$AP479=""),"",計分!$AP479-計分!T479)</f>
        <v/>
      </c>
      <c r="U479">
        <f>IF(OR(計分!U479="",計分!$AP479=""),"",計分!$AP479-計分!U479)</f>
        <v/>
      </c>
      <c r="V479">
        <f>IF(OR(計分!V479="",計分!$AP479=""),"",計分!$AP479-計分!V479)</f>
        <v/>
      </c>
      <c r="W479">
        <f>IF(OR(計分!W479="",計分!$AP479=""),"",計分!$AP479-計分!W479)</f>
        <v/>
      </c>
      <c r="X479">
        <f>IF(OR(計分!X479="",計分!$AP479=""),"",計分!$AP479-計分!X479)</f>
        <v/>
      </c>
      <c r="Y479">
        <f>IF(OR(計分!Y479="",計分!$AP479=""),"",計分!$AP479-計分!Y479)</f>
        <v/>
      </c>
      <c r="Z479">
        <f>IF(OR(計分!Z479="",計分!$AP479=""),"",計分!$AP479-計分!Z479)</f>
        <v/>
      </c>
      <c r="AA479">
        <f>IF(OR(計分!AA479="",計分!$AP479=""),"",計分!$AP479-計分!AA479)</f>
        <v/>
      </c>
      <c r="AB479">
        <f>IF(OR(計分!AB479="",計分!$AP479=""),"",計分!$AP479-計分!AB479)</f>
        <v/>
      </c>
      <c r="AC479">
        <f>IF(OR(計分!AC479="",計分!$AP479=""),"",計分!$AP479-計分!AC479)</f>
        <v/>
      </c>
      <c r="AD479">
        <f>IF(OR(計分!AD479="",計分!$AP479=""),"",計分!$AP479-計分!AD479)</f>
        <v/>
      </c>
      <c r="AE479">
        <f>IF(OR(計分!AE479="",計分!$AP479=""),"",計分!$AP479-計分!AE479)</f>
        <v/>
      </c>
      <c r="AF479">
        <f>IF(OR(計分!AF479="",計分!$AP479=""),"",計分!$AP479-計分!AF479)</f>
        <v/>
      </c>
      <c r="AG479">
        <f>IF(OR(計分!AG479="",計分!$AP479=""),"",計分!$AP479-計分!AG479)</f>
        <v/>
      </c>
      <c r="AH479">
        <f>IF(OR(計分!AH479="",計分!$AP479=""),"",計分!$AP479-計分!AH479)</f>
        <v/>
      </c>
      <c r="AI479">
        <f>IF(OR(計分!AI479="",計分!$AP479=""),"",計分!$AP479-計分!AI479)</f>
        <v/>
      </c>
      <c r="AJ479">
        <f>IF(OR(計分!AJ479="",計分!$AP479=""),"",計分!$AP479-計分!AJ479)</f>
        <v/>
      </c>
      <c r="AK479">
        <f>IF(OR(計分!AK479="",計分!$AP479=""),"",計分!$AP479-計分!AK479)</f>
        <v/>
      </c>
      <c r="AL479">
        <f>IF(OR(計分!AL479="",計分!$AP479=""),"",計分!$AP479-計分!AL479)</f>
        <v/>
      </c>
      <c r="AM479">
        <f>IF(OR(計分!AM479="",計分!$AP479=""),"",計分!$AP479-計分!AM479)</f>
        <v/>
      </c>
      <c r="AN479">
        <f>IF(OR(計分!AN479="",計分!$AP479=""),"",計分!$AP479-計分!AN479)</f>
        <v/>
      </c>
      <c r="AO479">
        <f>IF(OR(計分!AO479="",計分!$AP479=""),"",計分!$AP479-計分!AO479)</f>
        <v/>
      </c>
    </row>
    <row r="480">
      <c r="A480">
        <f>計分!A480</f>
        <v/>
      </c>
      <c r="B480">
        <f>IF(OR(計分!B480="",計分!$AP480=""),"",計分!$AP480-計分!B480)</f>
        <v/>
      </c>
      <c r="C480">
        <f>IF(OR(計分!C480="",計分!$AP480=""),"",計分!$AP480-計分!C480)</f>
        <v/>
      </c>
      <c r="D480">
        <f>IF(OR(計分!D480="",計分!$AP480=""),"",計分!$AP480-計分!D480)</f>
        <v/>
      </c>
      <c r="E480">
        <f>IF(OR(計分!E480="",計分!$AP480=""),"",計分!$AP480-計分!E480)</f>
        <v/>
      </c>
      <c r="F480">
        <f>IF(OR(計分!F480="",計分!$AP480=""),"",計分!$AP480-計分!F480)</f>
        <v/>
      </c>
      <c r="G480">
        <f>IF(OR(計分!G480="",計分!$AP480=""),"",計分!$AP480-計分!G480)</f>
        <v/>
      </c>
      <c r="H480">
        <f>IF(OR(計分!H480="",計分!$AP480=""),"",計分!$AP480-計分!H480)</f>
        <v/>
      </c>
      <c r="I480">
        <f>IF(OR(計分!I480="",計分!$AP480=""),"",計分!$AP480-計分!I480)</f>
        <v/>
      </c>
      <c r="J480">
        <f>IF(OR(計分!J480="",計分!$AP480=""),"",計分!$AP480-計分!J480)</f>
        <v/>
      </c>
      <c r="K480">
        <f>IF(OR(計分!K480="",計分!$AP480=""),"",計分!$AP480-計分!K480)</f>
        <v/>
      </c>
      <c r="L480">
        <f>IF(OR(計分!L480="",計分!$AP480=""),"",計分!$AP480-計分!L480)</f>
        <v/>
      </c>
      <c r="M480">
        <f>IF(OR(計分!M480="",計分!$AP480=""),"",計分!$AP480-計分!M480)</f>
        <v/>
      </c>
      <c r="N480">
        <f>IF(OR(計分!N480="",計分!$AP480=""),"",計分!$AP480-計分!N480)</f>
        <v/>
      </c>
      <c r="O480">
        <f>IF(OR(計分!O480="",計分!$AP480=""),"",計分!$AP480-計分!O480)</f>
        <v/>
      </c>
      <c r="P480">
        <f>IF(OR(計分!P480="",計分!$AP480=""),"",計分!$AP480-計分!P480)</f>
        <v/>
      </c>
      <c r="Q480">
        <f>IF(OR(計分!Q480="",計分!$AP480=""),"",計分!$AP480-計分!Q480)</f>
        <v/>
      </c>
      <c r="R480">
        <f>IF(OR(計分!R480="",計分!$AP480=""),"",計分!$AP480-計分!R480)</f>
        <v/>
      </c>
      <c r="S480">
        <f>IF(OR(計分!S480="",計分!$AP480=""),"",計分!$AP480-計分!S480)</f>
        <v/>
      </c>
      <c r="T480">
        <f>IF(OR(計分!T480="",計分!$AP480=""),"",計分!$AP480-計分!T480)</f>
        <v/>
      </c>
      <c r="U480">
        <f>IF(OR(計分!U480="",計分!$AP480=""),"",計分!$AP480-計分!U480)</f>
        <v/>
      </c>
      <c r="V480">
        <f>IF(OR(計分!V480="",計分!$AP480=""),"",計分!$AP480-計分!V480)</f>
        <v/>
      </c>
      <c r="W480">
        <f>IF(OR(計分!W480="",計分!$AP480=""),"",計分!$AP480-計分!W480)</f>
        <v/>
      </c>
      <c r="X480">
        <f>IF(OR(計分!X480="",計分!$AP480=""),"",計分!$AP480-計分!X480)</f>
        <v/>
      </c>
      <c r="Y480">
        <f>IF(OR(計分!Y480="",計分!$AP480=""),"",計分!$AP480-計分!Y480)</f>
        <v/>
      </c>
      <c r="Z480">
        <f>IF(OR(計分!Z480="",計分!$AP480=""),"",計分!$AP480-計分!Z480)</f>
        <v/>
      </c>
      <c r="AA480">
        <f>IF(OR(計分!AA480="",計分!$AP480=""),"",計分!$AP480-計分!AA480)</f>
        <v/>
      </c>
      <c r="AB480">
        <f>IF(OR(計分!AB480="",計分!$AP480=""),"",計分!$AP480-計分!AB480)</f>
        <v/>
      </c>
      <c r="AC480">
        <f>IF(OR(計分!AC480="",計分!$AP480=""),"",計分!$AP480-計分!AC480)</f>
        <v/>
      </c>
      <c r="AD480">
        <f>IF(OR(計分!AD480="",計分!$AP480=""),"",計分!$AP480-計分!AD480)</f>
        <v/>
      </c>
      <c r="AE480">
        <f>IF(OR(計分!AE480="",計分!$AP480=""),"",計分!$AP480-計分!AE480)</f>
        <v/>
      </c>
      <c r="AF480">
        <f>IF(OR(計分!AF480="",計分!$AP480=""),"",計分!$AP480-計分!AF480)</f>
        <v/>
      </c>
      <c r="AG480">
        <f>IF(OR(計分!AG480="",計分!$AP480=""),"",計分!$AP480-計分!AG480)</f>
        <v/>
      </c>
      <c r="AH480">
        <f>IF(OR(計分!AH480="",計分!$AP480=""),"",計分!$AP480-計分!AH480)</f>
        <v/>
      </c>
      <c r="AI480">
        <f>IF(OR(計分!AI480="",計分!$AP480=""),"",計分!$AP480-計分!AI480)</f>
        <v/>
      </c>
      <c r="AJ480">
        <f>IF(OR(計分!AJ480="",計分!$AP480=""),"",計分!$AP480-計分!AJ480)</f>
        <v/>
      </c>
      <c r="AK480">
        <f>IF(OR(計分!AK480="",計分!$AP480=""),"",計分!$AP480-計分!AK480)</f>
        <v/>
      </c>
      <c r="AL480">
        <f>IF(OR(計分!AL480="",計分!$AP480=""),"",計分!$AP480-計分!AL480)</f>
        <v/>
      </c>
      <c r="AM480">
        <f>IF(OR(計分!AM480="",計分!$AP480=""),"",計分!$AP480-計分!AM480)</f>
        <v/>
      </c>
      <c r="AN480">
        <f>IF(OR(計分!AN480="",計分!$AP480=""),"",計分!$AP480-計分!AN480)</f>
        <v/>
      </c>
      <c r="AO480">
        <f>IF(OR(計分!AO480="",計分!$AP480=""),"",計分!$AP480-計分!AO480)</f>
        <v/>
      </c>
    </row>
    <row r="481">
      <c r="A481">
        <f>計分!A481</f>
        <v/>
      </c>
      <c r="B481">
        <f>IF(OR(計分!B481="",計分!$AP481=""),"",計分!$AP481-計分!B481)</f>
        <v/>
      </c>
      <c r="C481">
        <f>IF(OR(計分!C481="",計分!$AP481=""),"",計分!$AP481-計分!C481)</f>
        <v/>
      </c>
      <c r="D481">
        <f>IF(OR(計分!D481="",計分!$AP481=""),"",計分!$AP481-計分!D481)</f>
        <v/>
      </c>
      <c r="E481">
        <f>IF(OR(計分!E481="",計分!$AP481=""),"",計分!$AP481-計分!E481)</f>
        <v/>
      </c>
      <c r="F481">
        <f>IF(OR(計分!F481="",計分!$AP481=""),"",計分!$AP481-計分!F481)</f>
        <v/>
      </c>
      <c r="G481">
        <f>IF(OR(計分!G481="",計分!$AP481=""),"",計分!$AP481-計分!G481)</f>
        <v/>
      </c>
      <c r="H481">
        <f>IF(OR(計分!H481="",計分!$AP481=""),"",計分!$AP481-計分!H481)</f>
        <v/>
      </c>
      <c r="I481">
        <f>IF(OR(計分!I481="",計分!$AP481=""),"",計分!$AP481-計分!I481)</f>
        <v/>
      </c>
      <c r="J481">
        <f>IF(OR(計分!J481="",計分!$AP481=""),"",計分!$AP481-計分!J481)</f>
        <v/>
      </c>
      <c r="K481">
        <f>IF(OR(計分!K481="",計分!$AP481=""),"",計分!$AP481-計分!K481)</f>
        <v/>
      </c>
      <c r="L481">
        <f>IF(OR(計分!L481="",計分!$AP481=""),"",計分!$AP481-計分!L481)</f>
        <v/>
      </c>
      <c r="M481">
        <f>IF(OR(計分!M481="",計分!$AP481=""),"",計分!$AP481-計分!M481)</f>
        <v/>
      </c>
      <c r="N481">
        <f>IF(OR(計分!N481="",計分!$AP481=""),"",計分!$AP481-計分!N481)</f>
        <v/>
      </c>
      <c r="O481">
        <f>IF(OR(計分!O481="",計分!$AP481=""),"",計分!$AP481-計分!O481)</f>
        <v/>
      </c>
      <c r="P481">
        <f>IF(OR(計分!P481="",計分!$AP481=""),"",計分!$AP481-計分!P481)</f>
        <v/>
      </c>
      <c r="Q481">
        <f>IF(OR(計分!Q481="",計分!$AP481=""),"",計分!$AP481-計分!Q481)</f>
        <v/>
      </c>
      <c r="R481">
        <f>IF(OR(計分!R481="",計分!$AP481=""),"",計分!$AP481-計分!R481)</f>
        <v/>
      </c>
      <c r="S481">
        <f>IF(OR(計分!S481="",計分!$AP481=""),"",計分!$AP481-計分!S481)</f>
        <v/>
      </c>
      <c r="T481">
        <f>IF(OR(計分!T481="",計分!$AP481=""),"",計分!$AP481-計分!T481)</f>
        <v/>
      </c>
      <c r="U481">
        <f>IF(OR(計分!U481="",計分!$AP481=""),"",計分!$AP481-計分!U481)</f>
        <v/>
      </c>
      <c r="V481">
        <f>IF(OR(計分!V481="",計分!$AP481=""),"",計分!$AP481-計分!V481)</f>
        <v/>
      </c>
      <c r="W481">
        <f>IF(OR(計分!W481="",計分!$AP481=""),"",計分!$AP481-計分!W481)</f>
        <v/>
      </c>
      <c r="X481">
        <f>IF(OR(計分!X481="",計分!$AP481=""),"",計分!$AP481-計分!X481)</f>
        <v/>
      </c>
      <c r="Y481">
        <f>IF(OR(計分!Y481="",計分!$AP481=""),"",計分!$AP481-計分!Y481)</f>
        <v/>
      </c>
      <c r="Z481">
        <f>IF(OR(計分!Z481="",計分!$AP481=""),"",計分!$AP481-計分!Z481)</f>
        <v/>
      </c>
      <c r="AA481">
        <f>IF(OR(計分!AA481="",計分!$AP481=""),"",計分!$AP481-計分!AA481)</f>
        <v/>
      </c>
      <c r="AB481">
        <f>IF(OR(計分!AB481="",計分!$AP481=""),"",計分!$AP481-計分!AB481)</f>
        <v/>
      </c>
      <c r="AC481">
        <f>IF(OR(計分!AC481="",計分!$AP481=""),"",計分!$AP481-計分!AC481)</f>
        <v/>
      </c>
      <c r="AD481">
        <f>IF(OR(計分!AD481="",計分!$AP481=""),"",計分!$AP481-計分!AD481)</f>
        <v/>
      </c>
      <c r="AE481">
        <f>IF(OR(計分!AE481="",計分!$AP481=""),"",計分!$AP481-計分!AE481)</f>
        <v/>
      </c>
      <c r="AF481">
        <f>IF(OR(計分!AF481="",計分!$AP481=""),"",計分!$AP481-計分!AF481)</f>
        <v/>
      </c>
      <c r="AG481">
        <f>IF(OR(計分!AG481="",計分!$AP481=""),"",計分!$AP481-計分!AG481)</f>
        <v/>
      </c>
      <c r="AH481">
        <f>IF(OR(計分!AH481="",計分!$AP481=""),"",計分!$AP481-計分!AH481)</f>
        <v/>
      </c>
      <c r="AI481">
        <f>IF(OR(計分!AI481="",計分!$AP481=""),"",計分!$AP481-計分!AI481)</f>
        <v/>
      </c>
      <c r="AJ481">
        <f>IF(OR(計分!AJ481="",計分!$AP481=""),"",計分!$AP481-計分!AJ481)</f>
        <v/>
      </c>
      <c r="AK481">
        <f>IF(OR(計分!AK481="",計分!$AP481=""),"",計分!$AP481-計分!AK481)</f>
        <v/>
      </c>
      <c r="AL481">
        <f>IF(OR(計分!AL481="",計分!$AP481=""),"",計分!$AP481-計分!AL481)</f>
        <v/>
      </c>
      <c r="AM481">
        <f>IF(OR(計分!AM481="",計分!$AP481=""),"",計分!$AP481-計分!AM481)</f>
        <v/>
      </c>
      <c r="AN481">
        <f>IF(OR(計分!AN481="",計分!$AP481=""),"",計分!$AP481-計分!AN481)</f>
        <v/>
      </c>
      <c r="AO481">
        <f>IF(OR(計分!AO481="",計分!$AP481=""),"",計分!$AP481-計分!AO481)</f>
        <v/>
      </c>
    </row>
    <row r="482">
      <c r="A482">
        <f>計分!A482</f>
        <v/>
      </c>
      <c r="B482">
        <f>IF(OR(計分!B482="",計分!$AP482=""),"",計分!$AP482-計分!B482)</f>
        <v/>
      </c>
      <c r="C482">
        <f>IF(OR(計分!C482="",計分!$AP482=""),"",計分!$AP482-計分!C482)</f>
        <v/>
      </c>
      <c r="D482">
        <f>IF(OR(計分!D482="",計分!$AP482=""),"",計分!$AP482-計分!D482)</f>
        <v/>
      </c>
      <c r="E482">
        <f>IF(OR(計分!E482="",計分!$AP482=""),"",計分!$AP482-計分!E482)</f>
        <v/>
      </c>
      <c r="F482">
        <f>IF(OR(計分!F482="",計分!$AP482=""),"",計分!$AP482-計分!F482)</f>
        <v/>
      </c>
      <c r="G482">
        <f>IF(OR(計分!G482="",計分!$AP482=""),"",計分!$AP482-計分!G482)</f>
        <v/>
      </c>
      <c r="H482">
        <f>IF(OR(計分!H482="",計分!$AP482=""),"",計分!$AP482-計分!H482)</f>
        <v/>
      </c>
      <c r="I482">
        <f>IF(OR(計分!I482="",計分!$AP482=""),"",計分!$AP482-計分!I482)</f>
        <v/>
      </c>
      <c r="J482">
        <f>IF(OR(計分!J482="",計分!$AP482=""),"",計分!$AP482-計分!J482)</f>
        <v/>
      </c>
      <c r="K482">
        <f>IF(OR(計分!K482="",計分!$AP482=""),"",計分!$AP482-計分!K482)</f>
        <v/>
      </c>
      <c r="L482">
        <f>IF(OR(計分!L482="",計分!$AP482=""),"",計分!$AP482-計分!L482)</f>
        <v/>
      </c>
      <c r="M482">
        <f>IF(OR(計分!M482="",計分!$AP482=""),"",計分!$AP482-計分!M482)</f>
        <v/>
      </c>
      <c r="N482">
        <f>IF(OR(計分!N482="",計分!$AP482=""),"",計分!$AP482-計分!N482)</f>
        <v/>
      </c>
      <c r="O482">
        <f>IF(OR(計分!O482="",計分!$AP482=""),"",計分!$AP482-計分!O482)</f>
        <v/>
      </c>
      <c r="P482">
        <f>IF(OR(計分!P482="",計分!$AP482=""),"",計分!$AP482-計分!P482)</f>
        <v/>
      </c>
      <c r="Q482">
        <f>IF(OR(計分!Q482="",計分!$AP482=""),"",計分!$AP482-計分!Q482)</f>
        <v/>
      </c>
      <c r="R482">
        <f>IF(OR(計分!R482="",計分!$AP482=""),"",計分!$AP482-計分!R482)</f>
        <v/>
      </c>
      <c r="S482">
        <f>IF(OR(計分!S482="",計分!$AP482=""),"",計分!$AP482-計分!S482)</f>
        <v/>
      </c>
      <c r="T482">
        <f>IF(OR(計分!T482="",計分!$AP482=""),"",計分!$AP482-計分!T482)</f>
        <v/>
      </c>
      <c r="U482">
        <f>IF(OR(計分!U482="",計分!$AP482=""),"",計分!$AP482-計分!U482)</f>
        <v/>
      </c>
      <c r="V482">
        <f>IF(OR(計分!V482="",計分!$AP482=""),"",計分!$AP482-計分!V482)</f>
        <v/>
      </c>
      <c r="W482">
        <f>IF(OR(計分!W482="",計分!$AP482=""),"",計分!$AP482-計分!W482)</f>
        <v/>
      </c>
      <c r="X482">
        <f>IF(OR(計分!X482="",計分!$AP482=""),"",計分!$AP482-計分!X482)</f>
        <v/>
      </c>
      <c r="Y482">
        <f>IF(OR(計分!Y482="",計分!$AP482=""),"",計分!$AP482-計分!Y482)</f>
        <v/>
      </c>
      <c r="Z482">
        <f>IF(OR(計分!Z482="",計分!$AP482=""),"",計分!$AP482-計分!Z482)</f>
        <v/>
      </c>
      <c r="AA482">
        <f>IF(OR(計分!AA482="",計分!$AP482=""),"",計分!$AP482-計分!AA482)</f>
        <v/>
      </c>
      <c r="AB482">
        <f>IF(OR(計分!AB482="",計分!$AP482=""),"",計分!$AP482-計分!AB482)</f>
        <v/>
      </c>
      <c r="AC482">
        <f>IF(OR(計分!AC482="",計分!$AP482=""),"",計分!$AP482-計分!AC482)</f>
        <v/>
      </c>
      <c r="AD482">
        <f>IF(OR(計分!AD482="",計分!$AP482=""),"",計分!$AP482-計分!AD482)</f>
        <v/>
      </c>
      <c r="AE482">
        <f>IF(OR(計分!AE482="",計分!$AP482=""),"",計分!$AP482-計分!AE482)</f>
        <v/>
      </c>
      <c r="AF482">
        <f>IF(OR(計分!AF482="",計分!$AP482=""),"",計分!$AP482-計分!AF482)</f>
        <v/>
      </c>
      <c r="AG482">
        <f>IF(OR(計分!AG482="",計分!$AP482=""),"",計分!$AP482-計分!AG482)</f>
        <v/>
      </c>
      <c r="AH482">
        <f>IF(OR(計分!AH482="",計分!$AP482=""),"",計分!$AP482-計分!AH482)</f>
        <v/>
      </c>
      <c r="AI482">
        <f>IF(OR(計分!AI482="",計分!$AP482=""),"",計分!$AP482-計分!AI482)</f>
        <v/>
      </c>
      <c r="AJ482">
        <f>IF(OR(計分!AJ482="",計分!$AP482=""),"",計分!$AP482-計分!AJ482)</f>
        <v/>
      </c>
      <c r="AK482">
        <f>IF(OR(計分!AK482="",計分!$AP482=""),"",計分!$AP482-計分!AK482)</f>
        <v/>
      </c>
      <c r="AL482">
        <f>IF(OR(計分!AL482="",計分!$AP482=""),"",計分!$AP482-計分!AL482)</f>
        <v/>
      </c>
      <c r="AM482">
        <f>IF(OR(計分!AM482="",計分!$AP482=""),"",計分!$AP482-計分!AM482)</f>
        <v/>
      </c>
      <c r="AN482">
        <f>IF(OR(計分!AN482="",計分!$AP482=""),"",計分!$AP482-計分!AN482)</f>
        <v/>
      </c>
      <c r="AO482">
        <f>IF(OR(計分!AO482="",計分!$AP482=""),"",計分!$AP482-計分!AO482)</f>
        <v/>
      </c>
    </row>
    <row r="483">
      <c r="A483">
        <f>計分!A483</f>
        <v/>
      </c>
      <c r="B483">
        <f>IF(OR(計分!B483="",計分!$AP483=""),"",計分!$AP483-計分!B483)</f>
        <v/>
      </c>
      <c r="C483">
        <f>IF(OR(計分!C483="",計分!$AP483=""),"",計分!$AP483-計分!C483)</f>
        <v/>
      </c>
      <c r="D483">
        <f>IF(OR(計分!D483="",計分!$AP483=""),"",計分!$AP483-計分!D483)</f>
        <v/>
      </c>
      <c r="E483">
        <f>IF(OR(計分!E483="",計分!$AP483=""),"",計分!$AP483-計分!E483)</f>
        <v/>
      </c>
      <c r="F483">
        <f>IF(OR(計分!F483="",計分!$AP483=""),"",計分!$AP483-計分!F483)</f>
        <v/>
      </c>
      <c r="G483">
        <f>IF(OR(計分!G483="",計分!$AP483=""),"",計分!$AP483-計分!G483)</f>
        <v/>
      </c>
      <c r="H483">
        <f>IF(OR(計分!H483="",計分!$AP483=""),"",計分!$AP483-計分!H483)</f>
        <v/>
      </c>
      <c r="I483">
        <f>IF(OR(計分!I483="",計分!$AP483=""),"",計分!$AP483-計分!I483)</f>
        <v/>
      </c>
      <c r="J483">
        <f>IF(OR(計分!J483="",計分!$AP483=""),"",計分!$AP483-計分!J483)</f>
        <v/>
      </c>
      <c r="K483">
        <f>IF(OR(計分!K483="",計分!$AP483=""),"",計分!$AP483-計分!K483)</f>
        <v/>
      </c>
      <c r="L483">
        <f>IF(OR(計分!L483="",計分!$AP483=""),"",計分!$AP483-計分!L483)</f>
        <v/>
      </c>
      <c r="M483">
        <f>IF(OR(計分!M483="",計分!$AP483=""),"",計分!$AP483-計分!M483)</f>
        <v/>
      </c>
      <c r="N483">
        <f>IF(OR(計分!N483="",計分!$AP483=""),"",計分!$AP483-計分!N483)</f>
        <v/>
      </c>
      <c r="O483">
        <f>IF(OR(計分!O483="",計分!$AP483=""),"",計分!$AP483-計分!O483)</f>
        <v/>
      </c>
      <c r="P483">
        <f>IF(OR(計分!P483="",計分!$AP483=""),"",計分!$AP483-計分!P483)</f>
        <v/>
      </c>
      <c r="Q483">
        <f>IF(OR(計分!Q483="",計分!$AP483=""),"",計分!$AP483-計分!Q483)</f>
        <v/>
      </c>
      <c r="R483">
        <f>IF(OR(計分!R483="",計分!$AP483=""),"",計分!$AP483-計分!R483)</f>
        <v/>
      </c>
      <c r="S483">
        <f>IF(OR(計分!S483="",計分!$AP483=""),"",計分!$AP483-計分!S483)</f>
        <v/>
      </c>
      <c r="T483">
        <f>IF(OR(計分!T483="",計分!$AP483=""),"",計分!$AP483-計分!T483)</f>
        <v/>
      </c>
      <c r="U483">
        <f>IF(OR(計分!U483="",計分!$AP483=""),"",計分!$AP483-計分!U483)</f>
        <v/>
      </c>
      <c r="V483">
        <f>IF(OR(計分!V483="",計分!$AP483=""),"",計分!$AP483-計分!V483)</f>
        <v/>
      </c>
      <c r="W483">
        <f>IF(OR(計分!W483="",計分!$AP483=""),"",計分!$AP483-計分!W483)</f>
        <v/>
      </c>
      <c r="X483">
        <f>IF(OR(計分!X483="",計分!$AP483=""),"",計分!$AP483-計分!X483)</f>
        <v/>
      </c>
      <c r="Y483">
        <f>IF(OR(計分!Y483="",計分!$AP483=""),"",計分!$AP483-計分!Y483)</f>
        <v/>
      </c>
      <c r="Z483">
        <f>IF(OR(計分!Z483="",計分!$AP483=""),"",計分!$AP483-計分!Z483)</f>
        <v/>
      </c>
      <c r="AA483">
        <f>IF(OR(計分!AA483="",計分!$AP483=""),"",計分!$AP483-計分!AA483)</f>
        <v/>
      </c>
      <c r="AB483">
        <f>IF(OR(計分!AB483="",計分!$AP483=""),"",計分!$AP483-計分!AB483)</f>
        <v/>
      </c>
      <c r="AC483">
        <f>IF(OR(計分!AC483="",計分!$AP483=""),"",計分!$AP483-計分!AC483)</f>
        <v/>
      </c>
      <c r="AD483">
        <f>IF(OR(計分!AD483="",計分!$AP483=""),"",計分!$AP483-計分!AD483)</f>
        <v/>
      </c>
      <c r="AE483">
        <f>IF(OR(計分!AE483="",計分!$AP483=""),"",計分!$AP483-計分!AE483)</f>
        <v/>
      </c>
      <c r="AF483">
        <f>IF(OR(計分!AF483="",計分!$AP483=""),"",計分!$AP483-計分!AF483)</f>
        <v/>
      </c>
      <c r="AG483">
        <f>IF(OR(計分!AG483="",計分!$AP483=""),"",計分!$AP483-計分!AG483)</f>
        <v/>
      </c>
      <c r="AH483">
        <f>IF(OR(計分!AH483="",計分!$AP483=""),"",計分!$AP483-計分!AH483)</f>
        <v/>
      </c>
      <c r="AI483">
        <f>IF(OR(計分!AI483="",計分!$AP483=""),"",計分!$AP483-計分!AI483)</f>
        <v/>
      </c>
      <c r="AJ483">
        <f>IF(OR(計分!AJ483="",計分!$AP483=""),"",計分!$AP483-計分!AJ483)</f>
        <v/>
      </c>
      <c r="AK483">
        <f>IF(OR(計分!AK483="",計分!$AP483=""),"",計分!$AP483-計分!AK483)</f>
        <v/>
      </c>
      <c r="AL483">
        <f>IF(OR(計分!AL483="",計分!$AP483=""),"",計分!$AP483-計分!AL483)</f>
        <v/>
      </c>
      <c r="AM483">
        <f>IF(OR(計分!AM483="",計分!$AP483=""),"",計分!$AP483-計分!AM483)</f>
        <v/>
      </c>
      <c r="AN483">
        <f>IF(OR(計分!AN483="",計分!$AP483=""),"",計分!$AP483-計分!AN483)</f>
        <v/>
      </c>
      <c r="AO483">
        <f>IF(OR(計分!AO483="",計分!$AP483=""),"",計分!$AP483-計分!AO483)</f>
        <v/>
      </c>
    </row>
    <row r="484">
      <c r="A484">
        <f>計分!A484</f>
        <v/>
      </c>
      <c r="B484">
        <f>IF(OR(計分!B484="",計分!$AP484=""),"",計分!$AP484-計分!B484)</f>
        <v/>
      </c>
      <c r="C484">
        <f>IF(OR(計分!C484="",計分!$AP484=""),"",計分!$AP484-計分!C484)</f>
        <v/>
      </c>
      <c r="D484">
        <f>IF(OR(計分!D484="",計分!$AP484=""),"",計分!$AP484-計分!D484)</f>
        <v/>
      </c>
      <c r="E484">
        <f>IF(OR(計分!E484="",計分!$AP484=""),"",計分!$AP484-計分!E484)</f>
        <v/>
      </c>
      <c r="F484">
        <f>IF(OR(計分!F484="",計分!$AP484=""),"",計分!$AP484-計分!F484)</f>
        <v/>
      </c>
      <c r="G484">
        <f>IF(OR(計分!G484="",計分!$AP484=""),"",計分!$AP484-計分!G484)</f>
        <v/>
      </c>
      <c r="H484">
        <f>IF(OR(計分!H484="",計分!$AP484=""),"",計分!$AP484-計分!H484)</f>
        <v/>
      </c>
      <c r="I484">
        <f>IF(OR(計分!I484="",計分!$AP484=""),"",計分!$AP484-計分!I484)</f>
        <v/>
      </c>
      <c r="J484">
        <f>IF(OR(計分!J484="",計分!$AP484=""),"",計分!$AP484-計分!J484)</f>
        <v/>
      </c>
      <c r="K484">
        <f>IF(OR(計分!K484="",計分!$AP484=""),"",計分!$AP484-計分!K484)</f>
        <v/>
      </c>
      <c r="L484">
        <f>IF(OR(計分!L484="",計分!$AP484=""),"",計分!$AP484-計分!L484)</f>
        <v/>
      </c>
      <c r="M484">
        <f>IF(OR(計分!M484="",計分!$AP484=""),"",計分!$AP484-計分!M484)</f>
        <v/>
      </c>
      <c r="N484">
        <f>IF(OR(計分!N484="",計分!$AP484=""),"",計分!$AP484-計分!N484)</f>
        <v/>
      </c>
      <c r="O484">
        <f>IF(OR(計分!O484="",計分!$AP484=""),"",計分!$AP484-計分!O484)</f>
        <v/>
      </c>
      <c r="P484">
        <f>IF(OR(計分!P484="",計分!$AP484=""),"",計分!$AP484-計分!P484)</f>
        <v/>
      </c>
      <c r="Q484">
        <f>IF(OR(計分!Q484="",計分!$AP484=""),"",計分!$AP484-計分!Q484)</f>
        <v/>
      </c>
      <c r="R484">
        <f>IF(OR(計分!R484="",計分!$AP484=""),"",計分!$AP484-計分!R484)</f>
        <v/>
      </c>
      <c r="S484">
        <f>IF(OR(計分!S484="",計分!$AP484=""),"",計分!$AP484-計分!S484)</f>
        <v/>
      </c>
      <c r="T484">
        <f>IF(OR(計分!T484="",計分!$AP484=""),"",計分!$AP484-計分!T484)</f>
        <v/>
      </c>
      <c r="U484">
        <f>IF(OR(計分!U484="",計分!$AP484=""),"",計分!$AP484-計分!U484)</f>
        <v/>
      </c>
      <c r="V484">
        <f>IF(OR(計分!V484="",計分!$AP484=""),"",計分!$AP484-計分!V484)</f>
        <v/>
      </c>
      <c r="W484">
        <f>IF(OR(計分!W484="",計分!$AP484=""),"",計分!$AP484-計分!W484)</f>
        <v/>
      </c>
      <c r="X484">
        <f>IF(OR(計分!X484="",計分!$AP484=""),"",計分!$AP484-計分!X484)</f>
        <v/>
      </c>
      <c r="Y484">
        <f>IF(OR(計分!Y484="",計分!$AP484=""),"",計分!$AP484-計分!Y484)</f>
        <v/>
      </c>
      <c r="Z484">
        <f>IF(OR(計分!Z484="",計分!$AP484=""),"",計分!$AP484-計分!Z484)</f>
        <v/>
      </c>
      <c r="AA484">
        <f>IF(OR(計分!AA484="",計分!$AP484=""),"",計分!$AP484-計分!AA484)</f>
        <v/>
      </c>
      <c r="AB484">
        <f>IF(OR(計分!AB484="",計分!$AP484=""),"",計分!$AP484-計分!AB484)</f>
        <v/>
      </c>
      <c r="AC484">
        <f>IF(OR(計分!AC484="",計分!$AP484=""),"",計分!$AP484-計分!AC484)</f>
        <v/>
      </c>
      <c r="AD484">
        <f>IF(OR(計分!AD484="",計分!$AP484=""),"",計分!$AP484-計分!AD484)</f>
        <v/>
      </c>
      <c r="AE484">
        <f>IF(OR(計分!AE484="",計分!$AP484=""),"",計分!$AP484-計分!AE484)</f>
        <v/>
      </c>
      <c r="AF484">
        <f>IF(OR(計分!AF484="",計分!$AP484=""),"",計分!$AP484-計分!AF484)</f>
        <v/>
      </c>
      <c r="AG484">
        <f>IF(OR(計分!AG484="",計分!$AP484=""),"",計分!$AP484-計分!AG484)</f>
        <v/>
      </c>
      <c r="AH484">
        <f>IF(OR(計分!AH484="",計分!$AP484=""),"",計分!$AP484-計分!AH484)</f>
        <v/>
      </c>
      <c r="AI484">
        <f>IF(OR(計分!AI484="",計分!$AP484=""),"",計分!$AP484-計分!AI484)</f>
        <v/>
      </c>
      <c r="AJ484">
        <f>IF(OR(計分!AJ484="",計分!$AP484=""),"",計分!$AP484-計分!AJ484)</f>
        <v/>
      </c>
      <c r="AK484">
        <f>IF(OR(計分!AK484="",計分!$AP484=""),"",計分!$AP484-計分!AK484)</f>
        <v/>
      </c>
      <c r="AL484">
        <f>IF(OR(計分!AL484="",計分!$AP484=""),"",計分!$AP484-計分!AL484)</f>
        <v/>
      </c>
      <c r="AM484">
        <f>IF(OR(計分!AM484="",計分!$AP484=""),"",計分!$AP484-計分!AM484)</f>
        <v/>
      </c>
      <c r="AN484">
        <f>IF(OR(計分!AN484="",計分!$AP484=""),"",計分!$AP484-計分!AN484)</f>
        <v/>
      </c>
      <c r="AO484">
        <f>IF(OR(計分!AO484="",計分!$AP484=""),"",計分!$AP484-計分!AO484)</f>
        <v/>
      </c>
    </row>
    <row r="485">
      <c r="A485">
        <f>計分!A485</f>
        <v/>
      </c>
      <c r="B485">
        <f>IF(OR(計分!B485="",計分!$AP485=""),"",計分!$AP485-計分!B485)</f>
        <v/>
      </c>
      <c r="C485">
        <f>IF(OR(計分!C485="",計分!$AP485=""),"",計分!$AP485-計分!C485)</f>
        <v/>
      </c>
      <c r="D485">
        <f>IF(OR(計分!D485="",計分!$AP485=""),"",計分!$AP485-計分!D485)</f>
        <v/>
      </c>
      <c r="E485">
        <f>IF(OR(計分!E485="",計分!$AP485=""),"",計分!$AP485-計分!E485)</f>
        <v/>
      </c>
      <c r="F485">
        <f>IF(OR(計分!F485="",計分!$AP485=""),"",計分!$AP485-計分!F485)</f>
        <v/>
      </c>
      <c r="G485">
        <f>IF(OR(計分!G485="",計分!$AP485=""),"",計分!$AP485-計分!G485)</f>
        <v/>
      </c>
      <c r="H485">
        <f>IF(OR(計分!H485="",計分!$AP485=""),"",計分!$AP485-計分!H485)</f>
        <v/>
      </c>
      <c r="I485">
        <f>IF(OR(計分!I485="",計分!$AP485=""),"",計分!$AP485-計分!I485)</f>
        <v/>
      </c>
      <c r="J485">
        <f>IF(OR(計分!J485="",計分!$AP485=""),"",計分!$AP485-計分!J485)</f>
        <v/>
      </c>
      <c r="K485">
        <f>IF(OR(計分!K485="",計分!$AP485=""),"",計分!$AP485-計分!K485)</f>
        <v/>
      </c>
      <c r="L485">
        <f>IF(OR(計分!L485="",計分!$AP485=""),"",計分!$AP485-計分!L485)</f>
        <v/>
      </c>
      <c r="M485">
        <f>IF(OR(計分!M485="",計分!$AP485=""),"",計分!$AP485-計分!M485)</f>
        <v/>
      </c>
      <c r="N485">
        <f>IF(OR(計分!N485="",計分!$AP485=""),"",計分!$AP485-計分!N485)</f>
        <v/>
      </c>
      <c r="O485">
        <f>IF(OR(計分!O485="",計分!$AP485=""),"",計分!$AP485-計分!O485)</f>
        <v/>
      </c>
      <c r="P485">
        <f>IF(OR(計分!P485="",計分!$AP485=""),"",計分!$AP485-計分!P485)</f>
        <v/>
      </c>
      <c r="Q485">
        <f>IF(OR(計分!Q485="",計分!$AP485=""),"",計分!$AP485-計分!Q485)</f>
        <v/>
      </c>
      <c r="R485">
        <f>IF(OR(計分!R485="",計分!$AP485=""),"",計分!$AP485-計分!R485)</f>
        <v/>
      </c>
      <c r="S485">
        <f>IF(OR(計分!S485="",計分!$AP485=""),"",計分!$AP485-計分!S485)</f>
        <v/>
      </c>
      <c r="T485">
        <f>IF(OR(計分!T485="",計分!$AP485=""),"",計分!$AP485-計分!T485)</f>
        <v/>
      </c>
      <c r="U485">
        <f>IF(OR(計分!U485="",計分!$AP485=""),"",計分!$AP485-計分!U485)</f>
        <v/>
      </c>
      <c r="V485">
        <f>IF(OR(計分!V485="",計分!$AP485=""),"",計分!$AP485-計分!V485)</f>
        <v/>
      </c>
      <c r="W485">
        <f>IF(OR(計分!W485="",計分!$AP485=""),"",計分!$AP485-計分!W485)</f>
        <v/>
      </c>
      <c r="X485">
        <f>IF(OR(計分!X485="",計分!$AP485=""),"",計分!$AP485-計分!X485)</f>
        <v/>
      </c>
      <c r="Y485">
        <f>IF(OR(計分!Y485="",計分!$AP485=""),"",計分!$AP485-計分!Y485)</f>
        <v/>
      </c>
      <c r="Z485">
        <f>IF(OR(計分!Z485="",計分!$AP485=""),"",計分!$AP485-計分!Z485)</f>
        <v/>
      </c>
      <c r="AA485">
        <f>IF(OR(計分!AA485="",計分!$AP485=""),"",計分!$AP485-計分!AA485)</f>
        <v/>
      </c>
      <c r="AB485">
        <f>IF(OR(計分!AB485="",計分!$AP485=""),"",計分!$AP485-計分!AB485)</f>
        <v/>
      </c>
      <c r="AC485">
        <f>IF(OR(計分!AC485="",計分!$AP485=""),"",計分!$AP485-計分!AC485)</f>
        <v/>
      </c>
      <c r="AD485">
        <f>IF(OR(計分!AD485="",計分!$AP485=""),"",計分!$AP485-計分!AD485)</f>
        <v/>
      </c>
      <c r="AE485">
        <f>IF(OR(計分!AE485="",計分!$AP485=""),"",計分!$AP485-計分!AE485)</f>
        <v/>
      </c>
      <c r="AF485">
        <f>IF(OR(計分!AF485="",計分!$AP485=""),"",計分!$AP485-計分!AF485)</f>
        <v/>
      </c>
      <c r="AG485">
        <f>IF(OR(計分!AG485="",計分!$AP485=""),"",計分!$AP485-計分!AG485)</f>
        <v/>
      </c>
      <c r="AH485">
        <f>IF(OR(計分!AH485="",計分!$AP485=""),"",計分!$AP485-計分!AH485)</f>
        <v/>
      </c>
      <c r="AI485">
        <f>IF(OR(計分!AI485="",計分!$AP485=""),"",計分!$AP485-計分!AI485)</f>
        <v/>
      </c>
      <c r="AJ485">
        <f>IF(OR(計分!AJ485="",計分!$AP485=""),"",計分!$AP485-計分!AJ485)</f>
        <v/>
      </c>
      <c r="AK485">
        <f>IF(OR(計分!AK485="",計分!$AP485=""),"",計分!$AP485-計分!AK485)</f>
        <v/>
      </c>
      <c r="AL485">
        <f>IF(OR(計分!AL485="",計分!$AP485=""),"",計分!$AP485-計分!AL485)</f>
        <v/>
      </c>
      <c r="AM485">
        <f>IF(OR(計分!AM485="",計分!$AP485=""),"",計分!$AP485-計分!AM485)</f>
        <v/>
      </c>
      <c r="AN485">
        <f>IF(OR(計分!AN485="",計分!$AP485=""),"",計分!$AP485-計分!AN485)</f>
        <v/>
      </c>
      <c r="AO485">
        <f>IF(OR(計分!AO485="",計分!$AP485=""),"",計分!$AP485-計分!AO485)</f>
        <v/>
      </c>
    </row>
    <row r="486">
      <c r="A486">
        <f>計分!A486</f>
        <v/>
      </c>
      <c r="B486">
        <f>IF(OR(計分!B486="",計分!$AP486=""),"",計分!$AP486-計分!B486)</f>
        <v/>
      </c>
      <c r="C486">
        <f>IF(OR(計分!C486="",計分!$AP486=""),"",計分!$AP486-計分!C486)</f>
        <v/>
      </c>
      <c r="D486">
        <f>IF(OR(計分!D486="",計分!$AP486=""),"",計分!$AP486-計分!D486)</f>
        <v/>
      </c>
      <c r="E486">
        <f>IF(OR(計分!E486="",計分!$AP486=""),"",計分!$AP486-計分!E486)</f>
        <v/>
      </c>
      <c r="F486">
        <f>IF(OR(計分!F486="",計分!$AP486=""),"",計分!$AP486-計分!F486)</f>
        <v/>
      </c>
      <c r="G486">
        <f>IF(OR(計分!G486="",計分!$AP486=""),"",計分!$AP486-計分!G486)</f>
        <v/>
      </c>
      <c r="H486">
        <f>IF(OR(計分!H486="",計分!$AP486=""),"",計分!$AP486-計分!H486)</f>
        <v/>
      </c>
      <c r="I486">
        <f>IF(OR(計分!I486="",計分!$AP486=""),"",計分!$AP486-計分!I486)</f>
        <v/>
      </c>
      <c r="J486">
        <f>IF(OR(計分!J486="",計分!$AP486=""),"",計分!$AP486-計分!J486)</f>
        <v/>
      </c>
      <c r="K486">
        <f>IF(OR(計分!K486="",計分!$AP486=""),"",計分!$AP486-計分!K486)</f>
        <v/>
      </c>
      <c r="L486">
        <f>IF(OR(計分!L486="",計分!$AP486=""),"",計分!$AP486-計分!L486)</f>
        <v/>
      </c>
      <c r="M486">
        <f>IF(OR(計分!M486="",計分!$AP486=""),"",計分!$AP486-計分!M486)</f>
        <v/>
      </c>
      <c r="N486">
        <f>IF(OR(計分!N486="",計分!$AP486=""),"",計分!$AP486-計分!N486)</f>
        <v/>
      </c>
      <c r="O486">
        <f>IF(OR(計分!O486="",計分!$AP486=""),"",計分!$AP486-計分!O486)</f>
        <v/>
      </c>
      <c r="P486">
        <f>IF(OR(計分!P486="",計分!$AP486=""),"",計分!$AP486-計分!P486)</f>
        <v/>
      </c>
      <c r="Q486">
        <f>IF(OR(計分!Q486="",計分!$AP486=""),"",計分!$AP486-計分!Q486)</f>
        <v/>
      </c>
      <c r="R486">
        <f>IF(OR(計分!R486="",計分!$AP486=""),"",計分!$AP486-計分!R486)</f>
        <v/>
      </c>
      <c r="S486">
        <f>IF(OR(計分!S486="",計分!$AP486=""),"",計分!$AP486-計分!S486)</f>
        <v/>
      </c>
      <c r="T486">
        <f>IF(OR(計分!T486="",計分!$AP486=""),"",計分!$AP486-計分!T486)</f>
        <v/>
      </c>
      <c r="U486">
        <f>IF(OR(計分!U486="",計分!$AP486=""),"",計分!$AP486-計分!U486)</f>
        <v/>
      </c>
      <c r="V486">
        <f>IF(OR(計分!V486="",計分!$AP486=""),"",計分!$AP486-計分!V486)</f>
        <v/>
      </c>
      <c r="W486">
        <f>IF(OR(計分!W486="",計分!$AP486=""),"",計分!$AP486-計分!W486)</f>
        <v/>
      </c>
      <c r="X486">
        <f>IF(OR(計分!X486="",計分!$AP486=""),"",計分!$AP486-計分!X486)</f>
        <v/>
      </c>
      <c r="Y486">
        <f>IF(OR(計分!Y486="",計分!$AP486=""),"",計分!$AP486-計分!Y486)</f>
        <v/>
      </c>
      <c r="Z486">
        <f>IF(OR(計分!Z486="",計分!$AP486=""),"",計分!$AP486-計分!Z486)</f>
        <v/>
      </c>
      <c r="AA486">
        <f>IF(OR(計分!AA486="",計分!$AP486=""),"",計分!$AP486-計分!AA486)</f>
        <v/>
      </c>
      <c r="AB486">
        <f>IF(OR(計分!AB486="",計分!$AP486=""),"",計分!$AP486-計分!AB486)</f>
        <v/>
      </c>
      <c r="AC486">
        <f>IF(OR(計分!AC486="",計分!$AP486=""),"",計分!$AP486-計分!AC486)</f>
        <v/>
      </c>
      <c r="AD486">
        <f>IF(OR(計分!AD486="",計分!$AP486=""),"",計分!$AP486-計分!AD486)</f>
        <v/>
      </c>
      <c r="AE486">
        <f>IF(OR(計分!AE486="",計分!$AP486=""),"",計分!$AP486-計分!AE486)</f>
        <v/>
      </c>
      <c r="AF486">
        <f>IF(OR(計分!AF486="",計分!$AP486=""),"",計分!$AP486-計分!AF486)</f>
        <v/>
      </c>
      <c r="AG486">
        <f>IF(OR(計分!AG486="",計分!$AP486=""),"",計分!$AP486-計分!AG486)</f>
        <v/>
      </c>
      <c r="AH486">
        <f>IF(OR(計分!AH486="",計分!$AP486=""),"",計分!$AP486-計分!AH486)</f>
        <v/>
      </c>
      <c r="AI486">
        <f>IF(OR(計分!AI486="",計分!$AP486=""),"",計分!$AP486-計分!AI486)</f>
        <v/>
      </c>
      <c r="AJ486">
        <f>IF(OR(計分!AJ486="",計分!$AP486=""),"",計分!$AP486-計分!AJ486)</f>
        <v/>
      </c>
      <c r="AK486">
        <f>IF(OR(計分!AK486="",計分!$AP486=""),"",計分!$AP486-計分!AK486)</f>
        <v/>
      </c>
      <c r="AL486">
        <f>IF(OR(計分!AL486="",計分!$AP486=""),"",計分!$AP486-計分!AL486)</f>
        <v/>
      </c>
      <c r="AM486">
        <f>IF(OR(計分!AM486="",計分!$AP486=""),"",計分!$AP486-計分!AM486)</f>
        <v/>
      </c>
      <c r="AN486">
        <f>IF(OR(計分!AN486="",計分!$AP486=""),"",計分!$AP486-計分!AN486)</f>
        <v/>
      </c>
      <c r="AO486">
        <f>IF(OR(計分!AO486="",計分!$AP486=""),"",計分!$AP486-計分!AO486)</f>
        <v/>
      </c>
    </row>
    <row r="487">
      <c r="A487">
        <f>計分!A487</f>
        <v/>
      </c>
      <c r="B487">
        <f>IF(OR(計分!B487="",計分!$AP487=""),"",計分!$AP487-計分!B487)</f>
        <v/>
      </c>
      <c r="C487">
        <f>IF(OR(計分!C487="",計分!$AP487=""),"",計分!$AP487-計分!C487)</f>
        <v/>
      </c>
      <c r="D487">
        <f>IF(OR(計分!D487="",計分!$AP487=""),"",計分!$AP487-計分!D487)</f>
        <v/>
      </c>
      <c r="E487">
        <f>IF(OR(計分!E487="",計分!$AP487=""),"",計分!$AP487-計分!E487)</f>
        <v/>
      </c>
      <c r="F487">
        <f>IF(OR(計分!F487="",計分!$AP487=""),"",計分!$AP487-計分!F487)</f>
        <v/>
      </c>
      <c r="G487">
        <f>IF(OR(計分!G487="",計分!$AP487=""),"",計分!$AP487-計分!G487)</f>
        <v/>
      </c>
      <c r="H487">
        <f>IF(OR(計分!H487="",計分!$AP487=""),"",計分!$AP487-計分!H487)</f>
        <v/>
      </c>
      <c r="I487">
        <f>IF(OR(計分!I487="",計分!$AP487=""),"",計分!$AP487-計分!I487)</f>
        <v/>
      </c>
      <c r="J487">
        <f>IF(OR(計分!J487="",計分!$AP487=""),"",計分!$AP487-計分!J487)</f>
        <v/>
      </c>
      <c r="K487">
        <f>IF(OR(計分!K487="",計分!$AP487=""),"",計分!$AP487-計分!K487)</f>
        <v/>
      </c>
      <c r="L487">
        <f>IF(OR(計分!L487="",計分!$AP487=""),"",計分!$AP487-計分!L487)</f>
        <v/>
      </c>
      <c r="M487">
        <f>IF(OR(計分!M487="",計分!$AP487=""),"",計分!$AP487-計分!M487)</f>
        <v/>
      </c>
      <c r="N487">
        <f>IF(OR(計分!N487="",計分!$AP487=""),"",計分!$AP487-計分!N487)</f>
        <v/>
      </c>
      <c r="O487">
        <f>IF(OR(計分!O487="",計分!$AP487=""),"",計分!$AP487-計分!O487)</f>
        <v/>
      </c>
      <c r="P487">
        <f>IF(OR(計分!P487="",計分!$AP487=""),"",計分!$AP487-計分!P487)</f>
        <v/>
      </c>
      <c r="Q487">
        <f>IF(OR(計分!Q487="",計分!$AP487=""),"",計分!$AP487-計分!Q487)</f>
        <v/>
      </c>
      <c r="R487">
        <f>IF(OR(計分!R487="",計分!$AP487=""),"",計分!$AP487-計分!R487)</f>
        <v/>
      </c>
      <c r="S487">
        <f>IF(OR(計分!S487="",計分!$AP487=""),"",計分!$AP487-計分!S487)</f>
        <v/>
      </c>
      <c r="T487">
        <f>IF(OR(計分!T487="",計分!$AP487=""),"",計分!$AP487-計分!T487)</f>
        <v/>
      </c>
      <c r="U487">
        <f>IF(OR(計分!U487="",計分!$AP487=""),"",計分!$AP487-計分!U487)</f>
        <v/>
      </c>
      <c r="V487">
        <f>IF(OR(計分!V487="",計分!$AP487=""),"",計分!$AP487-計分!V487)</f>
        <v/>
      </c>
      <c r="W487">
        <f>IF(OR(計分!W487="",計分!$AP487=""),"",計分!$AP487-計分!W487)</f>
        <v/>
      </c>
      <c r="X487">
        <f>IF(OR(計分!X487="",計分!$AP487=""),"",計分!$AP487-計分!X487)</f>
        <v/>
      </c>
      <c r="Y487">
        <f>IF(OR(計分!Y487="",計分!$AP487=""),"",計分!$AP487-計分!Y487)</f>
        <v/>
      </c>
      <c r="Z487">
        <f>IF(OR(計分!Z487="",計分!$AP487=""),"",計分!$AP487-計分!Z487)</f>
        <v/>
      </c>
      <c r="AA487">
        <f>IF(OR(計分!AA487="",計分!$AP487=""),"",計分!$AP487-計分!AA487)</f>
        <v/>
      </c>
      <c r="AB487">
        <f>IF(OR(計分!AB487="",計分!$AP487=""),"",計分!$AP487-計分!AB487)</f>
        <v/>
      </c>
      <c r="AC487">
        <f>IF(OR(計分!AC487="",計分!$AP487=""),"",計分!$AP487-計分!AC487)</f>
        <v/>
      </c>
      <c r="AD487">
        <f>IF(OR(計分!AD487="",計分!$AP487=""),"",計分!$AP487-計分!AD487)</f>
        <v/>
      </c>
      <c r="AE487">
        <f>IF(OR(計分!AE487="",計分!$AP487=""),"",計分!$AP487-計分!AE487)</f>
        <v/>
      </c>
      <c r="AF487">
        <f>IF(OR(計分!AF487="",計分!$AP487=""),"",計分!$AP487-計分!AF487)</f>
        <v/>
      </c>
      <c r="AG487">
        <f>IF(OR(計分!AG487="",計分!$AP487=""),"",計分!$AP487-計分!AG487)</f>
        <v/>
      </c>
      <c r="AH487">
        <f>IF(OR(計分!AH487="",計分!$AP487=""),"",計分!$AP487-計分!AH487)</f>
        <v/>
      </c>
      <c r="AI487">
        <f>IF(OR(計分!AI487="",計分!$AP487=""),"",計分!$AP487-計分!AI487)</f>
        <v/>
      </c>
      <c r="AJ487">
        <f>IF(OR(計分!AJ487="",計分!$AP487=""),"",計分!$AP487-計分!AJ487)</f>
        <v/>
      </c>
      <c r="AK487">
        <f>IF(OR(計分!AK487="",計分!$AP487=""),"",計分!$AP487-計分!AK487)</f>
        <v/>
      </c>
      <c r="AL487">
        <f>IF(OR(計分!AL487="",計分!$AP487=""),"",計分!$AP487-計分!AL487)</f>
        <v/>
      </c>
      <c r="AM487">
        <f>IF(OR(計分!AM487="",計分!$AP487=""),"",計分!$AP487-計分!AM487)</f>
        <v/>
      </c>
      <c r="AN487">
        <f>IF(OR(計分!AN487="",計分!$AP487=""),"",計分!$AP487-計分!AN487)</f>
        <v/>
      </c>
      <c r="AO487">
        <f>IF(OR(計分!AO487="",計分!$AP487=""),"",計分!$AP487-計分!AO487)</f>
        <v/>
      </c>
    </row>
    <row r="488">
      <c r="A488">
        <f>計分!A488</f>
        <v/>
      </c>
      <c r="B488">
        <f>IF(OR(計分!B488="",計分!$AP488=""),"",計分!$AP488-計分!B488)</f>
        <v/>
      </c>
      <c r="C488">
        <f>IF(OR(計分!C488="",計分!$AP488=""),"",計分!$AP488-計分!C488)</f>
        <v/>
      </c>
      <c r="D488">
        <f>IF(OR(計分!D488="",計分!$AP488=""),"",計分!$AP488-計分!D488)</f>
        <v/>
      </c>
      <c r="E488">
        <f>IF(OR(計分!E488="",計分!$AP488=""),"",計分!$AP488-計分!E488)</f>
        <v/>
      </c>
      <c r="F488">
        <f>IF(OR(計分!F488="",計分!$AP488=""),"",計分!$AP488-計分!F488)</f>
        <v/>
      </c>
      <c r="G488">
        <f>IF(OR(計分!G488="",計分!$AP488=""),"",計分!$AP488-計分!G488)</f>
        <v/>
      </c>
      <c r="H488">
        <f>IF(OR(計分!H488="",計分!$AP488=""),"",計分!$AP488-計分!H488)</f>
        <v/>
      </c>
      <c r="I488">
        <f>IF(OR(計分!I488="",計分!$AP488=""),"",計分!$AP488-計分!I488)</f>
        <v/>
      </c>
      <c r="J488">
        <f>IF(OR(計分!J488="",計分!$AP488=""),"",計分!$AP488-計分!J488)</f>
        <v/>
      </c>
      <c r="K488">
        <f>IF(OR(計分!K488="",計分!$AP488=""),"",計分!$AP488-計分!K488)</f>
        <v/>
      </c>
      <c r="L488">
        <f>IF(OR(計分!L488="",計分!$AP488=""),"",計分!$AP488-計分!L488)</f>
        <v/>
      </c>
      <c r="M488">
        <f>IF(OR(計分!M488="",計分!$AP488=""),"",計分!$AP488-計分!M488)</f>
        <v/>
      </c>
      <c r="N488">
        <f>IF(OR(計分!N488="",計分!$AP488=""),"",計分!$AP488-計分!N488)</f>
        <v/>
      </c>
      <c r="O488">
        <f>IF(OR(計分!O488="",計分!$AP488=""),"",計分!$AP488-計分!O488)</f>
        <v/>
      </c>
      <c r="P488">
        <f>IF(OR(計分!P488="",計分!$AP488=""),"",計分!$AP488-計分!P488)</f>
        <v/>
      </c>
      <c r="Q488">
        <f>IF(OR(計分!Q488="",計分!$AP488=""),"",計分!$AP488-計分!Q488)</f>
        <v/>
      </c>
      <c r="R488">
        <f>IF(OR(計分!R488="",計分!$AP488=""),"",計分!$AP488-計分!R488)</f>
        <v/>
      </c>
      <c r="S488">
        <f>IF(OR(計分!S488="",計分!$AP488=""),"",計分!$AP488-計分!S488)</f>
        <v/>
      </c>
      <c r="T488">
        <f>IF(OR(計分!T488="",計分!$AP488=""),"",計分!$AP488-計分!T488)</f>
        <v/>
      </c>
      <c r="U488">
        <f>IF(OR(計分!U488="",計分!$AP488=""),"",計分!$AP488-計分!U488)</f>
        <v/>
      </c>
      <c r="V488">
        <f>IF(OR(計分!V488="",計分!$AP488=""),"",計分!$AP488-計分!V488)</f>
        <v/>
      </c>
      <c r="W488">
        <f>IF(OR(計分!W488="",計分!$AP488=""),"",計分!$AP488-計分!W488)</f>
        <v/>
      </c>
      <c r="X488">
        <f>IF(OR(計分!X488="",計分!$AP488=""),"",計分!$AP488-計分!X488)</f>
        <v/>
      </c>
      <c r="Y488">
        <f>IF(OR(計分!Y488="",計分!$AP488=""),"",計分!$AP488-計分!Y488)</f>
        <v/>
      </c>
      <c r="Z488">
        <f>IF(OR(計分!Z488="",計分!$AP488=""),"",計分!$AP488-計分!Z488)</f>
        <v/>
      </c>
      <c r="AA488">
        <f>IF(OR(計分!AA488="",計分!$AP488=""),"",計分!$AP488-計分!AA488)</f>
        <v/>
      </c>
      <c r="AB488">
        <f>IF(OR(計分!AB488="",計分!$AP488=""),"",計分!$AP488-計分!AB488)</f>
        <v/>
      </c>
      <c r="AC488">
        <f>IF(OR(計分!AC488="",計分!$AP488=""),"",計分!$AP488-計分!AC488)</f>
        <v/>
      </c>
      <c r="AD488">
        <f>IF(OR(計分!AD488="",計分!$AP488=""),"",計分!$AP488-計分!AD488)</f>
        <v/>
      </c>
      <c r="AE488">
        <f>IF(OR(計分!AE488="",計分!$AP488=""),"",計分!$AP488-計分!AE488)</f>
        <v/>
      </c>
      <c r="AF488">
        <f>IF(OR(計分!AF488="",計分!$AP488=""),"",計分!$AP488-計分!AF488)</f>
        <v/>
      </c>
      <c r="AG488">
        <f>IF(OR(計分!AG488="",計分!$AP488=""),"",計分!$AP488-計分!AG488)</f>
        <v/>
      </c>
      <c r="AH488">
        <f>IF(OR(計分!AH488="",計分!$AP488=""),"",計分!$AP488-計分!AH488)</f>
        <v/>
      </c>
      <c r="AI488">
        <f>IF(OR(計分!AI488="",計分!$AP488=""),"",計分!$AP488-計分!AI488)</f>
        <v/>
      </c>
      <c r="AJ488">
        <f>IF(OR(計分!AJ488="",計分!$AP488=""),"",計分!$AP488-計分!AJ488)</f>
        <v/>
      </c>
      <c r="AK488">
        <f>IF(OR(計分!AK488="",計分!$AP488=""),"",計分!$AP488-計分!AK488)</f>
        <v/>
      </c>
      <c r="AL488">
        <f>IF(OR(計分!AL488="",計分!$AP488=""),"",計分!$AP488-計分!AL488)</f>
        <v/>
      </c>
      <c r="AM488">
        <f>IF(OR(計分!AM488="",計分!$AP488=""),"",計分!$AP488-計分!AM488)</f>
        <v/>
      </c>
      <c r="AN488">
        <f>IF(OR(計分!AN488="",計分!$AP488=""),"",計分!$AP488-計分!AN488)</f>
        <v/>
      </c>
      <c r="AO488">
        <f>IF(OR(計分!AO488="",計分!$AP488=""),"",計分!$AP488-計分!AO488)</f>
        <v/>
      </c>
    </row>
    <row r="489">
      <c r="A489">
        <f>計分!A489</f>
        <v/>
      </c>
      <c r="B489">
        <f>IF(OR(計分!B489="",計分!$AP489=""),"",計分!$AP489-計分!B489)</f>
        <v/>
      </c>
      <c r="C489">
        <f>IF(OR(計分!C489="",計分!$AP489=""),"",計分!$AP489-計分!C489)</f>
        <v/>
      </c>
      <c r="D489">
        <f>IF(OR(計分!D489="",計分!$AP489=""),"",計分!$AP489-計分!D489)</f>
        <v/>
      </c>
      <c r="E489">
        <f>IF(OR(計分!E489="",計分!$AP489=""),"",計分!$AP489-計分!E489)</f>
        <v/>
      </c>
      <c r="F489">
        <f>IF(OR(計分!F489="",計分!$AP489=""),"",計分!$AP489-計分!F489)</f>
        <v/>
      </c>
      <c r="G489">
        <f>IF(OR(計分!G489="",計分!$AP489=""),"",計分!$AP489-計分!G489)</f>
        <v/>
      </c>
      <c r="H489">
        <f>IF(OR(計分!H489="",計分!$AP489=""),"",計分!$AP489-計分!H489)</f>
        <v/>
      </c>
      <c r="I489">
        <f>IF(OR(計分!I489="",計分!$AP489=""),"",計分!$AP489-計分!I489)</f>
        <v/>
      </c>
      <c r="J489">
        <f>IF(OR(計分!J489="",計分!$AP489=""),"",計分!$AP489-計分!J489)</f>
        <v/>
      </c>
      <c r="K489">
        <f>IF(OR(計分!K489="",計分!$AP489=""),"",計分!$AP489-計分!K489)</f>
        <v/>
      </c>
      <c r="L489">
        <f>IF(OR(計分!L489="",計分!$AP489=""),"",計分!$AP489-計分!L489)</f>
        <v/>
      </c>
      <c r="M489">
        <f>IF(OR(計分!M489="",計分!$AP489=""),"",計分!$AP489-計分!M489)</f>
        <v/>
      </c>
      <c r="N489">
        <f>IF(OR(計分!N489="",計分!$AP489=""),"",計分!$AP489-計分!N489)</f>
        <v/>
      </c>
      <c r="O489">
        <f>IF(OR(計分!O489="",計分!$AP489=""),"",計分!$AP489-計分!O489)</f>
        <v/>
      </c>
      <c r="P489">
        <f>IF(OR(計分!P489="",計分!$AP489=""),"",計分!$AP489-計分!P489)</f>
        <v/>
      </c>
      <c r="Q489">
        <f>IF(OR(計分!Q489="",計分!$AP489=""),"",計分!$AP489-計分!Q489)</f>
        <v/>
      </c>
      <c r="R489">
        <f>IF(OR(計分!R489="",計分!$AP489=""),"",計分!$AP489-計分!R489)</f>
        <v/>
      </c>
      <c r="S489">
        <f>IF(OR(計分!S489="",計分!$AP489=""),"",計分!$AP489-計分!S489)</f>
        <v/>
      </c>
      <c r="T489">
        <f>IF(OR(計分!T489="",計分!$AP489=""),"",計分!$AP489-計分!T489)</f>
        <v/>
      </c>
      <c r="U489">
        <f>IF(OR(計分!U489="",計分!$AP489=""),"",計分!$AP489-計分!U489)</f>
        <v/>
      </c>
      <c r="V489">
        <f>IF(OR(計分!V489="",計分!$AP489=""),"",計分!$AP489-計分!V489)</f>
        <v/>
      </c>
      <c r="W489">
        <f>IF(OR(計分!W489="",計分!$AP489=""),"",計分!$AP489-計分!W489)</f>
        <v/>
      </c>
      <c r="X489">
        <f>IF(OR(計分!X489="",計分!$AP489=""),"",計分!$AP489-計分!X489)</f>
        <v/>
      </c>
      <c r="Y489">
        <f>IF(OR(計分!Y489="",計分!$AP489=""),"",計分!$AP489-計分!Y489)</f>
        <v/>
      </c>
      <c r="Z489">
        <f>IF(OR(計分!Z489="",計分!$AP489=""),"",計分!$AP489-計分!Z489)</f>
        <v/>
      </c>
      <c r="AA489">
        <f>IF(OR(計分!AA489="",計分!$AP489=""),"",計分!$AP489-計分!AA489)</f>
        <v/>
      </c>
      <c r="AB489">
        <f>IF(OR(計分!AB489="",計分!$AP489=""),"",計分!$AP489-計分!AB489)</f>
        <v/>
      </c>
      <c r="AC489">
        <f>IF(OR(計分!AC489="",計分!$AP489=""),"",計分!$AP489-計分!AC489)</f>
        <v/>
      </c>
      <c r="AD489">
        <f>IF(OR(計分!AD489="",計分!$AP489=""),"",計分!$AP489-計分!AD489)</f>
        <v/>
      </c>
      <c r="AE489">
        <f>IF(OR(計分!AE489="",計分!$AP489=""),"",計分!$AP489-計分!AE489)</f>
        <v/>
      </c>
      <c r="AF489">
        <f>IF(OR(計分!AF489="",計分!$AP489=""),"",計分!$AP489-計分!AF489)</f>
        <v/>
      </c>
      <c r="AG489">
        <f>IF(OR(計分!AG489="",計分!$AP489=""),"",計分!$AP489-計分!AG489)</f>
        <v/>
      </c>
      <c r="AH489">
        <f>IF(OR(計分!AH489="",計分!$AP489=""),"",計分!$AP489-計分!AH489)</f>
        <v/>
      </c>
      <c r="AI489">
        <f>IF(OR(計分!AI489="",計分!$AP489=""),"",計分!$AP489-計分!AI489)</f>
        <v/>
      </c>
      <c r="AJ489">
        <f>IF(OR(計分!AJ489="",計分!$AP489=""),"",計分!$AP489-計分!AJ489)</f>
        <v/>
      </c>
      <c r="AK489">
        <f>IF(OR(計分!AK489="",計分!$AP489=""),"",計分!$AP489-計分!AK489)</f>
        <v/>
      </c>
      <c r="AL489">
        <f>IF(OR(計分!AL489="",計分!$AP489=""),"",計分!$AP489-計分!AL489)</f>
        <v/>
      </c>
      <c r="AM489">
        <f>IF(OR(計分!AM489="",計分!$AP489=""),"",計分!$AP489-計分!AM489)</f>
        <v/>
      </c>
      <c r="AN489">
        <f>IF(OR(計分!AN489="",計分!$AP489=""),"",計分!$AP489-計分!AN489)</f>
        <v/>
      </c>
      <c r="AO489">
        <f>IF(OR(計分!AO489="",計分!$AP489=""),"",計分!$AP489-計分!AO489)</f>
        <v/>
      </c>
    </row>
    <row r="490">
      <c r="A490">
        <f>計分!A490</f>
        <v/>
      </c>
      <c r="B490">
        <f>IF(OR(計分!B490="",計分!$AP490=""),"",計分!$AP490-計分!B490)</f>
        <v/>
      </c>
      <c r="C490">
        <f>IF(OR(計分!C490="",計分!$AP490=""),"",計分!$AP490-計分!C490)</f>
        <v/>
      </c>
      <c r="D490">
        <f>IF(OR(計分!D490="",計分!$AP490=""),"",計分!$AP490-計分!D490)</f>
        <v/>
      </c>
      <c r="E490">
        <f>IF(OR(計分!E490="",計分!$AP490=""),"",計分!$AP490-計分!E490)</f>
        <v/>
      </c>
      <c r="F490">
        <f>IF(OR(計分!F490="",計分!$AP490=""),"",計分!$AP490-計分!F490)</f>
        <v/>
      </c>
      <c r="G490">
        <f>IF(OR(計分!G490="",計分!$AP490=""),"",計分!$AP490-計分!G490)</f>
        <v/>
      </c>
      <c r="H490">
        <f>IF(OR(計分!H490="",計分!$AP490=""),"",計分!$AP490-計分!H490)</f>
        <v/>
      </c>
      <c r="I490">
        <f>IF(OR(計分!I490="",計分!$AP490=""),"",計分!$AP490-計分!I490)</f>
        <v/>
      </c>
      <c r="J490">
        <f>IF(OR(計分!J490="",計分!$AP490=""),"",計分!$AP490-計分!J490)</f>
        <v/>
      </c>
      <c r="K490">
        <f>IF(OR(計分!K490="",計分!$AP490=""),"",計分!$AP490-計分!K490)</f>
        <v/>
      </c>
      <c r="L490">
        <f>IF(OR(計分!L490="",計分!$AP490=""),"",計分!$AP490-計分!L490)</f>
        <v/>
      </c>
      <c r="M490">
        <f>IF(OR(計分!M490="",計分!$AP490=""),"",計分!$AP490-計分!M490)</f>
        <v/>
      </c>
      <c r="N490">
        <f>IF(OR(計分!N490="",計分!$AP490=""),"",計分!$AP490-計分!N490)</f>
        <v/>
      </c>
      <c r="O490">
        <f>IF(OR(計分!O490="",計分!$AP490=""),"",計分!$AP490-計分!O490)</f>
        <v/>
      </c>
      <c r="P490">
        <f>IF(OR(計分!P490="",計分!$AP490=""),"",計分!$AP490-計分!P490)</f>
        <v/>
      </c>
      <c r="Q490">
        <f>IF(OR(計分!Q490="",計分!$AP490=""),"",計分!$AP490-計分!Q490)</f>
        <v/>
      </c>
      <c r="R490">
        <f>IF(OR(計分!R490="",計分!$AP490=""),"",計分!$AP490-計分!R490)</f>
        <v/>
      </c>
      <c r="S490">
        <f>IF(OR(計分!S490="",計分!$AP490=""),"",計分!$AP490-計分!S490)</f>
        <v/>
      </c>
      <c r="T490">
        <f>IF(OR(計分!T490="",計分!$AP490=""),"",計分!$AP490-計分!T490)</f>
        <v/>
      </c>
      <c r="U490">
        <f>IF(OR(計分!U490="",計分!$AP490=""),"",計分!$AP490-計分!U490)</f>
        <v/>
      </c>
      <c r="V490">
        <f>IF(OR(計分!V490="",計分!$AP490=""),"",計分!$AP490-計分!V490)</f>
        <v/>
      </c>
      <c r="W490">
        <f>IF(OR(計分!W490="",計分!$AP490=""),"",計分!$AP490-計分!W490)</f>
        <v/>
      </c>
      <c r="X490">
        <f>IF(OR(計分!X490="",計分!$AP490=""),"",計分!$AP490-計分!X490)</f>
        <v/>
      </c>
      <c r="Y490">
        <f>IF(OR(計分!Y490="",計分!$AP490=""),"",計分!$AP490-計分!Y490)</f>
        <v/>
      </c>
      <c r="Z490">
        <f>IF(OR(計分!Z490="",計分!$AP490=""),"",計分!$AP490-計分!Z490)</f>
        <v/>
      </c>
      <c r="AA490">
        <f>IF(OR(計分!AA490="",計分!$AP490=""),"",計分!$AP490-計分!AA490)</f>
        <v/>
      </c>
      <c r="AB490">
        <f>IF(OR(計分!AB490="",計分!$AP490=""),"",計分!$AP490-計分!AB490)</f>
        <v/>
      </c>
      <c r="AC490">
        <f>IF(OR(計分!AC490="",計分!$AP490=""),"",計分!$AP490-計分!AC490)</f>
        <v/>
      </c>
      <c r="AD490">
        <f>IF(OR(計分!AD490="",計分!$AP490=""),"",計分!$AP490-計分!AD490)</f>
        <v/>
      </c>
      <c r="AE490">
        <f>IF(OR(計分!AE490="",計分!$AP490=""),"",計分!$AP490-計分!AE490)</f>
        <v/>
      </c>
      <c r="AF490">
        <f>IF(OR(計分!AF490="",計分!$AP490=""),"",計分!$AP490-計分!AF490)</f>
        <v/>
      </c>
      <c r="AG490">
        <f>IF(OR(計分!AG490="",計分!$AP490=""),"",計分!$AP490-計分!AG490)</f>
        <v/>
      </c>
      <c r="AH490">
        <f>IF(OR(計分!AH490="",計分!$AP490=""),"",計分!$AP490-計分!AH490)</f>
        <v/>
      </c>
      <c r="AI490">
        <f>IF(OR(計分!AI490="",計分!$AP490=""),"",計分!$AP490-計分!AI490)</f>
        <v/>
      </c>
      <c r="AJ490">
        <f>IF(OR(計分!AJ490="",計分!$AP490=""),"",計分!$AP490-計分!AJ490)</f>
        <v/>
      </c>
      <c r="AK490">
        <f>IF(OR(計分!AK490="",計分!$AP490=""),"",計分!$AP490-計分!AK490)</f>
        <v/>
      </c>
      <c r="AL490">
        <f>IF(OR(計分!AL490="",計分!$AP490=""),"",計分!$AP490-計分!AL490)</f>
        <v/>
      </c>
      <c r="AM490">
        <f>IF(OR(計分!AM490="",計分!$AP490=""),"",計分!$AP490-計分!AM490)</f>
        <v/>
      </c>
      <c r="AN490">
        <f>IF(OR(計分!AN490="",計分!$AP490=""),"",計分!$AP490-計分!AN490)</f>
        <v/>
      </c>
      <c r="AO490">
        <f>IF(OR(計分!AO490="",計分!$AP490=""),"",計分!$AP490-計分!AO490)</f>
        <v/>
      </c>
    </row>
    <row r="491">
      <c r="A491">
        <f>計分!A491</f>
        <v/>
      </c>
      <c r="B491">
        <f>IF(OR(計分!B491="",計分!$AP491=""),"",計分!$AP491-計分!B491)</f>
        <v/>
      </c>
      <c r="C491">
        <f>IF(OR(計分!C491="",計分!$AP491=""),"",計分!$AP491-計分!C491)</f>
        <v/>
      </c>
      <c r="D491">
        <f>IF(OR(計分!D491="",計分!$AP491=""),"",計分!$AP491-計分!D491)</f>
        <v/>
      </c>
      <c r="E491">
        <f>IF(OR(計分!E491="",計分!$AP491=""),"",計分!$AP491-計分!E491)</f>
        <v/>
      </c>
      <c r="F491">
        <f>IF(OR(計分!F491="",計分!$AP491=""),"",計分!$AP491-計分!F491)</f>
        <v/>
      </c>
      <c r="G491">
        <f>IF(OR(計分!G491="",計分!$AP491=""),"",計分!$AP491-計分!G491)</f>
        <v/>
      </c>
      <c r="H491">
        <f>IF(OR(計分!H491="",計分!$AP491=""),"",計分!$AP491-計分!H491)</f>
        <v/>
      </c>
      <c r="I491">
        <f>IF(OR(計分!I491="",計分!$AP491=""),"",計分!$AP491-計分!I491)</f>
        <v/>
      </c>
      <c r="J491">
        <f>IF(OR(計分!J491="",計分!$AP491=""),"",計分!$AP491-計分!J491)</f>
        <v/>
      </c>
      <c r="K491">
        <f>IF(OR(計分!K491="",計分!$AP491=""),"",計分!$AP491-計分!K491)</f>
        <v/>
      </c>
      <c r="L491">
        <f>IF(OR(計分!L491="",計分!$AP491=""),"",計分!$AP491-計分!L491)</f>
        <v/>
      </c>
      <c r="M491">
        <f>IF(OR(計分!M491="",計分!$AP491=""),"",計分!$AP491-計分!M491)</f>
        <v/>
      </c>
      <c r="N491">
        <f>IF(OR(計分!N491="",計分!$AP491=""),"",計分!$AP491-計分!N491)</f>
        <v/>
      </c>
      <c r="O491">
        <f>IF(OR(計分!O491="",計分!$AP491=""),"",計分!$AP491-計分!O491)</f>
        <v/>
      </c>
      <c r="P491">
        <f>IF(OR(計分!P491="",計分!$AP491=""),"",計分!$AP491-計分!P491)</f>
        <v/>
      </c>
      <c r="Q491">
        <f>IF(OR(計分!Q491="",計分!$AP491=""),"",計分!$AP491-計分!Q491)</f>
        <v/>
      </c>
      <c r="R491">
        <f>IF(OR(計分!R491="",計分!$AP491=""),"",計分!$AP491-計分!R491)</f>
        <v/>
      </c>
      <c r="S491">
        <f>IF(OR(計分!S491="",計分!$AP491=""),"",計分!$AP491-計分!S491)</f>
        <v/>
      </c>
      <c r="T491">
        <f>IF(OR(計分!T491="",計分!$AP491=""),"",計分!$AP491-計分!T491)</f>
        <v/>
      </c>
      <c r="U491">
        <f>IF(OR(計分!U491="",計分!$AP491=""),"",計分!$AP491-計分!U491)</f>
        <v/>
      </c>
      <c r="V491">
        <f>IF(OR(計分!V491="",計分!$AP491=""),"",計分!$AP491-計分!V491)</f>
        <v/>
      </c>
      <c r="W491">
        <f>IF(OR(計分!W491="",計分!$AP491=""),"",計分!$AP491-計分!W491)</f>
        <v/>
      </c>
      <c r="X491">
        <f>IF(OR(計分!X491="",計分!$AP491=""),"",計分!$AP491-計分!X491)</f>
        <v/>
      </c>
      <c r="Y491">
        <f>IF(OR(計分!Y491="",計分!$AP491=""),"",計分!$AP491-計分!Y491)</f>
        <v/>
      </c>
      <c r="Z491">
        <f>IF(OR(計分!Z491="",計分!$AP491=""),"",計分!$AP491-計分!Z491)</f>
        <v/>
      </c>
      <c r="AA491">
        <f>IF(OR(計分!AA491="",計分!$AP491=""),"",計分!$AP491-計分!AA491)</f>
        <v/>
      </c>
      <c r="AB491">
        <f>IF(OR(計分!AB491="",計分!$AP491=""),"",計分!$AP491-計分!AB491)</f>
        <v/>
      </c>
      <c r="AC491">
        <f>IF(OR(計分!AC491="",計分!$AP491=""),"",計分!$AP491-計分!AC491)</f>
        <v/>
      </c>
      <c r="AD491">
        <f>IF(OR(計分!AD491="",計分!$AP491=""),"",計分!$AP491-計分!AD491)</f>
        <v/>
      </c>
      <c r="AE491">
        <f>IF(OR(計分!AE491="",計分!$AP491=""),"",計分!$AP491-計分!AE491)</f>
        <v/>
      </c>
      <c r="AF491">
        <f>IF(OR(計分!AF491="",計分!$AP491=""),"",計分!$AP491-計分!AF491)</f>
        <v/>
      </c>
      <c r="AG491">
        <f>IF(OR(計分!AG491="",計分!$AP491=""),"",計分!$AP491-計分!AG491)</f>
        <v/>
      </c>
      <c r="AH491">
        <f>IF(OR(計分!AH491="",計分!$AP491=""),"",計分!$AP491-計分!AH491)</f>
        <v/>
      </c>
      <c r="AI491">
        <f>IF(OR(計分!AI491="",計分!$AP491=""),"",計分!$AP491-計分!AI491)</f>
        <v/>
      </c>
      <c r="AJ491">
        <f>IF(OR(計分!AJ491="",計分!$AP491=""),"",計分!$AP491-計分!AJ491)</f>
        <v/>
      </c>
      <c r="AK491">
        <f>IF(OR(計分!AK491="",計分!$AP491=""),"",計分!$AP491-計分!AK491)</f>
        <v/>
      </c>
      <c r="AL491">
        <f>IF(OR(計分!AL491="",計分!$AP491=""),"",計分!$AP491-計分!AL491)</f>
        <v/>
      </c>
      <c r="AM491">
        <f>IF(OR(計分!AM491="",計分!$AP491=""),"",計分!$AP491-計分!AM491)</f>
        <v/>
      </c>
      <c r="AN491">
        <f>IF(OR(計分!AN491="",計分!$AP491=""),"",計分!$AP491-計分!AN491)</f>
        <v/>
      </c>
      <c r="AO491">
        <f>IF(OR(計分!AO491="",計分!$AP491=""),"",計分!$AP491-計分!AO491)</f>
        <v/>
      </c>
    </row>
    <row r="492">
      <c r="A492">
        <f>計分!A492</f>
        <v/>
      </c>
      <c r="B492">
        <f>IF(OR(計分!B492="",計分!$AP492=""),"",計分!$AP492-計分!B492)</f>
        <v/>
      </c>
      <c r="C492">
        <f>IF(OR(計分!C492="",計分!$AP492=""),"",計分!$AP492-計分!C492)</f>
        <v/>
      </c>
      <c r="D492">
        <f>IF(OR(計分!D492="",計分!$AP492=""),"",計分!$AP492-計分!D492)</f>
        <v/>
      </c>
      <c r="E492">
        <f>IF(OR(計分!E492="",計分!$AP492=""),"",計分!$AP492-計分!E492)</f>
        <v/>
      </c>
      <c r="F492">
        <f>IF(OR(計分!F492="",計分!$AP492=""),"",計分!$AP492-計分!F492)</f>
        <v/>
      </c>
      <c r="G492">
        <f>IF(OR(計分!G492="",計分!$AP492=""),"",計分!$AP492-計分!G492)</f>
        <v/>
      </c>
      <c r="H492">
        <f>IF(OR(計分!H492="",計分!$AP492=""),"",計分!$AP492-計分!H492)</f>
        <v/>
      </c>
      <c r="I492">
        <f>IF(OR(計分!I492="",計分!$AP492=""),"",計分!$AP492-計分!I492)</f>
        <v/>
      </c>
      <c r="J492">
        <f>IF(OR(計分!J492="",計分!$AP492=""),"",計分!$AP492-計分!J492)</f>
        <v/>
      </c>
      <c r="K492">
        <f>IF(OR(計分!K492="",計分!$AP492=""),"",計分!$AP492-計分!K492)</f>
        <v/>
      </c>
      <c r="L492">
        <f>IF(OR(計分!L492="",計分!$AP492=""),"",計分!$AP492-計分!L492)</f>
        <v/>
      </c>
      <c r="M492">
        <f>IF(OR(計分!M492="",計分!$AP492=""),"",計分!$AP492-計分!M492)</f>
        <v/>
      </c>
      <c r="N492">
        <f>IF(OR(計分!N492="",計分!$AP492=""),"",計分!$AP492-計分!N492)</f>
        <v/>
      </c>
      <c r="O492">
        <f>IF(OR(計分!O492="",計分!$AP492=""),"",計分!$AP492-計分!O492)</f>
        <v/>
      </c>
      <c r="P492">
        <f>IF(OR(計分!P492="",計分!$AP492=""),"",計分!$AP492-計分!P492)</f>
        <v/>
      </c>
      <c r="Q492">
        <f>IF(OR(計分!Q492="",計分!$AP492=""),"",計分!$AP492-計分!Q492)</f>
        <v/>
      </c>
      <c r="R492">
        <f>IF(OR(計分!R492="",計分!$AP492=""),"",計分!$AP492-計分!R492)</f>
        <v/>
      </c>
      <c r="S492">
        <f>IF(OR(計分!S492="",計分!$AP492=""),"",計分!$AP492-計分!S492)</f>
        <v/>
      </c>
      <c r="T492">
        <f>IF(OR(計分!T492="",計分!$AP492=""),"",計分!$AP492-計分!T492)</f>
        <v/>
      </c>
      <c r="U492">
        <f>IF(OR(計分!U492="",計分!$AP492=""),"",計分!$AP492-計分!U492)</f>
        <v/>
      </c>
      <c r="V492">
        <f>IF(OR(計分!V492="",計分!$AP492=""),"",計分!$AP492-計分!V492)</f>
        <v/>
      </c>
      <c r="W492">
        <f>IF(OR(計分!W492="",計分!$AP492=""),"",計分!$AP492-計分!W492)</f>
        <v/>
      </c>
      <c r="X492">
        <f>IF(OR(計分!X492="",計分!$AP492=""),"",計分!$AP492-計分!X492)</f>
        <v/>
      </c>
      <c r="Y492">
        <f>IF(OR(計分!Y492="",計分!$AP492=""),"",計分!$AP492-計分!Y492)</f>
        <v/>
      </c>
      <c r="Z492">
        <f>IF(OR(計分!Z492="",計分!$AP492=""),"",計分!$AP492-計分!Z492)</f>
        <v/>
      </c>
      <c r="AA492">
        <f>IF(OR(計分!AA492="",計分!$AP492=""),"",計分!$AP492-計分!AA492)</f>
        <v/>
      </c>
      <c r="AB492">
        <f>IF(OR(計分!AB492="",計分!$AP492=""),"",計分!$AP492-計分!AB492)</f>
        <v/>
      </c>
      <c r="AC492">
        <f>IF(OR(計分!AC492="",計分!$AP492=""),"",計分!$AP492-計分!AC492)</f>
        <v/>
      </c>
      <c r="AD492">
        <f>IF(OR(計分!AD492="",計分!$AP492=""),"",計分!$AP492-計分!AD492)</f>
        <v/>
      </c>
      <c r="AE492">
        <f>IF(OR(計分!AE492="",計分!$AP492=""),"",計分!$AP492-計分!AE492)</f>
        <v/>
      </c>
      <c r="AF492">
        <f>IF(OR(計分!AF492="",計分!$AP492=""),"",計分!$AP492-計分!AF492)</f>
        <v/>
      </c>
      <c r="AG492">
        <f>IF(OR(計分!AG492="",計分!$AP492=""),"",計分!$AP492-計分!AG492)</f>
        <v/>
      </c>
      <c r="AH492">
        <f>IF(OR(計分!AH492="",計分!$AP492=""),"",計分!$AP492-計分!AH492)</f>
        <v/>
      </c>
      <c r="AI492">
        <f>IF(OR(計分!AI492="",計分!$AP492=""),"",計分!$AP492-計分!AI492)</f>
        <v/>
      </c>
      <c r="AJ492">
        <f>IF(OR(計分!AJ492="",計分!$AP492=""),"",計分!$AP492-計分!AJ492)</f>
        <v/>
      </c>
      <c r="AK492">
        <f>IF(OR(計分!AK492="",計分!$AP492=""),"",計分!$AP492-計分!AK492)</f>
        <v/>
      </c>
      <c r="AL492">
        <f>IF(OR(計分!AL492="",計分!$AP492=""),"",計分!$AP492-計分!AL492)</f>
        <v/>
      </c>
      <c r="AM492">
        <f>IF(OR(計分!AM492="",計分!$AP492=""),"",計分!$AP492-計分!AM492)</f>
        <v/>
      </c>
      <c r="AN492">
        <f>IF(OR(計分!AN492="",計分!$AP492=""),"",計分!$AP492-計分!AN492)</f>
        <v/>
      </c>
      <c r="AO492">
        <f>IF(OR(計分!AO492="",計分!$AP492=""),"",計分!$AP492-計分!AO492)</f>
        <v/>
      </c>
    </row>
    <row r="493">
      <c r="A493">
        <f>計分!A493</f>
        <v/>
      </c>
      <c r="B493">
        <f>IF(OR(計分!B493="",計分!$AP493=""),"",計分!$AP493-計分!B493)</f>
        <v/>
      </c>
      <c r="C493">
        <f>IF(OR(計分!C493="",計分!$AP493=""),"",計分!$AP493-計分!C493)</f>
        <v/>
      </c>
      <c r="D493">
        <f>IF(OR(計分!D493="",計分!$AP493=""),"",計分!$AP493-計分!D493)</f>
        <v/>
      </c>
      <c r="E493">
        <f>IF(OR(計分!E493="",計分!$AP493=""),"",計分!$AP493-計分!E493)</f>
        <v/>
      </c>
      <c r="F493">
        <f>IF(OR(計分!F493="",計分!$AP493=""),"",計分!$AP493-計分!F493)</f>
        <v/>
      </c>
      <c r="G493">
        <f>IF(OR(計分!G493="",計分!$AP493=""),"",計分!$AP493-計分!G493)</f>
        <v/>
      </c>
      <c r="H493">
        <f>IF(OR(計分!H493="",計分!$AP493=""),"",計分!$AP493-計分!H493)</f>
        <v/>
      </c>
      <c r="I493">
        <f>IF(OR(計分!I493="",計分!$AP493=""),"",計分!$AP493-計分!I493)</f>
        <v/>
      </c>
      <c r="J493">
        <f>IF(OR(計分!J493="",計分!$AP493=""),"",計分!$AP493-計分!J493)</f>
        <v/>
      </c>
      <c r="K493">
        <f>IF(OR(計分!K493="",計分!$AP493=""),"",計分!$AP493-計分!K493)</f>
        <v/>
      </c>
      <c r="L493">
        <f>IF(OR(計分!L493="",計分!$AP493=""),"",計分!$AP493-計分!L493)</f>
        <v/>
      </c>
      <c r="M493">
        <f>IF(OR(計分!M493="",計分!$AP493=""),"",計分!$AP493-計分!M493)</f>
        <v/>
      </c>
      <c r="N493">
        <f>IF(OR(計分!N493="",計分!$AP493=""),"",計分!$AP493-計分!N493)</f>
        <v/>
      </c>
      <c r="O493">
        <f>IF(OR(計分!O493="",計分!$AP493=""),"",計分!$AP493-計分!O493)</f>
        <v/>
      </c>
      <c r="P493">
        <f>IF(OR(計分!P493="",計分!$AP493=""),"",計分!$AP493-計分!P493)</f>
        <v/>
      </c>
      <c r="Q493">
        <f>IF(OR(計分!Q493="",計分!$AP493=""),"",計分!$AP493-計分!Q493)</f>
        <v/>
      </c>
      <c r="R493">
        <f>IF(OR(計分!R493="",計分!$AP493=""),"",計分!$AP493-計分!R493)</f>
        <v/>
      </c>
      <c r="S493">
        <f>IF(OR(計分!S493="",計分!$AP493=""),"",計分!$AP493-計分!S493)</f>
        <v/>
      </c>
      <c r="T493">
        <f>IF(OR(計分!T493="",計分!$AP493=""),"",計分!$AP493-計分!T493)</f>
        <v/>
      </c>
      <c r="U493">
        <f>IF(OR(計分!U493="",計分!$AP493=""),"",計分!$AP493-計分!U493)</f>
        <v/>
      </c>
      <c r="V493">
        <f>IF(OR(計分!V493="",計分!$AP493=""),"",計分!$AP493-計分!V493)</f>
        <v/>
      </c>
      <c r="W493">
        <f>IF(OR(計分!W493="",計分!$AP493=""),"",計分!$AP493-計分!W493)</f>
        <v/>
      </c>
      <c r="X493">
        <f>IF(OR(計分!X493="",計分!$AP493=""),"",計分!$AP493-計分!X493)</f>
        <v/>
      </c>
      <c r="Y493">
        <f>IF(OR(計分!Y493="",計分!$AP493=""),"",計分!$AP493-計分!Y493)</f>
        <v/>
      </c>
      <c r="Z493">
        <f>IF(OR(計分!Z493="",計分!$AP493=""),"",計分!$AP493-計分!Z493)</f>
        <v/>
      </c>
      <c r="AA493">
        <f>IF(OR(計分!AA493="",計分!$AP493=""),"",計分!$AP493-計分!AA493)</f>
        <v/>
      </c>
      <c r="AB493">
        <f>IF(OR(計分!AB493="",計分!$AP493=""),"",計分!$AP493-計分!AB493)</f>
        <v/>
      </c>
      <c r="AC493">
        <f>IF(OR(計分!AC493="",計分!$AP493=""),"",計分!$AP493-計分!AC493)</f>
        <v/>
      </c>
      <c r="AD493">
        <f>IF(OR(計分!AD493="",計分!$AP493=""),"",計分!$AP493-計分!AD493)</f>
        <v/>
      </c>
      <c r="AE493">
        <f>IF(OR(計分!AE493="",計分!$AP493=""),"",計分!$AP493-計分!AE493)</f>
        <v/>
      </c>
      <c r="AF493">
        <f>IF(OR(計分!AF493="",計分!$AP493=""),"",計分!$AP493-計分!AF493)</f>
        <v/>
      </c>
      <c r="AG493">
        <f>IF(OR(計分!AG493="",計分!$AP493=""),"",計分!$AP493-計分!AG493)</f>
        <v/>
      </c>
      <c r="AH493">
        <f>IF(OR(計分!AH493="",計分!$AP493=""),"",計分!$AP493-計分!AH493)</f>
        <v/>
      </c>
      <c r="AI493">
        <f>IF(OR(計分!AI493="",計分!$AP493=""),"",計分!$AP493-計分!AI493)</f>
        <v/>
      </c>
      <c r="AJ493">
        <f>IF(OR(計分!AJ493="",計分!$AP493=""),"",計分!$AP493-計分!AJ493)</f>
        <v/>
      </c>
      <c r="AK493">
        <f>IF(OR(計分!AK493="",計分!$AP493=""),"",計分!$AP493-計分!AK493)</f>
        <v/>
      </c>
      <c r="AL493">
        <f>IF(OR(計分!AL493="",計分!$AP493=""),"",計分!$AP493-計分!AL493)</f>
        <v/>
      </c>
      <c r="AM493">
        <f>IF(OR(計分!AM493="",計分!$AP493=""),"",計分!$AP493-計分!AM493)</f>
        <v/>
      </c>
      <c r="AN493">
        <f>IF(OR(計分!AN493="",計分!$AP493=""),"",計分!$AP493-計分!AN493)</f>
        <v/>
      </c>
      <c r="AO493">
        <f>IF(OR(計分!AO493="",計分!$AP493=""),"",計分!$AP493-計分!AO493)</f>
        <v/>
      </c>
    </row>
    <row r="494">
      <c r="A494">
        <f>計分!A494</f>
        <v/>
      </c>
      <c r="B494">
        <f>IF(OR(計分!B494="",計分!$AP494=""),"",計分!$AP494-計分!B494)</f>
        <v/>
      </c>
      <c r="C494">
        <f>IF(OR(計分!C494="",計分!$AP494=""),"",計分!$AP494-計分!C494)</f>
        <v/>
      </c>
      <c r="D494">
        <f>IF(OR(計分!D494="",計分!$AP494=""),"",計分!$AP494-計分!D494)</f>
        <v/>
      </c>
      <c r="E494">
        <f>IF(OR(計分!E494="",計分!$AP494=""),"",計分!$AP494-計分!E494)</f>
        <v/>
      </c>
      <c r="F494">
        <f>IF(OR(計分!F494="",計分!$AP494=""),"",計分!$AP494-計分!F494)</f>
        <v/>
      </c>
      <c r="G494">
        <f>IF(OR(計分!G494="",計分!$AP494=""),"",計分!$AP494-計分!G494)</f>
        <v/>
      </c>
      <c r="H494">
        <f>IF(OR(計分!H494="",計分!$AP494=""),"",計分!$AP494-計分!H494)</f>
        <v/>
      </c>
      <c r="I494">
        <f>IF(OR(計分!I494="",計分!$AP494=""),"",計分!$AP494-計分!I494)</f>
        <v/>
      </c>
      <c r="J494">
        <f>IF(OR(計分!J494="",計分!$AP494=""),"",計分!$AP494-計分!J494)</f>
        <v/>
      </c>
      <c r="K494">
        <f>IF(OR(計分!K494="",計分!$AP494=""),"",計分!$AP494-計分!K494)</f>
        <v/>
      </c>
      <c r="L494">
        <f>IF(OR(計分!L494="",計分!$AP494=""),"",計分!$AP494-計分!L494)</f>
        <v/>
      </c>
      <c r="M494">
        <f>IF(OR(計分!M494="",計分!$AP494=""),"",計分!$AP494-計分!M494)</f>
        <v/>
      </c>
      <c r="N494">
        <f>IF(OR(計分!N494="",計分!$AP494=""),"",計分!$AP494-計分!N494)</f>
        <v/>
      </c>
      <c r="O494">
        <f>IF(OR(計分!O494="",計分!$AP494=""),"",計分!$AP494-計分!O494)</f>
        <v/>
      </c>
      <c r="P494">
        <f>IF(OR(計分!P494="",計分!$AP494=""),"",計分!$AP494-計分!P494)</f>
        <v/>
      </c>
      <c r="Q494">
        <f>IF(OR(計分!Q494="",計分!$AP494=""),"",計分!$AP494-計分!Q494)</f>
        <v/>
      </c>
      <c r="R494">
        <f>IF(OR(計分!R494="",計分!$AP494=""),"",計分!$AP494-計分!R494)</f>
        <v/>
      </c>
      <c r="S494">
        <f>IF(OR(計分!S494="",計分!$AP494=""),"",計分!$AP494-計分!S494)</f>
        <v/>
      </c>
      <c r="T494">
        <f>IF(OR(計分!T494="",計分!$AP494=""),"",計分!$AP494-計分!T494)</f>
        <v/>
      </c>
      <c r="U494">
        <f>IF(OR(計分!U494="",計分!$AP494=""),"",計分!$AP494-計分!U494)</f>
        <v/>
      </c>
      <c r="V494">
        <f>IF(OR(計分!V494="",計分!$AP494=""),"",計分!$AP494-計分!V494)</f>
        <v/>
      </c>
      <c r="W494">
        <f>IF(OR(計分!W494="",計分!$AP494=""),"",計分!$AP494-計分!W494)</f>
        <v/>
      </c>
      <c r="X494">
        <f>IF(OR(計分!X494="",計分!$AP494=""),"",計分!$AP494-計分!X494)</f>
        <v/>
      </c>
      <c r="Y494">
        <f>IF(OR(計分!Y494="",計分!$AP494=""),"",計分!$AP494-計分!Y494)</f>
        <v/>
      </c>
      <c r="Z494">
        <f>IF(OR(計分!Z494="",計分!$AP494=""),"",計分!$AP494-計分!Z494)</f>
        <v/>
      </c>
      <c r="AA494">
        <f>IF(OR(計分!AA494="",計分!$AP494=""),"",計分!$AP494-計分!AA494)</f>
        <v/>
      </c>
      <c r="AB494">
        <f>IF(OR(計分!AB494="",計分!$AP494=""),"",計分!$AP494-計分!AB494)</f>
        <v/>
      </c>
      <c r="AC494">
        <f>IF(OR(計分!AC494="",計分!$AP494=""),"",計分!$AP494-計分!AC494)</f>
        <v/>
      </c>
      <c r="AD494">
        <f>IF(OR(計分!AD494="",計分!$AP494=""),"",計分!$AP494-計分!AD494)</f>
        <v/>
      </c>
      <c r="AE494">
        <f>IF(OR(計分!AE494="",計分!$AP494=""),"",計分!$AP494-計分!AE494)</f>
        <v/>
      </c>
      <c r="AF494">
        <f>IF(OR(計分!AF494="",計分!$AP494=""),"",計分!$AP494-計分!AF494)</f>
        <v/>
      </c>
      <c r="AG494">
        <f>IF(OR(計分!AG494="",計分!$AP494=""),"",計分!$AP494-計分!AG494)</f>
        <v/>
      </c>
      <c r="AH494">
        <f>IF(OR(計分!AH494="",計分!$AP494=""),"",計分!$AP494-計分!AH494)</f>
        <v/>
      </c>
      <c r="AI494">
        <f>IF(OR(計分!AI494="",計分!$AP494=""),"",計分!$AP494-計分!AI494)</f>
        <v/>
      </c>
      <c r="AJ494">
        <f>IF(OR(計分!AJ494="",計分!$AP494=""),"",計分!$AP494-計分!AJ494)</f>
        <v/>
      </c>
      <c r="AK494">
        <f>IF(OR(計分!AK494="",計分!$AP494=""),"",計分!$AP494-計分!AK494)</f>
        <v/>
      </c>
      <c r="AL494">
        <f>IF(OR(計分!AL494="",計分!$AP494=""),"",計分!$AP494-計分!AL494)</f>
        <v/>
      </c>
      <c r="AM494">
        <f>IF(OR(計分!AM494="",計分!$AP494=""),"",計分!$AP494-計分!AM494)</f>
        <v/>
      </c>
      <c r="AN494">
        <f>IF(OR(計分!AN494="",計分!$AP494=""),"",計分!$AP494-計分!AN494)</f>
        <v/>
      </c>
      <c r="AO494">
        <f>IF(OR(計分!AO494="",計分!$AP494=""),"",計分!$AP494-計分!AO494)</f>
        <v/>
      </c>
    </row>
    <row r="495">
      <c r="A495">
        <f>計分!A495</f>
        <v/>
      </c>
      <c r="B495">
        <f>IF(OR(計分!B495="",計分!$AP495=""),"",計分!$AP495-計分!B495)</f>
        <v/>
      </c>
      <c r="C495">
        <f>IF(OR(計分!C495="",計分!$AP495=""),"",計分!$AP495-計分!C495)</f>
        <v/>
      </c>
      <c r="D495">
        <f>IF(OR(計分!D495="",計分!$AP495=""),"",計分!$AP495-計分!D495)</f>
        <v/>
      </c>
      <c r="E495">
        <f>IF(OR(計分!E495="",計分!$AP495=""),"",計分!$AP495-計分!E495)</f>
        <v/>
      </c>
      <c r="F495">
        <f>IF(OR(計分!F495="",計分!$AP495=""),"",計分!$AP495-計分!F495)</f>
        <v/>
      </c>
      <c r="G495">
        <f>IF(OR(計分!G495="",計分!$AP495=""),"",計分!$AP495-計分!G495)</f>
        <v/>
      </c>
      <c r="H495">
        <f>IF(OR(計分!H495="",計分!$AP495=""),"",計分!$AP495-計分!H495)</f>
        <v/>
      </c>
      <c r="I495">
        <f>IF(OR(計分!I495="",計分!$AP495=""),"",計分!$AP495-計分!I495)</f>
        <v/>
      </c>
      <c r="J495">
        <f>IF(OR(計分!J495="",計分!$AP495=""),"",計分!$AP495-計分!J495)</f>
        <v/>
      </c>
      <c r="K495">
        <f>IF(OR(計分!K495="",計分!$AP495=""),"",計分!$AP495-計分!K495)</f>
        <v/>
      </c>
      <c r="L495">
        <f>IF(OR(計分!L495="",計分!$AP495=""),"",計分!$AP495-計分!L495)</f>
        <v/>
      </c>
      <c r="M495">
        <f>IF(OR(計分!M495="",計分!$AP495=""),"",計分!$AP495-計分!M495)</f>
        <v/>
      </c>
      <c r="N495">
        <f>IF(OR(計分!N495="",計分!$AP495=""),"",計分!$AP495-計分!N495)</f>
        <v/>
      </c>
      <c r="O495">
        <f>IF(OR(計分!O495="",計分!$AP495=""),"",計分!$AP495-計分!O495)</f>
        <v/>
      </c>
      <c r="P495">
        <f>IF(OR(計分!P495="",計分!$AP495=""),"",計分!$AP495-計分!P495)</f>
        <v/>
      </c>
      <c r="Q495">
        <f>IF(OR(計分!Q495="",計分!$AP495=""),"",計分!$AP495-計分!Q495)</f>
        <v/>
      </c>
      <c r="R495">
        <f>IF(OR(計分!R495="",計分!$AP495=""),"",計分!$AP495-計分!R495)</f>
        <v/>
      </c>
      <c r="S495">
        <f>IF(OR(計分!S495="",計分!$AP495=""),"",計分!$AP495-計分!S495)</f>
        <v/>
      </c>
      <c r="T495">
        <f>IF(OR(計分!T495="",計分!$AP495=""),"",計分!$AP495-計分!T495)</f>
        <v/>
      </c>
      <c r="U495">
        <f>IF(OR(計分!U495="",計分!$AP495=""),"",計分!$AP495-計分!U495)</f>
        <v/>
      </c>
      <c r="V495">
        <f>IF(OR(計分!V495="",計分!$AP495=""),"",計分!$AP495-計分!V495)</f>
        <v/>
      </c>
      <c r="W495">
        <f>IF(OR(計分!W495="",計分!$AP495=""),"",計分!$AP495-計分!W495)</f>
        <v/>
      </c>
      <c r="X495">
        <f>IF(OR(計分!X495="",計分!$AP495=""),"",計分!$AP495-計分!X495)</f>
        <v/>
      </c>
      <c r="Y495">
        <f>IF(OR(計分!Y495="",計分!$AP495=""),"",計分!$AP495-計分!Y495)</f>
        <v/>
      </c>
      <c r="Z495">
        <f>IF(OR(計分!Z495="",計分!$AP495=""),"",計分!$AP495-計分!Z495)</f>
        <v/>
      </c>
      <c r="AA495">
        <f>IF(OR(計分!AA495="",計分!$AP495=""),"",計分!$AP495-計分!AA495)</f>
        <v/>
      </c>
      <c r="AB495">
        <f>IF(OR(計分!AB495="",計分!$AP495=""),"",計分!$AP495-計分!AB495)</f>
        <v/>
      </c>
      <c r="AC495">
        <f>IF(OR(計分!AC495="",計分!$AP495=""),"",計分!$AP495-計分!AC495)</f>
        <v/>
      </c>
      <c r="AD495">
        <f>IF(OR(計分!AD495="",計分!$AP495=""),"",計分!$AP495-計分!AD495)</f>
        <v/>
      </c>
      <c r="AE495">
        <f>IF(OR(計分!AE495="",計分!$AP495=""),"",計分!$AP495-計分!AE495)</f>
        <v/>
      </c>
      <c r="AF495">
        <f>IF(OR(計分!AF495="",計分!$AP495=""),"",計分!$AP495-計分!AF495)</f>
        <v/>
      </c>
      <c r="AG495">
        <f>IF(OR(計分!AG495="",計分!$AP495=""),"",計分!$AP495-計分!AG495)</f>
        <v/>
      </c>
      <c r="AH495">
        <f>IF(OR(計分!AH495="",計分!$AP495=""),"",計分!$AP495-計分!AH495)</f>
        <v/>
      </c>
      <c r="AI495">
        <f>IF(OR(計分!AI495="",計分!$AP495=""),"",計分!$AP495-計分!AI495)</f>
        <v/>
      </c>
      <c r="AJ495">
        <f>IF(OR(計分!AJ495="",計分!$AP495=""),"",計分!$AP495-計分!AJ495)</f>
        <v/>
      </c>
      <c r="AK495">
        <f>IF(OR(計分!AK495="",計分!$AP495=""),"",計分!$AP495-計分!AK495)</f>
        <v/>
      </c>
      <c r="AL495">
        <f>IF(OR(計分!AL495="",計分!$AP495=""),"",計分!$AP495-計分!AL495)</f>
        <v/>
      </c>
      <c r="AM495">
        <f>IF(OR(計分!AM495="",計分!$AP495=""),"",計分!$AP495-計分!AM495)</f>
        <v/>
      </c>
      <c r="AN495">
        <f>IF(OR(計分!AN495="",計分!$AP495=""),"",計分!$AP495-計分!AN495)</f>
        <v/>
      </c>
      <c r="AO495">
        <f>IF(OR(計分!AO495="",計分!$AP495=""),"",計分!$AP495-計分!AO495)</f>
        <v/>
      </c>
    </row>
    <row r="496">
      <c r="A496">
        <f>計分!A496</f>
        <v/>
      </c>
      <c r="B496">
        <f>IF(OR(計分!B496="",計分!$AP496=""),"",計分!$AP496-計分!B496)</f>
        <v/>
      </c>
      <c r="C496">
        <f>IF(OR(計分!C496="",計分!$AP496=""),"",計分!$AP496-計分!C496)</f>
        <v/>
      </c>
      <c r="D496">
        <f>IF(OR(計分!D496="",計分!$AP496=""),"",計分!$AP496-計分!D496)</f>
        <v/>
      </c>
      <c r="E496">
        <f>IF(OR(計分!E496="",計分!$AP496=""),"",計分!$AP496-計分!E496)</f>
        <v/>
      </c>
      <c r="F496">
        <f>IF(OR(計分!F496="",計分!$AP496=""),"",計分!$AP496-計分!F496)</f>
        <v/>
      </c>
      <c r="G496">
        <f>IF(OR(計分!G496="",計分!$AP496=""),"",計分!$AP496-計分!G496)</f>
        <v/>
      </c>
      <c r="H496">
        <f>IF(OR(計分!H496="",計分!$AP496=""),"",計分!$AP496-計分!H496)</f>
        <v/>
      </c>
      <c r="I496">
        <f>IF(OR(計分!I496="",計分!$AP496=""),"",計分!$AP496-計分!I496)</f>
        <v/>
      </c>
      <c r="J496">
        <f>IF(OR(計分!J496="",計分!$AP496=""),"",計分!$AP496-計分!J496)</f>
        <v/>
      </c>
      <c r="K496">
        <f>IF(OR(計分!K496="",計分!$AP496=""),"",計分!$AP496-計分!K496)</f>
        <v/>
      </c>
      <c r="L496">
        <f>IF(OR(計分!L496="",計分!$AP496=""),"",計分!$AP496-計分!L496)</f>
        <v/>
      </c>
      <c r="M496">
        <f>IF(OR(計分!M496="",計分!$AP496=""),"",計分!$AP496-計分!M496)</f>
        <v/>
      </c>
      <c r="N496">
        <f>IF(OR(計分!N496="",計分!$AP496=""),"",計分!$AP496-計分!N496)</f>
        <v/>
      </c>
      <c r="O496">
        <f>IF(OR(計分!O496="",計分!$AP496=""),"",計分!$AP496-計分!O496)</f>
        <v/>
      </c>
      <c r="P496">
        <f>IF(OR(計分!P496="",計分!$AP496=""),"",計分!$AP496-計分!P496)</f>
        <v/>
      </c>
      <c r="Q496">
        <f>IF(OR(計分!Q496="",計分!$AP496=""),"",計分!$AP496-計分!Q496)</f>
        <v/>
      </c>
      <c r="R496">
        <f>IF(OR(計分!R496="",計分!$AP496=""),"",計分!$AP496-計分!R496)</f>
        <v/>
      </c>
      <c r="S496">
        <f>IF(OR(計分!S496="",計分!$AP496=""),"",計分!$AP496-計分!S496)</f>
        <v/>
      </c>
      <c r="T496">
        <f>IF(OR(計分!T496="",計分!$AP496=""),"",計分!$AP496-計分!T496)</f>
        <v/>
      </c>
      <c r="U496">
        <f>IF(OR(計分!U496="",計分!$AP496=""),"",計分!$AP496-計分!U496)</f>
        <v/>
      </c>
      <c r="V496">
        <f>IF(OR(計分!V496="",計分!$AP496=""),"",計分!$AP496-計分!V496)</f>
        <v/>
      </c>
      <c r="W496">
        <f>IF(OR(計分!W496="",計分!$AP496=""),"",計分!$AP496-計分!W496)</f>
        <v/>
      </c>
      <c r="X496">
        <f>IF(OR(計分!X496="",計分!$AP496=""),"",計分!$AP496-計分!X496)</f>
        <v/>
      </c>
      <c r="Y496">
        <f>IF(OR(計分!Y496="",計分!$AP496=""),"",計分!$AP496-計分!Y496)</f>
        <v/>
      </c>
      <c r="Z496">
        <f>IF(OR(計分!Z496="",計分!$AP496=""),"",計分!$AP496-計分!Z496)</f>
        <v/>
      </c>
      <c r="AA496">
        <f>IF(OR(計分!AA496="",計分!$AP496=""),"",計分!$AP496-計分!AA496)</f>
        <v/>
      </c>
      <c r="AB496">
        <f>IF(OR(計分!AB496="",計分!$AP496=""),"",計分!$AP496-計分!AB496)</f>
        <v/>
      </c>
      <c r="AC496">
        <f>IF(OR(計分!AC496="",計分!$AP496=""),"",計分!$AP496-計分!AC496)</f>
        <v/>
      </c>
      <c r="AD496">
        <f>IF(OR(計分!AD496="",計分!$AP496=""),"",計分!$AP496-計分!AD496)</f>
        <v/>
      </c>
      <c r="AE496">
        <f>IF(OR(計分!AE496="",計分!$AP496=""),"",計分!$AP496-計分!AE496)</f>
        <v/>
      </c>
      <c r="AF496">
        <f>IF(OR(計分!AF496="",計分!$AP496=""),"",計分!$AP496-計分!AF496)</f>
        <v/>
      </c>
      <c r="AG496">
        <f>IF(OR(計分!AG496="",計分!$AP496=""),"",計分!$AP496-計分!AG496)</f>
        <v/>
      </c>
      <c r="AH496">
        <f>IF(OR(計分!AH496="",計分!$AP496=""),"",計分!$AP496-計分!AH496)</f>
        <v/>
      </c>
      <c r="AI496">
        <f>IF(OR(計分!AI496="",計分!$AP496=""),"",計分!$AP496-計分!AI496)</f>
        <v/>
      </c>
      <c r="AJ496">
        <f>IF(OR(計分!AJ496="",計分!$AP496=""),"",計分!$AP496-計分!AJ496)</f>
        <v/>
      </c>
      <c r="AK496">
        <f>IF(OR(計分!AK496="",計分!$AP496=""),"",計分!$AP496-計分!AK496)</f>
        <v/>
      </c>
      <c r="AL496">
        <f>IF(OR(計分!AL496="",計分!$AP496=""),"",計分!$AP496-計分!AL496)</f>
        <v/>
      </c>
      <c r="AM496">
        <f>IF(OR(計分!AM496="",計分!$AP496=""),"",計分!$AP496-計分!AM496)</f>
        <v/>
      </c>
      <c r="AN496">
        <f>IF(OR(計分!AN496="",計分!$AP496=""),"",計分!$AP496-計分!AN496)</f>
        <v/>
      </c>
      <c r="AO496">
        <f>IF(OR(計分!AO496="",計分!$AP496=""),"",計分!$AP496-計分!AO496)</f>
        <v/>
      </c>
    </row>
    <row r="497">
      <c r="A497">
        <f>計分!A497</f>
        <v/>
      </c>
      <c r="B497">
        <f>IF(OR(計分!B497="",計分!$AP497=""),"",計分!$AP497-計分!B497)</f>
        <v/>
      </c>
      <c r="C497">
        <f>IF(OR(計分!C497="",計分!$AP497=""),"",計分!$AP497-計分!C497)</f>
        <v/>
      </c>
      <c r="D497">
        <f>IF(OR(計分!D497="",計分!$AP497=""),"",計分!$AP497-計分!D497)</f>
        <v/>
      </c>
      <c r="E497">
        <f>IF(OR(計分!E497="",計分!$AP497=""),"",計分!$AP497-計分!E497)</f>
        <v/>
      </c>
      <c r="F497">
        <f>IF(OR(計分!F497="",計分!$AP497=""),"",計分!$AP497-計分!F497)</f>
        <v/>
      </c>
      <c r="G497">
        <f>IF(OR(計分!G497="",計分!$AP497=""),"",計分!$AP497-計分!G497)</f>
        <v/>
      </c>
      <c r="H497">
        <f>IF(OR(計分!H497="",計分!$AP497=""),"",計分!$AP497-計分!H497)</f>
        <v/>
      </c>
      <c r="I497">
        <f>IF(OR(計分!I497="",計分!$AP497=""),"",計分!$AP497-計分!I497)</f>
        <v/>
      </c>
      <c r="J497">
        <f>IF(OR(計分!J497="",計分!$AP497=""),"",計分!$AP497-計分!J497)</f>
        <v/>
      </c>
      <c r="K497">
        <f>IF(OR(計分!K497="",計分!$AP497=""),"",計分!$AP497-計分!K497)</f>
        <v/>
      </c>
      <c r="L497">
        <f>IF(OR(計分!L497="",計分!$AP497=""),"",計分!$AP497-計分!L497)</f>
        <v/>
      </c>
      <c r="M497">
        <f>IF(OR(計分!M497="",計分!$AP497=""),"",計分!$AP497-計分!M497)</f>
        <v/>
      </c>
      <c r="N497">
        <f>IF(OR(計分!N497="",計分!$AP497=""),"",計分!$AP497-計分!N497)</f>
        <v/>
      </c>
      <c r="O497">
        <f>IF(OR(計分!O497="",計分!$AP497=""),"",計分!$AP497-計分!O497)</f>
        <v/>
      </c>
      <c r="P497">
        <f>IF(OR(計分!P497="",計分!$AP497=""),"",計分!$AP497-計分!P497)</f>
        <v/>
      </c>
      <c r="Q497">
        <f>IF(OR(計分!Q497="",計分!$AP497=""),"",計分!$AP497-計分!Q497)</f>
        <v/>
      </c>
      <c r="R497">
        <f>IF(OR(計分!R497="",計分!$AP497=""),"",計分!$AP497-計分!R497)</f>
        <v/>
      </c>
      <c r="S497">
        <f>IF(OR(計分!S497="",計分!$AP497=""),"",計分!$AP497-計分!S497)</f>
        <v/>
      </c>
      <c r="T497">
        <f>IF(OR(計分!T497="",計分!$AP497=""),"",計分!$AP497-計分!T497)</f>
        <v/>
      </c>
      <c r="U497">
        <f>IF(OR(計分!U497="",計分!$AP497=""),"",計分!$AP497-計分!U497)</f>
        <v/>
      </c>
      <c r="V497">
        <f>IF(OR(計分!V497="",計分!$AP497=""),"",計分!$AP497-計分!V497)</f>
        <v/>
      </c>
      <c r="W497">
        <f>IF(OR(計分!W497="",計分!$AP497=""),"",計分!$AP497-計分!W497)</f>
        <v/>
      </c>
      <c r="X497">
        <f>IF(OR(計分!X497="",計分!$AP497=""),"",計分!$AP497-計分!X497)</f>
        <v/>
      </c>
      <c r="Y497">
        <f>IF(OR(計分!Y497="",計分!$AP497=""),"",計分!$AP497-計分!Y497)</f>
        <v/>
      </c>
      <c r="Z497">
        <f>IF(OR(計分!Z497="",計分!$AP497=""),"",計分!$AP497-計分!Z497)</f>
        <v/>
      </c>
      <c r="AA497">
        <f>IF(OR(計分!AA497="",計分!$AP497=""),"",計分!$AP497-計分!AA497)</f>
        <v/>
      </c>
      <c r="AB497">
        <f>IF(OR(計分!AB497="",計分!$AP497=""),"",計分!$AP497-計分!AB497)</f>
        <v/>
      </c>
      <c r="AC497">
        <f>IF(OR(計分!AC497="",計分!$AP497=""),"",計分!$AP497-計分!AC497)</f>
        <v/>
      </c>
      <c r="AD497">
        <f>IF(OR(計分!AD497="",計分!$AP497=""),"",計分!$AP497-計分!AD497)</f>
        <v/>
      </c>
      <c r="AE497">
        <f>IF(OR(計分!AE497="",計分!$AP497=""),"",計分!$AP497-計分!AE497)</f>
        <v/>
      </c>
      <c r="AF497">
        <f>IF(OR(計分!AF497="",計分!$AP497=""),"",計分!$AP497-計分!AF497)</f>
        <v/>
      </c>
      <c r="AG497">
        <f>IF(OR(計分!AG497="",計分!$AP497=""),"",計分!$AP497-計分!AG497)</f>
        <v/>
      </c>
      <c r="AH497">
        <f>IF(OR(計分!AH497="",計分!$AP497=""),"",計分!$AP497-計分!AH497)</f>
        <v/>
      </c>
      <c r="AI497">
        <f>IF(OR(計分!AI497="",計分!$AP497=""),"",計分!$AP497-計分!AI497)</f>
        <v/>
      </c>
      <c r="AJ497">
        <f>IF(OR(計分!AJ497="",計分!$AP497=""),"",計分!$AP497-計分!AJ497)</f>
        <v/>
      </c>
      <c r="AK497">
        <f>IF(OR(計分!AK497="",計分!$AP497=""),"",計分!$AP497-計分!AK497)</f>
        <v/>
      </c>
      <c r="AL497">
        <f>IF(OR(計分!AL497="",計分!$AP497=""),"",計分!$AP497-計分!AL497)</f>
        <v/>
      </c>
      <c r="AM497">
        <f>IF(OR(計分!AM497="",計分!$AP497=""),"",計分!$AP497-計分!AM497)</f>
        <v/>
      </c>
      <c r="AN497">
        <f>IF(OR(計分!AN497="",計分!$AP497=""),"",計分!$AP497-計分!AN497)</f>
        <v/>
      </c>
      <c r="AO497">
        <f>IF(OR(計分!AO497="",計分!$AP497=""),"",計分!$AP497-計分!AO497)</f>
        <v/>
      </c>
    </row>
    <row r="498">
      <c r="A498">
        <f>計分!A498</f>
        <v/>
      </c>
      <c r="B498">
        <f>IF(OR(計分!B498="",計分!$AP498=""),"",計分!$AP498-計分!B498)</f>
        <v/>
      </c>
      <c r="C498">
        <f>IF(OR(計分!C498="",計分!$AP498=""),"",計分!$AP498-計分!C498)</f>
        <v/>
      </c>
      <c r="D498">
        <f>IF(OR(計分!D498="",計分!$AP498=""),"",計分!$AP498-計分!D498)</f>
        <v/>
      </c>
      <c r="E498">
        <f>IF(OR(計分!E498="",計分!$AP498=""),"",計分!$AP498-計分!E498)</f>
        <v/>
      </c>
      <c r="F498">
        <f>IF(OR(計分!F498="",計分!$AP498=""),"",計分!$AP498-計分!F498)</f>
        <v/>
      </c>
      <c r="G498">
        <f>IF(OR(計分!G498="",計分!$AP498=""),"",計分!$AP498-計分!G498)</f>
        <v/>
      </c>
      <c r="H498">
        <f>IF(OR(計分!H498="",計分!$AP498=""),"",計分!$AP498-計分!H498)</f>
        <v/>
      </c>
      <c r="I498">
        <f>IF(OR(計分!I498="",計分!$AP498=""),"",計分!$AP498-計分!I498)</f>
        <v/>
      </c>
      <c r="J498">
        <f>IF(OR(計分!J498="",計分!$AP498=""),"",計分!$AP498-計分!J498)</f>
        <v/>
      </c>
      <c r="K498">
        <f>IF(OR(計分!K498="",計分!$AP498=""),"",計分!$AP498-計分!K498)</f>
        <v/>
      </c>
      <c r="L498">
        <f>IF(OR(計分!L498="",計分!$AP498=""),"",計分!$AP498-計分!L498)</f>
        <v/>
      </c>
      <c r="M498">
        <f>IF(OR(計分!M498="",計分!$AP498=""),"",計分!$AP498-計分!M498)</f>
        <v/>
      </c>
      <c r="N498">
        <f>IF(OR(計分!N498="",計分!$AP498=""),"",計分!$AP498-計分!N498)</f>
        <v/>
      </c>
      <c r="O498">
        <f>IF(OR(計分!O498="",計分!$AP498=""),"",計分!$AP498-計分!O498)</f>
        <v/>
      </c>
      <c r="P498">
        <f>IF(OR(計分!P498="",計分!$AP498=""),"",計分!$AP498-計分!P498)</f>
        <v/>
      </c>
      <c r="Q498">
        <f>IF(OR(計分!Q498="",計分!$AP498=""),"",計分!$AP498-計分!Q498)</f>
        <v/>
      </c>
      <c r="R498">
        <f>IF(OR(計分!R498="",計分!$AP498=""),"",計分!$AP498-計分!R498)</f>
        <v/>
      </c>
      <c r="S498">
        <f>IF(OR(計分!S498="",計分!$AP498=""),"",計分!$AP498-計分!S498)</f>
        <v/>
      </c>
      <c r="T498">
        <f>IF(OR(計分!T498="",計分!$AP498=""),"",計分!$AP498-計分!T498)</f>
        <v/>
      </c>
      <c r="U498">
        <f>IF(OR(計分!U498="",計分!$AP498=""),"",計分!$AP498-計分!U498)</f>
        <v/>
      </c>
      <c r="V498">
        <f>IF(OR(計分!V498="",計分!$AP498=""),"",計分!$AP498-計分!V498)</f>
        <v/>
      </c>
      <c r="W498">
        <f>IF(OR(計分!W498="",計分!$AP498=""),"",計分!$AP498-計分!W498)</f>
        <v/>
      </c>
      <c r="X498">
        <f>IF(OR(計分!X498="",計分!$AP498=""),"",計分!$AP498-計分!X498)</f>
        <v/>
      </c>
      <c r="Y498">
        <f>IF(OR(計分!Y498="",計分!$AP498=""),"",計分!$AP498-計分!Y498)</f>
        <v/>
      </c>
      <c r="Z498">
        <f>IF(OR(計分!Z498="",計分!$AP498=""),"",計分!$AP498-計分!Z498)</f>
        <v/>
      </c>
      <c r="AA498">
        <f>IF(OR(計分!AA498="",計分!$AP498=""),"",計分!$AP498-計分!AA498)</f>
        <v/>
      </c>
      <c r="AB498">
        <f>IF(OR(計分!AB498="",計分!$AP498=""),"",計分!$AP498-計分!AB498)</f>
        <v/>
      </c>
      <c r="AC498">
        <f>IF(OR(計分!AC498="",計分!$AP498=""),"",計分!$AP498-計分!AC498)</f>
        <v/>
      </c>
      <c r="AD498">
        <f>IF(OR(計分!AD498="",計分!$AP498=""),"",計分!$AP498-計分!AD498)</f>
        <v/>
      </c>
      <c r="AE498">
        <f>IF(OR(計分!AE498="",計分!$AP498=""),"",計分!$AP498-計分!AE498)</f>
        <v/>
      </c>
      <c r="AF498">
        <f>IF(OR(計分!AF498="",計分!$AP498=""),"",計分!$AP498-計分!AF498)</f>
        <v/>
      </c>
      <c r="AG498">
        <f>IF(OR(計分!AG498="",計分!$AP498=""),"",計分!$AP498-計分!AG498)</f>
        <v/>
      </c>
      <c r="AH498">
        <f>IF(OR(計分!AH498="",計分!$AP498=""),"",計分!$AP498-計分!AH498)</f>
        <v/>
      </c>
      <c r="AI498">
        <f>IF(OR(計分!AI498="",計分!$AP498=""),"",計分!$AP498-計分!AI498)</f>
        <v/>
      </c>
      <c r="AJ498">
        <f>IF(OR(計分!AJ498="",計分!$AP498=""),"",計分!$AP498-計分!AJ498)</f>
        <v/>
      </c>
      <c r="AK498">
        <f>IF(OR(計分!AK498="",計分!$AP498=""),"",計分!$AP498-計分!AK498)</f>
        <v/>
      </c>
      <c r="AL498">
        <f>IF(OR(計分!AL498="",計分!$AP498=""),"",計分!$AP498-計分!AL498)</f>
        <v/>
      </c>
      <c r="AM498">
        <f>IF(OR(計分!AM498="",計分!$AP498=""),"",計分!$AP498-計分!AM498)</f>
        <v/>
      </c>
      <c r="AN498">
        <f>IF(OR(計分!AN498="",計分!$AP498=""),"",計分!$AP498-計分!AN498)</f>
        <v/>
      </c>
      <c r="AO498">
        <f>IF(OR(計分!AO498="",計分!$AP498=""),"",計分!$AP498-計分!AO498)</f>
        <v/>
      </c>
    </row>
    <row r="499">
      <c r="A499">
        <f>計分!A499</f>
        <v/>
      </c>
      <c r="B499">
        <f>IF(OR(計分!B499="",計分!$AP499=""),"",計分!$AP499-計分!B499)</f>
        <v/>
      </c>
      <c r="C499">
        <f>IF(OR(計分!C499="",計分!$AP499=""),"",計分!$AP499-計分!C499)</f>
        <v/>
      </c>
      <c r="D499">
        <f>IF(OR(計分!D499="",計分!$AP499=""),"",計分!$AP499-計分!D499)</f>
        <v/>
      </c>
      <c r="E499">
        <f>IF(OR(計分!E499="",計分!$AP499=""),"",計分!$AP499-計分!E499)</f>
        <v/>
      </c>
      <c r="F499">
        <f>IF(OR(計分!F499="",計分!$AP499=""),"",計分!$AP499-計分!F499)</f>
        <v/>
      </c>
      <c r="G499">
        <f>IF(OR(計分!G499="",計分!$AP499=""),"",計分!$AP499-計分!G499)</f>
        <v/>
      </c>
      <c r="H499">
        <f>IF(OR(計分!H499="",計分!$AP499=""),"",計分!$AP499-計分!H499)</f>
        <v/>
      </c>
      <c r="I499">
        <f>IF(OR(計分!I499="",計分!$AP499=""),"",計分!$AP499-計分!I499)</f>
        <v/>
      </c>
      <c r="J499">
        <f>IF(OR(計分!J499="",計分!$AP499=""),"",計分!$AP499-計分!J499)</f>
        <v/>
      </c>
      <c r="K499">
        <f>IF(OR(計分!K499="",計分!$AP499=""),"",計分!$AP499-計分!K499)</f>
        <v/>
      </c>
      <c r="L499">
        <f>IF(OR(計分!L499="",計分!$AP499=""),"",計分!$AP499-計分!L499)</f>
        <v/>
      </c>
      <c r="M499">
        <f>IF(OR(計分!M499="",計分!$AP499=""),"",計分!$AP499-計分!M499)</f>
        <v/>
      </c>
      <c r="N499">
        <f>IF(OR(計分!N499="",計分!$AP499=""),"",計分!$AP499-計分!N499)</f>
        <v/>
      </c>
      <c r="O499">
        <f>IF(OR(計分!O499="",計分!$AP499=""),"",計分!$AP499-計分!O499)</f>
        <v/>
      </c>
      <c r="P499">
        <f>IF(OR(計分!P499="",計分!$AP499=""),"",計分!$AP499-計分!P499)</f>
        <v/>
      </c>
      <c r="Q499">
        <f>IF(OR(計分!Q499="",計分!$AP499=""),"",計分!$AP499-計分!Q499)</f>
        <v/>
      </c>
      <c r="R499">
        <f>IF(OR(計分!R499="",計分!$AP499=""),"",計分!$AP499-計分!R499)</f>
        <v/>
      </c>
      <c r="S499">
        <f>IF(OR(計分!S499="",計分!$AP499=""),"",計分!$AP499-計分!S499)</f>
        <v/>
      </c>
      <c r="T499">
        <f>IF(OR(計分!T499="",計分!$AP499=""),"",計分!$AP499-計分!T499)</f>
        <v/>
      </c>
      <c r="U499">
        <f>IF(OR(計分!U499="",計分!$AP499=""),"",計分!$AP499-計分!U499)</f>
        <v/>
      </c>
      <c r="V499">
        <f>IF(OR(計分!V499="",計分!$AP499=""),"",計分!$AP499-計分!V499)</f>
        <v/>
      </c>
      <c r="W499">
        <f>IF(OR(計分!W499="",計分!$AP499=""),"",計分!$AP499-計分!W499)</f>
        <v/>
      </c>
      <c r="X499">
        <f>IF(OR(計分!X499="",計分!$AP499=""),"",計分!$AP499-計分!X499)</f>
        <v/>
      </c>
      <c r="Y499">
        <f>IF(OR(計分!Y499="",計分!$AP499=""),"",計分!$AP499-計分!Y499)</f>
        <v/>
      </c>
      <c r="Z499">
        <f>IF(OR(計分!Z499="",計分!$AP499=""),"",計分!$AP499-計分!Z499)</f>
        <v/>
      </c>
      <c r="AA499">
        <f>IF(OR(計分!AA499="",計分!$AP499=""),"",計分!$AP499-計分!AA499)</f>
        <v/>
      </c>
      <c r="AB499">
        <f>IF(OR(計分!AB499="",計分!$AP499=""),"",計分!$AP499-計分!AB499)</f>
        <v/>
      </c>
      <c r="AC499">
        <f>IF(OR(計分!AC499="",計分!$AP499=""),"",計分!$AP499-計分!AC499)</f>
        <v/>
      </c>
      <c r="AD499">
        <f>IF(OR(計分!AD499="",計分!$AP499=""),"",計分!$AP499-計分!AD499)</f>
        <v/>
      </c>
      <c r="AE499">
        <f>IF(OR(計分!AE499="",計分!$AP499=""),"",計分!$AP499-計分!AE499)</f>
        <v/>
      </c>
      <c r="AF499">
        <f>IF(OR(計分!AF499="",計分!$AP499=""),"",計分!$AP499-計分!AF499)</f>
        <v/>
      </c>
      <c r="AG499">
        <f>IF(OR(計分!AG499="",計分!$AP499=""),"",計分!$AP499-計分!AG499)</f>
        <v/>
      </c>
      <c r="AH499">
        <f>IF(OR(計分!AH499="",計分!$AP499=""),"",計分!$AP499-計分!AH499)</f>
        <v/>
      </c>
      <c r="AI499">
        <f>IF(OR(計分!AI499="",計分!$AP499=""),"",計分!$AP499-計分!AI499)</f>
        <v/>
      </c>
      <c r="AJ499">
        <f>IF(OR(計分!AJ499="",計分!$AP499=""),"",計分!$AP499-計分!AJ499)</f>
        <v/>
      </c>
      <c r="AK499">
        <f>IF(OR(計分!AK499="",計分!$AP499=""),"",計分!$AP499-計分!AK499)</f>
        <v/>
      </c>
      <c r="AL499">
        <f>IF(OR(計分!AL499="",計分!$AP499=""),"",計分!$AP499-計分!AL499)</f>
        <v/>
      </c>
      <c r="AM499">
        <f>IF(OR(計分!AM499="",計分!$AP499=""),"",計分!$AP499-計分!AM499)</f>
        <v/>
      </c>
      <c r="AN499">
        <f>IF(OR(計分!AN499="",計分!$AP499=""),"",計分!$AP499-計分!AN499)</f>
        <v/>
      </c>
      <c r="AO499">
        <f>IF(OR(計分!AO499="",計分!$AP499=""),"",計分!$AP499-計分!AO499)</f>
        <v/>
      </c>
    </row>
    <row r="500">
      <c r="A500">
        <f>計分!A500</f>
        <v/>
      </c>
      <c r="B500">
        <f>IF(OR(計分!B500="",計分!$AP500=""),"",計分!$AP500-計分!B500)</f>
        <v/>
      </c>
      <c r="C500">
        <f>IF(OR(計分!C500="",計分!$AP500=""),"",計分!$AP500-計分!C500)</f>
        <v/>
      </c>
      <c r="D500">
        <f>IF(OR(計分!D500="",計分!$AP500=""),"",計分!$AP500-計分!D500)</f>
        <v/>
      </c>
      <c r="E500">
        <f>IF(OR(計分!E500="",計分!$AP500=""),"",計分!$AP500-計分!E500)</f>
        <v/>
      </c>
      <c r="F500">
        <f>IF(OR(計分!F500="",計分!$AP500=""),"",計分!$AP500-計分!F500)</f>
        <v/>
      </c>
      <c r="G500">
        <f>IF(OR(計分!G500="",計分!$AP500=""),"",計分!$AP500-計分!G500)</f>
        <v/>
      </c>
      <c r="H500">
        <f>IF(OR(計分!H500="",計分!$AP500=""),"",計分!$AP500-計分!H500)</f>
        <v/>
      </c>
      <c r="I500">
        <f>IF(OR(計分!I500="",計分!$AP500=""),"",計分!$AP500-計分!I500)</f>
        <v/>
      </c>
      <c r="J500">
        <f>IF(OR(計分!J500="",計分!$AP500=""),"",計分!$AP500-計分!J500)</f>
        <v/>
      </c>
      <c r="K500">
        <f>IF(OR(計分!K500="",計分!$AP500=""),"",計分!$AP500-計分!K500)</f>
        <v/>
      </c>
      <c r="L500">
        <f>IF(OR(計分!L500="",計分!$AP500=""),"",計分!$AP500-計分!L500)</f>
        <v/>
      </c>
      <c r="M500">
        <f>IF(OR(計分!M500="",計分!$AP500=""),"",計分!$AP500-計分!M500)</f>
        <v/>
      </c>
      <c r="N500">
        <f>IF(OR(計分!N500="",計分!$AP500=""),"",計分!$AP500-計分!N500)</f>
        <v/>
      </c>
      <c r="O500">
        <f>IF(OR(計分!O500="",計分!$AP500=""),"",計分!$AP500-計分!O500)</f>
        <v/>
      </c>
      <c r="P500">
        <f>IF(OR(計分!P500="",計分!$AP500=""),"",計分!$AP500-計分!P500)</f>
        <v/>
      </c>
      <c r="Q500">
        <f>IF(OR(計分!Q500="",計分!$AP500=""),"",計分!$AP500-計分!Q500)</f>
        <v/>
      </c>
      <c r="R500">
        <f>IF(OR(計分!R500="",計分!$AP500=""),"",計分!$AP500-計分!R500)</f>
        <v/>
      </c>
      <c r="S500">
        <f>IF(OR(計分!S500="",計分!$AP500=""),"",計分!$AP500-計分!S500)</f>
        <v/>
      </c>
      <c r="T500">
        <f>IF(OR(計分!T500="",計分!$AP500=""),"",計分!$AP500-計分!T500)</f>
        <v/>
      </c>
      <c r="U500">
        <f>IF(OR(計分!U500="",計分!$AP500=""),"",計分!$AP500-計分!U500)</f>
        <v/>
      </c>
      <c r="V500">
        <f>IF(OR(計分!V500="",計分!$AP500=""),"",計分!$AP500-計分!V500)</f>
        <v/>
      </c>
      <c r="W500">
        <f>IF(OR(計分!W500="",計分!$AP500=""),"",計分!$AP500-計分!W500)</f>
        <v/>
      </c>
      <c r="X500">
        <f>IF(OR(計分!X500="",計分!$AP500=""),"",計分!$AP500-計分!X500)</f>
        <v/>
      </c>
      <c r="Y500">
        <f>IF(OR(計分!Y500="",計分!$AP500=""),"",計分!$AP500-計分!Y500)</f>
        <v/>
      </c>
      <c r="Z500">
        <f>IF(OR(計分!Z500="",計分!$AP500=""),"",計分!$AP500-計分!Z500)</f>
        <v/>
      </c>
      <c r="AA500">
        <f>IF(OR(計分!AA500="",計分!$AP500=""),"",計分!$AP500-計分!AA500)</f>
        <v/>
      </c>
      <c r="AB500">
        <f>IF(OR(計分!AB500="",計分!$AP500=""),"",計分!$AP500-計分!AB500)</f>
        <v/>
      </c>
      <c r="AC500">
        <f>IF(OR(計分!AC500="",計分!$AP500=""),"",計分!$AP500-計分!AC500)</f>
        <v/>
      </c>
      <c r="AD500">
        <f>IF(OR(計分!AD500="",計分!$AP500=""),"",計分!$AP500-計分!AD500)</f>
        <v/>
      </c>
      <c r="AE500">
        <f>IF(OR(計分!AE500="",計分!$AP500=""),"",計分!$AP500-計分!AE500)</f>
        <v/>
      </c>
      <c r="AF500">
        <f>IF(OR(計分!AF500="",計分!$AP500=""),"",計分!$AP500-計分!AF500)</f>
        <v/>
      </c>
      <c r="AG500">
        <f>IF(OR(計分!AG500="",計分!$AP500=""),"",計分!$AP500-計分!AG500)</f>
        <v/>
      </c>
      <c r="AH500">
        <f>IF(OR(計分!AH500="",計分!$AP500=""),"",計分!$AP500-計分!AH500)</f>
        <v/>
      </c>
      <c r="AI500">
        <f>IF(OR(計分!AI500="",計分!$AP500=""),"",計分!$AP500-計分!AI500)</f>
        <v/>
      </c>
      <c r="AJ500">
        <f>IF(OR(計分!AJ500="",計分!$AP500=""),"",計分!$AP500-計分!AJ500)</f>
        <v/>
      </c>
      <c r="AK500">
        <f>IF(OR(計分!AK500="",計分!$AP500=""),"",計分!$AP500-計分!AK500)</f>
        <v/>
      </c>
      <c r="AL500">
        <f>IF(OR(計分!AL500="",計分!$AP500=""),"",計分!$AP500-計分!AL500)</f>
        <v/>
      </c>
      <c r="AM500">
        <f>IF(OR(計分!AM500="",計分!$AP500=""),"",計分!$AP500-計分!AM500)</f>
        <v/>
      </c>
      <c r="AN500">
        <f>IF(OR(計分!AN500="",計分!$AP500=""),"",計分!$AP500-計分!AN500)</f>
        <v/>
      </c>
      <c r="AO500">
        <f>IF(OR(計分!AO500="",計分!$AP500=""),"",計分!$AP500-計分!AO500)</f>
        <v/>
      </c>
    </row>
    <row r="501">
      <c r="A501">
        <f>計分!A501</f>
        <v/>
      </c>
      <c r="B501">
        <f>IF(OR(計分!B501="",計分!$AP501=""),"",計分!$AP501-計分!B501)</f>
        <v/>
      </c>
      <c r="C501">
        <f>IF(OR(計分!C501="",計分!$AP501=""),"",計分!$AP501-計分!C501)</f>
        <v/>
      </c>
      <c r="D501">
        <f>IF(OR(計分!D501="",計分!$AP501=""),"",計分!$AP501-計分!D501)</f>
        <v/>
      </c>
      <c r="E501">
        <f>IF(OR(計分!E501="",計分!$AP501=""),"",計分!$AP501-計分!E501)</f>
        <v/>
      </c>
      <c r="F501">
        <f>IF(OR(計分!F501="",計分!$AP501=""),"",計分!$AP501-計分!F501)</f>
        <v/>
      </c>
      <c r="G501">
        <f>IF(OR(計分!G501="",計分!$AP501=""),"",計分!$AP501-計分!G501)</f>
        <v/>
      </c>
      <c r="H501">
        <f>IF(OR(計分!H501="",計分!$AP501=""),"",計分!$AP501-計分!H501)</f>
        <v/>
      </c>
      <c r="I501">
        <f>IF(OR(計分!I501="",計分!$AP501=""),"",計分!$AP501-計分!I501)</f>
        <v/>
      </c>
      <c r="J501">
        <f>IF(OR(計分!J501="",計分!$AP501=""),"",計分!$AP501-計分!J501)</f>
        <v/>
      </c>
      <c r="K501">
        <f>IF(OR(計分!K501="",計分!$AP501=""),"",計分!$AP501-計分!K501)</f>
        <v/>
      </c>
      <c r="L501">
        <f>IF(OR(計分!L501="",計分!$AP501=""),"",計分!$AP501-計分!L501)</f>
        <v/>
      </c>
      <c r="M501">
        <f>IF(OR(計分!M501="",計分!$AP501=""),"",計分!$AP501-計分!M501)</f>
        <v/>
      </c>
      <c r="N501">
        <f>IF(OR(計分!N501="",計分!$AP501=""),"",計分!$AP501-計分!N501)</f>
        <v/>
      </c>
      <c r="O501">
        <f>IF(OR(計分!O501="",計分!$AP501=""),"",計分!$AP501-計分!O501)</f>
        <v/>
      </c>
      <c r="P501">
        <f>IF(OR(計分!P501="",計分!$AP501=""),"",計分!$AP501-計分!P501)</f>
        <v/>
      </c>
      <c r="Q501">
        <f>IF(OR(計分!Q501="",計分!$AP501=""),"",計分!$AP501-計分!Q501)</f>
        <v/>
      </c>
      <c r="R501">
        <f>IF(OR(計分!R501="",計分!$AP501=""),"",計分!$AP501-計分!R501)</f>
        <v/>
      </c>
      <c r="S501">
        <f>IF(OR(計分!S501="",計分!$AP501=""),"",計分!$AP501-計分!S501)</f>
        <v/>
      </c>
      <c r="T501">
        <f>IF(OR(計分!T501="",計分!$AP501=""),"",計分!$AP501-計分!T501)</f>
        <v/>
      </c>
      <c r="U501">
        <f>IF(OR(計分!U501="",計分!$AP501=""),"",計分!$AP501-計分!U501)</f>
        <v/>
      </c>
      <c r="V501">
        <f>IF(OR(計分!V501="",計分!$AP501=""),"",計分!$AP501-計分!V501)</f>
        <v/>
      </c>
      <c r="W501">
        <f>IF(OR(計分!W501="",計分!$AP501=""),"",計分!$AP501-計分!W501)</f>
        <v/>
      </c>
      <c r="X501">
        <f>IF(OR(計分!X501="",計分!$AP501=""),"",計分!$AP501-計分!X501)</f>
        <v/>
      </c>
      <c r="Y501">
        <f>IF(OR(計分!Y501="",計分!$AP501=""),"",計分!$AP501-計分!Y501)</f>
        <v/>
      </c>
      <c r="Z501">
        <f>IF(OR(計分!Z501="",計分!$AP501=""),"",計分!$AP501-計分!Z501)</f>
        <v/>
      </c>
      <c r="AA501">
        <f>IF(OR(計分!AA501="",計分!$AP501=""),"",計分!$AP501-計分!AA501)</f>
        <v/>
      </c>
      <c r="AB501">
        <f>IF(OR(計分!AB501="",計分!$AP501=""),"",計分!$AP501-計分!AB501)</f>
        <v/>
      </c>
      <c r="AC501">
        <f>IF(OR(計分!AC501="",計分!$AP501=""),"",計分!$AP501-計分!AC501)</f>
        <v/>
      </c>
      <c r="AD501">
        <f>IF(OR(計分!AD501="",計分!$AP501=""),"",計分!$AP501-計分!AD501)</f>
        <v/>
      </c>
      <c r="AE501">
        <f>IF(OR(計分!AE501="",計分!$AP501=""),"",計分!$AP501-計分!AE501)</f>
        <v/>
      </c>
      <c r="AF501">
        <f>IF(OR(計分!AF501="",計分!$AP501=""),"",計分!$AP501-計分!AF501)</f>
        <v/>
      </c>
      <c r="AG501">
        <f>IF(OR(計分!AG501="",計分!$AP501=""),"",計分!$AP501-計分!AG501)</f>
        <v/>
      </c>
      <c r="AH501">
        <f>IF(OR(計分!AH501="",計分!$AP501=""),"",計分!$AP501-計分!AH501)</f>
        <v/>
      </c>
      <c r="AI501">
        <f>IF(OR(計分!AI501="",計分!$AP501=""),"",計分!$AP501-計分!AI501)</f>
        <v/>
      </c>
      <c r="AJ501">
        <f>IF(OR(計分!AJ501="",計分!$AP501=""),"",計分!$AP501-計分!AJ501)</f>
        <v/>
      </c>
      <c r="AK501">
        <f>IF(OR(計分!AK501="",計分!$AP501=""),"",計分!$AP501-計分!AK501)</f>
        <v/>
      </c>
      <c r="AL501">
        <f>IF(OR(計分!AL501="",計分!$AP501=""),"",計分!$AP501-計分!AL501)</f>
        <v/>
      </c>
      <c r="AM501">
        <f>IF(OR(計分!AM501="",計分!$AP501=""),"",計分!$AP501-計分!AM501)</f>
        <v/>
      </c>
      <c r="AN501">
        <f>IF(OR(計分!AN501="",計分!$AP501=""),"",計分!$AP501-計分!AN501)</f>
        <v/>
      </c>
      <c r="AO501">
        <f>IF(OR(計分!AO501="",計分!$AP501=""),"",計分!$AP501-計分!AO501)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01"/>
  <sheetViews>
    <sheetView workbookViewId="0">
      <selection activeCell="A1" sqref="A1"/>
    </sheetView>
  </sheetViews>
  <sheetFormatPr baseColWidth="8" defaultRowHeight="15"/>
  <sheetData>
    <row r="1">
      <c r="B1">
        <f>計分!B1</f>
        <v/>
      </c>
      <c r="C1">
        <f>計分!C1</f>
        <v/>
      </c>
      <c r="D1">
        <f>計分!D1</f>
        <v/>
      </c>
      <c r="E1">
        <f>計分!E1</f>
        <v/>
      </c>
      <c r="F1">
        <f>計分!F1</f>
        <v/>
      </c>
      <c r="G1">
        <f>計分!G1</f>
        <v/>
      </c>
      <c r="H1">
        <f>計分!H1</f>
        <v/>
      </c>
      <c r="I1">
        <f>計分!I1</f>
        <v/>
      </c>
      <c r="J1">
        <f>計分!J1</f>
        <v/>
      </c>
      <c r="K1">
        <f>計分!K1</f>
        <v/>
      </c>
      <c r="L1">
        <f>計分!L1</f>
        <v/>
      </c>
      <c r="M1">
        <f>計分!M1</f>
        <v/>
      </c>
      <c r="N1">
        <f>計分!N1</f>
        <v/>
      </c>
      <c r="O1">
        <f>計分!O1</f>
        <v/>
      </c>
      <c r="P1">
        <f>計分!P1</f>
        <v/>
      </c>
      <c r="Q1">
        <f>計分!Q1</f>
        <v/>
      </c>
      <c r="R1">
        <f>計分!R1</f>
        <v/>
      </c>
      <c r="S1">
        <f>計分!S1</f>
        <v/>
      </c>
      <c r="T1">
        <f>計分!T1</f>
        <v/>
      </c>
      <c r="U1">
        <f>計分!U1</f>
        <v/>
      </c>
      <c r="V1">
        <f>計分!V1</f>
        <v/>
      </c>
      <c r="W1">
        <f>計分!W1</f>
        <v/>
      </c>
      <c r="X1">
        <f>計分!X1</f>
        <v/>
      </c>
      <c r="Y1">
        <f>計分!Y1</f>
        <v/>
      </c>
      <c r="Z1">
        <f>計分!Z1</f>
        <v/>
      </c>
      <c r="AA1">
        <f>計分!AA1</f>
        <v/>
      </c>
      <c r="AB1">
        <f>計分!AB1</f>
        <v/>
      </c>
      <c r="AC1">
        <f>計分!AC1</f>
        <v/>
      </c>
      <c r="AD1">
        <f>計分!AD1</f>
        <v/>
      </c>
      <c r="AE1">
        <f>計分!AE1</f>
        <v/>
      </c>
      <c r="AF1">
        <f>計分!AF1</f>
        <v/>
      </c>
      <c r="AG1">
        <f>計分!AG1</f>
        <v/>
      </c>
      <c r="AH1">
        <f>計分!AH1</f>
        <v/>
      </c>
      <c r="AI1">
        <f>計分!AI1</f>
        <v/>
      </c>
      <c r="AJ1">
        <f>計分!AJ1</f>
        <v/>
      </c>
      <c r="AK1">
        <f>計分!AK1</f>
        <v/>
      </c>
      <c r="AL1">
        <f>計分!AL1</f>
        <v/>
      </c>
      <c r="AM1">
        <f>計分!AM1</f>
        <v/>
      </c>
      <c r="AN1">
        <f>計分!AN1</f>
        <v/>
      </c>
      <c r="AO1">
        <f>計分!AO1</f>
        <v/>
      </c>
    </row>
    <row r="2">
      <c r="B2">
        <f>IF(計分!B2="","",計分!B2^2)</f>
        <v/>
      </c>
      <c r="C2">
        <f>IF(計分!C2="","",計分!C2^2)</f>
        <v/>
      </c>
      <c r="D2">
        <f>IF(計分!D2="","",計分!D2^2)</f>
        <v/>
      </c>
      <c r="E2">
        <f>IF(計分!E2="","",計分!E2^2)</f>
        <v/>
      </c>
      <c r="F2">
        <f>IF(計分!F2="","",計分!F2^2)</f>
        <v/>
      </c>
      <c r="G2">
        <f>IF(計分!G2="","",計分!G2^2)</f>
        <v/>
      </c>
      <c r="H2">
        <f>IF(計分!H2="","",計分!H2^2)</f>
        <v/>
      </c>
      <c r="I2">
        <f>IF(計分!I2="","",計分!I2^2)</f>
        <v/>
      </c>
      <c r="J2">
        <f>IF(計分!J2="","",計分!J2^2)</f>
        <v/>
      </c>
      <c r="K2">
        <f>IF(計分!K2="","",計分!K2^2)</f>
        <v/>
      </c>
      <c r="L2">
        <f>IF(計分!L2="","",計分!L2^2)</f>
        <v/>
      </c>
      <c r="M2">
        <f>IF(計分!M2="","",計分!M2^2)</f>
        <v/>
      </c>
      <c r="N2">
        <f>IF(計分!N2="","",計分!N2^2)</f>
        <v/>
      </c>
      <c r="O2">
        <f>IF(計分!O2="","",計分!O2^2)</f>
        <v/>
      </c>
      <c r="P2">
        <f>IF(計分!P2="","",計分!P2^2)</f>
        <v/>
      </c>
      <c r="Q2">
        <f>IF(計分!Q2="","",計分!Q2^2)</f>
        <v/>
      </c>
      <c r="R2">
        <f>IF(計分!R2="","",計分!R2^2)</f>
        <v/>
      </c>
      <c r="S2">
        <f>IF(計分!S2="","",計分!S2^2)</f>
        <v/>
      </c>
      <c r="T2">
        <f>IF(計分!T2="","",計分!T2^2)</f>
        <v/>
      </c>
      <c r="U2">
        <f>IF(計分!U2="","",計分!U2^2)</f>
        <v/>
      </c>
      <c r="V2">
        <f>IF(計分!V2="","",計分!V2^2)</f>
        <v/>
      </c>
      <c r="W2">
        <f>IF(計分!W2="","",計分!W2^2)</f>
        <v/>
      </c>
      <c r="X2">
        <f>IF(計分!X2="","",計分!X2^2)</f>
        <v/>
      </c>
      <c r="Y2">
        <f>IF(計分!Y2="","",計分!Y2^2)</f>
        <v/>
      </c>
      <c r="Z2">
        <f>IF(計分!Z2="","",計分!Z2^2)</f>
        <v/>
      </c>
      <c r="AA2">
        <f>IF(計分!AA2="","",計分!AA2^2)</f>
        <v/>
      </c>
      <c r="AB2">
        <f>IF(計分!AB2="","",計分!AB2^2)</f>
        <v/>
      </c>
      <c r="AC2">
        <f>IF(計分!AC2="","",計分!AC2^2)</f>
        <v/>
      </c>
      <c r="AD2">
        <f>IF(計分!AD2="","",計分!AD2^2)</f>
        <v/>
      </c>
      <c r="AE2">
        <f>IF(計分!AE2="","",計分!AE2^2)</f>
        <v/>
      </c>
      <c r="AF2">
        <f>IF(計分!AF2="","",計分!AF2^2)</f>
        <v/>
      </c>
      <c r="AG2">
        <f>IF(計分!AG2="","",計分!AG2^2)</f>
        <v/>
      </c>
      <c r="AH2">
        <f>IF(計分!AH2="","",計分!AH2^2)</f>
        <v/>
      </c>
      <c r="AI2">
        <f>IF(計分!AI2="","",計分!AI2^2)</f>
        <v/>
      </c>
      <c r="AJ2">
        <f>IF(計分!AJ2="","",計分!AJ2^2)</f>
        <v/>
      </c>
      <c r="AK2">
        <f>IF(計分!AK2="","",計分!AK2^2)</f>
        <v/>
      </c>
      <c r="AL2">
        <f>IF(計分!AL2="","",計分!AL2^2)</f>
        <v/>
      </c>
      <c r="AM2">
        <f>IF(計分!AM2="","",計分!AM2^2)</f>
        <v/>
      </c>
      <c r="AN2">
        <f>IF(計分!AN2="","",計分!AN2^2)</f>
        <v/>
      </c>
      <c r="AO2">
        <f>IF(計分!AO2="","",計分!AO2^2)</f>
        <v/>
      </c>
    </row>
    <row r="3">
      <c r="B3">
        <f>IF(計分!B3="","",計分!B3^2)</f>
        <v/>
      </c>
      <c r="C3">
        <f>IF(計分!C3="","",計分!C3^2)</f>
        <v/>
      </c>
      <c r="D3">
        <f>IF(計分!D3="","",計分!D3^2)</f>
        <v/>
      </c>
      <c r="E3">
        <f>IF(計分!E3="","",計分!E3^2)</f>
        <v/>
      </c>
      <c r="F3">
        <f>IF(計分!F3="","",計分!F3^2)</f>
        <v/>
      </c>
      <c r="G3">
        <f>IF(計分!G3="","",計分!G3^2)</f>
        <v/>
      </c>
      <c r="H3">
        <f>IF(計分!H3="","",計分!H3^2)</f>
        <v/>
      </c>
      <c r="I3">
        <f>IF(計分!I3="","",計分!I3^2)</f>
        <v/>
      </c>
      <c r="J3">
        <f>IF(計分!J3="","",計分!J3^2)</f>
        <v/>
      </c>
      <c r="K3">
        <f>IF(計分!K3="","",計分!K3^2)</f>
        <v/>
      </c>
      <c r="L3">
        <f>IF(計分!L3="","",計分!L3^2)</f>
        <v/>
      </c>
      <c r="M3">
        <f>IF(計分!M3="","",計分!M3^2)</f>
        <v/>
      </c>
      <c r="N3">
        <f>IF(計分!N3="","",計分!N3^2)</f>
        <v/>
      </c>
      <c r="O3">
        <f>IF(計分!O3="","",計分!O3^2)</f>
        <v/>
      </c>
      <c r="P3">
        <f>IF(計分!P3="","",計分!P3^2)</f>
        <v/>
      </c>
      <c r="Q3">
        <f>IF(計分!Q3="","",計分!Q3^2)</f>
        <v/>
      </c>
      <c r="R3">
        <f>IF(計分!R3="","",計分!R3^2)</f>
        <v/>
      </c>
      <c r="S3">
        <f>IF(計分!S3="","",計分!S3^2)</f>
        <v/>
      </c>
      <c r="T3">
        <f>IF(計分!T3="","",計分!T3^2)</f>
        <v/>
      </c>
      <c r="U3">
        <f>IF(計分!U3="","",計分!U3^2)</f>
        <v/>
      </c>
      <c r="V3">
        <f>IF(計分!V3="","",計分!V3^2)</f>
        <v/>
      </c>
      <c r="W3">
        <f>IF(計分!W3="","",計分!W3^2)</f>
        <v/>
      </c>
      <c r="X3">
        <f>IF(計分!X3="","",計分!X3^2)</f>
        <v/>
      </c>
      <c r="Y3">
        <f>IF(計分!Y3="","",計分!Y3^2)</f>
        <v/>
      </c>
      <c r="Z3">
        <f>IF(計分!Z3="","",計分!Z3^2)</f>
        <v/>
      </c>
      <c r="AA3">
        <f>IF(計分!AA3="","",計分!AA3^2)</f>
        <v/>
      </c>
      <c r="AB3">
        <f>IF(計分!AB3="","",計分!AB3^2)</f>
        <v/>
      </c>
      <c r="AC3">
        <f>IF(計分!AC3="","",計分!AC3^2)</f>
        <v/>
      </c>
      <c r="AD3">
        <f>IF(計分!AD3="","",計分!AD3^2)</f>
        <v/>
      </c>
      <c r="AE3">
        <f>IF(計分!AE3="","",計分!AE3^2)</f>
        <v/>
      </c>
      <c r="AF3">
        <f>IF(計分!AF3="","",計分!AF3^2)</f>
        <v/>
      </c>
      <c r="AG3">
        <f>IF(計分!AG3="","",計分!AG3^2)</f>
        <v/>
      </c>
      <c r="AH3">
        <f>IF(計分!AH3="","",計分!AH3^2)</f>
        <v/>
      </c>
      <c r="AI3">
        <f>IF(計分!AI3="","",計分!AI3^2)</f>
        <v/>
      </c>
      <c r="AJ3">
        <f>IF(計分!AJ3="","",計分!AJ3^2)</f>
        <v/>
      </c>
      <c r="AK3">
        <f>IF(計分!AK3="","",計分!AK3^2)</f>
        <v/>
      </c>
      <c r="AL3">
        <f>IF(計分!AL3="","",計分!AL3^2)</f>
        <v/>
      </c>
      <c r="AM3">
        <f>IF(計分!AM3="","",計分!AM3^2)</f>
        <v/>
      </c>
      <c r="AN3">
        <f>IF(計分!AN3="","",計分!AN3^2)</f>
        <v/>
      </c>
      <c r="AO3">
        <f>IF(計分!AO3="","",計分!AO3^2)</f>
        <v/>
      </c>
    </row>
    <row r="4">
      <c r="B4">
        <f>IF(計分!B4="","",計分!B4^2)</f>
        <v/>
      </c>
      <c r="C4">
        <f>IF(計分!C4="","",計分!C4^2)</f>
        <v/>
      </c>
      <c r="D4">
        <f>IF(計分!D4="","",計分!D4^2)</f>
        <v/>
      </c>
      <c r="E4">
        <f>IF(計分!E4="","",計分!E4^2)</f>
        <v/>
      </c>
      <c r="F4">
        <f>IF(計分!F4="","",計分!F4^2)</f>
        <v/>
      </c>
      <c r="G4">
        <f>IF(計分!G4="","",計分!G4^2)</f>
        <v/>
      </c>
      <c r="H4">
        <f>IF(計分!H4="","",計分!H4^2)</f>
        <v/>
      </c>
      <c r="I4">
        <f>IF(計分!I4="","",計分!I4^2)</f>
        <v/>
      </c>
      <c r="J4">
        <f>IF(計分!J4="","",計分!J4^2)</f>
        <v/>
      </c>
      <c r="K4">
        <f>IF(計分!K4="","",計分!K4^2)</f>
        <v/>
      </c>
      <c r="L4">
        <f>IF(計分!L4="","",計分!L4^2)</f>
        <v/>
      </c>
      <c r="M4">
        <f>IF(計分!M4="","",計分!M4^2)</f>
        <v/>
      </c>
      <c r="N4">
        <f>IF(計分!N4="","",計分!N4^2)</f>
        <v/>
      </c>
      <c r="O4">
        <f>IF(計分!O4="","",計分!O4^2)</f>
        <v/>
      </c>
      <c r="P4">
        <f>IF(計分!P4="","",計分!P4^2)</f>
        <v/>
      </c>
      <c r="Q4">
        <f>IF(計分!Q4="","",計分!Q4^2)</f>
        <v/>
      </c>
      <c r="R4">
        <f>IF(計分!R4="","",計分!R4^2)</f>
        <v/>
      </c>
      <c r="S4">
        <f>IF(計分!S4="","",計分!S4^2)</f>
        <v/>
      </c>
      <c r="T4">
        <f>IF(計分!T4="","",計分!T4^2)</f>
        <v/>
      </c>
      <c r="U4">
        <f>IF(計分!U4="","",計分!U4^2)</f>
        <v/>
      </c>
      <c r="V4">
        <f>IF(計分!V4="","",計分!V4^2)</f>
        <v/>
      </c>
      <c r="W4">
        <f>IF(計分!W4="","",計分!W4^2)</f>
        <v/>
      </c>
      <c r="X4">
        <f>IF(計分!X4="","",計分!X4^2)</f>
        <v/>
      </c>
      <c r="Y4">
        <f>IF(計分!Y4="","",計分!Y4^2)</f>
        <v/>
      </c>
      <c r="Z4">
        <f>IF(計分!Z4="","",計分!Z4^2)</f>
        <v/>
      </c>
      <c r="AA4">
        <f>IF(計分!AA4="","",計分!AA4^2)</f>
        <v/>
      </c>
      <c r="AB4">
        <f>IF(計分!AB4="","",計分!AB4^2)</f>
        <v/>
      </c>
      <c r="AC4">
        <f>IF(計分!AC4="","",計分!AC4^2)</f>
        <v/>
      </c>
      <c r="AD4">
        <f>IF(計分!AD4="","",計分!AD4^2)</f>
        <v/>
      </c>
      <c r="AE4">
        <f>IF(計分!AE4="","",計分!AE4^2)</f>
        <v/>
      </c>
      <c r="AF4">
        <f>IF(計分!AF4="","",計分!AF4^2)</f>
        <v/>
      </c>
      <c r="AG4">
        <f>IF(計分!AG4="","",計分!AG4^2)</f>
        <v/>
      </c>
      <c r="AH4">
        <f>IF(計分!AH4="","",計分!AH4^2)</f>
        <v/>
      </c>
      <c r="AI4">
        <f>IF(計分!AI4="","",計分!AI4^2)</f>
        <v/>
      </c>
      <c r="AJ4">
        <f>IF(計分!AJ4="","",計分!AJ4^2)</f>
        <v/>
      </c>
      <c r="AK4">
        <f>IF(計分!AK4="","",計分!AK4^2)</f>
        <v/>
      </c>
      <c r="AL4">
        <f>IF(計分!AL4="","",計分!AL4^2)</f>
        <v/>
      </c>
      <c r="AM4">
        <f>IF(計分!AM4="","",計分!AM4^2)</f>
        <v/>
      </c>
      <c r="AN4">
        <f>IF(計分!AN4="","",計分!AN4^2)</f>
        <v/>
      </c>
      <c r="AO4">
        <f>IF(計分!AO4="","",計分!AO4^2)</f>
        <v/>
      </c>
    </row>
    <row r="5">
      <c r="B5">
        <f>IF(計分!B5="","",計分!B5^2)</f>
        <v/>
      </c>
      <c r="C5">
        <f>IF(計分!C5="","",計分!C5^2)</f>
        <v/>
      </c>
      <c r="D5">
        <f>IF(計分!D5="","",計分!D5^2)</f>
        <v/>
      </c>
      <c r="E5">
        <f>IF(計分!E5="","",計分!E5^2)</f>
        <v/>
      </c>
      <c r="F5">
        <f>IF(計分!F5="","",計分!F5^2)</f>
        <v/>
      </c>
      <c r="G5">
        <f>IF(計分!G5="","",計分!G5^2)</f>
        <v/>
      </c>
      <c r="H5">
        <f>IF(計分!H5="","",計分!H5^2)</f>
        <v/>
      </c>
      <c r="I5">
        <f>IF(計分!I5="","",計分!I5^2)</f>
        <v/>
      </c>
      <c r="J5">
        <f>IF(計分!J5="","",計分!J5^2)</f>
        <v/>
      </c>
      <c r="K5">
        <f>IF(計分!K5="","",計分!K5^2)</f>
        <v/>
      </c>
      <c r="L5">
        <f>IF(計分!L5="","",計分!L5^2)</f>
        <v/>
      </c>
      <c r="M5">
        <f>IF(計分!M5="","",計分!M5^2)</f>
        <v/>
      </c>
      <c r="N5">
        <f>IF(計分!N5="","",計分!N5^2)</f>
        <v/>
      </c>
      <c r="O5">
        <f>IF(計分!O5="","",計分!O5^2)</f>
        <v/>
      </c>
      <c r="P5">
        <f>IF(計分!P5="","",計分!P5^2)</f>
        <v/>
      </c>
      <c r="Q5">
        <f>IF(計分!Q5="","",計分!Q5^2)</f>
        <v/>
      </c>
      <c r="R5">
        <f>IF(計分!R5="","",計分!R5^2)</f>
        <v/>
      </c>
      <c r="S5">
        <f>IF(計分!S5="","",計分!S5^2)</f>
        <v/>
      </c>
      <c r="T5">
        <f>IF(計分!T5="","",計分!T5^2)</f>
        <v/>
      </c>
      <c r="U5">
        <f>IF(計分!U5="","",計分!U5^2)</f>
        <v/>
      </c>
      <c r="V5">
        <f>IF(計分!V5="","",計分!V5^2)</f>
        <v/>
      </c>
      <c r="W5">
        <f>IF(計分!W5="","",計分!W5^2)</f>
        <v/>
      </c>
      <c r="X5">
        <f>IF(計分!X5="","",計分!X5^2)</f>
        <v/>
      </c>
      <c r="Y5">
        <f>IF(計分!Y5="","",計分!Y5^2)</f>
        <v/>
      </c>
      <c r="Z5">
        <f>IF(計分!Z5="","",計分!Z5^2)</f>
        <v/>
      </c>
      <c r="AA5">
        <f>IF(計分!AA5="","",計分!AA5^2)</f>
        <v/>
      </c>
      <c r="AB5">
        <f>IF(計分!AB5="","",計分!AB5^2)</f>
        <v/>
      </c>
      <c r="AC5">
        <f>IF(計分!AC5="","",計分!AC5^2)</f>
        <v/>
      </c>
      <c r="AD5">
        <f>IF(計分!AD5="","",計分!AD5^2)</f>
        <v/>
      </c>
      <c r="AE5">
        <f>IF(計分!AE5="","",計分!AE5^2)</f>
        <v/>
      </c>
      <c r="AF5">
        <f>IF(計分!AF5="","",計分!AF5^2)</f>
        <v/>
      </c>
      <c r="AG5">
        <f>IF(計分!AG5="","",計分!AG5^2)</f>
        <v/>
      </c>
      <c r="AH5">
        <f>IF(計分!AH5="","",計分!AH5^2)</f>
        <v/>
      </c>
      <c r="AI5">
        <f>IF(計分!AI5="","",計分!AI5^2)</f>
        <v/>
      </c>
      <c r="AJ5">
        <f>IF(計分!AJ5="","",計分!AJ5^2)</f>
        <v/>
      </c>
      <c r="AK5">
        <f>IF(計分!AK5="","",計分!AK5^2)</f>
        <v/>
      </c>
      <c r="AL5">
        <f>IF(計分!AL5="","",計分!AL5^2)</f>
        <v/>
      </c>
      <c r="AM5">
        <f>IF(計分!AM5="","",計分!AM5^2)</f>
        <v/>
      </c>
      <c r="AN5">
        <f>IF(計分!AN5="","",計分!AN5^2)</f>
        <v/>
      </c>
      <c r="AO5">
        <f>IF(計分!AO5="","",計分!AO5^2)</f>
        <v/>
      </c>
    </row>
    <row r="6">
      <c r="B6">
        <f>IF(計分!B6="","",計分!B6^2)</f>
        <v/>
      </c>
      <c r="C6">
        <f>IF(計分!C6="","",計分!C6^2)</f>
        <v/>
      </c>
      <c r="D6">
        <f>IF(計分!D6="","",計分!D6^2)</f>
        <v/>
      </c>
      <c r="E6">
        <f>IF(計分!E6="","",計分!E6^2)</f>
        <v/>
      </c>
      <c r="F6">
        <f>IF(計分!F6="","",計分!F6^2)</f>
        <v/>
      </c>
      <c r="G6">
        <f>IF(計分!G6="","",計分!G6^2)</f>
        <v/>
      </c>
      <c r="H6">
        <f>IF(計分!H6="","",計分!H6^2)</f>
        <v/>
      </c>
      <c r="I6">
        <f>IF(計分!I6="","",計分!I6^2)</f>
        <v/>
      </c>
      <c r="J6">
        <f>IF(計分!J6="","",計分!J6^2)</f>
        <v/>
      </c>
      <c r="K6">
        <f>IF(計分!K6="","",計分!K6^2)</f>
        <v/>
      </c>
      <c r="L6">
        <f>IF(計分!L6="","",計分!L6^2)</f>
        <v/>
      </c>
      <c r="M6">
        <f>IF(計分!M6="","",計分!M6^2)</f>
        <v/>
      </c>
      <c r="N6">
        <f>IF(計分!N6="","",計分!N6^2)</f>
        <v/>
      </c>
      <c r="O6">
        <f>IF(計分!O6="","",計分!O6^2)</f>
        <v/>
      </c>
      <c r="P6">
        <f>IF(計分!P6="","",計分!P6^2)</f>
        <v/>
      </c>
      <c r="Q6">
        <f>IF(計分!Q6="","",計分!Q6^2)</f>
        <v/>
      </c>
      <c r="R6">
        <f>IF(計分!R6="","",計分!R6^2)</f>
        <v/>
      </c>
      <c r="S6">
        <f>IF(計分!S6="","",計分!S6^2)</f>
        <v/>
      </c>
      <c r="T6">
        <f>IF(計分!T6="","",計分!T6^2)</f>
        <v/>
      </c>
      <c r="U6">
        <f>IF(計分!U6="","",計分!U6^2)</f>
        <v/>
      </c>
      <c r="V6">
        <f>IF(計分!V6="","",計分!V6^2)</f>
        <v/>
      </c>
      <c r="W6">
        <f>IF(計分!W6="","",計分!W6^2)</f>
        <v/>
      </c>
      <c r="X6">
        <f>IF(計分!X6="","",計分!X6^2)</f>
        <v/>
      </c>
      <c r="Y6">
        <f>IF(計分!Y6="","",計分!Y6^2)</f>
        <v/>
      </c>
      <c r="Z6">
        <f>IF(計分!Z6="","",計分!Z6^2)</f>
        <v/>
      </c>
      <c r="AA6">
        <f>IF(計分!AA6="","",計分!AA6^2)</f>
        <v/>
      </c>
      <c r="AB6">
        <f>IF(計分!AB6="","",計分!AB6^2)</f>
        <v/>
      </c>
      <c r="AC6">
        <f>IF(計分!AC6="","",計分!AC6^2)</f>
        <v/>
      </c>
      <c r="AD6">
        <f>IF(計分!AD6="","",計分!AD6^2)</f>
        <v/>
      </c>
      <c r="AE6">
        <f>IF(計分!AE6="","",計分!AE6^2)</f>
        <v/>
      </c>
      <c r="AF6">
        <f>IF(計分!AF6="","",計分!AF6^2)</f>
        <v/>
      </c>
      <c r="AG6">
        <f>IF(計分!AG6="","",計分!AG6^2)</f>
        <v/>
      </c>
      <c r="AH6">
        <f>IF(計分!AH6="","",計分!AH6^2)</f>
        <v/>
      </c>
      <c r="AI6">
        <f>IF(計分!AI6="","",計分!AI6^2)</f>
        <v/>
      </c>
      <c r="AJ6">
        <f>IF(計分!AJ6="","",計分!AJ6^2)</f>
        <v/>
      </c>
      <c r="AK6">
        <f>IF(計分!AK6="","",計分!AK6^2)</f>
        <v/>
      </c>
      <c r="AL6">
        <f>IF(計分!AL6="","",計分!AL6^2)</f>
        <v/>
      </c>
      <c r="AM6">
        <f>IF(計分!AM6="","",計分!AM6^2)</f>
        <v/>
      </c>
      <c r="AN6">
        <f>IF(計分!AN6="","",計分!AN6^2)</f>
        <v/>
      </c>
      <c r="AO6">
        <f>IF(計分!AO6="","",計分!AO6^2)</f>
        <v/>
      </c>
    </row>
    <row r="7">
      <c r="B7">
        <f>IF(計分!B7="","",計分!B7^2)</f>
        <v/>
      </c>
      <c r="C7">
        <f>IF(計分!C7="","",計分!C7^2)</f>
        <v/>
      </c>
      <c r="D7">
        <f>IF(計分!D7="","",計分!D7^2)</f>
        <v/>
      </c>
      <c r="E7">
        <f>IF(計分!E7="","",計分!E7^2)</f>
        <v/>
      </c>
      <c r="F7">
        <f>IF(計分!F7="","",計分!F7^2)</f>
        <v/>
      </c>
      <c r="G7">
        <f>IF(計分!G7="","",計分!G7^2)</f>
        <v/>
      </c>
      <c r="H7">
        <f>IF(計分!H7="","",計分!H7^2)</f>
        <v/>
      </c>
      <c r="I7">
        <f>IF(計分!I7="","",計分!I7^2)</f>
        <v/>
      </c>
      <c r="J7">
        <f>IF(計分!J7="","",計分!J7^2)</f>
        <v/>
      </c>
      <c r="K7">
        <f>IF(計分!K7="","",計分!K7^2)</f>
        <v/>
      </c>
      <c r="L7">
        <f>IF(計分!L7="","",計分!L7^2)</f>
        <v/>
      </c>
      <c r="M7">
        <f>IF(計分!M7="","",計分!M7^2)</f>
        <v/>
      </c>
      <c r="N7">
        <f>IF(計分!N7="","",計分!N7^2)</f>
        <v/>
      </c>
      <c r="O7">
        <f>IF(計分!O7="","",計分!O7^2)</f>
        <v/>
      </c>
      <c r="P7">
        <f>IF(計分!P7="","",計分!P7^2)</f>
        <v/>
      </c>
      <c r="Q7">
        <f>IF(計分!Q7="","",計分!Q7^2)</f>
        <v/>
      </c>
      <c r="R7">
        <f>IF(計分!R7="","",計分!R7^2)</f>
        <v/>
      </c>
      <c r="S7">
        <f>IF(計分!S7="","",計分!S7^2)</f>
        <v/>
      </c>
      <c r="T7">
        <f>IF(計分!T7="","",計分!T7^2)</f>
        <v/>
      </c>
      <c r="U7">
        <f>IF(計分!U7="","",計分!U7^2)</f>
        <v/>
      </c>
      <c r="V7">
        <f>IF(計分!V7="","",計分!V7^2)</f>
        <v/>
      </c>
      <c r="W7">
        <f>IF(計分!W7="","",計分!W7^2)</f>
        <v/>
      </c>
      <c r="X7">
        <f>IF(計分!X7="","",計分!X7^2)</f>
        <v/>
      </c>
      <c r="Y7">
        <f>IF(計分!Y7="","",計分!Y7^2)</f>
        <v/>
      </c>
      <c r="Z7">
        <f>IF(計分!Z7="","",計分!Z7^2)</f>
        <v/>
      </c>
      <c r="AA7">
        <f>IF(計分!AA7="","",計分!AA7^2)</f>
        <v/>
      </c>
      <c r="AB7">
        <f>IF(計分!AB7="","",計分!AB7^2)</f>
        <v/>
      </c>
      <c r="AC7">
        <f>IF(計分!AC7="","",計分!AC7^2)</f>
        <v/>
      </c>
      <c r="AD7">
        <f>IF(計分!AD7="","",計分!AD7^2)</f>
        <v/>
      </c>
      <c r="AE7">
        <f>IF(計分!AE7="","",計分!AE7^2)</f>
        <v/>
      </c>
      <c r="AF7">
        <f>IF(計分!AF7="","",計分!AF7^2)</f>
        <v/>
      </c>
      <c r="AG7">
        <f>IF(計分!AG7="","",計分!AG7^2)</f>
        <v/>
      </c>
      <c r="AH7">
        <f>IF(計分!AH7="","",計分!AH7^2)</f>
        <v/>
      </c>
      <c r="AI7">
        <f>IF(計分!AI7="","",計分!AI7^2)</f>
        <v/>
      </c>
      <c r="AJ7">
        <f>IF(計分!AJ7="","",計分!AJ7^2)</f>
        <v/>
      </c>
      <c r="AK7">
        <f>IF(計分!AK7="","",計分!AK7^2)</f>
        <v/>
      </c>
      <c r="AL7">
        <f>IF(計分!AL7="","",計分!AL7^2)</f>
        <v/>
      </c>
      <c r="AM7">
        <f>IF(計分!AM7="","",計分!AM7^2)</f>
        <v/>
      </c>
      <c r="AN7">
        <f>IF(計分!AN7="","",計分!AN7^2)</f>
        <v/>
      </c>
      <c r="AO7">
        <f>IF(計分!AO7="","",計分!AO7^2)</f>
        <v/>
      </c>
    </row>
    <row r="8">
      <c r="B8">
        <f>IF(計分!B8="","",計分!B8^2)</f>
        <v/>
      </c>
      <c r="C8">
        <f>IF(計分!C8="","",計分!C8^2)</f>
        <v/>
      </c>
      <c r="D8">
        <f>IF(計分!D8="","",計分!D8^2)</f>
        <v/>
      </c>
      <c r="E8">
        <f>IF(計分!E8="","",計分!E8^2)</f>
        <v/>
      </c>
      <c r="F8">
        <f>IF(計分!F8="","",計分!F8^2)</f>
        <v/>
      </c>
      <c r="G8">
        <f>IF(計分!G8="","",計分!G8^2)</f>
        <v/>
      </c>
      <c r="H8">
        <f>IF(計分!H8="","",計分!H8^2)</f>
        <v/>
      </c>
      <c r="I8">
        <f>IF(計分!I8="","",計分!I8^2)</f>
        <v/>
      </c>
      <c r="J8">
        <f>IF(計分!J8="","",計分!J8^2)</f>
        <v/>
      </c>
      <c r="K8">
        <f>IF(計分!K8="","",計分!K8^2)</f>
        <v/>
      </c>
      <c r="L8">
        <f>IF(計分!L8="","",計分!L8^2)</f>
        <v/>
      </c>
      <c r="M8">
        <f>IF(計分!M8="","",計分!M8^2)</f>
        <v/>
      </c>
      <c r="N8">
        <f>IF(計分!N8="","",計分!N8^2)</f>
        <v/>
      </c>
      <c r="O8">
        <f>IF(計分!O8="","",計分!O8^2)</f>
        <v/>
      </c>
      <c r="P8">
        <f>IF(計分!P8="","",計分!P8^2)</f>
        <v/>
      </c>
      <c r="Q8">
        <f>IF(計分!Q8="","",計分!Q8^2)</f>
        <v/>
      </c>
      <c r="R8">
        <f>IF(計分!R8="","",計分!R8^2)</f>
        <v/>
      </c>
      <c r="S8">
        <f>IF(計分!S8="","",計分!S8^2)</f>
        <v/>
      </c>
      <c r="T8">
        <f>IF(計分!T8="","",計分!T8^2)</f>
        <v/>
      </c>
      <c r="U8">
        <f>IF(計分!U8="","",計分!U8^2)</f>
        <v/>
      </c>
      <c r="V8">
        <f>IF(計分!V8="","",計分!V8^2)</f>
        <v/>
      </c>
      <c r="W8">
        <f>IF(計分!W8="","",計分!W8^2)</f>
        <v/>
      </c>
      <c r="X8">
        <f>IF(計分!X8="","",計分!X8^2)</f>
        <v/>
      </c>
      <c r="Y8">
        <f>IF(計分!Y8="","",計分!Y8^2)</f>
        <v/>
      </c>
      <c r="Z8">
        <f>IF(計分!Z8="","",計分!Z8^2)</f>
        <v/>
      </c>
      <c r="AA8">
        <f>IF(計分!AA8="","",計分!AA8^2)</f>
        <v/>
      </c>
      <c r="AB8">
        <f>IF(計分!AB8="","",計分!AB8^2)</f>
        <v/>
      </c>
      <c r="AC8">
        <f>IF(計分!AC8="","",計分!AC8^2)</f>
        <v/>
      </c>
      <c r="AD8">
        <f>IF(計分!AD8="","",計分!AD8^2)</f>
        <v/>
      </c>
      <c r="AE8">
        <f>IF(計分!AE8="","",計分!AE8^2)</f>
        <v/>
      </c>
      <c r="AF8">
        <f>IF(計分!AF8="","",計分!AF8^2)</f>
        <v/>
      </c>
      <c r="AG8">
        <f>IF(計分!AG8="","",計分!AG8^2)</f>
        <v/>
      </c>
      <c r="AH8">
        <f>IF(計分!AH8="","",計分!AH8^2)</f>
        <v/>
      </c>
      <c r="AI8">
        <f>IF(計分!AI8="","",計分!AI8^2)</f>
        <v/>
      </c>
      <c r="AJ8">
        <f>IF(計分!AJ8="","",計分!AJ8^2)</f>
        <v/>
      </c>
      <c r="AK8">
        <f>IF(計分!AK8="","",計分!AK8^2)</f>
        <v/>
      </c>
      <c r="AL8">
        <f>IF(計分!AL8="","",計分!AL8^2)</f>
        <v/>
      </c>
      <c r="AM8">
        <f>IF(計分!AM8="","",計分!AM8^2)</f>
        <v/>
      </c>
      <c r="AN8">
        <f>IF(計分!AN8="","",計分!AN8^2)</f>
        <v/>
      </c>
      <c r="AO8">
        <f>IF(計分!AO8="","",計分!AO8^2)</f>
        <v/>
      </c>
    </row>
    <row r="9">
      <c r="B9">
        <f>IF(計分!B9="","",計分!B9^2)</f>
        <v/>
      </c>
      <c r="C9">
        <f>IF(計分!C9="","",計分!C9^2)</f>
        <v/>
      </c>
      <c r="D9">
        <f>IF(計分!D9="","",計分!D9^2)</f>
        <v/>
      </c>
      <c r="E9">
        <f>IF(計分!E9="","",計分!E9^2)</f>
        <v/>
      </c>
      <c r="F9">
        <f>IF(計分!F9="","",計分!F9^2)</f>
        <v/>
      </c>
      <c r="G9">
        <f>IF(計分!G9="","",計分!G9^2)</f>
        <v/>
      </c>
      <c r="H9">
        <f>IF(計分!H9="","",計分!H9^2)</f>
        <v/>
      </c>
      <c r="I9">
        <f>IF(計分!I9="","",計分!I9^2)</f>
        <v/>
      </c>
      <c r="J9">
        <f>IF(計分!J9="","",計分!J9^2)</f>
        <v/>
      </c>
      <c r="K9">
        <f>IF(計分!K9="","",計分!K9^2)</f>
        <v/>
      </c>
      <c r="L9">
        <f>IF(計分!L9="","",計分!L9^2)</f>
        <v/>
      </c>
      <c r="M9">
        <f>IF(計分!M9="","",計分!M9^2)</f>
        <v/>
      </c>
      <c r="N9">
        <f>IF(計分!N9="","",計分!N9^2)</f>
        <v/>
      </c>
      <c r="O9">
        <f>IF(計分!O9="","",計分!O9^2)</f>
        <v/>
      </c>
      <c r="P9">
        <f>IF(計分!P9="","",計分!P9^2)</f>
        <v/>
      </c>
      <c r="Q9">
        <f>IF(計分!Q9="","",計分!Q9^2)</f>
        <v/>
      </c>
      <c r="R9">
        <f>IF(計分!R9="","",計分!R9^2)</f>
        <v/>
      </c>
      <c r="S9">
        <f>IF(計分!S9="","",計分!S9^2)</f>
        <v/>
      </c>
      <c r="T9">
        <f>IF(計分!T9="","",計分!T9^2)</f>
        <v/>
      </c>
      <c r="U9">
        <f>IF(計分!U9="","",計分!U9^2)</f>
        <v/>
      </c>
      <c r="V9">
        <f>IF(計分!V9="","",計分!V9^2)</f>
        <v/>
      </c>
      <c r="W9">
        <f>IF(計分!W9="","",計分!W9^2)</f>
        <v/>
      </c>
      <c r="X9">
        <f>IF(計分!X9="","",計分!X9^2)</f>
        <v/>
      </c>
      <c r="Y9">
        <f>IF(計分!Y9="","",計分!Y9^2)</f>
        <v/>
      </c>
      <c r="Z9">
        <f>IF(計分!Z9="","",計分!Z9^2)</f>
        <v/>
      </c>
      <c r="AA9">
        <f>IF(計分!AA9="","",計分!AA9^2)</f>
        <v/>
      </c>
      <c r="AB9">
        <f>IF(計分!AB9="","",計分!AB9^2)</f>
        <v/>
      </c>
      <c r="AC9">
        <f>IF(計分!AC9="","",計分!AC9^2)</f>
        <v/>
      </c>
      <c r="AD9">
        <f>IF(計分!AD9="","",計分!AD9^2)</f>
        <v/>
      </c>
      <c r="AE9">
        <f>IF(計分!AE9="","",計分!AE9^2)</f>
        <v/>
      </c>
      <c r="AF9">
        <f>IF(計分!AF9="","",計分!AF9^2)</f>
        <v/>
      </c>
      <c r="AG9">
        <f>IF(計分!AG9="","",計分!AG9^2)</f>
        <v/>
      </c>
      <c r="AH9">
        <f>IF(計分!AH9="","",計分!AH9^2)</f>
        <v/>
      </c>
      <c r="AI9">
        <f>IF(計分!AI9="","",計分!AI9^2)</f>
        <v/>
      </c>
      <c r="AJ9">
        <f>IF(計分!AJ9="","",計分!AJ9^2)</f>
        <v/>
      </c>
      <c r="AK9">
        <f>IF(計分!AK9="","",計分!AK9^2)</f>
        <v/>
      </c>
      <c r="AL9">
        <f>IF(計分!AL9="","",計分!AL9^2)</f>
        <v/>
      </c>
      <c r="AM9">
        <f>IF(計分!AM9="","",計分!AM9^2)</f>
        <v/>
      </c>
      <c r="AN9">
        <f>IF(計分!AN9="","",計分!AN9^2)</f>
        <v/>
      </c>
      <c r="AO9">
        <f>IF(計分!AO9="","",計分!AO9^2)</f>
        <v/>
      </c>
    </row>
    <row r="10">
      <c r="B10">
        <f>IF(計分!B10="","",計分!B10^2)</f>
        <v/>
      </c>
      <c r="C10">
        <f>IF(計分!C10="","",計分!C10^2)</f>
        <v/>
      </c>
      <c r="D10">
        <f>IF(計分!D10="","",計分!D10^2)</f>
        <v/>
      </c>
      <c r="E10">
        <f>IF(計分!E10="","",計分!E10^2)</f>
        <v/>
      </c>
      <c r="F10">
        <f>IF(計分!F10="","",計分!F10^2)</f>
        <v/>
      </c>
      <c r="G10">
        <f>IF(計分!G10="","",計分!G10^2)</f>
        <v/>
      </c>
      <c r="H10">
        <f>IF(計分!H10="","",計分!H10^2)</f>
        <v/>
      </c>
      <c r="I10">
        <f>IF(計分!I10="","",計分!I10^2)</f>
        <v/>
      </c>
      <c r="J10">
        <f>IF(計分!J10="","",計分!J10^2)</f>
        <v/>
      </c>
      <c r="K10">
        <f>IF(計分!K10="","",計分!K10^2)</f>
        <v/>
      </c>
      <c r="L10">
        <f>IF(計分!L10="","",計分!L10^2)</f>
        <v/>
      </c>
      <c r="M10">
        <f>IF(計分!M10="","",計分!M10^2)</f>
        <v/>
      </c>
      <c r="N10">
        <f>IF(計分!N10="","",計分!N10^2)</f>
        <v/>
      </c>
      <c r="O10">
        <f>IF(計分!O10="","",計分!O10^2)</f>
        <v/>
      </c>
      <c r="P10">
        <f>IF(計分!P10="","",計分!P10^2)</f>
        <v/>
      </c>
      <c r="Q10">
        <f>IF(計分!Q10="","",計分!Q10^2)</f>
        <v/>
      </c>
      <c r="R10">
        <f>IF(計分!R10="","",計分!R10^2)</f>
        <v/>
      </c>
      <c r="S10">
        <f>IF(計分!S10="","",計分!S10^2)</f>
        <v/>
      </c>
      <c r="T10">
        <f>IF(計分!T10="","",計分!T10^2)</f>
        <v/>
      </c>
      <c r="U10">
        <f>IF(計分!U10="","",計分!U10^2)</f>
        <v/>
      </c>
      <c r="V10">
        <f>IF(計分!V10="","",計分!V10^2)</f>
        <v/>
      </c>
      <c r="W10">
        <f>IF(計分!W10="","",計分!W10^2)</f>
        <v/>
      </c>
      <c r="X10">
        <f>IF(計分!X10="","",計分!X10^2)</f>
        <v/>
      </c>
      <c r="Y10">
        <f>IF(計分!Y10="","",計分!Y10^2)</f>
        <v/>
      </c>
      <c r="Z10">
        <f>IF(計分!Z10="","",計分!Z10^2)</f>
        <v/>
      </c>
      <c r="AA10">
        <f>IF(計分!AA10="","",計分!AA10^2)</f>
        <v/>
      </c>
      <c r="AB10">
        <f>IF(計分!AB10="","",計分!AB10^2)</f>
        <v/>
      </c>
      <c r="AC10">
        <f>IF(計分!AC10="","",計分!AC10^2)</f>
        <v/>
      </c>
      <c r="AD10">
        <f>IF(計分!AD10="","",計分!AD10^2)</f>
        <v/>
      </c>
      <c r="AE10">
        <f>IF(計分!AE10="","",計分!AE10^2)</f>
        <v/>
      </c>
      <c r="AF10">
        <f>IF(計分!AF10="","",計分!AF10^2)</f>
        <v/>
      </c>
      <c r="AG10">
        <f>IF(計分!AG10="","",計分!AG10^2)</f>
        <v/>
      </c>
      <c r="AH10">
        <f>IF(計分!AH10="","",計分!AH10^2)</f>
        <v/>
      </c>
      <c r="AI10">
        <f>IF(計分!AI10="","",計分!AI10^2)</f>
        <v/>
      </c>
      <c r="AJ10">
        <f>IF(計分!AJ10="","",計分!AJ10^2)</f>
        <v/>
      </c>
      <c r="AK10">
        <f>IF(計分!AK10="","",計分!AK10^2)</f>
        <v/>
      </c>
      <c r="AL10">
        <f>IF(計分!AL10="","",計分!AL10^2)</f>
        <v/>
      </c>
      <c r="AM10">
        <f>IF(計分!AM10="","",計分!AM10^2)</f>
        <v/>
      </c>
      <c r="AN10">
        <f>IF(計分!AN10="","",計分!AN10^2)</f>
        <v/>
      </c>
      <c r="AO10">
        <f>IF(計分!AO10="","",計分!AO10^2)</f>
        <v/>
      </c>
    </row>
    <row r="11">
      <c r="B11">
        <f>IF(計分!B11="","",計分!B11^2)</f>
        <v/>
      </c>
      <c r="C11">
        <f>IF(計分!C11="","",計分!C11^2)</f>
        <v/>
      </c>
      <c r="D11">
        <f>IF(計分!D11="","",計分!D11^2)</f>
        <v/>
      </c>
      <c r="E11">
        <f>IF(計分!E11="","",計分!E11^2)</f>
        <v/>
      </c>
      <c r="F11">
        <f>IF(計分!F11="","",計分!F11^2)</f>
        <v/>
      </c>
      <c r="G11">
        <f>IF(計分!G11="","",計分!G11^2)</f>
        <v/>
      </c>
      <c r="H11">
        <f>IF(計分!H11="","",計分!H11^2)</f>
        <v/>
      </c>
      <c r="I11">
        <f>IF(計分!I11="","",計分!I11^2)</f>
        <v/>
      </c>
      <c r="J11">
        <f>IF(計分!J11="","",計分!J11^2)</f>
        <v/>
      </c>
      <c r="K11">
        <f>IF(計分!K11="","",計分!K11^2)</f>
        <v/>
      </c>
      <c r="L11">
        <f>IF(計分!L11="","",計分!L11^2)</f>
        <v/>
      </c>
      <c r="M11">
        <f>IF(計分!M11="","",計分!M11^2)</f>
        <v/>
      </c>
      <c r="N11">
        <f>IF(計分!N11="","",計分!N11^2)</f>
        <v/>
      </c>
      <c r="O11">
        <f>IF(計分!O11="","",計分!O11^2)</f>
        <v/>
      </c>
      <c r="P11">
        <f>IF(計分!P11="","",計分!P11^2)</f>
        <v/>
      </c>
      <c r="Q11">
        <f>IF(計分!Q11="","",計分!Q11^2)</f>
        <v/>
      </c>
      <c r="R11">
        <f>IF(計分!R11="","",計分!R11^2)</f>
        <v/>
      </c>
      <c r="S11">
        <f>IF(計分!S11="","",計分!S11^2)</f>
        <v/>
      </c>
      <c r="T11">
        <f>IF(計分!T11="","",計分!T11^2)</f>
        <v/>
      </c>
      <c r="U11">
        <f>IF(計分!U11="","",計分!U11^2)</f>
        <v/>
      </c>
      <c r="V11">
        <f>IF(計分!V11="","",計分!V11^2)</f>
        <v/>
      </c>
      <c r="W11">
        <f>IF(計分!W11="","",計分!W11^2)</f>
        <v/>
      </c>
      <c r="X11">
        <f>IF(計分!X11="","",計分!X11^2)</f>
        <v/>
      </c>
      <c r="Y11">
        <f>IF(計分!Y11="","",計分!Y11^2)</f>
        <v/>
      </c>
      <c r="Z11">
        <f>IF(計分!Z11="","",計分!Z11^2)</f>
        <v/>
      </c>
      <c r="AA11">
        <f>IF(計分!AA11="","",計分!AA11^2)</f>
        <v/>
      </c>
      <c r="AB11">
        <f>IF(計分!AB11="","",計分!AB11^2)</f>
        <v/>
      </c>
      <c r="AC11">
        <f>IF(計分!AC11="","",計分!AC11^2)</f>
        <v/>
      </c>
      <c r="AD11">
        <f>IF(計分!AD11="","",計分!AD11^2)</f>
        <v/>
      </c>
      <c r="AE11">
        <f>IF(計分!AE11="","",計分!AE11^2)</f>
        <v/>
      </c>
      <c r="AF11">
        <f>IF(計分!AF11="","",計分!AF11^2)</f>
        <v/>
      </c>
      <c r="AG11">
        <f>IF(計分!AG11="","",計分!AG11^2)</f>
        <v/>
      </c>
      <c r="AH11">
        <f>IF(計分!AH11="","",計分!AH11^2)</f>
        <v/>
      </c>
      <c r="AI11">
        <f>IF(計分!AI11="","",計分!AI11^2)</f>
        <v/>
      </c>
      <c r="AJ11">
        <f>IF(計分!AJ11="","",計分!AJ11^2)</f>
        <v/>
      </c>
      <c r="AK11">
        <f>IF(計分!AK11="","",計分!AK11^2)</f>
        <v/>
      </c>
      <c r="AL11">
        <f>IF(計分!AL11="","",計分!AL11^2)</f>
        <v/>
      </c>
      <c r="AM11">
        <f>IF(計分!AM11="","",計分!AM11^2)</f>
        <v/>
      </c>
      <c r="AN11">
        <f>IF(計分!AN11="","",計分!AN11^2)</f>
        <v/>
      </c>
      <c r="AO11">
        <f>IF(計分!AO11="","",計分!AO11^2)</f>
        <v/>
      </c>
    </row>
    <row r="12">
      <c r="B12">
        <f>IF(計分!B12="","",計分!B12^2)</f>
        <v/>
      </c>
      <c r="C12">
        <f>IF(計分!C12="","",計分!C12^2)</f>
        <v/>
      </c>
      <c r="D12">
        <f>IF(計分!D12="","",計分!D12^2)</f>
        <v/>
      </c>
      <c r="E12">
        <f>IF(計分!E12="","",計分!E12^2)</f>
        <v/>
      </c>
      <c r="F12">
        <f>IF(計分!F12="","",計分!F12^2)</f>
        <v/>
      </c>
      <c r="G12">
        <f>IF(計分!G12="","",計分!G12^2)</f>
        <v/>
      </c>
      <c r="H12">
        <f>IF(計分!H12="","",計分!H12^2)</f>
        <v/>
      </c>
      <c r="I12">
        <f>IF(計分!I12="","",計分!I12^2)</f>
        <v/>
      </c>
      <c r="J12">
        <f>IF(計分!J12="","",計分!J12^2)</f>
        <v/>
      </c>
      <c r="K12">
        <f>IF(計分!K12="","",計分!K12^2)</f>
        <v/>
      </c>
      <c r="L12">
        <f>IF(計分!L12="","",計分!L12^2)</f>
        <v/>
      </c>
      <c r="M12">
        <f>IF(計分!M12="","",計分!M12^2)</f>
        <v/>
      </c>
      <c r="N12">
        <f>IF(計分!N12="","",計分!N12^2)</f>
        <v/>
      </c>
      <c r="O12">
        <f>IF(計分!O12="","",計分!O12^2)</f>
        <v/>
      </c>
      <c r="P12">
        <f>IF(計分!P12="","",計分!P12^2)</f>
        <v/>
      </c>
      <c r="Q12">
        <f>IF(計分!Q12="","",計分!Q12^2)</f>
        <v/>
      </c>
      <c r="R12">
        <f>IF(計分!R12="","",計分!R12^2)</f>
        <v/>
      </c>
      <c r="S12">
        <f>IF(計分!S12="","",計分!S12^2)</f>
        <v/>
      </c>
      <c r="T12">
        <f>IF(計分!T12="","",計分!T12^2)</f>
        <v/>
      </c>
      <c r="U12">
        <f>IF(計分!U12="","",計分!U12^2)</f>
        <v/>
      </c>
      <c r="V12">
        <f>IF(計分!V12="","",計分!V12^2)</f>
        <v/>
      </c>
      <c r="W12">
        <f>IF(計分!W12="","",計分!W12^2)</f>
        <v/>
      </c>
      <c r="X12">
        <f>IF(計分!X12="","",計分!X12^2)</f>
        <v/>
      </c>
      <c r="Y12">
        <f>IF(計分!Y12="","",計分!Y12^2)</f>
        <v/>
      </c>
      <c r="Z12">
        <f>IF(計分!Z12="","",計分!Z12^2)</f>
        <v/>
      </c>
      <c r="AA12">
        <f>IF(計分!AA12="","",計分!AA12^2)</f>
        <v/>
      </c>
      <c r="AB12">
        <f>IF(計分!AB12="","",計分!AB12^2)</f>
        <v/>
      </c>
      <c r="AC12">
        <f>IF(計分!AC12="","",計分!AC12^2)</f>
        <v/>
      </c>
      <c r="AD12">
        <f>IF(計分!AD12="","",計分!AD12^2)</f>
        <v/>
      </c>
      <c r="AE12">
        <f>IF(計分!AE12="","",計分!AE12^2)</f>
        <v/>
      </c>
      <c r="AF12">
        <f>IF(計分!AF12="","",計分!AF12^2)</f>
        <v/>
      </c>
      <c r="AG12">
        <f>IF(計分!AG12="","",計分!AG12^2)</f>
        <v/>
      </c>
      <c r="AH12">
        <f>IF(計分!AH12="","",計分!AH12^2)</f>
        <v/>
      </c>
      <c r="AI12">
        <f>IF(計分!AI12="","",計分!AI12^2)</f>
        <v/>
      </c>
      <c r="AJ12">
        <f>IF(計分!AJ12="","",計分!AJ12^2)</f>
        <v/>
      </c>
      <c r="AK12">
        <f>IF(計分!AK12="","",計分!AK12^2)</f>
        <v/>
      </c>
      <c r="AL12">
        <f>IF(計分!AL12="","",計分!AL12^2)</f>
        <v/>
      </c>
      <c r="AM12">
        <f>IF(計分!AM12="","",計分!AM12^2)</f>
        <v/>
      </c>
      <c r="AN12">
        <f>IF(計分!AN12="","",計分!AN12^2)</f>
        <v/>
      </c>
      <c r="AO12">
        <f>IF(計分!AO12="","",計分!AO12^2)</f>
        <v/>
      </c>
    </row>
    <row r="13">
      <c r="B13">
        <f>IF(計分!B13="","",計分!B13^2)</f>
        <v/>
      </c>
      <c r="C13">
        <f>IF(計分!C13="","",計分!C13^2)</f>
        <v/>
      </c>
      <c r="D13">
        <f>IF(計分!D13="","",計分!D13^2)</f>
        <v/>
      </c>
      <c r="E13">
        <f>IF(計分!E13="","",計分!E13^2)</f>
        <v/>
      </c>
      <c r="F13">
        <f>IF(計分!F13="","",計分!F13^2)</f>
        <v/>
      </c>
      <c r="G13">
        <f>IF(計分!G13="","",計分!G13^2)</f>
        <v/>
      </c>
      <c r="H13">
        <f>IF(計分!H13="","",計分!H13^2)</f>
        <v/>
      </c>
      <c r="I13">
        <f>IF(計分!I13="","",計分!I13^2)</f>
        <v/>
      </c>
      <c r="J13">
        <f>IF(計分!J13="","",計分!J13^2)</f>
        <v/>
      </c>
      <c r="K13">
        <f>IF(計分!K13="","",計分!K13^2)</f>
        <v/>
      </c>
      <c r="L13">
        <f>IF(計分!L13="","",計分!L13^2)</f>
        <v/>
      </c>
      <c r="M13">
        <f>IF(計分!M13="","",計分!M13^2)</f>
        <v/>
      </c>
      <c r="N13">
        <f>IF(計分!N13="","",計分!N13^2)</f>
        <v/>
      </c>
      <c r="O13">
        <f>IF(計分!O13="","",計分!O13^2)</f>
        <v/>
      </c>
      <c r="P13">
        <f>IF(計分!P13="","",計分!P13^2)</f>
        <v/>
      </c>
      <c r="Q13">
        <f>IF(計分!Q13="","",計分!Q13^2)</f>
        <v/>
      </c>
      <c r="R13">
        <f>IF(計分!R13="","",計分!R13^2)</f>
        <v/>
      </c>
      <c r="S13">
        <f>IF(計分!S13="","",計分!S13^2)</f>
        <v/>
      </c>
      <c r="T13">
        <f>IF(計分!T13="","",計分!T13^2)</f>
        <v/>
      </c>
      <c r="U13">
        <f>IF(計分!U13="","",計分!U13^2)</f>
        <v/>
      </c>
      <c r="V13">
        <f>IF(計分!V13="","",計分!V13^2)</f>
        <v/>
      </c>
      <c r="W13">
        <f>IF(計分!W13="","",計分!W13^2)</f>
        <v/>
      </c>
      <c r="X13">
        <f>IF(計分!X13="","",計分!X13^2)</f>
        <v/>
      </c>
      <c r="Y13">
        <f>IF(計分!Y13="","",計分!Y13^2)</f>
        <v/>
      </c>
      <c r="Z13">
        <f>IF(計分!Z13="","",計分!Z13^2)</f>
        <v/>
      </c>
      <c r="AA13">
        <f>IF(計分!AA13="","",計分!AA13^2)</f>
        <v/>
      </c>
      <c r="AB13">
        <f>IF(計分!AB13="","",計分!AB13^2)</f>
        <v/>
      </c>
      <c r="AC13">
        <f>IF(計分!AC13="","",計分!AC13^2)</f>
        <v/>
      </c>
      <c r="AD13">
        <f>IF(計分!AD13="","",計分!AD13^2)</f>
        <v/>
      </c>
      <c r="AE13">
        <f>IF(計分!AE13="","",計分!AE13^2)</f>
        <v/>
      </c>
      <c r="AF13">
        <f>IF(計分!AF13="","",計分!AF13^2)</f>
        <v/>
      </c>
      <c r="AG13">
        <f>IF(計分!AG13="","",計分!AG13^2)</f>
        <v/>
      </c>
      <c r="AH13">
        <f>IF(計分!AH13="","",計分!AH13^2)</f>
        <v/>
      </c>
      <c r="AI13">
        <f>IF(計分!AI13="","",計分!AI13^2)</f>
        <v/>
      </c>
      <c r="AJ13">
        <f>IF(計分!AJ13="","",計分!AJ13^2)</f>
        <v/>
      </c>
      <c r="AK13">
        <f>IF(計分!AK13="","",計分!AK13^2)</f>
        <v/>
      </c>
      <c r="AL13">
        <f>IF(計分!AL13="","",計分!AL13^2)</f>
        <v/>
      </c>
      <c r="AM13">
        <f>IF(計分!AM13="","",計分!AM13^2)</f>
        <v/>
      </c>
      <c r="AN13">
        <f>IF(計分!AN13="","",計分!AN13^2)</f>
        <v/>
      </c>
      <c r="AO13">
        <f>IF(計分!AO13="","",計分!AO13^2)</f>
        <v/>
      </c>
    </row>
    <row r="14">
      <c r="B14">
        <f>IF(計分!B14="","",計分!B14^2)</f>
        <v/>
      </c>
      <c r="C14">
        <f>IF(計分!C14="","",計分!C14^2)</f>
        <v/>
      </c>
      <c r="D14">
        <f>IF(計分!D14="","",計分!D14^2)</f>
        <v/>
      </c>
      <c r="E14">
        <f>IF(計分!E14="","",計分!E14^2)</f>
        <v/>
      </c>
      <c r="F14">
        <f>IF(計分!F14="","",計分!F14^2)</f>
        <v/>
      </c>
      <c r="G14">
        <f>IF(計分!G14="","",計分!G14^2)</f>
        <v/>
      </c>
      <c r="H14">
        <f>IF(計分!H14="","",計分!H14^2)</f>
        <v/>
      </c>
      <c r="I14">
        <f>IF(計分!I14="","",計分!I14^2)</f>
        <v/>
      </c>
      <c r="J14">
        <f>IF(計分!J14="","",計分!J14^2)</f>
        <v/>
      </c>
      <c r="K14">
        <f>IF(計分!K14="","",計分!K14^2)</f>
        <v/>
      </c>
      <c r="L14">
        <f>IF(計分!L14="","",計分!L14^2)</f>
        <v/>
      </c>
      <c r="M14">
        <f>IF(計分!M14="","",計分!M14^2)</f>
        <v/>
      </c>
      <c r="N14">
        <f>IF(計分!N14="","",計分!N14^2)</f>
        <v/>
      </c>
      <c r="O14">
        <f>IF(計分!O14="","",計分!O14^2)</f>
        <v/>
      </c>
      <c r="P14">
        <f>IF(計分!P14="","",計分!P14^2)</f>
        <v/>
      </c>
      <c r="Q14">
        <f>IF(計分!Q14="","",計分!Q14^2)</f>
        <v/>
      </c>
      <c r="R14">
        <f>IF(計分!R14="","",計分!R14^2)</f>
        <v/>
      </c>
      <c r="S14">
        <f>IF(計分!S14="","",計分!S14^2)</f>
        <v/>
      </c>
      <c r="T14">
        <f>IF(計分!T14="","",計分!T14^2)</f>
        <v/>
      </c>
      <c r="U14">
        <f>IF(計分!U14="","",計分!U14^2)</f>
        <v/>
      </c>
      <c r="V14">
        <f>IF(計分!V14="","",計分!V14^2)</f>
        <v/>
      </c>
      <c r="W14">
        <f>IF(計分!W14="","",計分!W14^2)</f>
        <v/>
      </c>
      <c r="X14">
        <f>IF(計分!X14="","",計分!X14^2)</f>
        <v/>
      </c>
      <c r="Y14">
        <f>IF(計分!Y14="","",計分!Y14^2)</f>
        <v/>
      </c>
      <c r="Z14">
        <f>IF(計分!Z14="","",計分!Z14^2)</f>
        <v/>
      </c>
      <c r="AA14">
        <f>IF(計分!AA14="","",計分!AA14^2)</f>
        <v/>
      </c>
      <c r="AB14">
        <f>IF(計分!AB14="","",計分!AB14^2)</f>
        <v/>
      </c>
      <c r="AC14">
        <f>IF(計分!AC14="","",計分!AC14^2)</f>
        <v/>
      </c>
      <c r="AD14">
        <f>IF(計分!AD14="","",計分!AD14^2)</f>
        <v/>
      </c>
      <c r="AE14">
        <f>IF(計分!AE14="","",計分!AE14^2)</f>
        <v/>
      </c>
      <c r="AF14">
        <f>IF(計分!AF14="","",計分!AF14^2)</f>
        <v/>
      </c>
      <c r="AG14">
        <f>IF(計分!AG14="","",計分!AG14^2)</f>
        <v/>
      </c>
      <c r="AH14">
        <f>IF(計分!AH14="","",計分!AH14^2)</f>
        <v/>
      </c>
      <c r="AI14">
        <f>IF(計分!AI14="","",計分!AI14^2)</f>
        <v/>
      </c>
      <c r="AJ14">
        <f>IF(計分!AJ14="","",計分!AJ14^2)</f>
        <v/>
      </c>
      <c r="AK14">
        <f>IF(計分!AK14="","",計分!AK14^2)</f>
        <v/>
      </c>
      <c r="AL14">
        <f>IF(計分!AL14="","",計分!AL14^2)</f>
        <v/>
      </c>
      <c r="AM14">
        <f>IF(計分!AM14="","",計分!AM14^2)</f>
        <v/>
      </c>
      <c r="AN14">
        <f>IF(計分!AN14="","",計分!AN14^2)</f>
        <v/>
      </c>
      <c r="AO14">
        <f>IF(計分!AO14="","",計分!AO14^2)</f>
        <v/>
      </c>
    </row>
    <row r="15">
      <c r="B15">
        <f>IF(計分!B15="","",計分!B15^2)</f>
        <v/>
      </c>
      <c r="C15">
        <f>IF(計分!C15="","",計分!C15^2)</f>
        <v/>
      </c>
      <c r="D15">
        <f>IF(計分!D15="","",計分!D15^2)</f>
        <v/>
      </c>
      <c r="E15">
        <f>IF(計分!E15="","",計分!E15^2)</f>
        <v/>
      </c>
      <c r="F15">
        <f>IF(計分!F15="","",計分!F15^2)</f>
        <v/>
      </c>
      <c r="G15">
        <f>IF(計分!G15="","",計分!G15^2)</f>
        <v/>
      </c>
      <c r="H15">
        <f>IF(計分!H15="","",計分!H15^2)</f>
        <v/>
      </c>
      <c r="I15">
        <f>IF(計分!I15="","",計分!I15^2)</f>
        <v/>
      </c>
      <c r="J15">
        <f>IF(計分!J15="","",計分!J15^2)</f>
        <v/>
      </c>
      <c r="K15">
        <f>IF(計分!K15="","",計分!K15^2)</f>
        <v/>
      </c>
      <c r="L15">
        <f>IF(計分!L15="","",計分!L15^2)</f>
        <v/>
      </c>
      <c r="M15">
        <f>IF(計分!M15="","",計分!M15^2)</f>
        <v/>
      </c>
      <c r="N15">
        <f>IF(計分!N15="","",計分!N15^2)</f>
        <v/>
      </c>
      <c r="O15">
        <f>IF(計分!O15="","",計分!O15^2)</f>
        <v/>
      </c>
      <c r="P15">
        <f>IF(計分!P15="","",計分!P15^2)</f>
        <v/>
      </c>
      <c r="Q15">
        <f>IF(計分!Q15="","",計分!Q15^2)</f>
        <v/>
      </c>
      <c r="R15">
        <f>IF(計分!R15="","",計分!R15^2)</f>
        <v/>
      </c>
      <c r="S15">
        <f>IF(計分!S15="","",計分!S15^2)</f>
        <v/>
      </c>
      <c r="T15">
        <f>IF(計分!T15="","",計分!T15^2)</f>
        <v/>
      </c>
      <c r="U15">
        <f>IF(計分!U15="","",計分!U15^2)</f>
        <v/>
      </c>
      <c r="V15">
        <f>IF(計分!V15="","",計分!V15^2)</f>
        <v/>
      </c>
      <c r="W15">
        <f>IF(計分!W15="","",計分!W15^2)</f>
        <v/>
      </c>
      <c r="X15">
        <f>IF(計分!X15="","",計分!X15^2)</f>
        <v/>
      </c>
      <c r="Y15">
        <f>IF(計分!Y15="","",計分!Y15^2)</f>
        <v/>
      </c>
      <c r="Z15">
        <f>IF(計分!Z15="","",計分!Z15^2)</f>
        <v/>
      </c>
      <c r="AA15">
        <f>IF(計分!AA15="","",計分!AA15^2)</f>
        <v/>
      </c>
      <c r="AB15">
        <f>IF(計分!AB15="","",計分!AB15^2)</f>
        <v/>
      </c>
      <c r="AC15">
        <f>IF(計分!AC15="","",計分!AC15^2)</f>
        <v/>
      </c>
      <c r="AD15">
        <f>IF(計分!AD15="","",計分!AD15^2)</f>
        <v/>
      </c>
      <c r="AE15">
        <f>IF(計分!AE15="","",計分!AE15^2)</f>
        <v/>
      </c>
      <c r="AF15">
        <f>IF(計分!AF15="","",計分!AF15^2)</f>
        <v/>
      </c>
      <c r="AG15">
        <f>IF(計分!AG15="","",計分!AG15^2)</f>
        <v/>
      </c>
      <c r="AH15">
        <f>IF(計分!AH15="","",計分!AH15^2)</f>
        <v/>
      </c>
      <c r="AI15">
        <f>IF(計分!AI15="","",計分!AI15^2)</f>
        <v/>
      </c>
      <c r="AJ15">
        <f>IF(計分!AJ15="","",計分!AJ15^2)</f>
        <v/>
      </c>
      <c r="AK15">
        <f>IF(計分!AK15="","",計分!AK15^2)</f>
        <v/>
      </c>
      <c r="AL15">
        <f>IF(計分!AL15="","",計分!AL15^2)</f>
        <v/>
      </c>
      <c r="AM15">
        <f>IF(計分!AM15="","",計分!AM15^2)</f>
        <v/>
      </c>
      <c r="AN15">
        <f>IF(計分!AN15="","",計分!AN15^2)</f>
        <v/>
      </c>
      <c r="AO15">
        <f>IF(計分!AO15="","",計分!AO15^2)</f>
        <v/>
      </c>
    </row>
    <row r="16">
      <c r="B16">
        <f>IF(計分!B16="","",計分!B16^2)</f>
        <v/>
      </c>
      <c r="C16">
        <f>IF(計分!C16="","",計分!C16^2)</f>
        <v/>
      </c>
      <c r="D16">
        <f>IF(計分!D16="","",計分!D16^2)</f>
        <v/>
      </c>
      <c r="E16">
        <f>IF(計分!E16="","",計分!E16^2)</f>
        <v/>
      </c>
      <c r="F16">
        <f>IF(計分!F16="","",計分!F16^2)</f>
        <v/>
      </c>
      <c r="G16">
        <f>IF(計分!G16="","",計分!G16^2)</f>
        <v/>
      </c>
      <c r="H16">
        <f>IF(計分!H16="","",計分!H16^2)</f>
        <v/>
      </c>
      <c r="I16">
        <f>IF(計分!I16="","",計分!I16^2)</f>
        <v/>
      </c>
      <c r="J16">
        <f>IF(計分!J16="","",計分!J16^2)</f>
        <v/>
      </c>
      <c r="K16">
        <f>IF(計分!K16="","",計分!K16^2)</f>
        <v/>
      </c>
      <c r="L16">
        <f>IF(計分!L16="","",計分!L16^2)</f>
        <v/>
      </c>
      <c r="M16">
        <f>IF(計分!M16="","",計分!M16^2)</f>
        <v/>
      </c>
      <c r="N16">
        <f>IF(計分!N16="","",計分!N16^2)</f>
        <v/>
      </c>
      <c r="O16">
        <f>IF(計分!O16="","",計分!O16^2)</f>
        <v/>
      </c>
      <c r="P16">
        <f>IF(計分!P16="","",計分!P16^2)</f>
        <v/>
      </c>
      <c r="Q16">
        <f>IF(計分!Q16="","",計分!Q16^2)</f>
        <v/>
      </c>
      <c r="R16">
        <f>IF(計分!R16="","",計分!R16^2)</f>
        <v/>
      </c>
      <c r="S16">
        <f>IF(計分!S16="","",計分!S16^2)</f>
        <v/>
      </c>
      <c r="T16">
        <f>IF(計分!T16="","",計分!T16^2)</f>
        <v/>
      </c>
      <c r="U16">
        <f>IF(計分!U16="","",計分!U16^2)</f>
        <v/>
      </c>
      <c r="V16">
        <f>IF(計分!V16="","",計分!V16^2)</f>
        <v/>
      </c>
      <c r="W16">
        <f>IF(計分!W16="","",計分!W16^2)</f>
        <v/>
      </c>
      <c r="X16">
        <f>IF(計分!X16="","",計分!X16^2)</f>
        <v/>
      </c>
      <c r="Y16">
        <f>IF(計分!Y16="","",計分!Y16^2)</f>
        <v/>
      </c>
      <c r="Z16">
        <f>IF(計分!Z16="","",計分!Z16^2)</f>
        <v/>
      </c>
      <c r="AA16">
        <f>IF(計分!AA16="","",計分!AA16^2)</f>
        <v/>
      </c>
      <c r="AB16">
        <f>IF(計分!AB16="","",計分!AB16^2)</f>
        <v/>
      </c>
      <c r="AC16">
        <f>IF(計分!AC16="","",計分!AC16^2)</f>
        <v/>
      </c>
      <c r="AD16">
        <f>IF(計分!AD16="","",計分!AD16^2)</f>
        <v/>
      </c>
      <c r="AE16">
        <f>IF(計分!AE16="","",計分!AE16^2)</f>
        <v/>
      </c>
      <c r="AF16">
        <f>IF(計分!AF16="","",計分!AF16^2)</f>
        <v/>
      </c>
      <c r="AG16">
        <f>IF(計分!AG16="","",計分!AG16^2)</f>
        <v/>
      </c>
      <c r="AH16">
        <f>IF(計分!AH16="","",計分!AH16^2)</f>
        <v/>
      </c>
      <c r="AI16">
        <f>IF(計分!AI16="","",計分!AI16^2)</f>
        <v/>
      </c>
      <c r="AJ16">
        <f>IF(計分!AJ16="","",計分!AJ16^2)</f>
        <v/>
      </c>
      <c r="AK16">
        <f>IF(計分!AK16="","",計分!AK16^2)</f>
        <v/>
      </c>
      <c r="AL16">
        <f>IF(計分!AL16="","",計分!AL16^2)</f>
        <v/>
      </c>
      <c r="AM16">
        <f>IF(計分!AM16="","",計分!AM16^2)</f>
        <v/>
      </c>
      <c r="AN16">
        <f>IF(計分!AN16="","",計分!AN16^2)</f>
        <v/>
      </c>
      <c r="AO16">
        <f>IF(計分!AO16="","",計分!AO16^2)</f>
        <v/>
      </c>
    </row>
    <row r="17">
      <c r="B17">
        <f>IF(計分!B17="","",計分!B17^2)</f>
        <v/>
      </c>
      <c r="C17">
        <f>IF(計分!C17="","",計分!C17^2)</f>
        <v/>
      </c>
      <c r="D17">
        <f>IF(計分!D17="","",計分!D17^2)</f>
        <v/>
      </c>
      <c r="E17">
        <f>IF(計分!E17="","",計分!E17^2)</f>
        <v/>
      </c>
      <c r="F17">
        <f>IF(計分!F17="","",計分!F17^2)</f>
        <v/>
      </c>
      <c r="G17">
        <f>IF(計分!G17="","",計分!G17^2)</f>
        <v/>
      </c>
      <c r="H17">
        <f>IF(計分!H17="","",計分!H17^2)</f>
        <v/>
      </c>
      <c r="I17">
        <f>IF(計分!I17="","",計分!I17^2)</f>
        <v/>
      </c>
      <c r="J17">
        <f>IF(計分!J17="","",計分!J17^2)</f>
        <v/>
      </c>
      <c r="K17">
        <f>IF(計分!K17="","",計分!K17^2)</f>
        <v/>
      </c>
      <c r="L17">
        <f>IF(計分!L17="","",計分!L17^2)</f>
        <v/>
      </c>
      <c r="M17">
        <f>IF(計分!M17="","",計分!M17^2)</f>
        <v/>
      </c>
      <c r="N17">
        <f>IF(計分!N17="","",計分!N17^2)</f>
        <v/>
      </c>
      <c r="O17">
        <f>IF(計分!O17="","",計分!O17^2)</f>
        <v/>
      </c>
      <c r="P17">
        <f>IF(計分!P17="","",計分!P17^2)</f>
        <v/>
      </c>
      <c r="Q17">
        <f>IF(計分!Q17="","",計分!Q17^2)</f>
        <v/>
      </c>
      <c r="R17">
        <f>IF(計分!R17="","",計分!R17^2)</f>
        <v/>
      </c>
      <c r="S17">
        <f>IF(計分!S17="","",計分!S17^2)</f>
        <v/>
      </c>
      <c r="T17">
        <f>IF(計分!T17="","",計分!T17^2)</f>
        <v/>
      </c>
      <c r="U17">
        <f>IF(計分!U17="","",計分!U17^2)</f>
        <v/>
      </c>
      <c r="V17">
        <f>IF(計分!V17="","",計分!V17^2)</f>
        <v/>
      </c>
      <c r="W17">
        <f>IF(計分!W17="","",計分!W17^2)</f>
        <v/>
      </c>
      <c r="X17">
        <f>IF(計分!X17="","",計分!X17^2)</f>
        <v/>
      </c>
      <c r="Y17">
        <f>IF(計分!Y17="","",計分!Y17^2)</f>
        <v/>
      </c>
      <c r="Z17">
        <f>IF(計分!Z17="","",計分!Z17^2)</f>
        <v/>
      </c>
      <c r="AA17">
        <f>IF(計分!AA17="","",計分!AA17^2)</f>
        <v/>
      </c>
      <c r="AB17">
        <f>IF(計分!AB17="","",計分!AB17^2)</f>
        <v/>
      </c>
      <c r="AC17">
        <f>IF(計分!AC17="","",計分!AC17^2)</f>
        <v/>
      </c>
      <c r="AD17">
        <f>IF(計分!AD17="","",計分!AD17^2)</f>
        <v/>
      </c>
      <c r="AE17">
        <f>IF(計分!AE17="","",計分!AE17^2)</f>
        <v/>
      </c>
      <c r="AF17">
        <f>IF(計分!AF17="","",計分!AF17^2)</f>
        <v/>
      </c>
      <c r="AG17">
        <f>IF(計分!AG17="","",計分!AG17^2)</f>
        <v/>
      </c>
      <c r="AH17">
        <f>IF(計分!AH17="","",計分!AH17^2)</f>
        <v/>
      </c>
      <c r="AI17">
        <f>IF(計分!AI17="","",計分!AI17^2)</f>
        <v/>
      </c>
      <c r="AJ17">
        <f>IF(計分!AJ17="","",計分!AJ17^2)</f>
        <v/>
      </c>
      <c r="AK17">
        <f>IF(計分!AK17="","",計分!AK17^2)</f>
        <v/>
      </c>
      <c r="AL17">
        <f>IF(計分!AL17="","",計分!AL17^2)</f>
        <v/>
      </c>
      <c r="AM17">
        <f>IF(計分!AM17="","",計分!AM17^2)</f>
        <v/>
      </c>
      <c r="AN17">
        <f>IF(計分!AN17="","",計分!AN17^2)</f>
        <v/>
      </c>
      <c r="AO17">
        <f>IF(計分!AO17="","",計分!AO17^2)</f>
        <v/>
      </c>
    </row>
    <row r="18">
      <c r="B18">
        <f>IF(計分!B18="","",計分!B18^2)</f>
        <v/>
      </c>
      <c r="C18">
        <f>IF(計分!C18="","",計分!C18^2)</f>
        <v/>
      </c>
      <c r="D18">
        <f>IF(計分!D18="","",計分!D18^2)</f>
        <v/>
      </c>
      <c r="E18">
        <f>IF(計分!E18="","",計分!E18^2)</f>
        <v/>
      </c>
      <c r="F18">
        <f>IF(計分!F18="","",計分!F18^2)</f>
        <v/>
      </c>
      <c r="G18">
        <f>IF(計分!G18="","",計分!G18^2)</f>
        <v/>
      </c>
      <c r="H18">
        <f>IF(計分!H18="","",計分!H18^2)</f>
        <v/>
      </c>
      <c r="I18">
        <f>IF(計分!I18="","",計分!I18^2)</f>
        <v/>
      </c>
      <c r="J18">
        <f>IF(計分!J18="","",計分!J18^2)</f>
        <v/>
      </c>
      <c r="K18">
        <f>IF(計分!K18="","",計分!K18^2)</f>
        <v/>
      </c>
      <c r="L18">
        <f>IF(計分!L18="","",計分!L18^2)</f>
        <v/>
      </c>
      <c r="M18">
        <f>IF(計分!M18="","",計分!M18^2)</f>
        <v/>
      </c>
      <c r="N18">
        <f>IF(計分!N18="","",計分!N18^2)</f>
        <v/>
      </c>
      <c r="O18">
        <f>IF(計分!O18="","",計分!O18^2)</f>
        <v/>
      </c>
      <c r="P18">
        <f>IF(計分!P18="","",計分!P18^2)</f>
        <v/>
      </c>
      <c r="Q18">
        <f>IF(計分!Q18="","",計分!Q18^2)</f>
        <v/>
      </c>
      <c r="R18">
        <f>IF(計分!R18="","",計分!R18^2)</f>
        <v/>
      </c>
      <c r="S18">
        <f>IF(計分!S18="","",計分!S18^2)</f>
        <v/>
      </c>
      <c r="T18">
        <f>IF(計分!T18="","",計分!T18^2)</f>
        <v/>
      </c>
      <c r="U18">
        <f>IF(計分!U18="","",計分!U18^2)</f>
        <v/>
      </c>
      <c r="V18">
        <f>IF(計分!V18="","",計分!V18^2)</f>
        <v/>
      </c>
      <c r="W18">
        <f>IF(計分!W18="","",計分!W18^2)</f>
        <v/>
      </c>
      <c r="X18">
        <f>IF(計分!X18="","",計分!X18^2)</f>
        <v/>
      </c>
      <c r="Y18">
        <f>IF(計分!Y18="","",計分!Y18^2)</f>
        <v/>
      </c>
      <c r="Z18">
        <f>IF(計分!Z18="","",計分!Z18^2)</f>
        <v/>
      </c>
      <c r="AA18">
        <f>IF(計分!AA18="","",計分!AA18^2)</f>
        <v/>
      </c>
      <c r="AB18">
        <f>IF(計分!AB18="","",計分!AB18^2)</f>
        <v/>
      </c>
      <c r="AC18">
        <f>IF(計分!AC18="","",計分!AC18^2)</f>
        <v/>
      </c>
      <c r="AD18">
        <f>IF(計分!AD18="","",計分!AD18^2)</f>
        <v/>
      </c>
      <c r="AE18">
        <f>IF(計分!AE18="","",計分!AE18^2)</f>
        <v/>
      </c>
      <c r="AF18">
        <f>IF(計分!AF18="","",計分!AF18^2)</f>
        <v/>
      </c>
      <c r="AG18">
        <f>IF(計分!AG18="","",計分!AG18^2)</f>
        <v/>
      </c>
      <c r="AH18">
        <f>IF(計分!AH18="","",計分!AH18^2)</f>
        <v/>
      </c>
      <c r="AI18">
        <f>IF(計分!AI18="","",計分!AI18^2)</f>
        <v/>
      </c>
      <c r="AJ18">
        <f>IF(計分!AJ18="","",計分!AJ18^2)</f>
        <v/>
      </c>
      <c r="AK18">
        <f>IF(計分!AK18="","",計分!AK18^2)</f>
        <v/>
      </c>
      <c r="AL18">
        <f>IF(計分!AL18="","",計分!AL18^2)</f>
        <v/>
      </c>
      <c r="AM18">
        <f>IF(計分!AM18="","",計分!AM18^2)</f>
        <v/>
      </c>
      <c r="AN18">
        <f>IF(計分!AN18="","",計分!AN18^2)</f>
        <v/>
      </c>
      <c r="AO18">
        <f>IF(計分!AO18="","",計分!AO18^2)</f>
        <v/>
      </c>
    </row>
    <row r="19">
      <c r="B19">
        <f>IF(計分!B19="","",計分!B19^2)</f>
        <v/>
      </c>
      <c r="C19">
        <f>IF(計分!C19="","",計分!C19^2)</f>
        <v/>
      </c>
      <c r="D19">
        <f>IF(計分!D19="","",計分!D19^2)</f>
        <v/>
      </c>
      <c r="E19">
        <f>IF(計分!E19="","",計分!E19^2)</f>
        <v/>
      </c>
      <c r="F19">
        <f>IF(計分!F19="","",計分!F19^2)</f>
        <v/>
      </c>
      <c r="G19">
        <f>IF(計分!G19="","",計分!G19^2)</f>
        <v/>
      </c>
      <c r="H19">
        <f>IF(計分!H19="","",計分!H19^2)</f>
        <v/>
      </c>
      <c r="I19">
        <f>IF(計分!I19="","",計分!I19^2)</f>
        <v/>
      </c>
      <c r="J19">
        <f>IF(計分!J19="","",計分!J19^2)</f>
        <v/>
      </c>
      <c r="K19">
        <f>IF(計分!K19="","",計分!K19^2)</f>
        <v/>
      </c>
      <c r="L19">
        <f>IF(計分!L19="","",計分!L19^2)</f>
        <v/>
      </c>
      <c r="M19">
        <f>IF(計分!M19="","",計分!M19^2)</f>
        <v/>
      </c>
      <c r="N19">
        <f>IF(計分!N19="","",計分!N19^2)</f>
        <v/>
      </c>
      <c r="O19">
        <f>IF(計分!O19="","",計分!O19^2)</f>
        <v/>
      </c>
      <c r="P19">
        <f>IF(計分!P19="","",計分!P19^2)</f>
        <v/>
      </c>
      <c r="Q19">
        <f>IF(計分!Q19="","",計分!Q19^2)</f>
        <v/>
      </c>
      <c r="R19">
        <f>IF(計分!R19="","",計分!R19^2)</f>
        <v/>
      </c>
      <c r="S19">
        <f>IF(計分!S19="","",計分!S19^2)</f>
        <v/>
      </c>
      <c r="T19">
        <f>IF(計分!T19="","",計分!T19^2)</f>
        <v/>
      </c>
      <c r="U19">
        <f>IF(計分!U19="","",計分!U19^2)</f>
        <v/>
      </c>
      <c r="V19">
        <f>IF(計分!V19="","",計分!V19^2)</f>
        <v/>
      </c>
      <c r="W19">
        <f>IF(計分!W19="","",計分!W19^2)</f>
        <v/>
      </c>
      <c r="X19">
        <f>IF(計分!X19="","",計分!X19^2)</f>
        <v/>
      </c>
      <c r="Y19">
        <f>IF(計分!Y19="","",計分!Y19^2)</f>
        <v/>
      </c>
      <c r="Z19">
        <f>IF(計分!Z19="","",計分!Z19^2)</f>
        <v/>
      </c>
      <c r="AA19">
        <f>IF(計分!AA19="","",計分!AA19^2)</f>
        <v/>
      </c>
      <c r="AB19">
        <f>IF(計分!AB19="","",計分!AB19^2)</f>
        <v/>
      </c>
      <c r="AC19">
        <f>IF(計分!AC19="","",計分!AC19^2)</f>
        <v/>
      </c>
      <c r="AD19">
        <f>IF(計分!AD19="","",計分!AD19^2)</f>
        <v/>
      </c>
      <c r="AE19">
        <f>IF(計分!AE19="","",計分!AE19^2)</f>
        <v/>
      </c>
      <c r="AF19">
        <f>IF(計分!AF19="","",計分!AF19^2)</f>
        <v/>
      </c>
      <c r="AG19">
        <f>IF(計分!AG19="","",計分!AG19^2)</f>
        <v/>
      </c>
      <c r="AH19">
        <f>IF(計分!AH19="","",計分!AH19^2)</f>
        <v/>
      </c>
      <c r="AI19">
        <f>IF(計分!AI19="","",計分!AI19^2)</f>
        <v/>
      </c>
      <c r="AJ19">
        <f>IF(計分!AJ19="","",計分!AJ19^2)</f>
        <v/>
      </c>
      <c r="AK19">
        <f>IF(計分!AK19="","",計分!AK19^2)</f>
        <v/>
      </c>
      <c r="AL19">
        <f>IF(計分!AL19="","",計分!AL19^2)</f>
        <v/>
      </c>
      <c r="AM19">
        <f>IF(計分!AM19="","",計分!AM19^2)</f>
        <v/>
      </c>
      <c r="AN19">
        <f>IF(計分!AN19="","",計分!AN19^2)</f>
        <v/>
      </c>
      <c r="AO19">
        <f>IF(計分!AO19="","",計分!AO19^2)</f>
        <v/>
      </c>
    </row>
    <row r="20">
      <c r="B20">
        <f>IF(計分!B20="","",計分!B20^2)</f>
        <v/>
      </c>
      <c r="C20">
        <f>IF(計分!C20="","",計分!C20^2)</f>
        <v/>
      </c>
      <c r="D20">
        <f>IF(計分!D20="","",計分!D20^2)</f>
        <v/>
      </c>
      <c r="E20">
        <f>IF(計分!E20="","",計分!E20^2)</f>
        <v/>
      </c>
      <c r="F20">
        <f>IF(計分!F20="","",計分!F20^2)</f>
        <v/>
      </c>
      <c r="G20">
        <f>IF(計分!G20="","",計分!G20^2)</f>
        <v/>
      </c>
      <c r="H20">
        <f>IF(計分!H20="","",計分!H20^2)</f>
        <v/>
      </c>
      <c r="I20">
        <f>IF(計分!I20="","",計分!I20^2)</f>
        <v/>
      </c>
      <c r="J20">
        <f>IF(計分!J20="","",計分!J20^2)</f>
        <v/>
      </c>
      <c r="K20">
        <f>IF(計分!K20="","",計分!K20^2)</f>
        <v/>
      </c>
      <c r="L20">
        <f>IF(計分!L20="","",計分!L20^2)</f>
        <v/>
      </c>
      <c r="M20">
        <f>IF(計分!M20="","",計分!M20^2)</f>
        <v/>
      </c>
      <c r="N20">
        <f>IF(計分!N20="","",計分!N20^2)</f>
        <v/>
      </c>
      <c r="O20">
        <f>IF(計分!O20="","",計分!O20^2)</f>
        <v/>
      </c>
      <c r="P20">
        <f>IF(計分!P20="","",計分!P20^2)</f>
        <v/>
      </c>
      <c r="Q20">
        <f>IF(計分!Q20="","",計分!Q20^2)</f>
        <v/>
      </c>
      <c r="R20">
        <f>IF(計分!R20="","",計分!R20^2)</f>
        <v/>
      </c>
      <c r="S20">
        <f>IF(計分!S20="","",計分!S20^2)</f>
        <v/>
      </c>
      <c r="T20">
        <f>IF(計分!T20="","",計分!T20^2)</f>
        <v/>
      </c>
      <c r="U20">
        <f>IF(計分!U20="","",計分!U20^2)</f>
        <v/>
      </c>
      <c r="V20">
        <f>IF(計分!V20="","",計分!V20^2)</f>
        <v/>
      </c>
      <c r="W20">
        <f>IF(計分!W20="","",計分!W20^2)</f>
        <v/>
      </c>
      <c r="X20">
        <f>IF(計分!X20="","",計分!X20^2)</f>
        <v/>
      </c>
      <c r="Y20">
        <f>IF(計分!Y20="","",計分!Y20^2)</f>
        <v/>
      </c>
      <c r="Z20">
        <f>IF(計分!Z20="","",計分!Z20^2)</f>
        <v/>
      </c>
      <c r="AA20">
        <f>IF(計分!AA20="","",計分!AA20^2)</f>
        <v/>
      </c>
      <c r="AB20">
        <f>IF(計分!AB20="","",計分!AB20^2)</f>
        <v/>
      </c>
      <c r="AC20">
        <f>IF(計分!AC20="","",計分!AC20^2)</f>
        <v/>
      </c>
      <c r="AD20">
        <f>IF(計分!AD20="","",計分!AD20^2)</f>
        <v/>
      </c>
      <c r="AE20">
        <f>IF(計分!AE20="","",計分!AE20^2)</f>
        <v/>
      </c>
      <c r="AF20">
        <f>IF(計分!AF20="","",計分!AF20^2)</f>
        <v/>
      </c>
      <c r="AG20">
        <f>IF(計分!AG20="","",計分!AG20^2)</f>
        <v/>
      </c>
      <c r="AH20">
        <f>IF(計分!AH20="","",計分!AH20^2)</f>
        <v/>
      </c>
      <c r="AI20">
        <f>IF(計分!AI20="","",計分!AI20^2)</f>
        <v/>
      </c>
      <c r="AJ20">
        <f>IF(計分!AJ20="","",計分!AJ20^2)</f>
        <v/>
      </c>
      <c r="AK20">
        <f>IF(計分!AK20="","",計分!AK20^2)</f>
        <v/>
      </c>
      <c r="AL20">
        <f>IF(計分!AL20="","",計分!AL20^2)</f>
        <v/>
      </c>
      <c r="AM20">
        <f>IF(計分!AM20="","",計分!AM20^2)</f>
        <v/>
      </c>
      <c r="AN20">
        <f>IF(計分!AN20="","",計分!AN20^2)</f>
        <v/>
      </c>
      <c r="AO20">
        <f>IF(計分!AO20="","",計分!AO20^2)</f>
        <v/>
      </c>
    </row>
    <row r="21">
      <c r="B21">
        <f>IF(計分!B21="","",計分!B21^2)</f>
        <v/>
      </c>
      <c r="C21">
        <f>IF(計分!C21="","",計分!C21^2)</f>
        <v/>
      </c>
      <c r="D21">
        <f>IF(計分!D21="","",計分!D21^2)</f>
        <v/>
      </c>
      <c r="E21">
        <f>IF(計分!E21="","",計分!E21^2)</f>
        <v/>
      </c>
      <c r="F21">
        <f>IF(計分!F21="","",計分!F21^2)</f>
        <v/>
      </c>
      <c r="G21">
        <f>IF(計分!G21="","",計分!G21^2)</f>
        <v/>
      </c>
      <c r="H21">
        <f>IF(計分!H21="","",計分!H21^2)</f>
        <v/>
      </c>
      <c r="I21">
        <f>IF(計分!I21="","",計分!I21^2)</f>
        <v/>
      </c>
      <c r="J21">
        <f>IF(計分!J21="","",計分!J21^2)</f>
        <v/>
      </c>
      <c r="K21">
        <f>IF(計分!K21="","",計分!K21^2)</f>
        <v/>
      </c>
      <c r="L21">
        <f>IF(計分!L21="","",計分!L21^2)</f>
        <v/>
      </c>
      <c r="M21">
        <f>IF(計分!M21="","",計分!M21^2)</f>
        <v/>
      </c>
      <c r="N21">
        <f>IF(計分!N21="","",計分!N21^2)</f>
        <v/>
      </c>
      <c r="O21">
        <f>IF(計分!O21="","",計分!O21^2)</f>
        <v/>
      </c>
      <c r="P21">
        <f>IF(計分!P21="","",計分!P21^2)</f>
        <v/>
      </c>
      <c r="Q21">
        <f>IF(計分!Q21="","",計分!Q21^2)</f>
        <v/>
      </c>
      <c r="R21">
        <f>IF(計分!R21="","",計分!R21^2)</f>
        <v/>
      </c>
      <c r="S21">
        <f>IF(計分!S21="","",計分!S21^2)</f>
        <v/>
      </c>
      <c r="T21">
        <f>IF(計分!T21="","",計分!T21^2)</f>
        <v/>
      </c>
      <c r="U21">
        <f>IF(計分!U21="","",計分!U21^2)</f>
        <v/>
      </c>
      <c r="V21">
        <f>IF(計分!V21="","",計分!V21^2)</f>
        <v/>
      </c>
      <c r="W21">
        <f>IF(計分!W21="","",計分!W21^2)</f>
        <v/>
      </c>
      <c r="X21">
        <f>IF(計分!X21="","",計分!X21^2)</f>
        <v/>
      </c>
      <c r="Y21">
        <f>IF(計分!Y21="","",計分!Y21^2)</f>
        <v/>
      </c>
      <c r="Z21">
        <f>IF(計分!Z21="","",計分!Z21^2)</f>
        <v/>
      </c>
      <c r="AA21">
        <f>IF(計分!AA21="","",計分!AA21^2)</f>
        <v/>
      </c>
      <c r="AB21">
        <f>IF(計分!AB21="","",計分!AB21^2)</f>
        <v/>
      </c>
      <c r="AC21">
        <f>IF(計分!AC21="","",計分!AC21^2)</f>
        <v/>
      </c>
      <c r="AD21">
        <f>IF(計分!AD21="","",計分!AD21^2)</f>
        <v/>
      </c>
      <c r="AE21">
        <f>IF(計分!AE21="","",計分!AE21^2)</f>
        <v/>
      </c>
      <c r="AF21">
        <f>IF(計分!AF21="","",計分!AF21^2)</f>
        <v/>
      </c>
      <c r="AG21">
        <f>IF(計分!AG21="","",計分!AG21^2)</f>
        <v/>
      </c>
      <c r="AH21">
        <f>IF(計分!AH21="","",計分!AH21^2)</f>
        <v/>
      </c>
      <c r="AI21">
        <f>IF(計分!AI21="","",計分!AI21^2)</f>
        <v/>
      </c>
      <c r="AJ21">
        <f>IF(計分!AJ21="","",計分!AJ21^2)</f>
        <v/>
      </c>
      <c r="AK21">
        <f>IF(計分!AK21="","",計分!AK21^2)</f>
        <v/>
      </c>
      <c r="AL21">
        <f>IF(計分!AL21="","",計分!AL21^2)</f>
        <v/>
      </c>
      <c r="AM21">
        <f>IF(計分!AM21="","",計分!AM21^2)</f>
        <v/>
      </c>
      <c r="AN21">
        <f>IF(計分!AN21="","",計分!AN21^2)</f>
        <v/>
      </c>
      <c r="AO21">
        <f>IF(計分!AO21="","",計分!AO21^2)</f>
        <v/>
      </c>
    </row>
    <row r="22">
      <c r="B22">
        <f>IF(計分!B22="","",計分!B22^2)</f>
        <v/>
      </c>
      <c r="C22">
        <f>IF(計分!C22="","",計分!C22^2)</f>
        <v/>
      </c>
      <c r="D22">
        <f>IF(計分!D22="","",計分!D22^2)</f>
        <v/>
      </c>
      <c r="E22">
        <f>IF(計分!E22="","",計分!E22^2)</f>
        <v/>
      </c>
      <c r="F22">
        <f>IF(計分!F22="","",計分!F22^2)</f>
        <v/>
      </c>
      <c r="G22">
        <f>IF(計分!G22="","",計分!G22^2)</f>
        <v/>
      </c>
      <c r="H22">
        <f>IF(計分!H22="","",計分!H22^2)</f>
        <v/>
      </c>
      <c r="I22">
        <f>IF(計分!I22="","",計分!I22^2)</f>
        <v/>
      </c>
      <c r="J22">
        <f>IF(計分!J22="","",計分!J22^2)</f>
        <v/>
      </c>
      <c r="K22">
        <f>IF(計分!K22="","",計分!K22^2)</f>
        <v/>
      </c>
      <c r="L22">
        <f>IF(計分!L22="","",計分!L22^2)</f>
        <v/>
      </c>
      <c r="M22">
        <f>IF(計分!M22="","",計分!M22^2)</f>
        <v/>
      </c>
      <c r="N22">
        <f>IF(計分!N22="","",計分!N22^2)</f>
        <v/>
      </c>
      <c r="O22">
        <f>IF(計分!O22="","",計分!O22^2)</f>
        <v/>
      </c>
      <c r="P22">
        <f>IF(計分!P22="","",計分!P22^2)</f>
        <v/>
      </c>
      <c r="Q22">
        <f>IF(計分!Q22="","",計分!Q22^2)</f>
        <v/>
      </c>
      <c r="R22">
        <f>IF(計分!R22="","",計分!R22^2)</f>
        <v/>
      </c>
      <c r="S22">
        <f>IF(計分!S22="","",計分!S22^2)</f>
        <v/>
      </c>
      <c r="T22">
        <f>IF(計分!T22="","",計分!T22^2)</f>
        <v/>
      </c>
      <c r="U22">
        <f>IF(計分!U22="","",計分!U22^2)</f>
        <v/>
      </c>
      <c r="V22">
        <f>IF(計分!V22="","",計分!V22^2)</f>
        <v/>
      </c>
      <c r="W22">
        <f>IF(計分!W22="","",計分!W22^2)</f>
        <v/>
      </c>
      <c r="X22">
        <f>IF(計分!X22="","",計分!X22^2)</f>
        <v/>
      </c>
      <c r="Y22">
        <f>IF(計分!Y22="","",計分!Y22^2)</f>
        <v/>
      </c>
      <c r="Z22">
        <f>IF(計分!Z22="","",計分!Z22^2)</f>
        <v/>
      </c>
      <c r="AA22">
        <f>IF(計分!AA22="","",計分!AA22^2)</f>
        <v/>
      </c>
      <c r="AB22">
        <f>IF(計分!AB22="","",計分!AB22^2)</f>
        <v/>
      </c>
      <c r="AC22">
        <f>IF(計分!AC22="","",計分!AC22^2)</f>
        <v/>
      </c>
      <c r="AD22">
        <f>IF(計分!AD22="","",計分!AD22^2)</f>
        <v/>
      </c>
      <c r="AE22">
        <f>IF(計分!AE22="","",計分!AE22^2)</f>
        <v/>
      </c>
      <c r="AF22">
        <f>IF(計分!AF22="","",計分!AF22^2)</f>
        <v/>
      </c>
      <c r="AG22">
        <f>IF(計分!AG22="","",計分!AG22^2)</f>
        <v/>
      </c>
      <c r="AH22">
        <f>IF(計分!AH22="","",計分!AH22^2)</f>
        <v/>
      </c>
      <c r="AI22">
        <f>IF(計分!AI22="","",計分!AI22^2)</f>
        <v/>
      </c>
      <c r="AJ22">
        <f>IF(計分!AJ22="","",計分!AJ22^2)</f>
        <v/>
      </c>
      <c r="AK22">
        <f>IF(計分!AK22="","",計分!AK22^2)</f>
        <v/>
      </c>
      <c r="AL22">
        <f>IF(計分!AL22="","",計分!AL22^2)</f>
        <v/>
      </c>
      <c r="AM22">
        <f>IF(計分!AM22="","",計分!AM22^2)</f>
        <v/>
      </c>
      <c r="AN22">
        <f>IF(計分!AN22="","",計分!AN22^2)</f>
        <v/>
      </c>
      <c r="AO22">
        <f>IF(計分!AO22="","",計分!AO22^2)</f>
        <v/>
      </c>
    </row>
    <row r="23">
      <c r="B23">
        <f>IF(計分!B23="","",計分!B23^2)</f>
        <v/>
      </c>
      <c r="C23">
        <f>IF(計分!C23="","",計分!C23^2)</f>
        <v/>
      </c>
      <c r="D23">
        <f>IF(計分!D23="","",計分!D23^2)</f>
        <v/>
      </c>
      <c r="E23">
        <f>IF(計分!E23="","",計分!E23^2)</f>
        <v/>
      </c>
      <c r="F23">
        <f>IF(計分!F23="","",計分!F23^2)</f>
        <v/>
      </c>
      <c r="G23">
        <f>IF(計分!G23="","",計分!G23^2)</f>
        <v/>
      </c>
      <c r="H23">
        <f>IF(計分!H23="","",計分!H23^2)</f>
        <v/>
      </c>
      <c r="I23">
        <f>IF(計分!I23="","",計分!I23^2)</f>
        <v/>
      </c>
      <c r="J23">
        <f>IF(計分!J23="","",計分!J23^2)</f>
        <v/>
      </c>
      <c r="K23">
        <f>IF(計分!K23="","",計分!K23^2)</f>
        <v/>
      </c>
      <c r="L23">
        <f>IF(計分!L23="","",計分!L23^2)</f>
        <v/>
      </c>
      <c r="M23">
        <f>IF(計分!M23="","",計分!M23^2)</f>
        <v/>
      </c>
      <c r="N23">
        <f>IF(計分!N23="","",計分!N23^2)</f>
        <v/>
      </c>
      <c r="O23">
        <f>IF(計分!O23="","",計分!O23^2)</f>
        <v/>
      </c>
      <c r="P23">
        <f>IF(計分!P23="","",計分!P23^2)</f>
        <v/>
      </c>
      <c r="Q23">
        <f>IF(計分!Q23="","",計分!Q23^2)</f>
        <v/>
      </c>
      <c r="R23">
        <f>IF(計分!R23="","",計分!R23^2)</f>
        <v/>
      </c>
      <c r="S23">
        <f>IF(計分!S23="","",計分!S23^2)</f>
        <v/>
      </c>
      <c r="T23">
        <f>IF(計分!T23="","",計分!T23^2)</f>
        <v/>
      </c>
      <c r="U23">
        <f>IF(計分!U23="","",計分!U23^2)</f>
        <v/>
      </c>
      <c r="V23">
        <f>IF(計分!V23="","",計分!V23^2)</f>
        <v/>
      </c>
      <c r="W23">
        <f>IF(計分!W23="","",計分!W23^2)</f>
        <v/>
      </c>
      <c r="X23">
        <f>IF(計分!X23="","",計分!X23^2)</f>
        <v/>
      </c>
      <c r="Y23">
        <f>IF(計分!Y23="","",計分!Y23^2)</f>
        <v/>
      </c>
      <c r="Z23">
        <f>IF(計分!Z23="","",計分!Z23^2)</f>
        <v/>
      </c>
      <c r="AA23">
        <f>IF(計分!AA23="","",計分!AA23^2)</f>
        <v/>
      </c>
      <c r="AB23">
        <f>IF(計分!AB23="","",計分!AB23^2)</f>
        <v/>
      </c>
      <c r="AC23">
        <f>IF(計分!AC23="","",計分!AC23^2)</f>
        <v/>
      </c>
      <c r="AD23">
        <f>IF(計分!AD23="","",計分!AD23^2)</f>
        <v/>
      </c>
      <c r="AE23">
        <f>IF(計分!AE23="","",計分!AE23^2)</f>
        <v/>
      </c>
      <c r="AF23">
        <f>IF(計分!AF23="","",計分!AF23^2)</f>
        <v/>
      </c>
      <c r="AG23">
        <f>IF(計分!AG23="","",計分!AG23^2)</f>
        <v/>
      </c>
      <c r="AH23">
        <f>IF(計分!AH23="","",計分!AH23^2)</f>
        <v/>
      </c>
      <c r="AI23">
        <f>IF(計分!AI23="","",計分!AI23^2)</f>
        <v/>
      </c>
      <c r="AJ23">
        <f>IF(計分!AJ23="","",計分!AJ23^2)</f>
        <v/>
      </c>
      <c r="AK23">
        <f>IF(計分!AK23="","",計分!AK23^2)</f>
        <v/>
      </c>
      <c r="AL23">
        <f>IF(計分!AL23="","",計分!AL23^2)</f>
        <v/>
      </c>
      <c r="AM23">
        <f>IF(計分!AM23="","",計分!AM23^2)</f>
        <v/>
      </c>
      <c r="AN23">
        <f>IF(計分!AN23="","",計分!AN23^2)</f>
        <v/>
      </c>
      <c r="AO23">
        <f>IF(計分!AO23="","",計分!AO23^2)</f>
        <v/>
      </c>
    </row>
    <row r="24">
      <c r="B24">
        <f>IF(計分!B24="","",計分!B24^2)</f>
        <v/>
      </c>
      <c r="C24">
        <f>IF(計分!C24="","",計分!C24^2)</f>
        <v/>
      </c>
      <c r="D24">
        <f>IF(計分!D24="","",計分!D24^2)</f>
        <v/>
      </c>
      <c r="E24">
        <f>IF(計分!E24="","",計分!E24^2)</f>
        <v/>
      </c>
      <c r="F24">
        <f>IF(計分!F24="","",計分!F24^2)</f>
        <v/>
      </c>
      <c r="G24">
        <f>IF(計分!G24="","",計分!G24^2)</f>
        <v/>
      </c>
      <c r="H24">
        <f>IF(計分!H24="","",計分!H24^2)</f>
        <v/>
      </c>
      <c r="I24">
        <f>IF(計分!I24="","",計分!I24^2)</f>
        <v/>
      </c>
      <c r="J24">
        <f>IF(計分!J24="","",計分!J24^2)</f>
        <v/>
      </c>
      <c r="K24">
        <f>IF(計分!K24="","",計分!K24^2)</f>
        <v/>
      </c>
      <c r="L24">
        <f>IF(計分!L24="","",計分!L24^2)</f>
        <v/>
      </c>
      <c r="M24">
        <f>IF(計分!M24="","",計分!M24^2)</f>
        <v/>
      </c>
      <c r="N24">
        <f>IF(計分!N24="","",計分!N24^2)</f>
        <v/>
      </c>
      <c r="O24">
        <f>IF(計分!O24="","",計分!O24^2)</f>
        <v/>
      </c>
      <c r="P24">
        <f>IF(計分!P24="","",計分!P24^2)</f>
        <v/>
      </c>
      <c r="Q24">
        <f>IF(計分!Q24="","",計分!Q24^2)</f>
        <v/>
      </c>
      <c r="R24">
        <f>IF(計分!R24="","",計分!R24^2)</f>
        <v/>
      </c>
      <c r="S24">
        <f>IF(計分!S24="","",計分!S24^2)</f>
        <v/>
      </c>
      <c r="T24">
        <f>IF(計分!T24="","",計分!T24^2)</f>
        <v/>
      </c>
      <c r="U24">
        <f>IF(計分!U24="","",計分!U24^2)</f>
        <v/>
      </c>
      <c r="V24">
        <f>IF(計分!V24="","",計分!V24^2)</f>
        <v/>
      </c>
      <c r="W24">
        <f>IF(計分!W24="","",計分!W24^2)</f>
        <v/>
      </c>
      <c r="X24">
        <f>IF(計分!X24="","",計分!X24^2)</f>
        <v/>
      </c>
      <c r="Y24">
        <f>IF(計分!Y24="","",計分!Y24^2)</f>
        <v/>
      </c>
      <c r="Z24">
        <f>IF(計分!Z24="","",計分!Z24^2)</f>
        <v/>
      </c>
      <c r="AA24">
        <f>IF(計分!AA24="","",計分!AA24^2)</f>
        <v/>
      </c>
      <c r="AB24">
        <f>IF(計分!AB24="","",計分!AB24^2)</f>
        <v/>
      </c>
      <c r="AC24">
        <f>IF(計分!AC24="","",計分!AC24^2)</f>
        <v/>
      </c>
      <c r="AD24">
        <f>IF(計分!AD24="","",計分!AD24^2)</f>
        <v/>
      </c>
      <c r="AE24">
        <f>IF(計分!AE24="","",計分!AE24^2)</f>
        <v/>
      </c>
      <c r="AF24">
        <f>IF(計分!AF24="","",計分!AF24^2)</f>
        <v/>
      </c>
      <c r="AG24">
        <f>IF(計分!AG24="","",計分!AG24^2)</f>
        <v/>
      </c>
      <c r="AH24">
        <f>IF(計分!AH24="","",計分!AH24^2)</f>
        <v/>
      </c>
      <c r="AI24">
        <f>IF(計分!AI24="","",計分!AI24^2)</f>
        <v/>
      </c>
      <c r="AJ24">
        <f>IF(計分!AJ24="","",計分!AJ24^2)</f>
        <v/>
      </c>
      <c r="AK24">
        <f>IF(計分!AK24="","",計分!AK24^2)</f>
        <v/>
      </c>
      <c r="AL24">
        <f>IF(計分!AL24="","",計分!AL24^2)</f>
        <v/>
      </c>
      <c r="AM24">
        <f>IF(計分!AM24="","",計分!AM24^2)</f>
        <v/>
      </c>
      <c r="AN24">
        <f>IF(計分!AN24="","",計分!AN24^2)</f>
        <v/>
      </c>
      <c r="AO24">
        <f>IF(計分!AO24="","",計分!AO24^2)</f>
        <v/>
      </c>
    </row>
    <row r="25">
      <c r="B25">
        <f>IF(計分!B25="","",計分!B25^2)</f>
        <v/>
      </c>
      <c r="C25">
        <f>IF(計分!C25="","",計分!C25^2)</f>
        <v/>
      </c>
      <c r="D25">
        <f>IF(計分!D25="","",計分!D25^2)</f>
        <v/>
      </c>
      <c r="E25">
        <f>IF(計分!E25="","",計分!E25^2)</f>
        <v/>
      </c>
      <c r="F25">
        <f>IF(計分!F25="","",計分!F25^2)</f>
        <v/>
      </c>
      <c r="G25">
        <f>IF(計分!G25="","",計分!G25^2)</f>
        <v/>
      </c>
      <c r="H25">
        <f>IF(計分!H25="","",計分!H25^2)</f>
        <v/>
      </c>
      <c r="I25">
        <f>IF(計分!I25="","",計分!I25^2)</f>
        <v/>
      </c>
      <c r="J25">
        <f>IF(計分!J25="","",計分!J25^2)</f>
        <v/>
      </c>
      <c r="K25">
        <f>IF(計分!K25="","",計分!K25^2)</f>
        <v/>
      </c>
      <c r="L25">
        <f>IF(計分!L25="","",計分!L25^2)</f>
        <v/>
      </c>
      <c r="M25">
        <f>IF(計分!M25="","",計分!M25^2)</f>
        <v/>
      </c>
      <c r="N25">
        <f>IF(計分!N25="","",計分!N25^2)</f>
        <v/>
      </c>
      <c r="O25">
        <f>IF(計分!O25="","",計分!O25^2)</f>
        <v/>
      </c>
      <c r="P25">
        <f>IF(計分!P25="","",計分!P25^2)</f>
        <v/>
      </c>
      <c r="Q25">
        <f>IF(計分!Q25="","",計分!Q25^2)</f>
        <v/>
      </c>
      <c r="R25">
        <f>IF(計分!R25="","",計分!R25^2)</f>
        <v/>
      </c>
      <c r="S25">
        <f>IF(計分!S25="","",計分!S25^2)</f>
        <v/>
      </c>
      <c r="T25">
        <f>IF(計分!T25="","",計分!T25^2)</f>
        <v/>
      </c>
      <c r="U25">
        <f>IF(計分!U25="","",計分!U25^2)</f>
        <v/>
      </c>
      <c r="V25">
        <f>IF(計分!V25="","",計分!V25^2)</f>
        <v/>
      </c>
      <c r="W25">
        <f>IF(計分!W25="","",計分!W25^2)</f>
        <v/>
      </c>
      <c r="X25">
        <f>IF(計分!X25="","",計分!X25^2)</f>
        <v/>
      </c>
      <c r="Y25">
        <f>IF(計分!Y25="","",計分!Y25^2)</f>
        <v/>
      </c>
      <c r="Z25">
        <f>IF(計分!Z25="","",計分!Z25^2)</f>
        <v/>
      </c>
      <c r="AA25">
        <f>IF(計分!AA25="","",計分!AA25^2)</f>
        <v/>
      </c>
      <c r="AB25">
        <f>IF(計分!AB25="","",計分!AB25^2)</f>
        <v/>
      </c>
      <c r="AC25">
        <f>IF(計分!AC25="","",計分!AC25^2)</f>
        <v/>
      </c>
      <c r="AD25">
        <f>IF(計分!AD25="","",計分!AD25^2)</f>
        <v/>
      </c>
      <c r="AE25">
        <f>IF(計分!AE25="","",計分!AE25^2)</f>
        <v/>
      </c>
      <c r="AF25">
        <f>IF(計分!AF25="","",計分!AF25^2)</f>
        <v/>
      </c>
      <c r="AG25">
        <f>IF(計分!AG25="","",計分!AG25^2)</f>
        <v/>
      </c>
      <c r="AH25">
        <f>IF(計分!AH25="","",計分!AH25^2)</f>
        <v/>
      </c>
      <c r="AI25">
        <f>IF(計分!AI25="","",計分!AI25^2)</f>
        <v/>
      </c>
      <c r="AJ25">
        <f>IF(計分!AJ25="","",計分!AJ25^2)</f>
        <v/>
      </c>
      <c r="AK25">
        <f>IF(計分!AK25="","",計分!AK25^2)</f>
        <v/>
      </c>
      <c r="AL25">
        <f>IF(計分!AL25="","",計分!AL25^2)</f>
        <v/>
      </c>
      <c r="AM25">
        <f>IF(計分!AM25="","",計分!AM25^2)</f>
        <v/>
      </c>
      <c r="AN25">
        <f>IF(計分!AN25="","",計分!AN25^2)</f>
        <v/>
      </c>
      <c r="AO25">
        <f>IF(計分!AO25="","",計分!AO25^2)</f>
        <v/>
      </c>
    </row>
    <row r="26">
      <c r="B26">
        <f>IF(計分!B26="","",計分!B26^2)</f>
        <v/>
      </c>
      <c r="C26">
        <f>IF(計分!C26="","",計分!C26^2)</f>
        <v/>
      </c>
      <c r="D26">
        <f>IF(計分!D26="","",計分!D26^2)</f>
        <v/>
      </c>
      <c r="E26">
        <f>IF(計分!E26="","",計分!E26^2)</f>
        <v/>
      </c>
      <c r="F26">
        <f>IF(計分!F26="","",計分!F26^2)</f>
        <v/>
      </c>
      <c r="G26">
        <f>IF(計分!G26="","",計分!G26^2)</f>
        <v/>
      </c>
      <c r="H26">
        <f>IF(計分!H26="","",計分!H26^2)</f>
        <v/>
      </c>
      <c r="I26">
        <f>IF(計分!I26="","",計分!I26^2)</f>
        <v/>
      </c>
      <c r="J26">
        <f>IF(計分!J26="","",計分!J26^2)</f>
        <v/>
      </c>
      <c r="K26">
        <f>IF(計分!K26="","",計分!K26^2)</f>
        <v/>
      </c>
      <c r="L26">
        <f>IF(計分!L26="","",計分!L26^2)</f>
        <v/>
      </c>
      <c r="M26">
        <f>IF(計分!M26="","",計分!M26^2)</f>
        <v/>
      </c>
      <c r="N26">
        <f>IF(計分!N26="","",計分!N26^2)</f>
        <v/>
      </c>
      <c r="O26">
        <f>IF(計分!O26="","",計分!O26^2)</f>
        <v/>
      </c>
      <c r="P26">
        <f>IF(計分!P26="","",計分!P26^2)</f>
        <v/>
      </c>
      <c r="Q26">
        <f>IF(計分!Q26="","",計分!Q26^2)</f>
        <v/>
      </c>
      <c r="R26">
        <f>IF(計分!R26="","",計分!R26^2)</f>
        <v/>
      </c>
      <c r="S26">
        <f>IF(計分!S26="","",計分!S26^2)</f>
        <v/>
      </c>
      <c r="T26">
        <f>IF(計分!T26="","",計分!T26^2)</f>
        <v/>
      </c>
      <c r="U26">
        <f>IF(計分!U26="","",計分!U26^2)</f>
        <v/>
      </c>
      <c r="V26">
        <f>IF(計分!V26="","",計分!V26^2)</f>
        <v/>
      </c>
      <c r="W26">
        <f>IF(計分!W26="","",計分!W26^2)</f>
        <v/>
      </c>
      <c r="X26">
        <f>IF(計分!X26="","",計分!X26^2)</f>
        <v/>
      </c>
      <c r="Y26">
        <f>IF(計分!Y26="","",計分!Y26^2)</f>
        <v/>
      </c>
      <c r="Z26">
        <f>IF(計分!Z26="","",計分!Z26^2)</f>
        <v/>
      </c>
      <c r="AA26">
        <f>IF(計分!AA26="","",計分!AA26^2)</f>
        <v/>
      </c>
      <c r="AB26">
        <f>IF(計分!AB26="","",計分!AB26^2)</f>
        <v/>
      </c>
      <c r="AC26">
        <f>IF(計分!AC26="","",計分!AC26^2)</f>
        <v/>
      </c>
      <c r="AD26">
        <f>IF(計分!AD26="","",計分!AD26^2)</f>
        <v/>
      </c>
      <c r="AE26">
        <f>IF(計分!AE26="","",計分!AE26^2)</f>
        <v/>
      </c>
      <c r="AF26">
        <f>IF(計分!AF26="","",計分!AF26^2)</f>
        <v/>
      </c>
      <c r="AG26">
        <f>IF(計分!AG26="","",計分!AG26^2)</f>
        <v/>
      </c>
      <c r="AH26">
        <f>IF(計分!AH26="","",計分!AH26^2)</f>
        <v/>
      </c>
      <c r="AI26">
        <f>IF(計分!AI26="","",計分!AI26^2)</f>
        <v/>
      </c>
      <c r="AJ26">
        <f>IF(計分!AJ26="","",計分!AJ26^2)</f>
        <v/>
      </c>
      <c r="AK26">
        <f>IF(計分!AK26="","",計分!AK26^2)</f>
        <v/>
      </c>
      <c r="AL26">
        <f>IF(計分!AL26="","",計分!AL26^2)</f>
        <v/>
      </c>
      <c r="AM26">
        <f>IF(計分!AM26="","",計分!AM26^2)</f>
        <v/>
      </c>
      <c r="AN26">
        <f>IF(計分!AN26="","",計分!AN26^2)</f>
        <v/>
      </c>
      <c r="AO26">
        <f>IF(計分!AO26="","",計分!AO26^2)</f>
        <v/>
      </c>
    </row>
    <row r="27">
      <c r="B27">
        <f>IF(計分!B27="","",計分!B27^2)</f>
        <v/>
      </c>
      <c r="C27">
        <f>IF(計分!C27="","",計分!C27^2)</f>
        <v/>
      </c>
      <c r="D27">
        <f>IF(計分!D27="","",計分!D27^2)</f>
        <v/>
      </c>
      <c r="E27">
        <f>IF(計分!E27="","",計分!E27^2)</f>
        <v/>
      </c>
      <c r="F27">
        <f>IF(計分!F27="","",計分!F27^2)</f>
        <v/>
      </c>
      <c r="G27">
        <f>IF(計分!G27="","",計分!G27^2)</f>
        <v/>
      </c>
      <c r="H27">
        <f>IF(計分!H27="","",計分!H27^2)</f>
        <v/>
      </c>
      <c r="I27">
        <f>IF(計分!I27="","",計分!I27^2)</f>
        <v/>
      </c>
      <c r="J27">
        <f>IF(計分!J27="","",計分!J27^2)</f>
        <v/>
      </c>
      <c r="K27">
        <f>IF(計分!K27="","",計分!K27^2)</f>
        <v/>
      </c>
      <c r="L27">
        <f>IF(計分!L27="","",計分!L27^2)</f>
        <v/>
      </c>
      <c r="M27">
        <f>IF(計分!M27="","",計分!M27^2)</f>
        <v/>
      </c>
      <c r="N27">
        <f>IF(計分!N27="","",計分!N27^2)</f>
        <v/>
      </c>
      <c r="O27">
        <f>IF(計分!O27="","",計分!O27^2)</f>
        <v/>
      </c>
      <c r="P27">
        <f>IF(計分!P27="","",計分!P27^2)</f>
        <v/>
      </c>
      <c r="Q27">
        <f>IF(計分!Q27="","",計分!Q27^2)</f>
        <v/>
      </c>
      <c r="R27">
        <f>IF(計分!R27="","",計分!R27^2)</f>
        <v/>
      </c>
      <c r="S27">
        <f>IF(計分!S27="","",計分!S27^2)</f>
        <v/>
      </c>
      <c r="T27">
        <f>IF(計分!T27="","",計分!T27^2)</f>
        <v/>
      </c>
      <c r="U27">
        <f>IF(計分!U27="","",計分!U27^2)</f>
        <v/>
      </c>
      <c r="V27">
        <f>IF(計分!V27="","",計分!V27^2)</f>
        <v/>
      </c>
      <c r="W27">
        <f>IF(計分!W27="","",計分!W27^2)</f>
        <v/>
      </c>
      <c r="X27">
        <f>IF(計分!X27="","",計分!X27^2)</f>
        <v/>
      </c>
      <c r="Y27">
        <f>IF(計分!Y27="","",計分!Y27^2)</f>
        <v/>
      </c>
      <c r="Z27">
        <f>IF(計分!Z27="","",計分!Z27^2)</f>
        <v/>
      </c>
      <c r="AA27">
        <f>IF(計分!AA27="","",計分!AA27^2)</f>
        <v/>
      </c>
      <c r="AB27">
        <f>IF(計分!AB27="","",計分!AB27^2)</f>
        <v/>
      </c>
      <c r="AC27">
        <f>IF(計分!AC27="","",計分!AC27^2)</f>
        <v/>
      </c>
      <c r="AD27">
        <f>IF(計分!AD27="","",計分!AD27^2)</f>
        <v/>
      </c>
      <c r="AE27">
        <f>IF(計分!AE27="","",計分!AE27^2)</f>
        <v/>
      </c>
      <c r="AF27">
        <f>IF(計分!AF27="","",計分!AF27^2)</f>
        <v/>
      </c>
      <c r="AG27">
        <f>IF(計分!AG27="","",計分!AG27^2)</f>
        <v/>
      </c>
      <c r="AH27">
        <f>IF(計分!AH27="","",計分!AH27^2)</f>
        <v/>
      </c>
      <c r="AI27">
        <f>IF(計分!AI27="","",計分!AI27^2)</f>
        <v/>
      </c>
      <c r="AJ27">
        <f>IF(計分!AJ27="","",計分!AJ27^2)</f>
        <v/>
      </c>
      <c r="AK27">
        <f>IF(計分!AK27="","",計分!AK27^2)</f>
        <v/>
      </c>
      <c r="AL27">
        <f>IF(計分!AL27="","",計分!AL27^2)</f>
        <v/>
      </c>
      <c r="AM27">
        <f>IF(計分!AM27="","",計分!AM27^2)</f>
        <v/>
      </c>
      <c r="AN27">
        <f>IF(計分!AN27="","",計分!AN27^2)</f>
        <v/>
      </c>
      <c r="AO27">
        <f>IF(計分!AO27="","",計分!AO27^2)</f>
        <v/>
      </c>
    </row>
    <row r="28">
      <c r="B28">
        <f>IF(計分!B28="","",計分!B28^2)</f>
        <v/>
      </c>
      <c r="C28">
        <f>IF(計分!C28="","",計分!C28^2)</f>
        <v/>
      </c>
      <c r="D28">
        <f>IF(計分!D28="","",計分!D28^2)</f>
        <v/>
      </c>
      <c r="E28">
        <f>IF(計分!E28="","",計分!E28^2)</f>
        <v/>
      </c>
      <c r="F28">
        <f>IF(計分!F28="","",計分!F28^2)</f>
        <v/>
      </c>
      <c r="G28">
        <f>IF(計分!G28="","",計分!G28^2)</f>
        <v/>
      </c>
      <c r="H28">
        <f>IF(計分!H28="","",計分!H28^2)</f>
        <v/>
      </c>
      <c r="I28">
        <f>IF(計分!I28="","",計分!I28^2)</f>
        <v/>
      </c>
      <c r="J28">
        <f>IF(計分!J28="","",計分!J28^2)</f>
        <v/>
      </c>
      <c r="K28">
        <f>IF(計分!K28="","",計分!K28^2)</f>
        <v/>
      </c>
      <c r="L28">
        <f>IF(計分!L28="","",計分!L28^2)</f>
        <v/>
      </c>
      <c r="M28">
        <f>IF(計分!M28="","",計分!M28^2)</f>
        <v/>
      </c>
      <c r="N28">
        <f>IF(計分!N28="","",計分!N28^2)</f>
        <v/>
      </c>
      <c r="O28">
        <f>IF(計分!O28="","",計分!O28^2)</f>
        <v/>
      </c>
      <c r="P28">
        <f>IF(計分!P28="","",計分!P28^2)</f>
        <v/>
      </c>
      <c r="Q28">
        <f>IF(計分!Q28="","",計分!Q28^2)</f>
        <v/>
      </c>
      <c r="R28">
        <f>IF(計分!R28="","",計分!R28^2)</f>
        <v/>
      </c>
      <c r="S28">
        <f>IF(計分!S28="","",計分!S28^2)</f>
        <v/>
      </c>
      <c r="T28">
        <f>IF(計分!T28="","",計分!T28^2)</f>
        <v/>
      </c>
      <c r="U28">
        <f>IF(計分!U28="","",計分!U28^2)</f>
        <v/>
      </c>
      <c r="V28">
        <f>IF(計分!V28="","",計分!V28^2)</f>
        <v/>
      </c>
      <c r="W28">
        <f>IF(計分!W28="","",計分!W28^2)</f>
        <v/>
      </c>
      <c r="X28">
        <f>IF(計分!X28="","",計分!X28^2)</f>
        <v/>
      </c>
      <c r="Y28">
        <f>IF(計分!Y28="","",計分!Y28^2)</f>
        <v/>
      </c>
      <c r="Z28">
        <f>IF(計分!Z28="","",計分!Z28^2)</f>
        <v/>
      </c>
      <c r="AA28">
        <f>IF(計分!AA28="","",計分!AA28^2)</f>
        <v/>
      </c>
      <c r="AB28">
        <f>IF(計分!AB28="","",計分!AB28^2)</f>
        <v/>
      </c>
      <c r="AC28">
        <f>IF(計分!AC28="","",計分!AC28^2)</f>
        <v/>
      </c>
      <c r="AD28">
        <f>IF(計分!AD28="","",計分!AD28^2)</f>
        <v/>
      </c>
      <c r="AE28">
        <f>IF(計分!AE28="","",計分!AE28^2)</f>
        <v/>
      </c>
      <c r="AF28">
        <f>IF(計分!AF28="","",計分!AF28^2)</f>
        <v/>
      </c>
      <c r="AG28">
        <f>IF(計分!AG28="","",計分!AG28^2)</f>
        <v/>
      </c>
      <c r="AH28">
        <f>IF(計分!AH28="","",計分!AH28^2)</f>
        <v/>
      </c>
      <c r="AI28">
        <f>IF(計分!AI28="","",計分!AI28^2)</f>
        <v/>
      </c>
      <c r="AJ28">
        <f>IF(計分!AJ28="","",計分!AJ28^2)</f>
        <v/>
      </c>
      <c r="AK28">
        <f>IF(計分!AK28="","",計分!AK28^2)</f>
        <v/>
      </c>
      <c r="AL28">
        <f>IF(計分!AL28="","",計分!AL28^2)</f>
        <v/>
      </c>
      <c r="AM28">
        <f>IF(計分!AM28="","",計分!AM28^2)</f>
        <v/>
      </c>
      <c r="AN28">
        <f>IF(計分!AN28="","",計分!AN28^2)</f>
        <v/>
      </c>
      <c r="AO28">
        <f>IF(計分!AO28="","",計分!AO28^2)</f>
        <v/>
      </c>
    </row>
    <row r="29">
      <c r="B29">
        <f>IF(計分!B29="","",計分!B29^2)</f>
        <v/>
      </c>
      <c r="C29">
        <f>IF(計分!C29="","",計分!C29^2)</f>
        <v/>
      </c>
      <c r="D29">
        <f>IF(計分!D29="","",計分!D29^2)</f>
        <v/>
      </c>
      <c r="E29">
        <f>IF(計分!E29="","",計分!E29^2)</f>
        <v/>
      </c>
      <c r="F29">
        <f>IF(計分!F29="","",計分!F29^2)</f>
        <v/>
      </c>
      <c r="G29">
        <f>IF(計分!G29="","",計分!G29^2)</f>
        <v/>
      </c>
      <c r="H29">
        <f>IF(計分!H29="","",計分!H29^2)</f>
        <v/>
      </c>
      <c r="I29">
        <f>IF(計分!I29="","",計分!I29^2)</f>
        <v/>
      </c>
      <c r="J29">
        <f>IF(計分!J29="","",計分!J29^2)</f>
        <v/>
      </c>
      <c r="K29">
        <f>IF(計分!K29="","",計分!K29^2)</f>
        <v/>
      </c>
      <c r="L29">
        <f>IF(計分!L29="","",計分!L29^2)</f>
        <v/>
      </c>
      <c r="M29">
        <f>IF(計分!M29="","",計分!M29^2)</f>
        <v/>
      </c>
      <c r="N29">
        <f>IF(計分!N29="","",計分!N29^2)</f>
        <v/>
      </c>
      <c r="O29">
        <f>IF(計分!O29="","",計分!O29^2)</f>
        <v/>
      </c>
      <c r="P29">
        <f>IF(計分!P29="","",計分!P29^2)</f>
        <v/>
      </c>
      <c r="Q29">
        <f>IF(計分!Q29="","",計分!Q29^2)</f>
        <v/>
      </c>
      <c r="R29">
        <f>IF(計分!R29="","",計分!R29^2)</f>
        <v/>
      </c>
      <c r="S29">
        <f>IF(計分!S29="","",計分!S29^2)</f>
        <v/>
      </c>
      <c r="T29">
        <f>IF(計分!T29="","",計分!T29^2)</f>
        <v/>
      </c>
      <c r="U29">
        <f>IF(計分!U29="","",計分!U29^2)</f>
        <v/>
      </c>
      <c r="V29">
        <f>IF(計分!V29="","",計分!V29^2)</f>
        <v/>
      </c>
      <c r="W29">
        <f>IF(計分!W29="","",計分!W29^2)</f>
        <v/>
      </c>
      <c r="X29">
        <f>IF(計分!X29="","",計分!X29^2)</f>
        <v/>
      </c>
      <c r="Y29">
        <f>IF(計分!Y29="","",計分!Y29^2)</f>
        <v/>
      </c>
      <c r="Z29">
        <f>IF(計分!Z29="","",計分!Z29^2)</f>
        <v/>
      </c>
      <c r="AA29">
        <f>IF(計分!AA29="","",計分!AA29^2)</f>
        <v/>
      </c>
      <c r="AB29">
        <f>IF(計分!AB29="","",計分!AB29^2)</f>
        <v/>
      </c>
      <c r="AC29">
        <f>IF(計分!AC29="","",計分!AC29^2)</f>
        <v/>
      </c>
      <c r="AD29">
        <f>IF(計分!AD29="","",計分!AD29^2)</f>
        <v/>
      </c>
      <c r="AE29">
        <f>IF(計分!AE29="","",計分!AE29^2)</f>
        <v/>
      </c>
      <c r="AF29">
        <f>IF(計分!AF29="","",計分!AF29^2)</f>
        <v/>
      </c>
      <c r="AG29">
        <f>IF(計分!AG29="","",計分!AG29^2)</f>
        <v/>
      </c>
      <c r="AH29">
        <f>IF(計分!AH29="","",計分!AH29^2)</f>
        <v/>
      </c>
      <c r="AI29">
        <f>IF(計分!AI29="","",計分!AI29^2)</f>
        <v/>
      </c>
      <c r="AJ29">
        <f>IF(計分!AJ29="","",計分!AJ29^2)</f>
        <v/>
      </c>
      <c r="AK29">
        <f>IF(計分!AK29="","",計分!AK29^2)</f>
        <v/>
      </c>
      <c r="AL29">
        <f>IF(計分!AL29="","",計分!AL29^2)</f>
        <v/>
      </c>
      <c r="AM29">
        <f>IF(計分!AM29="","",計分!AM29^2)</f>
        <v/>
      </c>
      <c r="AN29">
        <f>IF(計分!AN29="","",計分!AN29^2)</f>
        <v/>
      </c>
      <c r="AO29">
        <f>IF(計分!AO29="","",計分!AO29^2)</f>
        <v/>
      </c>
    </row>
    <row r="30">
      <c r="B30">
        <f>IF(計分!B30="","",計分!B30^2)</f>
        <v/>
      </c>
      <c r="C30">
        <f>IF(計分!C30="","",計分!C30^2)</f>
        <v/>
      </c>
      <c r="D30">
        <f>IF(計分!D30="","",計分!D30^2)</f>
        <v/>
      </c>
      <c r="E30">
        <f>IF(計分!E30="","",計分!E30^2)</f>
        <v/>
      </c>
      <c r="F30">
        <f>IF(計分!F30="","",計分!F30^2)</f>
        <v/>
      </c>
      <c r="G30">
        <f>IF(計分!G30="","",計分!G30^2)</f>
        <v/>
      </c>
      <c r="H30">
        <f>IF(計分!H30="","",計分!H30^2)</f>
        <v/>
      </c>
      <c r="I30">
        <f>IF(計分!I30="","",計分!I30^2)</f>
        <v/>
      </c>
      <c r="J30">
        <f>IF(計分!J30="","",計分!J30^2)</f>
        <v/>
      </c>
      <c r="K30">
        <f>IF(計分!K30="","",計分!K30^2)</f>
        <v/>
      </c>
      <c r="L30">
        <f>IF(計分!L30="","",計分!L30^2)</f>
        <v/>
      </c>
      <c r="M30">
        <f>IF(計分!M30="","",計分!M30^2)</f>
        <v/>
      </c>
      <c r="N30">
        <f>IF(計分!N30="","",計分!N30^2)</f>
        <v/>
      </c>
      <c r="O30">
        <f>IF(計分!O30="","",計分!O30^2)</f>
        <v/>
      </c>
      <c r="P30">
        <f>IF(計分!P30="","",計分!P30^2)</f>
        <v/>
      </c>
      <c r="Q30">
        <f>IF(計分!Q30="","",計分!Q30^2)</f>
        <v/>
      </c>
      <c r="R30">
        <f>IF(計分!R30="","",計分!R30^2)</f>
        <v/>
      </c>
      <c r="S30">
        <f>IF(計分!S30="","",計分!S30^2)</f>
        <v/>
      </c>
      <c r="T30">
        <f>IF(計分!T30="","",計分!T30^2)</f>
        <v/>
      </c>
      <c r="U30">
        <f>IF(計分!U30="","",計分!U30^2)</f>
        <v/>
      </c>
      <c r="V30">
        <f>IF(計分!V30="","",計分!V30^2)</f>
        <v/>
      </c>
      <c r="W30">
        <f>IF(計分!W30="","",計分!W30^2)</f>
        <v/>
      </c>
      <c r="X30">
        <f>IF(計分!X30="","",計分!X30^2)</f>
        <v/>
      </c>
      <c r="Y30">
        <f>IF(計分!Y30="","",計分!Y30^2)</f>
        <v/>
      </c>
      <c r="Z30">
        <f>IF(計分!Z30="","",計分!Z30^2)</f>
        <v/>
      </c>
      <c r="AA30">
        <f>IF(計分!AA30="","",計分!AA30^2)</f>
        <v/>
      </c>
      <c r="AB30">
        <f>IF(計分!AB30="","",計分!AB30^2)</f>
        <v/>
      </c>
      <c r="AC30">
        <f>IF(計分!AC30="","",計分!AC30^2)</f>
        <v/>
      </c>
      <c r="AD30">
        <f>IF(計分!AD30="","",計分!AD30^2)</f>
        <v/>
      </c>
      <c r="AE30">
        <f>IF(計分!AE30="","",計分!AE30^2)</f>
        <v/>
      </c>
      <c r="AF30">
        <f>IF(計分!AF30="","",計分!AF30^2)</f>
        <v/>
      </c>
      <c r="AG30">
        <f>IF(計分!AG30="","",計分!AG30^2)</f>
        <v/>
      </c>
      <c r="AH30">
        <f>IF(計分!AH30="","",計分!AH30^2)</f>
        <v/>
      </c>
      <c r="AI30">
        <f>IF(計分!AI30="","",計分!AI30^2)</f>
        <v/>
      </c>
      <c r="AJ30">
        <f>IF(計分!AJ30="","",計分!AJ30^2)</f>
        <v/>
      </c>
      <c r="AK30">
        <f>IF(計分!AK30="","",計分!AK30^2)</f>
        <v/>
      </c>
      <c r="AL30">
        <f>IF(計分!AL30="","",計分!AL30^2)</f>
        <v/>
      </c>
      <c r="AM30">
        <f>IF(計分!AM30="","",計分!AM30^2)</f>
        <v/>
      </c>
      <c r="AN30">
        <f>IF(計分!AN30="","",計分!AN30^2)</f>
        <v/>
      </c>
      <c r="AO30">
        <f>IF(計分!AO30="","",計分!AO30^2)</f>
        <v/>
      </c>
    </row>
    <row r="31">
      <c r="B31">
        <f>IF(計分!B31="","",計分!B31^2)</f>
        <v/>
      </c>
      <c r="C31">
        <f>IF(計分!C31="","",計分!C31^2)</f>
        <v/>
      </c>
      <c r="D31">
        <f>IF(計分!D31="","",計分!D31^2)</f>
        <v/>
      </c>
      <c r="E31">
        <f>IF(計分!E31="","",計分!E31^2)</f>
        <v/>
      </c>
      <c r="F31">
        <f>IF(計分!F31="","",計分!F31^2)</f>
        <v/>
      </c>
      <c r="G31">
        <f>IF(計分!G31="","",計分!G31^2)</f>
        <v/>
      </c>
      <c r="H31">
        <f>IF(計分!H31="","",計分!H31^2)</f>
        <v/>
      </c>
      <c r="I31">
        <f>IF(計分!I31="","",計分!I31^2)</f>
        <v/>
      </c>
      <c r="J31">
        <f>IF(計分!J31="","",計分!J31^2)</f>
        <v/>
      </c>
      <c r="K31">
        <f>IF(計分!K31="","",計分!K31^2)</f>
        <v/>
      </c>
      <c r="L31">
        <f>IF(計分!L31="","",計分!L31^2)</f>
        <v/>
      </c>
      <c r="M31">
        <f>IF(計分!M31="","",計分!M31^2)</f>
        <v/>
      </c>
      <c r="N31">
        <f>IF(計分!N31="","",計分!N31^2)</f>
        <v/>
      </c>
      <c r="O31">
        <f>IF(計分!O31="","",計分!O31^2)</f>
        <v/>
      </c>
      <c r="P31">
        <f>IF(計分!P31="","",計分!P31^2)</f>
        <v/>
      </c>
      <c r="Q31">
        <f>IF(計分!Q31="","",計分!Q31^2)</f>
        <v/>
      </c>
      <c r="R31">
        <f>IF(計分!R31="","",計分!R31^2)</f>
        <v/>
      </c>
      <c r="S31">
        <f>IF(計分!S31="","",計分!S31^2)</f>
        <v/>
      </c>
      <c r="T31">
        <f>IF(計分!T31="","",計分!T31^2)</f>
        <v/>
      </c>
      <c r="U31">
        <f>IF(計分!U31="","",計分!U31^2)</f>
        <v/>
      </c>
      <c r="V31">
        <f>IF(計分!V31="","",計分!V31^2)</f>
        <v/>
      </c>
      <c r="W31">
        <f>IF(計分!W31="","",計分!W31^2)</f>
        <v/>
      </c>
      <c r="X31">
        <f>IF(計分!X31="","",計分!X31^2)</f>
        <v/>
      </c>
      <c r="Y31">
        <f>IF(計分!Y31="","",計分!Y31^2)</f>
        <v/>
      </c>
      <c r="Z31">
        <f>IF(計分!Z31="","",計分!Z31^2)</f>
        <v/>
      </c>
      <c r="AA31">
        <f>IF(計分!AA31="","",計分!AA31^2)</f>
        <v/>
      </c>
      <c r="AB31">
        <f>IF(計分!AB31="","",計分!AB31^2)</f>
        <v/>
      </c>
      <c r="AC31">
        <f>IF(計分!AC31="","",計分!AC31^2)</f>
        <v/>
      </c>
      <c r="AD31">
        <f>IF(計分!AD31="","",計分!AD31^2)</f>
        <v/>
      </c>
      <c r="AE31">
        <f>IF(計分!AE31="","",計分!AE31^2)</f>
        <v/>
      </c>
      <c r="AF31">
        <f>IF(計分!AF31="","",計分!AF31^2)</f>
        <v/>
      </c>
      <c r="AG31">
        <f>IF(計分!AG31="","",計分!AG31^2)</f>
        <v/>
      </c>
      <c r="AH31">
        <f>IF(計分!AH31="","",計分!AH31^2)</f>
        <v/>
      </c>
      <c r="AI31">
        <f>IF(計分!AI31="","",計分!AI31^2)</f>
        <v/>
      </c>
      <c r="AJ31">
        <f>IF(計分!AJ31="","",計分!AJ31^2)</f>
        <v/>
      </c>
      <c r="AK31">
        <f>IF(計分!AK31="","",計分!AK31^2)</f>
        <v/>
      </c>
      <c r="AL31">
        <f>IF(計分!AL31="","",計分!AL31^2)</f>
        <v/>
      </c>
      <c r="AM31">
        <f>IF(計分!AM31="","",計分!AM31^2)</f>
        <v/>
      </c>
      <c r="AN31">
        <f>IF(計分!AN31="","",計分!AN31^2)</f>
        <v/>
      </c>
      <c r="AO31">
        <f>IF(計分!AO31="","",計分!AO31^2)</f>
        <v/>
      </c>
    </row>
    <row r="32">
      <c r="B32">
        <f>IF(計分!B32="","",計分!B32^2)</f>
        <v/>
      </c>
      <c r="C32">
        <f>IF(計分!C32="","",計分!C32^2)</f>
        <v/>
      </c>
      <c r="D32">
        <f>IF(計分!D32="","",計分!D32^2)</f>
        <v/>
      </c>
      <c r="E32">
        <f>IF(計分!E32="","",計分!E32^2)</f>
        <v/>
      </c>
      <c r="F32">
        <f>IF(計分!F32="","",計分!F32^2)</f>
        <v/>
      </c>
      <c r="G32">
        <f>IF(計分!G32="","",計分!G32^2)</f>
        <v/>
      </c>
      <c r="H32">
        <f>IF(計分!H32="","",計分!H32^2)</f>
        <v/>
      </c>
      <c r="I32">
        <f>IF(計分!I32="","",計分!I32^2)</f>
        <v/>
      </c>
      <c r="J32">
        <f>IF(計分!J32="","",計分!J32^2)</f>
        <v/>
      </c>
      <c r="K32">
        <f>IF(計分!K32="","",計分!K32^2)</f>
        <v/>
      </c>
      <c r="L32">
        <f>IF(計分!L32="","",計分!L32^2)</f>
        <v/>
      </c>
      <c r="M32">
        <f>IF(計分!M32="","",計分!M32^2)</f>
        <v/>
      </c>
      <c r="N32">
        <f>IF(計分!N32="","",計分!N32^2)</f>
        <v/>
      </c>
      <c r="O32">
        <f>IF(計分!O32="","",計分!O32^2)</f>
        <v/>
      </c>
      <c r="P32">
        <f>IF(計分!P32="","",計分!P32^2)</f>
        <v/>
      </c>
      <c r="Q32">
        <f>IF(計分!Q32="","",計分!Q32^2)</f>
        <v/>
      </c>
      <c r="R32">
        <f>IF(計分!R32="","",計分!R32^2)</f>
        <v/>
      </c>
      <c r="S32">
        <f>IF(計分!S32="","",計分!S32^2)</f>
        <v/>
      </c>
      <c r="T32">
        <f>IF(計分!T32="","",計分!T32^2)</f>
        <v/>
      </c>
      <c r="U32">
        <f>IF(計分!U32="","",計分!U32^2)</f>
        <v/>
      </c>
      <c r="V32">
        <f>IF(計分!V32="","",計分!V32^2)</f>
        <v/>
      </c>
      <c r="W32">
        <f>IF(計分!W32="","",計分!W32^2)</f>
        <v/>
      </c>
      <c r="X32">
        <f>IF(計分!X32="","",計分!X32^2)</f>
        <v/>
      </c>
      <c r="Y32">
        <f>IF(計分!Y32="","",計分!Y32^2)</f>
        <v/>
      </c>
      <c r="Z32">
        <f>IF(計分!Z32="","",計分!Z32^2)</f>
        <v/>
      </c>
      <c r="AA32">
        <f>IF(計分!AA32="","",計分!AA32^2)</f>
        <v/>
      </c>
      <c r="AB32">
        <f>IF(計分!AB32="","",計分!AB32^2)</f>
        <v/>
      </c>
      <c r="AC32">
        <f>IF(計分!AC32="","",計分!AC32^2)</f>
        <v/>
      </c>
      <c r="AD32">
        <f>IF(計分!AD32="","",計分!AD32^2)</f>
        <v/>
      </c>
      <c r="AE32">
        <f>IF(計分!AE32="","",計分!AE32^2)</f>
        <v/>
      </c>
      <c r="AF32">
        <f>IF(計分!AF32="","",計分!AF32^2)</f>
        <v/>
      </c>
      <c r="AG32">
        <f>IF(計分!AG32="","",計分!AG32^2)</f>
        <v/>
      </c>
      <c r="AH32">
        <f>IF(計分!AH32="","",計分!AH32^2)</f>
        <v/>
      </c>
      <c r="AI32">
        <f>IF(計分!AI32="","",計分!AI32^2)</f>
        <v/>
      </c>
      <c r="AJ32">
        <f>IF(計分!AJ32="","",計分!AJ32^2)</f>
        <v/>
      </c>
      <c r="AK32">
        <f>IF(計分!AK32="","",計分!AK32^2)</f>
        <v/>
      </c>
      <c r="AL32">
        <f>IF(計分!AL32="","",計分!AL32^2)</f>
        <v/>
      </c>
      <c r="AM32">
        <f>IF(計分!AM32="","",計分!AM32^2)</f>
        <v/>
      </c>
      <c r="AN32">
        <f>IF(計分!AN32="","",計分!AN32^2)</f>
        <v/>
      </c>
      <c r="AO32">
        <f>IF(計分!AO32="","",計分!AO32^2)</f>
        <v/>
      </c>
    </row>
    <row r="33">
      <c r="B33">
        <f>IF(計分!B33="","",計分!B33^2)</f>
        <v/>
      </c>
      <c r="C33">
        <f>IF(計分!C33="","",計分!C33^2)</f>
        <v/>
      </c>
      <c r="D33">
        <f>IF(計分!D33="","",計分!D33^2)</f>
        <v/>
      </c>
      <c r="E33">
        <f>IF(計分!E33="","",計分!E33^2)</f>
        <v/>
      </c>
      <c r="F33">
        <f>IF(計分!F33="","",計分!F33^2)</f>
        <v/>
      </c>
      <c r="G33">
        <f>IF(計分!G33="","",計分!G33^2)</f>
        <v/>
      </c>
      <c r="H33">
        <f>IF(計分!H33="","",計分!H33^2)</f>
        <v/>
      </c>
      <c r="I33">
        <f>IF(計分!I33="","",計分!I33^2)</f>
        <v/>
      </c>
      <c r="J33">
        <f>IF(計分!J33="","",計分!J33^2)</f>
        <v/>
      </c>
      <c r="K33">
        <f>IF(計分!K33="","",計分!K33^2)</f>
        <v/>
      </c>
      <c r="L33">
        <f>IF(計分!L33="","",計分!L33^2)</f>
        <v/>
      </c>
      <c r="M33">
        <f>IF(計分!M33="","",計分!M33^2)</f>
        <v/>
      </c>
      <c r="N33">
        <f>IF(計分!N33="","",計分!N33^2)</f>
        <v/>
      </c>
      <c r="O33">
        <f>IF(計分!O33="","",計分!O33^2)</f>
        <v/>
      </c>
      <c r="P33">
        <f>IF(計分!P33="","",計分!P33^2)</f>
        <v/>
      </c>
      <c r="Q33">
        <f>IF(計分!Q33="","",計分!Q33^2)</f>
        <v/>
      </c>
      <c r="R33">
        <f>IF(計分!R33="","",計分!R33^2)</f>
        <v/>
      </c>
      <c r="S33">
        <f>IF(計分!S33="","",計分!S33^2)</f>
        <v/>
      </c>
      <c r="T33">
        <f>IF(計分!T33="","",計分!T33^2)</f>
        <v/>
      </c>
      <c r="U33">
        <f>IF(計分!U33="","",計分!U33^2)</f>
        <v/>
      </c>
      <c r="V33">
        <f>IF(計分!V33="","",計分!V33^2)</f>
        <v/>
      </c>
      <c r="W33">
        <f>IF(計分!W33="","",計分!W33^2)</f>
        <v/>
      </c>
      <c r="X33">
        <f>IF(計分!X33="","",計分!X33^2)</f>
        <v/>
      </c>
      <c r="Y33">
        <f>IF(計分!Y33="","",計分!Y33^2)</f>
        <v/>
      </c>
      <c r="Z33">
        <f>IF(計分!Z33="","",計分!Z33^2)</f>
        <v/>
      </c>
      <c r="AA33">
        <f>IF(計分!AA33="","",計分!AA33^2)</f>
        <v/>
      </c>
      <c r="AB33">
        <f>IF(計分!AB33="","",計分!AB33^2)</f>
        <v/>
      </c>
      <c r="AC33">
        <f>IF(計分!AC33="","",計分!AC33^2)</f>
        <v/>
      </c>
      <c r="AD33">
        <f>IF(計分!AD33="","",計分!AD33^2)</f>
        <v/>
      </c>
      <c r="AE33">
        <f>IF(計分!AE33="","",計分!AE33^2)</f>
        <v/>
      </c>
      <c r="AF33">
        <f>IF(計分!AF33="","",計分!AF33^2)</f>
        <v/>
      </c>
      <c r="AG33">
        <f>IF(計分!AG33="","",計分!AG33^2)</f>
        <v/>
      </c>
      <c r="AH33">
        <f>IF(計分!AH33="","",計分!AH33^2)</f>
        <v/>
      </c>
      <c r="AI33">
        <f>IF(計分!AI33="","",計分!AI33^2)</f>
        <v/>
      </c>
      <c r="AJ33">
        <f>IF(計分!AJ33="","",計分!AJ33^2)</f>
        <v/>
      </c>
      <c r="AK33">
        <f>IF(計分!AK33="","",計分!AK33^2)</f>
        <v/>
      </c>
      <c r="AL33">
        <f>IF(計分!AL33="","",計分!AL33^2)</f>
        <v/>
      </c>
      <c r="AM33">
        <f>IF(計分!AM33="","",計分!AM33^2)</f>
        <v/>
      </c>
      <c r="AN33">
        <f>IF(計分!AN33="","",計分!AN33^2)</f>
        <v/>
      </c>
      <c r="AO33">
        <f>IF(計分!AO33="","",計分!AO33^2)</f>
        <v/>
      </c>
    </row>
    <row r="34">
      <c r="B34">
        <f>IF(計分!B34="","",計分!B34^2)</f>
        <v/>
      </c>
      <c r="C34">
        <f>IF(計分!C34="","",計分!C34^2)</f>
        <v/>
      </c>
      <c r="D34">
        <f>IF(計分!D34="","",計分!D34^2)</f>
        <v/>
      </c>
      <c r="E34">
        <f>IF(計分!E34="","",計分!E34^2)</f>
        <v/>
      </c>
      <c r="F34">
        <f>IF(計分!F34="","",計分!F34^2)</f>
        <v/>
      </c>
      <c r="G34">
        <f>IF(計分!G34="","",計分!G34^2)</f>
        <v/>
      </c>
      <c r="H34">
        <f>IF(計分!H34="","",計分!H34^2)</f>
        <v/>
      </c>
      <c r="I34">
        <f>IF(計分!I34="","",計分!I34^2)</f>
        <v/>
      </c>
      <c r="J34">
        <f>IF(計分!J34="","",計分!J34^2)</f>
        <v/>
      </c>
      <c r="K34">
        <f>IF(計分!K34="","",計分!K34^2)</f>
        <v/>
      </c>
      <c r="L34">
        <f>IF(計分!L34="","",計分!L34^2)</f>
        <v/>
      </c>
      <c r="M34">
        <f>IF(計分!M34="","",計分!M34^2)</f>
        <v/>
      </c>
      <c r="N34">
        <f>IF(計分!N34="","",計分!N34^2)</f>
        <v/>
      </c>
      <c r="O34">
        <f>IF(計分!O34="","",計分!O34^2)</f>
        <v/>
      </c>
      <c r="P34">
        <f>IF(計分!P34="","",計分!P34^2)</f>
        <v/>
      </c>
      <c r="Q34">
        <f>IF(計分!Q34="","",計分!Q34^2)</f>
        <v/>
      </c>
      <c r="R34">
        <f>IF(計分!R34="","",計分!R34^2)</f>
        <v/>
      </c>
      <c r="S34">
        <f>IF(計分!S34="","",計分!S34^2)</f>
        <v/>
      </c>
      <c r="T34">
        <f>IF(計分!T34="","",計分!T34^2)</f>
        <v/>
      </c>
      <c r="U34">
        <f>IF(計分!U34="","",計分!U34^2)</f>
        <v/>
      </c>
      <c r="V34">
        <f>IF(計分!V34="","",計分!V34^2)</f>
        <v/>
      </c>
      <c r="W34">
        <f>IF(計分!W34="","",計分!W34^2)</f>
        <v/>
      </c>
      <c r="X34">
        <f>IF(計分!X34="","",計分!X34^2)</f>
        <v/>
      </c>
      <c r="Y34">
        <f>IF(計分!Y34="","",計分!Y34^2)</f>
        <v/>
      </c>
      <c r="Z34">
        <f>IF(計分!Z34="","",計分!Z34^2)</f>
        <v/>
      </c>
      <c r="AA34">
        <f>IF(計分!AA34="","",計分!AA34^2)</f>
        <v/>
      </c>
      <c r="AB34">
        <f>IF(計分!AB34="","",計分!AB34^2)</f>
        <v/>
      </c>
      <c r="AC34">
        <f>IF(計分!AC34="","",計分!AC34^2)</f>
        <v/>
      </c>
      <c r="AD34">
        <f>IF(計分!AD34="","",計分!AD34^2)</f>
        <v/>
      </c>
      <c r="AE34">
        <f>IF(計分!AE34="","",計分!AE34^2)</f>
        <v/>
      </c>
      <c r="AF34">
        <f>IF(計分!AF34="","",計分!AF34^2)</f>
        <v/>
      </c>
      <c r="AG34">
        <f>IF(計分!AG34="","",計分!AG34^2)</f>
        <v/>
      </c>
      <c r="AH34">
        <f>IF(計分!AH34="","",計分!AH34^2)</f>
        <v/>
      </c>
      <c r="AI34">
        <f>IF(計分!AI34="","",計分!AI34^2)</f>
        <v/>
      </c>
      <c r="AJ34">
        <f>IF(計分!AJ34="","",計分!AJ34^2)</f>
        <v/>
      </c>
      <c r="AK34">
        <f>IF(計分!AK34="","",計分!AK34^2)</f>
        <v/>
      </c>
      <c r="AL34">
        <f>IF(計分!AL34="","",計分!AL34^2)</f>
        <v/>
      </c>
      <c r="AM34">
        <f>IF(計分!AM34="","",計分!AM34^2)</f>
        <v/>
      </c>
      <c r="AN34">
        <f>IF(計分!AN34="","",計分!AN34^2)</f>
        <v/>
      </c>
      <c r="AO34">
        <f>IF(計分!AO34="","",計分!AO34^2)</f>
        <v/>
      </c>
    </row>
    <row r="35">
      <c r="B35">
        <f>IF(計分!B35="","",計分!B35^2)</f>
        <v/>
      </c>
      <c r="C35">
        <f>IF(計分!C35="","",計分!C35^2)</f>
        <v/>
      </c>
      <c r="D35">
        <f>IF(計分!D35="","",計分!D35^2)</f>
        <v/>
      </c>
      <c r="E35">
        <f>IF(計分!E35="","",計分!E35^2)</f>
        <v/>
      </c>
      <c r="F35">
        <f>IF(計分!F35="","",計分!F35^2)</f>
        <v/>
      </c>
      <c r="G35">
        <f>IF(計分!G35="","",計分!G35^2)</f>
        <v/>
      </c>
      <c r="H35">
        <f>IF(計分!H35="","",計分!H35^2)</f>
        <v/>
      </c>
      <c r="I35">
        <f>IF(計分!I35="","",計分!I35^2)</f>
        <v/>
      </c>
      <c r="J35">
        <f>IF(計分!J35="","",計分!J35^2)</f>
        <v/>
      </c>
      <c r="K35">
        <f>IF(計分!K35="","",計分!K35^2)</f>
        <v/>
      </c>
      <c r="L35">
        <f>IF(計分!L35="","",計分!L35^2)</f>
        <v/>
      </c>
      <c r="M35">
        <f>IF(計分!M35="","",計分!M35^2)</f>
        <v/>
      </c>
      <c r="N35">
        <f>IF(計分!N35="","",計分!N35^2)</f>
        <v/>
      </c>
      <c r="O35">
        <f>IF(計分!O35="","",計分!O35^2)</f>
        <v/>
      </c>
      <c r="P35">
        <f>IF(計分!P35="","",計分!P35^2)</f>
        <v/>
      </c>
      <c r="Q35">
        <f>IF(計分!Q35="","",計分!Q35^2)</f>
        <v/>
      </c>
      <c r="R35">
        <f>IF(計分!R35="","",計分!R35^2)</f>
        <v/>
      </c>
      <c r="S35">
        <f>IF(計分!S35="","",計分!S35^2)</f>
        <v/>
      </c>
      <c r="T35">
        <f>IF(計分!T35="","",計分!T35^2)</f>
        <v/>
      </c>
      <c r="U35">
        <f>IF(計分!U35="","",計分!U35^2)</f>
        <v/>
      </c>
      <c r="V35">
        <f>IF(計分!V35="","",計分!V35^2)</f>
        <v/>
      </c>
      <c r="W35">
        <f>IF(計分!W35="","",計分!W35^2)</f>
        <v/>
      </c>
      <c r="X35">
        <f>IF(計分!X35="","",計分!X35^2)</f>
        <v/>
      </c>
      <c r="Y35">
        <f>IF(計分!Y35="","",計分!Y35^2)</f>
        <v/>
      </c>
      <c r="Z35">
        <f>IF(計分!Z35="","",計分!Z35^2)</f>
        <v/>
      </c>
      <c r="AA35">
        <f>IF(計分!AA35="","",計分!AA35^2)</f>
        <v/>
      </c>
      <c r="AB35">
        <f>IF(計分!AB35="","",計分!AB35^2)</f>
        <v/>
      </c>
      <c r="AC35">
        <f>IF(計分!AC35="","",計分!AC35^2)</f>
        <v/>
      </c>
      <c r="AD35">
        <f>IF(計分!AD35="","",計分!AD35^2)</f>
        <v/>
      </c>
      <c r="AE35">
        <f>IF(計分!AE35="","",計分!AE35^2)</f>
        <v/>
      </c>
      <c r="AF35">
        <f>IF(計分!AF35="","",計分!AF35^2)</f>
        <v/>
      </c>
      <c r="AG35">
        <f>IF(計分!AG35="","",計分!AG35^2)</f>
        <v/>
      </c>
      <c r="AH35">
        <f>IF(計分!AH35="","",計分!AH35^2)</f>
        <v/>
      </c>
      <c r="AI35">
        <f>IF(計分!AI35="","",計分!AI35^2)</f>
        <v/>
      </c>
      <c r="AJ35">
        <f>IF(計分!AJ35="","",計分!AJ35^2)</f>
        <v/>
      </c>
      <c r="AK35">
        <f>IF(計分!AK35="","",計分!AK35^2)</f>
        <v/>
      </c>
      <c r="AL35">
        <f>IF(計分!AL35="","",計分!AL35^2)</f>
        <v/>
      </c>
      <c r="AM35">
        <f>IF(計分!AM35="","",計分!AM35^2)</f>
        <v/>
      </c>
      <c r="AN35">
        <f>IF(計分!AN35="","",計分!AN35^2)</f>
        <v/>
      </c>
      <c r="AO35">
        <f>IF(計分!AO35="","",計分!AO35^2)</f>
        <v/>
      </c>
    </row>
    <row r="36">
      <c r="B36">
        <f>IF(計分!B36="","",計分!B36^2)</f>
        <v/>
      </c>
      <c r="C36">
        <f>IF(計分!C36="","",計分!C36^2)</f>
        <v/>
      </c>
      <c r="D36">
        <f>IF(計分!D36="","",計分!D36^2)</f>
        <v/>
      </c>
      <c r="E36">
        <f>IF(計分!E36="","",計分!E36^2)</f>
        <v/>
      </c>
      <c r="F36">
        <f>IF(計分!F36="","",計分!F36^2)</f>
        <v/>
      </c>
      <c r="G36">
        <f>IF(計分!G36="","",計分!G36^2)</f>
        <v/>
      </c>
      <c r="H36">
        <f>IF(計分!H36="","",計分!H36^2)</f>
        <v/>
      </c>
      <c r="I36">
        <f>IF(計分!I36="","",計分!I36^2)</f>
        <v/>
      </c>
      <c r="J36">
        <f>IF(計分!J36="","",計分!J36^2)</f>
        <v/>
      </c>
      <c r="K36">
        <f>IF(計分!K36="","",計分!K36^2)</f>
        <v/>
      </c>
      <c r="L36">
        <f>IF(計分!L36="","",計分!L36^2)</f>
        <v/>
      </c>
      <c r="M36">
        <f>IF(計分!M36="","",計分!M36^2)</f>
        <v/>
      </c>
      <c r="N36">
        <f>IF(計分!N36="","",計分!N36^2)</f>
        <v/>
      </c>
      <c r="O36">
        <f>IF(計分!O36="","",計分!O36^2)</f>
        <v/>
      </c>
      <c r="P36">
        <f>IF(計分!P36="","",計分!P36^2)</f>
        <v/>
      </c>
      <c r="Q36">
        <f>IF(計分!Q36="","",計分!Q36^2)</f>
        <v/>
      </c>
      <c r="R36">
        <f>IF(計分!R36="","",計分!R36^2)</f>
        <v/>
      </c>
      <c r="S36">
        <f>IF(計分!S36="","",計分!S36^2)</f>
        <v/>
      </c>
      <c r="T36">
        <f>IF(計分!T36="","",計分!T36^2)</f>
        <v/>
      </c>
      <c r="U36">
        <f>IF(計分!U36="","",計分!U36^2)</f>
        <v/>
      </c>
      <c r="V36">
        <f>IF(計分!V36="","",計分!V36^2)</f>
        <v/>
      </c>
      <c r="W36">
        <f>IF(計分!W36="","",計分!W36^2)</f>
        <v/>
      </c>
      <c r="X36">
        <f>IF(計分!X36="","",計分!X36^2)</f>
        <v/>
      </c>
      <c r="Y36">
        <f>IF(計分!Y36="","",計分!Y36^2)</f>
        <v/>
      </c>
      <c r="Z36">
        <f>IF(計分!Z36="","",計分!Z36^2)</f>
        <v/>
      </c>
      <c r="AA36">
        <f>IF(計分!AA36="","",計分!AA36^2)</f>
        <v/>
      </c>
      <c r="AB36">
        <f>IF(計分!AB36="","",計分!AB36^2)</f>
        <v/>
      </c>
      <c r="AC36">
        <f>IF(計分!AC36="","",計分!AC36^2)</f>
        <v/>
      </c>
      <c r="AD36">
        <f>IF(計分!AD36="","",計分!AD36^2)</f>
        <v/>
      </c>
      <c r="AE36">
        <f>IF(計分!AE36="","",計分!AE36^2)</f>
        <v/>
      </c>
      <c r="AF36">
        <f>IF(計分!AF36="","",計分!AF36^2)</f>
        <v/>
      </c>
      <c r="AG36">
        <f>IF(計分!AG36="","",計分!AG36^2)</f>
        <v/>
      </c>
      <c r="AH36">
        <f>IF(計分!AH36="","",計分!AH36^2)</f>
        <v/>
      </c>
      <c r="AI36">
        <f>IF(計分!AI36="","",計分!AI36^2)</f>
        <v/>
      </c>
      <c r="AJ36">
        <f>IF(計分!AJ36="","",計分!AJ36^2)</f>
        <v/>
      </c>
      <c r="AK36">
        <f>IF(計分!AK36="","",計分!AK36^2)</f>
        <v/>
      </c>
      <c r="AL36">
        <f>IF(計分!AL36="","",計分!AL36^2)</f>
        <v/>
      </c>
      <c r="AM36">
        <f>IF(計分!AM36="","",計分!AM36^2)</f>
        <v/>
      </c>
      <c r="AN36">
        <f>IF(計分!AN36="","",計分!AN36^2)</f>
        <v/>
      </c>
      <c r="AO36">
        <f>IF(計分!AO36="","",計分!AO36^2)</f>
        <v/>
      </c>
    </row>
    <row r="37">
      <c r="B37">
        <f>IF(計分!B37="","",計分!B37^2)</f>
        <v/>
      </c>
      <c r="C37">
        <f>IF(計分!C37="","",計分!C37^2)</f>
        <v/>
      </c>
      <c r="D37">
        <f>IF(計分!D37="","",計分!D37^2)</f>
        <v/>
      </c>
      <c r="E37">
        <f>IF(計分!E37="","",計分!E37^2)</f>
        <v/>
      </c>
      <c r="F37">
        <f>IF(計分!F37="","",計分!F37^2)</f>
        <v/>
      </c>
      <c r="G37">
        <f>IF(計分!G37="","",計分!G37^2)</f>
        <v/>
      </c>
      <c r="H37">
        <f>IF(計分!H37="","",計分!H37^2)</f>
        <v/>
      </c>
      <c r="I37">
        <f>IF(計分!I37="","",計分!I37^2)</f>
        <v/>
      </c>
      <c r="J37">
        <f>IF(計分!J37="","",計分!J37^2)</f>
        <v/>
      </c>
      <c r="K37">
        <f>IF(計分!K37="","",計分!K37^2)</f>
        <v/>
      </c>
      <c r="L37">
        <f>IF(計分!L37="","",計分!L37^2)</f>
        <v/>
      </c>
      <c r="M37">
        <f>IF(計分!M37="","",計分!M37^2)</f>
        <v/>
      </c>
      <c r="N37">
        <f>IF(計分!N37="","",計分!N37^2)</f>
        <v/>
      </c>
      <c r="O37">
        <f>IF(計分!O37="","",計分!O37^2)</f>
        <v/>
      </c>
      <c r="P37">
        <f>IF(計分!P37="","",計分!P37^2)</f>
        <v/>
      </c>
      <c r="Q37">
        <f>IF(計分!Q37="","",計分!Q37^2)</f>
        <v/>
      </c>
      <c r="R37">
        <f>IF(計分!R37="","",計分!R37^2)</f>
        <v/>
      </c>
      <c r="S37">
        <f>IF(計分!S37="","",計分!S37^2)</f>
        <v/>
      </c>
      <c r="T37">
        <f>IF(計分!T37="","",計分!T37^2)</f>
        <v/>
      </c>
      <c r="U37">
        <f>IF(計分!U37="","",計分!U37^2)</f>
        <v/>
      </c>
      <c r="V37">
        <f>IF(計分!V37="","",計分!V37^2)</f>
        <v/>
      </c>
      <c r="W37">
        <f>IF(計分!W37="","",計分!W37^2)</f>
        <v/>
      </c>
      <c r="X37">
        <f>IF(計分!X37="","",計分!X37^2)</f>
        <v/>
      </c>
      <c r="Y37">
        <f>IF(計分!Y37="","",計分!Y37^2)</f>
        <v/>
      </c>
      <c r="Z37">
        <f>IF(計分!Z37="","",計分!Z37^2)</f>
        <v/>
      </c>
      <c r="AA37">
        <f>IF(計分!AA37="","",計分!AA37^2)</f>
        <v/>
      </c>
      <c r="AB37">
        <f>IF(計分!AB37="","",計分!AB37^2)</f>
        <v/>
      </c>
      <c r="AC37">
        <f>IF(計分!AC37="","",計分!AC37^2)</f>
        <v/>
      </c>
      <c r="AD37">
        <f>IF(計分!AD37="","",計分!AD37^2)</f>
        <v/>
      </c>
      <c r="AE37">
        <f>IF(計分!AE37="","",計分!AE37^2)</f>
        <v/>
      </c>
      <c r="AF37">
        <f>IF(計分!AF37="","",計分!AF37^2)</f>
        <v/>
      </c>
      <c r="AG37">
        <f>IF(計分!AG37="","",計分!AG37^2)</f>
        <v/>
      </c>
      <c r="AH37">
        <f>IF(計分!AH37="","",計分!AH37^2)</f>
        <v/>
      </c>
      <c r="AI37">
        <f>IF(計分!AI37="","",計分!AI37^2)</f>
        <v/>
      </c>
      <c r="AJ37">
        <f>IF(計分!AJ37="","",計分!AJ37^2)</f>
        <v/>
      </c>
      <c r="AK37">
        <f>IF(計分!AK37="","",計分!AK37^2)</f>
        <v/>
      </c>
      <c r="AL37">
        <f>IF(計分!AL37="","",計分!AL37^2)</f>
        <v/>
      </c>
      <c r="AM37">
        <f>IF(計分!AM37="","",計分!AM37^2)</f>
        <v/>
      </c>
      <c r="AN37">
        <f>IF(計分!AN37="","",計分!AN37^2)</f>
        <v/>
      </c>
      <c r="AO37">
        <f>IF(計分!AO37="","",計分!AO37^2)</f>
        <v/>
      </c>
    </row>
    <row r="38">
      <c r="B38">
        <f>IF(計分!B38="","",計分!B38^2)</f>
        <v/>
      </c>
      <c r="C38">
        <f>IF(計分!C38="","",計分!C38^2)</f>
        <v/>
      </c>
      <c r="D38">
        <f>IF(計分!D38="","",計分!D38^2)</f>
        <v/>
      </c>
      <c r="E38">
        <f>IF(計分!E38="","",計分!E38^2)</f>
        <v/>
      </c>
      <c r="F38">
        <f>IF(計分!F38="","",計分!F38^2)</f>
        <v/>
      </c>
      <c r="G38">
        <f>IF(計分!G38="","",計分!G38^2)</f>
        <v/>
      </c>
      <c r="H38">
        <f>IF(計分!H38="","",計分!H38^2)</f>
        <v/>
      </c>
      <c r="I38">
        <f>IF(計分!I38="","",計分!I38^2)</f>
        <v/>
      </c>
      <c r="J38">
        <f>IF(計分!J38="","",計分!J38^2)</f>
        <v/>
      </c>
      <c r="K38">
        <f>IF(計分!K38="","",計分!K38^2)</f>
        <v/>
      </c>
      <c r="L38">
        <f>IF(計分!L38="","",計分!L38^2)</f>
        <v/>
      </c>
      <c r="M38">
        <f>IF(計分!M38="","",計分!M38^2)</f>
        <v/>
      </c>
      <c r="N38">
        <f>IF(計分!N38="","",計分!N38^2)</f>
        <v/>
      </c>
      <c r="O38">
        <f>IF(計分!O38="","",計分!O38^2)</f>
        <v/>
      </c>
      <c r="P38">
        <f>IF(計分!P38="","",計分!P38^2)</f>
        <v/>
      </c>
      <c r="Q38">
        <f>IF(計分!Q38="","",計分!Q38^2)</f>
        <v/>
      </c>
      <c r="R38">
        <f>IF(計分!R38="","",計分!R38^2)</f>
        <v/>
      </c>
      <c r="S38">
        <f>IF(計分!S38="","",計分!S38^2)</f>
        <v/>
      </c>
      <c r="T38">
        <f>IF(計分!T38="","",計分!T38^2)</f>
        <v/>
      </c>
      <c r="U38">
        <f>IF(計分!U38="","",計分!U38^2)</f>
        <v/>
      </c>
      <c r="V38">
        <f>IF(計分!V38="","",計分!V38^2)</f>
        <v/>
      </c>
      <c r="W38">
        <f>IF(計分!W38="","",計分!W38^2)</f>
        <v/>
      </c>
      <c r="X38">
        <f>IF(計分!X38="","",計分!X38^2)</f>
        <v/>
      </c>
      <c r="Y38">
        <f>IF(計分!Y38="","",計分!Y38^2)</f>
        <v/>
      </c>
      <c r="Z38">
        <f>IF(計分!Z38="","",計分!Z38^2)</f>
        <v/>
      </c>
      <c r="AA38">
        <f>IF(計分!AA38="","",計分!AA38^2)</f>
        <v/>
      </c>
      <c r="AB38">
        <f>IF(計分!AB38="","",計分!AB38^2)</f>
        <v/>
      </c>
      <c r="AC38">
        <f>IF(計分!AC38="","",計分!AC38^2)</f>
        <v/>
      </c>
      <c r="AD38">
        <f>IF(計分!AD38="","",計分!AD38^2)</f>
        <v/>
      </c>
      <c r="AE38">
        <f>IF(計分!AE38="","",計分!AE38^2)</f>
        <v/>
      </c>
      <c r="AF38">
        <f>IF(計分!AF38="","",計分!AF38^2)</f>
        <v/>
      </c>
      <c r="AG38">
        <f>IF(計分!AG38="","",計分!AG38^2)</f>
        <v/>
      </c>
      <c r="AH38">
        <f>IF(計分!AH38="","",計分!AH38^2)</f>
        <v/>
      </c>
      <c r="AI38">
        <f>IF(計分!AI38="","",計分!AI38^2)</f>
        <v/>
      </c>
      <c r="AJ38">
        <f>IF(計分!AJ38="","",計分!AJ38^2)</f>
        <v/>
      </c>
      <c r="AK38">
        <f>IF(計分!AK38="","",計分!AK38^2)</f>
        <v/>
      </c>
      <c r="AL38">
        <f>IF(計分!AL38="","",計分!AL38^2)</f>
        <v/>
      </c>
      <c r="AM38">
        <f>IF(計分!AM38="","",計分!AM38^2)</f>
        <v/>
      </c>
      <c r="AN38">
        <f>IF(計分!AN38="","",計分!AN38^2)</f>
        <v/>
      </c>
      <c r="AO38">
        <f>IF(計分!AO38="","",計分!AO38^2)</f>
        <v/>
      </c>
    </row>
    <row r="39">
      <c r="B39">
        <f>IF(計分!B39="","",計分!B39^2)</f>
        <v/>
      </c>
      <c r="C39">
        <f>IF(計分!C39="","",計分!C39^2)</f>
        <v/>
      </c>
      <c r="D39">
        <f>IF(計分!D39="","",計分!D39^2)</f>
        <v/>
      </c>
      <c r="E39">
        <f>IF(計分!E39="","",計分!E39^2)</f>
        <v/>
      </c>
      <c r="F39">
        <f>IF(計分!F39="","",計分!F39^2)</f>
        <v/>
      </c>
      <c r="G39">
        <f>IF(計分!G39="","",計分!G39^2)</f>
        <v/>
      </c>
      <c r="H39">
        <f>IF(計分!H39="","",計分!H39^2)</f>
        <v/>
      </c>
      <c r="I39">
        <f>IF(計分!I39="","",計分!I39^2)</f>
        <v/>
      </c>
      <c r="J39">
        <f>IF(計分!J39="","",計分!J39^2)</f>
        <v/>
      </c>
      <c r="K39">
        <f>IF(計分!K39="","",計分!K39^2)</f>
        <v/>
      </c>
      <c r="L39">
        <f>IF(計分!L39="","",計分!L39^2)</f>
        <v/>
      </c>
      <c r="M39">
        <f>IF(計分!M39="","",計分!M39^2)</f>
        <v/>
      </c>
      <c r="N39">
        <f>IF(計分!N39="","",計分!N39^2)</f>
        <v/>
      </c>
      <c r="O39">
        <f>IF(計分!O39="","",計分!O39^2)</f>
        <v/>
      </c>
      <c r="P39">
        <f>IF(計分!P39="","",計分!P39^2)</f>
        <v/>
      </c>
      <c r="Q39">
        <f>IF(計分!Q39="","",計分!Q39^2)</f>
        <v/>
      </c>
      <c r="R39">
        <f>IF(計分!R39="","",計分!R39^2)</f>
        <v/>
      </c>
      <c r="S39">
        <f>IF(計分!S39="","",計分!S39^2)</f>
        <v/>
      </c>
      <c r="T39">
        <f>IF(計分!T39="","",計分!T39^2)</f>
        <v/>
      </c>
      <c r="U39">
        <f>IF(計分!U39="","",計分!U39^2)</f>
        <v/>
      </c>
      <c r="V39">
        <f>IF(計分!V39="","",計分!V39^2)</f>
        <v/>
      </c>
      <c r="W39">
        <f>IF(計分!W39="","",計分!W39^2)</f>
        <v/>
      </c>
      <c r="X39">
        <f>IF(計分!X39="","",計分!X39^2)</f>
        <v/>
      </c>
      <c r="Y39">
        <f>IF(計分!Y39="","",計分!Y39^2)</f>
        <v/>
      </c>
      <c r="Z39">
        <f>IF(計分!Z39="","",計分!Z39^2)</f>
        <v/>
      </c>
      <c r="AA39">
        <f>IF(計分!AA39="","",計分!AA39^2)</f>
        <v/>
      </c>
      <c r="AB39">
        <f>IF(計分!AB39="","",計分!AB39^2)</f>
        <v/>
      </c>
      <c r="AC39">
        <f>IF(計分!AC39="","",計分!AC39^2)</f>
        <v/>
      </c>
      <c r="AD39">
        <f>IF(計分!AD39="","",計分!AD39^2)</f>
        <v/>
      </c>
      <c r="AE39">
        <f>IF(計分!AE39="","",計分!AE39^2)</f>
        <v/>
      </c>
      <c r="AF39">
        <f>IF(計分!AF39="","",計分!AF39^2)</f>
        <v/>
      </c>
      <c r="AG39">
        <f>IF(計分!AG39="","",計分!AG39^2)</f>
        <v/>
      </c>
      <c r="AH39">
        <f>IF(計分!AH39="","",計分!AH39^2)</f>
        <v/>
      </c>
      <c r="AI39">
        <f>IF(計分!AI39="","",計分!AI39^2)</f>
        <v/>
      </c>
      <c r="AJ39">
        <f>IF(計分!AJ39="","",計分!AJ39^2)</f>
        <v/>
      </c>
      <c r="AK39">
        <f>IF(計分!AK39="","",計分!AK39^2)</f>
        <v/>
      </c>
      <c r="AL39">
        <f>IF(計分!AL39="","",計分!AL39^2)</f>
        <v/>
      </c>
      <c r="AM39">
        <f>IF(計分!AM39="","",計分!AM39^2)</f>
        <v/>
      </c>
      <c r="AN39">
        <f>IF(計分!AN39="","",計分!AN39^2)</f>
        <v/>
      </c>
      <c r="AO39">
        <f>IF(計分!AO39="","",計分!AO39^2)</f>
        <v/>
      </c>
    </row>
    <row r="40">
      <c r="B40">
        <f>IF(計分!B40="","",計分!B40^2)</f>
        <v/>
      </c>
      <c r="C40">
        <f>IF(計分!C40="","",計分!C40^2)</f>
        <v/>
      </c>
      <c r="D40">
        <f>IF(計分!D40="","",計分!D40^2)</f>
        <v/>
      </c>
      <c r="E40">
        <f>IF(計分!E40="","",計分!E40^2)</f>
        <v/>
      </c>
      <c r="F40">
        <f>IF(計分!F40="","",計分!F40^2)</f>
        <v/>
      </c>
      <c r="G40">
        <f>IF(計分!G40="","",計分!G40^2)</f>
        <v/>
      </c>
      <c r="H40">
        <f>IF(計分!H40="","",計分!H40^2)</f>
        <v/>
      </c>
      <c r="I40">
        <f>IF(計分!I40="","",計分!I40^2)</f>
        <v/>
      </c>
      <c r="J40">
        <f>IF(計分!J40="","",計分!J40^2)</f>
        <v/>
      </c>
      <c r="K40">
        <f>IF(計分!K40="","",計分!K40^2)</f>
        <v/>
      </c>
      <c r="L40">
        <f>IF(計分!L40="","",計分!L40^2)</f>
        <v/>
      </c>
      <c r="M40">
        <f>IF(計分!M40="","",計分!M40^2)</f>
        <v/>
      </c>
      <c r="N40">
        <f>IF(計分!N40="","",計分!N40^2)</f>
        <v/>
      </c>
      <c r="O40">
        <f>IF(計分!O40="","",計分!O40^2)</f>
        <v/>
      </c>
      <c r="P40">
        <f>IF(計分!P40="","",計分!P40^2)</f>
        <v/>
      </c>
      <c r="Q40">
        <f>IF(計分!Q40="","",計分!Q40^2)</f>
        <v/>
      </c>
      <c r="R40">
        <f>IF(計分!R40="","",計分!R40^2)</f>
        <v/>
      </c>
      <c r="S40">
        <f>IF(計分!S40="","",計分!S40^2)</f>
        <v/>
      </c>
      <c r="T40">
        <f>IF(計分!T40="","",計分!T40^2)</f>
        <v/>
      </c>
      <c r="U40">
        <f>IF(計分!U40="","",計分!U40^2)</f>
        <v/>
      </c>
      <c r="V40">
        <f>IF(計分!V40="","",計分!V40^2)</f>
        <v/>
      </c>
      <c r="W40">
        <f>IF(計分!W40="","",計分!W40^2)</f>
        <v/>
      </c>
      <c r="X40">
        <f>IF(計分!X40="","",計分!X40^2)</f>
        <v/>
      </c>
      <c r="Y40">
        <f>IF(計分!Y40="","",計分!Y40^2)</f>
        <v/>
      </c>
      <c r="Z40">
        <f>IF(計分!Z40="","",計分!Z40^2)</f>
        <v/>
      </c>
      <c r="AA40">
        <f>IF(計分!AA40="","",計分!AA40^2)</f>
        <v/>
      </c>
      <c r="AB40">
        <f>IF(計分!AB40="","",計分!AB40^2)</f>
        <v/>
      </c>
      <c r="AC40">
        <f>IF(計分!AC40="","",計分!AC40^2)</f>
        <v/>
      </c>
      <c r="AD40">
        <f>IF(計分!AD40="","",計分!AD40^2)</f>
        <v/>
      </c>
      <c r="AE40">
        <f>IF(計分!AE40="","",計分!AE40^2)</f>
        <v/>
      </c>
      <c r="AF40">
        <f>IF(計分!AF40="","",計分!AF40^2)</f>
        <v/>
      </c>
      <c r="AG40">
        <f>IF(計分!AG40="","",計分!AG40^2)</f>
        <v/>
      </c>
      <c r="AH40">
        <f>IF(計分!AH40="","",計分!AH40^2)</f>
        <v/>
      </c>
      <c r="AI40">
        <f>IF(計分!AI40="","",計分!AI40^2)</f>
        <v/>
      </c>
      <c r="AJ40">
        <f>IF(計分!AJ40="","",計分!AJ40^2)</f>
        <v/>
      </c>
      <c r="AK40">
        <f>IF(計分!AK40="","",計分!AK40^2)</f>
        <v/>
      </c>
      <c r="AL40">
        <f>IF(計分!AL40="","",計分!AL40^2)</f>
        <v/>
      </c>
      <c r="AM40">
        <f>IF(計分!AM40="","",計分!AM40^2)</f>
        <v/>
      </c>
      <c r="AN40">
        <f>IF(計分!AN40="","",計分!AN40^2)</f>
        <v/>
      </c>
      <c r="AO40">
        <f>IF(計分!AO40="","",計分!AO40^2)</f>
        <v/>
      </c>
    </row>
    <row r="41">
      <c r="B41">
        <f>IF(計分!B41="","",計分!B41^2)</f>
        <v/>
      </c>
      <c r="C41">
        <f>IF(計分!C41="","",計分!C41^2)</f>
        <v/>
      </c>
      <c r="D41">
        <f>IF(計分!D41="","",計分!D41^2)</f>
        <v/>
      </c>
      <c r="E41">
        <f>IF(計分!E41="","",計分!E41^2)</f>
        <v/>
      </c>
      <c r="F41">
        <f>IF(計分!F41="","",計分!F41^2)</f>
        <v/>
      </c>
      <c r="G41">
        <f>IF(計分!G41="","",計分!G41^2)</f>
        <v/>
      </c>
      <c r="H41">
        <f>IF(計分!H41="","",計分!H41^2)</f>
        <v/>
      </c>
      <c r="I41">
        <f>IF(計分!I41="","",計分!I41^2)</f>
        <v/>
      </c>
      <c r="J41">
        <f>IF(計分!J41="","",計分!J41^2)</f>
        <v/>
      </c>
      <c r="K41">
        <f>IF(計分!K41="","",計分!K41^2)</f>
        <v/>
      </c>
      <c r="L41">
        <f>IF(計分!L41="","",計分!L41^2)</f>
        <v/>
      </c>
      <c r="M41">
        <f>IF(計分!M41="","",計分!M41^2)</f>
        <v/>
      </c>
      <c r="N41">
        <f>IF(計分!N41="","",計分!N41^2)</f>
        <v/>
      </c>
      <c r="O41">
        <f>IF(計分!O41="","",計分!O41^2)</f>
        <v/>
      </c>
      <c r="P41">
        <f>IF(計分!P41="","",計分!P41^2)</f>
        <v/>
      </c>
      <c r="Q41">
        <f>IF(計分!Q41="","",計分!Q41^2)</f>
        <v/>
      </c>
      <c r="R41">
        <f>IF(計分!R41="","",計分!R41^2)</f>
        <v/>
      </c>
      <c r="S41">
        <f>IF(計分!S41="","",計分!S41^2)</f>
        <v/>
      </c>
      <c r="T41">
        <f>IF(計分!T41="","",計分!T41^2)</f>
        <v/>
      </c>
      <c r="U41">
        <f>IF(計分!U41="","",計分!U41^2)</f>
        <v/>
      </c>
      <c r="V41">
        <f>IF(計分!V41="","",計分!V41^2)</f>
        <v/>
      </c>
      <c r="W41">
        <f>IF(計分!W41="","",計分!W41^2)</f>
        <v/>
      </c>
      <c r="X41">
        <f>IF(計分!X41="","",計分!X41^2)</f>
        <v/>
      </c>
      <c r="Y41">
        <f>IF(計分!Y41="","",計分!Y41^2)</f>
        <v/>
      </c>
      <c r="Z41">
        <f>IF(計分!Z41="","",計分!Z41^2)</f>
        <v/>
      </c>
      <c r="AA41">
        <f>IF(計分!AA41="","",計分!AA41^2)</f>
        <v/>
      </c>
      <c r="AB41">
        <f>IF(計分!AB41="","",計分!AB41^2)</f>
        <v/>
      </c>
      <c r="AC41">
        <f>IF(計分!AC41="","",計分!AC41^2)</f>
        <v/>
      </c>
      <c r="AD41">
        <f>IF(計分!AD41="","",計分!AD41^2)</f>
        <v/>
      </c>
      <c r="AE41">
        <f>IF(計分!AE41="","",計分!AE41^2)</f>
        <v/>
      </c>
      <c r="AF41">
        <f>IF(計分!AF41="","",計分!AF41^2)</f>
        <v/>
      </c>
      <c r="AG41">
        <f>IF(計分!AG41="","",計分!AG41^2)</f>
        <v/>
      </c>
      <c r="AH41">
        <f>IF(計分!AH41="","",計分!AH41^2)</f>
        <v/>
      </c>
      <c r="AI41">
        <f>IF(計分!AI41="","",計分!AI41^2)</f>
        <v/>
      </c>
      <c r="AJ41">
        <f>IF(計分!AJ41="","",計分!AJ41^2)</f>
        <v/>
      </c>
      <c r="AK41">
        <f>IF(計分!AK41="","",計分!AK41^2)</f>
        <v/>
      </c>
      <c r="AL41">
        <f>IF(計分!AL41="","",計分!AL41^2)</f>
        <v/>
      </c>
      <c r="AM41">
        <f>IF(計分!AM41="","",計分!AM41^2)</f>
        <v/>
      </c>
      <c r="AN41">
        <f>IF(計分!AN41="","",計分!AN41^2)</f>
        <v/>
      </c>
      <c r="AO41">
        <f>IF(計分!AO41="","",計分!AO41^2)</f>
        <v/>
      </c>
    </row>
    <row r="42">
      <c r="B42">
        <f>IF(計分!B42="","",計分!B42^2)</f>
        <v/>
      </c>
      <c r="C42">
        <f>IF(計分!C42="","",計分!C42^2)</f>
        <v/>
      </c>
      <c r="D42">
        <f>IF(計分!D42="","",計分!D42^2)</f>
        <v/>
      </c>
      <c r="E42">
        <f>IF(計分!E42="","",計分!E42^2)</f>
        <v/>
      </c>
      <c r="F42">
        <f>IF(計分!F42="","",計分!F42^2)</f>
        <v/>
      </c>
      <c r="G42">
        <f>IF(計分!G42="","",計分!G42^2)</f>
        <v/>
      </c>
      <c r="H42">
        <f>IF(計分!H42="","",計分!H42^2)</f>
        <v/>
      </c>
      <c r="I42">
        <f>IF(計分!I42="","",計分!I42^2)</f>
        <v/>
      </c>
      <c r="J42">
        <f>IF(計分!J42="","",計分!J42^2)</f>
        <v/>
      </c>
      <c r="K42">
        <f>IF(計分!K42="","",計分!K42^2)</f>
        <v/>
      </c>
      <c r="L42">
        <f>IF(計分!L42="","",計分!L42^2)</f>
        <v/>
      </c>
      <c r="M42">
        <f>IF(計分!M42="","",計分!M42^2)</f>
        <v/>
      </c>
      <c r="N42">
        <f>IF(計分!N42="","",計分!N42^2)</f>
        <v/>
      </c>
      <c r="O42">
        <f>IF(計分!O42="","",計分!O42^2)</f>
        <v/>
      </c>
      <c r="P42">
        <f>IF(計分!P42="","",計分!P42^2)</f>
        <v/>
      </c>
      <c r="Q42">
        <f>IF(計分!Q42="","",計分!Q42^2)</f>
        <v/>
      </c>
      <c r="R42">
        <f>IF(計分!R42="","",計分!R42^2)</f>
        <v/>
      </c>
      <c r="S42">
        <f>IF(計分!S42="","",計分!S42^2)</f>
        <v/>
      </c>
      <c r="T42">
        <f>IF(計分!T42="","",計分!T42^2)</f>
        <v/>
      </c>
      <c r="U42">
        <f>IF(計分!U42="","",計分!U42^2)</f>
        <v/>
      </c>
      <c r="V42">
        <f>IF(計分!V42="","",計分!V42^2)</f>
        <v/>
      </c>
      <c r="W42">
        <f>IF(計分!W42="","",計分!W42^2)</f>
        <v/>
      </c>
      <c r="X42">
        <f>IF(計分!X42="","",計分!X42^2)</f>
        <v/>
      </c>
      <c r="Y42">
        <f>IF(計分!Y42="","",計分!Y42^2)</f>
        <v/>
      </c>
      <c r="Z42">
        <f>IF(計分!Z42="","",計分!Z42^2)</f>
        <v/>
      </c>
      <c r="AA42">
        <f>IF(計分!AA42="","",計分!AA42^2)</f>
        <v/>
      </c>
      <c r="AB42">
        <f>IF(計分!AB42="","",計分!AB42^2)</f>
        <v/>
      </c>
      <c r="AC42">
        <f>IF(計分!AC42="","",計分!AC42^2)</f>
        <v/>
      </c>
      <c r="AD42">
        <f>IF(計分!AD42="","",計分!AD42^2)</f>
        <v/>
      </c>
      <c r="AE42">
        <f>IF(計分!AE42="","",計分!AE42^2)</f>
        <v/>
      </c>
      <c r="AF42">
        <f>IF(計分!AF42="","",計分!AF42^2)</f>
        <v/>
      </c>
      <c r="AG42">
        <f>IF(計分!AG42="","",計分!AG42^2)</f>
        <v/>
      </c>
      <c r="AH42">
        <f>IF(計分!AH42="","",計分!AH42^2)</f>
        <v/>
      </c>
      <c r="AI42">
        <f>IF(計分!AI42="","",計分!AI42^2)</f>
        <v/>
      </c>
      <c r="AJ42">
        <f>IF(計分!AJ42="","",計分!AJ42^2)</f>
        <v/>
      </c>
      <c r="AK42">
        <f>IF(計分!AK42="","",計分!AK42^2)</f>
        <v/>
      </c>
      <c r="AL42">
        <f>IF(計分!AL42="","",計分!AL42^2)</f>
        <v/>
      </c>
      <c r="AM42">
        <f>IF(計分!AM42="","",計分!AM42^2)</f>
        <v/>
      </c>
      <c r="AN42">
        <f>IF(計分!AN42="","",計分!AN42^2)</f>
        <v/>
      </c>
      <c r="AO42">
        <f>IF(計分!AO42="","",計分!AO42^2)</f>
        <v/>
      </c>
    </row>
    <row r="43">
      <c r="B43">
        <f>IF(計分!B43="","",計分!B43^2)</f>
        <v/>
      </c>
      <c r="C43">
        <f>IF(計分!C43="","",計分!C43^2)</f>
        <v/>
      </c>
      <c r="D43">
        <f>IF(計分!D43="","",計分!D43^2)</f>
        <v/>
      </c>
      <c r="E43">
        <f>IF(計分!E43="","",計分!E43^2)</f>
        <v/>
      </c>
      <c r="F43">
        <f>IF(計分!F43="","",計分!F43^2)</f>
        <v/>
      </c>
      <c r="G43">
        <f>IF(計分!G43="","",計分!G43^2)</f>
        <v/>
      </c>
      <c r="H43">
        <f>IF(計分!H43="","",計分!H43^2)</f>
        <v/>
      </c>
      <c r="I43">
        <f>IF(計分!I43="","",計分!I43^2)</f>
        <v/>
      </c>
      <c r="J43">
        <f>IF(計分!J43="","",計分!J43^2)</f>
        <v/>
      </c>
      <c r="K43">
        <f>IF(計分!K43="","",計分!K43^2)</f>
        <v/>
      </c>
      <c r="L43">
        <f>IF(計分!L43="","",計分!L43^2)</f>
        <v/>
      </c>
      <c r="M43">
        <f>IF(計分!M43="","",計分!M43^2)</f>
        <v/>
      </c>
      <c r="N43">
        <f>IF(計分!N43="","",計分!N43^2)</f>
        <v/>
      </c>
      <c r="O43">
        <f>IF(計分!O43="","",計分!O43^2)</f>
        <v/>
      </c>
      <c r="P43">
        <f>IF(計分!P43="","",計分!P43^2)</f>
        <v/>
      </c>
      <c r="Q43">
        <f>IF(計分!Q43="","",計分!Q43^2)</f>
        <v/>
      </c>
      <c r="R43">
        <f>IF(計分!R43="","",計分!R43^2)</f>
        <v/>
      </c>
      <c r="S43">
        <f>IF(計分!S43="","",計分!S43^2)</f>
        <v/>
      </c>
      <c r="T43">
        <f>IF(計分!T43="","",計分!T43^2)</f>
        <v/>
      </c>
      <c r="U43">
        <f>IF(計分!U43="","",計分!U43^2)</f>
        <v/>
      </c>
      <c r="V43">
        <f>IF(計分!V43="","",計分!V43^2)</f>
        <v/>
      </c>
      <c r="W43">
        <f>IF(計分!W43="","",計分!W43^2)</f>
        <v/>
      </c>
      <c r="X43">
        <f>IF(計分!X43="","",計分!X43^2)</f>
        <v/>
      </c>
      <c r="Y43">
        <f>IF(計分!Y43="","",計分!Y43^2)</f>
        <v/>
      </c>
      <c r="Z43">
        <f>IF(計分!Z43="","",計分!Z43^2)</f>
        <v/>
      </c>
      <c r="AA43">
        <f>IF(計分!AA43="","",計分!AA43^2)</f>
        <v/>
      </c>
      <c r="AB43">
        <f>IF(計分!AB43="","",計分!AB43^2)</f>
        <v/>
      </c>
      <c r="AC43">
        <f>IF(計分!AC43="","",計分!AC43^2)</f>
        <v/>
      </c>
      <c r="AD43">
        <f>IF(計分!AD43="","",計分!AD43^2)</f>
        <v/>
      </c>
      <c r="AE43">
        <f>IF(計分!AE43="","",計分!AE43^2)</f>
        <v/>
      </c>
      <c r="AF43">
        <f>IF(計分!AF43="","",計分!AF43^2)</f>
        <v/>
      </c>
      <c r="AG43">
        <f>IF(計分!AG43="","",計分!AG43^2)</f>
        <v/>
      </c>
      <c r="AH43">
        <f>IF(計分!AH43="","",計分!AH43^2)</f>
        <v/>
      </c>
      <c r="AI43">
        <f>IF(計分!AI43="","",計分!AI43^2)</f>
        <v/>
      </c>
      <c r="AJ43">
        <f>IF(計分!AJ43="","",計分!AJ43^2)</f>
        <v/>
      </c>
      <c r="AK43">
        <f>IF(計分!AK43="","",計分!AK43^2)</f>
        <v/>
      </c>
      <c r="AL43">
        <f>IF(計分!AL43="","",計分!AL43^2)</f>
        <v/>
      </c>
      <c r="AM43">
        <f>IF(計分!AM43="","",計分!AM43^2)</f>
        <v/>
      </c>
      <c r="AN43">
        <f>IF(計分!AN43="","",計分!AN43^2)</f>
        <v/>
      </c>
      <c r="AO43">
        <f>IF(計分!AO43="","",計分!AO43^2)</f>
        <v/>
      </c>
    </row>
    <row r="44">
      <c r="B44">
        <f>IF(計分!B44="","",計分!B44^2)</f>
        <v/>
      </c>
      <c r="C44">
        <f>IF(計分!C44="","",計分!C44^2)</f>
        <v/>
      </c>
      <c r="D44">
        <f>IF(計分!D44="","",計分!D44^2)</f>
        <v/>
      </c>
      <c r="E44">
        <f>IF(計分!E44="","",計分!E44^2)</f>
        <v/>
      </c>
      <c r="F44">
        <f>IF(計分!F44="","",計分!F44^2)</f>
        <v/>
      </c>
      <c r="G44">
        <f>IF(計分!G44="","",計分!G44^2)</f>
        <v/>
      </c>
      <c r="H44">
        <f>IF(計分!H44="","",計分!H44^2)</f>
        <v/>
      </c>
      <c r="I44">
        <f>IF(計分!I44="","",計分!I44^2)</f>
        <v/>
      </c>
      <c r="J44">
        <f>IF(計分!J44="","",計分!J44^2)</f>
        <v/>
      </c>
      <c r="K44">
        <f>IF(計分!K44="","",計分!K44^2)</f>
        <v/>
      </c>
      <c r="L44">
        <f>IF(計分!L44="","",計分!L44^2)</f>
        <v/>
      </c>
      <c r="M44">
        <f>IF(計分!M44="","",計分!M44^2)</f>
        <v/>
      </c>
      <c r="N44">
        <f>IF(計分!N44="","",計分!N44^2)</f>
        <v/>
      </c>
      <c r="O44">
        <f>IF(計分!O44="","",計分!O44^2)</f>
        <v/>
      </c>
      <c r="P44">
        <f>IF(計分!P44="","",計分!P44^2)</f>
        <v/>
      </c>
      <c r="Q44">
        <f>IF(計分!Q44="","",計分!Q44^2)</f>
        <v/>
      </c>
      <c r="R44">
        <f>IF(計分!R44="","",計分!R44^2)</f>
        <v/>
      </c>
      <c r="S44">
        <f>IF(計分!S44="","",計分!S44^2)</f>
        <v/>
      </c>
      <c r="T44">
        <f>IF(計分!T44="","",計分!T44^2)</f>
        <v/>
      </c>
      <c r="U44">
        <f>IF(計分!U44="","",計分!U44^2)</f>
        <v/>
      </c>
      <c r="V44">
        <f>IF(計分!V44="","",計分!V44^2)</f>
        <v/>
      </c>
      <c r="W44">
        <f>IF(計分!W44="","",計分!W44^2)</f>
        <v/>
      </c>
      <c r="X44">
        <f>IF(計分!X44="","",計分!X44^2)</f>
        <v/>
      </c>
      <c r="Y44">
        <f>IF(計分!Y44="","",計分!Y44^2)</f>
        <v/>
      </c>
      <c r="Z44">
        <f>IF(計分!Z44="","",計分!Z44^2)</f>
        <v/>
      </c>
      <c r="AA44">
        <f>IF(計分!AA44="","",計分!AA44^2)</f>
        <v/>
      </c>
      <c r="AB44">
        <f>IF(計分!AB44="","",計分!AB44^2)</f>
        <v/>
      </c>
      <c r="AC44">
        <f>IF(計分!AC44="","",計分!AC44^2)</f>
        <v/>
      </c>
      <c r="AD44">
        <f>IF(計分!AD44="","",計分!AD44^2)</f>
        <v/>
      </c>
      <c r="AE44">
        <f>IF(計分!AE44="","",計分!AE44^2)</f>
        <v/>
      </c>
      <c r="AF44">
        <f>IF(計分!AF44="","",計分!AF44^2)</f>
        <v/>
      </c>
      <c r="AG44">
        <f>IF(計分!AG44="","",計分!AG44^2)</f>
        <v/>
      </c>
      <c r="AH44">
        <f>IF(計分!AH44="","",計分!AH44^2)</f>
        <v/>
      </c>
      <c r="AI44">
        <f>IF(計分!AI44="","",計分!AI44^2)</f>
        <v/>
      </c>
      <c r="AJ44">
        <f>IF(計分!AJ44="","",計分!AJ44^2)</f>
        <v/>
      </c>
      <c r="AK44">
        <f>IF(計分!AK44="","",計分!AK44^2)</f>
        <v/>
      </c>
      <c r="AL44">
        <f>IF(計分!AL44="","",計分!AL44^2)</f>
        <v/>
      </c>
      <c r="AM44">
        <f>IF(計分!AM44="","",計分!AM44^2)</f>
        <v/>
      </c>
      <c r="AN44">
        <f>IF(計分!AN44="","",計分!AN44^2)</f>
        <v/>
      </c>
      <c r="AO44">
        <f>IF(計分!AO44="","",計分!AO44^2)</f>
        <v/>
      </c>
    </row>
    <row r="45">
      <c r="B45">
        <f>IF(計分!B45="","",計分!B45^2)</f>
        <v/>
      </c>
      <c r="C45">
        <f>IF(計分!C45="","",計分!C45^2)</f>
        <v/>
      </c>
      <c r="D45">
        <f>IF(計分!D45="","",計分!D45^2)</f>
        <v/>
      </c>
      <c r="E45">
        <f>IF(計分!E45="","",計分!E45^2)</f>
        <v/>
      </c>
      <c r="F45">
        <f>IF(計分!F45="","",計分!F45^2)</f>
        <v/>
      </c>
      <c r="G45">
        <f>IF(計分!G45="","",計分!G45^2)</f>
        <v/>
      </c>
      <c r="H45">
        <f>IF(計分!H45="","",計分!H45^2)</f>
        <v/>
      </c>
      <c r="I45">
        <f>IF(計分!I45="","",計分!I45^2)</f>
        <v/>
      </c>
      <c r="J45">
        <f>IF(計分!J45="","",計分!J45^2)</f>
        <v/>
      </c>
      <c r="K45">
        <f>IF(計分!K45="","",計分!K45^2)</f>
        <v/>
      </c>
      <c r="L45">
        <f>IF(計分!L45="","",計分!L45^2)</f>
        <v/>
      </c>
      <c r="M45">
        <f>IF(計分!M45="","",計分!M45^2)</f>
        <v/>
      </c>
      <c r="N45">
        <f>IF(計分!N45="","",計分!N45^2)</f>
        <v/>
      </c>
      <c r="O45">
        <f>IF(計分!O45="","",計分!O45^2)</f>
        <v/>
      </c>
      <c r="P45">
        <f>IF(計分!P45="","",計分!P45^2)</f>
        <v/>
      </c>
      <c r="Q45">
        <f>IF(計分!Q45="","",計分!Q45^2)</f>
        <v/>
      </c>
      <c r="R45">
        <f>IF(計分!R45="","",計分!R45^2)</f>
        <v/>
      </c>
      <c r="S45">
        <f>IF(計分!S45="","",計分!S45^2)</f>
        <v/>
      </c>
      <c r="T45">
        <f>IF(計分!T45="","",計分!T45^2)</f>
        <v/>
      </c>
      <c r="U45">
        <f>IF(計分!U45="","",計分!U45^2)</f>
        <v/>
      </c>
      <c r="V45">
        <f>IF(計分!V45="","",計分!V45^2)</f>
        <v/>
      </c>
      <c r="W45">
        <f>IF(計分!W45="","",計分!W45^2)</f>
        <v/>
      </c>
      <c r="X45">
        <f>IF(計分!X45="","",計分!X45^2)</f>
        <v/>
      </c>
      <c r="Y45">
        <f>IF(計分!Y45="","",計分!Y45^2)</f>
        <v/>
      </c>
      <c r="Z45">
        <f>IF(計分!Z45="","",計分!Z45^2)</f>
        <v/>
      </c>
      <c r="AA45">
        <f>IF(計分!AA45="","",計分!AA45^2)</f>
        <v/>
      </c>
      <c r="AB45">
        <f>IF(計分!AB45="","",計分!AB45^2)</f>
        <v/>
      </c>
      <c r="AC45">
        <f>IF(計分!AC45="","",計分!AC45^2)</f>
        <v/>
      </c>
      <c r="AD45">
        <f>IF(計分!AD45="","",計分!AD45^2)</f>
        <v/>
      </c>
      <c r="AE45">
        <f>IF(計分!AE45="","",計分!AE45^2)</f>
        <v/>
      </c>
      <c r="AF45">
        <f>IF(計分!AF45="","",計分!AF45^2)</f>
        <v/>
      </c>
      <c r="AG45">
        <f>IF(計分!AG45="","",計分!AG45^2)</f>
        <v/>
      </c>
      <c r="AH45">
        <f>IF(計分!AH45="","",計分!AH45^2)</f>
        <v/>
      </c>
      <c r="AI45">
        <f>IF(計分!AI45="","",計分!AI45^2)</f>
        <v/>
      </c>
      <c r="AJ45">
        <f>IF(計分!AJ45="","",計分!AJ45^2)</f>
        <v/>
      </c>
      <c r="AK45">
        <f>IF(計分!AK45="","",計分!AK45^2)</f>
        <v/>
      </c>
      <c r="AL45">
        <f>IF(計分!AL45="","",計分!AL45^2)</f>
        <v/>
      </c>
      <c r="AM45">
        <f>IF(計分!AM45="","",計分!AM45^2)</f>
        <v/>
      </c>
      <c r="AN45">
        <f>IF(計分!AN45="","",計分!AN45^2)</f>
        <v/>
      </c>
      <c r="AO45">
        <f>IF(計分!AO45="","",計分!AO45^2)</f>
        <v/>
      </c>
    </row>
    <row r="46">
      <c r="B46">
        <f>IF(計分!B46="","",計分!B46^2)</f>
        <v/>
      </c>
      <c r="C46">
        <f>IF(計分!C46="","",計分!C46^2)</f>
        <v/>
      </c>
      <c r="D46">
        <f>IF(計分!D46="","",計分!D46^2)</f>
        <v/>
      </c>
      <c r="E46">
        <f>IF(計分!E46="","",計分!E46^2)</f>
        <v/>
      </c>
      <c r="F46">
        <f>IF(計分!F46="","",計分!F46^2)</f>
        <v/>
      </c>
      <c r="G46">
        <f>IF(計分!G46="","",計分!G46^2)</f>
        <v/>
      </c>
      <c r="H46">
        <f>IF(計分!H46="","",計分!H46^2)</f>
        <v/>
      </c>
      <c r="I46">
        <f>IF(計分!I46="","",計分!I46^2)</f>
        <v/>
      </c>
      <c r="J46">
        <f>IF(計分!J46="","",計分!J46^2)</f>
        <v/>
      </c>
      <c r="K46">
        <f>IF(計分!K46="","",計分!K46^2)</f>
        <v/>
      </c>
      <c r="L46">
        <f>IF(計分!L46="","",計分!L46^2)</f>
        <v/>
      </c>
      <c r="M46">
        <f>IF(計分!M46="","",計分!M46^2)</f>
        <v/>
      </c>
      <c r="N46">
        <f>IF(計分!N46="","",計分!N46^2)</f>
        <v/>
      </c>
      <c r="O46">
        <f>IF(計分!O46="","",計分!O46^2)</f>
        <v/>
      </c>
      <c r="P46">
        <f>IF(計分!P46="","",計分!P46^2)</f>
        <v/>
      </c>
      <c r="Q46">
        <f>IF(計分!Q46="","",計分!Q46^2)</f>
        <v/>
      </c>
      <c r="R46">
        <f>IF(計分!R46="","",計分!R46^2)</f>
        <v/>
      </c>
      <c r="S46">
        <f>IF(計分!S46="","",計分!S46^2)</f>
        <v/>
      </c>
      <c r="T46">
        <f>IF(計分!T46="","",計分!T46^2)</f>
        <v/>
      </c>
      <c r="U46">
        <f>IF(計分!U46="","",計分!U46^2)</f>
        <v/>
      </c>
      <c r="V46">
        <f>IF(計分!V46="","",計分!V46^2)</f>
        <v/>
      </c>
      <c r="W46">
        <f>IF(計分!W46="","",計分!W46^2)</f>
        <v/>
      </c>
      <c r="X46">
        <f>IF(計分!X46="","",計分!X46^2)</f>
        <v/>
      </c>
      <c r="Y46">
        <f>IF(計分!Y46="","",計分!Y46^2)</f>
        <v/>
      </c>
      <c r="Z46">
        <f>IF(計分!Z46="","",計分!Z46^2)</f>
        <v/>
      </c>
      <c r="AA46">
        <f>IF(計分!AA46="","",計分!AA46^2)</f>
        <v/>
      </c>
      <c r="AB46">
        <f>IF(計分!AB46="","",計分!AB46^2)</f>
        <v/>
      </c>
      <c r="AC46">
        <f>IF(計分!AC46="","",計分!AC46^2)</f>
        <v/>
      </c>
      <c r="AD46">
        <f>IF(計分!AD46="","",計分!AD46^2)</f>
        <v/>
      </c>
      <c r="AE46">
        <f>IF(計分!AE46="","",計分!AE46^2)</f>
        <v/>
      </c>
      <c r="AF46">
        <f>IF(計分!AF46="","",計分!AF46^2)</f>
        <v/>
      </c>
      <c r="AG46">
        <f>IF(計分!AG46="","",計分!AG46^2)</f>
        <v/>
      </c>
      <c r="AH46">
        <f>IF(計分!AH46="","",計分!AH46^2)</f>
        <v/>
      </c>
      <c r="AI46">
        <f>IF(計分!AI46="","",計分!AI46^2)</f>
        <v/>
      </c>
      <c r="AJ46">
        <f>IF(計分!AJ46="","",計分!AJ46^2)</f>
        <v/>
      </c>
      <c r="AK46">
        <f>IF(計分!AK46="","",計分!AK46^2)</f>
        <v/>
      </c>
      <c r="AL46">
        <f>IF(計分!AL46="","",計分!AL46^2)</f>
        <v/>
      </c>
      <c r="AM46">
        <f>IF(計分!AM46="","",計分!AM46^2)</f>
        <v/>
      </c>
      <c r="AN46">
        <f>IF(計分!AN46="","",計分!AN46^2)</f>
        <v/>
      </c>
      <c r="AO46">
        <f>IF(計分!AO46="","",計分!AO46^2)</f>
        <v/>
      </c>
    </row>
    <row r="47">
      <c r="B47">
        <f>IF(計分!B47="","",計分!B47^2)</f>
        <v/>
      </c>
      <c r="C47">
        <f>IF(計分!C47="","",計分!C47^2)</f>
        <v/>
      </c>
      <c r="D47">
        <f>IF(計分!D47="","",計分!D47^2)</f>
        <v/>
      </c>
      <c r="E47">
        <f>IF(計分!E47="","",計分!E47^2)</f>
        <v/>
      </c>
      <c r="F47">
        <f>IF(計分!F47="","",計分!F47^2)</f>
        <v/>
      </c>
      <c r="G47">
        <f>IF(計分!G47="","",計分!G47^2)</f>
        <v/>
      </c>
      <c r="H47">
        <f>IF(計分!H47="","",計分!H47^2)</f>
        <v/>
      </c>
      <c r="I47">
        <f>IF(計分!I47="","",計分!I47^2)</f>
        <v/>
      </c>
      <c r="J47">
        <f>IF(計分!J47="","",計分!J47^2)</f>
        <v/>
      </c>
      <c r="K47">
        <f>IF(計分!K47="","",計分!K47^2)</f>
        <v/>
      </c>
      <c r="L47">
        <f>IF(計分!L47="","",計分!L47^2)</f>
        <v/>
      </c>
      <c r="M47">
        <f>IF(計分!M47="","",計分!M47^2)</f>
        <v/>
      </c>
      <c r="N47">
        <f>IF(計分!N47="","",計分!N47^2)</f>
        <v/>
      </c>
      <c r="O47">
        <f>IF(計分!O47="","",計分!O47^2)</f>
        <v/>
      </c>
      <c r="P47">
        <f>IF(計分!P47="","",計分!P47^2)</f>
        <v/>
      </c>
      <c r="Q47">
        <f>IF(計分!Q47="","",計分!Q47^2)</f>
        <v/>
      </c>
      <c r="R47">
        <f>IF(計分!R47="","",計分!R47^2)</f>
        <v/>
      </c>
      <c r="S47">
        <f>IF(計分!S47="","",計分!S47^2)</f>
        <v/>
      </c>
      <c r="T47">
        <f>IF(計分!T47="","",計分!T47^2)</f>
        <v/>
      </c>
      <c r="U47">
        <f>IF(計分!U47="","",計分!U47^2)</f>
        <v/>
      </c>
      <c r="V47">
        <f>IF(計分!V47="","",計分!V47^2)</f>
        <v/>
      </c>
      <c r="W47">
        <f>IF(計分!W47="","",計分!W47^2)</f>
        <v/>
      </c>
      <c r="X47">
        <f>IF(計分!X47="","",計分!X47^2)</f>
        <v/>
      </c>
      <c r="Y47">
        <f>IF(計分!Y47="","",計分!Y47^2)</f>
        <v/>
      </c>
      <c r="Z47">
        <f>IF(計分!Z47="","",計分!Z47^2)</f>
        <v/>
      </c>
      <c r="AA47">
        <f>IF(計分!AA47="","",計分!AA47^2)</f>
        <v/>
      </c>
      <c r="AB47">
        <f>IF(計分!AB47="","",計分!AB47^2)</f>
        <v/>
      </c>
      <c r="AC47">
        <f>IF(計分!AC47="","",計分!AC47^2)</f>
        <v/>
      </c>
      <c r="AD47">
        <f>IF(計分!AD47="","",計分!AD47^2)</f>
        <v/>
      </c>
      <c r="AE47">
        <f>IF(計分!AE47="","",計分!AE47^2)</f>
        <v/>
      </c>
      <c r="AF47">
        <f>IF(計分!AF47="","",計分!AF47^2)</f>
        <v/>
      </c>
      <c r="AG47">
        <f>IF(計分!AG47="","",計分!AG47^2)</f>
        <v/>
      </c>
      <c r="AH47">
        <f>IF(計分!AH47="","",計分!AH47^2)</f>
        <v/>
      </c>
      <c r="AI47">
        <f>IF(計分!AI47="","",計分!AI47^2)</f>
        <v/>
      </c>
      <c r="AJ47">
        <f>IF(計分!AJ47="","",計分!AJ47^2)</f>
        <v/>
      </c>
      <c r="AK47">
        <f>IF(計分!AK47="","",計分!AK47^2)</f>
        <v/>
      </c>
      <c r="AL47">
        <f>IF(計分!AL47="","",計分!AL47^2)</f>
        <v/>
      </c>
      <c r="AM47">
        <f>IF(計分!AM47="","",計分!AM47^2)</f>
        <v/>
      </c>
      <c r="AN47">
        <f>IF(計分!AN47="","",計分!AN47^2)</f>
        <v/>
      </c>
      <c r="AO47">
        <f>IF(計分!AO47="","",計分!AO47^2)</f>
        <v/>
      </c>
    </row>
    <row r="48">
      <c r="B48">
        <f>IF(計分!B48="","",計分!B48^2)</f>
        <v/>
      </c>
      <c r="C48">
        <f>IF(計分!C48="","",計分!C48^2)</f>
        <v/>
      </c>
      <c r="D48">
        <f>IF(計分!D48="","",計分!D48^2)</f>
        <v/>
      </c>
      <c r="E48">
        <f>IF(計分!E48="","",計分!E48^2)</f>
        <v/>
      </c>
      <c r="F48">
        <f>IF(計分!F48="","",計分!F48^2)</f>
        <v/>
      </c>
      <c r="G48">
        <f>IF(計分!G48="","",計分!G48^2)</f>
        <v/>
      </c>
      <c r="H48">
        <f>IF(計分!H48="","",計分!H48^2)</f>
        <v/>
      </c>
      <c r="I48">
        <f>IF(計分!I48="","",計分!I48^2)</f>
        <v/>
      </c>
      <c r="J48">
        <f>IF(計分!J48="","",計分!J48^2)</f>
        <v/>
      </c>
      <c r="K48">
        <f>IF(計分!K48="","",計分!K48^2)</f>
        <v/>
      </c>
      <c r="L48">
        <f>IF(計分!L48="","",計分!L48^2)</f>
        <v/>
      </c>
      <c r="M48">
        <f>IF(計分!M48="","",計分!M48^2)</f>
        <v/>
      </c>
      <c r="N48">
        <f>IF(計分!N48="","",計分!N48^2)</f>
        <v/>
      </c>
      <c r="O48">
        <f>IF(計分!O48="","",計分!O48^2)</f>
        <v/>
      </c>
      <c r="P48">
        <f>IF(計分!P48="","",計分!P48^2)</f>
        <v/>
      </c>
      <c r="Q48">
        <f>IF(計分!Q48="","",計分!Q48^2)</f>
        <v/>
      </c>
      <c r="R48">
        <f>IF(計分!R48="","",計分!R48^2)</f>
        <v/>
      </c>
      <c r="S48">
        <f>IF(計分!S48="","",計分!S48^2)</f>
        <v/>
      </c>
      <c r="T48">
        <f>IF(計分!T48="","",計分!T48^2)</f>
        <v/>
      </c>
      <c r="U48">
        <f>IF(計分!U48="","",計分!U48^2)</f>
        <v/>
      </c>
      <c r="V48">
        <f>IF(計分!V48="","",計分!V48^2)</f>
        <v/>
      </c>
      <c r="W48">
        <f>IF(計分!W48="","",計分!W48^2)</f>
        <v/>
      </c>
      <c r="X48">
        <f>IF(計分!X48="","",計分!X48^2)</f>
        <v/>
      </c>
      <c r="Y48">
        <f>IF(計分!Y48="","",計分!Y48^2)</f>
        <v/>
      </c>
      <c r="Z48">
        <f>IF(計分!Z48="","",計分!Z48^2)</f>
        <v/>
      </c>
      <c r="AA48">
        <f>IF(計分!AA48="","",計分!AA48^2)</f>
        <v/>
      </c>
      <c r="AB48">
        <f>IF(計分!AB48="","",計分!AB48^2)</f>
        <v/>
      </c>
      <c r="AC48">
        <f>IF(計分!AC48="","",計分!AC48^2)</f>
        <v/>
      </c>
      <c r="AD48">
        <f>IF(計分!AD48="","",計分!AD48^2)</f>
        <v/>
      </c>
      <c r="AE48">
        <f>IF(計分!AE48="","",計分!AE48^2)</f>
        <v/>
      </c>
      <c r="AF48">
        <f>IF(計分!AF48="","",計分!AF48^2)</f>
        <v/>
      </c>
      <c r="AG48">
        <f>IF(計分!AG48="","",計分!AG48^2)</f>
        <v/>
      </c>
      <c r="AH48">
        <f>IF(計分!AH48="","",計分!AH48^2)</f>
        <v/>
      </c>
      <c r="AI48">
        <f>IF(計分!AI48="","",計分!AI48^2)</f>
        <v/>
      </c>
      <c r="AJ48">
        <f>IF(計分!AJ48="","",計分!AJ48^2)</f>
        <v/>
      </c>
      <c r="AK48">
        <f>IF(計分!AK48="","",計分!AK48^2)</f>
        <v/>
      </c>
      <c r="AL48">
        <f>IF(計分!AL48="","",計分!AL48^2)</f>
        <v/>
      </c>
      <c r="AM48">
        <f>IF(計分!AM48="","",計分!AM48^2)</f>
        <v/>
      </c>
      <c r="AN48">
        <f>IF(計分!AN48="","",計分!AN48^2)</f>
        <v/>
      </c>
      <c r="AO48">
        <f>IF(計分!AO48="","",計分!AO48^2)</f>
        <v/>
      </c>
    </row>
    <row r="49">
      <c r="B49">
        <f>IF(計分!B49="","",計分!B49^2)</f>
        <v/>
      </c>
      <c r="C49">
        <f>IF(計分!C49="","",計分!C49^2)</f>
        <v/>
      </c>
      <c r="D49">
        <f>IF(計分!D49="","",計分!D49^2)</f>
        <v/>
      </c>
      <c r="E49">
        <f>IF(計分!E49="","",計分!E49^2)</f>
        <v/>
      </c>
      <c r="F49">
        <f>IF(計分!F49="","",計分!F49^2)</f>
        <v/>
      </c>
      <c r="G49">
        <f>IF(計分!G49="","",計分!G49^2)</f>
        <v/>
      </c>
      <c r="H49">
        <f>IF(計分!H49="","",計分!H49^2)</f>
        <v/>
      </c>
      <c r="I49">
        <f>IF(計分!I49="","",計分!I49^2)</f>
        <v/>
      </c>
      <c r="J49">
        <f>IF(計分!J49="","",計分!J49^2)</f>
        <v/>
      </c>
      <c r="K49">
        <f>IF(計分!K49="","",計分!K49^2)</f>
        <v/>
      </c>
      <c r="L49">
        <f>IF(計分!L49="","",計分!L49^2)</f>
        <v/>
      </c>
      <c r="M49">
        <f>IF(計分!M49="","",計分!M49^2)</f>
        <v/>
      </c>
      <c r="N49">
        <f>IF(計分!N49="","",計分!N49^2)</f>
        <v/>
      </c>
      <c r="O49">
        <f>IF(計分!O49="","",計分!O49^2)</f>
        <v/>
      </c>
      <c r="P49">
        <f>IF(計分!P49="","",計分!P49^2)</f>
        <v/>
      </c>
      <c r="Q49">
        <f>IF(計分!Q49="","",計分!Q49^2)</f>
        <v/>
      </c>
      <c r="R49">
        <f>IF(計分!R49="","",計分!R49^2)</f>
        <v/>
      </c>
      <c r="S49">
        <f>IF(計分!S49="","",計分!S49^2)</f>
        <v/>
      </c>
      <c r="T49">
        <f>IF(計分!T49="","",計分!T49^2)</f>
        <v/>
      </c>
      <c r="U49">
        <f>IF(計分!U49="","",計分!U49^2)</f>
        <v/>
      </c>
      <c r="V49">
        <f>IF(計分!V49="","",計分!V49^2)</f>
        <v/>
      </c>
      <c r="W49">
        <f>IF(計分!W49="","",計分!W49^2)</f>
        <v/>
      </c>
      <c r="X49">
        <f>IF(計分!X49="","",計分!X49^2)</f>
        <v/>
      </c>
      <c r="Y49">
        <f>IF(計分!Y49="","",計分!Y49^2)</f>
        <v/>
      </c>
      <c r="Z49">
        <f>IF(計分!Z49="","",計分!Z49^2)</f>
        <v/>
      </c>
      <c r="AA49">
        <f>IF(計分!AA49="","",計分!AA49^2)</f>
        <v/>
      </c>
      <c r="AB49">
        <f>IF(計分!AB49="","",計分!AB49^2)</f>
        <v/>
      </c>
      <c r="AC49">
        <f>IF(計分!AC49="","",計分!AC49^2)</f>
        <v/>
      </c>
      <c r="AD49">
        <f>IF(計分!AD49="","",計分!AD49^2)</f>
        <v/>
      </c>
      <c r="AE49">
        <f>IF(計分!AE49="","",計分!AE49^2)</f>
        <v/>
      </c>
      <c r="AF49">
        <f>IF(計分!AF49="","",計分!AF49^2)</f>
        <v/>
      </c>
      <c r="AG49">
        <f>IF(計分!AG49="","",計分!AG49^2)</f>
        <v/>
      </c>
      <c r="AH49">
        <f>IF(計分!AH49="","",計分!AH49^2)</f>
        <v/>
      </c>
      <c r="AI49">
        <f>IF(計分!AI49="","",計分!AI49^2)</f>
        <v/>
      </c>
      <c r="AJ49">
        <f>IF(計分!AJ49="","",計分!AJ49^2)</f>
        <v/>
      </c>
      <c r="AK49">
        <f>IF(計分!AK49="","",計分!AK49^2)</f>
        <v/>
      </c>
      <c r="AL49">
        <f>IF(計分!AL49="","",計分!AL49^2)</f>
        <v/>
      </c>
      <c r="AM49">
        <f>IF(計分!AM49="","",計分!AM49^2)</f>
        <v/>
      </c>
      <c r="AN49">
        <f>IF(計分!AN49="","",計分!AN49^2)</f>
        <v/>
      </c>
      <c r="AO49">
        <f>IF(計分!AO49="","",計分!AO49^2)</f>
        <v/>
      </c>
    </row>
    <row r="50">
      <c r="B50">
        <f>IF(計分!B50="","",計分!B50^2)</f>
        <v/>
      </c>
      <c r="C50">
        <f>IF(計分!C50="","",計分!C50^2)</f>
        <v/>
      </c>
      <c r="D50">
        <f>IF(計分!D50="","",計分!D50^2)</f>
        <v/>
      </c>
      <c r="E50">
        <f>IF(計分!E50="","",計分!E50^2)</f>
        <v/>
      </c>
      <c r="F50">
        <f>IF(計分!F50="","",計分!F50^2)</f>
        <v/>
      </c>
      <c r="G50">
        <f>IF(計分!G50="","",計分!G50^2)</f>
        <v/>
      </c>
      <c r="H50">
        <f>IF(計分!H50="","",計分!H50^2)</f>
        <v/>
      </c>
      <c r="I50">
        <f>IF(計分!I50="","",計分!I50^2)</f>
        <v/>
      </c>
      <c r="J50">
        <f>IF(計分!J50="","",計分!J50^2)</f>
        <v/>
      </c>
      <c r="K50">
        <f>IF(計分!K50="","",計分!K50^2)</f>
        <v/>
      </c>
      <c r="L50">
        <f>IF(計分!L50="","",計分!L50^2)</f>
        <v/>
      </c>
      <c r="M50">
        <f>IF(計分!M50="","",計分!M50^2)</f>
        <v/>
      </c>
      <c r="N50">
        <f>IF(計分!N50="","",計分!N50^2)</f>
        <v/>
      </c>
      <c r="O50">
        <f>IF(計分!O50="","",計分!O50^2)</f>
        <v/>
      </c>
      <c r="P50">
        <f>IF(計分!P50="","",計分!P50^2)</f>
        <v/>
      </c>
      <c r="Q50">
        <f>IF(計分!Q50="","",計分!Q50^2)</f>
        <v/>
      </c>
      <c r="R50">
        <f>IF(計分!R50="","",計分!R50^2)</f>
        <v/>
      </c>
      <c r="S50">
        <f>IF(計分!S50="","",計分!S50^2)</f>
        <v/>
      </c>
      <c r="T50">
        <f>IF(計分!T50="","",計分!T50^2)</f>
        <v/>
      </c>
      <c r="U50">
        <f>IF(計分!U50="","",計分!U50^2)</f>
        <v/>
      </c>
      <c r="V50">
        <f>IF(計分!V50="","",計分!V50^2)</f>
        <v/>
      </c>
      <c r="W50">
        <f>IF(計分!W50="","",計分!W50^2)</f>
        <v/>
      </c>
      <c r="X50">
        <f>IF(計分!X50="","",計分!X50^2)</f>
        <v/>
      </c>
      <c r="Y50">
        <f>IF(計分!Y50="","",計分!Y50^2)</f>
        <v/>
      </c>
      <c r="Z50">
        <f>IF(計分!Z50="","",計分!Z50^2)</f>
        <v/>
      </c>
      <c r="AA50">
        <f>IF(計分!AA50="","",計分!AA50^2)</f>
        <v/>
      </c>
      <c r="AB50">
        <f>IF(計分!AB50="","",計分!AB50^2)</f>
        <v/>
      </c>
      <c r="AC50">
        <f>IF(計分!AC50="","",計分!AC50^2)</f>
        <v/>
      </c>
      <c r="AD50">
        <f>IF(計分!AD50="","",計分!AD50^2)</f>
        <v/>
      </c>
      <c r="AE50">
        <f>IF(計分!AE50="","",計分!AE50^2)</f>
        <v/>
      </c>
      <c r="AF50">
        <f>IF(計分!AF50="","",計分!AF50^2)</f>
        <v/>
      </c>
      <c r="AG50">
        <f>IF(計分!AG50="","",計分!AG50^2)</f>
        <v/>
      </c>
      <c r="AH50">
        <f>IF(計分!AH50="","",計分!AH50^2)</f>
        <v/>
      </c>
      <c r="AI50">
        <f>IF(計分!AI50="","",計分!AI50^2)</f>
        <v/>
      </c>
      <c r="AJ50">
        <f>IF(計分!AJ50="","",計分!AJ50^2)</f>
        <v/>
      </c>
      <c r="AK50">
        <f>IF(計分!AK50="","",計分!AK50^2)</f>
        <v/>
      </c>
      <c r="AL50">
        <f>IF(計分!AL50="","",計分!AL50^2)</f>
        <v/>
      </c>
      <c r="AM50">
        <f>IF(計分!AM50="","",計分!AM50^2)</f>
        <v/>
      </c>
      <c r="AN50">
        <f>IF(計分!AN50="","",計分!AN50^2)</f>
        <v/>
      </c>
      <c r="AO50">
        <f>IF(計分!AO50="","",計分!AO50^2)</f>
        <v/>
      </c>
    </row>
    <row r="51">
      <c r="B51">
        <f>IF(計分!B51="","",計分!B51^2)</f>
        <v/>
      </c>
      <c r="C51">
        <f>IF(計分!C51="","",計分!C51^2)</f>
        <v/>
      </c>
      <c r="D51">
        <f>IF(計分!D51="","",計分!D51^2)</f>
        <v/>
      </c>
      <c r="E51">
        <f>IF(計分!E51="","",計分!E51^2)</f>
        <v/>
      </c>
      <c r="F51">
        <f>IF(計分!F51="","",計分!F51^2)</f>
        <v/>
      </c>
      <c r="G51">
        <f>IF(計分!G51="","",計分!G51^2)</f>
        <v/>
      </c>
      <c r="H51">
        <f>IF(計分!H51="","",計分!H51^2)</f>
        <v/>
      </c>
      <c r="I51">
        <f>IF(計分!I51="","",計分!I51^2)</f>
        <v/>
      </c>
      <c r="J51">
        <f>IF(計分!J51="","",計分!J51^2)</f>
        <v/>
      </c>
      <c r="K51">
        <f>IF(計分!K51="","",計分!K51^2)</f>
        <v/>
      </c>
      <c r="L51">
        <f>IF(計分!L51="","",計分!L51^2)</f>
        <v/>
      </c>
      <c r="M51">
        <f>IF(計分!M51="","",計分!M51^2)</f>
        <v/>
      </c>
      <c r="N51">
        <f>IF(計分!N51="","",計分!N51^2)</f>
        <v/>
      </c>
      <c r="O51">
        <f>IF(計分!O51="","",計分!O51^2)</f>
        <v/>
      </c>
      <c r="P51">
        <f>IF(計分!P51="","",計分!P51^2)</f>
        <v/>
      </c>
      <c r="Q51">
        <f>IF(計分!Q51="","",計分!Q51^2)</f>
        <v/>
      </c>
      <c r="R51">
        <f>IF(計分!R51="","",計分!R51^2)</f>
        <v/>
      </c>
      <c r="S51">
        <f>IF(計分!S51="","",計分!S51^2)</f>
        <v/>
      </c>
      <c r="T51">
        <f>IF(計分!T51="","",計分!T51^2)</f>
        <v/>
      </c>
      <c r="U51">
        <f>IF(計分!U51="","",計分!U51^2)</f>
        <v/>
      </c>
      <c r="V51">
        <f>IF(計分!V51="","",計分!V51^2)</f>
        <v/>
      </c>
      <c r="W51">
        <f>IF(計分!W51="","",計分!W51^2)</f>
        <v/>
      </c>
      <c r="X51">
        <f>IF(計分!X51="","",計分!X51^2)</f>
        <v/>
      </c>
      <c r="Y51">
        <f>IF(計分!Y51="","",計分!Y51^2)</f>
        <v/>
      </c>
      <c r="Z51">
        <f>IF(計分!Z51="","",計分!Z51^2)</f>
        <v/>
      </c>
      <c r="AA51">
        <f>IF(計分!AA51="","",計分!AA51^2)</f>
        <v/>
      </c>
      <c r="AB51">
        <f>IF(計分!AB51="","",計分!AB51^2)</f>
        <v/>
      </c>
      <c r="AC51">
        <f>IF(計分!AC51="","",計分!AC51^2)</f>
        <v/>
      </c>
      <c r="AD51">
        <f>IF(計分!AD51="","",計分!AD51^2)</f>
        <v/>
      </c>
      <c r="AE51">
        <f>IF(計分!AE51="","",計分!AE51^2)</f>
        <v/>
      </c>
      <c r="AF51">
        <f>IF(計分!AF51="","",計分!AF51^2)</f>
        <v/>
      </c>
      <c r="AG51">
        <f>IF(計分!AG51="","",計分!AG51^2)</f>
        <v/>
      </c>
      <c r="AH51">
        <f>IF(計分!AH51="","",計分!AH51^2)</f>
        <v/>
      </c>
      <c r="AI51">
        <f>IF(計分!AI51="","",計分!AI51^2)</f>
        <v/>
      </c>
      <c r="AJ51">
        <f>IF(計分!AJ51="","",計分!AJ51^2)</f>
        <v/>
      </c>
      <c r="AK51">
        <f>IF(計分!AK51="","",計分!AK51^2)</f>
        <v/>
      </c>
      <c r="AL51">
        <f>IF(計分!AL51="","",計分!AL51^2)</f>
        <v/>
      </c>
      <c r="AM51">
        <f>IF(計分!AM51="","",計分!AM51^2)</f>
        <v/>
      </c>
      <c r="AN51">
        <f>IF(計分!AN51="","",計分!AN51^2)</f>
        <v/>
      </c>
      <c r="AO51">
        <f>IF(計分!AO51="","",計分!AO51^2)</f>
        <v/>
      </c>
    </row>
    <row r="52">
      <c r="B52">
        <f>IF(計分!B52="","",計分!B52^2)</f>
        <v/>
      </c>
      <c r="C52">
        <f>IF(計分!C52="","",計分!C52^2)</f>
        <v/>
      </c>
      <c r="D52">
        <f>IF(計分!D52="","",計分!D52^2)</f>
        <v/>
      </c>
      <c r="E52">
        <f>IF(計分!E52="","",計分!E52^2)</f>
        <v/>
      </c>
      <c r="F52">
        <f>IF(計分!F52="","",計分!F52^2)</f>
        <v/>
      </c>
      <c r="G52">
        <f>IF(計分!G52="","",計分!G52^2)</f>
        <v/>
      </c>
      <c r="H52">
        <f>IF(計分!H52="","",計分!H52^2)</f>
        <v/>
      </c>
      <c r="I52">
        <f>IF(計分!I52="","",計分!I52^2)</f>
        <v/>
      </c>
      <c r="J52">
        <f>IF(計分!J52="","",計分!J52^2)</f>
        <v/>
      </c>
      <c r="K52">
        <f>IF(計分!K52="","",計分!K52^2)</f>
        <v/>
      </c>
      <c r="L52">
        <f>IF(計分!L52="","",計分!L52^2)</f>
        <v/>
      </c>
      <c r="M52">
        <f>IF(計分!M52="","",計分!M52^2)</f>
        <v/>
      </c>
      <c r="N52">
        <f>IF(計分!N52="","",計分!N52^2)</f>
        <v/>
      </c>
      <c r="O52">
        <f>IF(計分!O52="","",計分!O52^2)</f>
        <v/>
      </c>
      <c r="P52">
        <f>IF(計分!P52="","",計分!P52^2)</f>
        <v/>
      </c>
      <c r="Q52">
        <f>IF(計分!Q52="","",計分!Q52^2)</f>
        <v/>
      </c>
      <c r="R52">
        <f>IF(計分!R52="","",計分!R52^2)</f>
        <v/>
      </c>
      <c r="S52">
        <f>IF(計分!S52="","",計分!S52^2)</f>
        <v/>
      </c>
      <c r="T52">
        <f>IF(計分!T52="","",計分!T52^2)</f>
        <v/>
      </c>
      <c r="U52">
        <f>IF(計分!U52="","",計分!U52^2)</f>
        <v/>
      </c>
      <c r="V52">
        <f>IF(計分!V52="","",計分!V52^2)</f>
        <v/>
      </c>
      <c r="W52">
        <f>IF(計分!W52="","",計分!W52^2)</f>
        <v/>
      </c>
      <c r="X52">
        <f>IF(計分!X52="","",計分!X52^2)</f>
        <v/>
      </c>
      <c r="Y52">
        <f>IF(計分!Y52="","",計分!Y52^2)</f>
        <v/>
      </c>
      <c r="Z52">
        <f>IF(計分!Z52="","",計分!Z52^2)</f>
        <v/>
      </c>
      <c r="AA52">
        <f>IF(計分!AA52="","",計分!AA52^2)</f>
        <v/>
      </c>
      <c r="AB52">
        <f>IF(計分!AB52="","",計分!AB52^2)</f>
        <v/>
      </c>
      <c r="AC52">
        <f>IF(計分!AC52="","",計分!AC52^2)</f>
        <v/>
      </c>
      <c r="AD52">
        <f>IF(計分!AD52="","",計分!AD52^2)</f>
        <v/>
      </c>
      <c r="AE52">
        <f>IF(計分!AE52="","",計分!AE52^2)</f>
        <v/>
      </c>
      <c r="AF52">
        <f>IF(計分!AF52="","",計分!AF52^2)</f>
        <v/>
      </c>
      <c r="AG52">
        <f>IF(計分!AG52="","",計分!AG52^2)</f>
        <v/>
      </c>
      <c r="AH52">
        <f>IF(計分!AH52="","",計分!AH52^2)</f>
        <v/>
      </c>
      <c r="AI52">
        <f>IF(計分!AI52="","",計分!AI52^2)</f>
        <v/>
      </c>
      <c r="AJ52">
        <f>IF(計分!AJ52="","",計分!AJ52^2)</f>
        <v/>
      </c>
      <c r="AK52">
        <f>IF(計分!AK52="","",計分!AK52^2)</f>
        <v/>
      </c>
      <c r="AL52">
        <f>IF(計分!AL52="","",計分!AL52^2)</f>
        <v/>
      </c>
      <c r="AM52">
        <f>IF(計分!AM52="","",計分!AM52^2)</f>
        <v/>
      </c>
      <c r="AN52">
        <f>IF(計分!AN52="","",計分!AN52^2)</f>
        <v/>
      </c>
      <c r="AO52">
        <f>IF(計分!AO52="","",計分!AO52^2)</f>
        <v/>
      </c>
    </row>
    <row r="53">
      <c r="B53">
        <f>IF(計分!B53="","",計分!B53^2)</f>
        <v/>
      </c>
      <c r="C53">
        <f>IF(計分!C53="","",計分!C53^2)</f>
        <v/>
      </c>
      <c r="D53">
        <f>IF(計分!D53="","",計分!D53^2)</f>
        <v/>
      </c>
      <c r="E53">
        <f>IF(計分!E53="","",計分!E53^2)</f>
        <v/>
      </c>
      <c r="F53">
        <f>IF(計分!F53="","",計分!F53^2)</f>
        <v/>
      </c>
      <c r="G53">
        <f>IF(計分!G53="","",計分!G53^2)</f>
        <v/>
      </c>
      <c r="H53">
        <f>IF(計分!H53="","",計分!H53^2)</f>
        <v/>
      </c>
      <c r="I53">
        <f>IF(計分!I53="","",計分!I53^2)</f>
        <v/>
      </c>
      <c r="J53">
        <f>IF(計分!J53="","",計分!J53^2)</f>
        <v/>
      </c>
      <c r="K53">
        <f>IF(計分!K53="","",計分!K53^2)</f>
        <v/>
      </c>
      <c r="L53">
        <f>IF(計分!L53="","",計分!L53^2)</f>
        <v/>
      </c>
      <c r="M53">
        <f>IF(計分!M53="","",計分!M53^2)</f>
        <v/>
      </c>
      <c r="N53">
        <f>IF(計分!N53="","",計分!N53^2)</f>
        <v/>
      </c>
      <c r="O53">
        <f>IF(計分!O53="","",計分!O53^2)</f>
        <v/>
      </c>
      <c r="P53">
        <f>IF(計分!P53="","",計分!P53^2)</f>
        <v/>
      </c>
      <c r="Q53">
        <f>IF(計分!Q53="","",計分!Q53^2)</f>
        <v/>
      </c>
      <c r="R53">
        <f>IF(計分!R53="","",計分!R53^2)</f>
        <v/>
      </c>
      <c r="S53">
        <f>IF(計分!S53="","",計分!S53^2)</f>
        <v/>
      </c>
      <c r="T53">
        <f>IF(計分!T53="","",計分!T53^2)</f>
        <v/>
      </c>
      <c r="U53">
        <f>IF(計分!U53="","",計分!U53^2)</f>
        <v/>
      </c>
      <c r="V53">
        <f>IF(計分!V53="","",計分!V53^2)</f>
        <v/>
      </c>
      <c r="W53">
        <f>IF(計分!W53="","",計分!W53^2)</f>
        <v/>
      </c>
      <c r="X53">
        <f>IF(計分!X53="","",計分!X53^2)</f>
        <v/>
      </c>
      <c r="Y53">
        <f>IF(計分!Y53="","",計分!Y53^2)</f>
        <v/>
      </c>
      <c r="Z53">
        <f>IF(計分!Z53="","",計分!Z53^2)</f>
        <v/>
      </c>
      <c r="AA53">
        <f>IF(計分!AA53="","",計分!AA53^2)</f>
        <v/>
      </c>
      <c r="AB53">
        <f>IF(計分!AB53="","",計分!AB53^2)</f>
        <v/>
      </c>
      <c r="AC53">
        <f>IF(計分!AC53="","",計分!AC53^2)</f>
        <v/>
      </c>
      <c r="AD53">
        <f>IF(計分!AD53="","",計分!AD53^2)</f>
        <v/>
      </c>
      <c r="AE53">
        <f>IF(計分!AE53="","",計分!AE53^2)</f>
        <v/>
      </c>
      <c r="AF53">
        <f>IF(計分!AF53="","",計分!AF53^2)</f>
        <v/>
      </c>
      <c r="AG53">
        <f>IF(計分!AG53="","",計分!AG53^2)</f>
        <v/>
      </c>
      <c r="AH53">
        <f>IF(計分!AH53="","",計分!AH53^2)</f>
        <v/>
      </c>
      <c r="AI53">
        <f>IF(計分!AI53="","",計分!AI53^2)</f>
        <v/>
      </c>
      <c r="AJ53">
        <f>IF(計分!AJ53="","",計分!AJ53^2)</f>
        <v/>
      </c>
      <c r="AK53">
        <f>IF(計分!AK53="","",計分!AK53^2)</f>
        <v/>
      </c>
      <c r="AL53">
        <f>IF(計分!AL53="","",計分!AL53^2)</f>
        <v/>
      </c>
      <c r="AM53">
        <f>IF(計分!AM53="","",計分!AM53^2)</f>
        <v/>
      </c>
      <c r="AN53">
        <f>IF(計分!AN53="","",計分!AN53^2)</f>
        <v/>
      </c>
      <c r="AO53">
        <f>IF(計分!AO53="","",計分!AO53^2)</f>
        <v/>
      </c>
    </row>
    <row r="54">
      <c r="B54">
        <f>IF(計分!B54="","",計分!B54^2)</f>
        <v/>
      </c>
      <c r="C54">
        <f>IF(計分!C54="","",計分!C54^2)</f>
        <v/>
      </c>
      <c r="D54">
        <f>IF(計分!D54="","",計分!D54^2)</f>
        <v/>
      </c>
      <c r="E54">
        <f>IF(計分!E54="","",計分!E54^2)</f>
        <v/>
      </c>
      <c r="F54">
        <f>IF(計分!F54="","",計分!F54^2)</f>
        <v/>
      </c>
      <c r="G54">
        <f>IF(計分!G54="","",計分!G54^2)</f>
        <v/>
      </c>
      <c r="H54">
        <f>IF(計分!H54="","",計分!H54^2)</f>
        <v/>
      </c>
      <c r="I54">
        <f>IF(計分!I54="","",計分!I54^2)</f>
        <v/>
      </c>
      <c r="J54">
        <f>IF(計分!J54="","",計分!J54^2)</f>
        <v/>
      </c>
      <c r="K54">
        <f>IF(計分!K54="","",計分!K54^2)</f>
        <v/>
      </c>
      <c r="L54">
        <f>IF(計分!L54="","",計分!L54^2)</f>
        <v/>
      </c>
      <c r="M54">
        <f>IF(計分!M54="","",計分!M54^2)</f>
        <v/>
      </c>
      <c r="N54">
        <f>IF(計分!N54="","",計分!N54^2)</f>
        <v/>
      </c>
      <c r="O54">
        <f>IF(計分!O54="","",計分!O54^2)</f>
        <v/>
      </c>
      <c r="P54">
        <f>IF(計分!P54="","",計分!P54^2)</f>
        <v/>
      </c>
      <c r="Q54">
        <f>IF(計分!Q54="","",計分!Q54^2)</f>
        <v/>
      </c>
      <c r="R54">
        <f>IF(計分!R54="","",計分!R54^2)</f>
        <v/>
      </c>
      <c r="S54">
        <f>IF(計分!S54="","",計分!S54^2)</f>
        <v/>
      </c>
      <c r="T54">
        <f>IF(計分!T54="","",計分!T54^2)</f>
        <v/>
      </c>
      <c r="U54">
        <f>IF(計分!U54="","",計分!U54^2)</f>
        <v/>
      </c>
      <c r="V54">
        <f>IF(計分!V54="","",計分!V54^2)</f>
        <v/>
      </c>
      <c r="W54">
        <f>IF(計分!W54="","",計分!W54^2)</f>
        <v/>
      </c>
      <c r="X54">
        <f>IF(計分!X54="","",計分!X54^2)</f>
        <v/>
      </c>
      <c r="Y54">
        <f>IF(計分!Y54="","",計分!Y54^2)</f>
        <v/>
      </c>
      <c r="Z54">
        <f>IF(計分!Z54="","",計分!Z54^2)</f>
        <v/>
      </c>
      <c r="AA54">
        <f>IF(計分!AA54="","",計分!AA54^2)</f>
        <v/>
      </c>
      <c r="AB54">
        <f>IF(計分!AB54="","",計分!AB54^2)</f>
        <v/>
      </c>
      <c r="AC54">
        <f>IF(計分!AC54="","",計分!AC54^2)</f>
        <v/>
      </c>
      <c r="AD54">
        <f>IF(計分!AD54="","",計分!AD54^2)</f>
        <v/>
      </c>
      <c r="AE54">
        <f>IF(計分!AE54="","",計分!AE54^2)</f>
        <v/>
      </c>
      <c r="AF54">
        <f>IF(計分!AF54="","",計分!AF54^2)</f>
        <v/>
      </c>
      <c r="AG54">
        <f>IF(計分!AG54="","",計分!AG54^2)</f>
        <v/>
      </c>
      <c r="AH54">
        <f>IF(計分!AH54="","",計分!AH54^2)</f>
        <v/>
      </c>
      <c r="AI54">
        <f>IF(計分!AI54="","",計分!AI54^2)</f>
        <v/>
      </c>
      <c r="AJ54">
        <f>IF(計分!AJ54="","",計分!AJ54^2)</f>
        <v/>
      </c>
      <c r="AK54">
        <f>IF(計分!AK54="","",計分!AK54^2)</f>
        <v/>
      </c>
      <c r="AL54">
        <f>IF(計分!AL54="","",計分!AL54^2)</f>
        <v/>
      </c>
      <c r="AM54">
        <f>IF(計分!AM54="","",計分!AM54^2)</f>
        <v/>
      </c>
      <c r="AN54">
        <f>IF(計分!AN54="","",計分!AN54^2)</f>
        <v/>
      </c>
      <c r="AO54">
        <f>IF(計分!AO54="","",計分!AO54^2)</f>
        <v/>
      </c>
    </row>
    <row r="55">
      <c r="B55">
        <f>IF(計分!B55="","",計分!B55^2)</f>
        <v/>
      </c>
      <c r="C55">
        <f>IF(計分!C55="","",計分!C55^2)</f>
        <v/>
      </c>
      <c r="D55">
        <f>IF(計分!D55="","",計分!D55^2)</f>
        <v/>
      </c>
      <c r="E55">
        <f>IF(計分!E55="","",計分!E55^2)</f>
        <v/>
      </c>
      <c r="F55">
        <f>IF(計分!F55="","",計分!F55^2)</f>
        <v/>
      </c>
      <c r="G55">
        <f>IF(計分!G55="","",計分!G55^2)</f>
        <v/>
      </c>
      <c r="H55">
        <f>IF(計分!H55="","",計分!H55^2)</f>
        <v/>
      </c>
      <c r="I55">
        <f>IF(計分!I55="","",計分!I55^2)</f>
        <v/>
      </c>
      <c r="J55">
        <f>IF(計分!J55="","",計分!J55^2)</f>
        <v/>
      </c>
      <c r="K55">
        <f>IF(計分!K55="","",計分!K55^2)</f>
        <v/>
      </c>
      <c r="L55">
        <f>IF(計分!L55="","",計分!L55^2)</f>
        <v/>
      </c>
      <c r="M55">
        <f>IF(計分!M55="","",計分!M55^2)</f>
        <v/>
      </c>
      <c r="N55">
        <f>IF(計分!N55="","",計分!N55^2)</f>
        <v/>
      </c>
      <c r="O55">
        <f>IF(計分!O55="","",計分!O55^2)</f>
        <v/>
      </c>
      <c r="P55">
        <f>IF(計分!P55="","",計分!P55^2)</f>
        <v/>
      </c>
      <c r="Q55">
        <f>IF(計分!Q55="","",計分!Q55^2)</f>
        <v/>
      </c>
      <c r="R55">
        <f>IF(計分!R55="","",計分!R55^2)</f>
        <v/>
      </c>
      <c r="S55">
        <f>IF(計分!S55="","",計分!S55^2)</f>
        <v/>
      </c>
      <c r="T55">
        <f>IF(計分!T55="","",計分!T55^2)</f>
        <v/>
      </c>
      <c r="U55">
        <f>IF(計分!U55="","",計分!U55^2)</f>
        <v/>
      </c>
      <c r="V55">
        <f>IF(計分!V55="","",計分!V55^2)</f>
        <v/>
      </c>
      <c r="W55">
        <f>IF(計分!W55="","",計分!W55^2)</f>
        <v/>
      </c>
      <c r="X55">
        <f>IF(計分!X55="","",計分!X55^2)</f>
        <v/>
      </c>
      <c r="Y55">
        <f>IF(計分!Y55="","",計分!Y55^2)</f>
        <v/>
      </c>
      <c r="Z55">
        <f>IF(計分!Z55="","",計分!Z55^2)</f>
        <v/>
      </c>
      <c r="AA55">
        <f>IF(計分!AA55="","",計分!AA55^2)</f>
        <v/>
      </c>
      <c r="AB55">
        <f>IF(計分!AB55="","",計分!AB55^2)</f>
        <v/>
      </c>
      <c r="AC55">
        <f>IF(計分!AC55="","",計分!AC55^2)</f>
        <v/>
      </c>
      <c r="AD55">
        <f>IF(計分!AD55="","",計分!AD55^2)</f>
        <v/>
      </c>
      <c r="AE55">
        <f>IF(計分!AE55="","",計分!AE55^2)</f>
        <v/>
      </c>
      <c r="AF55">
        <f>IF(計分!AF55="","",計分!AF55^2)</f>
        <v/>
      </c>
      <c r="AG55">
        <f>IF(計分!AG55="","",計分!AG55^2)</f>
        <v/>
      </c>
      <c r="AH55">
        <f>IF(計分!AH55="","",計分!AH55^2)</f>
        <v/>
      </c>
      <c r="AI55">
        <f>IF(計分!AI55="","",計分!AI55^2)</f>
        <v/>
      </c>
      <c r="AJ55">
        <f>IF(計分!AJ55="","",計分!AJ55^2)</f>
        <v/>
      </c>
      <c r="AK55">
        <f>IF(計分!AK55="","",計分!AK55^2)</f>
        <v/>
      </c>
      <c r="AL55">
        <f>IF(計分!AL55="","",計分!AL55^2)</f>
        <v/>
      </c>
      <c r="AM55">
        <f>IF(計分!AM55="","",計分!AM55^2)</f>
        <v/>
      </c>
      <c r="AN55">
        <f>IF(計分!AN55="","",計分!AN55^2)</f>
        <v/>
      </c>
      <c r="AO55">
        <f>IF(計分!AO55="","",計分!AO55^2)</f>
        <v/>
      </c>
    </row>
    <row r="56">
      <c r="B56">
        <f>IF(計分!B56="","",計分!B56^2)</f>
        <v/>
      </c>
      <c r="C56">
        <f>IF(計分!C56="","",計分!C56^2)</f>
        <v/>
      </c>
      <c r="D56">
        <f>IF(計分!D56="","",計分!D56^2)</f>
        <v/>
      </c>
      <c r="E56">
        <f>IF(計分!E56="","",計分!E56^2)</f>
        <v/>
      </c>
      <c r="F56">
        <f>IF(計分!F56="","",計分!F56^2)</f>
        <v/>
      </c>
      <c r="G56">
        <f>IF(計分!G56="","",計分!G56^2)</f>
        <v/>
      </c>
      <c r="H56">
        <f>IF(計分!H56="","",計分!H56^2)</f>
        <v/>
      </c>
      <c r="I56">
        <f>IF(計分!I56="","",計分!I56^2)</f>
        <v/>
      </c>
      <c r="J56">
        <f>IF(計分!J56="","",計分!J56^2)</f>
        <v/>
      </c>
      <c r="K56">
        <f>IF(計分!K56="","",計分!K56^2)</f>
        <v/>
      </c>
      <c r="L56">
        <f>IF(計分!L56="","",計分!L56^2)</f>
        <v/>
      </c>
      <c r="M56">
        <f>IF(計分!M56="","",計分!M56^2)</f>
        <v/>
      </c>
      <c r="N56">
        <f>IF(計分!N56="","",計分!N56^2)</f>
        <v/>
      </c>
      <c r="O56">
        <f>IF(計分!O56="","",計分!O56^2)</f>
        <v/>
      </c>
      <c r="P56">
        <f>IF(計分!P56="","",計分!P56^2)</f>
        <v/>
      </c>
      <c r="Q56">
        <f>IF(計分!Q56="","",計分!Q56^2)</f>
        <v/>
      </c>
      <c r="R56">
        <f>IF(計分!R56="","",計分!R56^2)</f>
        <v/>
      </c>
      <c r="S56">
        <f>IF(計分!S56="","",計分!S56^2)</f>
        <v/>
      </c>
      <c r="T56">
        <f>IF(計分!T56="","",計分!T56^2)</f>
        <v/>
      </c>
      <c r="U56">
        <f>IF(計分!U56="","",計分!U56^2)</f>
        <v/>
      </c>
      <c r="V56">
        <f>IF(計分!V56="","",計分!V56^2)</f>
        <v/>
      </c>
      <c r="W56">
        <f>IF(計分!W56="","",計分!W56^2)</f>
        <v/>
      </c>
      <c r="X56">
        <f>IF(計分!X56="","",計分!X56^2)</f>
        <v/>
      </c>
      <c r="Y56">
        <f>IF(計分!Y56="","",計分!Y56^2)</f>
        <v/>
      </c>
      <c r="Z56">
        <f>IF(計分!Z56="","",計分!Z56^2)</f>
        <v/>
      </c>
      <c r="AA56">
        <f>IF(計分!AA56="","",計分!AA56^2)</f>
        <v/>
      </c>
      <c r="AB56">
        <f>IF(計分!AB56="","",計分!AB56^2)</f>
        <v/>
      </c>
      <c r="AC56">
        <f>IF(計分!AC56="","",計分!AC56^2)</f>
        <v/>
      </c>
      <c r="AD56">
        <f>IF(計分!AD56="","",計分!AD56^2)</f>
        <v/>
      </c>
      <c r="AE56">
        <f>IF(計分!AE56="","",計分!AE56^2)</f>
        <v/>
      </c>
      <c r="AF56">
        <f>IF(計分!AF56="","",計分!AF56^2)</f>
        <v/>
      </c>
      <c r="AG56">
        <f>IF(計分!AG56="","",計分!AG56^2)</f>
        <v/>
      </c>
      <c r="AH56">
        <f>IF(計分!AH56="","",計分!AH56^2)</f>
        <v/>
      </c>
      <c r="AI56">
        <f>IF(計分!AI56="","",計分!AI56^2)</f>
        <v/>
      </c>
      <c r="AJ56">
        <f>IF(計分!AJ56="","",計分!AJ56^2)</f>
        <v/>
      </c>
      <c r="AK56">
        <f>IF(計分!AK56="","",計分!AK56^2)</f>
        <v/>
      </c>
      <c r="AL56">
        <f>IF(計分!AL56="","",計分!AL56^2)</f>
        <v/>
      </c>
      <c r="AM56">
        <f>IF(計分!AM56="","",計分!AM56^2)</f>
        <v/>
      </c>
      <c r="AN56">
        <f>IF(計分!AN56="","",計分!AN56^2)</f>
        <v/>
      </c>
      <c r="AO56">
        <f>IF(計分!AO56="","",計分!AO56^2)</f>
        <v/>
      </c>
    </row>
    <row r="57">
      <c r="B57">
        <f>IF(計分!B57="","",計分!B57^2)</f>
        <v/>
      </c>
      <c r="C57">
        <f>IF(計分!C57="","",計分!C57^2)</f>
        <v/>
      </c>
      <c r="D57">
        <f>IF(計分!D57="","",計分!D57^2)</f>
        <v/>
      </c>
      <c r="E57">
        <f>IF(計分!E57="","",計分!E57^2)</f>
        <v/>
      </c>
      <c r="F57">
        <f>IF(計分!F57="","",計分!F57^2)</f>
        <v/>
      </c>
      <c r="G57">
        <f>IF(計分!G57="","",計分!G57^2)</f>
        <v/>
      </c>
      <c r="H57">
        <f>IF(計分!H57="","",計分!H57^2)</f>
        <v/>
      </c>
      <c r="I57">
        <f>IF(計分!I57="","",計分!I57^2)</f>
        <v/>
      </c>
      <c r="J57">
        <f>IF(計分!J57="","",計分!J57^2)</f>
        <v/>
      </c>
      <c r="K57">
        <f>IF(計分!K57="","",計分!K57^2)</f>
        <v/>
      </c>
      <c r="L57">
        <f>IF(計分!L57="","",計分!L57^2)</f>
        <v/>
      </c>
      <c r="M57">
        <f>IF(計分!M57="","",計分!M57^2)</f>
        <v/>
      </c>
      <c r="N57">
        <f>IF(計分!N57="","",計分!N57^2)</f>
        <v/>
      </c>
      <c r="O57">
        <f>IF(計分!O57="","",計分!O57^2)</f>
        <v/>
      </c>
      <c r="P57">
        <f>IF(計分!P57="","",計分!P57^2)</f>
        <v/>
      </c>
      <c r="Q57">
        <f>IF(計分!Q57="","",計分!Q57^2)</f>
        <v/>
      </c>
      <c r="R57">
        <f>IF(計分!R57="","",計分!R57^2)</f>
        <v/>
      </c>
      <c r="S57">
        <f>IF(計分!S57="","",計分!S57^2)</f>
        <v/>
      </c>
      <c r="T57">
        <f>IF(計分!T57="","",計分!T57^2)</f>
        <v/>
      </c>
      <c r="U57">
        <f>IF(計分!U57="","",計分!U57^2)</f>
        <v/>
      </c>
      <c r="V57">
        <f>IF(計分!V57="","",計分!V57^2)</f>
        <v/>
      </c>
      <c r="W57">
        <f>IF(計分!W57="","",計分!W57^2)</f>
        <v/>
      </c>
      <c r="X57">
        <f>IF(計分!X57="","",計分!X57^2)</f>
        <v/>
      </c>
      <c r="Y57">
        <f>IF(計分!Y57="","",計分!Y57^2)</f>
        <v/>
      </c>
      <c r="Z57">
        <f>IF(計分!Z57="","",計分!Z57^2)</f>
        <v/>
      </c>
      <c r="AA57">
        <f>IF(計分!AA57="","",計分!AA57^2)</f>
        <v/>
      </c>
      <c r="AB57">
        <f>IF(計分!AB57="","",計分!AB57^2)</f>
        <v/>
      </c>
      <c r="AC57">
        <f>IF(計分!AC57="","",計分!AC57^2)</f>
        <v/>
      </c>
      <c r="AD57">
        <f>IF(計分!AD57="","",計分!AD57^2)</f>
        <v/>
      </c>
      <c r="AE57">
        <f>IF(計分!AE57="","",計分!AE57^2)</f>
        <v/>
      </c>
      <c r="AF57">
        <f>IF(計分!AF57="","",計分!AF57^2)</f>
        <v/>
      </c>
      <c r="AG57">
        <f>IF(計分!AG57="","",計分!AG57^2)</f>
        <v/>
      </c>
      <c r="AH57">
        <f>IF(計分!AH57="","",計分!AH57^2)</f>
        <v/>
      </c>
      <c r="AI57">
        <f>IF(計分!AI57="","",計分!AI57^2)</f>
        <v/>
      </c>
      <c r="AJ57">
        <f>IF(計分!AJ57="","",計分!AJ57^2)</f>
        <v/>
      </c>
      <c r="AK57">
        <f>IF(計分!AK57="","",計分!AK57^2)</f>
        <v/>
      </c>
      <c r="AL57">
        <f>IF(計分!AL57="","",計分!AL57^2)</f>
        <v/>
      </c>
      <c r="AM57">
        <f>IF(計分!AM57="","",計分!AM57^2)</f>
        <v/>
      </c>
      <c r="AN57">
        <f>IF(計分!AN57="","",計分!AN57^2)</f>
        <v/>
      </c>
      <c r="AO57">
        <f>IF(計分!AO57="","",計分!AO57^2)</f>
        <v/>
      </c>
    </row>
    <row r="58">
      <c r="B58">
        <f>IF(計分!B58="","",計分!B58^2)</f>
        <v/>
      </c>
      <c r="C58">
        <f>IF(計分!C58="","",計分!C58^2)</f>
        <v/>
      </c>
      <c r="D58">
        <f>IF(計分!D58="","",計分!D58^2)</f>
        <v/>
      </c>
      <c r="E58">
        <f>IF(計分!E58="","",計分!E58^2)</f>
        <v/>
      </c>
      <c r="F58">
        <f>IF(計分!F58="","",計分!F58^2)</f>
        <v/>
      </c>
      <c r="G58">
        <f>IF(計分!G58="","",計分!G58^2)</f>
        <v/>
      </c>
      <c r="H58">
        <f>IF(計分!H58="","",計分!H58^2)</f>
        <v/>
      </c>
      <c r="I58">
        <f>IF(計分!I58="","",計分!I58^2)</f>
        <v/>
      </c>
      <c r="J58">
        <f>IF(計分!J58="","",計分!J58^2)</f>
        <v/>
      </c>
      <c r="K58">
        <f>IF(計分!K58="","",計分!K58^2)</f>
        <v/>
      </c>
      <c r="L58">
        <f>IF(計分!L58="","",計分!L58^2)</f>
        <v/>
      </c>
      <c r="M58">
        <f>IF(計分!M58="","",計分!M58^2)</f>
        <v/>
      </c>
      <c r="N58">
        <f>IF(計分!N58="","",計分!N58^2)</f>
        <v/>
      </c>
      <c r="O58">
        <f>IF(計分!O58="","",計分!O58^2)</f>
        <v/>
      </c>
      <c r="P58">
        <f>IF(計分!P58="","",計分!P58^2)</f>
        <v/>
      </c>
      <c r="Q58">
        <f>IF(計分!Q58="","",計分!Q58^2)</f>
        <v/>
      </c>
      <c r="R58">
        <f>IF(計分!R58="","",計分!R58^2)</f>
        <v/>
      </c>
      <c r="S58">
        <f>IF(計分!S58="","",計分!S58^2)</f>
        <v/>
      </c>
      <c r="T58">
        <f>IF(計分!T58="","",計分!T58^2)</f>
        <v/>
      </c>
      <c r="U58">
        <f>IF(計分!U58="","",計分!U58^2)</f>
        <v/>
      </c>
      <c r="V58">
        <f>IF(計分!V58="","",計分!V58^2)</f>
        <v/>
      </c>
      <c r="W58">
        <f>IF(計分!W58="","",計分!W58^2)</f>
        <v/>
      </c>
      <c r="X58">
        <f>IF(計分!X58="","",計分!X58^2)</f>
        <v/>
      </c>
      <c r="Y58">
        <f>IF(計分!Y58="","",計分!Y58^2)</f>
        <v/>
      </c>
      <c r="Z58">
        <f>IF(計分!Z58="","",計分!Z58^2)</f>
        <v/>
      </c>
      <c r="AA58">
        <f>IF(計分!AA58="","",計分!AA58^2)</f>
        <v/>
      </c>
      <c r="AB58">
        <f>IF(計分!AB58="","",計分!AB58^2)</f>
        <v/>
      </c>
      <c r="AC58">
        <f>IF(計分!AC58="","",計分!AC58^2)</f>
        <v/>
      </c>
      <c r="AD58">
        <f>IF(計分!AD58="","",計分!AD58^2)</f>
        <v/>
      </c>
      <c r="AE58">
        <f>IF(計分!AE58="","",計分!AE58^2)</f>
        <v/>
      </c>
      <c r="AF58">
        <f>IF(計分!AF58="","",計分!AF58^2)</f>
        <v/>
      </c>
      <c r="AG58">
        <f>IF(計分!AG58="","",計分!AG58^2)</f>
        <v/>
      </c>
      <c r="AH58">
        <f>IF(計分!AH58="","",計分!AH58^2)</f>
        <v/>
      </c>
      <c r="AI58">
        <f>IF(計分!AI58="","",計分!AI58^2)</f>
        <v/>
      </c>
      <c r="AJ58">
        <f>IF(計分!AJ58="","",計分!AJ58^2)</f>
        <v/>
      </c>
      <c r="AK58">
        <f>IF(計分!AK58="","",計分!AK58^2)</f>
        <v/>
      </c>
      <c r="AL58">
        <f>IF(計分!AL58="","",計分!AL58^2)</f>
        <v/>
      </c>
      <c r="AM58">
        <f>IF(計分!AM58="","",計分!AM58^2)</f>
        <v/>
      </c>
      <c r="AN58">
        <f>IF(計分!AN58="","",計分!AN58^2)</f>
        <v/>
      </c>
      <c r="AO58">
        <f>IF(計分!AO58="","",計分!AO58^2)</f>
        <v/>
      </c>
    </row>
    <row r="59">
      <c r="B59">
        <f>IF(計分!B59="","",計分!B59^2)</f>
        <v/>
      </c>
      <c r="C59">
        <f>IF(計分!C59="","",計分!C59^2)</f>
        <v/>
      </c>
      <c r="D59">
        <f>IF(計分!D59="","",計分!D59^2)</f>
        <v/>
      </c>
      <c r="E59">
        <f>IF(計分!E59="","",計分!E59^2)</f>
        <v/>
      </c>
      <c r="F59">
        <f>IF(計分!F59="","",計分!F59^2)</f>
        <v/>
      </c>
      <c r="G59">
        <f>IF(計分!G59="","",計分!G59^2)</f>
        <v/>
      </c>
      <c r="H59">
        <f>IF(計分!H59="","",計分!H59^2)</f>
        <v/>
      </c>
      <c r="I59">
        <f>IF(計分!I59="","",計分!I59^2)</f>
        <v/>
      </c>
      <c r="J59">
        <f>IF(計分!J59="","",計分!J59^2)</f>
        <v/>
      </c>
      <c r="K59">
        <f>IF(計分!K59="","",計分!K59^2)</f>
        <v/>
      </c>
      <c r="L59">
        <f>IF(計分!L59="","",計分!L59^2)</f>
        <v/>
      </c>
      <c r="M59">
        <f>IF(計分!M59="","",計分!M59^2)</f>
        <v/>
      </c>
      <c r="N59">
        <f>IF(計分!N59="","",計分!N59^2)</f>
        <v/>
      </c>
      <c r="O59">
        <f>IF(計分!O59="","",計分!O59^2)</f>
        <v/>
      </c>
      <c r="P59">
        <f>IF(計分!P59="","",計分!P59^2)</f>
        <v/>
      </c>
      <c r="Q59">
        <f>IF(計分!Q59="","",計分!Q59^2)</f>
        <v/>
      </c>
      <c r="R59">
        <f>IF(計分!R59="","",計分!R59^2)</f>
        <v/>
      </c>
      <c r="S59">
        <f>IF(計分!S59="","",計分!S59^2)</f>
        <v/>
      </c>
      <c r="T59">
        <f>IF(計分!T59="","",計分!T59^2)</f>
        <v/>
      </c>
      <c r="U59">
        <f>IF(計分!U59="","",計分!U59^2)</f>
        <v/>
      </c>
      <c r="V59">
        <f>IF(計分!V59="","",計分!V59^2)</f>
        <v/>
      </c>
      <c r="W59">
        <f>IF(計分!W59="","",計分!W59^2)</f>
        <v/>
      </c>
      <c r="X59">
        <f>IF(計分!X59="","",計分!X59^2)</f>
        <v/>
      </c>
      <c r="Y59">
        <f>IF(計分!Y59="","",計分!Y59^2)</f>
        <v/>
      </c>
      <c r="Z59">
        <f>IF(計分!Z59="","",計分!Z59^2)</f>
        <v/>
      </c>
      <c r="AA59">
        <f>IF(計分!AA59="","",計分!AA59^2)</f>
        <v/>
      </c>
      <c r="AB59">
        <f>IF(計分!AB59="","",計分!AB59^2)</f>
        <v/>
      </c>
      <c r="AC59">
        <f>IF(計分!AC59="","",計分!AC59^2)</f>
        <v/>
      </c>
      <c r="AD59">
        <f>IF(計分!AD59="","",計分!AD59^2)</f>
        <v/>
      </c>
      <c r="AE59">
        <f>IF(計分!AE59="","",計分!AE59^2)</f>
        <v/>
      </c>
      <c r="AF59">
        <f>IF(計分!AF59="","",計分!AF59^2)</f>
        <v/>
      </c>
      <c r="AG59">
        <f>IF(計分!AG59="","",計分!AG59^2)</f>
        <v/>
      </c>
      <c r="AH59">
        <f>IF(計分!AH59="","",計分!AH59^2)</f>
        <v/>
      </c>
      <c r="AI59">
        <f>IF(計分!AI59="","",計分!AI59^2)</f>
        <v/>
      </c>
      <c r="AJ59">
        <f>IF(計分!AJ59="","",計分!AJ59^2)</f>
        <v/>
      </c>
      <c r="AK59">
        <f>IF(計分!AK59="","",計分!AK59^2)</f>
        <v/>
      </c>
      <c r="AL59">
        <f>IF(計分!AL59="","",計分!AL59^2)</f>
        <v/>
      </c>
      <c r="AM59">
        <f>IF(計分!AM59="","",計分!AM59^2)</f>
        <v/>
      </c>
      <c r="AN59">
        <f>IF(計分!AN59="","",計分!AN59^2)</f>
        <v/>
      </c>
      <c r="AO59">
        <f>IF(計分!AO59="","",計分!AO59^2)</f>
        <v/>
      </c>
    </row>
    <row r="60">
      <c r="B60">
        <f>IF(計分!B60="","",計分!B60^2)</f>
        <v/>
      </c>
      <c r="C60">
        <f>IF(計分!C60="","",計分!C60^2)</f>
        <v/>
      </c>
      <c r="D60">
        <f>IF(計分!D60="","",計分!D60^2)</f>
        <v/>
      </c>
      <c r="E60">
        <f>IF(計分!E60="","",計分!E60^2)</f>
        <v/>
      </c>
      <c r="F60">
        <f>IF(計分!F60="","",計分!F60^2)</f>
        <v/>
      </c>
      <c r="G60">
        <f>IF(計分!G60="","",計分!G60^2)</f>
        <v/>
      </c>
      <c r="H60">
        <f>IF(計分!H60="","",計分!H60^2)</f>
        <v/>
      </c>
      <c r="I60">
        <f>IF(計分!I60="","",計分!I60^2)</f>
        <v/>
      </c>
      <c r="J60">
        <f>IF(計分!J60="","",計分!J60^2)</f>
        <v/>
      </c>
      <c r="K60">
        <f>IF(計分!K60="","",計分!K60^2)</f>
        <v/>
      </c>
      <c r="L60">
        <f>IF(計分!L60="","",計分!L60^2)</f>
        <v/>
      </c>
      <c r="M60">
        <f>IF(計分!M60="","",計分!M60^2)</f>
        <v/>
      </c>
      <c r="N60">
        <f>IF(計分!N60="","",計分!N60^2)</f>
        <v/>
      </c>
      <c r="O60">
        <f>IF(計分!O60="","",計分!O60^2)</f>
        <v/>
      </c>
      <c r="P60">
        <f>IF(計分!P60="","",計分!P60^2)</f>
        <v/>
      </c>
      <c r="Q60">
        <f>IF(計分!Q60="","",計分!Q60^2)</f>
        <v/>
      </c>
      <c r="R60">
        <f>IF(計分!R60="","",計分!R60^2)</f>
        <v/>
      </c>
      <c r="S60">
        <f>IF(計分!S60="","",計分!S60^2)</f>
        <v/>
      </c>
      <c r="T60">
        <f>IF(計分!T60="","",計分!T60^2)</f>
        <v/>
      </c>
      <c r="U60">
        <f>IF(計分!U60="","",計分!U60^2)</f>
        <v/>
      </c>
      <c r="V60">
        <f>IF(計分!V60="","",計分!V60^2)</f>
        <v/>
      </c>
      <c r="W60">
        <f>IF(計分!W60="","",計分!W60^2)</f>
        <v/>
      </c>
      <c r="X60">
        <f>IF(計分!X60="","",計分!X60^2)</f>
        <v/>
      </c>
      <c r="Y60">
        <f>IF(計分!Y60="","",計分!Y60^2)</f>
        <v/>
      </c>
      <c r="Z60">
        <f>IF(計分!Z60="","",計分!Z60^2)</f>
        <v/>
      </c>
      <c r="AA60">
        <f>IF(計分!AA60="","",計分!AA60^2)</f>
        <v/>
      </c>
      <c r="AB60">
        <f>IF(計分!AB60="","",計分!AB60^2)</f>
        <v/>
      </c>
      <c r="AC60">
        <f>IF(計分!AC60="","",計分!AC60^2)</f>
        <v/>
      </c>
      <c r="AD60">
        <f>IF(計分!AD60="","",計分!AD60^2)</f>
        <v/>
      </c>
      <c r="AE60">
        <f>IF(計分!AE60="","",計分!AE60^2)</f>
        <v/>
      </c>
      <c r="AF60">
        <f>IF(計分!AF60="","",計分!AF60^2)</f>
        <v/>
      </c>
      <c r="AG60">
        <f>IF(計分!AG60="","",計分!AG60^2)</f>
        <v/>
      </c>
      <c r="AH60">
        <f>IF(計分!AH60="","",計分!AH60^2)</f>
        <v/>
      </c>
      <c r="AI60">
        <f>IF(計分!AI60="","",計分!AI60^2)</f>
        <v/>
      </c>
      <c r="AJ60">
        <f>IF(計分!AJ60="","",計分!AJ60^2)</f>
        <v/>
      </c>
      <c r="AK60">
        <f>IF(計分!AK60="","",計分!AK60^2)</f>
        <v/>
      </c>
      <c r="AL60">
        <f>IF(計分!AL60="","",計分!AL60^2)</f>
        <v/>
      </c>
      <c r="AM60">
        <f>IF(計分!AM60="","",計分!AM60^2)</f>
        <v/>
      </c>
      <c r="AN60">
        <f>IF(計分!AN60="","",計分!AN60^2)</f>
        <v/>
      </c>
      <c r="AO60">
        <f>IF(計分!AO60="","",計分!AO60^2)</f>
        <v/>
      </c>
    </row>
    <row r="61">
      <c r="B61">
        <f>IF(計分!B61="","",計分!B61^2)</f>
        <v/>
      </c>
      <c r="C61">
        <f>IF(計分!C61="","",計分!C61^2)</f>
        <v/>
      </c>
      <c r="D61">
        <f>IF(計分!D61="","",計分!D61^2)</f>
        <v/>
      </c>
      <c r="E61">
        <f>IF(計分!E61="","",計分!E61^2)</f>
        <v/>
      </c>
      <c r="F61">
        <f>IF(計分!F61="","",計分!F61^2)</f>
        <v/>
      </c>
      <c r="G61">
        <f>IF(計分!G61="","",計分!G61^2)</f>
        <v/>
      </c>
      <c r="H61">
        <f>IF(計分!H61="","",計分!H61^2)</f>
        <v/>
      </c>
      <c r="I61">
        <f>IF(計分!I61="","",計分!I61^2)</f>
        <v/>
      </c>
      <c r="J61">
        <f>IF(計分!J61="","",計分!J61^2)</f>
        <v/>
      </c>
      <c r="K61">
        <f>IF(計分!K61="","",計分!K61^2)</f>
        <v/>
      </c>
      <c r="L61">
        <f>IF(計分!L61="","",計分!L61^2)</f>
        <v/>
      </c>
      <c r="M61">
        <f>IF(計分!M61="","",計分!M61^2)</f>
        <v/>
      </c>
      <c r="N61">
        <f>IF(計分!N61="","",計分!N61^2)</f>
        <v/>
      </c>
      <c r="O61">
        <f>IF(計分!O61="","",計分!O61^2)</f>
        <v/>
      </c>
      <c r="P61">
        <f>IF(計分!P61="","",計分!P61^2)</f>
        <v/>
      </c>
      <c r="Q61">
        <f>IF(計分!Q61="","",計分!Q61^2)</f>
        <v/>
      </c>
      <c r="R61">
        <f>IF(計分!R61="","",計分!R61^2)</f>
        <v/>
      </c>
      <c r="S61">
        <f>IF(計分!S61="","",計分!S61^2)</f>
        <v/>
      </c>
      <c r="T61">
        <f>IF(計分!T61="","",計分!T61^2)</f>
        <v/>
      </c>
      <c r="U61">
        <f>IF(計分!U61="","",計分!U61^2)</f>
        <v/>
      </c>
      <c r="V61">
        <f>IF(計分!V61="","",計分!V61^2)</f>
        <v/>
      </c>
      <c r="W61">
        <f>IF(計分!W61="","",計分!W61^2)</f>
        <v/>
      </c>
      <c r="X61">
        <f>IF(計分!X61="","",計分!X61^2)</f>
        <v/>
      </c>
      <c r="Y61">
        <f>IF(計分!Y61="","",計分!Y61^2)</f>
        <v/>
      </c>
      <c r="Z61">
        <f>IF(計分!Z61="","",計分!Z61^2)</f>
        <v/>
      </c>
      <c r="AA61">
        <f>IF(計分!AA61="","",計分!AA61^2)</f>
        <v/>
      </c>
      <c r="AB61">
        <f>IF(計分!AB61="","",計分!AB61^2)</f>
        <v/>
      </c>
      <c r="AC61">
        <f>IF(計分!AC61="","",計分!AC61^2)</f>
        <v/>
      </c>
      <c r="AD61">
        <f>IF(計分!AD61="","",計分!AD61^2)</f>
        <v/>
      </c>
      <c r="AE61">
        <f>IF(計分!AE61="","",計分!AE61^2)</f>
        <v/>
      </c>
      <c r="AF61">
        <f>IF(計分!AF61="","",計分!AF61^2)</f>
        <v/>
      </c>
      <c r="AG61">
        <f>IF(計分!AG61="","",計分!AG61^2)</f>
        <v/>
      </c>
      <c r="AH61">
        <f>IF(計分!AH61="","",計分!AH61^2)</f>
        <v/>
      </c>
      <c r="AI61">
        <f>IF(計分!AI61="","",計分!AI61^2)</f>
        <v/>
      </c>
      <c r="AJ61">
        <f>IF(計分!AJ61="","",計分!AJ61^2)</f>
        <v/>
      </c>
      <c r="AK61">
        <f>IF(計分!AK61="","",計分!AK61^2)</f>
        <v/>
      </c>
      <c r="AL61">
        <f>IF(計分!AL61="","",計分!AL61^2)</f>
        <v/>
      </c>
      <c r="AM61">
        <f>IF(計分!AM61="","",計分!AM61^2)</f>
        <v/>
      </c>
      <c r="AN61">
        <f>IF(計分!AN61="","",計分!AN61^2)</f>
        <v/>
      </c>
      <c r="AO61">
        <f>IF(計分!AO61="","",計分!AO61^2)</f>
        <v/>
      </c>
    </row>
    <row r="62">
      <c r="B62">
        <f>IF(計分!B62="","",計分!B62^2)</f>
        <v/>
      </c>
      <c r="C62">
        <f>IF(計分!C62="","",計分!C62^2)</f>
        <v/>
      </c>
      <c r="D62">
        <f>IF(計分!D62="","",計分!D62^2)</f>
        <v/>
      </c>
      <c r="E62">
        <f>IF(計分!E62="","",計分!E62^2)</f>
        <v/>
      </c>
      <c r="F62">
        <f>IF(計分!F62="","",計分!F62^2)</f>
        <v/>
      </c>
      <c r="G62">
        <f>IF(計分!G62="","",計分!G62^2)</f>
        <v/>
      </c>
      <c r="H62">
        <f>IF(計分!H62="","",計分!H62^2)</f>
        <v/>
      </c>
      <c r="I62">
        <f>IF(計分!I62="","",計分!I62^2)</f>
        <v/>
      </c>
      <c r="J62">
        <f>IF(計分!J62="","",計分!J62^2)</f>
        <v/>
      </c>
      <c r="K62">
        <f>IF(計分!K62="","",計分!K62^2)</f>
        <v/>
      </c>
      <c r="L62">
        <f>IF(計分!L62="","",計分!L62^2)</f>
        <v/>
      </c>
      <c r="M62">
        <f>IF(計分!M62="","",計分!M62^2)</f>
        <v/>
      </c>
      <c r="N62">
        <f>IF(計分!N62="","",計分!N62^2)</f>
        <v/>
      </c>
      <c r="O62">
        <f>IF(計分!O62="","",計分!O62^2)</f>
        <v/>
      </c>
      <c r="P62">
        <f>IF(計分!P62="","",計分!P62^2)</f>
        <v/>
      </c>
      <c r="Q62">
        <f>IF(計分!Q62="","",計分!Q62^2)</f>
        <v/>
      </c>
      <c r="R62">
        <f>IF(計分!R62="","",計分!R62^2)</f>
        <v/>
      </c>
      <c r="S62">
        <f>IF(計分!S62="","",計分!S62^2)</f>
        <v/>
      </c>
      <c r="T62">
        <f>IF(計分!T62="","",計分!T62^2)</f>
        <v/>
      </c>
      <c r="U62">
        <f>IF(計分!U62="","",計分!U62^2)</f>
        <v/>
      </c>
      <c r="V62">
        <f>IF(計分!V62="","",計分!V62^2)</f>
        <v/>
      </c>
      <c r="W62">
        <f>IF(計分!W62="","",計分!W62^2)</f>
        <v/>
      </c>
      <c r="X62">
        <f>IF(計分!X62="","",計分!X62^2)</f>
        <v/>
      </c>
      <c r="Y62">
        <f>IF(計分!Y62="","",計分!Y62^2)</f>
        <v/>
      </c>
      <c r="Z62">
        <f>IF(計分!Z62="","",計分!Z62^2)</f>
        <v/>
      </c>
      <c r="AA62">
        <f>IF(計分!AA62="","",計分!AA62^2)</f>
        <v/>
      </c>
      <c r="AB62">
        <f>IF(計分!AB62="","",計分!AB62^2)</f>
        <v/>
      </c>
      <c r="AC62">
        <f>IF(計分!AC62="","",計分!AC62^2)</f>
        <v/>
      </c>
      <c r="AD62">
        <f>IF(計分!AD62="","",計分!AD62^2)</f>
        <v/>
      </c>
      <c r="AE62">
        <f>IF(計分!AE62="","",計分!AE62^2)</f>
        <v/>
      </c>
      <c r="AF62">
        <f>IF(計分!AF62="","",計分!AF62^2)</f>
        <v/>
      </c>
      <c r="AG62">
        <f>IF(計分!AG62="","",計分!AG62^2)</f>
        <v/>
      </c>
      <c r="AH62">
        <f>IF(計分!AH62="","",計分!AH62^2)</f>
        <v/>
      </c>
      <c r="AI62">
        <f>IF(計分!AI62="","",計分!AI62^2)</f>
        <v/>
      </c>
      <c r="AJ62">
        <f>IF(計分!AJ62="","",計分!AJ62^2)</f>
        <v/>
      </c>
      <c r="AK62">
        <f>IF(計分!AK62="","",計分!AK62^2)</f>
        <v/>
      </c>
      <c r="AL62">
        <f>IF(計分!AL62="","",計分!AL62^2)</f>
        <v/>
      </c>
      <c r="AM62">
        <f>IF(計分!AM62="","",計分!AM62^2)</f>
        <v/>
      </c>
      <c r="AN62">
        <f>IF(計分!AN62="","",計分!AN62^2)</f>
        <v/>
      </c>
      <c r="AO62">
        <f>IF(計分!AO62="","",計分!AO62^2)</f>
        <v/>
      </c>
    </row>
    <row r="63">
      <c r="B63">
        <f>IF(計分!B63="","",計分!B63^2)</f>
        <v/>
      </c>
      <c r="C63">
        <f>IF(計分!C63="","",計分!C63^2)</f>
        <v/>
      </c>
      <c r="D63">
        <f>IF(計分!D63="","",計分!D63^2)</f>
        <v/>
      </c>
      <c r="E63">
        <f>IF(計分!E63="","",計分!E63^2)</f>
        <v/>
      </c>
      <c r="F63">
        <f>IF(計分!F63="","",計分!F63^2)</f>
        <v/>
      </c>
      <c r="G63">
        <f>IF(計分!G63="","",計分!G63^2)</f>
        <v/>
      </c>
      <c r="H63">
        <f>IF(計分!H63="","",計分!H63^2)</f>
        <v/>
      </c>
      <c r="I63">
        <f>IF(計分!I63="","",計分!I63^2)</f>
        <v/>
      </c>
      <c r="J63">
        <f>IF(計分!J63="","",計分!J63^2)</f>
        <v/>
      </c>
      <c r="K63">
        <f>IF(計分!K63="","",計分!K63^2)</f>
        <v/>
      </c>
      <c r="L63">
        <f>IF(計分!L63="","",計分!L63^2)</f>
        <v/>
      </c>
      <c r="M63">
        <f>IF(計分!M63="","",計分!M63^2)</f>
        <v/>
      </c>
      <c r="N63">
        <f>IF(計分!N63="","",計分!N63^2)</f>
        <v/>
      </c>
      <c r="O63">
        <f>IF(計分!O63="","",計分!O63^2)</f>
        <v/>
      </c>
      <c r="P63">
        <f>IF(計分!P63="","",計分!P63^2)</f>
        <v/>
      </c>
      <c r="Q63">
        <f>IF(計分!Q63="","",計分!Q63^2)</f>
        <v/>
      </c>
      <c r="R63">
        <f>IF(計分!R63="","",計分!R63^2)</f>
        <v/>
      </c>
      <c r="S63">
        <f>IF(計分!S63="","",計分!S63^2)</f>
        <v/>
      </c>
      <c r="T63">
        <f>IF(計分!T63="","",計分!T63^2)</f>
        <v/>
      </c>
      <c r="U63">
        <f>IF(計分!U63="","",計分!U63^2)</f>
        <v/>
      </c>
      <c r="V63">
        <f>IF(計分!V63="","",計分!V63^2)</f>
        <v/>
      </c>
      <c r="W63">
        <f>IF(計分!W63="","",計分!W63^2)</f>
        <v/>
      </c>
      <c r="X63">
        <f>IF(計分!X63="","",計分!X63^2)</f>
        <v/>
      </c>
      <c r="Y63">
        <f>IF(計分!Y63="","",計分!Y63^2)</f>
        <v/>
      </c>
      <c r="Z63">
        <f>IF(計分!Z63="","",計分!Z63^2)</f>
        <v/>
      </c>
      <c r="AA63">
        <f>IF(計分!AA63="","",計分!AA63^2)</f>
        <v/>
      </c>
      <c r="AB63">
        <f>IF(計分!AB63="","",計分!AB63^2)</f>
        <v/>
      </c>
      <c r="AC63">
        <f>IF(計分!AC63="","",計分!AC63^2)</f>
        <v/>
      </c>
      <c r="AD63">
        <f>IF(計分!AD63="","",計分!AD63^2)</f>
        <v/>
      </c>
      <c r="AE63">
        <f>IF(計分!AE63="","",計分!AE63^2)</f>
        <v/>
      </c>
      <c r="AF63">
        <f>IF(計分!AF63="","",計分!AF63^2)</f>
        <v/>
      </c>
      <c r="AG63">
        <f>IF(計分!AG63="","",計分!AG63^2)</f>
        <v/>
      </c>
      <c r="AH63">
        <f>IF(計分!AH63="","",計分!AH63^2)</f>
        <v/>
      </c>
      <c r="AI63">
        <f>IF(計分!AI63="","",計分!AI63^2)</f>
        <v/>
      </c>
      <c r="AJ63">
        <f>IF(計分!AJ63="","",計分!AJ63^2)</f>
        <v/>
      </c>
      <c r="AK63">
        <f>IF(計分!AK63="","",計分!AK63^2)</f>
        <v/>
      </c>
      <c r="AL63">
        <f>IF(計分!AL63="","",計分!AL63^2)</f>
        <v/>
      </c>
      <c r="AM63">
        <f>IF(計分!AM63="","",計分!AM63^2)</f>
        <v/>
      </c>
      <c r="AN63">
        <f>IF(計分!AN63="","",計分!AN63^2)</f>
        <v/>
      </c>
      <c r="AO63">
        <f>IF(計分!AO63="","",計分!AO63^2)</f>
        <v/>
      </c>
    </row>
    <row r="64">
      <c r="B64">
        <f>IF(計分!B64="","",計分!B64^2)</f>
        <v/>
      </c>
      <c r="C64">
        <f>IF(計分!C64="","",計分!C64^2)</f>
        <v/>
      </c>
      <c r="D64">
        <f>IF(計分!D64="","",計分!D64^2)</f>
        <v/>
      </c>
      <c r="E64">
        <f>IF(計分!E64="","",計分!E64^2)</f>
        <v/>
      </c>
      <c r="F64">
        <f>IF(計分!F64="","",計分!F64^2)</f>
        <v/>
      </c>
      <c r="G64">
        <f>IF(計分!G64="","",計分!G64^2)</f>
        <v/>
      </c>
      <c r="H64">
        <f>IF(計分!H64="","",計分!H64^2)</f>
        <v/>
      </c>
      <c r="I64">
        <f>IF(計分!I64="","",計分!I64^2)</f>
        <v/>
      </c>
      <c r="J64">
        <f>IF(計分!J64="","",計分!J64^2)</f>
        <v/>
      </c>
      <c r="K64">
        <f>IF(計分!K64="","",計分!K64^2)</f>
        <v/>
      </c>
      <c r="L64">
        <f>IF(計分!L64="","",計分!L64^2)</f>
        <v/>
      </c>
      <c r="M64">
        <f>IF(計分!M64="","",計分!M64^2)</f>
        <v/>
      </c>
      <c r="N64">
        <f>IF(計分!N64="","",計分!N64^2)</f>
        <v/>
      </c>
      <c r="O64">
        <f>IF(計分!O64="","",計分!O64^2)</f>
        <v/>
      </c>
      <c r="P64">
        <f>IF(計分!P64="","",計分!P64^2)</f>
        <v/>
      </c>
      <c r="Q64">
        <f>IF(計分!Q64="","",計分!Q64^2)</f>
        <v/>
      </c>
      <c r="R64">
        <f>IF(計分!R64="","",計分!R64^2)</f>
        <v/>
      </c>
      <c r="S64">
        <f>IF(計分!S64="","",計分!S64^2)</f>
        <v/>
      </c>
      <c r="T64">
        <f>IF(計分!T64="","",計分!T64^2)</f>
        <v/>
      </c>
      <c r="U64">
        <f>IF(計分!U64="","",計分!U64^2)</f>
        <v/>
      </c>
      <c r="V64">
        <f>IF(計分!V64="","",計分!V64^2)</f>
        <v/>
      </c>
      <c r="W64">
        <f>IF(計分!W64="","",計分!W64^2)</f>
        <v/>
      </c>
      <c r="X64">
        <f>IF(計分!X64="","",計分!X64^2)</f>
        <v/>
      </c>
      <c r="Y64">
        <f>IF(計分!Y64="","",計分!Y64^2)</f>
        <v/>
      </c>
      <c r="Z64">
        <f>IF(計分!Z64="","",計分!Z64^2)</f>
        <v/>
      </c>
      <c r="AA64">
        <f>IF(計分!AA64="","",計分!AA64^2)</f>
        <v/>
      </c>
      <c r="AB64">
        <f>IF(計分!AB64="","",計分!AB64^2)</f>
        <v/>
      </c>
      <c r="AC64">
        <f>IF(計分!AC64="","",計分!AC64^2)</f>
        <v/>
      </c>
      <c r="AD64">
        <f>IF(計分!AD64="","",計分!AD64^2)</f>
        <v/>
      </c>
      <c r="AE64">
        <f>IF(計分!AE64="","",計分!AE64^2)</f>
        <v/>
      </c>
      <c r="AF64">
        <f>IF(計分!AF64="","",計分!AF64^2)</f>
        <v/>
      </c>
      <c r="AG64">
        <f>IF(計分!AG64="","",計分!AG64^2)</f>
        <v/>
      </c>
      <c r="AH64">
        <f>IF(計分!AH64="","",計分!AH64^2)</f>
        <v/>
      </c>
      <c r="AI64">
        <f>IF(計分!AI64="","",計分!AI64^2)</f>
        <v/>
      </c>
      <c r="AJ64">
        <f>IF(計分!AJ64="","",計分!AJ64^2)</f>
        <v/>
      </c>
      <c r="AK64">
        <f>IF(計分!AK64="","",計分!AK64^2)</f>
        <v/>
      </c>
      <c r="AL64">
        <f>IF(計分!AL64="","",計分!AL64^2)</f>
        <v/>
      </c>
      <c r="AM64">
        <f>IF(計分!AM64="","",計分!AM64^2)</f>
        <v/>
      </c>
      <c r="AN64">
        <f>IF(計分!AN64="","",計分!AN64^2)</f>
        <v/>
      </c>
      <c r="AO64">
        <f>IF(計分!AO64="","",計分!AO64^2)</f>
        <v/>
      </c>
    </row>
    <row r="65">
      <c r="B65">
        <f>IF(計分!B65="","",計分!B65^2)</f>
        <v/>
      </c>
      <c r="C65">
        <f>IF(計分!C65="","",計分!C65^2)</f>
        <v/>
      </c>
      <c r="D65">
        <f>IF(計分!D65="","",計分!D65^2)</f>
        <v/>
      </c>
      <c r="E65">
        <f>IF(計分!E65="","",計分!E65^2)</f>
        <v/>
      </c>
      <c r="F65">
        <f>IF(計分!F65="","",計分!F65^2)</f>
        <v/>
      </c>
      <c r="G65">
        <f>IF(計分!G65="","",計分!G65^2)</f>
        <v/>
      </c>
      <c r="H65">
        <f>IF(計分!H65="","",計分!H65^2)</f>
        <v/>
      </c>
      <c r="I65">
        <f>IF(計分!I65="","",計分!I65^2)</f>
        <v/>
      </c>
      <c r="J65">
        <f>IF(計分!J65="","",計分!J65^2)</f>
        <v/>
      </c>
      <c r="K65">
        <f>IF(計分!K65="","",計分!K65^2)</f>
        <v/>
      </c>
      <c r="L65">
        <f>IF(計分!L65="","",計分!L65^2)</f>
        <v/>
      </c>
      <c r="M65">
        <f>IF(計分!M65="","",計分!M65^2)</f>
        <v/>
      </c>
      <c r="N65">
        <f>IF(計分!N65="","",計分!N65^2)</f>
        <v/>
      </c>
      <c r="O65">
        <f>IF(計分!O65="","",計分!O65^2)</f>
        <v/>
      </c>
      <c r="P65">
        <f>IF(計分!P65="","",計分!P65^2)</f>
        <v/>
      </c>
      <c r="Q65">
        <f>IF(計分!Q65="","",計分!Q65^2)</f>
        <v/>
      </c>
      <c r="R65">
        <f>IF(計分!R65="","",計分!R65^2)</f>
        <v/>
      </c>
      <c r="S65">
        <f>IF(計分!S65="","",計分!S65^2)</f>
        <v/>
      </c>
      <c r="T65">
        <f>IF(計分!T65="","",計分!T65^2)</f>
        <v/>
      </c>
      <c r="U65">
        <f>IF(計分!U65="","",計分!U65^2)</f>
        <v/>
      </c>
      <c r="V65">
        <f>IF(計分!V65="","",計分!V65^2)</f>
        <v/>
      </c>
      <c r="W65">
        <f>IF(計分!W65="","",計分!W65^2)</f>
        <v/>
      </c>
      <c r="X65">
        <f>IF(計分!X65="","",計分!X65^2)</f>
        <v/>
      </c>
      <c r="Y65">
        <f>IF(計分!Y65="","",計分!Y65^2)</f>
        <v/>
      </c>
      <c r="Z65">
        <f>IF(計分!Z65="","",計分!Z65^2)</f>
        <v/>
      </c>
      <c r="AA65">
        <f>IF(計分!AA65="","",計分!AA65^2)</f>
        <v/>
      </c>
      <c r="AB65">
        <f>IF(計分!AB65="","",計分!AB65^2)</f>
        <v/>
      </c>
      <c r="AC65">
        <f>IF(計分!AC65="","",計分!AC65^2)</f>
        <v/>
      </c>
      <c r="AD65">
        <f>IF(計分!AD65="","",計分!AD65^2)</f>
        <v/>
      </c>
      <c r="AE65">
        <f>IF(計分!AE65="","",計分!AE65^2)</f>
        <v/>
      </c>
      <c r="AF65">
        <f>IF(計分!AF65="","",計分!AF65^2)</f>
        <v/>
      </c>
      <c r="AG65">
        <f>IF(計分!AG65="","",計分!AG65^2)</f>
        <v/>
      </c>
      <c r="AH65">
        <f>IF(計分!AH65="","",計分!AH65^2)</f>
        <v/>
      </c>
      <c r="AI65">
        <f>IF(計分!AI65="","",計分!AI65^2)</f>
        <v/>
      </c>
      <c r="AJ65">
        <f>IF(計分!AJ65="","",計分!AJ65^2)</f>
        <v/>
      </c>
      <c r="AK65">
        <f>IF(計分!AK65="","",計分!AK65^2)</f>
        <v/>
      </c>
      <c r="AL65">
        <f>IF(計分!AL65="","",計分!AL65^2)</f>
        <v/>
      </c>
      <c r="AM65">
        <f>IF(計分!AM65="","",計分!AM65^2)</f>
        <v/>
      </c>
      <c r="AN65">
        <f>IF(計分!AN65="","",計分!AN65^2)</f>
        <v/>
      </c>
      <c r="AO65">
        <f>IF(計分!AO65="","",計分!AO65^2)</f>
        <v/>
      </c>
    </row>
    <row r="66">
      <c r="B66">
        <f>IF(計分!B66="","",計分!B66^2)</f>
        <v/>
      </c>
      <c r="C66">
        <f>IF(計分!C66="","",計分!C66^2)</f>
        <v/>
      </c>
      <c r="D66">
        <f>IF(計分!D66="","",計分!D66^2)</f>
        <v/>
      </c>
      <c r="E66">
        <f>IF(計分!E66="","",計分!E66^2)</f>
        <v/>
      </c>
      <c r="F66">
        <f>IF(計分!F66="","",計分!F66^2)</f>
        <v/>
      </c>
      <c r="G66">
        <f>IF(計分!G66="","",計分!G66^2)</f>
        <v/>
      </c>
      <c r="H66">
        <f>IF(計分!H66="","",計分!H66^2)</f>
        <v/>
      </c>
      <c r="I66">
        <f>IF(計分!I66="","",計分!I66^2)</f>
        <v/>
      </c>
      <c r="J66">
        <f>IF(計分!J66="","",計分!J66^2)</f>
        <v/>
      </c>
      <c r="K66">
        <f>IF(計分!K66="","",計分!K66^2)</f>
        <v/>
      </c>
      <c r="L66">
        <f>IF(計分!L66="","",計分!L66^2)</f>
        <v/>
      </c>
      <c r="M66">
        <f>IF(計分!M66="","",計分!M66^2)</f>
        <v/>
      </c>
      <c r="N66">
        <f>IF(計分!N66="","",計分!N66^2)</f>
        <v/>
      </c>
      <c r="O66">
        <f>IF(計分!O66="","",計分!O66^2)</f>
        <v/>
      </c>
      <c r="P66">
        <f>IF(計分!P66="","",計分!P66^2)</f>
        <v/>
      </c>
      <c r="Q66">
        <f>IF(計分!Q66="","",計分!Q66^2)</f>
        <v/>
      </c>
      <c r="R66">
        <f>IF(計分!R66="","",計分!R66^2)</f>
        <v/>
      </c>
      <c r="S66">
        <f>IF(計分!S66="","",計分!S66^2)</f>
        <v/>
      </c>
      <c r="T66">
        <f>IF(計分!T66="","",計分!T66^2)</f>
        <v/>
      </c>
      <c r="U66">
        <f>IF(計分!U66="","",計分!U66^2)</f>
        <v/>
      </c>
      <c r="V66">
        <f>IF(計分!V66="","",計分!V66^2)</f>
        <v/>
      </c>
      <c r="W66">
        <f>IF(計分!W66="","",計分!W66^2)</f>
        <v/>
      </c>
      <c r="X66">
        <f>IF(計分!X66="","",計分!X66^2)</f>
        <v/>
      </c>
      <c r="Y66">
        <f>IF(計分!Y66="","",計分!Y66^2)</f>
        <v/>
      </c>
      <c r="Z66">
        <f>IF(計分!Z66="","",計分!Z66^2)</f>
        <v/>
      </c>
      <c r="AA66">
        <f>IF(計分!AA66="","",計分!AA66^2)</f>
        <v/>
      </c>
      <c r="AB66">
        <f>IF(計分!AB66="","",計分!AB66^2)</f>
        <v/>
      </c>
      <c r="AC66">
        <f>IF(計分!AC66="","",計分!AC66^2)</f>
        <v/>
      </c>
      <c r="AD66">
        <f>IF(計分!AD66="","",計分!AD66^2)</f>
        <v/>
      </c>
      <c r="AE66">
        <f>IF(計分!AE66="","",計分!AE66^2)</f>
        <v/>
      </c>
      <c r="AF66">
        <f>IF(計分!AF66="","",計分!AF66^2)</f>
        <v/>
      </c>
      <c r="AG66">
        <f>IF(計分!AG66="","",計分!AG66^2)</f>
        <v/>
      </c>
      <c r="AH66">
        <f>IF(計分!AH66="","",計分!AH66^2)</f>
        <v/>
      </c>
      <c r="AI66">
        <f>IF(計分!AI66="","",計分!AI66^2)</f>
        <v/>
      </c>
      <c r="AJ66">
        <f>IF(計分!AJ66="","",計分!AJ66^2)</f>
        <v/>
      </c>
      <c r="AK66">
        <f>IF(計分!AK66="","",計分!AK66^2)</f>
        <v/>
      </c>
      <c r="AL66">
        <f>IF(計分!AL66="","",計分!AL66^2)</f>
        <v/>
      </c>
      <c r="AM66">
        <f>IF(計分!AM66="","",計分!AM66^2)</f>
        <v/>
      </c>
      <c r="AN66">
        <f>IF(計分!AN66="","",計分!AN66^2)</f>
        <v/>
      </c>
      <c r="AO66">
        <f>IF(計分!AO66="","",計分!AO66^2)</f>
        <v/>
      </c>
    </row>
    <row r="67">
      <c r="B67">
        <f>IF(計分!B67="","",計分!B67^2)</f>
        <v/>
      </c>
      <c r="C67">
        <f>IF(計分!C67="","",計分!C67^2)</f>
        <v/>
      </c>
      <c r="D67">
        <f>IF(計分!D67="","",計分!D67^2)</f>
        <v/>
      </c>
      <c r="E67">
        <f>IF(計分!E67="","",計分!E67^2)</f>
        <v/>
      </c>
      <c r="F67">
        <f>IF(計分!F67="","",計分!F67^2)</f>
        <v/>
      </c>
      <c r="G67">
        <f>IF(計分!G67="","",計分!G67^2)</f>
        <v/>
      </c>
      <c r="H67">
        <f>IF(計分!H67="","",計分!H67^2)</f>
        <v/>
      </c>
      <c r="I67">
        <f>IF(計分!I67="","",計分!I67^2)</f>
        <v/>
      </c>
      <c r="J67">
        <f>IF(計分!J67="","",計分!J67^2)</f>
        <v/>
      </c>
      <c r="K67">
        <f>IF(計分!K67="","",計分!K67^2)</f>
        <v/>
      </c>
      <c r="L67">
        <f>IF(計分!L67="","",計分!L67^2)</f>
        <v/>
      </c>
      <c r="M67">
        <f>IF(計分!M67="","",計分!M67^2)</f>
        <v/>
      </c>
      <c r="N67">
        <f>IF(計分!N67="","",計分!N67^2)</f>
        <v/>
      </c>
      <c r="O67">
        <f>IF(計分!O67="","",計分!O67^2)</f>
        <v/>
      </c>
      <c r="P67">
        <f>IF(計分!P67="","",計分!P67^2)</f>
        <v/>
      </c>
      <c r="Q67">
        <f>IF(計分!Q67="","",計分!Q67^2)</f>
        <v/>
      </c>
      <c r="R67">
        <f>IF(計分!R67="","",計分!R67^2)</f>
        <v/>
      </c>
      <c r="S67">
        <f>IF(計分!S67="","",計分!S67^2)</f>
        <v/>
      </c>
      <c r="T67">
        <f>IF(計分!T67="","",計分!T67^2)</f>
        <v/>
      </c>
      <c r="U67">
        <f>IF(計分!U67="","",計分!U67^2)</f>
        <v/>
      </c>
      <c r="V67">
        <f>IF(計分!V67="","",計分!V67^2)</f>
        <v/>
      </c>
      <c r="W67">
        <f>IF(計分!W67="","",計分!W67^2)</f>
        <v/>
      </c>
      <c r="X67">
        <f>IF(計分!X67="","",計分!X67^2)</f>
        <v/>
      </c>
      <c r="Y67">
        <f>IF(計分!Y67="","",計分!Y67^2)</f>
        <v/>
      </c>
      <c r="Z67">
        <f>IF(計分!Z67="","",計分!Z67^2)</f>
        <v/>
      </c>
      <c r="AA67">
        <f>IF(計分!AA67="","",計分!AA67^2)</f>
        <v/>
      </c>
      <c r="AB67">
        <f>IF(計分!AB67="","",計分!AB67^2)</f>
        <v/>
      </c>
      <c r="AC67">
        <f>IF(計分!AC67="","",計分!AC67^2)</f>
        <v/>
      </c>
      <c r="AD67">
        <f>IF(計分!AD67="","",計分!AD67^2)</f>
        <v/>
      </c>
      <c r="AE67">
        <f>IF(計分!AE67="","",計分!AE67^2)</f>
        <v/>
      </c>
      <c r="AF67">
        <f>IF(計分!AF67="","",計分!AF67^2)</f>
        <v/>
      </c>
      <c r="AG67">
        <f>IF(計分!AG67="","",計分!AG67^2)</f>
        <v/>
      </c>
      <c r="AH67">
        <f>IF(計分!AH67="","",計分!AH67^2)</f>
        <v/>
      </c>
      <c r="AI67">
        <f>IF(計分!AI67="","",計分!AI67^2)</f>
        <v/>
      </c>
      <c r="AJ67">
        <f>IF(計分!AJ67="","",計分!AJ67^2)</f>
        <v/>
      </c>
      <c r="AK67">
        <f>IF(計分!AK67="","",計分!AK67^2)</f>
        <v/>
      </c>
      <c r="AL67">
        <f>IF(計分!AL67="","",計分!AL67^2)</f>
        <v/>
      </c>
      <c r="AM67">
        <f>IF(計分!AM67="","",計分!AM67^2)</f>
        <v/>
      </c>
      <c r="AN67">
        <f>IF(計分!AN67="","",計分!AN67^2)</f>
        <v/>
      </c>
      <c r="AO67">
        <f>IF(計分!AO67="","",計分!AO67^2)</f>
        <v/>
      </c>
    </row>
    <row r="68">
      <c r="B68">
        <f>IF(計分!B68="","",計分!B68^2)</f>
        <v/>
      </c>
      <c r="C68">
        <f>IF(計分!C68="","",計分!C68^2)</f>
        <v/>
      </c>
      <c r="D68">
        <f>IF(計分!D68="","",計分!D68^2)</f>
        <v/>
      </c>
      <c r="E68">
        <f>IF(計分!E68="","",計分!E68^2)</f>
        <v/>
      </c>
      <c r="F68">
        <f>IF(計分!F68="","",計分!F68^2)</f>
        <v/>
      </c>
      <c r="G68">
        <f>IF(計分!G68="","",計分!G68^2)</f>
        <v/>
      </c>
      <c r="H68">
        <f>IF(計分!H68="","",計分!H68^2)</f>
        <v/>
      </c>
      <c r="I68">
        <f>IF(計分!I68="","",計分!I68^2)</f>
        <v/>
      </c>
      <c r="J68">
        <f>IF(計分!J68="","",計分!J68^2)</f>
        <v/>
      </c>
      <c r="K68">
        <f>IF(計分!K68="","",計分!K68^2)</f>
        <v/>
      </c>
      <c r="L68">
        <f>IF(計分!L68="","",計分!L68^2)</f>
        <v/>
      </c>
      <c r="M68">
        <f>IF(計分!M68="","",計分!M68^2)</f>
        <v/>
      </c>
      <c r="N68">
        <f>IF(計分!N68="","",計分!N68^2)</f>
        <v/>
      </c>
      <c r="O68">
        <f>IF(計分!O68="","",計分!O68^2)</f>
        <v/>
      </c>
      <c r="P68">
        <f>IF(計分!P68="","",計分!P68^2)</f>
        <v/>
      </c>
      <c r="Q68">
        <f>IF(計分!Q68="","",計分!Q68^2)</f>
        <v/>
      </c>
      <c r="R68">
        <f>IF(計分!R68="","",計分!R68^2)</f>
        <v/>
      </c>
      <c r="S68">
        <f>IF(計分!S68="","",計分!S68^2)</f>
        <v/>
      </c>
      <c r="T68">
        <f>IF(計分!T68="","",計分!T68^2)</f>
        <v/>
      </c>
      <c r="U68">
        <f>IF(計分!U68="","",計分!U68^2)</f>
        <v/>
      </c>
      <c r="V68">
        <f>IF(計分!V68="","",計分!V68^2)</f>
        <v/>
      </c>
      <c r="W68">
        <f>IF(計分!W68="","",計分!W68^2)</f>
        <v/>
      </c>
      <c r="X68">
        <f>IF(計分!X68="","",計分!X68^2)</f>
        <v/>
      </c>
      <c r="Y68">
        <f>IF(計分!Y68="","",計分!Y68^2)</f>
        <v/>
      </c>
      <c r="Z68">
        <f>IF(計分!Z68="","",計分!Z68^2)</f>
        <v/>
      </c>
      <c r="AA68">
        <f>IF(計分!AA68="","",計分!AA68^2)</f>
        <v/>
      </c>
      <c r="AB68">
        <f>IF(計分!AB68="","",計分!AB68^2)</f>
        <v/>
      </c>
      <c r="AC68">
        <f>IF(計分!AC68="","",計分!AC68^2)</f>
        <v/>
      </c>
      <c r="AD68">
        <f>IF(計分!AD68="","",計分!AD68^2)</f>
        <v/>
      </c>
      <c r="AE68">
        <f>IF(計分!AE68="","",計分!AE68^2)</f>
        <v/>
      </c>
      <c r="AF68">
        <f>IF(計分!AF68="","",計分!AF68^2)</f>
        <v/>
      </c>
      <c r="AG68">
        <f>IF(計分!AG68="","",計分!AG68^2)</f>
        <v/>
      </c>
      <c r="AH68">
        <f>IF(計分!AH68="","",計分!AH68^2)</f>
        <v/>
      </c>
      <c r="AI68">
        <f>IF(計分!AI68="","",計分!AI68^2)</f>
        <v/>
      </c>
      <c r="AJ68">
        <f>IF(計分!AJ68="","",計分!AJ68^2)</f>
        <v/>
      </c>
      <c r="AK68">
        <f>IF(計分!AK68="","",計分!AK68^2)</f>
        <v/>
      </c>
      <c r="AL68">
        <f>IF(計分!AL68="","",計分!AL68^2)</f>
        <v/>
      </c>
      <c r="AM68">
        <f>IF(計分!AM68="","",計分!AM68^2)</f>
        <v/>
      </c>
      <c r="AN68">
        <f>IF(計分!AN68="","",計分!AN68^2)</f>
        <v/>
      </c>
      <c r="AO68">
        <f>IF(計分!AO68="","",計分!AO68^2)</f>
        <v/>
      </c>
    </row>
    <row r="69">
      <c r="B69">
        <f>IF(計分!B69="","",計分!B69^2)</f>
        <v/>
      </c>
      <c r="C69">
        <f>IF(計分!C69="","",計分!C69^2)</f>
        <v/>
      </c>
      <c r="D69">
        <f>IF(計分!D69="","",計分!D69^2)</f>
        <v/>
      </c>
      <c r="E69">
        <f>IF(計分!E69="","",計分!E69^2)</f>
        <v/>
      </c>
      <c r="F69">
        <f>IF(計分!F69="","",計分!F69^2)</f>
        <v/>
      </c>
      <c r="G69">
        <f>IF(計分!G69="","",計分!G69^2)</f>
        <v/>
      </c>
      <c r="H69">
        <f>IF(計分!H69="","",計分!H69^2)</f>
        <v/>
      </c>
      <c r="I69">
        <f>IF(計分!I69="","",計分!I69^2)</f>
        <v/>
      </c>
      <c r="J69">
        <f>IF(計分!J69="","",計分!J69^2)</f>
        <v/>
      </c>
      <c r="K69">
        <f>IF(計分!K69="","",計分!K69^2)</f>
        <v/>
      </c>
      <c r="L69">
        <f>IF(計分!L69="","",計分!L69^2)</f>
        <v/>
      </c>
      <c r="M69">
        <f>IF(計分!M69="","",計分!M69^2)</f>
        <v/>
      </c>
      <c r="N69">
        <f>IF(計分!N69="","",計分!N69^2)</f>
        <v/>
      </c>
      <c r="O69">
        <f>IF(計分!O69="","",計分!O69^2)</f>
        <v/>
      </c>
      <c r="P69">
        <f>IF(計分!P69="","",計分!P69^2)</f>
        <v/>
      </c>
      <c r="Q69">
        <f>IF(計分!Q69="","",計分!Q69^2)</f>
        <v/>
      </c>
      <c r="R69">
        <f>IF(計分!R69="","",計分!R69^2)</f>
        <v/>
      </c>
      <c r="S69">
        <f>IF(計分!S69="","",計分!S69^2)</f>
        <v/>
      </c>
      <c r="T69">
        <f>IF(計分!T69="","",計分!T69^2)</f>
        <v/>
      </c>
      <c r="U69">
        <f>IF(計分!U69="","",計分!U69^2)</f>
        <v/>
      </c>
      <c r="V69">
        <f>IF(計分!V69="","",計分!V69^2)</f>
        <v/>
      </c>
      <c r="W69">
        <f>IF(計分!W69="","",計分!W69^2)</f>
        <v/>
      </c>
      <c r="X69">
        <f>IF(計分!X69="","",計分!X69^2)</f>
        <v/>
      </c>
      <c r="Y69">
        <f>IF(計分!Y69="","",計分!Y69^2)</f>
        <v/>
      </c>
      <c r="Z69">
        <f>IF(計分!Z69="","",計分!Z69^2)</f>
        <v/>
      </c>
      <c r="AA69">
        <f>IF(計分!AA69="","",計分!AA69^2)</f>
        <v/>
      </c>
      <c r="AB69">
        <f>IF(計分!AB69="","",計分!AB69^2)</f>
        <v/>
      </c>
      <c r="AC69">
        <f>IF(計分!AC69="","",計分!AC69^2)</f>
        <v/>
      </c>
      <c r="AD69">
        <f>IF(計分!AD69="","",計分!AD69^2)</f>
        <v/>
      </c>
      <c r="AE69">
        <f>IF(計分!AE69="","",計分!AE69^2)</f>
        <v/>
      </c>
      <c r="AF69">
        <f>IF(計分!AF69="","",計分!AF69^2)</f>
        <v/>
      </c>
      <c r="AG69">
        <f>IF(計分!AG69="","",計分!AG69^2)</f>
        <v/>
      </c>
      <c r="AH69">
        <f>IF(計分!AH69="","",計分!AH69^2)</f>
        <v/>
      </c>
      <c r="AI69">
        <f>IF(計分!AI69="","",計分!AI69^2)</f>
        <v/>
      </c>
      <c r="AJ69">
        <f>IF(計分!AJ69="","",計分!AJ69^2)</f>
        <v/>
      </c>
      <c r="AK69">
        <f>IF(計分!AK69="","",計分!AK69^2)</f>
        <v/>
      </c>
      <c r="AL69">
        <f>IF(計分!AL69="","",計分!AL69^2)</f>
        <v/>
      </c>
      <c r="AM69">
        <f>IF(計分!AM69="","",計分!AM69^2)</f>
        <v/>
      </c>
      <c r="AN69">
        <f>IF(計分!AN69="","",計分!AN69^2)</f>
        <v/>
      </c>
      <c r="AO69">
        <f>IF(計分!AO69="","",計分!AO69^2)</f>
        <v/>
      </c>
    </row>
    <row r="70">
      <c r="B70">
        <f>IF(計分!B70="","",計分!B70^2)</f>
        <v/>
      </c>
      <c r="C70">
        <f>IF(計分!C70="","",計分!C70^2)</f>
        <v/>
      </c>
      <c r="D70">
        <f>IF(計分!D70="","",計分!D70^2)</f>
        <v/>
      </c>
      <c r="E70">
        <f>IF(計分!E70="","",計分!E70^2)</f>
        <v/>
      </c>
      <c r="F70">
        <f>IF(計分!F70="","",計分!F70^2)</f>
        <v/>
      </c>
      <c r="G70">
        <f>IF(計分!G70="","",計分!G70^2)</f>
        <v/>
      </c>
      <c r="H70">
        <f>IF(計分!H70="","",計分!H70^2)</f>
        <v/>
      </c>
      <c r="I70">
        <f>IF(計分!I70="","",計分!I70^2)</f>
        <v/>
      </c>
      <c r="J70">
        <f>IF(計分!J70="","",計分!J70^2)</f>
        <v/>
      </c>
      <c r="K70">
        <f>IF(計分!K70="","",計分!K70^2)</f>
        <v/>
      </c>
      <c r="L70">
        <f>IF(計分!L70="","",計分!L70^2)</f>
        <v/>
      </c>
      <c r="M70">
        <f>IF(計分!M70="","",計分!M70^2)</f>
        <v/>
      </c>
      <c r="N70">
        <f>IF(計分!N70="","",計分!N70^2)</f>
        <v/>
      </c>
      <c r="O70">
        <f>IF(計分!O70="","",計分!O70^2)</f>
        <v/>
      </c>
      <c r="P70">
        <f>IF(計分!P70="","",計分!P70^2)</f>
        <v/>
      </c>
      <c r="Q70">
        <f>IF(計分!Q70="","",計分!Q70^2)</f>
        <v/>
      </c>
      <c r="R70">
        <f>IF(計分!R70="","",計分!R70^2)</f>
        <v/>
      </c>
      <c r="S70">
        <f>IF(計分!S70="","",計分!S70^2)</f>
        <v/>
      </c>
      <c r="T70">
        <f>IF(計分!T70="","",計分!T70^2)</f>
        <v/>
      </c>
      <c r="U70">
        <f>IF(計分!U70="","",計分!U70^2)</f>
        <v/>
      </c>
      <c r="V70">
        <f>IF(計分!V70="","",計分!V70^2)</f>
        <v/>
      </c>
      <c r="W70">
        <f>IF(計分!W70="","",計分!W70^2)</f>
        <v/>
      </c>
      <c r="X70">
        <f>IF(計分!X70="","",計分!X70^2)</f>
        <v/>
      </c>
      <c r="Y70">
        <f>IF(計分!Y70="","",計分!Y70^2)</f>
        <v/>
      </c>
      <c r="Z70">
        <f>IF(計分!Z70="","",計分!Z70^2)</f>
        <v/>
      </c>
      <c r="AA70">
        <f>IF(計分!AA70="","",計分!AA70^2)</f>
        <v/>
      </c>
      <c r="AB70">
        <f>IF(計分!AB70="","",計分!AB70^2)</f>
        <v/>
      </c>
      <c r="AC70">
        <f>IF(計分!AC70="","",計分!AC70^2)</f>
        <v/>
      </c>
      <c r="AD70">
        <f>IF(計分!AD70="","",計分!AD70^2)</f>
        <v/>
      </c>
      <c r="AE70">
        <f>IF(計分!AE70="","",計分!AE70^2)</f>
        <v/>
      </c>
      <c r="AF70">
        <f>IF(計分!AF70="","",計分!AF70^2)</f>
        <v/>
      </c>
      <c r="AG70">
        <f>IF(計分!AG70="","",計分!AG70^2)</f>
        <v/>
      </c>
      <c r="AH70">
        <f>IF(計分!AH70="","",計分!AH70^2)</f>
        <v/>
      </c>
      <c r="AI70">
        <f>IF(計分!AI70="","",計分!AI70^2)</f>
        <v/>
      </c>
      <c r="AJ70">
        <f>IF(計分!AJ70="","",計分!AJ70^2)</f>
        <v/>
      </c>
      <c r="AK70">
        <f>IF(計分!AK70="","",計分!AK70^2)</f>
        <v/>
      </c>
      <c r="AL70">
        <f>IF(計分!AL70="","",計分!AL70^2)</f>
        <v/>
      </c>
      <c r="AM70">
        <f>IF(計分!AM70="","",計分!AM70^2)</f>
        <v/>
      </c>
      <c r="AN70">
        <f>IF(計分!AN70="","",計分!AN70^2)</f>
        <v/>
      </c>
      <c r="AO70">
        <f>IF(計分!AO70="","",計分!AO70^2)</f>
        <v/>
      </c>
    </row>
    <row r="71">
      <c r="B71">
        <f>IF(計分!B71="","",計分!B71^2)</f>
        <v/>
      </c>
      <c r="C71">
        <f>IF(計分!C71="","",計分!C71^2)</f>
        <v/>
      </c>
      <c r="D71">
        <f>IF(計分!D71="","",計分!D71^2)</f>
        <v/>
      </c>
      <c r="E71">
        <f>IF(計分!E71="","",計分!E71^2)</f>
        <v/>
      </c>
      <c r="F71">
        <f>IF(計分!F71="","",計分!F71^2)</f>
        <v/>
      </c>
      <c r="G71">
        <f>IF(計分!G71="","",計分!G71^2)</f>
        <v/>
      </c>
      <c r="H71">
        <f>IF(計分!H71="","",計分!H71^2)</f>
        <v/>
      </c>
      <c r="I71">
        <f>IF(計分!I71="","",計分!I71^2)</f>
        <v/>
      </c>
      <c r="J71">
        <f>IF(計分!J71="","",計分!J71^2)</f>
        <v/>
      </c>
      <c r="K71">
        <f>IF(計分!K71="","",計分!K71^2)</f>
        <v/>
      </c>
      <c r="L71">
        <f>IF(計分!L71="","",計分!L71^2)</f>
        <v/>
      </c>
      <c r="M71">
        <f>IF(計分!M71="","",計分!M71^2)</f>
        <v/>
      </c>
      <c r="N71">
        <f>IF(計分!N71="","",計分!N71^2)</f>
        <v/>
      </c>
      <c r="O71">
        <f>IF(計分!O71="","",計分!O71^2)</f>
        <v/>
      </c>
      <c r="P71">
        <f>IF(計分!P71="","",計分!P71^2)</f>
        <v/>
      </c>
      <c r="Q71">
        <f>IF(計分!Q71="","",計分!Q71^2)</f>
        <v/>
      </c>
      <c r="R71">
        <f>IF(計分!R71="","",計分!R71^2)</f>
        <v/>
      </c>
      <c r="S71">
        <f>IF(計分!S71="","",計分!S71^2)</f>
        <v/>
      </c>
      <c r="T71">
        <f>IF(計分!T71="","",計分!T71^2)</f>
        <v/>
      </c>
      <c r="U71">
        <f>IF(計分!U71="","",計分!U71^2)</f>
        <v/>
      </c>
      <c r="V71">
        <f>IF(計分!V71="","",計分!V71^2)</f>
        <v/>
      </c>
      <c r="W71">
        <f>IF(計分!W71="","",計分!W71^2)</f>
        <v/>
      </c>
      <c r="X71">
        <f>IF(計分!X71="","",計分!X71^2)</f>
        <v/>
      </c>
      <c r="Y71">
        <f>IF(計分!Y71="","",計分!Y71^2)</f>
        <v/>
      </c>
      <c r="Z71">
        <f>IF(計分!Z71="","",計分!Z71^2)</f>
        <v/>
      </c>
      <c r="AA71">
        <f>IF(計分!AA71="","",計分!AA71^2)</f>
        <v/>
      </c>
      <c r="AB71">
        <f>IF(計分!AB71="","",計分!AB71^2)</f>
        <v/>
      </c>
      <c r="AC71">
        <f>IF(計分!AC71="","",計分!AC71^2)</f>
        <v/>
      </c>
      <c r="AD71">
        <f>IF(計分!AD71="","",計分!AD71^2)</f>
        <v/>
      </c>
      <c r="AE71">
        <f>IF(計分!AE71="","",計分!AE71^2)</f>
        <v/>
      </c>
      <c r="AF71">
        <f>IF(計分!AF71="","",計分!AF71^2)</f>
        <v/>
      </c>
      <c r="AG71">
        <f>IF(計分!AG71="","",計分!AG71^2)</f>
        <v/>
      </c>
      <c r="AH71">
        <f>IF(計分!AH71="","",計分!AH71^2)</f>
        <v/>
      </c>
      <c r="AI71">
        <f>IF(計分!AI71="","",計分!AI71^2)</f>
        <v/>
      </c>
      <c r="AJ71">
        <f>IF(計分!AJ71="","",計分!AJ71^2)</f>
        <v/>
      </c>
      <c r="AK71">
        <f>IF(計分!AK71="","",計分!AK71^2)</f>
        <v/>
      </c>
      <c r="AL71">
        <f>IF(計分!AL71="","",計分!AL71^2)</f>
        <v/>
      </c>
      <c r="AM71">
        <f>IF(計分!AM71="","",計分!AM71^2)</f>
        <v/>
      </c>
      <c r="AN71">
        <f>IF(計分!AN71="","",計分!AN71^2)</f>
        <v/>
      </c>
      <c r="AO71">
        <f>IF(計分!AO71="","",計分!AO71^2)</f>
        <v/>
      </c>
    </row>
    <row r="72">
      <c r="B72">
        <f>IF(計分!B72="","",計分!B72^2)</f>
        <v/>
      </c>
      <c r="C72">
        <f>IF(計分!C72="","",計分!C72^2)</f>
        <v/>
      </c>
      <c r="D72">
        <f>IF(計分!D72="","",計分!D72^2)</f>
        <v/>
      </c>
      <c r="E72">
        <f>IF(計分!E72="","",計分!E72^2)</f>
        <v/>
      </c>
      <c r="F72">
        <f>IF(計分!F72="","",計分!F72^2)</f>
        <v/>
      </c>
      <c r="G72">
        <f>IF(計分!G72="","",計分!G72^2)</f>
        <v/>
      </c>
      <c r="H72">
        <f>IF(計分!H72="","",計分!H72^2)</f>
        <v/>
      </c>
      <c r="I72">
        <f>IF(計分!I72="","",計分!I72^2)</f>
        <v/>
      </c>
      <c r="J72">
        <f>IF(計分!J72="","",計分!J72^2)</f>
        <v/>
      </c>
      <c r="K72">
        <f>IF(計分!K72="","",計分!K72^2)</f>
        <v/>
      </c>
      <c r="L72">
        <f>IF(計分!L72="","",計分!L72^2)</f>
        <v/>
      </c>
      <c r="M72">
        <f>IF(計分!M72="","",計分!M72^2)</f>
        <v/>
      </c>
      <c r="N72">
        <f>IF(計分!N72="","",計分!N72^2)</f>
        <v/>
      </c>
      <c r="O72">
        <f>IF(計分!O72="","",計分!O72^2)</f>
        <v/>
      </c>
      <c r="P72">
        <f>IF(計分!P72="","",計分!P72^2)</f>
        <v/>
      </c>
      <c r="Q72">
        <f>IF(計分!Q72="","",計分!Q72^2)</f>
        <v/>
      </c>
      <c r="R72">
        <f>IF(計分!R72="","",計分!R72^2)</f>
        <v/>
      </c>
      <c r="S72">
        <f>IF(計分!S72="","",計分!S72^2)</f>
        <v/>
      </c>
      <c r="T72">
        <f>IF(計分!T72="","",計分!T72^2)</f>
        <v/>
      </c>
      <c r="U72">
        <f>IF(計分!U72="","",計分!U72^2)</f>
        <v/>
      </c>
      <c r="V72">
        <f>IF(計分!V72="","",計分!V72^2)</f>
        <v/>
      </c>
      <c r="W72">
        <f>IF(計分!W72="","",計分!W72^2)</f>
        <v/>
      </c>
      <c r="X72">
        <f>IF(計分!X72="","",計分!X72^2)</f>
        <v/>
      </c>
      <c r="Y72">
        <f>IF(計分!Y72="","",計分!Y72^2)</f>
        <v/>
      </c>
      <c r="Z72">
        <f>IF(計分!Z72="","",計分!Z72^2)</f>
        <v/>
      </c>
      <c r="AA72">
        <f>IF(計分!AA72="","",計分!AA72^2)</f>
        <v/>
      </c>
      <c r="AB72">
        <f>IF(計分!AB72="","",計分!AB72^2)</f>
        <v/>
      </c>
      <c r="AC72">
        <f>IF(計分!AC72="","",計分!AC72^2)</f>
        <v/>
      </c>
      <c r="AD72">
        <f>IF(計分!AD72="","",計分!AD72^2)</f>
        <v/>
      </c>
      <c r="AE72">
        <f>IF(計分!AE72="","",計分!AE72^2)</f>
        <v/>
      </c>
      <c r="AF72">
        <f>IF(計分!AF72="","",計分!AF72^2)</f>
        <v/>
      </c>
      <c r="AG72">
        <f>IF(計分!AG72="","",計分!AG72^2)</f>
        <v/>
      </c>
      <c r="AH72">
        <f>IF(計分!AH72="","",計分!AH72^2)</f>
        <v/>
      </c>
      <c r="AI72">
        <f>IF(計分!AI72="","",計分!AI72^2)</f>
        <v/>
      </c>
      <c r="AJ72">
        <f>IF(計分!AJ72="","",計分!AJ72^2)</f>
        <v/>
      </c>
      <c r="AK72">
        <f>IF(計分!AK72="","",計分!AK72^2)</f>
        <v/>
      </c>
      <c r="AL72">
        <f>IF(計分!AL72="","",計分!AL72^2)</f>
        <v/>
      </c>
      <c r="AM72">
        <f>IF(計分!AM72="","",計分!AM72^2)</f>
        <v/>
      </c>
      <c r="AN72">
        <f>IF(計分!AN72="","",計分!AN72^2)</f>
        <v/>
      </c>
      <c r="AO72">
        <f>IF(計分!AO72="","",計分!AO72^2)</f>
        <v/>
      </c>
    </row>
    <row r="73">
      <c r="B73">
        <f>IF(計分!B73="","",計分!B73^2)</f>
        <v/>
      </c>
      <c r="C73">
        <f>IF(計分!C73="","",計分!C73^2)</f>
        <v/>
      </c>
      <c r="D73">
        <f>IF(計分!D73="","",計分!D73^2)</f>
        <v/>
      </c>
      <c r="E73">
        <f>IF(計分!E73="","",計分!E73^2)</f>
        <v/>
      </c>
      <c r="F73">
        <f>IF(計分!F73="","",計分!F73^2)</f>
        <v/>
      </c>
      <c r="G73">
        <f>IF(計分!G73="","",計分!G73^2)</f>
        <v/>
      </c>
      <c r="H73">
        <f>IF(計分!H73="","",計分!H73^2)</f>
        <v/>
      </c>
      <c r="I73">
        <f>IF(計分!I73="","",計分!I73^2)</f>
        <v/>
      </c>
      <c r="J73">
        <f>IF(計分!J73="","",計分!J73^2)</f>
        <v/>
      </c>
      <c r="K73">
        <f>IF(計分!K73="","",計分!K73^2)</f>
        <v/>
      </c>
      <c r="L73">
        <f>IF(計分!L73="","",計分!L73^2)</f>
        <v/>
      </c>
      <c r="M73">
        <f>IF(計分!M73="","",計分!M73^2)</f>
        <v/>
      </c>
      <c r="N73">
        <f>IF(計分!N73="","",計分!N73^2)</f>
        <v/>
      </c>
      <c r="O73">
        <f>IF(計分!O73="","",計分!O73^2)</f>
        <v/>
      </c>
      <c r="P73">
        <f>IF(計分!P73="","",計分!P73^2)</f>
        <v/>
      </c>
      <c r="Q73">
        <f>IF(計分!Q73="","",計分!Q73^2)</f>
        <v/>
      </c>
      <c r="R73">
        <f>IF(計分!R73="","",計分!R73^2)</f>
        <v/>
      </c>
      <c r="S73">
        <f>IF(計分!S73="","",計分!S73^2)</f>
        <v/>
      </c>
      <c r="T73">
        <f>IF(計分!T73="","",計分!T73^2)</f>
        <v/>
      </c>
      <c r="U73">
        <f>IF(計分!U73="","",計分!U73^2)</f>
        <v/>
      </c>
      <c r="V73">
        <f>IF(計分!V73="","",計分!V73^2)</f>
        <v/>
      </c>
      <c r="W73">
        <f>IF(計分!W73="","",計分!W73^2)</f>
        <v/>
      </c>
      <c r="X73">
        <f>IF(計分!X73="","",計分!X73^2)</f>
        <v/>
      </c>
      <c r="Y73">
        <f>IF(計分!Y73="","",計分!Y73^2)</f>
        <v/>
      </c>
      <c r="Z73">
        <f>IF(計分!Z73="","",計分!Z73^2)</f>
        <v/>
      </c>
      <c r="AA73">
        <f>IF(計分!AA73="","",計分!AA73^2)</f>
        <v/>
      </c>
      <c r="AB73">
        <f>IF(計分!AB73="","",計分!AB73^2)</f>
        <v/>
      </c>
      <c r="AC73">
        <f>IF(計分!AC73="","",計分!AC73^2)</f>
        <v/>
      </c>
      <c r="AD73">
        <f>IF(計分!AD73="","",計分!AD73^2)</f>
        <v/>
      </c>
      <c r="AE73">
        <f>IF(計分!AE73="","",計分!AE73^2)</f>
        <v/>
      </c>
      <c r="AF73">
        <f>IF(計分!AF73="","",計分!AF73^2)</f>
        <v/>
      </c>
      <c r="AG73">
        <f>IF(計分!AG73="","",計分!AG73^2)</f>
        <v/>
      </c>
      <c r="AH73">
        <f>IF(計分!AH73="","",計分!AH73^2)</f>
        <v/>
      </c>
      <c r="AI73">
        <f>IF(計分!AI73="","",計分!AI73^2)</f>
        <v/>
      </c>
      <c r="AJ73">
        <f>IF(計分!AJ73="","",計分!AJ73^2)</f>
        <v/>
      </c>
      <c r="AK73">
        <f>IF(計分!AK73="","",計分!AK73^2)</f>
        <v/>
      </c>
      <c r="AL73">
        <f>IF(計分!AL73="","",計分!AL73^2)</f>
        <v/>
      </c>
      <c r="AM73">
        <f>IF(計分!AM73="","",計分!AM73^2)</f>
        <v/>
      </c>
      <c r="AN73">
        <f>IF(計分!AN73="","",計分!AN73^2)</f>
        <v/>
      </c>
      <c r="AO73">
        <f>IF(計分!AO73="","",計分!AO73^2)</f>
        <v/>
      </c>
    </row>
    <row r="74">
      <c r="B74">
        <f>IF(計分!B74="","",計分!B74^2)</f>
        <v/>
      </c>
      <c r="C74">
        <f>IF(計分!C74="","",計分!C74^2)</f>
        <v/>
      </c>
      <c r="D74">
        <f>IF(計分!D74="","",計分!D74^2)</f>
        <v/>
      </c>
      <c r="E74">
        <f>IF(計分!E74="","",計分!E74^2)</f>
        <v/>
      </c>
      <c r="F74">
        <f>IF(計分!F74="","",計分!F74^2)</f>
        <v/>
      </c>
      <c r="G74">
        <f>IF(計分!G74="","",計分!G74^2)</f>
        <v/>
      </c>
      <c r="H74">
        <f>IF(計分!H74="","",計分!H74^2)</f>
        <v/>
      </c>
      <c r="I74">
        <f>IF(計分!I74="","",計分!I74^2)</f>
        <v/>
      </c>
      <c r="J74">
        <f>IF(計分!J74="","",計分!J74^2)</f>
        <v/>
      </c>
      <c r="K74">
        <f>IF(計分!K74="","",計分!K74^2)</f>
        <v/>
      </c>
      <c r="L74">
        <f>IF(計分!L74="","",計分!L74^2)</f>
        <v/>
      </c>
      <c r="M74">
        <f>IF(計分!M74="","",計分!M74^2)</f>
        <v/>
      </c>
      <c r="N74">
        <f>IF(計分!N74="","",計分!N74^2)</f>
        <v/>
      </c>
      <c r="O74">
        <f>IF(計分!O74="","",計分!O74^2)</f>
        <v/>
      </c>
      <c r="P74">
        <f>IF(計分!P74="","",計分!P74^2)</f>
        <v/>
      </c>
      <c r="Q74">
        <f>IF(計分!Q74="","",計分!Q74^2)</f>
        <v/>
      </c>
      <c r="R74">
        <f>IF(計分!R74="","",計分!R74^2)</f>
        <v/>
      </c>
      <c r="S74">
        <f>IF(計分!S74="","",計分!S74^2)</f>
        <v/>
      </c>
      <c r="T74">
        <f>IF(計分!T74="","",計分!T74^2)</f>
        <v/>
      </c>
      <c r="U74">
        <f>IF(計分!U74="","",計分!U74^2)</f>
        <v/>
      </c>
      <c r="V74">
        <f>IF(計分!V74="","",計分!V74^2)</f>
        <v/>
      </c>
      <c r="W74">
        <f>IF(計分!W74="","",計分!W74^2)</f>
        <v/>
      </c>
      <c r="X74">
        <f>IF(計分!X74="","",計分!X74^2)</f>
        <v/>
      </c>
      <c r="Y74">
        <f>IF(計分!Y74="","",計分!Y74^2)</f>
        <v/>
      </c>
      <c r="Z74">
        <f>IF(計分!Z74="","",計分!Z74^2)</f>
        <v/>
      </c>
      <c r="AA74">
        <f>IF(計分!AA74="","",計分!AA74^2)</f>
        <v/>
      </c>
      <c r="AB74">
        <f>IF(計分!AB74="","",計分!AB74^2)</f>
        <v/>
      </c>
      <c r="AC74">
        <f>IF(計分!AC74="","",計分!AC74^2)</f>
        <v/>
      </c>
      <c r="AD74">
        <f>IF(計分!AD74="","",計分!AD74^2)</f>
        <v/>
      </c>
      <c r="AE74">
        <f>IF(計分!AE74="","",計分!AE74^2)</f>
        <v/>
      </c>
      <c r="AF74">
        <f>IF(計分!AF74="","",計分!AF74^2)</f>
        <v/>
      </c>
      <c r="AG74">
        <f>IF(計分!AG74="","",計分!AG74^2)</f>
        <v/>
      </c>
      <c r="AH74">
        <f>IF(計分!AH74="","",計分!AH74^2)</f>
        <v/>
      </c>
      <c r="AI74">
        <f>IF(計分!AI74="","",計分!AI74^2)</f>
        <v/>
      </c>
      <c r="AJ74">
        <f>IF(計分!AJ74="","",計分!AJ74^2)</f>
        <v/>
      </c>
      <c r="AK74">
        <f>IF(計分!AK74="","",計分!AK74^2)</f>
        <v/>
      </c>
      <c r="AL74">
        <f>IF(計分!AL74="","",計分!AL74^2)</f>
        <v/>
      </c>
      <c r="AM74">
        <f>IF(計分!AM74="","",計分!AM74^2)</f>
        <v/>
      </c>
      <c r="AN74">
        <f>IF(計分!AN74="","",計分!AN74^2)</f>
        <v/>
      </c>
      <c r="AO74">
        <f>IF(計分!AO74="","",計分!AO74^2)</f>
        <v/>
      </c>
    </row>
    <row r="75">
      <c r="B75">
        <f>IF(計分!B75="","",計分!B75^2)</f>
        <v/>
      </c>
      <c r="C75">
        <f>IF(計分!C75="","",計分!C75^2)</f>
        <v/>
      </c>
      <c r="D75">
        <f>IF(計分!D75="","",計分!D75^2)</f>
        <v/>
      </c>
      <c r="E75">
        <f>IF(計分!E75="","",計分!E75^2)</f>
        <v/>
      </c>
      <c r="F75">
        <f>IF(計分!F75="","",計分!F75^2)</f>
        <v/>
      </c>
      <c r="G75">
        <f>IF(計分!G75="","",計分!G75^2)</f>
        <v/>
      </c>
      <c r="H75">
        <f>IF(計分!H75="","",計分!H75^2)</f>
        <v/>
      </c>
      <c r="I75">
        <f>IF(計分!I75="","",計分!I75^2)</f>
        <v/>
      </c>
      <c r="J75">
        <f>IF(計分!J75="","",計分!J75^2)</f>
        <v/>
      </c>
      <c r="K75">
        <f>IF(計分!K75="","",計分!K75^2)</f>
        <v/>
      </c>
      <c r="L75">
        <f>IF(計分!L75="","",計分!L75^2)</f>
        <v/>
      </c>
      <c r="M75">
        <f>IF(計分!M75="","",計分!M75^2)</f>
        <v/>
      </c>
      <c r="N75">
        <f>IF(計分!N75="","",計分!N75^2)</f>
        <v/>
      </c>
      <c r="O75">
        <f>IF(計分!O75="","",計分!O75^2)</f>
        <v/>
      </c>
      <c r="P75">
        <f>IF(計分!P75="","",計分!P75^2)</f>
        <v/>
      </c>
      <c r="Q75">
        <f>IF(計分!Q75="","",計分!Q75^2)</f>
        <v/>
      </c>
      <c r="R75">
        <f>IF(計分!R75="","",計分!R75^2)</f>
        <v/>
      </c>
      <c r="S75">
        <f>IF(計分!S75="","",計分!S75^2)</f>
        <v/>
      </c>
      <c r="T75">
        <f>IF(計分!T75="","",計分!T75^2)</f>
        <v/>
      </c>
      <c r="U75">
        <f>IF(計分!U75="","",計分!U75^2)</f>
        <v/>
      </c>
      <c r="V75">
        <f>IF(計分!V75="","",計分!V75^2)</f>
        <v/>
      </c>
      <c r="W75">
        <f>IF(計分!W75="","",計分!W75^2)</f>
        <v/>
      </c>
      <c r="X75">
        <f>IF(計分!X75="","",計分!X75^2)</f>
        <v/>
      </c>
      <c r="Y75">
        <f>IF(計分!Y75="","",計分!Y75^2)</f>
        <v/>
      </c>
      <c r="Z75">
        <f>IF(計分!Z75="","",計分!Z75^2)</f>
        <v/>
      </c>
      <c r="AA75">
        <f>IF(計分!AA75="","",計分!AA75^2)</f>
        <v/>
      </c>
      <c r="AB75">
        <f>IF(計分!AB75="","",計分!AB75^2)</f>
        <v/>
      </c>
      <c r="AC75">
        <f>IF(計分!AC75="","",計分!AC75^2)</f>
        <v/>
      </c>
      <c r="AD75">
        <f>IF(計分!AD75="","",計分!AD75^2)</f>
        <v/>
      </c>
      <c r="AE75">
        <f>IF(計分!AE75="","",計分!AE75^2)</f>
        <v/>
      </c>
      <c r="AF75">
        <f>IF(計分!AF75="","",計分!AF75^2)</f>
        <v/>
      </c>
      <c r="AG75">
        <f>IF(計分!AG75="","",計分!AG75^2)</f>
        <v/>
      </c>
      <c r="AH75">
        <f>IF(計分!AH75="","",計分!AH75^2)</f>
        <v/>
      </c>
      <c r="AI75">
        <f>IF(計分!AI75="","",計分!AI75^2)</f>
        <v/>
      </c>
      <c r="AJ75">
        <f>IF(計分!AJ75="","",計分!AJ75^2)</f>
        <v/>
      </c>
      <c r="AK75">
        <f>IF(計分!AK75="","",計分!AK75^2)</f>
        <v/>
      </c>
      <c r="AL75">
        <f>IF(計分!AL75="","",計分!AL75^2)</f>
        <v/>
      </c>
      <c r="AM75">
        <f>IF(計分!AM75="","",計分!AM75^2)</f>
        <v/>
      </c>
      <c r="AN75">
        <f>IF(計分!AN75="","",計分!AN75^2)</f>
        <v/>
      </c>
      <c r="AO75">
        <f>IF(計分!AO75="","",計分!AO75^2)</f>
        <v/>
      </c>
    </row>
    <row r="76">
      <c r="B76">
        <f>IF(計分!B76="","",計分!B76^2)</f>
        <v/>
      </c>
      <c r="C76">
        <f>IF(計分!C76="","",計分!C76^2)</f>
        <v/>
      </c>
      <c r="D76">
        <f>IF(計分!D76="","",計分!D76^2)</f>
        <v/>
      </c>
      <c r="E76">
        <f>IF(計分!E76="","",計分!E76^2)</f>
        <v/>
      </c>
      <c r="F76">
        <f>IF(計分!F76="","",計分!F76^2)</f>
        <v/>
      </c>
      <c r="G76">
        <f>IF(計分!G76="","",計分!G76^2)</f>
        <v/>
      </c>
      <c r="H76">
        <f>IF(計分!H76="","",計分!H76^2)</f>
        <v/>
      </c>
      <c r="I76">
        <f>IF(計分!I76="","",計分!I76^2)</f>
        <v/>
      </c>
      <c r="J76">
        <f>IF(計分!J76="","",計分!J76^2)</f>
        <v/>
      </c>
      <c r="K76">
        <f>IF(計分!K76="","",計分!K76^2)</f>
        <v/>
      </c>
      <c r="L76">
        <f>IF(計分!L76="","",計分!L76^2)</f>
        <v/>
      </c>
      <c r="M76">
        <f>IF(計分!M76="","",計分!M76^2)</f>
        <v/>
      </c>
      <c r="N76">
        <f>IF(計分!N76="","",計分!N76^2)</f>
        <v/>
      </c>
      <c r="O76">
        <f>IF(計分!O76="","",計分!O76^2)</f>
        <v/>
      </c>
      <c r="P76">
        <f>IF(計分!P76="","",計分!P76^2)</f>
        <v/>
      </c>
      <c r="Q76">
        <f>IF(計分!Q76="","",計分!Q76^2)</f>
        <v/>
      </c>
      <c r="R76">
        <f>IF(計分!R76="","",計分!R76^2)</f>
        <v/>
      </c>
      <c r="S76">
        <f>IF(計分!S76="","",計分!S76^2)</f>
        <v/>
      </c>
      <c r="T76">
        <f>IF(計分!T76="","",計分!T76^2)</f>
        <v/>
      </c>
      <c r="U76">
        <f>IF(計分!U76="","",計分!U76^2)</f>
        <v/>
      </c>
      <c r="V76">
        <f>IF(計分!V76="","",計分!V76^2)</f>
        <v/>
      </c>
      <c r="W76">
        <f>IF(計分!W76="","",計分!W76^2)</f>
        <v/>
      </c>
      <c r="X76">
        <f>IF(計分!X76="","",計分!X76^2)</f>
        <v/>
      </c>
      <c r="Y76">
        <f>IF(計分!Y76="","",計分!Y76^2)</f>
        <v/>
      </c>
      <c r="Z76">
        <f>IF(計分!Z76="","",計分!Z76^2)</f>
        <v/>
      </c>
      <c r="AA76">
        <f>IF(計分!AA76="","",計分!AA76^2)</f>
        <v/>
      </c>
      <c r="AB76">
        <f>IF(計分!AB76="","",計分!AB76^2)</f>
        <v/>
      </c>
      <c r="AC76">
        <f>IF(計分!AC76="","",計分!AC76^2)</f>
        <v/>
      </c>
      <c r="AD76">
        <f>IF(計分!AD76="","",計分!AD76^2)</f>
        <v/>
      </c>
      <c r="AE76">
        <f>IF(計分!AE76="","",計分!AE76^2)</f>
        <v/>
      </c>
      <c r="AF76">
        <f>IF(計分!AF76="","",計分!AF76^2)</f>
        <v/>
      </c>
      <c r="AG76">
        <f>IF(計分!AG76="","",計分!AG76^2)</f>
        <v/>
      </c>
      <c r="AH76">
        <f>IF(計分!AH76="","",計分!AH76^2)</f>
        <v/>
      </c>
      <c r="AI76">
        <f>IF(計分!AI76="","",計分!AI76^2)</f>
        <v/>
      </c>
      <c r="AJ76">
        <f>IF(計分!AJ76="","",計分!AJ76^2)</f>
        <v/>
      </c>
      <c r="AK76">
        <f>IF(計分!AK76="","",計分!AK76^2)</f>
        <v/>
      </c>
      <c r="AL76">
        <f>IF(計分!AL76="","",計分!AL76^2)</f>
        <v/>
      </c>
      <c r="AM76">
        <f>IF(計分!AM76="","",計分!AM76^2)</f>
        <v/>
      </c>
      <c r="AN76">
        <f>IF(計分!AN76="","",計分!AN76^2)</f>
        <v/>
      </c>
      <c r="AO76">
        <f>IF(計分!AO76="","",計分!AO76^2)</f>
        <v/>
      </c>
    </row>
    <row r="77">
      <c r="B77">
        <f>IF(計分!B77="","",計分!B77^2)</f>
        <v/>
      </c>
      <c r="C77">
        <f>IF(計分!C77="","",計分!C77^2)</f>
        <v/>
      </c>
      <c r="D77">
        <f>IF(計分!D77="","",計分!D77^2)</f>
        <v/>
      </c>
      <c r="E77">
        <f>IF(計分!E77="","",計分!E77^2)</f>
        <v/>
      </c>
      <c r="F77">
        <f>IF(計分!F77="","",計分!F77^2)</f>
        <v/>
      </c>
      <c r="G77">
        <f>IF(計分!G77="","",計分!G77^2)</f>
        <v/>
      </c>
      <c r="H77">
        <f>IF(計分!H77="","",計分!H77^2)</f>
        <v/>
      </c>
      <c r="I77">
        <f>IF(計分!I77="","",計分!I77^2)</f>
        <v/>
      </c>
      <c r="J77">
        <f>IF(計分!J77="","",計分!J77^2)</f>
        <v/>
      </c>
      <c r="K77">
        <f>IF(計分!K77="","",計分!K77^2)</f>
        <v/>
      </c>
      <c r="L77">
        <f>IF(計分!L77="","",計分!L77^2)</f>
        <v/>
      </c>
      <c r="M77">
        <f>IF(計分!M77="","",計分!M77^2)</f>
        <v/>
      </c>
      <c r="N77">
        <f>IF(計分!N77="","",計分!N77^2)</f>
        <v/>
      </c>
      <c r="O77">
        <f>IF(計分!O77="","",計分!O77^2)</f>
        <v/>
      </c>
      <c r="P77">
        <f>IF(計分!P77="","",計分!P77^2)</f>
        <v/>
      </c>
      <c r="Q77">
        <f>IF(計分!Q77="","",計分!Q77^2)</f>
        <v/>
      </c>
      <c r="R77">
        <f>IF(計分!R77="","",計分!R77^2)</f>
        <v/>
      </c>
      <c r="S77">
        <f>IF(計分!S77="","",計分!S77^2)</f>
        <v/>
      </c>
      <c r="T77">
        <f>IF(計分!T77="","",計分!T77^2)</f>
        <v/>
      </c>
      <c r="U77">
        <f>IF(計分!U77="","",計分!U77^2)</f>
        <v/>
      </c>
      <c r="V77">
        <f>IF(計分!V77="","",計分!V77^2)</f>
        <v/>
      </c>
      <c r="W77">
        <f>IF(計分!W77="","",計分!W77^2)</f>
        <v/>
      </c>
      <c r="X77">
        <f>IF(計分!X77="","",計分!X77^2)</f>
        <v/>
      </c>
      <c r="Y77">
        <f>IF(計分!Y77="","",計分!Y77^2)</f>
        <v/>
      </c>
      <c r="Z77">
        <f>IF(計分!Z77="","",計分!Z77^2)</f>
        <v/>
      </c>
      <c r="AA77">
        <f>IF(計分!AA77="","",計分!AA77^2)</f>
        <v/>
      </c>
      <c r="AB77">
        <f>IF(計分!AB77="","",計分!AB77^2)</f>
        <v/>
      </c>
      <c r="AC77">
        <f>IF(計分!AC77="","",計分!AC77^2)</f>
        <v/>
      </c>
      <c r="AD77">
        <f>IF(計分!AD77="","",計分!AD77^2)</f>
        <v/>
      </c>
      <c r="AE77">
        <f>IF(計分!AE77="","",計分!AE77^2)</f>
        <v/>
      </c>
      <c r="AF77">
        <f>IF(計分!AF77="","",計分!AF77^2)</f>
        <v/>
      </c>
      <c r="AG77">
        <f>IF(計分!AG77="","",計分!AG77^2)</f>
        <v/>
      </c>
      <c r="AH77">
        <f>IF(計分!AH77="","",計分!AH77^2)</f>
        <v/>
      </c>
      <c r="AI77">
        <f>IF(計分!AI77="","",計分!AI77^2)</f>
        <v/>
      </c>
      <c r="AJ77">
        <f>IF(計分!AJ77="","",計分!AJ77^2)</f>
        <v/>
      </c>
      <c r="AK77">
        <f>IF(計分!AK77="","",計分!AK77^2)</f>
        <v/>
      </c>
      <c r="AL77">
        <f>IF(計分!AL77="","",計分!AL77^2)</f>
        <v/>
      </c>
      <c r="AM77">
        <f>IF(計分!AM77="","",計分!AM77^2)</f>
        <v/>
      </c>
      <c r="AN77">
        <f>IF(計分!AN77="","",計分!AN77^2)</f>
        <v/>
      </c>
      <c r="AO77">
        <f>IF(計分!AO77="","",計分!AO77^2)</f>
        <v/>
      </c>
    </row>
    <row r="78">
      <c r="B78">
        <f>IF(計分!B78="","",計分!B78^2)</f>
        <v/>
      </c>
      <c r="C78">
        <f>IF(計分!C78="","",計分!C78^2)</f>
        <v/>
      </c>
      <c r="D78">
        <f>IF(計分!D78="","",計分!D78^2)</f>
        <v/>
      </c>
      <c r="E78">
        <f>IF(計分!E78="","",計分!E78^2)</f>
        <v/>
      </c>
      <c r="F78">
        <f>IF(計分!F78="","",計分!F78^2)</f>
        <v/>
      </c>
      <c r="G78">
        <f>IF(計分!G78="","",計分!G78^2)</f>
        <v/>
      </c>
      <c r="H78">
        <f>IF(計分!H78="","",計分!H78^2)</f>
        <v/>
      </c>
      <c r="I78">
        <f>IF(計分!I78="","",計分!I78^2)</f>
        <v/>
      </c>
      <c r="J78">
        <f>IF(計分!J78="","",計分!J78^2)</f>
        <v/>
      </c>
      <c r="K78">
        <f>IF(計分!K78="","",計分!K78^2)</f>
        <v/>
      </c>
      <c r="L78">
        <f>IF(計分!L78="","",計分!L78^2)</f>
        <v/>
      </c>
      <c r="M78">
        <f>IF(計分!M78="","",計分!M78^2)</f>
        <v/>
      </c>
      <c r="N78">
        <f>IF(計分!N78="","",計分!N78^2)</f>
        <v/>
      </c>
      <c r="O78">
        <f>IF(計分!O78="","",計分!O78^2)</f>
        <v/>
      </c>
      <c r="P78">
        <f>IF(計分!P78="","",計分!P78^2)</f>
        <v/>
      </c>
      <c r="Q78">
        <f>IF(計分!Q78="","",計分!Q78^2)</f>
        <v/>
      </c>
      <c r="R78">
        <f>IF(計分!R78="","",計分!R78^2)</f>
        <v/>
      </c>
      <c r="S78">
        <f>IF(計分!S78="","",計分!S78^2)</f>
        <v/>
      </c>
      <c r="T78">
        <f>IF(計分!T78="","",計分!T78^2)</f>
        <v/>
      </c>
      <c r="U78">
        <f>IF(計分!U78="","",計分!U78^2)</f>
        <v/>
      </c>
      <c r="V78">
        <f>IF(計分!V78="","",計分!V78^2)</f>
        <v/>
      </c>
      <c r="W78">
        <f>IF(計分!W78="","",計分!W78^2)</f>
        <v/>
      </c>
      <c r="X78">
        <f>IF(計分!X78="","",計分!X78^2)</f>
        <v/>
      </c>
      <c r="Y78">
        <f>IF(計分!Y78="","",計分!Y78^2)</f>
        <v/>
      </c>
      <c r="Z78">
        <f>IF(計分!Z78="","",計分!Z78^2)</f>
        <v/>
      </c>
      <c r="AA78">
        <f>IF(計分!AA78="","",計分!AA78^2)</f>
        <v/>
      </c>
      <c r="AB78">
        <f>IF(計分!AB78="","",計分!AB78^2)</f>
        <v/>
      </c>
      <c r="AC78">
        <f>IF(計分!AC78="","",計分!AC78^2)</f>
        <v/>
      </c>
      <c r="AD78">
        <f>IF(計分!AD78="","",計分!AD78^2)</f>
        <v/>
      </c>
      <c r="AE78">
        <f>IF(計分!AE78="","",計分!AE78^2)</f>
        <v/>
      </c>
      <c r="AF78">
        <f>IF(計分!AF78="","",計分!AF78^2)</f>
        <v/>
      </c>
      <c r="AG78">
        <f>IF(計分!AG78="","",計分!AG78^2)</f>
        <v/>
      </c>
      <c r="AH78">
        <f>IF(計分!AH78="","",計分!AH78^2)</f>
        <v/>
      </c>
      <c r="AI78">
        <f>IF(計分!AI78="","",計分!AI78^2)</f>
        <v/>
      </c>
      <c r="AJ78">
        <f>IF(計分!AJ78="","",計分!AJ78^2)</f>
        <v/>
      </c>
      <c r="AK78">
        <f>IF(計分!AK78="","",計分!AK78^2)</f>
        <v/>
      </c>
      <c r="AL78">
        <f>IF(計分!AL78="","",計分!AL78^2)</f>
        <v/>
      </c>
      <c r="AM78">
        <f>IF(計分!AM78="","",計分!AM78^2)</f>
        <v/>
      </c>
      <c r="AN78">
        <f>IF(計分!AN78="","",計分!AN78^2)</f>
        <v/>
      </c>
      <c r="AO78">
        <f>IF(計分!AO78="","",計分!AO78^2)</f>
        <v/>
      </c>
    </row>
    <row r="79">
      <c r="B79">
        <f>IF(計分!B79="","",計分!B79^2)</f>
        <v/>
      </c>
      <c r="C79">
        <f>IF(計分!C79="","",計分!C79^2)</f>
        <v/>
      </c>
      <c r="D79">
        <f>IF(計分!D79="","",計分!D79^2)</f>
        <v/>
      </c>
      <c r="E79">
        <f>IF(計分!E79="","",計分!E79^2)</f>
        <v/>
      </c>
      <c r="F79">
        <f>IF(計分!F79="","",計分!F79^2)</f>
        <v/>
      </c>
      <c r="G79">
        <f>IF(計分!G79="","",計分!G79^2)</f>
        <v/>
      </c>
      <c r="H79">
        <f>IF(計分!H79="","",計分!H79^2)</f>
        <v/>
      </c>
      <c r="I79">
        <f>IF(計分!I79="","",計分!I79^2)</f>
        <v/>
      </c>
      <c r="J79">
        <f>IF(計分!J79="","",計分!J79^2)</f>
        <v/>
      </c>
      <c r="K79">
        <f>IF(計分!K79="","",計分!K79^2)</f>
        <v/>
      </c>
      <c r="L79">
        <f>IF(計分!L79="","",計分!L79^2)</f>
        <v/>
      </c>
      <c r="M79">
        <f>IF(計分!M79="","",計分!M79^2)</f>
        <v/>
      </c>
      <c r="N79">
        <f>IF(計分!N79="","",計分!N79^2)</f>
        <v/>
      </c>
      <c r="O79">
        <f>IF(計分!O79="","",計分!O79^2)</f>
        <v/>
      </c>
      <c r="P79">
        <f>IF(計分!P79="","",計分!P79^2)</f>
        <v/>
      </c>
      <c r="Q79">
        <f>IF(計分!Q79="","",計分!Q79^2)</f>
        <v/>
      </c>
      <c r="R79">
        <f>IF(計分!R79="","",計分!R79^2)</f>
        <v/>
      </c>
      <c r="S79">
        <f>IF(計分!S79="","",計分!S79^2)</f>
        <v/>
      </c>
      <c r="T79">
        <f>IF(計分!T79="","",計分!T79^2)</f>
        <v/>
      </c>
      <c r="U79">
        <f>IF(計分!U79="","",計分!U79^2)</f>
        <v/>
      </c>
      <c r="V79">
        <f>IF(計分!V79="","",計分!V79^2)</f>
        <v/>
      </c>
      <c r="W79">
        <f>IF(計分!W79="","",計分!W79^2)</f>
        <v/>
      </c>
      <c r="X79">
        <f>IF(計分!X79="","",計分!X79^2)</f>
        <v/>
      </c>
      <c r="Y79">
        <f>IF(計分!Y79="","",計分!Y79^2)</f>
        <v/>
      </c>
      <c r="Z79">
        <f>IF(計分!Z79="","",計分!Z79^2)</f>
        <v/>
      </c>
      <c r="AA79">
        <f>IF(計分!AA79="","",計分!AA79^2)</f>
        <v/>
      </c>
      <c r="AB79">
        <f>IF(計分!AB79="","",計分!AB79^2)</f>
        <v/>
      </c>
      <c r="AC79">
        <f>IF(計分!AC79="","",計分!AC79^2)</f>
        <v/>
      </c>
      <c r="AD79">
        <f>IF(計分!AD79="","",計分!AD79^2)</f>
        <v/>
      </c>
      <c r="AE79">
        <f>IF(計分!AE79="","",計分!AE79^2)</f>
        <v/>
      </c>
      <c r="AF79">
        <f>IF(計分!AF79="","",計分!AF79^2)</f>
        <v/>
      </c>
      <c r="AG79">
        <f>IF(計分!AG79="","",計分!AG79^2)</f>
        <v/>
      </c>
      <c r="AH79">
        <f>IF(計分!AH79="","",計分!AH79^2)</f>
        <v/>
      </c>
      <c r="AI79">
        <f>IF(計分!AI79="","",計分!AI79^2)</f>
        <v/>
      </c>
      <c r="AJ79">
        <f>IF(計分!AJ79="","",計分!AJ79^2)</f>
        <v/>
      </c>
      <c r="AK79">
        <f>IF(計分!AK79="","",計分!AK79^2)</f>
        <v/>
      </c>
      <c r="AL79">
        <f>IF(計分!AL79="","",計分!AL79^2)</f>
        <v/>
      </c>
      <c r="AM79">
        <f>IF(計分!AM79="","",計分!AM79^2)</f>
        <v/>
      </c>
      <c r="AN79">
        <f>IF(計分!AN79="","",計分!AN79^2)</f>
        <v/>
      </c>
      <c r="AO79">
        <f>IF(計分!AO79="","",計分!AO79^2)</f>
        <v/>
      </c>
    </row>
    <row r="80">
      <c r="B80">
        <f>IF(計分!B80="","",計分!B80^2)</f>
        <v/>
      </c>
      <c r="C80">
        <f>IF(計分!C80="","",計分!C80^2)</f>
        <v/>
      </c>
      <c r="D80">
        <f>IF(計分!D80="","",計分!D80^2)</f>
        <v/>
      </c>
      <c r="E80">
        <f>IF(計分!E80="","",計分!E80^2)</f>
        <v/>
      </c>
      <c r="F80">
        <f>IF(計分!F80="","",計分!F80^2)</f>
        <v/>
      </c>
      <c r="G80">
        <f>IF(計分!G80="","",計分!G80^2)</f>
        <v/>
      </c>
      <c r="H80">
        <f>IF(計分!H80="","",計分!H80^2)</f>
        <v/>
      </c>
      <c r="I80">
        <f>IF(計分!I80="","",計分!I80^2)</f>
        <v/>
      </c>
      <c r="J80">
        <f>IF(計分!J80="","",計分!J80^2)</f>
        <v/>
      </c>
      <c r="K80">
        <f>IF(計分!K80="","",計分!K80^2)</f>
        <v/>
      </c>
      <c r="L80">
        <f>IF(計分!L80="","",計分!L80^2)</f>
        <v/>
      </c>
      <c r="M80">
        <f>IF(計分!M80="","",計分!M80^2)</f>
        <v/>
      </c>
      <c r="N80">
        <f>IF(計分!N80="","",計分!N80^2)</f>
        <v/>
      </c>
      <c r="O80">
        <f>IF(計分!O80="","",計分!O80^2)</f>
        <v/>
      </c>
      <c r="P80">
        <f>IF(計分!P80="","",計分!P80^2)</f>
        <v/>
      </c>
      <c r="Q80">
        <f>IF(計分!Q80="","",計分!Q80^2)</f>
        <v/>
      </c>
      <c r="R80">
        <f>IF(計分!R80="","",計分!R80^2)</f>
        <v/>
      </c>
      <c r="S80">
        <f>IF(計分!S80="","",計分!S80^2)</f>
        <v/>
      </c>
      <c r="T80">
        <f>IF(計分!T80="","",計分!T80^2)</f>
        <v/>
      </c>
      <c r="U80">
        <f>IF(計分!U80="","",計分!U80^2)</f>
        <v/>
      </c>
      <c r="V80">
        <f>IF(計分!V80="","",計分!V80^2)</f>
        <v/>
      </c>
      <c r="W80">
        <f>IF(計分!W80="","",計分!W80^2)</f>
        <v/>
      </c>
      <c r="X80">
        <f>IF(計分!X80="","",計分!X80^2)</f>
        <v/>
      </c>
      <c r="Y80">
        <f>IF(計分!Y80="","",計分!Y80^2)</f>
        <v/>
      </c>
      <c r="Z80">
        <f>IF(計分!Z80="","",計分!Z80^2)</f>
        <v/>
      </c>
      <c r="AA80">
        <f>IF(計分!AA80="","",計分!AA80^2)</f>
        <v/>
      </c>
      <c r="AB80">
        <f>IF(計分!AB80="","",計分!AB80^2)</f>
        <v/>
      </c>
      <c r="AC80">
        <f>IF(計分!AC80="","",計分!AC80^2)</f>
        <v/>
      </c>
      <c r="AD80">
        <f>IF(計分!AD80="","",計分!AD80^2)</f>
        <v/>
      </c>
      <c r="AE80">
        <f>IF(計分!AE80="","",計分!AE80^2)</f>
        <v/>
      </c>
      <c r="AF80">
        <f>IF(計分!AF80="","",計分!AF80^2)</f>
        <v/>
      </c>
      <c r="AG80">
        <f>IF(計分!AG80="","",計分!AG80^2)</f>
        <v/>
      </c>
      <c r="AH80">
        <f>IF(計分!AH80="","",計分!AH80^2)</f>
        <v/>
      </c>
      <c r="AI80">
        <f>IF(計分!AI80="","",計分!AI80^2)</f>
        <v/>
      </c>
      <c r="AJ80">
        <f>IF(計分!AJ80="","",計分!AJ80^2)</f>
        <v/>
      </c>
      <c r="AK80">
        <f>IF(計分!AK80="","",計分!AK80^2)</f>
        <v/>
      </c>
      <c r="AL80">
        <f>IF(計分!AL80="","",計分!AL80^2)</f>
        <v/>
      </c>
      <c r="AM80">
        <f>IF(計分!AM80="","",計分!AM80^2)</f>
        <v/>
      </c>
      <c r="AN80">
        <f>IF(計分!AN80="","",計分!AN80^2)</f>
        <v/>
      </c>
      <c r="AO80">
        <f>IF(計分!AO80="","",計分!AO80^2)</f>
        <v/>
      </c>
    </row>
    <row r="81">
      <c r="B81">
        <f>IF(計分!B81="","",計分!B81^2)</f>
        <v/>
      </c>
      <c r="C81">
        <f>IF(計分!C81="","",計分!C81^2)</f>
        <v/>
      </c>
      <c r="D81">
        <f>IF(計分!D81="","",計分!D81^2)</f>
        <v/>
      </c>
      <c r="E81">
        <f>IF(計分!E81="","",計分!E81^2)</f>
        <v/>
      </c>
      <c r="F81">
        <f>IF(計分!F81="","",計分!F81^2)</f>
        <v/>
      </c>
      <c r="G81">
        <f>IF(計分!G81="","",計分!G81^2)</f>
        <v/>
      </c>
      <c r="H81">
        <f>IF(計分!H81="","",計分!H81^2)</f>
        <v/>
      </c>
      <c r="I81">
        <f>IF(計分!I81="","",計分!I81^2)</f>
        <v/>
      </c>
      <c r="J81">
        <f>IF(計分!J81="","",計分!J81^2)</f>
        <v/>
      </c>
      <c r="K81">
        <f>IF(計分!K81="","",計分!K81^2)</f>
        <v/>
      </c>
      <c r="L81">
        <f>IF(計分!L81="","",計分!L81^2)</f>
        <v/>
      </c>
      <c r="M81">
        <f>IF(計分!M81="","",計分!M81^2)</f>
        <v/>
      </c>
      <c r="N81">
        <f>IF(計分!N81="","",計分!N81^2)</f>
        <v/>
      </c>
      <c r="O81">
        <f>IF(計分!O81="","",計分!O81^2)</f>
        <v/>
      </c>
      <c r="P81">
        <f>IF(計分!P81="","",計分!P81^2)</f>
        <v/>
      </c>
      <c r="Q81">
        <f>IF(計分!Q81="","",計分!Q81^2)</f>
        <v/>
      </c>
      <c r="R81">
        <f>IF(計分!R81="","",計分!R81^2)</f>
        <v/>
      </c>
      <c r="S81">
        <f>IF(計分!S81="","",計分!S81^2)</f>
        <v/>
      </c>
      <c r="T81">
        <f>IF(計分!T81="","",計分!T81^2)</f>
        <v/>
      </c>
      <c r="U81">
        <f>IF(計分!U81="","",計分!U81^2)</f>
        <v/>
      </c>
      <c r="V81">
        <f>IF(計分!V81="","",計分!V81^2)</f>
        <v/>
      </c>
      <c r="W81">
        <f>IF(計分!W81="","",計分!W81^2)</f>
        <v/>
      </c>
      <c r="X81">
        <f>IF(計分!X81="","",計分!X81^2)</f>
        <v/>
      </c>
      <c r="Y81">
        <f>IF(計分!Y81="","",計分!Y81^2)</f>
        <v/>
      </c>
      <c r="Z81">
        <f>IF(計分!Z81="","",計分!Z81^2)</f>
        <v/>
      </c>
      <c r="AA81">
        <f>IF(計分!AA81="","",計分!AA81^2)</f>
        <v/>
      </c>
      <c r="AB81">
        <f>IF(計分!AB81="","",計分!AB81^2)</f>
        <v/>
      </c>
      <c r="AC81">
        <f>IF(計分!AC81="","",計分!AC81^2)</f>
        <v/>
      </c>
      <c r="AD81">
        <f>IF(計分!AD81="","",計分!AD81^2)</f>
        <v/>
      </c>
      <c r="AE81">
        <f>IF(計分!AE81="","",計分!AE81^2)</f>
        <v/>
      </c>
      <c r="AF81">
        <f>IF(計分!AF81="","",計分!AF81^2)</f>
        <v/>
      </c>
      <c r="AG81">
        <f>IF(計分!AG81="","",計分!AG81^2)</f>
        <v/>
      </c>
      <c r="AH81">
        <f>IF(計分!AH81="","",計分!AH81^2)</f>
        <v/>
      </c>
      <c r="AI81">
        <f>IF(計分!AI81="","",計分!AI81^2)</f>
        <v/>
      </c>
      <c r="AJ81">
        <f>IF(計分!AJ81="","",計分!AJ81^2)</f>
        <v/>
      </c>
      <c r="AK81">
        <f>IF(計分!AK81="","",計分!AK81^2)</f>
        <v/>
      </c>
      <c r="AL81">
        <f>IF(計分!AL81="","",計分!AL81^2)</f>
        <v/>
      </c>
      <c r="AM81">
        <f>IF(計分!AM81="","",計分!AM81^2)</f>
        <v/>
      </c>
      <c r="AN81">
        <f>IF(計分!AN81="","",計分!AN81^2)</f>
        <v/>
      </c>
      <c r="AO81">
        <f>IF(計分!AO81="","",計分!AO81^2)</f>
        <v/>
      </c>
    </row>
    <row r="82">
      <c r="B82">
        <f>IF(計分!B82="","",計分!B82^2)</f>
        <v/>
      </c>
      <c r="C82">
        <f>IF(計分!C82="","",計分!C82^2)</f>
        <v/>
      </c>
      <c r="D82">
        <f>IF(計分!D82="","",計分!D82^2)</f>
        <v/>
      </c>
      <c r="E82">
        <f>IF(計分!E82="","",計分!E82^2)</f>
        <v/>
      </c>
      <c r="F82">
        <f>IF(計分!F82="","",計分!F82^2)</f>
        <v/>
      </c>
      <c r="G82">
        <f>IF(計分!G82="","",計分!G82^2)</f>
        <v/>
      </c>
      <c r="H82">
        <f>IF(計分!H82="","",計分!H82^2)</f>
        <v/>
      </c>
      <c r="I82">
        <f>IF(計分!I82="","",計分!I82^2)</f>
        <v/>
      </c>
      <c r="J82">
        <f>IF(計分!J82="","",計分!J82^2)</f>
        <v/>
      </c>
      <c r="K82">
        <f>IF(計分!K82="","",計分!K82^2)</f>
        <v/>
      </c>
      <c r="L82">
        <f>IF(計分!L82="","",計分!L82^2)</f>
        <v/>
      </c>
      <c r="M82">
        <f>IF(計分!M82="","",計分!M82^2)</f>
        <v/>
      </c>
      <c r="N82">
        <f>IF(計分!N82="","",計分!N82^2)</f>
        <v/>
      </c>
      <c r="O82">
        <f>IF(計分!O82="","",計分!O82^2)</f>
        <v/>
      </c>
      <c r="P82">
        <f>IF(計分!P82="","",計分!P82^2)</f>
        <v/>
      </c>
      <c r="Q82">
        <f>IF(計分!Q82="","",計分!Q82^2)</f>
        <v/>
      </c>
      <c r="R82">
        <f>IF(計分!R82="","",計分!R82^2)</f>
        <v/>
      </c>
      <c r="S82">
        <f>IF(計分!S82="","",計分!S82^2)</f>
        <v/>
      </c>
      <c r="T82">
        <f>IF(計分!T82="","",計分!T82^2)</f>
        <v/>
      </c>
      <c r="U82">
        <f>IF(計分!U82="","",計分!U82^2)</f>
        <v/>
      </c>
      <c r="V82">
        <f>IF(計分!V82="","",計分!V82^2)</f>
        <v/>
      </c>
      <c r="W82">
        <f>IF(計分!W82="","",計分!W82^2)</f>
        <v/>
      </c>
      <c r="X82">
        <f>IF(計分!X82="","",計分!X82^2)</f>
        <v/>
      </c>
      <c r="Y82">
        <f>IF(計分!Y82="","",計分!Y82^2)</f>
        <v/>
      </c>
      <c r="Z82">
        <f>IF(計分!Z82="","",計分!Z82^2)</f>
        <v/>
      </c>
      <c r="AA82">
        <f>IF(計分!AA82="","",計分!AA82^2)</f>
        <v/>
      </c>
      <c r="AB82">
        <f>IF(計分!AB82="","",計分!AB82^2)</f>
        <v/>
      </c>
      <c r="AC82">
        <f>IF(計分!AC82="","",計分!AC82^2)</f>
        <v/>
      </c>
      <c r="AD82">
        <f>IF(計分!AD82="","",計分!AD82^2)</f>
        <v/>
      </c>
      <c r="AE82">
        <f>IF(計分!AE82="","",計分!AE82^2)</f>
        <v/>
      </c>
      <c r="AF82">
        <f>IF(計分!AF82="","",計分!AF82^2)</f>
        <v/>
      </c>
      <c r="AG82">
        <f>IF(計分!AG82="","",計分!AG82^2)</f>
        <v/>
      </c>
      <c r="AH82">
        <f>IF(計分!AH82="","",計分!AH82^2)</f>
        <v/>
      </c>
      <c r="AI82">
        <f>IF(計分!AI82="","",計分!AI82^2)</f>
        <v/>
      </c>
      <c r="AJ82">
        <f>IF(計分!AJ82="","",計分!AJ82^2)</f>
        <v/>
      </c>
      <c r="AK82">
        <f>IF(計分!AK82="","",計分!AK82^2)</f>
        <v/>
      </c>
      <c r="AL82">
        <f>IF(計分!AL82="","",計分!AL82^2)</f>
        <v/>
      </c>
      <c r="AM82">
        <f>IF(計分!AM82="","",計分!AM82^2)</f>
        <v/>
      </c>
      <c r="AN82">
        <f>IF(計分!AN82="","",計分!AN82^2)</f>
        <v/>
      </c>
      <c r="AO82">
        <f>IF(計分!AO82="","",計分!AO82^2)</f>
        <v/>
      </c>
    </row>
    <row r="83">
      <c r="B83">
        <f>IF(計分!B83="","",計分!B83^2)</f>
        <v/>
      </c>
      <c r="C83">
        <f>IF(計分!C83="","",計分!C83^2)</f>
        <v/>
      </c>
      <c r="D83">
        <f>IF(計分!D83="","",計分!D83^2)</f>
        <v/>
      </c>
      <c r="E83">
        <f>IF(計分!E83="","",計分!E83^2)</f>
        <v/>
      </c>
      <c r="F83">
        <f>IF(計分!F83="","",計分!F83^2)</f>
        <v/>
      </c>
      <c r="G83">
        <f>IF(計分!G83="","",計分!G83^2)</f>
        <v/>
      </c>
      <c r="H83">
        <f>IF(計分!H83="","",計分!H83^2)</f>
        <v/>
      </c>
      <c r="I83">
        <f>IF(計分!I83="","",計分!I83^2)</f>
        <v/>
      </c>
      <c r="J83">
        <f>IF(計分!J83="","",計分!J83^2)</f>
        <v/>
      </c>
      <c r="K83">
        <f>IF(計分!K83="","",計分!K83^2)</f>
        <v/>
      </c>
      <c r="L83">
        <f>IF(計分!L83="","",計分!L83^2)</f>
        <v/>
      </c>
      <c r="M83">
        <f>IF(計分!M83="","",計分!M83^2)</f>
        <v/>
      </c>
      <c r="N83">
        <f>IF(計分!N83="","",計分!N83^2)</f>
        <v/>
      </c>
      <c r="O83">
        <f>IF(計分!O83="","",計分!O83^2)</f>
        <v/>
      </c>
      <c r="P83">
        <f>IF(計分!P83="","",計分!P83^2)</f>
        <v/>
      </c>
      <c r="Q83">
        <f>IF(計分!Q83="","",計分!Q83^2)</f>
        <v/>
      </c>
      <c r="R83">
        <f>IF(計分!R83="","",計分!R83^2)</f>
        <v/>
      </c>
      <c r="S83">
        <f>IF(計分!S83="","",計分!S83^2)</f>
        <v/>
      </c>
      <c r="T83">
        <f>IF(計分!T83="","",計分!T83^2)</f>
        <v/>
      </c>
      <c r="U83">
        <f>IF(計分!U83="","",計分!U83^2)</f>
        <v/>
      </c>
      <c r="V83">
        <f>IF(計分!V83="","",計分!V83^2)</f>
        <v/>
      </c>
      <c r="W83">
        <f>IF(計分!W83="","",計分!W83^2)</f>
        <v/>
      </c>
      <c r="X83">
        <f>IF(計分!X83="","",計分!X83^2)</f>
        <v/>
      </c>
      <c r="Y83">
        <f>IF(計分!Y83="","",計分!Y83^2)</f>
        <v/>
      </c>
      <c r="Z83">
        <f>IF(計分!Z83="","",計分!Z83^2)</f>
        <v/>
      </c>
      <c r="AA83">
        <f>IF(計分!AA83="","",計分!AA83^2)</f>
        <v/>
      </c>
      <c r="AB83">
        <f>IF(計分!AB83="","",計分!AB83^2)</f>
        <v/>
      </c>
      <c r="AC83">
        <f>IF(計分!AC83="","",計分!AC83^2)</f>
        <v/>
      </c>
      <c r="AD83">
        <f>IF(計分!AD83="","",計分!AD83^2)</f>
        <v/>
      </c>
      <c r="AE83">
        <f>IF(計分!AE83="","",計分!AE83^2)</f>
        <v/>
      </c>
      <c r="AF83">
        <f>IF(計分!AF83="","",計分!AF83^2)</f>
        <v/>
      </c>
      <c r="AG83">
        <f>IF(計分!AG83="","",計分!AG83^2)</f>
        <v/>
      </c>
      <c r="AH83">
        <f>IF(計分!AH83="","",計分!AH83^2)</f>
        <v/>
      </c>
      <c r="AI83">
        <f>IF(計分!AI83="","",計分!AI83^2)</f>
        <v/>
      </c>
      <c r="AJ83">
        <f>IF(計分!AJ83="","",計分!AJ83^2)</f>
        <v/>
      </c>
      <c r="AK83">
        <f>IF(計分!AK83="","",計分!AK83^2)</f>
        <v/>
      </c>
      <c r="AL83">
        <f>IF(計分!AL83="","",計分!AL83^2)</f>
        <v/>
      </c>
      <c r="AM83">
        <f>IF(計分!AM83="","",計分!AM83^2)</f>
        <v/>
      </c>
      <c r="AN83">
        <f>IF(計分!AN83="","",計分!AN83^2)</f>
        <v/>
      </c>
      <c r="AO83">
        <f>IF(計分!AO83="","",計分!AO83^2)</f>
        <v/>
      </c>
    </row>
    <row r="84">
      <c r="B84">
        <f>IF(計分!B84="","",計分!B84^2)</f>
        <v/>
      </c>
      <c r="C84">
        <f>IF(計分!C84="","",計分!C84^2)</f>
        <v/>
      </c>
      <c r="D84">
        <f>IF(計分!D84="","",計分!D84^2)</f>
        <v/>
      </c>
      <c r="E84">
        <f>IF(計分!E84="","",計分!E84^2)</f>
        <v/>
      </c>
      <c r="F84">
        <f>IF(計分!F84="","",計分!F84^2)</f>
        <v/>
      </c>
      <c r="G84">
        <f>IF(計分!G84="","",計分!G84^2)</f>
        <v/>
      </c>
      <c r="H84">
        <f>IF(計分!H84="","",計分!H84^2)</f>
        <v/>
      </c>
      <c r="I84">
        <f>IF(計分!I84="","",計分!I84^2)</f>
        <v/>
      </c>
      <c r="J84">
        <f>IF(計分!J84="","",計分!J84^2)</f>
        <v/>
      </c>
      <c r="K84">
        <f>IF(計分!K84="","",計分!K84^2)</f>
        <v/>
      </c>
      <c r="L84">
        <f>IF(計分!L84="","",計分!L84^2)</f>
        <v/>
      </c>
      <c r="M84">
        <f>IF(計分!M84="","",計分!M84^2)</f>
        <v/>
      </c>
      <c r="N84">
        <f>IF(計分!N84="","",計分!N84^2)</f>
        <v/>
      </c>
      <c r="O84">
        <f>IF(計分!O84="","",計分!O84^2)</f>
        <v/>
      </c>
      <c r="P84">
        <f>IF(計分!P84="","",計分!P84^2)</f>
        <v/>
      </c>
      <c r="Q84">
        <f>IF(計分!Q84="","",計分!Q84^2)</f>
        <v/>
      </c>
      <c r="R84">
        <f>IF(計分!R84="","",計分!R84^2)</f>
        <v/>
      </c>
      <c r="S84">
        <f>IF(計分!S84="","",計分!S84^2)</f>
        <v/>
      </c>
      <c r="T84">
        <f>IF(計分!T84="","",計分!T84^2)</f>
        <v/>
      </c>
      <c r="U84">
        <f>IF(計分!U84="","",計分!U84^2)</f>
        <v/>
      </c>
      <c r="V84">
        <f>IF(計分!V84="","",計分!V84^2)</f>
        <v/>
      </c>
      <c r="W84">
        <f>IF(計分!W84="","",計分!W84^2)</f>
        <v/>
      </c>
      <c r="X84">
        <f>IF(計分!X84="","",計分!X84^2)</f>
        <v/>
      </c>
      <c r="Y84">
        <f>IF(計分!Y84="","",計分!Y84^2)</f>
        <v/>
      </c>
      <c r="Z84">
        <f>IF(計分!Z84="","",計分!Z84^2)</f>
        <v/>
      </c>
      <c r="AA84">
        <f>IF(計分!AA84="","",計分!AA84^2)</f>
        <v/>
      </c>
      <c r="AB84">
        <f>IF(計分!AB84="","",計分!AB84^2)</f>
        <v/>
      </c>
      <c r="AC84">
        <f>IF(計分!AC84="","",計分!AC84^2)</f>
        <v/>
      </c>
      <c r="AD84">
        <f>IF(計分!AD84="","",計分!AD84^2)</f>
        <v/>
      </c>
      <c r="AE84">
        <f>IF(計分!AE84="","",計分!AE84^2)</f>
        <v/>
      </c>
      <c r="AF84">
        <f>IF(計分!AF84="","",計分!AF84^2)</f>
        <v/>
      </c>
      <c r="AG84">
        <f>IF(計分!AG84="","",計分!AG84^2)</f>
        <v/>
      </c>
      <c r="AH84">
        <f>IF(計分!AH84="","",計分!AH84^2)</f>
        <v/>
      </c>
      <c r="AI84">
        <f>IF(計分!AI84="","",計分!AI84^2)</f>
        <v/>
      </c>
      <c r="AJ84">
        <f>IF(計分!AJ84="","",計分!AJ84^2)</f>
        <v/>
      </c>
      <c r="AK84">
        <f>IF(計分!AK84="","",計分!AK84^2)</f>
        <v/>
      </c>
      <c r="AL84">
        <f>IF(計分!AL84="","",計分!AL84^2)</f>
        <v/>
      </c>
      <c r="AM84">
        <f>IF(計分!AM84="","",計分!AM84^2)</f>
        <v/>
      </c>
      <c r="AN84">
        <f>IF(計分!AN84="","",計分!AN84^2)</f>
        <v/>
      </c>
      <c r="AO84">
        <f>IF(計分!AO84="","",計分!AO84^2)</f>
        <v/>
      </c>
    </row>
    <row r="85">
      <c r="B85">
        <f>IF(計分!B85="","",計分!B85^2)</f>
        <v/>
      </c>
      <c r="C85">
        <f>IF(計分!C85="","",計分!C85^2)</f>
        <v/>
      </c>
      <c r="D85">
        <f>IF(計分!D85="","",計分!D85^2)</f>
        <v/>
      </c>
      <c r="E85">
        <f>IF(計分!E85="","",計分!E85^2)</f>
        <v/>
      </c>
      <c r="F85">
        <f>IF(計分!F85="","",計分!F85^2)</f>
        <v/>
      </c>
      <c r="G85">
        <f>IF(計分!G85="","",計分!G85^2)</f>
        <v/>
      </c>
      <c r="H85">
        <f>IF(計分!H85="","",計分!H85^2)</f>
        <v/>
      </c>
      <c r="I85">
        <f>IF(計分!I85="","",計分!I85^2)</f>
        <v/>
      </c>
      <c r="J85">
        <f>IF(計分!J85="","",計分!J85^2)</f>
        <v/>
      </c>
      <c r="K85">
        <f>IF(計分!K85="","",計分!K85^2)</f>
        <v/>
      </c>
      <c r="L85">
        <f>IF(計分!L85="","",計分!L85^2)</f>
        <v/>
      </c>
      <c r="M85">
        <f>IF(計分!M85="","",計分!M85^2)</f>
        <v/>
      </c>
      <c r="N85">
        <f>IF(計分!N85="","",計分!N85^2)</f>
        <v/>
      </c>
      <c r="O85">
        <f>IF(計分!O85="","",計分!O85^2)</f>
        <v/>
      </c>
      <c r="P85">
        <f>IF(計分!P85="","",計分!P85^2)</f>
        <v/>
      </c>
      <c r="Q85">
        <f>IF(計分!Q85="","",計分!Q85^2)</f>
        <v/>
      </c>
      <c r="R85">
        <f>IF(計分!R85="","",計分!R85^2)</f>
        <v/>
      </c>
      <c r="S85">
        <f>IF(計分!S85="","",計分!S85^2)</f>
        <v/>
      </c>
      <c r="T85">
        <f>IF(計分!T85="","",計分!T85^2)</f>
        <v/>
      </c>
      <c r="U85">
        <f>IF(計分!U85="","",計分!U85^2)</f>
        <v/>
      </c>
      <c r="V85">
        <f>IF(計分!V85="","",計分!V85^2)</f>
        <v/>
      </c>
      <c r="W85">
        <f>IF(計分!W85="","",計分!W85^2)</f>
        <v/>
      </c>
      <c r="X85">
        <f>IF(計分!X85="","",計分!X85^2)</f>
        <v/>
      </c>
      <c r="Y85">
        <f>IF(計分!Y85="","",計分!Y85^2)</f>
        <v/>
      </c>
      <c r="Z85">
        <f>IF(計分!Z85="","",計分!Z85^2)</f>
        <v/>
      </c>
      <c r="AA85">
        <f>IF(計分!AA85="","",計分!AA85^2)</f>
        <v/>
      </c>
      <c r="AB85">
        <f>IF(計分!AB85="","",計分!AB85^2)</f>
        <v/>
      </c>
      <c r="AC85">
        <f>IF(計分!AC85="","",計分!AC85^2)</f>
        <v/>
      </c>
      <c r="AD85">
        <f>IF(計分!AD85="","",計分!AD85^2)</f>
        <v/>
      </c>
      <c r="AE85">
        <f>IF(計分!AE85="","",計分!AE85^2)</f>
        <v/>
      </c>
      <c r="AF85">
        <f>IF(計分!AF85="","",計分!AF85^2)</f>
        <v/>
      </c>
      <c r="AG85">
        <f>IF(計分!AG85="","",計分!AG85^2)</f>
        <v/>
      </c>
      <c r="AH85">
        <f>IF(計分!AH85="","",計分!AH85^2)</f>
        <v/>
      </c>
      <c r="AI85">
        <f>IF(計分!AI85="","",計分!AI85^2)</f>
        <v/>
      </c>
      <c r="AJ85">
        <f>IF(計分!AJ85="","",計分!AJ85^2)</f>
        <v/>
      </c>
      <c r="AK85">
        <f>IF(計分!AK85="","",計分!AK85^2)</f>
        <v/>
      </c>
      <c r="AL85">
        <f>IF(計分!AL85="","",計分!AL85^2)</f>
        <v/>
      </c>
      <c r="AM85">
        <f>IF(計分!AM85="","",計分!AM85^2)</f>
        <v/>
      </c>
      <c r="AN85">
        <f>IF(計分!AN85="","",計分!AN85^2)</f>
        <v/>
      </c>
      <c r="AO85">
        <f>IF(計分!AO85="","",計分!AO85^2)</f>
        <v/>
      </c>
    </row>
    <row r="86">
      <c r="B86">
        <f>IF(計分!B86="","",計分!B86^2)</f>
        <v/>
      </c>
      <c r="C86">
        <f>IF(計分!C86="","",計分!C86^2)</f>
        <v/>
      </c>
      <c r="D86">
        <f>IF(計分!D86="","",計分!D86^2)</f>
        <v/>
      </c>
      <c r="E86">
        <f>IF(計分!E86="","",計分!E86^2)</f>
        <v/>
      </c>
      <c r="F86">
        <f>IF(計分!F86="","",計分!F86^2)</f>
        <v/>
      </c>
      <c r="G86">
        <f>IF(計分!G86="","",計分!G86^2)</f>
        <v/>
      </c>
      <c r="H86">
        <f>IF(計分!H86="","",計分!H86^2)</f>
        <v/>
      </c>
      <c r="I86">
        <f>IF(計分!I86="","",計分!I86^2)</f>
        <v/>
      </c>
      <c r="J86">
        <f>IF(計分!J86="","",計分!J86^2)</f>
        <v/>
      </c>
      <c r="K86">
        <f>IF(計分!K86="","",計分!K86^2)</f>
        <v/>
      </c>
      <c r="L86">
        <f>IF(計分!L86="","",計分!L86^2)</f>
        <v/>
      </c>
      <c r="M86">
        <f>IF(計分!M86="","",計分!M86^2)</f>
        <v/>
      </c>
      <c r="N86">
        <f>IF(計分!N86="","",計分!N86^2)</f>
        <v/>
      </c>
      <c r="O86">
        <f>IF(計分!O86="","",計分!O86^2)</f>
        <v/>
      </c>
      <c r="P86">
        <f>IF(計分!P86="","",計分!P86^2)</f>
        <v/>
      </c>
      <c r="Q86">
        <f>IF(計分!Q86="","",計分!Q86^2)</f>
        <v/>
      </c>
      <c r="R86">
        <f>IF(計分!R86="","",計分!R86^2)</f>
        <v/>
      </c>
      <c r="S86">
        <f>IF(計分!S86="","",計分!S86^2)</f>
        <v/>
      </c>
      <c r="T86">
        <f>IF(計分!T86="","",計分!T86^2)</f>
        <v/>
      </c>
      <c r="U86">
        <f>IF(計分!U86="","",計分!U86^2)</f>
        <v/>
      </c>
      <c r="V86">
        <f>IF(計分!V86="","",計分!V86^2)</f>
        <v/>
      </c>
      <c r="W86">
        <f>IF(計分!W86="","",計分!W86^2)</f>
        <v/>
      </c>
      <c r="X86">
        <f>IF(計分!X86="","",計分!X86^2)</f>
        <v/>
      </c>
      <c r="Y86">
        <f>IF(計分!Y86="","",計分!Y86^2)</f>
        <v/>
      </c>
      <c r="Z86">
        <f>IF(計分!Z86="","",計分!Z86^2)</f>
        <v/>
      </c>
      <c r="AA86">
        <f>IF(計分!AA86="","",計分!AA86^2)</f>
        <v/>
      </c>
      <c r="AB86">
        <f>IF(計分!AB86="","",計分!AB86^2)</f>
        <v/>
      </c>
      <c r="AC86">
        <f>IF(計分!AC86="","",計分!AC86^2)</f>
        <v/>
      </c>
      <c r="AD86">
        <f>IF(計分!AD86="","",計分!AD86^2)</f>
        <v/>
      </c>
      <c r="AE86">
        <f>IF(計分!AE86="","",計分!AE86^2)</f>
        <v/>
      </c>
      <c r="AF86">
        <f>IF(計分!AF86="","",計分!AF86^2)</f>
        <v/>
      </c>
      <c r="AG86">
        <f>IF(計分!AG86="","",計分!AG86^2)</f>
        <v/>
      </c>
      <c r="AH86">
        <f>IF(計分!AH86="","",計分!AH86^2)</f>
        <v/>
      </c>
      <c r="AI86">
        <f>IF(計分!AI86="","",計分!AI86^2)</f>
        <v/>
      </c>
      <c r="AJ86">
        <f>IF(計分!AJ86="","",計分!AJ86^2)</f>
        <v/>
      </c>
      <c r="AK86">
        <f>IF(計分!AK86="","",計分!AK86^2)</f>
        <v/>
      </c>
      <c r="AL86">
        <f>IF(計分!AL86="","",計分!AL86^2)</f>
        <v/>
      </c>
      <c r="AM86">
        <f>IF(計分!AM86="","",計分!AM86^2)</f>
        <v/>
      </c>
      <c r="AN86">
        <f>IF(計分!AN86="","",計分!AN86^2)</f>
        <v/>
      </c>
      <c r="AO86">
        <f>IF(計分!AO86="","",計分!AO86^2)</f>
        <v/>
      </c>
    </row>
    <row r="87">
      <c r="B87">
        <f>IF(計分!B87="","",計分!B87^2)</f>
        <v/>
      </c>
      <c r="C87">
        <f>IF(計分!C87="","",計分!C87^2)</f>
        <v/>
      </c>
      <c r="D87">
        <f>IF(計分!D87="","",計分!D87^2)</f>
        <v/>
      </c>
      <c r="E87">
        <f>IF(計分!E87="","",計分!E87^2)</f>
        <v/>
      </c>
      <c r="F87">
        <f>IF(計分!F87="","",計分!F87^2)</f>
        <v/>
      </c>
      <c r="G87">
        <f>IF(計分!G87="","",計分!G87^2)</f>
        <v/>
      </c>
      <c r="H87">
        <f>IF(計分!H87="","",計分!H87^2)</f>
        <v/>
      </c>
      <c r="I87">
        <f>IF(計分!I87="","",計分!I87^2)</f>
        <v/>
      </c>
      <c r="J87">
        <f>IF(計分!J87="","",計分!J87^2)</f>
        <v/>
      </c>
      <c r="K87">
        <f>IF(計分!K87="","",計分!K87^2)</f>
        <v/>
      </c>
      <c r="L87">
        <f>IF(計分!L87="","",計分!L87^2)</f>
        <v/>
      </c>
      <c r="M87">
        <f>IF(計分!M87="","",計分!M87^2)</f>
        <v/>
      </c>
      <c r="N87">
        <f>IF(計分!N87="","",計分!N87^2)</f>
        <v/>
      </c>
      <c r="O87">
        <f>IF(計分!O87="","",計分!O87^2)</f>
        <v/>
      </c>
      <c r="P87">
        <f>IF(計分!P87="","",計分!P87^2)</f>
        <v/>
      </c>
      <c r="Q87">
        <f>IF(計分!Q87="","",計分!Q87^2)</f>
        <v/>
      </c>
      <c r="R87">
        <f>IF(計分!R87="","",計分!R87^2)</f>
        <v/>
      </c>
      <c r="S87">
        <f>IF(計分!S87="","",計分!S87^2)</f>
        <v/>
      </c>
      <c r="T87">
        <f>IF(計分!T87="","",計分!T87^2)</f>
        <v/>
      </c>
      <c r="U87">
        <f>IF(計分!U87="","",計分!U87^2)</f>
        <v/>
      </c>
      <c r="V87">
        <f>IF(計分!V87="","",計分!V87^2)</f>
        <v/>
      </c>
      <c r="W87">
        <f>IF(計分!W87="","",計分!W87^2)</f>
        <v/>
      </c>
      <c r="X87">
        <f>IF(計分!X87="","",計分!X87^2)</f>
        <v/>
      </c>
      <c r="Y87">
        <f>IF(計分!Y87="","",計分!Y87^2)</f>
        <v/>
      </c>
      <c r="Z87">
        <f>IF(計分!Z87="","",計分!Z87^2)</f>
        <v/>
      </c>
      <c r="AA87">
        <f>IF(計分!AA87="","",計分!AA87^2)</f>
        <v/>
      </c>
      <c r="AB87">
        <f>IF(計分!AB87="","",計分!AB87^2)</f>
        <v/>
      </c>
      <c r="AC87">
        <f>IF(計分!AC87="","",計分!AC87^2)</f>
        <v/>
      </c>
      <c r="AD87">
        <f>IF(計分!AD87="","",計分!AD87^2)</f>
        <v/>
      </c>
      <c r="AE87">
        <f>IF(計分!AE87="","",計分!AE87^2)</f>
        <v/>
      </c>
      <c r="AF87">
        <f>IF(計分!AF87="","",計分!AF87^2)</f>
        <v/>
      </c>
      <c r="AG87">
        <f>IF(計分!AG87="","",計分!AG87^2)</f>
        <v/>
      </c>
      <c r="AH87">
        <f>IF(計分!AH87="","",計分!AH87^2)</f>
        <v/>
      </c>
      <c r="AI87">
        <f>IF(計分!AI87="","",計分!AI87^2)</f>
        <v/>
      </c>
      <c r="AJ87">
        <f>IF(計分!AJ87="","",計分!AJ87^2)</f>
        <v/>
      </c>
      <c r="AK87">
        <f>IF(計分!AK87="","",計分!AK87^2)</f>
        <v/>
      </c>
      <c r="AL87">
        <f>IF(計分!AL87="","",計分!AL87^2)</f>
        <v/>
      </c>
      <c r="AM87">
        <f>IF(計分!AM87="","",計分!AM87^2)</f>
        <v/>
      </c>
      <c r="AN87">
        <f>IF(計分!AN87="","",計分!AN87^2)</f>
        <v/>
      </c>
      <c r="AO87">
        <f>IF(計分!AO87="","",計分!AO87^2)</f>
        <v/>
      </c>
    </row>
    <row r="88">
      <c r="B88">
        <f>IF(計分!B88="","",計分!B88^2)</f>
        <v/>
      </c>
      <c r="C88">
        <f>IF(計分!C88="","",計分!C88^2)</f>
        <v/>
      </c>
      <c r="D88">
        <f>IF(計分!D88="","",計分!D88^2)</f>
        <v/>
      </c>
      <c r="E88">
        <f>IF(計分!E88="","",計分!E88^2)</f>
        <v/>
      </c>
      <c r="F88">
        <f>IF(計分!F88="","",計分!F88^2)</f>
        <v/>
      </c>
      <c r="G88">
        <f>IF(計分!G88="","",計分!G88^2)</f>
        <v/>
      </c>
      <c r="H88">
        <f>IF(計分!H88="","",計分!H88^2)</f>
        <v/>
      </c>
      <c r="I88">
        <f>IF(計分!I88="","",計分!I88^2)</f>
        <v/>
      </c>
      <c r="J88">
        <f>IF(計分!J88="","",計分!J88^2)</f>
        <v/>
      </c>
      <c r="K88">
        <f>IF(計分!K88="","",計分!K88^2)</f>
        <v/>
      </c>
      <c r="L88">
        <f>IF(計分!L88="","",計分!L88^2)</f>
        <v/>
      </c>
      <c r="M88">
        <f>IF(計分!M88="","",計分!M88^2)</f>
        <v/>
      </c>
      <c r="N88">
        <f>IF(計分!N88="","",計分!N88^2)</f>
        <v/>
      </c>
      <c r="O88">
        <f>IF(計分!O88="","",計分!O88^2)</f>
        <v/>
      </c>
      <c r="P88">
        <f>IF(計分!P88="","",計分!P88^2)</f>
        <v/>
      </c>
      <c r="Q88">
        <f>IF(計分!Q88="","",計分!Q88^2)</f>
        <v/>
      </c>
      <c r="R88">
        <f>IF(計分!R88="","",計分!R88^2)</f>
        <v/>
      </c>
      <c r="S88">
        <f>IF(計分!S88="","",計分!S88^2)</f>
        <v/>
      </c>
      <c r="T88">
        <f>IF(計分!T88="","",計分!T88^2)</f>
        <v/>
      </c>
      <c r="U88">
        <f>IF(計分!U88="","",計分!U88^2)</f>
        <v/>
      </c>
      <c r="V88">
        <f>IF(計分!V88="","",計分!V88^2)</f>
        <v/>
      </c>
      <c r="W88">
        <f>IF(計分!W88="","",計分!W88^2)</f>
        <v/>
      </c>
      <c r="X88">
        <f>IF(計分!X88="","",計分!X88^2)</f>
        <v/>
      </c>
      <c r="Y88">
        <f>IF(計分!Y88="","",計分!Y88^2)</f>
        <v/>
      </c>
      <c r="Z88">
        <f>IF(計分!Z88="","",計分!Z88^2)</f>
        <v/>
      </c>
      <c r="AA88">
        <f>IF(計分!AA88="","",計分!AA88^2)</f>
        <v/>
      </c>
      <c r="AB88">
        <f>IF(計分!AB88="","",計分!AB88^2)</f>
        <v/>
      </c>
      <c r="AC88">
        <f>IF(計分!AC88="","",計分!AC88^2)</f>
        <v/>
      </c>
      <c r="AD88">
        <f>IF(計分!AD88="","",計分!AD88^2)</f>
        <v/>
      </c>
      <c r="AE88">
        <f>IF(計分!AE88="","",計分!AE88^2)</f>
        <v/>
      </c>
      <c r="AF88">
        <f>IF(計分!AF88="","",計分!AF88^2)</f>
        <v/>
      </c>
      <c r="AG88">
        <f>IF(計分!AG88="","",計分!AG88^2)</f>
        <v/>
      </c>
      <c r="AH88">
        <f>IF(計分!AH88="","",計分!AH88^2)</f>
        <v/>
      </c>
      <c r="AI88">
        <f>IF(計分!AI88="","",計分!AI88^2)</f>
        <v/>
      </c>
      <c r="AJ88">
        <f>IF(計分!AJ88="","",計分!AJ88^2)</f>
        <v/>
      </c>
      <c r="AK88">
        <f>IF(計分!AK88="","",計分!AK88^2)</f>
        <v/>
      </c>
      <c r="AL88">
        <f>IF(計分!AL88="","",計分!AL88^2)</f>
        <v/>
      </c>
      <c r="AM88">
        <f>IF(計分!AM88="","",計分!AM88^2)</f>
        <v/>
      </c>
      <c r="AN88">
        <f>IF(計分!AN88="","",計分!AN88^2)</f>
        <v/>
      </c>
      <c r="AO88">
        <f>IF(計分!AO88="","",計分!AO88^2)</f>
        <v/>
      </c>
    </row>
    <row r="89">
      <c r="B89">
        <f>IF(計分!B89="","",計分!B89^2)</f>
        <v/>
      </c>
      <c r="C89">
        <f>IF(計分!C89="","",計分!C89^2)</f>
        <v/>
      </c>
      <c r="D89">
        <f>IF(計分!D89="","",計分!D89^2)</f>
        <v/>
      </c>
      <c r="E89">
        <f>IF(計分!E89="","",計分!E89^2)</f>
        <v/>
      </c>
      <c r="F89">
        <f>IF(計分!F89="","",計分!F89^2)</f>
        <v/>
      </c>
      <c r="G89">
        <f>IF(計分!G89="","",計分!G89^2)</f>
        <v/>
      </c>
      <c r="H89">
        <f>IF(計分!H89="","",計分!H89^2)</f>
        <v/>
      </c>
      <c r="I89">
        <f>IF(計分!I89="","",計分!I89^2)</f>
        <v/>
      </c>
      <c r="J89">
        <f>IF(計分!J89="","",計分!J89^2)</f>
        <v/>
      </c>
      <c r="K89">
        <f>IF(計分!K89="","",計分!K89^2)</f>
        <v/>
      </c>
      <c r="L89">
        <f>IF(計分!L89="","",計分!L89^2)</f>
        <v/>
      </c>
      <c r="M89">
        <f>IF(計分!M89="","",計分!M89^2)</f>
        <v/>
      </c>
      <c r="N89">
        <f>IF(計分!N89="","",計分!N89^2)</f>
        <v/>
      </c>
      <c r="O89">
        <f>IF(計分!O89="","",計分!O89^2)</f>
        <v/>
      </c>
      <c r="P89">
        <f>IF(計分!P89="","",計分!P89^2)</f>
        <v/>
      </c>
      <c r="Q89">
        <f>IF(計分!Q89="","",計分!Q89^2)</f>
        <v/>
      </c>
      <c r="R89">
        <f>IF(計分!R89="","",計分!R89^2)</f>
        <v/>
      </c>
      <c r="S89">
        <f>IF(計分!S89="","",計分!S89^2)</f>
        <v/>
      </c>
      <c r="T89">
        <f>IF(計分!T89="","",計分!T89^2)</f>
        <v/>
      </c>
      <c r="U89">
        <f>IF(計分!U89="","",計分!U89^2)</f>
        <v/>
      </c>
      <c r="V89">
        <f>IF(計分!V89="","",計分!V89^2)</f>
        <v/>
      </c>
      <c r="W89">
        <f>IF(計分!W89="","",計分!W89^2)</f>
        <v/>
      </c>
      <c r="X89">
        <f>IF(計分!X89="","",計分!X89^2)</f>
        <v/>
      </c>
      <c r="Y89">
        <f>IF(計分!Y89="","",計分!Y89^2)</f>
        <v/>
      </c>
      <c r="Z89">
        <f>IF(計分!Z89="","",計分!Z89^2)</f>
        <v/>
      </c>
      <c r="AA89">
        <f>IF(計分!AA89="","",計分!AA89^2)</f>
        <v/>
      </c>
      <c r="AB89">
        <f>IF(計分!AB89="","",計分!AB89^2)</f>
        <v/>
      </c>
      <c r="AC89">
        <f>IF(計分!AC89="","",計分!AC89^2)</f>
        <v/>
      </c>
      <c r="AD89">
        <f>IF(計分!AD89="","",計分!AD89^2)</f>
        <v/>
      </c>
      <c r="AE89">
        <f>IF(計分!AE89="","",計分!AE89^2)</f>
        <v/>
      </c>
      <c r="AF89">
        <f>IF(計分!AF89="","",計分!AF89^2)</f>
        <v/>
      </c>
      <c r="AG89">
        <f>IF(計分!AG89="","",計分!AG89^2)</f>
        <v/>
      </c>
      <c r="AH89">
        <f>IF(計分!AH89="","",計分!AH89^2)</f>
        <v/>
      </c>
      <c r="AI89">
        <f>IF(計分!AI89="","",計分!AI89^2)</f>
        <v/>
      </c>
      <c r="AJ89">
        <f>IF(計分!AJ89="","",計分!AJ89^2)</f>
        <v/>
      </c>
      <c r="AK89">
        <f>IF(計分!AK89="","",計分!AK89^2)</f>
        <v/>
      </c>
      <c r="AL89">
        <f>IF(計分!AL89="","",計分!AL89^2)</f>
        <v/>
      </c>
      <c r="AM89">
        <f>IF(計分!AM89="","",計分!AM89^2)</f>
        <v/>
      </c>
      <c r="AN89">
        <f>IF(計分!AN89="","",計分!AN89^2)</f>
        <v/>
      </c>
      <c r="AO89">
        <f>IF(計分!AO89="","",計分!AO89^2)</f>
        <v/>
      </c>
    </row>
    <row r="90">
      <c r="B90">
        <f>IF(計分!B90="","",計分!B90^2)</f>
        <v/>
      </c>
      <c r="C90">
        <f>IF(計分!C90="","",計分!C90^2)</f>
        <v/>
      </c>
      <c r="D90">
        <f>IF(計分!D90="","",計分!D90^2)</f>
        <v/>
      </c>
      <c r="E90">
        <f>IF(計分!E90="","",計分!E90^2)</f>
        <v/>
      </c>
      <c r="F90">
        <f>IF(計分!F90="","",計分!F90^2)</f>
        <v/>
      </c>
      <c r="G90">
        <f>IF(計分!G90="","",計分!G90^2)</f>
        <v/>
      </c>
      <c r="H90">
        <f>IF(計分!H90="","",計分!H90^2)</f>
        <v/>
      </c>
      <c r="I90">
        <f>IF(計分!I90="","",計分!I90^2)</f>
        <v/>
      </c>
      <c r="J90">
        <f>IF(計分!J90="","",計分!J90^2)</f>
        <v/>
      </c>
      <c r="K90">
        <f>IF(計分!K90="","",計分!K90^2)</f>
        <v/>
      </c>
      <c r="L90">
        <f>IF(計分!L90="","",計分!L90^2)</f>
        <v/>
      </c>
      <c r="M90">
        <f>IF(計分!M90="","",計分!M90^2)</f>
        <v/>
      </c>
      <c r="N90">
        <f>IF(計分!N90="","",計分!N90^2)</f>
        <v/>
      </c>
      <c r="O90">
        <f>IF(計分!O90="","",計分!O90^2)</f>
        <v/>
      </c>
      <c r="P90">
        <f>IF(計分!P90="","",計分!P90^2)</f>
        <v/>
      </c>
      <c r="Q90">
        <f>IF(計分!Q90="","",計分!Q90^2)</f>
        <v/>
      </c>
      <c r="R90">
        <f>IF(計分!R90="","",計分!R90^2)</f>
        <v/>
      </c>
      <c r="S90">
        <f>IF(計分!S90="","",計分!S90^2)</f>
        <v/>
      </c>
      <c r="T90">
        <f>IF(計分!T90="","",計分!T90^2)</f>
        <v/>
      </c>
      <c r="U90">
        <f>IF(計分!U90="","",計分!U90^2)</f>
        <v/>
      </c>
      <c r="V90">
        <f>IF(計分!V90="","",計分!V90^2)</f>
        <v/>
      </c>
      <c r="W90">
        <f>IF(計分!W90="","",計分!W90^2)</f>
        <v/>
      </c>
      <c r="X90">
        <f>IF(計分!X90="","",計分!X90^2)</f>
        <v/>
      </c>
      <c r="Y90">
        <f>IF(計分!Y90="","",計分!Y90^2)</f>
        <v/>
      </c>
      <c r="Z90">
        <f>IF(計分!Z90="","",計分!Z90^2)</f>
        <v/>
      </c>
      <c r="AA90">
        <f>IF(計分!AA90="","",計分!AA90^2)</f>
        <v/>
      </c>
      <c r="AB90">
        <f>IF(計分!AB90="","",計分!AB90^2)</f>
        <v/>
      </c>
      <c r="AC90">
        <f>IF(計分!AC90="","",計分!AC90^2)</f>
        <v/>
      </c>
      <c r="AD90">
        <f>IF(計分!AD90="","",計分!AD90^2)</f>
        <v/>
      </c>
      <c r="AE90">
        <f>IF(計分!AE90="","",計分!AE90^2)</f>
        <v/>
      </c>
      <c r="AF90">
        <f>IF(計分!AF90="","",計分!AF90^2)</f>
        <v/>
      </c>
      <c r="AG90">
        <f>IF(計分!AG90="","",計分!AG90^2)</f>
        <v/>
      </c>
      <c r="AH90">
        <f>IF(計分!AH90="","",計分!AH90^2)</f>
        <v/>
      </c>
      <c r="AI90">
        <f>IF(計分!AI90="","",計分!AI90^2)</f>
        <v/>
      </c>
      <c r="AJ90">
        <f>IF(計分!AJ90="","",計分!AJ90^2)</f>
        <v/>
      </c>
      <c r="AK90">
        <f>IF(計分!AK90="","",計分!AK90^2)</f>
        <v/>
      </c>
      <c r="AL90">
        <f>IF(計分!AL90="","",計分!AL90^2)</f>
        <v/>
      </c>
      <c r="AM90">
        <f>IF(計分!AM90="","",計分!AM90^2)</f>
        <v/>
      </c>
      <c r="AN90">
        <f>IF(計分!AN90="","",計分!AN90^2)</f>
        <v/>
      </c>
      <c r="AO90">
        <f>IF(計分!AO90="","",計分!AO90^2)</f>
        <v/>
      </c>
    </row>
    <row r="91">
      <c r="B91">
        <f>IF(計分!B91="","",計分!B91^2)</f>
        <v/>
      </c>
      <c r="C91">
        <f>IF(計分!C91="","",計分!C91^2)</f>
        <v/>
      </c>
      <c r="D91">
        <f>IF(計分!D91="","",計分!D91^2)</f>
        <v/>
      </c>
      <c r="E91">
        <f>IF(計分!E91="","",計分!E91^2)</f>
        <v/>
      </c>
      <c r="F91">
        <f>IF(計分!F91="","",計分!F91^2)</f>
        <v/>
      </c>
      <c r="G91">
        <f>IF(計分!G91="","",計分!G91^2)</f>
        <v/>
      </c>
      <c r="H91">
        <f>IF(計分!H91="","",計分!H91^2)</f>
        <v/>
      </c>
      <c r="I91">
        <f>IF(計分!I91="","",計分!I91^2)</f>
        <v/>
      </c>
      <c r="J91">
        <f>IF(計分!J91="","",計分!J91^2)</f>
        <v/>
      </c>
      <c r="K91">
        <f>IF(計分!K91="","",計分!K91^2)</f>
        <v/>
      </c>
      <c r="L91">
        <f>IF(計分!L91="","",計分!L91^2)</f>
        <v/>
      </c>
      <c r="M91">
        <f>IF(計分!M91="","",計分!M91^2)</f>
        <v/>
      </c>
      <c r="N91">
        <f>IF(計分!N91="","",計分!N91^2)</f>
        <v/>
      </c>
      <c r="O91">
        <f>IF(計分!O91="","",計分!O91^2)</f>
        <v/>
      </c>
      <c r="P91">
        <f>IF(計分!P91="","",計分!P91^2)</f>
        <v/>
      </c>
      <c r="Q91">
        <f>IF(計分!Q91="","",計分!Q91^2)</f>
        <v/>
      </c>
      <c r="R91">
        <f>IF(計分!R91="","",計分!R91^2)</f>
        <v/>
      </c>
      <c r="S91">
        <f>IF(計分!S91="","",計分!S91^2)</f>
        <v/>
      </c>
      <c r="T91">
        <f>IF(計分!T91="","",計分!T91^2)</f>
        <v/>
      </c>
      <c r="U91">
        <f>IF(計分!U91="","",計分!U91^2)</f>
        <v/>
      </c>
      <c r="V91">
        <f>IF(計分!V91="","",計分!V91^2)</f>
        <v/>
      </c>
      <c r="W91">
        <f>IF(計分!W91="","",計分!W91^2)</f>
        <v/>
      </c>
      <c r="X91">
        <f>IF(計分!X91="","",計分!X91^2)</f>
        <v/>
      </c>
      <c r="Y91">
        <f>IF(計分!Y91="","",計分!Y91^2)</f>
        <v/>
      </c>
      <c r="Z91">
        <f>IF(計分!Z91="","",計分!Z91^2)</f>
        <v/>
      </c>
      <c r="AA91">
        <f>IF(計分!AA91="","",計分!AA91^2)</f>
        <v/>
      </c>
      <c r="AB91">
        <f>IF(計分!AB91="","",計分!AB91^2)</f>
        <v/>
      </c>
      <c r="AC91">
        <f>IF(計分!AC91="","",計分!AC91^2)</f>
        <v/>
      </c>
      <c r="AD91">
        <f>IF(計分!AD91="","",計分!AD91^2)</f>
        <v/>
      </c>
      <c r="AE91">
        <f>IF(計分!AE91="","",計分!AE91^2)</f>
        <v/>
      </c>
      <c r="AF91">
        <f>IF(計分!AF91="","",計分!AF91^2)</f>
        <v/>
      </c>
      <c r="AG91">
        <f>IF(計分!AG91="","",計分!AG91^2)</f>
        <v/>
      </c>
      <c r="AH91">
        <f>IF(計分!AH91="","",計分!AH91^2)</f>
        <v/>
      </c>
      <c r="AI91">
        <f>IF(計分!AI91="","",計分!AI91^2)</f>
        <v/>
      </c>
      <c r="AJ91">
        <f>IF(計分!AJ91="","",計分!AJ91^2)</f>
        <v/>
      </c>
      <c r="AK91">
        <f>IF(計分!AK91="","",計分!AK91^2)</f>
        <v/>
      </c>
      <c r="AL91">
        <f>IF(計分!AL91="","",計分!AL91^2)</f>
        <v/>
      </c>
      <c r="AM91">
        <f>IF(計分!AM91="","",計分!AM91^2)</f>
        <v/>
      </c>
      <c r="AN91">
        <f>IF(計分!AN91="","",計分!AN91^2)</f>
        <v/>
      </c>
      <c r="AO91">
        <f>IF(計分!AO91="","",計分!AO91^2)</f>
        <v/>
      </c>
    </row>
    <row r="92">
      <c r="B92">
        <f>IF(計分!B92="","",計分!B92^2)</f>
        <v/>
      </c>
      <c r="C92">
        <f>IF(計分!C92="","",計分!C92^2)</f>
        <v/>
      </c>
      <c r="D92">
        <f>IF(計分!D92="","",計分!D92^2)</f>
        <v/>
      </c>
      <c r="E92">
        <f>IF(計分!E92="","",計分!E92^2)</f>
        <v/>
      </c>
      <c r="F92">
        <f>IF(計分!F92="","",計分!F92^2)</f>
        <v/>
      </c>
      <c r="G92">
        <f>IF(計分!G92="","",計分!G92^2)</f>
        <v/>
      </c>
      <c r="H92">
        <f>IF(計分!H92="","",計分!H92^2)</f>
        <v/>
      </c>
      <c r="I92">
        <f>IF(計分!I92="","",計分!I92^2)</f>
        <v/>
      </c>
      <c r="J92">
        <f>IF(計分!J92="","",計分!J92^2)</f>
        <v/>
      </c>
      <c r="K92">
        <f>IF(計分!K92="","",計分!K92^2)</f>
        <v/>
      </c>
      <c r="L92">
        <f>IF(計分!L92="","",計分!L92^2)</f>
        <v/>
      </c>
      <c r="M92">
        <f>IF(計分!M92="","",計分!M92^2)</f>
        <v/>
      </c>
      <c r="N92">
        <f>IF(計分!N92="","",計分!N92^2)</f>
        <v/>
      </c>
      <c r="O92">
        <f>IF(計分!O92="","",計分!O92^2)</f>
        <v/>
      </c>
      <c r="P92">
        <f>IF(計分!P92="","",計分!P92^2)</f>
        <v/>
      </c>
      <c r="Q92">
        <f>IF(計分!Q92="","",計分!Q92^2)</f>
        <v/>
      </c>
      <c r="R92">
        <f>IF(計分!R92="","",計分!R92^2)</f>
        <v/>
      </c>
      <c r="S92">
        <f>IF(計分!S92="","",計分!S92^2)</f>
        <v/>
      </c>
      <c r="T92">
        <f>IF(計分!T92="","",計分!T92^2)</f>
        <v/>
      </c>
      <c r="U92">
        <f>IF(計分!U92="","",計分!U92^2)</f>
        <v/>
      </c>
      <c r="V92">
        <f>IF(計分!V92="","",計分!V92^2)</f>
        <v/>
      </c>
      <c r="W92">
        <f>IF(計分!W92="","",計分!W92^2)</f>
        <v/>
      </c>
      <c r="X92">
        <f>IF(計分!X92="","",計分!X92^2)</f>
        <v/>
      </c>
      <c r="Y92">
        <f>IF(計分!Y92="","",計分!Y92^2)</f>
        <v/>
      </c>
      <c r="Z92">
        <f>IF(計分!Z92="","",計分!Z92^2)</f>
        <v/>
      </c>
      <c r="AA92">
        <f>IF(計分!AA92="","",計分!AA92^2)</f>
        <v/>
      </c>
      <c r="AB92">
        <f>IF(計分!AB92="","",計分!AB92^2)</f>
        <v/>
      </c>
      <c r="AC92">
        <f>IF(計分!AC92="","",計分!AC92^2)</f>
        <v/>
      </c>
      <c r="AD92">
        <f>IF(計分!AD92="","",計分!AD92^2)</f>
        <v/>
      </c>
      <c r="AE92">
        <f>IF(計分!AE92="","",計分!AE92^2)</f>
        <v/>
      </c>
      <c r="AF92">
        <f>IF(計分!AF92="","",計分!AF92^2)</f>
        <v/>
      </c>
      <c r="AG92">
        <f>IF(計分!AG92="","",計分!AG92^2)</f>
        <v/>
      </c>
      <c r="AH92">
        <f>IF(計分!AH92="","",計分!AH92^2)</f>
        <v/>
      </c>
      <c r="AI92">
        <f>IF(計分!AI92="","",計分!AI92^2)</f>
        <v/>
      </c>
      <c r="AJ92">
        <f>IF(計分!AJ92="","",計分!AJ92^2)</f>
        <v/>
      </c>
      <c r="AK92">
        <f>IF(計分!AK92="","",計分!AK92^2)</f>
        <v/>
      </c>
      <c r="AL92">
        <f>IF(計分!AL92="","",計分!AL92^2)</f>
        <v/>
      </c>
      <c r="AM92">
        <f>IF(計分!AM92="","",計分!AM92^2)</f>
        <v/>
      </c>
      <c r="AN92">
        <f>IF(計分!AN92="","",計分!AN92^2)</f>
        <v/>
      </c>
      <c r="AO92">
        <f>IF(計分!AO92="","",計分!AO92^2)</f>
        <v/>
      </c>
    </row>
    <row r="93">
      <c r="B93">
        <f>IF(計分!B93="","",計分!B93^2)</f>
        <v/>
      </c>
      <c r="C93">
        <f>IF(計分!C93="","",計分!C93^2)</f>
        <v/>
      </c>
      <c r="D93">
        <f>IF(計分!D93="","",計分!D93^2)</f>
        <v/>
      </c>
      <c r="E93">
        <f>IF(計分!E93="","",計分!E93^2)</f>
        <v/>
      </c>
      <c r="F93">
        <f>IF(計分!F93="","",計分!F93^2)</f>
        <v/>
      </c>
      <c r="G93">
        <f>IF(計分!G93="","",計分!G93^2)</f>
        <v/>
      </c>
      <c r="H93">
        <f>IF(計分!H93="","",計分!H93^2)</f>
        <v/>
      </c>
      <c r="I93">
        <f>IF(計分!I93="","",計分!I93^2)</f>
        <v/>
      </c>
      <c r="J93">
        <f>IF(計分!J93="","",計分!J93^2)</f>
        <v/>
      </c>
      <c r="K93">
        <f>IF(計分!K93="","",計分!K93^2)</f>
        <v/>
      </c>
      <c r="L93">
        <f>IF(計分!L93="","",計分!L93^2)</f>
        <v/>
      </c>
      <c r="M93">
        <f>IF(計分!M93="","",計分!M93^2)</f>
        <v/>
      </c>
      <c r="N93">
        <f>IF(計分!N93="","",計分!N93^2)</f>
        <v/>
      </c>
      <c r="O93">
        <f>IF(計分!O93="","",計分!O93^2)</f>
        <v/>
      </c>
      <c r="P93">
        <f>IF(計分!P93="","",計分!P93^2)</f>
        <v/>
      </c>
      <c r="Q93">
        <f>IF(計分!Q93="","",計分!Q93^2)</f>
        <v/>
      </c>
      <c r="R93">
        <f>IF(計分!R93="","",計分!R93^2)</f>
        <v/>
      </c>
      <c r="S93">
        <f>IF(計分!S93="","",計分!S93^2)</f>
        <v/>
      </c>
      <c r="T93">
        <f>IF(計分!T93="","",計分!T93^2)</f>
        <v/>
      </c>
      <c r="U93">
        <f>IF(計分!U93="","",計分!U93^2)</f>
        <v/>
      </c>
      <c r="V93">
        <f>IF(計分!V93="","",計分!V93^2)</f>
        <v/>
      </c>
      <c r="W93">
        <f>IF(計分!W93="","",計分!W93^2)</f>
        <v/>
      </c>
      <c r="X93">
        <f>IF(計分!X93="","",計分!X93^2)</f>
        <v/>
      </c>
      <c r="Y93">
        <f>IF(計分!Y93="","",計分!Y93^2)</f>
        <v/>
      </c>
      <c r="Z93">
        <f>IF(計分!Z93="","",計分!Z93^2)</f>
        <v/>
      </c>
      <c r="AA93">
        <f>IF(計分!AA93="","",計分!AA93^2)</f>
        <v/>
      </c>
      <c r="AB93">
        <f>IF(計分!AB93="","",計分!AB93^2)</f>
        <v/>
      </c>
      <c r="AC93">
        <f>IF(計分!AC93="","",計分!AC93^2)</f>
        <v/>
      </c>
      <c r="AD93">
        <f>IF(計分!AD93="","",計分!AD93^2)</f>
        <v/>
      </c>
      <c r="AE93">
        <f>IF(計分!AE93="","",計分!AE93^2)</f>
        <v/>
      </c>
      <c r="AF93">
        <f>IF(計分!AF93="","",計分!AF93^2)</f>
        <v/>
      </c>
      <c r="AG93">
        <f>IF(計分!AG93="","",計分!AG93^2)</f>
        <v/>
      </c>
      <c r="AH93">
        <f>IF(計分!AH93="","",計分!AH93^2)</f>
        <v/>
      </c>
      <c r="AI93">
        <f>IF(計分!AI93="","",計分!AI93^2)</f>
        <v/>
      </c>
      <c r="AJ93">
        <f>IF(計分!AJ93="","",計分!AJ93^2)</f>
        <v/>
      </c>
      <c r="AK93">
        <f>IF(計分!AK93="","",計分!AK93^2)</f>
        <v/>
      </c>
      <c r="AL93">
        <f>IF(計分!AL93="","",計分!AL93^2)</f>
        <v/>
      </c>
      <c r="AM93">
        <f>IF(計分!AM93="","",計分!AM93^2)</f>
        <v/>
      </c>
      <c r="AN93">
        <f>IF(計分!AN93="","",計分!AN93^2)</f>
        <v/>
      </c>
      <c r="AO93">
        <f>IF(計分!AO93="","",計分!AO93^2)</f>
        <v/>
      </c>
    </row>
    <row r="94">
      <c r="B94">
        <f>IF(計分!B94="","",計分!B94^2)</f>
        <v/>
      </c>
      <c r="C94">
        <f>IF(計分!C94="","",計分!C94^2)</f>
        <v/>
      </c>
      <c r="D94">
        <f>IF(計分!D94="","",計分!D94^2)</f>
        <v/>
      </c>
      <c r="E94">
        <f>IF(計分!E94="","",計分!E94^2)</f>
        <v/>
      </c>
      <c r="F94">
        <f>IF(計分!F94="","",計分!F94^2)</f>
        <v/>
      </c>
      <c r="G94">
        <f>IF(計分!G94="","",計分!G94^2)</f>
        <v/>
      </c>
      <c r="H94">
        <f>IF(計分!H94="","",計分!H94^2)</f>
        <v/>
      </c>
      <c r="I94">
        <f>IF(計分!I94="","",計分!I94^2)</f>
        <v/>
      </c>
      <c r="J94">
        <f>IF(計分!J94="","",計分!J94^2)</f>
        <v/>
      </c>
      <c r="K94">
        <f>IF(計分!K94="","",計分!K94^2)</f>
        <v/>
      </c>
      <c r="L94">
        <f>IF(計分!L94="","",計分!L94^2)</f>
        <v/>
      </c>
      <c r="M94">
        <f>IF(計分!M94="","",計分!M94^2)</f>
        <v/>
      </c>
      <c r="N94">
        <f>IF(計分!N94="","",計分!N94^2)</f>
        <v/>
      </c>
      <c r="O94">
        <f>IF(計分!O94="","",計分!O94^2)</f>
        <v/>
      </c>
      <c r="P94">
        <f>IF(計分!P94="","",計分!P94^2)</f>
        <v/>
      </c>
      <c r="Q94">
        <f>IF(計分!Q94="","",計分!Q94^2)</f>
        <v/>
      </c>
      <c r="R94">
        <f>IF(計分!R94="","",計分!R94^2)</f>
        <v/>
      </c>
      <c r="S94">
        <f>IF(計分!S94="","",計分!S94^2)</f>
        <v/>
      </c>
      <c r="T94">
        <f>IF(計分!T94="","",計分!T94^2)</f>
        <v/>
      </c>
      <c r="U94">
        <f>IF(計分!U94="","",計分!U94^2)</f>
        <v/>
      </c>
      <c r="V94">
        <f>IF(計分!V94="","",計分!V94^2)</f>
        <v/>
      </c>
      <c r="W94">
        <f>IF(計分!W94="","",計分!W94^2)</f>
        <v/>
      </c>
      <c r="X94">
        <f>IF(計分!X94="","",計分!X94^2)</f>
        <v/>
      </c>
      <c r="Y94">
        <f>IF(計分!Y94="","",計分!Y94^2)</f>
        <v/>
      </c>
      <c r="Z94">
        <f>IF(計分!Z94="","",計分!Z94^2)</f>
        <v/>
      </c>
      <c r="AA94">
        <f>IF(計分!AA94="","",計分!AA94^2)</f>
        <v/>
      </c>
      <c r="AB94">
        <f>IF(計分!AB94="","",計分!AB94^2)</f>
        <v/>
      </c>
      <c r="AC94">
        <f>IF(計分!AC94="","",計分!AC94^2)</f>
        <v/>
      </c>
      <c r="AD94">
        <f>IF(計分!AD94="","",計分!AD94^2)</f>
        <v/>
      </c>
      <c r="AE94">
        <f>IF(計分!AE94="","",計分!AE94^2)</f>
        <v/>
      </c>
      <c r="AF94">
        <f>IF(計分!AF94="","",計分!AF94^2)</f>
        <v/>
      </c>
      <c r="AG94">
        <f>IF(計分!AG94="","",計分!AG94^2)</f>
        <v/>
      </c>
      <c r="AH94">
        <f>IF(計分!AH94="","",計分!AH94^2)</f>
        <v/>
      </c>
      <c r="AI94">
        <f>IF(計分!AI94="","",計分!AI94^2)</f>
        <v/>
      </c>
      <c r="AJ94">
        <f>IF(計分!AJ94="","",計分!AJ94^2)</f>
        <v/>
      </c>
      <c r="AK94">
        <f>IF(計分!AK94="","",計分!AK94^2)</f>
        <v/>
      </c>
      <c r="AL94">
        <f>IF(計分!AL94="","",計分!AL94^2)</f>
        <v/>
      </c>
      <c r="AM94">
        <f>IF(計分!AM94="","",計分!AM94^2)</f>
        <v/>
      </c>
      <c r="AN94">
        <f>IF(計分!AN94="","",計分!AN94^2)</f>
        <v/>
      </c>
      <c r="AO94">
        <f>IF(計分!AO94="","",計分!AO94^2)</f>
        <v/>
      </c>
    </row>
    <row r="95">
      <c r="B95">
        <f>IF(計分!B95="","",計分!B95^2)</f>
        <v/>
      </c>
      <c r="C95">
        <f>IF(計分!C95="","",計分!C95^2)</f>
        <v/>
      </c>
      <c r="D95">
        <f>IF(計分!D95="","",計分!D95^2)</f>
        <v/>
      </c>
      <c r="E95">
        <f>IF(計分!E95="","",計分!E95^2)</f>
        <v/>
      </c>
      <c r="F95">
        <f>IF(計分!F95="","",計分!F95^2)</f>
        <v/>
      </c>
      <c r="G95">
        <f>IF(計分!G95="","",計分!G95^2)</f>
        <v/>
      </c>
      <c r="H95">
        <f>IF(計分!H95="","",計分!H95^2)</f>
        <v/>
      </c>
      <c r="I95">
        <f>IF(計分!I95="","",計分!I95^2)</f>
        <v/>
      </c>
      <c r="J95">
        <f>IF(計分!J95="","",計分!J95^2)</f>
        <v/>
      </c>
      <c r="K95">
        <f>IF(計分!K95="","",計分!K95^2)</f>
        <v/>
      </c>
      <c r="L95">
        <f>IF(計分!L95="","",計分!L95^2)</f>
        <v/>
      </c>
      <c r="M95">
        <f>IF(計分!M95="","",計分!M95^2)</f>
        <v/>
      </c>
      <c r="N95">
        <f>IF(計分!N95="","",計分!N95^2)</f>
        <v/>
      </c>
      <c r="O95">
        <f>IF(計分!O95="","",計分!O95^2)</f>
        <v/>
      </c>
      <c r="P95">
        <f>IF(計分!P95="","",計分!P95^2)</f>
        <v/>
      </c>
      <c r="Q95">
        <f>IF(計分!Q95="","",計分!Q95^2)</f>
        <v/>
      </c>
      <c r="R95">
        <f>IF(計分!R95="","",計分!R95^2)</f>
        <v/>
      </c>
      <c r="S95">
        <f>IF(計分!S95="","",計分!S95^2)</f>
        <v/>
      </c>
      <c r="T95">
        <f>IF(計分!T95="","",計分!T95^2)</f>
        <v/>
      </c>
      <c r="U95">
        <f>IF(計分!U95="","",計分!U95^2)</f>
        <v/>
      </c>
      <c r="V95">
        <f>IF(計分!V95="","",計分!V95^2)</f>
        <v/>
      </c>
      <c r="W95">
        <f>IF(計分!W95="","",計分!W95^2)</f>
        <v/>
      </c>
      <c r="X95">
        <f>IF(計分!X95="","",計分!X95^2)</f>
        <v/>
      </c>
      <c r="Y95">
        <f>IF(計分!Y95="","",計分!Y95^2)</f>
        <v/>
      </c>
      <c r="Z95">
        <f>IF(計分!Z95="","",計分!Z95^2)</f>
        <v/>
      </c>
      <c r="AA95">
        <f>IF(計分!AA95="","",計分!AA95^2)</f>
        <v/>
      </c>
      <c r="AB95">
        <f>IF(計分!AB95="","",計分!AB95^2)</f>
        <v/>
      </c>
      <c r="AC95">
        <f>IF(計分!AC95="","",計分!AC95^2)</f>
        <v/>
      </c>
      <c r="AD95">
        <f>IF(計分!AD95="","",計分!AD95^2)</f>
        <v/>
      </c>
      <c r="AE95">
        <f>IF(計分!AE95="","",計分!AE95^2)</f>
        <v/>
      </c>
      <c r="AF95">
        <f>IF(計分!AF95="","",計分!AF95^2)</f>
        <v/>
      </c>
      <c r="AG95">
        <f>IF(計分!AG95="","",計分!AG95^2)</f>
        <v/>
      </c>
      <c r="AH95">
        <f>IF(計分!AH95="","",計分!AH95^2)</f>
        <v/>
      </c>
      <c r="AI95">
        <f>IF(計分!AI95="","",計分!AI95^2)</f>
        <v/>
      </c>
      <c r="AJ95">
        <f>IF(計分!AJ95="","",計分!AJ95^2)</f>
        <v/>
      </c>
      <c r="AK95">
        <f>IF(計分!AK95="","",計分!AK95^2)</f>
        <v/>
      </c>
      <c r="AL95">
        <f>IF(計分!AL95="","",計分!AL95^2)</f>
        <v/>
      </c>
      <c r="AM95">
        <f>IF(計分!AM95="","",計分!AM95^2)</f>
        <v/>
      </c>
      <c r="AN95">
        <f>IF(計分!AN95="","",計分!AN95^2)</f>
        <v/>
      </c>
      <c r="AO95">
        <f>IF(計分!AO95="","",計分!AO95^2)</f>
        <v/>
      </c>
    </row>
    <row r="96">
      <c r="B96">
        <f>IF(計分!B96="","",計分!B96^2)</f>
        <v/>
      </c>
      <c r="C96">
        <f>IF(計分!C96="","",計分!C96^2)</f>
        <v/>
      </c>
      <c r="D96">
        <f>IF(計分!D96="","",計分!D96^2)</f>
        <v/>
      </c>
      <c r="E96">
        <f>IF(計分!E96="","",計分!E96^2)</f>
        <v/>
      </c>
      <c r="F96">
        <f>IF(計分!F96="","",計分!F96^2)</f>
        <v/>
      </c>
      <c r="G96">
        <f>IF(計分!G96="","",計分!G96^2)</f>
        <v/>
      </c>
      <c r="H96">
        <f>IF(計分!H96="","",計分!H96^2)</f>
        <v/>
      </c>
      <c r="I96">
        <f>IF(計分!I96="","",計分!I96^2)</f>
        <v/>
      </c>
      <c r="J96">
        <f>IF(計分!J96="","",計分!J96^2)</f>
        <v/>
      </c>
      <c r="K96">
        <f>IF(計分!K96="","",計分!K96^2)</f>
        <v/>
      </c>
      <c r="L96">
        <f>IF(計分!L96="","",計分!L96^2)</f>
        <v/>
      </c>
      <c r="M96">
        <f>IF(計分!M96="","",計分!M96^2)</f>
        <v/>
      </c>
      <c r="N96">
        <f>IF(計分!N96="","",計分!N96^2)</f>
        <v/>
      </c>
      <c r="O96">
        <f>IF(計分!O96="","",計分!O96^2)</f>
        <v/>
      </c>
      <c r="P96">
        <f>IF(計分!P96="","",計分!P96^2)</f>
        <v/>
      </c>
      <c r="Q96">
        <f>IF(計分!Q96="","",計分!Q96^2)</f>
        <v/>
      </c>
      <c r="R96">
        <f>IF(計分!R96="","",計分!R96^2)</f>
        <v/>
      </c>
      <c r="S96">
        <f>IF(計分!S96="","",計分!S96^2)</f>
        <v/>
      </c>
      <c r="T96">
        <f>IF(計分!T96="","",計分!T96^2)</f>
        <v/>
      </c>
      <c r="U96">
        <f>IF(計分!U96="","",計分!U96^2)</f>
        <v/>
      </c>
      <c r="V96">
        <f>IF(計分!V96="","",計分!V96^2)</f>
        <v/>
      </c>
      <c r="W96">
        <f>IF(計分!W96="","",計分!W96^2)</f>
        <v/>
      </c>
      <c r="X96">
        <f>IF(計分!X96="","",計分!X96^2)</f>
        <v/>
      </c>
      <c r="Y96">
        <f>IF(計分!Y96="","",計分!Y96^2)</f>
        <v/>
      </c>
      <c r="Z96">
        <f>IF(計分!Z96="","",計分!Z96^2)</f>
        <v/>
      </c>
      <c r="AA96">
        <f>IF(計分!AA96="","",計分!AA96^2)</f>
        <v/>
      </c>
      <c r="AB96">
        <f>IF(計分!AB96="","",計分!AB96^2)</f>
        <v/>
      </c>
      <c r="AC96">
        <f>IF(計分!AC96="","",計分!AC96^2)</f>
        <v/>
      </c>
      <c r="AD96">
        <f>IF(計分!AD96="","",計分!AD96^2)</f>
        <v/>
      </c>
      <c r="AE96">
        <f>IF(計分!AE96="","",計分!AE96^2)</f>
        <v/>
      </c>
      <c r="AF96">
        <f>IF(計分!AF96="","",計分!AF96^2)</f>
        <v/>
      </c>
      <c r="AG96">
        <f>IF(計分!AG96="","",計分!AG96^2)</f>
        <v/>
      </c>
      <c r="AH96">
        <f>IF(計分!AH96="","",計分!AH96^2)</f>
        <v/>
      </c>
      <c r="AI96">
        <f>IF(計分!AI96="","",計分!AI96^2)</f>
        <v/>
      </c>
      <c r="AJ96">
        <f>IF(計分!AJ96="","",計分!AJ96^2)</f>
        <v/>
      </c>
      <c r="AK96">
        <f>IF(計分!AK96="","",計分!AK96^2)</f>
        <v/>
      </c>
      <c r="AL96">
        <f>IF(計分!AL96="","",計分!AL96^2)</f>
        <v/>
      </c>
      <c r="AM96">
        <f>IF(計分!AM96="","",計分!AM96^2)</f>
        <v/>
      </c>
      <c r="AN96">
        <f>IF(計分!AN96="","",計分!AN96^2)</f>
        <v/>
      </c>
      <c r="AO96">
        <f>IF(計分!AO96="","",計分!AO96^2)</f>
        <v/>
      </c>
    </row>
    <row r="97">
      <c r="B97">
        <f>IF(計分!B97="","",計分!B97^2)</f>
        <v/>
      </c>
      <c r="C97">
        <f>IF(計分!C97="","",計分!C97^2)</f>
        <v/>
      </c>
      <c r="D97">
        <f>IF(計分!D97="","",計分!D97^2)</f>
        <v/>
      </c>
      <c r="E97">
        <f>IF(計分!E97="","",計分!E97^2)</f>
        <v/>
      </c>
      <c r="F97">
        <f>IF(計分!F97="","",計分!F97^2)</f>
        <v/>
      </c>
      <c r="G97">
        <f>IF(計分!G97="","",計分!G97^2)</f>
        <v/>
      </c>
      <c r="H97">
        <f>IF(計分!H97="","",計分!H97^2)</f>
        <v/>
      </c>
      <c r="I97">
        <f>IF(計分!I97="","",計分!I97^2)</f>
        <v/>
      </c>
      <c r="J97">
        <f>IF(計分!J97="","",計分!J97^2)</f>
        <v/>
      </c>
      <c r="K97">
        <f>IF(計分!K97="","",計分!K97^2)</f>
        <v/>
      </c>
      <c r="L97">
        <f>IF(計分!L97="","",計分!L97^2)</f>
        <v/>
      </c>
      <c r="M97">
        <f>IF(計分!M97="","",計分!M97^2)</f>
        <v/>
      </c>
      <c r="N97">
        <f>IF(計分!N97="","",計分!N97^2)</f>
        <v/>
      </c>
      <c r="O97">
        <f>IF(計分!O97="","",計分!O97^2)</f>
        <v/>
      </c>
      <c r="P97">
        <f>IF(計分!P97="","",計分!P97^2)</f>
        <v/>
      </c>
      <c r="Q97">
        <f>IF(計分!Q97="","",計分!Q97^2)</f>
        <v/>
      </c>
      <c r="R97">
        <f>IF(計分!R97="","",計分!R97^2)</f>
        <v/>
      </c>
      <c r="S97">
        <f>IF(計分!S97="","",計分!S97^2)</f>
        <v/>
      </c>
      <c r="T97">
        <f>IF(計分!T97="","",計分!T97^2)</f>
        <v/>
      </c>
      <c r="U97">
        <f>IF(計分!U97="","",計分!U97^2)</f>
        <v/>
      </c>
      <c r="V97">
        <f>IF(計分!V97="","",計分!V97^2)</f>
        <v/>
      </c>
      <c r="W97">
        <f>IF(計分!W97="","",計分!W97^2)</f>
        <v/>
      </c>
      <c r="X97">
        <f>IF(計分!X97="","",計分!X97^2)</f>
        <v/>
      </c>
      <c r="Y97">
        <f>IF(計分!Y97="","",計分!Y97^2)</f>
        <v/>
      </c>
      <c r="Z97">
        <f>IF(計分!Z97="","",計分!Z97^2)</f>
        <v/>
      </c>
      <c r="AA97">
        <f>IF(計分!AA97="","",計分!AA97^2)</f>
        <v/>
      </c>
      <c r="AB97">
        <f>IF(計分!AB97="","",計分!AB97^2)</f>
        <v/>
      </c>
      <c r="AC97">
        <f>IF(計分!AC97="","",計分!AC97^2)</f>
        <v/>
      </c>
      <c r="AD97">
        <f>IF(計分!AD97="","",計分!AD97^2)</f>
        <v/>
      </c>
      <c r="AE97">
        <f>IF(計分!AE97="","",計分!AE97^2)</f>
        <v/>
      </c>
      <c r="AF97">
        <f>IF(計分!AF97="","",計分!AF97^2)</f>
        <v/>
      </c>
      <c r="AG97">
        <f>IF(計分!AG97="","",計分!AG97^2)</f>
        <v/>
      </c>
      <c r="AH97">
        <f>IF(計分!AH97="","",計分!AH97^2)</f>
        <v/>
      </c>
      <c r="AI97">
        <f>IF(計分!AI97="","",計分!AI97^2)</f>
        <v/>
      </c>
      <c r="AJ97">
        <f>IF(計分!AJ97="","",計分!AJ97^2)</f>
        <v/>
      </c>
      <c r="AK97">
        <f>IF(計分!AK97="","",計分!AK97^2)</f>
        <v/>
      </c>
      <c r="AL97">
        <f>IF(計分!AL97="","",計分!AL97^2)</f>
        <v/>
      </c>
      <c r="AM97">
        <f>IF(計分!AM97="","",計分!AM97^2)</f>
        <v/>
      </c>
      <c r="AN97">
        <f>IF(計分!AN97="","",計分!AN97^2)</f>
        <v/>
      </c>
      <c r="AO97">
        <f>IF(計分!AO97="","",計分!AO97^2)</f>
        <v/>
      </c>
    </row>
    <row r="98">
      <c r="B98">
        <f>IF(計分!B98="","",計分!B98^2)</f>
        <v/>
      </c>
      <c r="C98">
        <f>IF(計分!C98="","",計分!C98^2)</f>
        <v/>
      </c>
      <c r="D98">
        <f>IF(計分!D98="","",計分!D98^2)</f>
        <v/>
      </c>
      <c r="E98">
        <f>IF(計分!E98="","",計分!E98^2)</f>
        <v/>
      </c>
      <c r="F98">
        <f>IF(計分!F98="","",計分!F98^2)</f>
        <v/>
      </c>
      <c r="G98">
        <f>IF(計分!G98="","",計分!G98^2)</f>
        <v/>
      </c>
      <c r="H98">
        <f>IF(計分!H98="","",計分!H98^2)</f>
        <v/>
      </c>
      <c r="I98">
        <f>IF(計分!I98="","",計分!I98^2)</f>
        <v/>
      </c>
      <c r="J98">
        <f>IF(計分!J98="","",計分!J98^2)</f>
        <v/>
      </c>
      <c r="K98">
        <f>IF(計分!K98="","",計分!K98^2)</f>
        <v/>
      </c>
      <c r="L98">
        <f>IF(計分!L98="","",計分!L98^2)</f>
        <v/>
      </c>
      <c r="M98">
        <f>IF(計分!M98="","",計分!M98^2)</f>
        <v/>
      </c>
      <c r="N98">
        <f>IF(計分!N98="","",計分!N98^2)</f>
        <v/>
      </c>
      <c r="O98">
        <f>IF(計分!O98="","",計分!O98^2)</f>
        <v/>
      </c>
      <c r="P98">
        <f>IF(計分!P98="","",計分!P98^2)</f>
        <v/>
      </c>
      <c r="Q98">
        <f>IF(計分!Q98="","",計分!Q98^2)</f>
        <v/>
      </c>
      <c r="R98">
        <f>IF(計分!R98="","",計分!R98^2)</f>
        <v/>
      </c>
      <c r="S98">
        <f>IF(計分!S98="","",計分!S98^2)</f>
        <v/>
      </c>
      <c r="T98">
        <f>IF(計分!T98="","",計分!T98^2)</f>
        <v/>
      </c>
      <c r="U98">
        <f>IF(計分!U98="","",計分!U98^2)</f>
        <v/>
      </c>
      <c r="V98">
        <f>IF(計分!V98="","",計分!V98^2)</f>
        <v/>
      </c>
      <c r="W98">
        <f>IF(計分!W98="","",計分!W98^2)</f>
        <v/>
      </c>
      <c r="X98">
        <f>IF(計分!X98="","",計分!X98^2)</f>
        <v/>
      </c>
      <c r="Y98">
        <f>IF(計分!Y98="","",計分!Y98^2)</f>
        <v/>
      </c>
      <c r="Z98">
        <f>IF(計分!Z98="","",計分!Z98^2)</f>
        <v/>
      </c>
      <c r="AA98">
        <f>IF(計分!AA98="","",計分!AA98^2)</f>
        <v/>
      </c>
      <c r="AB98">
        <f>IF(計分!AB98="","",計分!AB98^2)</f>
        <v/>
      </c>
      <c r="AC98">
        <f>IF(計分!AC98="","",計分!AC98^2)</f>
        <v/>
      </c>
      <c r="AD98">
        <f>IF(計分!AD98="","",計分!AD98^2)</f>
        <v/>
      </c>
      <c r="AE98">
        <f>IF(計分!AE98="","",計分!AE98^2)</f>
        <v/>
      </c>
      <c r="AF98">
        <f>IF(計分!AF98="","",計分!AF98^2)</f>
        <v/>
      </c>
      <c r="AG98">
        <f>IF(計分!AG98="","",計分!AG98^2)</f>
        <v/>
      </c>
      <c r="AH98">
        <f>IF(計分!AH98="","",計分!AH98^2)</f>
        <v/>
      </c>
      <c r="AI98">
        <f>IF(計分!AI98="","",計分!AI98^2)</f>
        <v/>
      </c>
      <c r="AJ98">
        <f>IF(計分!AJ98="","",計分!AJ98^2)</f>
        <v/>
      </c>
      <c r="AK98">
        <f>IF(計分!AK98="","",計分!AK98^2)</f>
        <v/>
      </c>
      <c r="AL98">
        <f>IF(計分!AL98="","",計分!AL98^2)</f>
        <v/>
      </c>
      <c r="AM98">
        <f>IF(計分!AM98="","",計分!AM98^2)</f>
        <v/>
      </c>
      <c r="AN98">
        <f>IF(計分!AN98="","",計分!AN98^2)</f>
        <v/>
      </c>
      <c r="AO98">
        <f>IF(計分!AO98="","",計分!AO98^2)</f>
        <v/>
      </c>
    </row>
    <row r="99">
      <c r="B99">
        <f>IF(計分!B99="","",計分!B99^2)</f>
        <v/>
      </c>
      <c r="C99">
        <f>IF(計分!C99="","",計分!C99^2)</f>
        <v/>
      </c>
      <c r="D99">
        <f>IF(計分!D99="","",計分!D99^2)</f>
        <v/>
      </c>
      <c r="E99">
        <f>IF(計分!E99="","",計分!E99^2)</f>
        <v/>
      </c>
      <c r="F99">
        <f>IF(計分!F99="","",計分!F99^2)</f>
        <v/>
      </c>
      <c r="G99">
        <f>IF(計分!G99="","",計分!G99^2)</f>
        <v/>
      </c>
      <c r="H99">
        <f>IF(計分!H99="","",計分!H99^2)</f>
        <v/>
      </c>
      <c r="I99">
        <f>IF(計分!I99="","",計分!I99^2)</f>
        <v/>
      </c>
      <c r="J99">
        <f>IF(計分!J99="","",計分!J99^2)</f>
        <v/>
      </c>
      <c r="K99">
        <f>IF(計分!K99="","",計分!K99^2)</f>
        <v/>
      </c>
      <c r="L99">
        <f>IF(計分!L99="","",計分!L99^2)</f>
        <v/>
      </c>
      <c r="M99">
        <f>IF(計分!M99="","",計分!M99^2)</f>
        <v/>
      </c>
      <c r="N99">
        <f>IF(計分!N99="","",計分!N99^2)</f>
        <v/>
      </c>
      <c r="O99">
        <f>IF(計分!O99="","",計分!O99^2)</f>
        <v/>
      </c>
      <c r="P99">
        <f>IF(計分!P99="","",計分!P99^2)</f>
        <v/>
      </c>
      <c r="Q99">
        <f>IF(計分!Q99="","",計分!Q99^2)</f>
        <v/>
      </c>
      <c r="R99">
        <f>IF(計分!R99="","",計分!R99^2)</f>
        <v/>
      </c>
      <c r="S99">
        <f>IF(計分!S99="","",計分!S99^2)</f>
        <v/>
      </c>
      <c r="T99">
        <f>IF(計分!T99="","",計分!T99^2)</f>
        <v/>
      </c>
      <c r="U99">
        <f>IF(計分!U99="","",計分!U99^2)</f>
        <v/>
      </c>
      <c r="V99">
        <f>IF(計分!V99="","",計分!V99^2)</f>
        <v/>
      </c>
      <c r="W99">
        <f>IF(計分!W99="","",計分!W99^2)</f>
        <v/>
      </c>
      <c r="X99">
        <f>IF(計分!X99="","",計分!X99^2)</f>
        <v/>
      </c>
      <c r="Y99">
        <f>IF(計分!Y99="","",計分!Y99^2)</f>
        <v/>
      </c>
      <c r="Z99">
        <f>IF(計分!Z99="","",計分!Z99^2)</f>
        <v/>
      </c>
      <c r="AA99">
        <f>IF(計分!AA99="","",計分!AA99^2)</f>
        <v/>
      </c>
      <c r="AB99">
        <f>IF(計分!AB99="","",計分!AB99^2)</f>
        <v/>
      </c>
      <c r="AC99">
        <f>IF(計分!AC99="","",計分!AC99^2)</f>
        <v/>
      </c>
      <c r="AD99">
        <f>IF(計分!AD99="","",計分!AD99^2)</f>
        <v/>
      </c>
      <c r="AE99">
        <f>IF(計分!AE99="","",計分!AE99^2)</f>
        <v/>
      </c>
      <c r="AF99">
        <f>IF(計分!AF99="","",計分!AF99^2)</f>
        <v/>
      </c>
      <c r="AG99">
        <f>IF(計分!AG99="","",計分!AG99^2)</f>
        <v/>
      </c>
      <c r="AH99">
        <f>IF(計分!AH99="","",計分!AH99^2)</f>
        <v/>
      </c>
      <c r="AI99">
        <f>IF(計分!AI99="","",計分!AI99^2)</f>
        <v/>
      </c>
      <c r="AJ99">
        <f>IF(計分!AJ99="","",計分!AJ99^2)</f>
        <v/>
      </c>
      <c r="AK99">
        <f>IF(計分!AK99="","",計分!AK99^2)</f>
        <v/>
      </c>
      <c r="AL99">
        <f>IF(計分!AL99="","",計分!AL99^2)</f>
        <v/>
      </c>
      <c r="AM99">
        <f>IF(計分!AM99="","",計分!AM99^2)</f>
        <v/>
      </c>
      <c r="AN99">
        <f>IF(計分!AN99="","",計分!AN99^2)</f>
        <v/>
      </c>
      <c r="AO99">
        <f>IF(計分!AO99="","",計分!AO99^2)</f>
        <v/>
      </c>
    </row>
    <row r="100">
      <c r="B100">
        <f>IF(計分!B100="","",計分!B100^2)</f>
        <v/>
      </c>
      <c r="C100">
        <f>IF(計分!C100="","",計分!C100^2)</f>
        <v/>
      </c>
      <c r="D100">
        <f>IF(計分!D100="","",計分!D100^2)</f>
        <v/>
      </c>
      <c r="E100">
        <f>IF(計分!E100="","",計分!E100^2)</f>
        <v/>
      </c>
      <c r="F100">
        <f>IF(計分!F100="","",計分!F100^2)</f>
        <v/>
      </c>
      <c r="G100">
        <f>IF(計分!G100="","",計分!G100^2)</f>
        <v/>
      </c>
      <c r="H100">
        <f>IF(計分!H100="","",計分!H100^2)</f>
        <v/>
      </c>
      <c r="I100">
        <f>IF(計分!I100="","",計分!I100^2)</f>
        <v/>
      </c>
      <c r="J100">
        <f>IF(計分!J100="","",計分!J100^2)</f>
        <v/>
      </c>
      <c r="K100">
        <f>IF(計分!K100="","",計分!K100^2)</f>
        <v/>
      </c>
      <c r="L100">
        <f>IF(計分!L100="","",計分!L100^2)</f>
        <v/>
      </c>
      <c r="M100">
        <f>IF(計分!M100="","",計分!M100^2)</f>
        <v/>
      </c>
      <c r="N100">
        <f>IF(計分!N100="","",計分!N100^2)</f>
        <v/>
      </c>
      <c r="O100">
        <f>IF(計分!O100="","",計分!O100^2)</f>
        <v/>
      </c>
      <c r="P100">
        <f>IF(計分!P100="","",計分!P100^2)</f>
        <v/>
      </c>
      <c r="Q100">
        <f>IF(計分!Q100="","",計分!Q100^2)</f>
        <v/>
      </c>
      <c r="R100">
        <f>IF(計分!R100="","",計分!R100^2)</f>
        <v/>
      </c>
      <c r="S100">
        <f>IF(計分!S100="","",計分!S100^2)</f>
        <v/>
      </c>
      <c r="T100">
        <f>IF(計分!T100="","",計分!T100^2)</f>
        <v/>
      </c>
      <c r="U100">
        <f>IF(計分!U100="","",計分!U100^2)</f>
        <v/>
      </c>
      <c r="V100">
        <f>IF(計分!V100="","",計分!V100^2)</f>
        <v/>
      </c>
      <c r="W100">
        <f>IF(計分!W100="","",計分!W100^2)</f>
        <v/>
      </c>
      <c r="X100">
        <f>IF(計分!X100="","",計分!X100^2)</f>
        <v/>
      </c>
      <c r="Y100">
        <f>IF(計分!Y100="","",計分!Y100^2)</f>
        <v/>
      </c>
      <c r="Z100">
        <f>IF(計分!Z100="","",計分!Z100^2)</f>
        <v/>
      </c>
      <c r="AA100">
        <f>IF(計分!AA100="","",計分!AA100^2)</f>
        <v/>
      </c>
      <c r="AB100">
        <f>IF(計分!AB100="","",計分!AB100^2)</f>
        <v/>
      </c>
      <c r="AC100">
        <f>IF(計分!AC100="","",計分!AC100^2)</f>
        <v/>
      </c>
      <c r="AD100">
        <f>IF(計分!AD100="","",計分!AD100^2)</f>
        <v/>
      </c>
      <c r="AE100">
        <f>IF(計分!AE100="","",計分!AE100^2)</f>
        <v/>
      </c>
      <c r="AF100">
        <f>IF(計分!AF100="","",計分!AF100^2)</f>
        <v/>
      </c>
      <c r="AG100">
        <f>IF(計分!AG100="","",計分!AG100^2)</f>
        <v/>
      </c>
      <c r="AH100">
        <f>IF(計分!AH100="","",計分!AH100^2)</f>
        <v/>
      </c>
      <c r="AI100">
        <f>IF(計分!AI100="","",計分!AI100^2)</f>
        <v/>
      </c>
      <c r="AJ100">
        <f>IF(計分!AJ100="","",計分!AJ100^2)</f>
        <v/>
      </c>
      <c r="AK100">
        <f>IF(計分!AK100="","",計分!AK100^2)</f>
        <v/>
      </c>
      <c r="AL100">
        <f>IF(計分!AL100="","",計分!AL100^2)</f>
        <v/>
      </c>
      <c r="AM100">
        <f>IF(計分!AM100="","",計分!AM100^2)</f>
        <v/>
      </c>
      <c r="AN100">
        <f>IF(計分!AN100="","",計分!AN100^2)</f>
        <v/>
      </c>
      <c r="AO100">
        <f>IF(計分!AO100="","",計分!AO100^2)</f>
        <v/>
      </c>
    </row>
    <row r="101">
      <c r="B101">
        <f>IF(計分!B101="","",計分!B101^2)</f>
        <v/>
      </c>
      <c r="C101">
        <f>IF(計分!C101="","",計分!C101^2)</f>
        <v/>
      </c>
      <c r="D101">
        <f>IF(計分!D101="","",計分!D101^2)</f>
        <v/>
      </c>
      <c r="E101">
        <f>IF(計分!E101="","",計分!E101^2)</f>
        <v/>
      </c>
      <c r="F101">
        <f>IF(計分!F101="","",計分!F101^2)</f>
        <v/>
      </c>
      <c r="G101">
        <f>IF(計分!G101="","",計分!G101^2)</f>
        <v/>
      </c>
      <c r="H101">
        <f>IF(計分!H101="","",計分!H101^2)</f>
        <v/>
      </c>
      <c r="I101">
        <f>IF(計分!I101="","",計分!I101^2)</f>
        <v/>
      </c>
      <c r="J101">
        <f>IF(計分!J101="","",計分!J101^2)</f>
        <v/>
      </c>
      <c r="K101">
        <f>IF(計分!K101="","",計分!K101^2)</f>
        <v/>
      </c>
      <c r="L101">
        <f>IF(計分!L101="","",計分!L101^2)</f>
        <v/>
      </c>
      <c r="M101">
        <f>IF(計分!M101="","",計分!M101^2)</f>
        <v/>
      </c>
      <c r="N101">
        <f>IF(計分!N101="","",計分!N101^2)</f>
        <v/>
      </c>
      <c r="O101">
        <f>IF(計分!O101="","",計分!O101^2)</f>
        <v/>
      </c>
      <c r="P101">
        <f>IF(計分!P101="","",計分!P101^2)</f>
        <v/>
      </c>
      <c r="Q101">
        <f>IF(計分!Q101="","",計分!Q101^2)</f>
        <v/>
      </c>
      <c r="R101">
        <f>IF(計分!R101="","",計分!R101^2)</f>
        <v/>
      </c>
      <c r="S101">
        <f>IF(計分!S101="","",計分!S101^2)</f>
        <v/>
      </c>
      <c r="T101">
        <f>IF(計分!T101="","",計分!T101^2)</f>
        <v/>
      </c>
      <c r="U101">
        <f>IF(計分!U101="","",計分!U101^2)</f>
        <v/>
      </c>
      <c r="V101">
        <f>IF(計分!V101="","",計分!V101^2)</f>
        <v/>
      </c>
      <c r="W101">
        <f>IF(計分!W101="","",計分!W101^2)</f>
        <v/>
      </c>
      <c r="X101">
        <f>IF(計分!X101="","",計分!X101^2)</f>
        <v/>
      </c>
      <c r="Y101">
        <f>IF(計分!Y101="","",計分!Y101^2)</f>
        <v/>
      </c>
      <c r="Z101">
        <f>IF(計分!Z101="","",計分!Z101^2)</f>
        <v/>
      </c>
      <c r="AA101">
        <f>IF(計分!AA101="","",計分!AA101^2)</f>
        <v/>
      </c>
      <c r="AB101">
        <f>IF(計分!AB101="","",計分!AB101^2)</f>
        <v/>
      </c>
      <c r="AC101">
        <f>IF(計分!AC101="","",計分!AC101^2)</f>
        <v/>
      </c>
      <c r="AD101">
        <f>IF(計分!AD101="","",計分!AD101^2)</f>
        <v/>
      </c>
      <c r="AE101">
        <f>IF(計分!AE101="","",計分!AE101^2)</f>
        <v/>
      </c>
      <c r="AF101">
        <f>IF(計分!AF101="","",計分!AF101^2)</f>
        <v/>
      </c>
      <c r="AG101">
        <f>IF(計分!AG101="","",計分!AG101^2)</f>
        <v/>
      </c>
      <c r="AH101">
        <f>IF(計分!AH101="","",計分!AH101^2)</f>
        <v/>
      </c>
      <c r="AI101">
        <f>IF(計分!AI101="","",計分!AI101^2)</f>
        <v/>
      </c>
      <c r="AJ101">
        <f>IF(計分!AJ101="","",計分!AJ101^2)</f>
        <v/>
      </c>
      <c r="AK101">
        <f>IF(計分!AK101="","",計分!AK101^2)</f>
        <v/>
      </c>
      <c r="AL101">
        <f>IF(計分!AL101="","",計分!AL101^2)</f>
        <v/>
      </c>
      <c r="AM101">
        <f>IF(計分!AM101="","",計分!AM101^2)</f>
        <v/>
      </c>
      <c r="AN101">
        <f>IF(計分!AN101="","",計分!AN101^2)</f>
        <v/>
      </c>
      <c r="AO101">
        <f>IF(計分!AO101="","",計分!AO101^2)</f>
        <v/>
      </c>
    </row>
    <row r="102">
      <c r="B102">
        <f>IF(計分!B102="","",計分!B102^2)</f>
        <v/>
      </c>
      <c r="C102">
        <f>IF(計分!C102="","",計分!C102^2)</f>
        <v/>
      </c>
      <c r="D102">
        <f>IF(計分!D102="","",計分!D102^2)</f>
        <v/>
      </c>
      <c r="E102">
        <f>IF(計分!E102="","",計分!E102^2)</f>
        <v/>
      </c>
      <c r="F102">
        <f>IF(計分!F102="","",計分!F102^2)</f>
        <v/>
      </c>
      <c r="G102">
        <f>IF(計分!G102="","",計分!G102^2)</f>
        <v/>
      </c>
      <c r="H102">
        <f>IF(計分!H102="","",計分!H102^2)</f>
        <v/>
      </c>
      <c r="I102">
        <f>IF(計分!I102="","",計分!I102^2)</f>
        <v/>
      </c>
      <c r="J102">
        <f>IF(計分!J102="","",計分!J102^2)</f>
        <v/>
      </c>
      <c r="K102">
        <f>IF(計分!K102="","",計分!K102^2)</f>
        <v/>
      </c>
      <c r="L102">
        <f>IF(計分!L102="","",計分!L102^2)</f>
        <v/>
      </c>
      <c r="M102">
        <f>IF(計分!M102="","",計分!M102^2)</f>
        <v/>
      </c>
      <c r="N102">
        <f>IF(計分!N102="","",計分!N102^2)</f>
        <v/>
      </c>
      <c r="O102">
        <f>IF(計分!O102="","",計分!O102^2)</f>
        <v/>
      </c>
      <c r="P102">
        <f>IF(計分!P102="","",計分!P102^2)</f>
        <v/>
      </c>
      <c r="Q102">
        <f>IF(計分!Q102="","",計分!Q102^2)</f>
        <v/>
      </c>
      <c r="R102">
        <f>IF(計分!R102="","",計分!R102^2)</f>
        <v/>
      </c>
      <c r="S102">
        <f>IF(計分!S102="","",計分!S102^2)</f>
        <v/>
      </c>
      <c r="T102">
        <f>IF(計分!T102="","",計分!T102^2)</f>
        <v/>
      </c>
      <c r="U102">
        <f>IF(計分!U102="","",計分!U102^2)</f>
        <v/>
      </c>
      <c r="V102">
        <f>IF(計分!V102="","",計分!V102^2)</f>
        <v/>
      </c>
      <c r="W102">
        <f>IF(計分!W102="","",計分!W102^2)</f>
        <v/>
      </c>
      <c r="X102">
        <f>IF(計分!X102="","",計分!X102^2)</f>
        <v/>
      </c>
      <c r="Y102">
        <f>IF(計分!Y102="","",計分!Y102^2)</f>
        <v/>
      </c>
      <c r="Z102">
        <f>IF(計分!Z102="","",計分!Z102^2)</f>
        <v/>
      </c>
      <c r="AA102">
        <f>IF(計分!AA102="","",計分!AA102^2)</f>
        <v/>
      </c>
      <c r="AB102">
        <f>IF(計分!AB102="","",計分!AB102^2)</f>
        <v/>
      </c>
      <c r="AC102">
        <f>IF(計分!AC102="","",計分!AC102^2)</f>
        <v/>
      </c>
      <c r="AD102">
        <f>IF(計分!AD102="","",計分!AD102^2)</f>
        <v/>
      </c>
      <c r="AE102">
        <f>IF(計分!AE102="","",計分!AE102^2)</f>
        <v/>
      </c>
      <c r="AF102">
        <f>IF(計分!AF102="","",計分!AF102^2)</f>
        <v/>
      </c>
      <c r="AG102">
        <f>IF(計分!AG102="","",計分!AG102^2)</f>
        <v/>
      </c>
      <c r="AH102">
        <f>IF(計分!AH102="","",計分!AH102^2)</f>
        <v/>
      </c>
      <c r="AI102">
        <f>IF(計分!AI102="","",計分!AI102^2)</f>
        <v/>
      </c>
      <c r="AJ102">
        <f>IF(計分!AJ102="","",計分!AJ102^2)</f>
        <v/>
      </c>
      <c r="AK102">
        <f>IF(計分!AK102="","",計分!AK102^2)</f>
        <v/>
      </c>
      <c r="AL102">
        <f>IF(計分!AL102="","",計分!AL102^2)</f>
        <v/>
      </c>
      <c r="AM102">
        <f>IF(計分!AM102="","",計分!AM102^2)</f>
        <v/>
      </c>
      <c r="AN102">
        <f>IF(計分!AN102="","",計分!AN102^2)</f>
        <v/>
      </c>
      <c r="AO102">
        <f>IF(計分!AO102="","",計分!AO102^2)</f>
        <v/>
      </c>
    </row>
    <row r="103">
      <c r="B103">
        <f>IF(計分!B103="","",計分!B103^2)</f>
        <v/>
      </c>
      <c r="C103">
        <f>IF(計分!C103="","",計分!C103^2)</f>
        <v/>
      </c>
      <c r="D103">
        <f>IF(計分!D103="","",計分!D103^2)</f>
        <v/>
      </c>
      <c r="E103">
        <f>IF(計分!E103="","",計分!E103^2)</f>
        <v/>
      </c>
      <c r="F103">
        <f>IF(計分!F103="","",計分!F103^2)</f>
        <v/>
      </c>
      <c r="G103">
        <f>IF(計分!G103="","",計分!G103^2)</f>
        <v/>
      </c>
      <c r="H103">
        <f>IF(計分!H103="","",計分!H103^2)</f>
        <v/>
      </c>
      <c r="I103">
        <f>IF(計分!I103="","",計分!I103^2)</f>
        <v/>
      </c>
      <c r="J103">
        <f>IF(計分!J103="","",計分!J103^2)</f>
        <v/>
      </c>
      <c r="K103">
        <f>IF(計分!K103="","",計分!K103^2)</f>
        <v/>
      </c>
      <c r="L103">
        <f>IF(計分!L103="","",計分!L103^2)</f>
        <v/>
      </c>
      <c r="M103">
        <f>IF(計分!M103="","",計分!M103^2)</f>
        <v/>
      </c>
      <c r="N103">
        <f>IF(計分!N103="","",計分!N103^2)</f>
        <v/>
      </c>
      <c r="O103">
        <f>IF(計分!O103="","",計分!O103^2)</f>
        <v/>
      </c>
      <c r="P103">
        <f>IF(計分!P103="","",計分!P103^2)</f>
        <v/>
      </c>
      <c r="Q103">
        <f>IF(計分!Q103="","",計分!Q103^2)</f>
        <v/>
      </c>
      <c r="R103">
        <f>IF(計分!R103="","",計分!R103^2)</f>
        <v/>
      </c>
      <c r="S103">
        <f>IF(計分!S103="","",計分!S103^2)</f>
        <v/>
      </c>
      <c r="T103">
        <f>IF(計分!T103="","",計分!T103^2)</f>
        <v/>
      </c>
      <c r="U103">
        <f>IF(計分!U103="","",計分!U103^2)</f>
        <v/>
      </c>
      <c r="V103">
        <f>IF(計分!V103="","",計分!V103^2)</f>
        <v/>
      </c>
      <c r="W103">
        <f>IF(計分!W103="","",計分!W103^2)</f>
        <v/>
      </c>
      <c r="X103">
        <f>IF(計分!X103="","",計分!X103^2)</f>
        <v/>
      </c>
      <c r="Y103">
        <f>IF(計分!Y103="","",計分!Y103^2)</f>
        <v/>
      </c>
      <c r="Z103">
        <f>IF(計分!Z103="","",計分!Z103^2)</f>
        <v/>
      </c>
      <c r="AA103">
        <f>IF(計分!AA103="","",計分!AA103^2)</f>
        <v/>
      </c>
      <c r="AB103">
        <f>IF(計分!AB103="","",計分!AB103^2)</f>
        <v/>
      </c>
      <c r="AC103">
        <f>IF(計分!AC103="","",計分!AC103^2)</f>
        <v/>
      </c>
      <c r="AD103">
        <f>IF(計分!AD103="","",計分!AD103^2)</f>
        <v/>
      </c>
      <c r="AE103">
        <f>IF(計分!AE103="","",計分!AE103^2)</f>
        <v/>
      </c>
      <c r="AF103">
        <f>IF(計分!AF103="","",計分!AF103^2)</f>
        <v/>
      </c>
      <c r="AG103">
        <f>IF(計分!AG103="","",計分!AG103^2)</f>
        <v/>
      </c>
      <c r="AH103">
        <f>IF(計分!AH103="","",計分!AH103^2)</f>
        <v/>
      </c>
      <c r="AI103">
        <f>IF(計分!AI103="","",計分!AI103^2)</f>
        <v/>
      </c>
      <c r="AJ103">
        <f>IF(計分!AJ103="","",計分!AJ103^2)</f>
        <v/>
      </c>
      <c r="AK103">
        <f>IF(計分!AK103="","",計分!AK103^2)</f>
        <v/>
      </c>
      <c r="AL103">
        <f>IF(計分!AL103="","",計分!AL103^2)</f>
        <v/>
      </c>
      <c r="AM103">
        <f>IF(計分!AM103="","",計分!AM103^2)</f>
        <v/>
      </c>
      <c r="AN103">
        <f>IF(計分!AN103="","",計分!AN103^2)</f>
        <v/>
      </c>
      <c r="AO103">
        <f>IF(計分!AO103="","",計分!AO103^2)</f>
        <v/>
      </c>
    </row>
    <row r="104">
      <c r="B104">
        <f>IF(計分!B104="","",計分!B104^2)</f>
        <v/>
      </c>
      <c r="C104">
        <f>IF(計分!C104="","",計分!C104^2)</f>
        <v/>
      </c>
      <c r="D104">
        <f>IF(計分!D104="","",計分!D104^2)</f>
        <v/>
      </c>
      <c r="E104">
        <f>IF(計分!E104="","",計分!E104^2)</f>
        <v/>
      </c>
      <c r="F104">
        <f>IF(計分!F104="","",計分!F104^2)</f>
        <v/>
      </c>
      <c r="G104">
        <f>IF(計分!G104="","",計分!G104^2)</f>
        <v/>
      </c>
      <c r="H104">
        <f>IF(計分!H104="","",計分!H104^2)</f>
        <v/>
      </c>
      <c r="I104">
        <f>IF(計分!I104="","",計分!I104^2)</f>
        <v/>
      </c>
      <c r="J104">
        <f>IF(計分!J104="","",計分!J104^2)</f>
        <v/>
      </c>
      <c r="K104">
        <f>IF(計分!K104="","",計分!K104^2)</f>
        <v/>
      </c>
      <c r="L104">
        <f>IF(計分!L104="","",計分!L104^2)</f>
        <v/>
      </c>
      <c r="M104">
        <f>IF(計分!M104="","",計分!M104^2)</f>
        <v/>
      </c>
      <c r="N104">
        <f>IF(計分!N104="","",計分!N104^2)</f>
        <v/>
      </c>
      <c r="O104">
        <f>IF(計分!O104="","",計分!O104^2)</f>
        <v/>
      </c>
      <c r="P104">
        <f>IF(計分!P104="","",計分!P104^2)</f>
        <v/>
      </c>
      <c r="Q104">
        <f>IF(計分!Q104="","",計分!Q104^2)</f>
        <v/>
      </c>
      <c r="R104">
        <f>IF(計分!R104="","",計分!R104^2)</f>
        <v/>
      </c>
      <c r="S104">
        <f>IF(計分!S104="","",計分!S104^2)</f>
        <v/>
      </c>
      <c r="T104">
        <f>IF(計分!T104="","",計分!T104^2)</f>
        <v/>
      </c>
      <c r="U104">
        <f>IF(計分!U104="","",計分!U104^2)</f>
        <v/>
      </c>
      <c r="V104">
        <f>IF(計分!V104="","",計分!V104^2)</f>
        <v/>
      </c>
      <c r="W104">
        <f>IF(計分!W104="","",計分!W104^2)</f>
        <v/>
      </c>
      <c r="X104">
        <f>IF(計分!X104="","",計分!X104^2)</f>
        <v/>
      </c>
      <c r="Y104">
        <f>IF(計分!Y104="","",計分!Y104^2)</f>
        <v/>
      </c>
      <c r="Z104">
        <f>IF(計分!Z104="","",計分!Z104^2)</f>
        <v/>
      </c>
      <c r="AA104">
        <f>IF(計分!AA104="","",計分!AA104^2)</f>
        <v/>
      </c>
      <c r="AB104">
        <f>IF(計分!AB104="","",計分!AB104^2)</f>
        <v/>
      </c>
      <c r="AC104">
        <f>IF(計分!AC104="","",計分!AC104^2)</f>
        <v/>
      </c>
      <c r="AD104">
        <f>IF(計分!AD104="","",計分!AD104^2)</f>
        <v/>
      </c>
      <c r="AE104">
        <f>IF(計分!AE104="","",計分!AE104^2)</f>
        <v/>
      </c>
      <c r="AF104">
        <f>IF(計分!AF104="","",計分!AF104^2)</f>
        <v/>
      </c>
      <c r="AG104">
        <f>IF(計分!AG104="","",計分!AG104^2)</f>
        <v/>
      </c>
      <c r="AH104">
        <f>IF(計分!AH104="","",計分!AH104^2)</f>
        <v/>
      </c>
      <c r="AI104">
        <f>IF(計分!AI104="","",計分!AI104^2)</f>
        <v/>
      </c>
      <c r="AJ104">
        <f>IF(計分!AJ104="","",計分!AJ104^2)</f>
        <v/>
      </c>
      <c r="AK104">
        <f>IF(計分!AK104="","",計分!AK104^2)</f>
        <v/>
      </c>
      <c r="AL104">
        <f>IF(計分!AL104="","",計分!AL104^2)</f>
        <v/>
      </c>
      <c r="AM104">
        <f>IF(計分!AM104="","",計分!AM104^2)</f>
        <v/>
      </c>
      <c r="AN104">
        <f>IF(計分!AN104="","",計分!AN104^2)</f>
        <v/>
      </c>
      <c r="AO104">
        <f>IF(計分!AO104="","",計分!AO104^2)</f>
        <v/>
      </c>
    </row>
    <row r="105">
      <c r="B105">
        <f>IF(計分!B105="","",計分!B105^2)</f>
        <v/>
      </c>
      <c r="C105">
        <f>IF(計分!C105="","",計分!C105^2)</f>
        <v/>
      </c>
      <c r="D105">
        <f>IF(計分!D105="","",計分!D105^2)</f>
        <v/>
      </c>
      <c r="E105">
        <f>IF(計分!E105="","",計分!E105^2)</f>
        <v/>
      </c>
      <c r="F105">
        <f>IF(計分!F105="","",計分!F105^2)</f>
        <v/>
      </c>
      <c r="G105">
        <f>IF(計分!G105="","",計分!G105^2)</f>
        <v/>
      </c>
      <c r="H105">
        <f>IF(計分!H105="","",計分!H105^2)</f>
        <v/>
      </c>
      <c r="I105">
        <f>IF(計分!I105="","",計分!I105^2)</f>
        <v/>
      </c>
      <c r="J105">
        <f>IF(計分!J105="","",計分!J105^2)</f>
        <v/>
      </c>
      <c r="K105">
        <f>IF(計分!K105="","",計分!K105^2)</f>
        <v/>
      </c>
      <c r="L105">
        <f>IF(計分!L105="","",計分!L105^2)</f>
        <v/>
      </c>
      <c r="M105">
        <f>IF(計分!M105="","",計分!M105^2)</f>
        <v/>
      </c>
      <c r="N105">
        <f>IF(計分!N105="","",計分!N105^2)</f>
        <v/>
      </c>
      <c r="O105">
        <f>IF(計分!O105="","",計分!O105^2)</f>
        <v/>
      </c>
      <c r="P105">
        <f>IF(計分!P105="","",計分!P105^2)</f>
        <v/>
      </c>
      <c r="Q105">
        <f>IF(計分!Q105="","",計分!Q105^2)</f>
        <v/>
      </c>
      <c r="R105">
        <f>IF(計分!R105="","",計分!R105^2)</f>
        <v/>
      </c>
      <c r="S105">
        <f>IF(計分!S105="","",計分!S105^2)</f>
        <v/>
      </c>
      <c r="T105">
        <f>IF(計分!T105="","",計分!T105^2)</f>
        <v/>
      </c>
      <c r="U105">
        <f>IF(計分!U105="","",計分!U105^2)</f>
        <v/>
      </c>
      <c r="V105">
        <f>IF(計分!V105="","",計分!V105^2)</f>
        <v/>
      </c>
      <c r="W105">
        <f>IF(計分!W105="","",計分!W105^2)</f>
        <v/>
      </c>
      <c r="X105">
        <f>IF(計分!X105="","",計分!X105^2)</f>
        <v/>
      </c>
      <c r="Y105">
        <f>IF(計分!Y105="","",計分!Y105^2)</f>
        <v/>
      </c>
      <c r="Z105">
        <f>IF(計分!Z105="","",計分!Z105^2)</f>
        <v/>
      </c>
      <c r="AA105">
        <f>IF(計分!AA105="","",計分!AA105^2)</f>
        <v/>
      </c>
      <c r="AB105">
        <f>IF(計分!AB105="","",計分!AB105^2)</f>
        <v/>
      </c>
      <c r="AC105">
        <f>IF(計分!AC105="","",計分!AC105^2)</f>
        <v/>
      </c>
      <c r="AD105">
        <f>IF(計分!AD105="","",計分!AD105^2)</f>
        <v/>
      </c>
      <c r="AE105">
        <f>IF(計分!AE105="","",計分!AE105^2)</f>
        <v/>
      </c>
      <c r="AF105">
        <f>IF(計分!AF105="","",計分!AF105^2)</f>
        <v/>
      </c>
      <c r="AG105">
        <f>IF(計分!AG105="","",計分!AG105^2)</f>
        <v/>
      </c>
      <c r="AH105">
        <f>IF(計分!AH105="","",計分!AH105^2)</f>
        <v/>
      </c>
      <c r="AI105">
        <f>IF(計分!AI105="","",計分!AI105^2)</f>
        <v/>
      </c>
      <c r="AJ105">
        <f>IF(計分!AJ105="","",計分!AJ105^2)</f>
        <v/>
      </c>
      <c r="AK105">
        <f>IF(計分!AK105="","",計分!AK105^2)</f>
        <v/>
      </c>
      <c r="AL105">
        <f>IF(計分!AL105="","",計分!AL105^2)</f>
        <v/>
      </c>
      <c r="AM105">
        <f>IF(計分!AM105="","",計分!AM105^2)</f>
        <v/>
      </c>
      <c r="AN105">
        <f>IF(計分!AN105="","",計分!AN105^2)</f>
        <v/>
      </c>
      <c r="AO105">
        <f>IF(計分!AO105="","",計分!AO105^2)</f>
        <v/>
      </c>
    </row>
    <row r="106">
      <c r="B106">
        <f>IF(計分!B106="","",計分!B106^2)</f>
        <v/>
      </c>
      <c r="C106">
        <f>IF(計分!C106="","",計分!C106^2)</f>
        <v/>
      </c>
      <c r="D106">
        <f>IF(計分!D106="","",計分!D106^2)</f>
        <v/>
      </c>
      <c r="E106">
        <f>IF(計分!E106="","",計分!E106^2)</f>
        <v/>
      </c>
      <c r="F106">
        <f>IF(計分!F106="","",計分!F106^2)</f>
        <v/>
      </c>
      <c r="G106">
        <f>IF(計分!G106="","",計分!G106^2)</f>
        <v/>
      </c>
      <c r="H106">
        <f>IF(計分!H106="","",計分!H106^2)</f>
        <v/>
      </c>
      <c r="I106">
        <f>IF(計分!I106="","",計分!I106^2)</f>
        <v/>
      </c>
      <c r="J106">
        <f>IF(計分!J106="","",計分!J106^2)</f>
        <v/>
      </c>
      <c r="K106">
        <f>IF(計分!K106="","",計分!K106^2)</f>
        <v/>
      </c>
      <c r="L106">
        <f>IF(計分!L106="","",計分!L106^2)</f>
        <v/>
      </c>
      <c r="M106">
        <f>IF(計分!M106="","",計分!M106^2)</f>
        <v/>
      </c>
      <c r="N106">
        <f>IF(計分!N106="","",計分!N106^2)</f>
        <v/>
      </c>
      <c r="O106">
        <f>IF(計分!O106="","",計分!O106^2)</f>
        <v/>
      </c>
      <c r="P106">
        <f>IF(計分!P106="","",計分!P106^2)</f>
        <v/>
      </c>
      <c r="Q106">
        <f>IF(計分!Q106="","",計分!Q106^2)</f>
        <v/>
      </c>
      <c r="R106">
        <f>IF(計分!R106="","",計分!R106^2)</f>
        <v/>
      </c>
      <c r="S106">
        <f>IF(計分!S106="","",計分!S106^2)</f>
        <v/>
      </c>
      <c r="T106">
        <f>IF(計分!T106="","",計分!T106^2)</f>
        <v/>
      </c>
      <c r="U106">
        <f>IF(計分!U106="","",計分!U106^2)</f>
        <v/>
      </c>
      <c r="V106">
        <f>IF(計分!V106="","",計分!V106^2)</f>
        <v/>
      </c>
      <c r="W106">
        <f>IF(計分!W106="","",計分!W106^2)</f>
        <v/>
      </c>
      <c r="X106">
        <f>IF(計分!X106="","",計分!X106^2)</f>
        <v/>
      </c>
      <c r="Y106">
        <f>IF(計分!Y106="","",計分!Y106^2)</f>
        <v/>
      </c>
      <c r="Z106">
        <f>IF(計分!Z106="","",計分!Z106^2)</f>
        <v/>
      </c>
      <c r="AA106">
        <f>IF(計分!AA106="","",計分!AA106^2)</f>
        <v/>
      </c>
      <c r="AB106">
        <f>IF(計分!AB106="","",計分!AB106^2)</f>
        <v/>
      </c>
      <c r="AC106">
        <f>IF(計分!AC106="","",計分!AC106^2)</f>
        <v/>
      </c>
      <c r="AD106">
        <f>IF(計分!AD106="","",計分!AD106^2)</f>
        <v/>
      </c>
      <c r="AE106">
        <f>IF(計分!AE106="","",計分!AE106^2)</f>
        <v/>
      </c>
      <c r="AF106">
        <f>IF(計分!AF106="","",計分!AF106^2)</f>
        <v/>
      </c>
      <c r="AG106">
        <f>IF(計分!AG106="","",計分!AG106^2)</f>
        <v/>
      </c>
      <c r="AH106">
        <f>IF(計分!AH106="","",計分!AH106^2)</f>
        <v/>
      </c>
      <c r="AI106">
        <f>IF(計分!AI106="","",計分!AI106^2)</f>
        <v/>
      </c>
      <c r="AJ106">
        <f>IF(計分!AJ106="","",計分!AJ106^2)</f>
        <v/>
      </c>
      <c r="AK106">
        <f>IF(計分!AK106="","",計分!AK106^2)</f>
        <v/>
      </c>
      <c r="AL106">
        <f>IF(計分!AL106="","",計分!AL106^2)</f>
        <v/>
      </c>
      <c r="AM106">
        <f>IF(計分!AM106="","",計分!AM106^2)</f>
        <v/>
      </c>
      <c r="AN106">
        <f>IF(計分!AN106="","",計分!AN106^2)</f>
        <v/>
      </c>
      <c r="AO106">
        <f>IF(計分!AO106="","",計分!AO106^2)</f>
        <v/>
      </c>
    </row>
    <row r="107">
      <c r="B107">
        <f>IF(計分!B107="","",計分!B107^2)</f>
        <v/>
      </c>
      <c r="C107">
        <f>IF(計分!C107="","",計分!C107^2)</f>
        <v/>
      </c>
      <c r="D107">
        <f>IF(計分!D107="","",計分!D107^2)</f>
        <v/>
      </c>
      <c r="E107">
        <f>IF(計分!E107="","",計分!E107^2)</f>
        <v/>
      </c>
      <c r="F107">
        <f>IF(計分!F107="","",計分!F107^2)</f>
        <v/>
      </c>
      <c r="G107">
        <f>IF(計分!G107="","",計分!G107^2)</f>
        <v/>
      </c>
      <c r="H107">
        <f>IF(計分!H107="","",計分!H107^2)</f>
        <v/>
      </c>
      <c r="I107">
        <f>IF(計分!I107="","",計分!I107^2)</f>
        <v/>
      </c>
      <c r="J107">
        <f>IF(計分!J107="","",計分!J107^2)</f>
        <v/>
      </c>
      <c r="K107">
        <f>IF(計分!K107="","",計分!K107^2)</f>
        <v/>
      </c>
      <c r="L107">
        <f>IF(計分!L107="","",計分!L107^2)</f>
        <v/>
      </c>
      <c r="M107">
        <f>IF(計分!M107="","",計分!M107^2)</f>
        <v/>
      </c>
      <c r="N107">
        <f>IF(計分!N107="","",計分!N107^2)</f>
        <v/>
      </c>
      <c r="O107">
        <f>IF(計分!O107="","",計分!O107^2)</f>
        <v/>
      </c>
      <c r="P107">
        <f>IF(計分!P107="","",計分!P107^2)</f>
        <v/>
      </c>
      <c r="Q107">
        <f>IF(計分!Q107="","",計分!Q107^2)</f>
        <v/>
      </c>
      <c r="R107">
        <f>IF(計分!R107="","",計分!R107^2)</f>
        <v/>
      </c>
      <c r="S107">
        <f>IF(計分!S107="","",計分!S107^2)</f>
        <v/>
      </c>
      <c r="T107">
        <f>IF(計分!T107="","",計分!T107^2)</f>
        <v/>
      </c>
      <c r="U107">
        <f>IF(計分!U107="","",計分!U107^2)</f>
        <v/>
      </c>
      <c r="V107">
        <f>IF(計分!V107="","",計分!V107^2)</f>
        <v/>
      </c>
      <c r="W107">
        <f>IF(計分!W107="","",計分!W107^2)</f>
        <v/>
      </c>
      <c r="X107">
        <f>IF(計分!X107="","",計分!X107^2)</f>
        <v/>
      </c>
      <c r="Y107">
        <f>IF(計分!Y107="","",計分!Y107^2)</f>
        <v/>
      </c>
      <c r="Z107">
        <f>IF(計分!Z107="","",計分!Z107^2)</f>
        <v/>
      </c>
      <c r="AA107">
        <f>IF(計分!AA107="","",計分!AA107^2)</f>
        <v/>
      </c>
      <c r="AB107">
        <f>IF(計分!AB107="","",計分!AB107^2)</f>
        <v/>
      </c>
      <c r="AC107">
        <f>IF(計分!AC107="","",計分!AC107^2)</f>
        <v/>
      </c>
      <c r="AD107">
        <f>IF(計分!AD107="","",計分!AD107^2)</f>
        <v/>
      </c>
      <c r="AE107">
        <f>IF(計分!AE107="","",計分!AE107^2)</f>
        <v/>
      </c>
      <c r="AF107">
        <f>IF(計分!AF107="","",計分!AF107^2)</f>
        <v/>
      </c>
      <c r="AG107">
        <f>IF(計分!AG107="","",計分!AG107^2)</f>
        <v/>
      </c>
      <c r="AH107">
        <f>IF(計分!AH107="","",計分!AH107^2)</f>
        <v/>
      </c>
      <c r="AI107">
        <f>IF(計分!AI107="","",計分!AI107^2)</f>
        <v/>
      </c>
      <c r="AJ107">
        <f>IF(計分!AJ107="","",計分!AJ107^2)</f>
        <v/>
      </c>
      <c r="AK107">
        <f>IF(計分!AK107="","",計分!AK107^2)</f>
        <v/>
      </c>
      <c r="AL107">
        <f>IF(計分!AL107="","",計分!AL107^2)</f>
        <v/>
      </c>
      <c r="AM107">
        <f>IF(計分!AM107="","",計分!AM107^2)</f>
        <v/>
      </c>
      <c r="AN107">
        <f>IF(計分!AN107="","",計分!AN107^2)</f>
        <v/>
      </c>
      <c r="AO107">
        <f>IF(計分!AO107="","",計分!AO107^2)</f>
        <v/>
      </c>
    </row>
    <row r="108">
      <c r="B108">
        <f>IF(計分!B108="","",計分!B108^2)</f>
        <v/>
      </c>
      <c r="C108">
        <f>IF(計分!C108="","",計分!C108^2)</f>
        <v/>
      </c>
      <c r="D108">
        <f>IF(計分!D108="","",計分!D108^2)</f>
        <v/>
      </c>
      <c r="E108">
        <f>IF(計分!E108="","",計分!E108^2)</f>
        <v/>
      </c>
      <c r="F108">
        <f>IF(計分!F108="","",計分!F108^2)</f>
        <v/>
      </c>
      <c r="G108">
        <f>IF(計分!G108="","",計分!G108^2)</f>
        <v/>
      </c>
      <c r="H108">
        <f>IF(計分!H108="","",計分!H108^2)</f>
        <v/>
      </c>
      <c r="I108">
        <f>IF(計分!I108="","",計分!I108^2)</f>
        <v/>
      </c>
      <c r="J108">
        <f>IF(計分!J108="","",計分!J108^2)</f>
        <v/>
      </c>
      <c r="K108">
        <f>IF(計分!K108="","",計分!K108^2)</f>
        <v/>
      </c>
      <c r="L108">
        <f>IF(計分!L108="","",計分!L108^2)</f>
        <v/>
      </c>
      <c r="M108">
        <f>IF(計分!M108="","",計分!M108^2)</f>
        <v/>
      </c>
      <c r="N108">
        <f>IF(計分!N108="","",計分!N108^2)</f>
        <v/>
      </c>
      <c r="O108">
        <f>IF(計分!O108="","",計分!O108^2)</f>
        <v/>
      </c>
      <c r="P108">
        <f>IF(計分!P108="","",計分!P108^2)</f>
        <v/>
      </c>
      <c r="Q108">
        <f>IF(計分!Q108="","",計分!Q108^2)</f>
        <v/>
      </c>
      <c r="R108">
        <f>IF(計分!R108="","",計分!R108^2)</f>
        <v/>
      </c>
      <c r="S108">
        <f>IF(計分!S108="","",計分!S108^2)</f>
        <v/>
      </c>
      <c r="T108">
        <f>IF(計分!T108="","",計分!T108^2)</f>
        <v/>
      </c>
      <c r="U108">
        <f>IF(計分!U108="","",計分!U108^2)</f>
        <v/>
      </c>
      <c r="V108">
        <f>IF(計分!V108="","",計分!V108^2)</f>
        <v/>
      </c>
      <c r="W108">
        <f>IF(計分!W108="","",計分!W108^2)</f>
        <v/>
      </c>
      <c r="X108">
        <f>IF(計分!X108="","",計分!X108^2)</f>
        <v/>
      </c>
      <c r="Y108">
        <f>IF(計分!Y108="","",計分!Y108^2)</f>
        <v/>
      </c>
      <c r="Z108">
        <f>IF(計分!Z108="","",計分!Z108^2)</f>
        <v/>
      </c>
      <c r="AA108">
        <f>IF(計分!AA108="","",計分!AA108^2)</f>
        <v/>
      </c>
      <c r="AB108">
        <f>IF(計分!AB108="","",計分!AB108^2)</f>
        <v/>
      </c>
      <c r="AC108">
        <f>IF(計分!AC108="","",計分!AC108^2)</f>
        <v/>
      </c>
      <c r="AD108">
        <f>IF(計分!AD108="","",計分!AD108^2)</f>
        <v/>
      </c>
      <c r="AE108">
        <f>IF(計分!AE108="","",計分!AE108^2)</f>
        <v/>
      </c>
      <c r="AF108">
        <f>IF(計分!AF108="","",計分!AF108^2)</f>
        <v/>
      </c>
      <c r="AG108">
        <f>IF(計分!AG108="","",計分!AG108^2)</f>
        <v/>
      </c>
      <c r="AH108">
        <f>IF(計分!AH108="","",計分!AH108^2)</f>
        <v/>
      </c>
      <c r="AI108">
        <f>IF(計分!AI108="","",計分!AI108^2)</f>
        <v/>
      </c>
      <c r="AJ108">
        <f>IF(計分!AJ108="","",計分!AJ108^2)</f>
        <v/>
      </c>
      <c r="AK108">
        <f>IF(計分!AK108="","",計分!AK108^2)</f>
        <v/>
      </c>
      <c r="AL108">
        <f>IF(計分!AL108="","",計分!AL108^2)</f>
        <v/>
      </c>
      <c r="AM108">
        <f>IF(計分!AM108="","",計分!AM108^2)</f>
        <v/>
      </c>
      <c r="AN108">
        <f>IF(計分!AN108="","",計分!AN108^2)</f>
        <v/>
      </c>
      <c r="AO108">
        <f>IF(計分!AO108="","",計分!AO108^2)</f>
        <v/>
      </c>
    </row>
    <row r="109">
      <c r="B109">
        <f>IF(計分!B109="","",計分!B109^2)</f>
        <v/>
      </c>
      <c r="C109">
        <f>IF(計分!C109="","",計分!C109^2)</f>
        <v/>
      </c>
      <c r="D109">
        <f>IF(計分!D109="","",計分!D109^2)</f>
        <v/>
      </c>
      <c r="E109">
        <f>IF(計分!E109="","",計分!E109^2)</f>
        <v/>
      </c>
      <c r="F109">
        <f>IF(計分!F109="","",計分!F109^2)</f>
        <v/>
      </c>
      <c r="G109">
        <f>IF(計分!G109="","",計分!G109^2)</f>
        <v/>
      </c>
      <c r="H109">
        <f>IF(計分!H109="","",計分!H109^2)</f>
        <v/>
      </c>
      <c r="I109">
        <f>IF(計分!I109="","",計分!I109^2)</f>
        <v/>
      </c>
      <c r="J109">
        <f>IF(計分!J109="","",計分!J109^2)</f>
        <v/>
      </c>
      <c r="K109">
        <f>IF(計分!K109="","",計分!K109^2)</f>
        <v/>
      </c>
      <c r="L109">
        <f>IF(計分!L109="","",計分!L109^2)</f>
        <v/>
      </c>
      <c r="M109">
        <f>IF(計分!M109="","",計分!M109^2)</f>
        <v/>
      </c>
      <c r="N109">
        <f>IF(計分!N109="","",計分!N109^2)</f>
        <v/>
      </c>
      <c r="O109">
        <f>IF(計分!O109="","",計分!O109^2)</f>
        <v/>
      </c>
      <c r="P109">
        <f>IF(計分!P109="","",計分!P109^2)</f>
        <v/>
      </c>
      <c r="Q109">
        <f>IF(計分!Q109="","",計分!Q109^2)</f>
        <v/>
      </c>
      <c r="R109">
        <f>IF(計分!R109="","",計分!R109^2)</f>
        <v/>
      </c>
      <c r="S109">
        <f>IF(計分!S109="","",計分!S109^2)</f>
        <v/>
      </c>
      <c r="T109">
        <f>IF(計分!T109="","",計分!T109^2)</f>
        <v/>
      </c>
      <c r="U109">
        <f>IF(計分!U109="","",計分!U109^2)</f>
        <v/>
      </c>
      <c r="V109">
        <f>IF(計分!V109="","",計分!V109^2)</f>
        <v/>
      </c>
      <c r="W109">
        <f>IF(計分!W109="","",計分!W109^2)</f>
        <v/>
      </c>
      <c r="X109">
        <f>IF(計分!X109="","",計分!X109^2)</f>
        <v/>
      </c>
      <c r="Y109">
        <f>IF(計分!Y109="","",計分!Y109^2)</f>
        <v/>
      </c>
      <c r="Z109">
        <f>IF(計分!Z109="","",計分!Z109^2)</f>
        <v/>
      </c>
      <c r="AA109">
        <f>IF(計分!AA109="","",計分!AA109^2)</f>
        <v/>
      </c>
      <c r="AB109">
        <f>IF(計分!AB109="","",計分!AB109^2)</f>
        <v/>
      </c>
      <c r="AC109">
        <f>IF(計分!AC109="","",計分!AC109^2)</f>
        <v/>
      </c>
      <c r="AD109">
        <f>IF(計分!AD109="","",計分!AD109^2)</f>
        <v/>
      </c>
      <c r="AE109">
        <f>IF(計分!AE109="","",計分!AE109^2)</f>
        <v/>
      </c>
      <c r="AF109">
        <f>IF(計分!AF109="","",計分!AF109^2)</f>
        <v/>
      </c>
      <c r="AG109">
        <f>IF(計分!AG109="","",計分!AG109^2)</f>
        <v/>
      </c>
      <c r="AH109">
        <f>IF(計分!AH109="","",計分!AH109^2)</f>
        <v/>
      </c>
      <c r="AI109">
        <f>IF(計分!AI109="","",計分!AI109^2)</f>
        <v/>
      </c>
      <c r="AJ109">
        <f>IF(計分!AJ109="","",計分!AJ109^2)</f>
        <v/>
      </c>
      <c r="AK109">
        <f>IF(計分!AK109="","",計分!AK109^2)</f>
        <v/>
      </c>
      <c r="AL109">
        <f>IF(計分!AL109="","",計分!AL109^2)</f>
        <v/>
      </c>
      <c r="AM109">
        <f>IF(計分!AM109="","",計分!AM109^2)</f>
        <v/>
      </c>
      <c r="AN109">
        <f>IF(計分!AN109="","",計分!AN109^2)</f>
        <v/>
      </c>
      <c r="AO109">
        <f>IF(計分!AO109="","",計分!AO109^2)</f>
        <v/>
      </c>
    </row>
    <row r="110">
      <c r="B110">
        <f>IF(計分!B110="","",計分!B110^2)</f>
        <v/>
      </c>
      <c r="C110">
        <f>IF(計分!C110="","",計分!C110^2)</f>
        <v/>
      </c>
      <c r="D110">
        <f>IF(計分!D110="","",計分!D110^2)</f>
        <v/>
      </c>
      <c r="E110">
        <f>IF(計分!E110="","",計分!E110^2)</f>
        <v/>
      </c>
      <c r="F110">
        <f>IF(計分!F110="","",計分!F110^2)</f>
        <v/>
      </c>
      <c r="G110">
        <f>IF(計分!G110="","",計分!G110^2)</f>
        <v/>
      </c>
      <c r="H110">
        <f>IF(計分!H110="","",計分!H110^2)</f>
        <v/>
      </c>
      <c r="I110">
        <f>IF(計分!I110="","",計分!I110^2)</f>
        <v/>
      </c>
      <c r="J110">
        <f>IF(計分!J110="","",計分!J110^2)</f>
        <v/>
      </c>
      <c r="K110">
        <f>IF(計分!K110="","",計分!K110^2)</f>
        <v/>
      </c>
      <c r="L110">
        <f>IF(計分!L110="","",計分!L110^2)</f>
        <v/>
      </c>
      <c r="M110">
        <f>IF(計分!M110="","",計分!M110^2)</f>
        <v/>
      </c>
      <c r="N110">
        <f>IF(計分!N110="","",計分!N110^2)</f>
        <v/>
      </c>
      <c r="O110">
        <f>IF(計分!O110="","",計分!O110^2)</f>
        <v/>
      </c>
      <c r="P110">
        <f>IF(計分!P110="","",計分!P110^2)</f>
        <v/>
      </c>
      <c r="Q110">
        <f>IF(計分!Q110="","",計分!Q110^2)</f>
        <v/>
      </c>
      <c r="R110">
        <f>IF(計分!R110="","",計分!R110^2)</f>
        <v/>
      </c>
      <c r="S110">
        <f>IF(計分!S110="","",計分!S110^2)</f>
        <v/>
      </c>
      <c r="T110">
        <f>IF(計分!T110="","",計分!T110^2)</f>
        <v/>
      </c>
      <c r="U110">
        <f>IF(計分!U110="","",計分!U110^2)</f>
        <v/>
      </c>
      <c r="V110">
        <f>IF(計分!V110="","",計分!V110^2)</f>
        <v/>
      </c>
      <c r="W110">
        <f>IF(計分!W110="","",計分!W110^2)</f>
        <v/>
      </c>
      <c r="X110">
        <f>IF(計分!X110="","",計分!X110^2)</f>
        <v/>
      </c>
      <c r="Y110">
        <f>IF(計分!Y110="","",計分!Y110^2)</f>
        <v/>
      </c>
      <c r="Z110">
        <f>IF(計分!Z110="","",計分!Z110^2)</f>
        <v/>
      </c>
      <c r="AA110">
        <f>IF(計分!AA110="","",計分!AA110^2)</f>
        <v/>
      </c>
      <c r="AB110">
        <f>IF(計分!AB110="","",計分!AB110^2)</f>
        <v/>
      </c>
      <c r="AC110">
        <f>IF(計分!AC110="","",計分!AC110^2)</f>
        <v/>
      </c>
      <c r="AD110">
        <f>IF(計分!AD110="","",計分!AD110^2)</f>
        <v/>
      </c>
      <c r="AE110">
        <f>IF(計分!AE110="","",計分!AE110^2)</f>
        <v/>
      </c>
      <c r="AF110">
        <f>IF(計分!AF110="","",計分!AF110^2)</f>
        <v/>
      </c>
      <c r="AG110">
        <f>IF(計分!AG110="","",計分!AG110^2)</f>
        <v/>
      </c>
      <c r="AH110">
        <f>IF(計分!AH110="","",計分!AH110^2)</f>
        <v/>
      </c>
      <c r="AI110">
        <f>IF(計分!AI110="","",計分!AI110^2)</f>
        <v/>
      </c>
      <c r="AJ110">
        <f>IF(計分!AJ110="","",計分!AJ110^2)</f>
        <v/>
      </c>
      <c r="AK110">
        <f>IF(計分!AK110="","",計分!AK110^2)</f>
        <v/>
      </c>
      <c r="AL110">
        <f>IF(計分!AL110="","",計分!AL110^2)</f>
        <v/>
      </c>
      <c r="AM110">
        <f>IF(計分!AM110="","",計分!AM110^2)</f>
        <v/>
      </c>
      <c r="AN110">
        <f>IF(計分!AN110="","",計分!AN110^2)</f>
        <v/>
      </c>
      <c r="AO110">
        <f>IF(計分!AO110="","",計分!AO110^2)</f>
        <v/>
      </c>
    </row>
    <row r="111">
      <c r="B111">
        <f>IF(計分!B111="","",計分!B111^2)</f>
        <v/>
      </c>
      <c r="C111">
        <f>IF(計分!C111="","",計分!C111^2)</f>
        <v/>
      </c>
      <c r="D111">
        <f>IF(計分!D111="","",計分!D111^2)</f>
        <v/>
      </c>
      <c r="E111">
        <f>IF(計分!E111="","",計分!E111^2)</f>
        <v/>
      </c>
      <c r="F111">
        <f>IF(計分!F111="","",計分!F111^2)</f>
        <v/>
      </c>
      <c r="G111">
        <f>IF(計分!G111="","",計分!G111^2)</f>
        <v/>
      </c>
      <c r="H111">
        <f>IF(計分!H111="","",計分!H111^2)</f>
        <v/>
      </c>
      <c r="I111">
        <f>IF(計分!I111="","",計分!I111^2)</f>
        <v/>
      </c>
      <c r="J111">
        <f>IF(計分!J111="","",計分!J111^2)</f>
        <v/>
      </c>
      <c r="K111">
        <f>IF(計分!K111="","",計分!K111^2)</f>
        <v/>
      </c>
      <c r="L111">
        <f>IF(計分!L111="","",計分!L111^2)</f>
        <v/>
      </c>
      <c r="M111">
        <f>IF(計分!M111="","",計分!M111^2)</f>
        <v/>
      </c>
      <c r="N111">
        <f>IF(計分!N111="","",計分!N111^2)</f>
        <v/>
      </c>
      <c r="O111">
        <f>IF(計分!O111="","",計分!O111^2)</f>
        <v/>
      </c>
      <c r="P111">
        <f>IF(計分!P111="","",計分!P111^2)</f>
        <v/>
      </c>
      <c r="Q111">
        <f>IF(計分!Q111="","",計分!Q111^2)</f>
        <v/>
      </c>
      <c r="R111">
        <f>IF(計分!R111="","",計分!R111^2)</f>
        <v/>
      </c>
      <c r="S111">
        <f>IF(計分!S111="","",計分!S111^2)</f>
        <v/>
      </c>
      <c r="T111">
        <f>IF(計分!T111="","",計分!T111^2)</f>
        <v/>
      </c>
      <c r="U111">
        <f>IF(計分!U111="","",計分!U111^2)</f>
        <v/>
      </c>
      <c r="V111">
        <f>IF(計分!V111="","",計分!V111^2)</f>
        <v/>
      </c>
      <c r="W111">
        <f>IF(計分!W111="","",計分!W111^2)</f>
        <v/>
      </c>
      <c r="X111">
        <f>IF(計分!X111="","",計分!X111^2)</f>
        <v/>
      </c>
      <c r="Y111">
        <f>IF(計分!Y111="","",計分!Y111^2)</f>
        <v/>
      </c>
      <c r="Z111">
        <f>IF(計分!Z111="","",計分!Z111^2)</f>
        <v/>
      </c>
      <c r="AA111">
        <f>IF(計分!AA111="","",計分!AA111^2)</f>
        <v/>
      </c>
      <c r="AB111">
        <f>IF(計分!AB111="","",計分!AB111^2)</f>
        <v/>
      </c>
      <c r="AC111">
        <f>IF(計分!AC111="","",計分!AC111^2)</f>
        <v/>
      </c>
      <c r="AD111">
        <f>IF(計分!AD111="","",計分!AD111^2)</f>
        <v/>
      </c>
      <c r="AE111">
        <f>IF(計分!AE111="","",計分!AE111^2)</f>
        <v/>
      </c>
      <c r="AF111">
        <f>IF(計分!AF111="","",計分!AF111^2)</f>
        <v/>
      </c>
      <c r="AG111">
        <f>IF(計分!AG111="","",計分!AG111^2)</f>
        <v/>
      </c>
      <c r="AH111">
        <f>IF(計分!AH111="","",計分!AH111^2)</f>
        <v/>
      </c>
      <c r="AI111">
        <f>IF(計分!AI111="","",計分!AI111^2)</f>
        <v/>
      </c>
      <c r="AJ111">
        <f>IF(計分!AJ111="","",計分!AJ111^2)</f>
        <v/>
      </c>
      <c r="AK111">
        <f>IF(計分!AK111="","",計分!AK111^2)</f>
        <v/>
      </c>
      <c r="AL111">
        <f>IF(計分!AL111="","",計分!AL111^2)</f>
        <v/>
      </c>
      <c r="AM111">
        <f>IF(計分!AM111="","",計分!AM111^2)</f>
        <v/>
      </c>
      <c r="AN111">
        <f>IF(計分!AN111="","",計分!AN111^2)</f>
        <v/>
      </c>
      <c r="AO111">
        <f>IF(計分!AO111="","",計分!AO111^2)</f>
        <v/>
      </c>
    </row>
    <row r="112">
      <c r="B112">
        <f>IF(計分!B112="","",計分!B112^2)</f>
        <v/>
      </c>
      <c r="C112">
        <f>IF(計分!C112="","",計分!C112^2)</f>
        <v/>
      </c>
      <c r="D112">
        <f>IF(計分!D112="","",計分!D112^2)</f>
        <v/>
      </c>
      <c r="E112">
        <f>IF(計分!E112="","",計分!E112^2)</f>
        <v/>
      </c>
      <c r="F112">
        <f>IF(計分!F112="","",計分!F112^2)</f>
        <v/>
      </c>
      <c r="G112">
        <f>IF(計分!G112="","",計分!G112^2)</f>
        <v/>
      </c>
      <c r="H112">
        <f>IF(計分!H112="","",計分!H112^2)</f>
        <v/>
      </c>
      <c r="I112">
        <f>IF(計分!I112="","",計分!I112^2)</f>
        <v/>
      </c>
      <c r="J112">
        <f>IF(計分!J112="","",計分!J112^2)</f>
        <v/>
      </c>
      <c r="K112">
        <f>IF(計分!K112="","",計分!K112^2)</f>
        <v/>
      </c>
      <c r="L112">
        <f>IF(計分!L112="","",計分!L112^2)</f>
        <v/>
      </c>
      <c r="M112">
        <f>IF(計分!M112="","",計分!M112^2)</f>
        <v/>
      </c>
      <c r="N112">
        <f>IF(計分!N112="","",計分!N112^2)</f>
        <v/>
      </c>
      <c r="O112">
        <f>IF(計分!O112="","",計分!O112^2)</f>
        <v/>
      </c>
      <c r="P112">
        <f>IF(計分!P112="","",計分!P112^2)</f>
        <v/>
      </c>
      <c r="Q112">
        <f>IF(計分!Q112="","",計分!Q112^2)</f>
        <v/>
      </c>
      <c r="R112">
        <f>IF(計分!R112="","",計分!R112^2)</f>
        <v/>
      </c>
      <c r="S112">
        <f>IF(計分!S112="","",計分!S112^2)</f>
        <v/>
      </c>
      <c r="T112">
        <f>IF(計分!T112="","",計分!T112^2)</f>
        <v/>
      </c>
      <c r="U112">
        <f>IF(計分!U112="","",計分!U112^2)</f>
        <v/>
      </c>
      <c r="V112">
        <f>IF(計分!V112="","",計分!V112^2)</f>
        <v/>
      </c>
      <c r="W112">
        <f>IF(計分!W112="","",計分!W112^2)</f>
        <v/>
      </c>
      <c r="X112">
        <f>IF(計分!X112="","",計分!X112^2)</f>
        <v/>
      </c>
      <c r="Y112">
        <f>IF(計分!Y112="","",計分!Y112^2)</f>
        <v/>
      </c>
      <c r="Z112">
        <f>IF(計分!Z112="","",計分!Z112^2)</f>
        <v/>
      </c>
      <c r="AA112">
        <f>IF(計分!AA112="","",計分!AA112^2)</f>
        <v/>
      </c>
      <c r="AB112">
        <f>IF(計分!AB112="","",計分!AB112^2)</f>
        <v/>
      </c>
      <c r="AC112">
        <f>IF(計分!AC112="","",計分!AC112^2)</f>
        <v/>
      </c>
      <c r="AD112">
        <f>IF(計分!AD112="","",計分!AD112^2)</f>
        <v/>
      </c>
      <c r="AE112">
        <f>IF(計分!AE112="","",計分!AE112^2)</f>
        <v/>
      </c>
      <c r="AF112">
        <f>IF(計分!AF112="","",計分!AF112^2)</f>
        <v/>
      </c>
      <c r="AG112">
        <f>IF(計分!AG112="","",計分!AG112^2)</f>
        <v/>
      </c>
      <c r="AH112">
        <f>IF(計分!AH112="","",計分!AH112^2)</f>
        <v/>
      </c>
      <c r="AI112">
        <f>IF(計分!AI112="","",計分!AI112^2)</f>
        <v/>
      </c>
      <c r="AJ112">
        <f>IF(計分!AJ112="","",計分!AJ112^2)</f>
        <v/>
      </c>
      <c r="AK112">
        <f>IF(計分!AK112="","",計分!AK112^2)</f>
        <v/>
      </c>
      <c r="AL112">
        <f>IF(計分!AL112="","",計分!AL112^2)</f>
        <v/>
      </c>
      <c r="AM112">
        <f>IF(計分!AM112="","",計分!AM112^2)</f>
        <v/>
      </c>
      <c r="AN112">
        <f>IF(計分!AN112="","",計分!AN112^2)</f>
        <v/>
      </c>
      <c r="AO112">
        <f>IF(計分!AO112="","",計分!AO112^2)</f>
        <v/>
      </c>
    </row>
    <row r="113">
      <c r="B113">
        <f>IF(計分!B113="","",計分!B113^2)</f>
        <v/>
      </c>
      <c r="C113">
        <f>IF(計分!C113="","",計分!C113^2)</f>
        <v/>
      </c>
      <c r="D113">
        <f>IF(計分!D113="","",計分!D113^2)</f>
        <v/>
      </c>
      <c r="E113">
        <f>IF(計分!E113="","",計分!E113^2)</f>
        <v/>
      </c>
      <c r="F113">
        <f>IF(計分!F113="","",計分!F113^2)</f>
        <v/>
      </c>
      <c r="G113">
        <f>IF(計分!G113="","",計分!G113^2)</f>
        <v/>
      </c>
      <c r="H113">
        <f>IF(計分!H113="","",計分!H113^2)</f>
        <v/>
      </c>
      <c r="I113">
        <f>IF(計分!I113="","",計分!I113^2)</f>
        <v/>
      </c>
      <c r="J113">
        <f>IF(計分!J113="","",計分!J113^2)</f>
        <v/>
      </c>
      <c r="K113">
        <f>IF(計分!K113="","",計分!K113^2)</f>
        <v/>
      </c>
      <c r="L113">
        <f>IF(計分!L113="","",計分!L113^2)</f>
        <v/>
      </c>
      <c r="M113">
        <f>IF(計分!M113="","",計分!M113^2)</f>
        <v/>
      </c>
      <c r="N113">
        <f>IF(計分!N113="","",計分!N113^2)</f>
        <v/>
      </c>
      <c r="O113">
        <f>IF(計分!O113="","",計分!O113^2)</f>
        <v/>
      </c>
      <c r="P113">
        <f>IF(計分!P113="","",計分!P113^2)</f>
        <v/>
      </c>
      <c r="Q113">
        <f>IF(計分!Q113="","",計分!Q113^2)</f>
        <v/>
      </c>
      <c r="R113">
        <f>IF(計分!R113="","",計分!R113^2)</f>
        <v/>
      </c>
      <c r="S113">
        <f>IF(計分!S113="","",計分!S113^2)</f>
        <v/>
      </c>
      <c r="T113">
        <f>IF(計分!T113="","",計分!T113^2)</f>
        <v/>
      </c>
      <c r="U113">
        <f>IF(計分!U113="","",計分!U113^2)</f>
        <v/>
      </c>
      <c r="V113">
        <f>IF(計分!V113="","",計分!V113^2)</f>
        <v/>
      </c>
      <c r="W113">
        <f>IF(計分!W113="","",計分!W113^2)</f>
        <v/>
      </c>
      <c r="X113">
        <f>IF(計分!X113="","",計分!X113^2)</f>
        <v/>
      </c>
      <c r="Y113">
        <f>IF(計分!Y113="","",計分!Y113^2)</f>
        <v/>
      </c>
      <c r="Z113">
        <f>IF(計分!Z113="","",計分!Z113^2)</f>
        <v/>
      </c>
      <c r="AA113">
        <f>IF(計分!AA113="","",計分!AA113^2)</f>
        <v/>
      </c>
      <c r="AB113">
        <f>IF(計分!AB113="","",計分!AB113^2)</f>
        <v/>
      </c>
      <c r="AC113">
        <f>IF(計分!AC113="","",計分!AC113^2)</f>
        <v/>
      </c>
      <c r="AD113">
        <f>IF(計分!AD113="","",計分!AD113^2)</f>
        <v/>
      </c>
      <c r="AE113">
        <f>IF(計分!AE113="","",計分!AE113^2)</f>
        <v/>
      </c>
      <c r="AF113">
        <f>IF(計分!AF113="","",計分!AF113^2)</f>
        <v/>
      </c>
      <c r="AG113">
        <f>IF(計分!AG113="","",計分!AG113^2)</f>
        <v/>
      </c>
      <c r="AH113">
        <f>IF(計分!AH113="","",計分!AH113^2)</f>
        <v/>
      </c>
      <c r="AI113">
        <f>IF(計分!AI113="","",計分!AI113^2)</f>
        <v/>
      </c>
      <c r="AJ113">
        <f>IF(計分!AJ113="","",計分!AJ113^2)</f>
        <v/>
      </c>
      <c r="AK113">
        <f>IF(計分!AK113="","",計分!AK113^2)</f>
        <v/>
      </c>
      <c r="AL113">
        <f>IF(計分!AL113="","",計分!AL113^2)</f>
        <v/>
      </c>
      <c r="AM113">
        <f>IF(計分!AM113="","",計分!AM113^2)</f>
        <v/>
      </c>
      <c r="AN113">
        <f>IF(計分!AN113="","",計分!AN113^2)</f>
        <v/>
      </c>
      <c r="AO113">
        <f>IF(計分!AO113="","",計分!AO113^2)</f>
        <v/>
      </c>
    </row>
    <row r="114">
      <c r="B114">
        <f>IF(計分!B114="","",計分!B114^2)</f>
        <v/>
      </c>
      <c r="C114">
        <f>IF(計分!C114="","",計分!C114^2)</f>
        <v/>
      </c>
      <c r="D114">
        <f>IF(計分!D114="","",計分!D114^2)</f>
        <v/>
      </c>
      <c r="E114">
        <f>IF(計分!E114="","",計分!E114^2)</f>
        <v/>
      </c>
      <c r="F114">
        <f>IF(計分!F114="","",計分!F114^2)</f>
        <v/>
      </c>
      <c r="G114">
        <f>IF(計分!G114="","",計分!G114^2)</f>
        <v/>
      </c>
      <c r="H114">
        <f>IF(計分!H114="","",計分!H114^2)</f>
        <v/>
      </c>
      <c r="I114">
        <f>IF(計分!I114="","",計分!I114^2)</f>
        <v/>
      </c>
      <c r="J114">
        <f>IF(計分!J114="","",計分!J114^2)</f>
        <v/>
      </c>
      <c r="K114">
        <f>IF(計分!K114="","",計分!K114^2)</f>
        <v/>
      </c>
      <c r="L114">
        <f>IF(計分!L114="","",計分!L114^2)</f>
        <v/>
      </c>
      <c r="M114">
        <f>IF(計分!M114="","",計分!M114^2)</f>
        <v/>
      </c>
      <c r="N114">
        <f>IF(計分!N114="","",計分!N114^2)</f>
        <v/>
      </c>
      <c r="O114">
        <f>IF(計分!O114="","",計分!O114^2)</f>
        <v/>
      </c>
      <c r="P114">
        <f>IF(計分!P114="","",計分!P114^2)</f>
        <v/>
      </c>
      <c r="Q114">
        <f>IF(計分!Q114="","",計分!Q114^2)</f>
        <v/>
      </c>
      <c r="R114">
        <f>IF(計分!R114="","",計分!R114^2)</f>
        <v/>
      </c>
      <c r="S114">
        <f>IF(計分!S114="","",計分!S114^2)</f>
        <v/>
      </c>
      <c r="T114">
        <f>IF(計分!T114="","",計分!T114^2)</f>
        <v/>
      </c>
      <c r="U114">
        <f>IF(計分!U114="","",計分!U114^2)</f>
        <v/>
      </c>
      <c r="V114">
        <f>IF(計分!V114="","",計分!V114^2)</f>
        <v/>
      </c>
      <c r="W114">
        <f>IF(計分!W114="","",計分!W114^2)</f>
        <v/>
      </c>
      <c r="X114">
        <f>IF(計分!X114="","",計分!X114^2)</f>
        <v/>
      </c>
      <c r="Y114">
        <f>IF(計分!Y114="","",計分!Y114^2)</f>
        <v/>
      </c>
      <c r="Z114">
        <f>IF(計分!Z114="","",計分!Z114^2)</f>
        <v/>
      </c>
      <c r="AA114">
        <f>IF(計分!AA114="","",計分!AA114^2)</f>
        <v/>
      </c>
      <c r="AB114">
        <f>IF(計分!AB114="","",計分!AB114^2)</f>
        <v/>
      </c>
      <c r="AC114">
        <f>IF(計分!AC114="","",計分!AC114^2)</f>
        <v/>
      </c>
      <c r="AD114">
        <f>IF(計分!AD114="","",計分!AD114^2)</f>
        <v/>
      </c>
      <c r="AE114">
        <f>IF(計分!AE114="","",計分!AE114^2)</f>
        <v/>
      </c>
      <c r="AF114">
        <f>IF(計分!AF114="","",計分!AF114^2)</f>
        <v/>
      </c>
      <c r="AG114">
        <f>IF(計分!AG114="","",計分!AG114^2)</f>
        <v/>
      </c>
      <c r="AH114">
        <f>IF(計分!AH114="","",計分!AH114^2)</f>
        <v/>
      </c>
      <c r="AI114">
        <f>IF(計分!AI114="","",計分!AI114^2)</f>
        <v/>
      </c>
      <c r="AJ114">
        <f>IF(計分!AJ114="","",計分!AJ114^2)</f>
        <v/>
      </c>
      <c r="AK114">
        <f>IF(計分!AK114="","",計分!AK114^2)</f>
        <v/>
      </c>
      <c r="AL114">
        <f>IF(計分!AL114="","",計分!AL114^2)</f>
        <v/>
      </c>
      <c r="AM114">
        <f>IF(計分!AM114="","",計分!AM114^2)</f>
        <v/>
      </c>
      <c r="AN114">
        <f>IF(計分!AN114="","",計分!AN114^2)</f>
        <v/>
      </c>
      <c r="AO114">
        <f>IF(計分!AO114="","",計分!AO114^2)</f>
        <v/>
      </c>
    </row>
    <row r="115">
      <c r="B115">
        <f>IF(計分!B115="","",計分!B115^2)</f>
        <v/>
      </c>
      <c r="C115">
        <f>IF(計分!C115="","",計分!C115^2)</f>
        <v/>
      </c>
      <c r="D115">
        <f>IF(計分!D115="","",計分!D115^2)</f>
        <v/>
      </c>
      <c r="E115">
        <f>IF(計分!E115="","",計分!E115^2)</f>
        <v/>
      </c>
      <c r="F115">
        <f>IF(計分!F115="","",計分!F115^2)</f>
        <v/>
      </c>
      <c r="G115">
        <f>IF(計分!G115="","",計分!G115^2)</f>
        <v/>
      </c>
      <c r="H115">
        <f>IF(計分!H115="","",計分!H115^2)</f>
        <v/>
      </c>
      <c r="I115">
        <f>IF(計分!I115="","",計分!I115^2)</f>
        <v/>
      </c>
      <c r="J115">
        <f>IF(計分!J115="","",計分!J115^2)</f>
        <v/>
      </c>
      <c r="K115">
        <f>IF(計分!K115="","",計分!K115^2)</f>
        <v/>
      </c>
      <c r="L115">
        <f>IF(計分!L115="","",計分!L115^2)</f>
        <v/>
      </c>
      <c r="M115">
        <f>IF(計分!M115="","",計分!M115^2)</f>
        <v/>
      </c>
      <c r="N115">
        <f>IF(計分!N115="","",計分!N115^2)</f>
        <v/>
      </c>
      <c r="O115">
        <f>IF(計分!O115="","",計分!O115^2)</f>
        <v/>
      </c>
      <c r="P115">
        <f>IF(計分!P115="","",計分!P115^2)</f>
        <v/>
      </c>
      <c r="Q115">
        <f>IF(計分!Q115="","",計分!Q115^2)</f>
        <v/>
      </c>
      <c r="R115">
        <f>IF(計分!R115="","",計分!R115^2)</f>
        <v/>
      </c>
      <c r="S115">
        <f>IF(計分!S115="","",計分!S115^2)</f>
        <v/>
      </c>
      <c r="T115">
        <f>IF(計分!T115="","",計分!T115^2)</f>
        <v/>
      </c>
      <c r="U115">
        <f>IF(計分!U115="","",計分!U115^2)</f>
        <v/>
      </c>
      <c r="V115">
        <f>IF(計分!V115="","",計分!V115^2)</f>
        <v/>
      </c>
      <c r="W115">
        <f>IF(計分!W115="","",計分!W115^2)</f>
        <v/>
      </c>
      <c r="X115">
        <f>IF(計分!X115="","",計分!X115^2)</f>
        <v/>
      </c>
      <c r="Y115">
        <f>IF(計分!Y115="","",計分!Y115^2)</f>
        <v/>
      </c>
      <c r="Z115">
        <f>IF(計分!Z115="","",計分!Z115^2)</f>
        <v/>
      </c>
      <c r="AA115">
        <f>IF(計分!AA115="","",計分!AA115^2)</f>
        <v/>
      </c>
      <c r="AB115">
        <f>IF(計分!AB115="","",計分!AB115^2)</f>
        <v/>
      </c>
      <c r="AC115">
        <f>IF(計分!AC115="","",計分!AC115^2)</f>
        <v/>
      </c>
      <c r="AD115">
        <f>IF(計分!AD115="","",計分!AD115^2)</f>
        <v/>
      </c>
      <c r="AE115">
        <f>IF(計分!AE115="","",計分!AE115^2)</f>
        <v/>
      </c>
      <c r="AF115">
        <f>IF(計分!AF115="","",計分!AF115^2)</f>
        <v/>
      </c>
      <c r="AG115">
        <f>IF(計分!AG115="","",計分!AG115^2)</f>
        <v/>
      </c>
      <c r="AH115">
        <f>IF(計分!AH115="","",計分!AH115^2)</f>
        <v/>
      </c>
      <c r="AI115">
        <f>IF(計分!AI115="","",計分!AI115^2)</f>
        <v/>
      </c>
      <c r="AJ115">
        <f>IF(計分!AJ115="","",計分!AJ115^2)</f>
        <v/>
      </c>
      <c r="AK115">
        <f>IF(計分!AK115="","",計分!AK115^2)</f>
        <v/>
      </c>
      <c r="AL115">
        <f>IF(計分!AL115="","",計分!AL115^2)</f>
        <v/>
      </c>
      <c r="AM115">
        <f>IF(計分!AM115="","",計分!AM115^2)</f>
        <v/>
      </c>
      <c r="AN115">
        <f>IF(計分!AN115="","",計分!AN115^2)</f>
        <v/>
      </c>
      <c r="AO115">
        <f>IF(計分!AO115="","",計分!AO115^2)</f>
        <v/>
      </c>
    </row>
    <row r="116">
      <c r="B116">
        <f>IF(計分!B116="","",計分!B116^2)</f>
        <v/>
      </c>
      <c r="C116">
        <f>IF(計分!C116="","",計分!C116^2)</f>
        <v/>
      </c>
      <c r="D116">
        <f>IF(計分!D116="","",計分!D116^2)</f>
        <v/>
      </c>
      <c r="E116">
        <f>IF(計分!E116="","",計分!E116^2)</f>
        <v/>
      </c>
      <c r="F116">
        <f>IF(計分!F116="","",計分!F116^2)</f>
        <v/>
      </c>
      <c r="G116">
        <f>IF(計分!G116="","",計分!G116^2)</f>
        <v/>
      </c>
      <c r="H116">
        <f>IF(計分!H116="","",計分!H116^2)</f>
        <v/>
      </c>
      <c r="I116">
        <f>IF(計分!I116="","",計分!I116^2)</f>
        <v/>
      </c>
      <c r="J116">
        <f>IF(計分!J116="","",計分!J116^2)</f>
        <v/>
      </c>
      <c r="K116">
        <f>IF(計分!K116="","",計分!K116^2)</f>
        <v/>
      </c>
      <c r="L116">
        <f>IF(計分!L116="","",計分!L116^2)</f>
        <v/>
      </c>
      <c r="M116">
        <f>IF(計分!M116="","",計分!M116^2)</f>
        <v/>
      </c>
      <c r="N116">
        <f>IF(計分!N116="","",計分!N116^2)</f>
        <v/>
      </c>
      <c r="O116">
        <f>IF(計分!O116="","",計分!O116^2)</f>
        <v/>
      </c>
      <c r="P116">
        <f>IF(計分!P116="","",計分!P116^2)</f>
        <v/>
      </c>
      <c r="Q116">
        <f>IF(計分!Q116="","",計分!Q116^2)</f>
        <v/>
      </c>
      <c r="R116">
        <f>IF(計分!R116="","",計分!R116^2)</f>
        <v/>
      </c>
      <c r="S116">
        <f>IF(計分!S116="","",計分!S116^2)</f>
        <v/>
      </c>
      <c r="T116">
        <f>IF(計分!T116="","",計分!T116^2)</f>
        <v/>
      </c>
      <c r="U116">
        <f>IF(計分!U116="","",計分!U116^2)</f>
        <v/>
      </c>
      <c r="V116">
        <f>IF(計分!V116="","",計分!V116^2)</f>
        <v/>
      </c>
      <c r="W116">
        <f>IF(計分!W116="","",計分!W116^2)</f>
        <v/>
      </c>
      <c r="X116">
        <f>IF(計分!X116="","",計分!X116^2)</f>
        <v/>
      </c>
      <c r="Y116">
        <f>IF(計分!Y116="","",計分!Y116^2)</f>
        <v/>
      </c>
      <c r="Z116">
        <f>IF(計分!Z116="","",計分!Z116^2)</f>
        <v/>
      </c>
      <c r="AA116">
        <f>IF(計分!AA116="","",計分!AA116^2)</f>
        <v/>
      </c>
      <c r="AB116">
        <f>IF(計分!AB116="","",計分!AB116^2)</f>
        <v/>
      </c>
      <c r="AC116">
        <f>IF(計分!AC116="","",計分!AC116^2)</f>
        <v/>
      </c>
      <c r="AD116">
        <f>IF(計分!AD116="","",計分!AD116^2)</f>
        <v/>
      </c>
      <c r="AE116">
        <f>IF(計分!AE116="","",計分!AE116^2)</f>
        <v/>
      </c>
      <c r="AF116">
        <f>IF(計分!AF116="","",計分!AF116^2)</f>
        <v/>
      </c>
      <c r="AG116">
        <f>IF(計分!AG116="","",計分!AG116^2)</f>
        <v/>
      </c>
      <c r="AH116">
        <f>IF(計分!AH116="","",計分!AH116^2)</f>
        <v/>
      </c>
      <c r="AI116">
        <f>IF(計分!AI116="","",計分!AI116^2)</f>
        <v/>
      </c>
      <c r="AJ116">
        <f>IF(計分!AJ116="","",計分!AJ116^2)</f>
        <v/>
      </c>
      <c r="AK116">
        <f>IF(計分!AK116="","",計分!AK116^2)</f>
        <v/>
      </c>
      <c r="AL116">
        <f>IF(計分!AL116="","",計分!AL116^2)</f>
        <v/>
      </c>
      <c r="AM116">
        <f>IF(計分!AM116="","",計分!AM116^2)</f>
        <v/>
      </c>
      <c r="AN116">
        <f>IF(計分!AN116="","",計分!AN116^2)</f>
        <v/>
      </c>
      <c r="AO116">
        <f>IF(計分!AO116="","",計分!AO116^2)</f>
        <v/>
      </c>
    </row>
    <row r="117">
      <c r="B117">
        <f>IF(計分!B117="","",計分!B117^2)</f>
        <v/>
      </c>
      <c r="C117">
        <f>IF(計分!C117="","",計分!C117^2)</f>
        <v/>
      </c>
      <c r="D117">
        <f>IF(計分!D117="","",計分!D117^2)</f>
        <v/>
      </c>
      <c r="E117">
        <f>IF(計分!E117="","",計分!E117^2)</f>
        <v/>
      </c>
      <c r="F117">
        <f>IF(計分!F117="","",計分!F117^2)</f>
        <v/>
      </c>
      <c r="G117">
        <f>IF(計分!G117="","",計分!G117^2)</f>
        <v/>
      </c>
      <c r="H117">
        <f>IF(計分!H117="","",計分!H117^2)</f>
        <v/>
      </c>
      <c r="I117">
        <f>IF(計分!I117="","",計分!I117^2)</f>
        <v/>
      </c>
      <c r="J117">
        <f>IF(計分!J117="","",計分!J117^2)</f>
        <v/>
      </c>
      <c r="K117">
        <f>IF(計分!K117="","",計分!K117^2)</f>
        <v/>
      </c>
      <c r="L117">
        <f>IF(計分!L117="","",計分!L117^2)</f>
        <v/>
      </c>
      <c r="M117">
        <f>IF(計分!M117="","",計分!M117^2)</f>
        <v/>
      </c>
      <c r="N117">
        <f>IF(計分!N117="","",計分!N117^2)</f>
        <v/>
      </c>
      <c r="O117">
        <f>IF(計分!O117="","",計分!O117^2)</f>
        <v/>
      </c>
      <c r="P117">
        <f>IF(計分!P117="","",計分!P117^2)</f>
        <v/>
      </c>
      <c r="Q117">
        <f>IF(計分!Q117="","",計分!Q117^2)</f>
        <v/>
      </c>
      <c r="R117">
        <f>IF(計分!R117="","",計分!R117^2)</f>
        <v/>
      </c>
      <c r="S117">
        <f>IF(計分!S117="","",計分!S117^2)</f>
        <v/>
      </c>
      <c r="T117">
        <f>IF(計分!T117="","",計分!T117^2)</f>
        <v/>
      </c>
      <c r="U117">
        <f>IF(計分!U117="","",計分!U117^2)</f>
        <v/>
      </c>
      <c r="V117">
        <f>IF(計分!V117="","",計分!V117^2)</f>
        <v/>
      </c>
      <c r="W117">
        <f>IF(計分!W117="","",計分!W117^2)</f>
        <v/>
      </c>
      <c r="X117">
        <f>IF(計分!X117="","",計分!X117^2)</f>
        <v/>
      </c>
      <c r="Y117">
        <f>IF(計分!Y117="","",計分!Y117^2)</f>
        <v/>
      </c>
      <c r="Z117">
        <f>IF(計分!Z117="","",計分!Z117^2)</f>
        <v/>
      </c>
      <c r="AA117">
        <f>IF(計分!AA117="","",計分!AA117^2)</f>
        <v/>
      </c>
      <c r="AB117">
        <f>IF(計分!AB117="","",計分!AB117^2)</f>
        <v/>
      </c>
      <c r="AC117">
        <f>IF(計分!AC117="","",計分!AC117^2)</f>
        <v/>
      </c>
      <c r="AD117">
        <f>IF(計分!AD117="","",計分!AD117^2)</f>
        <v/>
      </c>
      <c r="AE117">
        <f>IF(計分!AE117="","",計分!AE117^2)</f>
        <v/>
      </c>
      <c r="AF117">
        <f>IF(計分!AF117="","",計分!AF117^2)</f>
        <v/>
      </c>
      <c r="AG117">
        <f>IF(計分!AG117="","",計分!AG117^2)</f>
        <v/>
      </c>
      <c r="AH117">
        <f>IF(計分!AH117="","",計分!AH117^2)</f>
        <v/>
      </c>
      <c r="AI117">
        <f>IF(計分!AI117="","",計分!AI117^2)</f>
        <v/>
      </c>
      <c r="AJ117">
        <f>IF(計分!AJ117="","",計分!AJ117^2)</f>
        <v/>
      </c>
      <c r="AK117">
        <f>IF(計分!AK117="","",計分!AK117^2)</f>
        <v/>
      </c>
      <c r="AL117">
        <f>IF(計分!AL117="","",計分!AL117^2)</f>
        <v/>
      </c>
      <c r="AM117">
        <f>IF(計分!AM117="","",計分!AM117^2)</f>
        <v/>
      </c>
      <c r="AN117">
        <f>IF(計分!AN117="","",計分!AN117^2)</f>
        <v/>
      </c>
      <c r="AO117">
        <f>IF(計分!AO117="","",計分!AO117^2)</f>
        <v/>
      </c>
    </row>
    <row r="118">
      <c r="B118">
        <f>IF(計分!B118="","",計分!B118^2)</f>
        <v/>
      </c>
      <c r="C118">
        <f>IF(計分!C118="","",計分!C118^2)</f>
        <v/>
      </c>
      <c r="D118">
        <f>IF(計分!D118="","",計分!D118^2)</f>
        <v/>
      </c>
      <c r="E118">
        <f>IF(計分!E118="","",計分!E118^2)</f>
        <v/>
      </c>
      <c r="F118">
        <f>IF(計分!F118="","",計分!F118^2)</f>
        <v/>
      </c>
      <c r="G118">
        <f>IF(計分!G118="","",計分!G118^2)</f>
        <v/>
      </c>
      <c r="H118">
        <f>IF(計分!H118="","",計分!H118^2)</f>
        <v/>
      </c>
      <c r="I118">
        <f>IF(計分!I118="","",計分!I118^2)</f>
        <v/>
      </c>
      <c r="J118">
        <f>IF(計分!J118="","",計分!J118^2)</f>
        <v/>
      </c>
      <c r="K118">
        <f>IF(計分!K118="","",計分!K118^2)</f>
        <v/>
      </c>
      <c r="L118">
        <f>IF(計分!L118="","",計分!L118^2)</f>
        <v/>
      </c>
      <c r="M118">
        <f>IF(計分!M118="","",計分!M118^2)</f>
        <v/>
      </c>
      <c r="N118">
        <f>IF(計分!N118="","",計分!N118^2)</f>
        <v/>
      </c>
      <c r="O118">
        <f>IF(計分!O118="","",計分!O118^2)</f>
        <v/>
      </c>
      <c r="P118">
        <f>IF(計分!P118="","",計分!P118^2)</f>
        <v/>
      </c>
      <c r="Q118">
        <f>IF(計分!Q118="","",計分!Q118^2)</f>
        <v/>
      </c>
      <c r="R118">
        <f>IF(計分!R118="","",計分!R118^2)</f>
        <v/>
      </c>
      <c r="S118">
        <f>IF(計分!S118="","",計分!S118^2)</f>
        <v/>
      </c>
      <c r="T118">
        <f>IF(計分!T118="","",計分!T118^2)</f>
        <v/>
      </c>
      <c r="U118">
        <f>IF(計分!U118="","",計分!U118^2)</f>
        <v/>
      </c>
      <c r="V118">
        <f>IF(計分!V118="","",計分!V118^2)</f>
        <v/>
      </c>
      <c r="W118">
        <f>IF(計分!W118="","",計分!W118^2)</f>
        <v/>
      </c>
      <c r="X118">
        <f>IF(計分!X118="","",計分!X118^2)</f>
        <v/>
      </c>
      <c r="Y118">
        <f>IF(計分!Y118="","",計分!Y118^2)</f>
        <v/>
      </c>
      <c r="Z118">
        <f>IF(計分!Z118="","",計分!Z118^2)</f>
        <v/>
      </c>
      <c r="AA118">
        <f>IF(計分!AA118="","",計分!AA118^2)</f>
        <v/>
      </c>
      <c r="AB118">
        <f>IF(計分!AB118="","",計分!AB118^2)</f>
        <v/>
      </c>
      <c r="AC118">
        <f>IF(計分!AC118="","",計分!AC118^2)</f>
        <v/>
      </c>
      <c r="AD118">
        <f>IF(計分!AD118="","",計分!AD118^2)</f>
        <v/>
      </c>
      <c r="AE118">
        <f>IF(計分!AE118="","",計分!AE118^2)</f>
        <v/>
      </c>
      <c r="AF118">
        <f>IF(計分!AF118="","",計分!AF118^2)</f>
        <v/>
      </c>
      <c r="AG118">
        <f>IF(計分!AG118="","",計分!AG118^2)</f>
        <v/>
      </c>
      <c r="AH118">
        <f>IF(計分!AH118="","",計分!AH118^2)</f>
        <v/>
      </c>
      <c r="AI118">
        <f>IF(計分!AI118="","",計分!AI118^2)</f>
        <v/>
      </c>
      <c r="AJ118">
        <f>IF(計分!AJ118="","",計分!AJ118^2)</f>
        <v/>
      </c>
      <c r="AK118">
        <f>IF(計分!AK118="","",計分!AK118^2)</f>
        <v/>
      </c>
      <c r="AL118">
        <f>IF(計分!AL118="","",計分!AL118^2)</f>
        <v/>
      </c>
      <c r="AM118">
        <f>IF(計分!AM118="","",計分!AM118^2)</f>
        <v/>
      </c>
      <c r="AN118">
        <f>IF(計分!AN118="","",計分!AN118^2)</f>
        <v/>
      </c>
      <c r="AO118">
        <f>IF(計分!AO118="","",計分!AO118^2)</f>
        <v/>
      </c>
    </row>
    <row r="119">
      <c r="B119">
        <f>IF(計分!B119="","",計分!B119^2)</f>
        <v/>
      </c>
      <c r="C119">
        <f>IF(計分!C119="","",計分!C119^2)</f>
        <v/>
      </c>
      <c r="D119">
        <f>IF(計分!D119="","",計分!D119^2)</f>
        <v/>
      </c>
      <c r="E119">
        <f>IF(計分!E119="","",計分!E119^2)</f>
        <v/>
      </c>
      <c r="F119">
        <f>IF(計分!F119="","",計分!F119^2)</f>
        <v/>
      </c>
      <c r="G119">
        <f>IF(計分!G119="","",計分!G119^2)</f>
        <v/>
      </c>
      <c r="H119">
        <f>IF(計分!H119="","",計分!H119^2)</f>
        <v/>
      </c>
      <c r="I119">
        <f>IF(計分!I119="","",計分!I119^2)</f>
        <v/>
      </c>
      <c r="J119">
        <f>IF(計分!J119="","",計分!J119^2)</f>
        <v/>
      </c>
      <c r="K119">
        <f>IF(計分!K119="","",計分!K119^2)</f>
        <v/>
      </c>
      <c r="L119">
        <f>IF(計分!L119="","",計分!L119^2)</f>
        <v/>
      </c>
      <c r="M119">
        <f>IF(計分!M119="","",計分!M119^2)</f>
        <v/>
      </c>
      <c r="N119">
        <f>IF(計分!N119="","",計分!N119^2)</f>
        <v/>
      </c>
      <c r="O119">
        <f>IF(計分!O119="","",計分!O119^2)</f>
        <v/>
      </c>
      <c r="P119">
        <f>IF(計分!P119="","",計分!P119^2)</f>
        <v/>
      </c>
      <c r="Q119">
        <f>IF(計分!Q119="","",計分!Q119^2)</f>
        <v/>
      </c>
      <c r="R119">
        <f>IF(計分!R119="","",計分!R119^2)</f>
        <v/>
      </c>
      <c r="S119">
        <f>IF(計分!S119="","",計分!S119^2)</f>
        <v/>
      </c>
      <c r="T119">
        <f>IF(計分!T119="","",計分!T119^2)</f>
        <v/>
      </c>
      <c r="U119">
        <f>IF(計分!U119="","",計分!U119^2)</f>
        <v/>
      </c>
      <c r="V119">
        <f>IF(計分!V119="","",計分!V119^2)</f>
        <v/>
      </c>
      <c r="W119">
        <f>IF(計分!W119="","",計分!W119^2)</f>
        <v/>
      </c>
      <c r="X119">
        <f>IF(計分!X119="","",計分!X119^2)</f>
        <v/>
      </c>
      <c r="Y119">
        <f>IF(計分!Y119="","",計分!Y119^2)</f>
        <v/>
      </c>
      <c r="Z119">
        <f>IF(計分!Z119="","",計分!Z119^2)</f>
        <v/>
      </c>
      <c r="AA119">
        <f>IF(計分!AA119="","",計分!AA119^2)</f>
        <v/>
      </c>
      <c r="AB119">
        <f>IF(計分!AB119="","",計分!AB119^2)</f>
        <v/>
      </c>
      <c r="AC119">
        <f>IF(計分!AC119="","",計分!AC119^2)</f>
        <v/>
      </c>
      <c r="AD119">
        <f>IF(計分!AD119="","",計分!AD119^2)</f>
        <v/>
      </c>
      <c r="AE119">
        <f>IF(計分!AE119="","",計分!AE119^2)</f>
        <v/>
      </c>
      <c r="AF119">
        <f>IF(計分!AF119="","",計分!AF119^2)</f>
        <v/>
      </c>
      <c r="AG119">
        <f>IF(計分!AG119="","",計分!AG119^2)</f>
        <v/>
      </c>
      <c r="AH119">
        <f>IF(計分!AH119="","",計分!AH119^2)</f>
        <v/>
      </c>
      <c r="AI119">
        <f>IF(計分!AI119="","",計分!AI119^2)</f>
        <v/>
      </c>
      <c r="AJ119">
        <f>IF(計分!AJ119="","",計分!AJ119^2)</f>
        <v/>
      </c>
      <c r="AK119">
        <f>IF(計分!AK119="","",計分!AK119^2)</f>
        <v/>
      </c>
      <c r="AL119">
        <f>IF(計分!AL119="","",計分!AL119^2)</f>
        <v/>
      </c>
      <c r="AM119">
        <f>IF(計分!AM119="","",計分!AM119^2)</f>
        <v/>
      </c>
      <c r="AN119">
        <f>IF(計分!AN119="","",計分!AN119^2)</f>
        <v/>
      </c>
      <c r="AO119">
        <f>IF(計分!AO119="","",計分!AO119^2)</f>
        <v/>
      </c>
    </row>
    <row r="120">
      <c r="B120">
        <f>IF(計分!B120="","",計分!B120^2)</f>
        <v/>
      </c>
      <c r="C120">
        <f>IF(計分!C120="","",計分!C120^2)</f>
        <v/>
      </c>
      <c r="D120">
        <f>IF(計分!D120="","",計分!D120^2)</f>
        <v/>
      </c>
      <c r="E120">
        <f>IF(計分!E120="","",計分!E120^2)</f>
        <v/>
      </c>
      <c r="F120">
        <f>IF(計分!F120="","",計分!F120^2)</f>
        <v/>
      </c>
      <c r="G120">
        <f>IF(計分!G120="","",計分!G120^2)</f>
        <v/>
      </c>
      <c r="H120">
        <f>IF(計分!H120="","",計分!H120^2)</f>
        <v/>
      </c>
      <c r="I120">
        <f>IF(計分!I120="","",計分!I120^2)</f>
        <v/>
      </c>
      <c r="J120">
        <f>IF(計分!J120="","",計分!J120^2)</f>
        <v/>
      </c>
      <c r="K120">
        <f>IF(計分!K120="","",計分!K120^2)</f>
        <v/>
      </c>
      <c r="L120">
        <f>IF(計分!L120="","",計分!L120^2)</f>
        <v/>
      </c>
      <c r="M120">
        <f>IF(計分!M120="","",計分!M120^2)</f>
        <v/>
      </c>
      <c r="N120">
        <f>IF(計分!N120="","",計分!N120^2)</f>
        <v/>
      </c>
      <c r="O120">
        <f>IF(計分!O120="","",計分!O120^2)</f>
        <v/>
      </c>
      <c r="P120">
        <f>IF(計分!P120="","",計分!P120^2)</f>
        <v/>
      </c>
      <c r="Q120">
        <f>IF(計分!Q120="","",計分!Q120^2)</f>
        <v/>
      </c>
      <c r="R120">
        <f>IF(計分!R120="","",計分!R120^2)</f>
        <v/>
      </c>
      <c r="S120">
        <f>IF(計分!S120="","",計分!S120^2)</f>
        <v/>
      </c>
      <c r="T120">
        <f>IF(計分!T120="","",計分!T120^2)</f>
        <v/>
      </c>
      <c r="U120">
        <f>IF(計分!U120="","",計分!U120^2)</f>
        <v/>
      </c>
      <c r="V120">
        <f>IF(計分!V120="","",計分!V120^2)</f>
        <v/>
      </c>
      <c r="W120">
        <f>IF(計分!W120="","",計分!W120^2)</f>
        <v/>
      </c>
      <c r="X120">
        <f>IF(計分!X120="","",計分!X120^2)</f>
        <v/>
      </c>
      <c r="Y120">
        <f>IF(計分!Y120="","",計分!Y120^2)</f>
        <v/>
      </c>
      <c r="Z120">
        <f>IF(計分!Z120="","",計分!Z120^2)</f>
        <v/>
      </c>
      <c r="AA120">
        <f>IF(計分!AA120="","",計分!AA120^2)</f>
        <v/>
      </c>
      <c r="AB120">
        <f>IF(計分!AB120="","",計分!AB120^2)</f>
        <v/>
      </c>
      <c r="AC120">
        <f>IF(計分!AC120="","",計分!AC120^2)</f>
        <v/>
      </c>
      <c r="AD120">
        <f>IF(計分!AD120="","",計分!AD120^2)</f>
        <v/>
      </c>
      <c r="AE120">
        <f>IF(計分!AE120="","",計分!AE120^2)</f>
        <v/>
      </c>
      <c r="AF120">
        <f>IF(計分!AF120="","",計分!AF120^2)</f>
        <v/>
      </c>
      <c r="AG120">
        <f>IF(計分!AG120="","",計分!AG120^2)</f>
        <v/>
      </c>
      <c r="AH120">
        <f>IF(計分!AH120="","",計分!AH120^2)</f>
        <v/>
      </c>
      <c r="AI120">
        <f>IF(計分!AI120="","",計分!AI120^2)</f>
        <v/>
      </c>
      <c r="AJ120">
        <f>IF(計分!AJ120="","",計分!AJ120^2)</f>
        <v/>
      </c>
      <c r="AK120">
        <f>IF(計分!AK120="","",計分!AK120^2)</f>
        <v/>
      </c>
      <c r="AL120">
        <f>IF(計分!AL120="","",計分!AL120^2)</f>
        <v/>
      </c>
      <c r="AM120">
        <f>IF(計分!AM120="","",計分!AM120^2)</f>
        <v/>
      </c>
      <c r="AN120">
        <f>IF(計分!AN120="","",計分!AN120^2)</f>
        <v/>
      </c>
      <c r="AO120">
        <f>IF(計分!AO120="","",計分!AO120^2)</f>
        <v/>
      </c>
    </row>
    <row r="121">
      <c r="B121">
        <f>IF(計分!B121="","",計分!B121^2)</f>
        <v/>
      </c>
      <c r="C121">
        <f>IF(計分!C121="","",計分!C121^2)</f>
        <v/>
      </c>
      <c r="D121">
        <f>IF(計分!D121="","",計分!D121^2)</f>
        <v/>
      </c>
      <c r="E121">
        <f>IF(計分!E121="","",計分!E121^2)</f>
        <v/>
      </c>
      <c r="F121">
        <f>IF(計分!F121="","",計分!F121^2)</f>
        <v/>
      </c>
      <c r="G121">
        <f>IF(計分!G121="","",計分!G121^2)</f>
        <v/>
      </c>
      <c r="H121">
        <f>IF(計分!H121="","",計分!H121^2)</f>
        <v/>
      </c>
      <c r="I121">
        <f>IF(計分!I121="","",計分!I121^2)</f>
        <v/>
      </c>
      <c r="J121">
        <f>IF(計分!J121="","",計分!J121^2)</f>
        <v/>
      </c>
      <c r="K121">
        <f>IF(計分!K121="","",計分!K121^2)</f>
        <v/>
      </c>
      <c r="L121">
        <f>IF(計分!L121="","",計分!L121^2)</f>
        <v/>
      </c>
      <c r="M121">
        <f>IF(計分!M121="","",計分!M121^2)</f>
        <v/>
      </c>
      <c r="N121">
        <f>IF(計分!N121="","",計分!N121^2)</f>
        <v/>
      </c>
      <c r="O121">
        <f>IF(計分!O121="","",計分!O121^2)</f>
        <v/>
      </c>
      <c r="P121">
        <f>IF(計分!P121="","",計分!P121^2)</f>
        <v/>
      </c>
      <c r="Q121">
        <f>IF(計分!Q121="","",計分!Q121^2)</f>
        <v/>
      </c>
      <c r="R121">
        <f>IF(計分!R121="","",計分!R121^2)</f>
        <v/>
      </c>
      <c r="S121">
        <f>IF(計分!S121="","",計分!S121^2)</f>
        <v/>
      </c>
      <c r="T121">
        <f>IF(計分!T121="","",計分!T121^2)</f>
        <v/>
      </c>
      <c r="U121">
        <f>IF(計分!U121="","",計分!U121^2)</f>
        <v/>
      </c>
      <c r="V121">
        <f>IF(計分!V121="","",計分!V121^2)</f>
        <v/>
      </c>
      <c r="W121">
        <f>IF(計分!W121="","",計分!W121^2)</f>
        <v/>
      </c>
      <c r="X121">
        <f>IF(計分!X121="","",計分!X121^2)</f>
        <v/>
      </c>
      <c r="Y121">
        <f>IF(計分!Y121="","",計分!Y121^2)</f>
        <v/>
      </c>
      <c r="Z121">
        <f>IF(計分!Z121="","",計分!Z121^2)</f>
        <v/>
      </c>
      <c r="AA121">
        <f>IF(計分!AA121="","",計分!AA121^2)</f>
        <v/>
      </c>
      <c r="AB121">
        <f>IF(計分!AB121="","",計分!AB121^2)</f>
        <v/>
      </c>
      <c r="AC121">
        <f>IF(計分!AC121="","",計分!AC121^2)</f>
        <v/>
      </c>
      <c r="AD121">
        <f>IF(計分!AD121="","",計分!AD121^2)</f>
        <v/>
      </c>
      <c r="AE121">
        <f>IF(計分!AE121="","",計分!AE121^2)</f>
        <v/>
      </c>
      <c r="AF121">
        <f>IF(計分!AF121="","",計分!AF121^2)</f>
        <v/>
      </c>
      <c r="AG121">
        <f>IF(計分!AG121="","",計分!AG121^2)</f>
        <v/>
      </c>
      <c r="AH121">
        <f>IF(計分!AH121="","",計分!AH121^2)</f>
        <v/>
      </c>
      <c r="AI121">
        <f>IF(計分!AI121="","",計分!AI121^2)</f>
        <v/>
      </c>
      <c r="AJ121">
        <f>IF(計分!AJ121="","",計分!AJ121^2)</f>
        <v/>
      </c>
      <c r="AK121">
        <f>IF(計分!AK121="","",計分!AK121^2)</f>
        <v/>
      </c>
      <c r="AL121">
        <f>IF(計分!AL121="","",計分!AL121^2)</f>
        <v/>
      </c>
      <c r="AM121">
        <f>IF(計分!AM121="","",計分!AM121^2)</f>
        <v/>
      </c>
      <c r="AN121">
        <f>IF(計分!AN121="","",計分!AN121^2)</f>
        <v/>
      </c>
      <c r="AO121">
        <f>IF(計分!AO121="","",計分!AO121^2)</f>
        <v/>
      </c>
    </row>
    <row r="122">
      <c r="B122">
        <f>IF(計分!B122="","",計分!B122^2)</f>
        <v/>
      </c>
      <c r="C122">
        <f>IF(計分!C122="","",計分!C122^2)</f>
        <v/>
      </c>
      <c r="D122">
        <f>IF(計分!D122="","",計分!D122^2)</f>
        <v/>
      </c>
      <c r="E122">
        <f>IF(計分!E122="","",計分!E122^2)</f>
        <v/>
      </c>
      <c r="F122">
        <f>IF(計分!F122="","",計分!F122^2)</f>
        <v/>
      </c>
      <c r="G122">
        <f>IF(計分!G122="","",計分!G122^2)</f>
        <v/>
      </c>
      <c r="H122">
        <f>IF(計分!H122="","",計分!H122^2)</f>
        <v/>
      </c>
      <c r="I122">
        <f>IF(計分!I122="","",計分!I122^2)</f>
        <v/>
      </c>
      <c r="J122">
        <f>IF(計分!J122="","",計分!J122^2)</f>
        <v/>
      </c>
      <c r="K122">
        <f>IF(計分!K122="","",計分!K122^2)</f>
        <v/>
      </c>
      <c r="L122">
        <f>IF(計分!L122="","",計分!L122^2)</f>
        <v/>
      </c>
      <c r="M122">
        <f>IF(計分!M122="","",計分!M122^2)</f>
        <v/>
      </c>
      <c r="N122">
        <f>IF(計分!N122="","",計分!N122^2)</f>
        <v/>
      </c>
      <c r="O122">
        <f>IF(計分!O122="","",計分!O122^2)</f>
        <v/>
      </c>
      <c r="P122">
        <f>IF(計分!P122="","",計分!P122^2)</f>
        <v/>
      </c>
      <c r="Q122">
        <f>IF(計分!Q122="","",計分!Q122^2)</f>
        <v/>
      </c>
      <c r="R122">
        <f>IF(計分!R122="","",計分!R122^2)</f>
        <v/>
      </c>
      <c r="S122">
        <f>IF(計分!S122="","",計分!S122^2)</f>
        <v/>
      </c>
      <c r="T122">
        <f>IF(計分!T122="","",計分!T122^2)</f>
        <v/>
      </c>
      <c r="U122">
        <f>IF(計分!U122="","",計分!U122^2)</f>
        <v/>
      </c>
      <c r="V122">
        <f>IF(計分!V122="","",計分!V122^2)</f>
        <v/>
      </c>
      <c r="W122">
        <f>IF(計分!W122="","",計分!W122^2)</f>
        <v/>
      </c>
      <c r="X122">
        <f>IF(計分!X122="","",計分!X122^2)</f>
        <v/>
      </c>
      <c r="Y122">
        <f>IF(計分!Y122="","",計分!Y122^2)</f>
        <v/>
      </c>
      <c r="Z122">
        <f>IF(計分!Z122="","",計分!Z122^2)</f>
        <v/>
      </c>
      <c r="AA122">
        <f>IF(計分!AA122="","",計分!AA122^2)</f>
        <v/>
      </c>
      <c r="AB122">
        <f>IF(計分!AB122="","",計分!AB122^2)</f>
        <v/>
      </c>
      <c r="AC122">
        <f>IF(計分!AC122="","",計分!AC122^2)</f>
        <v/>
      </c>
      <c r="AD122">
        <f>IF(計分!AD122="","",計分!AD122^2)</f>
        <v/>
      </c>
      <c r="AE122">
        <f>IF(計分!AE122="","",計分!AE122^2)</f>
        <v/>
      </c>
      <c r="AF122">
        <f>IF(計分!AF122="","",計分!AF122^2)</f>
        <v/>
      </c>
      <c r="AG122">
        <f>IF(計分!AG122="","",計分!AG122^2)</f>
        <v/>
      </c>
      <c r="AH122">
        <f>IF(計分!AH122="","",計分!AH122^2)</f>
        <v/>
      </c>
      <c r="AI122">
        <f>IF(計分!AI122="","",計分!AI122^2)</f>
        <v/>
      </c>
      <c r="AJ122">
        <f>IF(計分!AJ122="","",計分!AJ122^2)</f>
        <v/>
      </c>
      <c r="AK122">
        <f>IF(計分!AK122="","",計分!AK122^2)</f>
        <v/>
      </c>
      <c r="AL122">
        <f>IF(計分!AL122="","",計分!AL122^2)</f>
        <v/>
      </c>
      <c r="AM122">
        <f>IF(計分!AM122="","",計分!AM122^2)</f>
        <v/>
      </c>
      <c r="AN122">
        <f>IF(計分!AN122="","",計分!AN122^2)</f>
        <v/>
      </c>
      <c r="AO122">
        <f>IF(計分!AO122="","",計分!AO122^2)</f>
        <v/>
      </c>
    </row>
    <row r="123">
      <c r="B123">
        <f>IF(計分!B123="","",計分!B123^2)</f>
        <v/>
      </c>
      <c r="C123">
        <f>IF(計分!C123="","",計分!C123^2)</f>
        <v/>
      </c>
      <c r="D123">
        <f>IF(計分!D123="","",計分!D123^2)</f>
        <v/>
      </c>
      <c r="E123">
        <f>IF(計分!E123="","",計分!E123^2)</f>
        <v/>
      </c>
      <c r="F123">
        <f>IF(計分!F123="","",計分!F123^2)</f>
        <v/>
      </c>
      <c r="G123">
        <f>IF(計分!G123="","",計分!G123^2)</f>
        <v/>
      </c>
      <c r="H123">
        <f>IF(計分!H123="","",計分!H123^2)</f>
        <v/>
      </c>
      <c r="I123">
        <f>IF(計分!I123="","",計分!I123^2)</f>
        <v/>
      </c>
      <c r="J123">
        <f>IF(計分!J123="","",計分!J123^2)</f>
        <v/>
      </c>
      <c r="K123">
        <f>IF(計分!K123="","",計分!K123^2)</f>
        <v/>
      </c>
      <c r="L123">
        <f>IF(計分!L123="","",計分!L123^2)</f>
        <v/>
      </c>
      <c r="M123">
        <f>IF(計分!M123="","",計分!M123^2)</f>
        <v/>
      </c>
      <c r="N123">
        <f>IF(計分!N123="","",計分!N123^2)</f>
        <v/>
      </c>
      <c r="O123">
        <f>IF(計分!O123="","",計分!O123^2)</f>
        <v/>
      </c>
      <c r="P123">
        <f>IF(計分!P123="","",計分!P123^2)</f>
        <v/>
      </c>
      <c r="Q123">
        <f>IF(計分!Q123="","",計分!Q123^2)</f>
        <v/>
      </c>
      <c r="R123">
        <f>IF(計分!R123="","",計分!R123^2)</f>
        <v/>
      </c>
      <c r="S123">
        <f>IF(計分!S123="","",計分!S123^2)</f>
        <v/>
      </c>
      <c r="T123">
        <f>IF(計分!T123="","",計分!T123^2)</f>
        <v/>
      </c>
      <c r="U123">
        <f>IF(計分!U123="","",計分!U123^2)</f>
        <v/>
      </c>
      <c r="V123">
        <f>IF(計分!V123="","",計分!V123^2)</f>
        <v/>
      </c>
      <c r="W123">
        <f>IF(計分!W123="","",計分!W123^2)</f>
        <v/>
      </c>
      <c r="X123">
        <f>IF(計分!X123="","",計分!X123^2)</f>
        <v/>
      </c>
      <c r="Y123">
        <f>IF(計分!Y123="","",計分!Y123^2)</f>
        <v/>
      </c>
      <c r="Z123">
        <f>IF(計分!Z123="","",計分!Z123^2)</f>
        <v/>
      </c>
      <c r="AA123">
        <f>IF(計分!AA123="","",計分!AA123^2)</f>
        <v/>
      </c>
      <c r="AB123">
        <f>IF(計分!AB123="","",計分!AB123^2)</f>
        <v/>
      </c>
      <c r="AC123">
        <f>IF(計分!AC123="","",計分!AC123^2)</f>
        <v/>
      </c>
      <c r="AD123">
        <f>IF(計分!AD123="","",計分!AD123^2)</f>
        <v/>
      </c>
      <c r="AE123">
        <f>IF(計分!AE123="","",計分!AE123^2)</f>
        <v/>
      </c>
      <c r="AF123">
        <f>IF(計分!AF123="","",計分!AF123^2)</f>
        <v/>
      </c>
      <c r="AG123">
        <f>IF(計分!AG123="","",計分!AG123^2)</f>
        <v/>
      </c>
      <c r="AH123">
        <f>IF(計分!AH123="","",計分!AH123^2)</f>
        <v/>
      </c>
      <c r="AI123">
        <f>IF(計分!AI123="","",計分!AI123^2)</f>
        <v/>
      </c>
      <c r="AJ123">
        <f>IF(計分!AJ123="","",計分!AJ123^2)</f>
        <v/>
      </c>
      <c r="AK123">
        <f>IF(計分!AK123="","",計分!AK123^2)</f>
        <v/>
      </c>
      <c r="AL123">
        <f>IF(計分!AL123="","",計分!AL123^2)</f>
        <v/>
      </c>
      <c r="AM123">
        <f>IF(計分!AM123="","",計分!AM123^2)</f>
        <v/>
      </c>
      <c r="AN123">
        <f>IF(計分!AN123="","",計分!AN123^2)</f>
        <v/>
      </c>
      <c r="AO123">
        <f>IF(計分!AO123="","",計分!AO123^2)</f>
        <v/>
      </c>
    </row>
    <row r="124">
      <c r="B124">
        <f>IF(計分!B124="","",計分!B124^2)</f>
        <v/>
      </c>
      <c r="C124">
        <f>IF(計分!C124="","",計分!C124^2)</f>
        <v/>
      </c>
      <c r="D124">
        <f>IF(計分!D124="","",計分!D124^2)</f>
        <v/>
      </c>
      <c r="E124">
        <f>IF(計分!E124="","",計分!E124^2)</f>
        <v/>
      </c>
      <c r="F124">
        <f>IF(計分!F124="","",計分!F124^2)</f>
        <v/>
      </c>
      <c r="G124">
        <f>IF(計分!G124="","",計分!G124^2)</f>
        <v/>
      </c>
      <c r="H124">
        <f>IF(計分!H124="","",計分!H124^2)</f>
        <v/>
      </c>
      <c r="I124">
        <f>IF(計分!I124="","",計分!I124^2)</f>
        <v/>
      </c>
      <c r="J124">
        <f>IF(計分!J124="","",計分!J124^2)</f>
        <v/>
      </c>
      <c r="K124">
        <f>IF(計分!K124="","",計分!K124^2)</f>
        <v/>
      </c>
      <c r="L124">
        <f>IF(計分!L124="","",計分!L124^2)</f>
        <v/>
      </c>
      <c r="M124">
        <f>IF(計分!M124="","",計分!M124^2)</f>
        <v/>
      </c>
      <c r="N124">
        <f>IF(計分!N124="","",計分!N124^2)</f>
        <v/>
      </c>
      <c r="O124">
        <f>IF(計分!O124="","",計分!O124^2)</f>
        <v/>
      </c>
      <c r="P124">
        <f>IF(計分!P124="","",計分!P124^2)</f>
        <v/>
      </c>
      <c r="Q124">
        <f>IF(計分!Q124="","",計分!Q124^2)</f>
        <v/>
      </c>
      <c r="R124">
        <f>IF(計分!R124="","",計分!R124^2)</f>
        <v/>
      </c>
      <c r="S124">
        <f>IF(計分!S124="","",計分!S124^2)</f>
        <v/>
      </c>
      <c r="T124">
        <f>IF(計分!T124="","",計分!T124^2)</f>
        <v/>
      </c>
      <c r="U124">
        <f>IF(計分!U124="","",計分!U124^2)</f>
        <v/>
      </c>
      <c r="V124">
        <f>IF(計分!V124="","",計分!V124^2)</f>
        <v/>
      </c>
      <c r="W124">
        <f>IF(計分!W124="","",計分!W124^2)</f>
        <v/>
      </c>
      <c r="X124">
        <f>IF(計分!X124="","",計分!X124^2)</f>
        <v/>
      </c>
      <c r="Y124">
        <f>IF(計分!Y124="","",計分!Y124^2)</f>
        <v/>
      </c>
      <c r="Z124">
        <f>IF(計分!Z124="","",計分!Z124^2)</f>
        <v/>
      </c>
      <c r="AA124">
        <f>IF(計分!AA124="","",計分!AA124^2)</f>
        <v/>
      </c>
      <c r="AB124">
        <f>IF(計分!AB124="","",計分!AB124^2)</f>
        <v/>
      </c>
      <c r="AC124">
        <f>IF(計分!AC124="","",計分!AC124^2)</f>
        <v/>
      </c>
      <c r="AD124">
        <f>IF(計分!AD124="","",計分!AD124^2)</f>
        <v/>
      </c>
      <c r="AE124">
        <f>IF(計分!AE124="","",計分!AE124^2)</f>
        <v/>
      </c>
      <c r="AF124">
        <f>IF(計分!AF124="","",計分!AF124^2)</f>
        <v/>
      </c>
      <c r="AG124">
        <f>IF(計分!AG124="","",計分!AG124^2)</f>
        <v/>
      </c>
      <c r="AH124">
        <f>IF(計分!AH124="","",計分!AH124^2)</f>
        <v/>
      </c>
      <c r="AI124">
        <f>IF(計分!AI124="","",計分!AI124^2)</f>
        <v/>
      </c>
      <c r="AJ124">
        <f>IF(計分!AJ124="","",計分!AJ124^2)</f>
        <v/>
      </c>
      <c r="AK124">
        <f>IF(計分!AK124="","",計分!AK124^2)</f>
        <v/>
      </c>
      <c r="AL124">
        <f>IF(計分!AL124="","",計分!AL124^2)</f>
        <v/>
      </c>
      <c r="AM124">
        <f>IF(計分!AM124="","",計分!AM124^2)</f>
        <v/>
      </c>
      <c r="AN124">
        <f>IF(計分!AN124="","",計分!AN124^2)</f>
        <v/>
      </c>
      <c r="AO124">
        <f>IF(計分!AO124="","",計分!AO124^2)</f>
        <v/>
      </c>
    </row>
    <row r="125">
      <c r="B125">
        <f>IF(計分!B125="","",計分!B125^2)</f>
        <v/>
      </c>
      <c r="C125">
        <f>IF(計分!C125="","",計分!C125^2)</f>
        <v/>
      </c>
      <c r="D125">
        <f>IF(計分!D125="","",計分!D125^2)</f>
        <v/>
      </c>
      <c r="E125">
        <f>IF(計分!E125="","",計分!E125^2)</f>
        <v/>
      </c>
      <c r="F125">
        <f>IF(計分!F125="","",計分!F125^2)</f>
        <v/>
      </c>
      <c r="G125">
        <f>IF(計分!G125="","",計分!G125^2)</f>
        <v/>
      </c>
      <c r="H125">
        <f>IF(計分!H125="","",計分!H125^2)</f>
        <v/>
      </c>
      <c r="I125">
        <f>IF(計分!I125="","",計分!I125^2)</f>
        <v/>
      </c>
      <c r="J125">
        <f>IF(計分!J125="","",計分!J125^2)</f>
        <v/>
      </c>
      <c r="K125">
        <f>IF(計分!K125="","",計分!K125^2)</f>
        <v/>
      </c>
      <c r="L125">
        <f>IF(計分!L125="","",計分!L125^2)</f>
        <v/>
      </c>
      <c r="M125">
        <f>IF(計分!M125="","",計分!M125^2)</f>
        <v/>
      </c>
      <c r="N125">
        <f>IF(計分!N125="","",計分!N125^2)</f>
        <v/>
      </c>
      <c r="O125">
        <f>IF(計分!O125="","",計分!O125^2)</f>
        <v/>
      </c>
      <c r="P125">
        <f>IF(計分!P125="","",計分!P125^2)</f>
        <v/>
      </c>
      <c r="Q125">
        <f>IF(計分!Q125="","",計分!Q125^2)</f>
        <v/>
      </c>
      <c r="R125">
        <f>IF(計分!R125="","",計分!R125^2)</f>
        <v/>
      </c>
      <c r="S125">
        <f>IF(計分!S125="","",計分!S125^2)</f>
        <v/>
      </c>
      <c r="T125">
        <f>IF(計分!T125="","",計分!T125^2)</f>
        <v/>
      </c>
      <c r="U125">
        <f>IF(計分!U125="","",計分!U125^2)</f>
        <v/>
      </c>
      <c r="V125">
        <f>IF(計分!V125="","",計分!V125^2)</f>
        <v/>
      </c>
      <c r="W125">
        <f>IF(計分!W125="","",計分!W125^2)</f>
        <v/>
      </c>
      <c r="X125">
        <f>IF(計分!X125="","",計分!X125^2)</f>
        <v/>
      </c>
      <c r="Y125">
        <f>IF(計分!Y125="","",計分!Y125^2)</f>
        <v/>
      </c>
      <c r="Z125">
        <f>IF(計分!Z125="","",計分!Z125^2)</f>
        <v/>
      </c>
      <c r="AA125">
        <f>IF(計分!AA125="","",計分!AA125^2)</f>
        <v/>
      </c>
      <c r="AB125">
        <f>IF(計分!AB125="","",計分!AB125^2)</f>
        <v/>
      </c>
      <c r="AC125">
        <f>IF(計分!AC125="","",計分!AC125^2)</f>
        <v/>
      </c>
      <c r="AD125">
        <f>IF(計分!AD125="","",計分!AD125^2)</f>
        <v/>
      </c>
      <c r="AE125">
        <f>IF(計分!AE125="","",計分!AE125^2)</f>
        <v/>
      </c>
      <c r="AF125">
        <f>IF(計分!AF125="","",計分!AF125^2)</f>
        <v/>
      </c>
      <c r="AG125">
        <f>IF(計分!AG125="","",計分!AG125^2)</f>
        <v/>
      </c>
      <c r="AH125">
        <f>IF(計分!AH125="","",計分!AH125^2)</f>
        <v/>
      </c>
      <c r="AI125">
        <f>IF(計分!AI125="","",計分!AI125^2)</f>
        <v/>
      </c>
      <c r="AJ125">
        <f>IF(計分!AJ125="","",計分!AJ125^2)</f>
        <v/>
      </c>
      <c r="AK125">
        <f>IF(計分!AK125="","",計分!AK125^2)</f>
        <v/>
      </c>
      <c r="AL125">
        <f>IF(計分!AL125="","",計分!AL125^2)</f>
        <v/>
      </c>
      <c r="AM125">
        <f>IF(計分!AM125="","",計分!AM125^2)</f>
        <v/>
      </c>
      <c r="AN125">
        <f>IF(計分!AN125="","",計分!AN125^2)</f>
        <v/>
      </c>
      <c r="AO125">
        <f>IF(計分!AO125="","",計分!AO125^2)</f>
        <v/>
      </c>
    </row>
    <row r="126">
      <c r="B126">
        <f>IF(計分!B126="","",計分!B126^2)</f>
        <v/>
      </c>
      <c r="C126">
        <f>IF(計分!C126="","",計分!C126^2)</f>
        <v/>
      </c>
      <c r="D126">
        <f>IF(計分!D126="","",計分!D126^2)</f>
        <v/>
      </c>
      <c r="E126">
        <f>IF(計分!E126="","",計分!E126^2)</f>
        <v/>
      </c>
      <c r="F126">
        <f>IF(計分!F126="","",計分!F126^2)</f>
        <v/>
      </c>
      <c r="G126">
        <f>IF(計分!G126="","",計分!G126^2)</f>
        <v/>
      </c>
      <c r="H126">
        <f>IF(計分!H126="","",計分!H126^2)</f>
        <v/>
      </c>
      <c r="I126">
        <f>IF(計分!I126="","",計分!I126^2)</f>
        <v/>
      </c>
      <c r="J126">
        <f>IF(計分!J126="","",計分!J126^2)</f>
        <v/>
      </c>
      <c r="K126">
        <f>IF(計分!K126="","",計分!K126^2)</f>
        <v/>
      </c>
      <c r="L126">
        <f>IF(計分!L126="","",計分!L126^2)</f>
        <v/>
      </c>
      <c r="M126">
        <f>IF(計分!M126="","",計分!M126^2)</f>
        <v/>
      </c>
      <c r="N126">
        <f>IF(計分!N126="","",計分!N126^2)</f>
        <v/>
      </c>
      <c r="O126">
        <f>IF(計分!O126="","",計分!O126^2)</f>
        <v/>
      </c>
      <c r="P126">
        <f>IF(計分!P126="","",計分!P126^2)</f>
        <v/>
      </c>
      <c r="Q126">
        <f>IF(計分!Q126="","",計分!Q126^2)</f>
        <v/>
      </c>
      <c r="R126">
        <f>IF(計分!R126="","",計分!R126^2)</f>
        <v/>
      </c>
      <c r="S126">
        <f>IF(計分!S126="","",計分!S126^2)</f>
        <v/>
      </c>
      <c r="T126">
        <f>IF(計分!T126="","",計分!T126^2)</f>
        <v/>
      </c>
      <c r="U126">
        <f>IF(計分!U126="","",計分!U126^2)</f>
        <v/>
      </c>
      <c r="V126">
        <f>IF(計分!V126="","",計分!V126^2)</f>
        <v/>
      </c>
      <c r="W126">
        <f>IF(計分!W126="","",計分!W126^2)</f>
        <v/>
      </c>
      <c r="X126">
        <f>IF(計分!X126="","",計分!X126^2)</f>
        <v/>
      </c>
      <c r="Y126">
        <f>IF(計分!Y126="","",計分!Y126^2)</f>
        <v/>
      </c>
      <c r="Z126">
        <f>IF(計分!Z126="","",計分!Z126^2)</f>
        <v/>
      </c>
      <c r="AA126">
        <f>IF(計分!AA126="","",計分!AA126^2)</f>
        <v/>
      </c>
      <c r="AB126">
        <f>IF(計分!AB126="","",計分!AB126^2)</f>
        <v/>
      </c>
      <c r="AC126">
        <f>IF(計分!AC126="","",計分!AC126^2)</f>
        <v/>
      </c>
      <c r="AD126">
        <f>IF(計分!AD126="","",計分!AD126^2)</f>
        <v/>
      </c>
      <c r="AE126">
        <f>IF(計分!AE126="","",計分!AE126^2)</f>
        <v/>
      </c>
      <c r="AF126">
        <f>IF(計分!AF126="","",計分!AF126^2)</f>
        <v/>
      </c>
      <c r="AG126">
        <f>IF(計分!AG126="","",計分!AG126^2)</f>
        <v/>
      </c>
      <c r="AH126">
        <f>IF(計分!AH126="","",計分!AH126^2)</f>
        <v/>
      </c>
      <c r="AI126">
        <f>IF(計分!AI126="","",計分!AI126^2)</f>
        <v/>
      </c>
      <c r="AJ126">
        <f>IF(計分!AJ126="","",計分!AJ126^2)</f>
        <v/>
      </c>
      <c r="AK126">
        <f>IF(計分!AK126="","",計分!AK126^2)</f>
        <v/>
      </c>
      <c r="AL126">
        <f>IF(計分!AL126="","",計分!AL126^2)</f>
        <v/>
      </c>
      <c r="AM126">
        <f>IF(計分!AM126="","",計分!AM126^2)</f>
        <v/>
      </c>
      <c r="AN126">
        <f>IF(計分!AN126="","",計分!AN126^2)</f>
        <v/>
      </c>
      <c r="AO126">
        <f>IF(計分!AO126="","",計分!AO126^2)</f>
        <v/>
      </c>
    </row>
    <row r="127">
      <c r="B127">
        <f>IF(計分!B127="","",計分!B127^2)</f>
        <v/>
      </c>
      <c r="C127">
        <f>IF(計分!C127="","",計分!C127^2)</f>
        <v/>
      </c>
      <c r="D127">
        <f>IF(計分!D127="","",計分!D127^2)</f>
        <v/>
      </c>
      <c r="E127">
        <f>IF(計分!E127="","",計分!E127^2)</f>
        <v/>
      </c>
      <c r="F127">
        <f>IF(計分!F127="","",計分!F127^2)</f>
        <v/>
      </c>
      <c r="G127">
        <f>IF(計分!G127="","",計分!G127^2)</f>
        <v/>
      </c>
      <c r="H127">
        <f>IF(計分!H127="","",計分!H127^2)</f>
        <v/>
      </c>
      <c r="I127">
        <f>IF(計分!I127="","",計分!I127^2)</f>
        <v/>
      </c>
      <c r="J127">
        <f>IF(計分!J127="","",計分!J127^2)</f>
        <v/>
      </c>
      <c r="K127">
        <f>IF(計分!K127="","",計分!K127^2)</f>
        <v/>
      </c>
      <c r="L127">
        <f>IF(計分!L127="","",計分!L127^2)</f>
        <v/>
      </c>
      <c r="M127">
        <f>IF(計分!M127="","",計分!M127^2)</f>
        <v/>
      </c>
      <c r="N127">
        <f>IF(計分!N127="","",計分!N127^2)</f>
        <v/>
      </c>
      <c r="O127">
        <f>IF(計分!O127="","",計分!O127^2)</f>
        <v/>
      </c>
      <c r="P127">
        <f>IF(計分!P127="","",計分!P127^2)</f>
        <v/>
      </c>
      <c r="Q127">
        <f>IF(計分!Q127="","",計分!Q127^2)</f>
        <v/>
      </c>
      <c r="R127">
        <f>IF(計分!R127="","",計分!R127^2)</f>
        <v/>
      </c>
      <c r="S127">
        <f>IF(計分!S127="","",計分!S127^2)</f>
        <v/>
      </c>
      <c r="T127">
        <f>IF(計分!T127="","",計分!T127^2)</f>
        <v/>
      </c>
      <c r="U127">
        <f>IF(計分!U127="","",計分!U127^2)</f>
        <v/>
      </c>
      <c r="V127">
        <f>IF(計分!V127="","",計分!V127^2)</f>
        <v/>
      </c>
      <c r="W127">
        <f>IF(計分!W127="","",計分!W127^2)</f>
        <v/>
      </c>
      <c r="X127">
        <f>IF(計分!X127="","",計分!X127^2)</f>
        <v/>
      </c>
      <c r="Y127">
        <f>IF(計分!Y127="","",計分!Y127^2)</f>
        <v/>
      </c>
      <c r="Z127">
        <f>IF(計分!Z127="","",計分!Z127^2)</f>
        <v/>
      </c>
      <c r="AA127">
        <f>IF(計分!AA127="","",計分!AA127^2)</f>
        <v/>
      </c>
      <c r="AB127">
        <f>IF(計分!AB127="","",計分!AB127^2)</f>
        <v/>
      </c>
      <c r="AC127">
        <f>IF(計分!AC127="","",計分!AC127^2)</f>
        <v/>
      </c>
      <c r="AD127">
        <f>IF(計分!AD127="","",計分!AD127^2)</f>
        <v/>
      </c>
      <c r="AE127">
        <f>IF(計分!AE127="","",計分!AE127^2)</f>
        <v/>
      </c>
      <c r="AF127">
        <f>IF(計分!AF127="","",計分!AF127^2)</f>
        <v/>
      </c>
      <c r="AG127">
        <f>IF(計分!AG127="","",計分!AG127^2)</f>
        <v/>
      </c>
      <c r="AH127">
        <f>IF(計分!AH127="","",計分!AH127^2)</f>
        <v/>
      </c>
      <c r="AI127">
        <f>IF(計分!AI127="","",計分!AI127^2)</f>
        <v/>
      </c>
      <c r="AJ127">
        <f>IF(計分!AJ127="","",計分!AJ127^2)</f>
        <v/>
      </c>
      <c r="AK127">
        <f>IF(計分!AK127="","",計分!AK127^2)</f>
        <v/>
      </c>
      <c r="AL127">
        <f>IF(計分!AL127="","",計分!AL127^2)</f>
        <v/>
      </c>
      <c r="AM127">
        <f>IF(計分!AM127="","",計分!AM127^2)</f>
        <v/>
      </c>
      <c r="AN127">
        <f>IF(計分!AN127="","",計分!AN127^2)</f>
        <v/>
      </c>
      <c r="AO127">
        <f>IF(計分!AO127="","",計分!AO127^2)</f>
        <v/>
      </c>
    </row>
    <row r="128">
      <c r="B128">
        <f>IF(計分!B128="","",計分!B128^2)</f>
        <v/>
      </c>
      <c r="C128">
        <f>IF(計分!C128="","",計分!C128^2)</f>
        <v/>
      </c>
      <c r="D128">
        <f>IF(計分!D128="","",計分!D128^2)</f>
        <v/>
      </c>
      <c r="E128">
        <f>IF(計分!E128="","",計分!E128^2)</f>
        <v/>
      </c>
      <c r="F128">
        <f>IF(計分!F128="","",計分!F128^2)</f>
        <v/>
      </c>
      <c r="G128">
        <f>IF(計分!G128="","",計分!G128^2)</f>
        <v/>
      </c>
      <c r="H128">
        <f>IF(計分!H128="","",計分!H128^2)</f>
        <v/>
      </c>
      <c r="I128">
        <f>IF(計分!I128="","",計分!I128^2)</f>
        <v/>
      </c>
      <c r="J128">
        <f>IF(計分!J128="","",計分!J128^2)</f>
        <v/>
      </c>
      <c r="K128">
        <f>IF(計分!K128="","",計分!K128^2)</f>
        <v/>
      </c>
      <c r="L128">
        <f>IF(計分!L128="","",計分!L128^2)</f>
        <v/>
      </c>
      <c r="M128">
        <f>IF(計分!M128="","",計分!M128^2)</f>
        <v/>
      </c>
      <c r="N128">
        <f>IF(計分!N128="","",計分!N128^2)</f>
        <v/>
      </c>
      <c r="O128">
        <f>IF(計分!O128="","",計分!O128^2)</f>
        <v/>
      </c>
      <c r="P128">
        <f>IF(計分!P128="","",計分!P128^2)</f>
        <v/>
      </c>
      <c r="Q128">
        <f>IF(計分!Q128="","",計分!Q128^2)</f>
        <v/>
      </c>
      <c r="R128">
        <f>IF(計分!R128="","",計分!R128^2)</f>
        <v/>
      </c>
      <c r="S128">
        <f>IF(計分!S128="","",計分!S128^2)</f>
        <v/>
      </c>
      <c r="T128">
        <f>IF(計分!T128="","",計分!T128^2)</f>
        <v/>
      </c>
      <c r="U128">
        <f>IF(計分!U128="","",計分!U128^2)</f>
        <v/>
      </c>
      <c r="V128">
        <f>IF(計分!V128="","",計分!V128^2)</f>
        <v/>
      </c>
      <c r="W128">
        <f>IF(計分!W128="","",計分!W128^2)</f>
        <v/>
      </c>
      <c r="X128">
        <f>IF(計分!X128="","",計分!X128^2)</f>
        <v/>
      </c>
      <c r="Y128">
        <f>IF(計分!Y128="","",計分!Y128^2)</f>
        <v/>
      </c>
      <c r="Z128">
        <f>IF(計分!Z128="","",計分!Z128^2)</f>
        <v/>
      </c>
      <c r="AA128">
        <f>IF(計分!AA128="","",計分!AA128^2)</f>
        <v/>
      </c>
      <c r="AB128">
        <f>IF(計分!AB128="","",計分!AB128^2)</f>
        <v/>
      </c>
      <c r="AC128">
        <f>IF(計分!AC128="","",計分!AC128^2)</f>
        <v/>
      </c>
      <c r="AD128">
        <f>IF(計分!AD128="","",計分!AD128^2)</f>
        <v/>
      </c>
      <c r="AE128">
        <f>IF(計分!AE128="","",計分!AE128^2)</f>
        <v/>
      </c>
      <c r="AF128">
        <f>IF(計分!AF128="","",計分!AF128^2)</f>
        <v/>
      </c>
      <c r="AG128">
        <f>IF(計分!AG128="","",計分!AG128^2)</f>
        <v/>
      </c>
      <c r="AH128">
        <f>IF(計分!AH128="","",計分!AH128^2)</f>
        <v/>
      </c>
      <c r="AI128">
        <f>IF(計分!AI128="","",計分!AI128^2)</f>
        <v/>
      </c>
      <c r="AJ128">
        <f>IF(計分!AJ128="","",計分!AJ128^2)</f>
        <v/>
      </c>
      <c r="AK128">
        <f>IF(計分!AK128="","",計分!AK128^2)</f>
        <v/>
      </c>
      <c r="AL128">
        <f>IF(計分!AL128="","",計分!AL128^2)</f>
        <v/>
      </c>
      <c r="AM128">
        <f>IF(計分!AM128="","",計分!AM128^2)</f>
        <v/>
      </c>
      <c r="AN128">
        <f>IF(計分!AN128="","",計分!AN128^2)</f>
        <v/>
      </c>
      <c r="AO128">
        <f>IF(計分!AO128="","",計分!AO128^2)</f>
        <v/>
      </c>
    </row>
    <row r="129">
      <c r="B129">
        <f>IF(計分!B129="","",計分!B129^2)</f>
        <v/>
      </c>
      <c r="C129">
        <f>IF(計分!C129="","",計分!C129^2)</f>
        <v/>
      </c>
      <c r="D129">
        <f>IF(計分!D129="","",計分!D129^2)</f>
        <v/>
      </c>
      <c r="E129">
        <f>IF(計分!E129="","",計分!E129^2)</f>
        <v/>
      </c>
      <c r="F129">
        <f>IF(計分!F129="","",計分!F129^2)</f>
        <v/>
      </c>
      <c r="G129">
        <f>IF(計分!G129="","",計分!G129^2)</f>
        <v/>
      </c>
      <c r="H129">
        <f>IF(計分!H129="","",計分!H129^2)</f>
        <v/>
      </c>
      <c r="I129">
        <f>IF(計分!I129="","",計分!I129^2)</f>
        <v/>
      </c>
      <c r="J129">
        <f>IF(計分!J129="","",計分!J129^2)</f>
        <v/>
      </c>
      <c r="K129">
        <f>IF(計分!K129="","",計分!K129^2)</f>
        <v/>
      </c>
      <c r="L129">
        <f>IF(計分!L129="","",計分!L129^2)</f>
        <v/>
      </c>
      <c r="M129">
        <f>IF(計分!M129="","",計分!M129^2)</f>
        <v/>
      </c>
      <c r="N129">
        <f>IF(計分!N129="","",計分!N129^2)</f>
        <v/>
      </c>
      <c r="O129">
        <f>IF(計分!O129="","",計分!O129^2)</f>
        <v/>
      </c>
      <c r="P129">
        <f>IF(計分!P129="","",計分!P129^2)</f>
        <v/>
      </c>
      <c r="Q129">
        <f>IF(計分!Q129="","",計分!Q129^2)</f>
        <v/>
      </c>
      <c r="R129">
        <f>IF(計分!R129="","",計分!R129^2)</f>
        <v/>
      </c>
      <c r="S129">
        <f>IF(計分!S129="","",計分!S129^2)</f>
        <v/>
      </c>
      <c r="T129">
        <f>IF(計分!T129="","",計分!T129^2)</f>
        <v/>
      </c>
      <c r="U129">
        <f>IF(計分!U129="","",計分!U129^2)</f>
        <v/>
      </c>
      <c r="V129">
        <f>IF(計分!V129="","",計分!V129^2)</f>
        <v/>
      </c>
      <c r="W129">
        <f>IF(計分!W129="","",計分!W129^2)</f>
        <v/>
      </c>
      <c r="X129">
        <f>IF(計分!X129="","",計分!X129^2)</f>
        <v/>
      </c>
      <c r="Y129">
        <f>IF(計分!Y129="","",計分!Y129^2)</f>
        <v/>
      </c>
      <c r="Z129">
        <f>IF(計分!Z129="","",計分!Z129^2)</f>
        <v/>
      </c>
      <c r="AA129">
        <f>IF(計分!AA129="","",計分!AA129^2)</f>
        <v/>
      </c>
      <c r="AB129">
        <f>IF(計分!AB129="","",計分!AB129^2)</f>
        <v/>
      </c>
      <c r="AC129">
        <f>IF(計分!AC129="","",計分!AC129^2)</f>
        <v/>
      </c>
      <c r="AD129">
        <f>IF(計分!AD129="","",計分!AD129^2)</f>
        <v/>
      </c>
      <c r="AE129">
        <f>IF(計分!AE129="","",計分!AE129^2)</f>
        <v/>
      </c>
      <c r="AF129">
        <f>IF(計分!AF129="","",計分!AF129^2)</f>
        <v/>
      </c>
      <c r="AG129">
        <f>IF(計分!AG129="","",計分!AG129^2)</f>
        <v/>
      </c>
      <c r="AH129">
        <f>IF(計分!AH129="","",計分!AH129^2)</f>
        <v/>
      </c>
      <c r="AI129">
        <f>IF(計分!AI129="","",計分!AI129^2)</f>
        <v/>
      </c>
      <c r="AJ129">
        <f>IF(計分!AJ129="","",計分!AJ129^2)</f>
        <v/>
      </c>
      <c r="AK129">
        <f>IF(計分!AK129="","",計分!AK129^2)</f>
        <v/>
      </c>
      <c r="AL129">
        <f>IF(計分!AL129="","",計分!AL129^2)</f>
        <v/>
      </c>
      <c r="AM129">
        <f>IF(計分!AM129="","",計分!AM129^2)</f>
        <v/>
      </c>
      <c r="AN129">
        <f>IF(計分!AN129="","",計分!AN129^2)</f>
        <v/>
      </c>
      <c r="AO129">
        <f>IF(計分!AO129="","",計分!AO129^2)</f>
        <v/>
      </c>
    </row>
    <row r="130">
      <c r="B130">
        <f>IF(計分!B130="","",計分!B130^2)</f>
        <v/>
      </c>
      <c r="C130">
        <f>IF(計分!C130="","",計分!C130^2)</f>
        <v/>
      </c>
      <c r="D130">
        <f>IF(計分!D130="","",計分!D130^2)</f>
        <v/>
      </c>
      <c r="E130">
        <f>IF(計分!E130="","",計分!E130^2)</f>
        <v/>
      </c>
      <c r="F130">
        <f>IF(計分!F130="","",計分!F130^2)</f>
        <v/>
      </c>
      <c r="G130">
        <f>IF(計分!G130="","",計分!G130^2)</f>
        <v/>
      </c>
      <c r="H130">
        <f>IF(計分!H130="","",計分!H130^2)</f>
        <v/>
      </c>
      <c r="I130">
        <f>IF(計分!I130="","",計分!I130^2)</f>
        <v/>
      </c>
      <c r="J130">
        <f>IF(計分!J130="","",計分!J130^2)</f>
        <v/>
      </c>
      <c r="K130">
        <f>IF(計分!K130="","",計分!K130^2)</f>
        <v/>
      </c>
      <c r="L130">
        <f>IF(計分!L130="","",計分!L130^2)</f>
        <v/>
      </c>
      <c r="M130">
        <f>IF(計分!M130="","",計分!M130^2)</f>
        <v/>
      </c>
      <c r="N130">
        <f>IF(計分!N130="","",計分!N130^2)</f>
        <v/>
      </c>
      <c r="O130">
        <f>IF(計分!O130="","",計分!O130^2)</f>
        <v/>
      </c>
      <c r="P130">
        <f>IF(計分!P130="","",計分!P130^2)</f>
        <v/>
      </c>
      <c r="Q130">
        <f>IF(計分!Q130="","",計分!Q130^2)</f>
        <v/>
      </c>
      <c r="R130">
        <f>IF(計分!R130="","",計分!R130^2)</f>
        <v/>
      </c>
      <c r="S130">
        <f>IF(計分!S130="","",計分!S130^2)</f>
        <v/>
      </c>
      <c r="T130">
        <f>IF(計分!T130="","",計分!T130^2)</f>
        <v/>
      </c>
      <c r="U130">
        <f>IF(計分!U130="","",計分!U130^2)</f>
        <v/>
      </c>
      <c r="V130">
        <f>IF(計分!V130="","",計分!V130^2)</f>
        <v/>
      </c>
      <c r="W130">
        <f>IF(計分!W130="","",計分!W130^2)</f>
        <v/>
      </c>
      <c r="X130">
        <f>IF(計分!X130="","",計分!X130^2)</f>
        <v/>
      </c>
      <c r="Y130">
        <f>IF(計分!Y130="","",計分!Y130^2)</f>
        <v/>
      </c>
      <c r="Z130">
        <f>IF(計分!Z130="","",計分!Z130^2)</f>
        <v/>
      </c>
      <c r="AA130">
        <f>IF(計分!AA130="","",計分!AA130^2)</f>
        <v/>
      </c>
      <c r="AB130">
        <f>IF(計分!AB130="","",計分!AB130^2)</f>
        <v/>
      </c>
      <c r="AC130">
        <f>IF(計分!AC130="","",計分!AC130^2)</f>
        <v/>
      </c>
      <c r="AD130">
        <f>IF(計分!AD130="","",計分!AD130^2)</f>
        <v/>
      </c>
      <c r="AE130">
        <f>IF(計分!AE130="","",計分!AE130^2)</f>
        <v/>
      </c>
      <c r="AF130">
        <f>IF(計分!AF130="","",計分!AF130^2)</f>
        <v/>
      </c>
      <c r="AG130">
        <f>IF(計分!AG130="","",計分!AG130^2)</f>
        <v/>
      </c>
      <c r="AH130">
        <f>IF(計分!AH130="","",計分!AH130^2)</f>
        <v/>
      </c>
      <c r="AI130">
        <f>IF(計分!AI130="","",計分!AI130^2)</f>
        <v/>
      </c>
      <c r="AJ130">
        <f>IF(計分!AJ130="","",計分!AJ130^2)</f>
        <v/>
      </c>
      <c r="AK130">
        <f>IF(計分!AK130="","",計分!AK130^2)</f>
        <v/>
      </c>
      <c r="AL130">
        <f>IF(計分!AL130="","",計分!AL130^2)</f>
        <v/>
      </c>
      <c r="AM130">
        <f>IF(計分!AM130="","",計分!AM130^2)</f>
        <v/>
      </c>
      <c r="AN130">
        <f>IF(計分!AN130="","",計分!AN130^2)</f>
        <v/>
      </c>
      <c r="AO130">
        <f>IF(計分!AO130="","",計分!AO130^2)</f>
        <v/>
      </c>
    </row>
    <row r="131">
      <c r="B131">
        <f>IF(計分!B131="","",計分!B131^2)</f>
        <v/>
      </c>
      <c r="C131">
        <f>IF(計分!C131="","",計分!C131^2)</f>
        <v/>
      </c>
      <c r="D131">
        <f>IF(計分!D131="","",計分!D131^2)</f>
        <v/>
      </c>
      <c r="E131">
        <f>IF(計分!E131="","",計分!E131^2)</f>
        <v/>
      </c>
      <c r="F131">
        <f>IF(計分!F131="","",計分!F131^2)</f>
        <v/>
      </c>
      <c r="G131">
        <f>IF(計分!G131="","",計分!G131^2)</f>
        <v/>
      </c>
      <c r="H131">
        <f>IF(計分!H131="","",計分!H131^2)</f>
        <v/>
      </c>
      <c r="I131">
        <f>IF(計分!I131="","",計分!I131^2)</f>
        <v/>
      </c>
      <c r="J131">
        <f>IF(計分!J131="","",計分!J131^2)</f>
        <v/>
      </c>
      <c r="K131">
        <f>IF(計分!K131="","",計分!K131^2)</f>
        <v/>
      </c>
      <c r="L131">
        <f>IF(計分!L131="","",計分!L131^2)</f>
        <v/>
      </c>
      <c r="M131">
        <f>IF(計分!M131="","",計分!M131^2)</f>
        <v/>
      </c>
      <c r="N131">
        <f>IF(計分!N131="","",計分!N131^2)</f>
        <v/>
      </c>
      <c r="O131">
        <f>IF(計分!O131="","",計分!O131^2)</f>
        <v/>
      </c>
      <c r="P131">
        <f>IF(計分!P131="","",計分!P131^2)</f>
        <v/>
      </c>
      <c r="Q131">
        <f>IF(計分!Q131="","",計分!Q131^2)</f>
        <v/>
      </c>
      <c r="R131">
        <f>IF(計分!R131="","",計分!R131^2)</f>
        <v/>
      </c>
      <c r="S131">
        <f>IF(計分!S131="","",計分!S131^2)</f>
        <v/>
      </c>
      <c r="T131">
        <f>IF(計分!T131="","",計分!T131^2)</f>
        <v/>
      </c>
      <c r="U131">
        <f>IF(計分!U131="","",計分!U131^2)</f>
        <v/>
      </c>
      <c r="V131">
        <f>IF(計分!V131="","",計分!V131^2)</f>
        <v/>
      </c>
      <c r="W131">
        <f>IF(計分!W131="","",計分!W131^2)</f>
        <v/>
      </c>
      <c r="X131">
        <f>IF(計分!X131="","",計分!X131^2)</f>
        <v/>
      </c>
      <c r="Y131">
        <f>IF(計分!Y131="","",計分!Y131^2)</f>
        <v/>
      </c>
      <c r="Z131">
        <f>IF(計分!Z131="","",計分!Z131^2)</f>
        <v/>
      </c>
      <c r="AA131">
        <f>IF(計分!AA131="","",計分!AA131^2)</f>
        <v/>
      </c>
      <c r="AB131">
        <f>IF(計分!AB131="","",計分!AB131^2)</f>
        <v/>
      </c>
      <c r="AC131">
        <f>IF(計分!AC131="","",計分!AC131^2)</f>
        <v/>
      </c>
      <c r="AD131">
        <f>IF(計分!AD131="","",計分!AD131^2)</f>
        <v/>
      </c>
      <c r="AE131">
        <f>IF(計分!AE131="","",計分!AE131^2)</f>
        <v/>
      </c>
      <c r="AF131">
        <f>IF(計分!AF131="","",計分!AF131^2)</f>
        <v/>
      </c>
      <c r="AG131">
        <f>IF(計分!AG131="","",計分!AG131^2)</f>
        <v/>
      </c>
      <c r="AH131">
        <f>IF(計分!AH131="","",計分!AH131^2)</f>
        <v/>
      </c>
      <c r="AI131">
        <f>IF(計分!AI131="","",計分!AI131^2)</f>
        <v/>
      </c>
      <c r="AJ131">
        <f>IF(計分!AJ131="","",計分!AJ131^2)</f>
        <v/>
      </c>
      <c r="AK131">
        <f>IF(計分!AK131="","",計分!AK131^2)</f>
        <v/>
      </c>
      <c r="AL131">
        <f>IF(計分!AL131="","",計分!AL131^2)</f>
        <v/>
      </c>
      <c r="AM131">
        <f>IF(計分!AM131="","",計分!AM131^2)</f>
        <v/>
      </c>
      <c r="AN131">
        <f>IF(計分!AN131="","",計分!AN131^2)</f>
        <v/>
      </c>
      <c r="AO131">
        <f>IF(計分!AO131="","",計分!AO131^2)</f>
        <v/>
      </c>
    </row>
    <row r="132">
      <c r="B132">
        <f>IF(計分!B132="","",計分!B132^2)</f>
        <v/>
      </c>
      <c r="C132">
        <f>IF(計分!C132="","",計分!C132^2)</f>
        <v/>
      </c>
      <c r="D132">
        <f>IF(計分!D132="","",計分!D132^2)</f>
        <v/>
      </c>
      <c r="E132">
        <f>IF(計分!E132="","",計分!E132^2)</f>
        <v/>
      </c>
      <c r="F132">
        <f>IF(計分!F132="","",計分!F132^2)</f>
        <v/>
      </c>
      <c r="G132">
        <f>IF(計分!G132="","",計分!G132^2)</f>
        <v/>
      </c>
      <c r="H132">
        <f>IF(計分!H132="","",計分!H132^2)</f>
        <v/>
      </c>
      <c r="I132">
        <f>IF(計分!I132="","",計分!I132^2)</f>
        <v/>
      </c>
      <c r="J132">
        <f>IF(計分!J132="","",計分!J132^2)</f>
        <v/>
      </c>
      <c r="K132">
        <f>IF(計分!K132="","",計分!K132^2)</f>
        <v/>
      </c>
      <c r="L132">
        <f>IF(計分!L132="","",計分!L132^2)</f>
        <v/>
      </c>
      <c r="M132">
        <f>IF(計分!M132="","",計分!M132^2)</f>
        <v/>
      </c>
      <c r="N132">
        <f>IF(計分!N132="","",計分!N132^2)</f>
        <v/>
      </c>
      <c r="O132">
        <f>IF(計分!O132="","",計分!O132^2)</f>
        <v/>
      </c>
      <c r="P132">
        <f>IF(計分!P132="","",計分!P132^2)</f>
        <v/>
      </c>
      <c r="Q132">
        <f>IF(計分!Q132="","",計分!Q132^2)</f>
        <v/>
      </c>
      <c r="R132">
        <f>IF(計分!R132="","",計分!R132^2)</f>
        <v/>
      </c>
      <c r="S132">
        <f>IF(計分!S132="","",計分!S132^2)</f>
        <v/>
      </c>
      <c r="T132">
        <f>IF(計分!T132="","",計分!T132^2)</f>
        <v/>
      </c>
      <c r="U132">
        <f>IF(計分!U132="","",計分!U132^2)</f>
        <v/>
      </c>
      <c r="V132">
        <f>IF(計分!V132="","",計分!V132^2)</f>
        <v/>
      </c>
      <c r="W132">
        <f>IF(計分!W132="","",計分!W132^2)</f>
        <v/>
      </c>
      <c r="X132">
        <f>IF(計分!X132="","",計分!X132^2)</f>
        <v/>
      </c>
      <c r="Y132">
        <f>IF(計分!Y132="","",計分!Y132^2)</f>
        <v/>
      </c>
      <c r="Z132">
        <f>IF(計分!Z132="","",計分!Z132^2)</f>
        <v/>
      </c>
      <c r="AA132">
        <f>IF(計分!AA132="","",計分!AA132^2)</f>
        <v/>
      </c>
      <c r="AB132">
        <f>IF(計分!AB132="","",計分!AB132^2)</f>
        <v/>
      </c>
      <c r="AC132">
        <f>IF(計分!AC132="","",計分!AC132^2)</f>
        <v/>
      </c>
      <c r="AD132">
        <f>IF(計分!AD132="","",計分!AD132^2)</f>
        <v/>
      </c>
      <c r="AE132">
        <f>IF(計分!AE132="","",計分!AE132^2)</f>
        <v/>
      </c>
      <c r="AF132">
        <f>IF(計分!AF132="","",計分!AF132^2)</f>
        <v/>
      </c>
      <c r="AG132">
        <f>IF(計分!AG132="","",計分!AG132^2)</f>
        <v/>
      </c>
      <c r="AH132">
        <f>IF(計分!AH132="","",計分!AH132^2)</f>
        <v/>
      </c>
      <c r="AI132">
        <f>IF(計分!AI132="","",計分!AI132^2)</f>
        <v/>
      </c>
      <c r="AJ132">
        <f>IF(計分!AJ132="","",計分!AJ132^2)</f>
        <v/>
      </c>
      <c r="AK132">
        <f>IF(計分!AK132="","",計分!AK132^2)</f>
        <v/>
      </c>
      <c r="AL132">
        <f>IF(計分!AL132="","",計分!AL132^2)</f>
        <v/>
      </c>
      <c r="AM132">
        <f>IF(計分!AM132="","",計分!AM132^2)</f>
        <v/>
      </c>
      <c r="AN132">
        <f>IF(計分!AN132="","",計分!AN132^2)</f>
        <v/>
      </c>
      <c r="AO132">
        <f>IF(計分!AO132="","",計分!AO132^2)</f>
        <v/>
      </c>
    </row>
    <row r="133">
      <c r="B133">
        <f>IF(計分!B133="","",計分!B133^2)</f>
        <v/>
      </c>
      <c r="C133">
        <f>IF(計分!C133="","",計分!C133^2)</f>
        <v/>
      </c>
      <c r="D133">
        <f>IF(計分!D133="","",計分!D133^2)</f>
        <v/>
      </c>
      <c r="E133">
        <f>IF(計分!E133="","",計分!E133^2)</f>
        <v/>
      </c>
      <c r="F133">
        <f>IF(計分!F133="","",計分!F133^2)</f>
        <v/>
      </c>
      <c r="G133">
        <f>IF(計分!G133="","",計分!G133^2)</f>
        <v/>
      </c>
      <c r="H133">
        <f>IF(計分!H133="","",計分!H133^2)</f>
        <v/>
      </c>
      <c r="I133">
        <f>IF(計分!I133="","",計分!I133^2)</f>
        <v/>
      </c>
      <c r="J133">
        <f>IF(計分!J133="","",計分!J133^2)</f>
        <v/>
      </c>
      <c r="K133">
        <f>IF(計分!K133="","",計分!K133^2)</f>
        <v/>
      </c>
      <c r="L133">
        <f>IF(計分!L133="","",計分!L133^2)</f>
        <v/>
      </c>
      <c r="M133">
        <f>IF(計分!M133="","",計分!M133^2)</f>
        <v/>
      </c>
      <c r="N133">
        <f>IF(計分!N133="","",計分!N133^2)</f>
        <v/>
      </c>
      <c r="O133">
        <f>IF(計分!O133="","",計分!O133^2)</f>
        <v/>
      </c>
      <c r="P133">
        <f>IF(計分!P133="","",計分!P133^2)</f>
        <v/>
      </c>
      <c r="Q133">
        <f>IF(計分!Q133="","",計分!Q133^2)</f>
        <v/>
      </c>
      <c r="R133">
        <f>IF(計分!R133="","",計分!R133^2)</f>
        <v/>
      </c>
      <c r="S133">
        <f>IF(計分!S133="","",計分!S133^2)</f>
        <v/>
      </c>
      <c r="T133">
        <f>IF(計分!T133="","",計分!T133^2)</f>
        <v/>
      </c>
      <c r="U133">
        <f>IF(計分!U133="","",計分!U133^2)</f>
        <v/>
      </c>
      <c r="V133">
        <f>IF(計分!V133="","",計分!V133^2)</f>
        <v/>
      </c>
      <c r="W133">
        <f>IF(計分!W133="","",計分!W133^2)</f>
        <v/>
      </c>
      <c r="X133">
        <f>IF(計分!X133="","",計分!X133^2)</f>
        <v/>
      </c>
      <c r="Y133">
        <f>IF(計分!Y133="","",計分!Y133^2)</f>
        <v/>
      </c>
      <c r="Z133">
        <f>IF(計分!Z133="","",計分!Z133^2)</f>
        <v/>
      </c>
      <c r="AA133">
        <f>IF(計分!AA133="","",計分!AA133^2)</f>
        <v/>
      </c>
      <c r="AB133">
        <f>IF(計分!AB133="","",計分!AB133^2)</f>
        <v/>
      </c>
      <c r="AC133">
        <f>IF(計分!AC133="","",計分!AC133^2)</f>
        <v/>
      </c>
      <c r="AD133">
        <f>IF(計分!AD133="","",計分!AD133^2)</f>
        <v/>
      </c>
      <c r="AE133">
        <f>IF(計分!AE133="","",計分!AE133^2)</f>
        <v/>
      </c>
      <c r="AF133">
        <f>IF(計分!AF133="","",計分!AF133^2)</f>
        <v/>
      </c>
      <c r="AG133">
        <f>IF(計分!AG133="","",計分!AG133^2)</f>
        <v/>
      </c>
      <c r="AH133">
        <f>IF(計分!AH133="","",計分!AH133^2)</f>
        <v/>
      </c>
      <c r="AI133">
        <f>IF(計分!AI133="","",計分!AI133^2)</f>
        <v/>
      </c>
      <c r="AJ133">
        <f>IF(計分!AJ133="","",計分!AJ133^2)</f>
        <v/>
      </c>
      <c r="AK133">
        <f>IF(計分!AK133="","",計分!AK133^2)</f>
        <v/>
      </c>
      <c r="AL133">
        <f>IF(計分!AL133="","",計分!AL133^2)</f>
        <v/>
      </c>
      <c r="AM133">
        <f>IF(計分!AM133="","",計分!AM133^2)</f>
        <v/>
      </c>
      <c r="AN133">
        <f>IF(計分!AN133="","",計分!AN133^2)</f>
        <v/>
      </c>
      <c r="AO133">
        <f>IF(計分!AO133="","",計分!AO133^2)</f>
        <v/>
      </c>
    </row>
    <row r="134">
      <c r="B134">
        <f>IF(計分!B134="","",計分!B134^2)</f>
        <v/>
      </c>
      <c r="C134">
        <f>IF(計分!C134="","",計分!C134^2)</f>
        <v/>
      </c>
      <c r="D134">
        <f>IF(計分!D134="","",計分!D134^2)</f>
        <v/>
      </c>
      <c r="E134">
        <f>IF(計分!E134="","",計分!E134^2)</f>
        <v/>
      </c>
      <c r="F134">
        <f>IF(計分!F134="","",計分!F134^2)</f>
        <v/>
      </c>
      <c r="G134">
        <f>IF(計分!G134="","",計分!G134^2)</f>
        <v/>
      </c>
      <c r="H134">
        <f>IF(計分!H134="","",計分!H134^2)</f>
        <v/>
      </c>
      <c r="I134">
        <f>IF(計分!I134="","",計分!I134^2)</f>
        <v/>
      </c>
      <c r="J134">
        <f>IF(計分!J134="","",計分!J134^2)</f>
        <v/>
      </c>
      <c r="K134">
        <f>IF(計分!K134="","",計分!K134^2)</f>
        <v/>
      </c>
      <c r="L134">
        <f>IF(計分!L134="","",計分!L134^2)</f>
        <v/>
      </c>
      <c r="M134">
        <f>IF(計分!M134="","",計分!M134^2)</f>
        <v/>
      </c>
      <c r="N134">
        <f>IF(計分!N134="","",計分!N134^2)</f>
        <v/>
      </c>
      <c r="O134">
        <f>IF(計分!O134="","",計分!O134^2)</f>
        <v/>
      </c>
      <c r="P134">
        <f>IF(計分!P134="","",計分!P134^2)</f>
        <v/>
      </c>
      <c r="Q134">
        <f>IF(計分!Q134="","",計分!Q134^2)</f>
        <v/>
      </c>
      <c r="R134">
        <f>IF(計分!R134="","",計分!R134^2)</f>
        <v/>
      </c>
      <c r="S134">
        <f>IF(計分!S134="","",計分!S134^2)</f>
        <v/>
      </c>
      <c r="T134">
        <f>IF(計分!T134="","",計分!T134^2)</f>
        <v/>
      </c>
      <c r="U134">
        <f>IF(計分!U134="","",計分!U134^2)</f>
        <v/>
      </c>
      <c r="V134">
        <f>IF(計分!V134="","",計分!V134^2)</f>
        <v/>
      </c>
      <c r="W134">
        <f>IF(計分!W134="","",計分!W134^2)</f>
        <v/>
      </c>
      <c r="X134">
        <f>IF(計分!X134="","",計分!X134^2)</f>
        <v/>
      </c>
      <c r="Y134">
        <f>IF(計分!Y134="","",計分!Y134^2)</f>
        <v/>
      </c>
      <c r="Z134">
        <f>IF(計分!Z134="","",計分!Z134^2)</f>
        <v/>
      </c>
      <c r="AA134">
        <f>IF(計分!AA134="","",計分!AA134^2)</f>
        <v/>
      </c>
      <c r="AB134">
        <f>IF(計分!AB134="","",計分!AB134^2)</f>
        <v/>
      </c>
      <c r="AC134">
        <f>IF(計分!AC134="","",計分!AC134^2)</f>
        <v/>
      </c>
      <c r="AD134">
        <f>IF(計分!AD134="","",計分!AD134^2)</f>
        <v/>
      </c>
      <c r="AE134">
        <f>IF(計分!AE134="","",計分!AE134^2)</f>
        <v/>
      </c>
      <c r="AF134">
        <f>IF(計分!AF134="","",計分!AF134^2)</f>
        <v/>
      </c>
      <c r="AG134">
        <f>IF(計分!AG134="","",計分!AG134^2)</f>
        <v/>
      </c>
      <c r="AH134">
        <f>IF(計分!AH134="","",計分!AH134^2)</f>
        <v/>
      </c>
      <c r="AI134">
        <f>IF(計分!AI134="","",計分!AI134^2)</f>
        <v/>
      </c>
      <c r="AJ134">
        <f>IF(計分!AJ134="","",計分!AJ134^2)</f>
        <v/>
      </c>
      <c r="AK134">
        <f>IF(計分!AK134="","",計分!AK134^2)</f>
        <v/>
      </c>
      <c r="AL134">
        <f>IF(計分!AL134="","",計分!AL134^2)</f>
        <v/>
      </c>
      <c r="AM134">
        <f>IF(計分!AM134="","",計分!AM134^2)</f>
        <v/>
      </c>
      <c r="AN134">
        <f>IF(計分!AN134="","",計分!AN134^2)</f>
        <v/>
      </c>
      <c r="AO134">
        <f>IF(計分!AO134="","",計分!AO134^2)</f>
        <v/>
      </c>
    </row>
    <row r="135">
      <c r="B135">
        <f>IF(計分!B135="","",計分!B135^2)</f>
        <v/>
      </c>
      <c r="C135">
        <f>IF(計分!C135="","",計分!C135^2)</f>
        <v/>
      </c>
      <c r="D135">
        <f>IF(計分!D135="","",計分!D135^2)</f>
        <v/>
      </c>
      <c r="E135">
        <f>IF(計分!E135="","",計分!E135^2)</f>
        <v/>
      </c>
      <c r="F135">
        <f>IF(計分!F135="","",計分!F135^2)</f>
        <v/>
      </c>
      <c r="G135">
        <f>IF(計分!G135="","",計分!G135^2)</f>
        <v/>
      </c>
      <c r="H135">
        <f>IF(計分!H135="","",計分!H135^2)</f>
        <v/>
      </c>
      <c r="I135">
        <f>IF(計分!I135="","",計分!I135^2)</f>
        <v/>
      </c>
      <c r="J135">
        <f>IF(計分!J135="","",計分!J135^2)</f>
        <v/>
      </c>
      <c r="K135">
        <f>IF(計分!K135="","",計分!K135^2)</f>
        <v/>
      </c>
      <c r="L135">
        <f>IF(計分!L135="","",計分!L135^2)</f>
        <v/>
      </c>
      <c r="M135">
        <f>IF(計分!M135="","",計分!M135^2)</f>
        <v/>
      </c>
      <c r="N135">
        <f>IF(計分!N135="","",計分!N135^2)</f>
        <v/>
      </c>
      <c r="O135">
        <f>IF(計分!O135="","",計分!O135^2)</f>
        <v/>
      </c>
      <c r="P135">
        <f>IF(計分!P135="","",計分!P135^2)</f>
        <v/>
      </c>
      <c r="Q135">
        <f>IF(計分!Q135="","",計分!Q135^2)</f>
        <v/>
      </c>
      <c r="R135">
        <f>IF(計分!R135="","",計分!R135^2)</f>
        <v/>
      </c>
      <c r="S135">
        <f>IF(計分!S135="","",計分!S135^2)</f>
        <v/>
      </c>
      <c r="T135">
        <f>IF(計分!T135="","",計分!T135^2)</f>
        <v/>
      </c>
      <c r="U135">
        <f>IF(計分!U135="","",計分!U135^2)</f>
        <v/>
      </c>
      <c r="V135">
        <f>IF(計分!V135="","",計分!V135^2)</f>
        <v/>
      </c>
      <c r="W135">
        <f>IF(計分!W135="","",計分!W135^2)</f>
        <v/>
      </c>
      <c r="X135">
        <f>IF(計分!X135="","",計分!X135^2)</f>
        <v/>
      </c>
      <c r="Y135">
        <f>IF(計分!Y135="","",計分!Y135^2)</f>
        <v/>
      </c>
      <c r="Z135">
        <f>IF(計分!Z135="","",計分!Z135^2)</f>
        <v/>
      </c>
      <c r="AA135">
        <f>IF(計分!AA135="","",計分!AA135^2)</f>
        <v/>
      </c>
      <c r="AB135">
        <f>IF(計分!AB135="","",計分!AB135^2)</f>
        <v/>
      </c>
      <c r="AC135">
        <f>IF(計分!AC135="","",計分!AC135^2)</f>
        <v/>
      </c>
      <c r="AD135">
        <f>IF(計分!AD135="","",計分!AD135^2)</f>
        <v/>
      </c>
      <c r="AE135">
        <f>IF(計分!AE135="","",計分!AE135^2)</f>
        <v/>
      </c>
      <c r="AF135">
        <f>IF(計分!AF135="","",計分!AF135^2)</f>
        <v/>
      </c>
      <c r="AG135">
        <f>IF(計分!AG135="","",計分!AG135^2)</f>
        <v/>
      </c>
      <c r="AH135">
        <f>IF(計分!AH135="","",計分!AH135^2)</f>
        <v/>
      </c>
      <c r="AI135">
        <f>IF(計分!AI135="","",計分!AI135^2)</f>
        <v/>
      </c>
      <c r="AJ135">
        <f>IF(計分!AJ135="","",計分!AJ135^2)</f>
        <v/>
      </c>
      <c r="AK135">
        <f>IF(計分!AK135="","",計分!AK135^2)</f>
        <v/>
      </c>
      <c r="AL135">
        <f>IF(計分!AL135="","",計分!AL135^2)</f>
        <v/>
      </c>
      <c r="AM135">
        <f>IF(計分!AM135="","",計分!AM135^2)</f>
        <v/>
      </c>
      <c r="AN135">
        <f>IF(計分!AN135="","",計分!AN135^2)</f>
        <v/>
      </c>
      <c r="AO135">
        <f>IF(計分!AO135="","",計分!AO135^2)</f>
        <v/>
      </c>
    </row>
    <row r="136">
      <c r="B136">
        <f>IF(計分!B136="","",計分!B136^2)</f>
        <v/>
      </c>
      <c r="C136">
        <f>IF(計分!C136="","",計分!C136^2)</f>
        <v/>
      </c>
      <c r="D136">
        <f>IF(計分!D136="","",計分!D136^2)</f>
        <v/>
      </c>
      <c r="E136">
        <f>IF(計分!E136="","",計分!E136^2)</f>
        <v/>
      </c>
      <c r="F136">
        <f>IF(計分!F136="","",計分!F136^2)</f>
        <v/>
      </c>
      <c r="G136">
        <f>IF(計分!G136="","",計分!G136^2)</f>
        <v/>
      </c>
      <c r="H136">
        <f>IF(計分!H136="","",計分!H136^2)</f>
        <v/>
      </c>
      <c r="I136">
        <f>IF(計分!I136="","",計分!I136^2)</f>
        <v/>
      </c>
      <c r="J136">
        <f>IF(計分!J136="","",計分!J136^2)</f>
        <v/>
      </c>
      <c r="K136">
        <f>IF(計分!K136="","",計分!K136^2)</f>
        <v/>
      </c>
      <c r="L136">
        <f>IF(計分!L136="","",計分!L136^2)</f>
        <v/>
      </c>
      <c r="M136">
        <f>IF(計分!M136="","",計分!M136^2)</f>
        <v/>
      </c>
      <c r="N136">
        <f>IF(計分!N136="","",計分!N136^2)</f>
        <v/>
      </c>
      <c r="O136">
        <f>IF(計分!O136="","",計分!O136^2)</f>
        <v/>
      </c>
      <c r="P136">
        <f>IF(計分!P136="","",計分!P136^2)</f>
        <v/>
      </c>
      <c r="Q136">
        <f>IF(計分!Q136="","",計分!Q136^2)</f>
        <v/>
      </c>
      <c r="R136">
        <f>IF(計分!R136="","",計分!R136^2)</f>
        <v/>
      </c>
      <c r="S136">
        <f>IF(計分!S136="","",計分!S136^2)</f>
        <v/>
      </c>
      <c r="T136">
        <f>IF(計分!T136="","",計分!T136^2)</f>
        <v/>
      </c>
      <c r="U136">
        <f>IF(計分!U136="","",計分!U136^2)</f>
        <v/>
      </c>
      <c r="V136">
        <f>IF(計分!V136="","",計分!V136^2)</f>
        <v/>
      </c>
      <c r="W136">
        <f>IF(計分!W136="","",計分!W136^2)</f>
        <v/>
      </c>
      <c r="X136">
        <f>IF(計分!X136="","",計分!X136^2)</f>
        <v/>
      </c>
      <c r="Y136">
        <f>IF(計分!Y136="","",計分!Y136^2)</f>
        <v/>
      </c>
      <c r="Z136">
        <f>IF(計分!Z136="","",計分!Z136^2)</f>
        <v/>
      </c>
      <c r="AA136">
        <f>IF(計分!AA136="","",計分!AA136^2)</f>
        <v/>
      </c>
      <c r="AB136">
        <f>IF(計分!AB136="","",計分!AB136^2)</f>
        <v/>
      </c>
      <c r="AC136">
        <f>IF(計分!AC136="","",計分!AC136^2)</f>
        <v/>
      </c>
      <c r="AD136">
        <f>IF(計分!AD136="","",計分!AD136^2)</f>
        <v/>
      </c>
      <c r="AE136">
        <f>IF(計分!AE136="","",計分!AE136^2)</f>
        <v/>
      </c>
      <c r="AF136">
        <f>IF(計分!AF136="","",計分!AF136^2)</f>
        <v/>
      </c>
      <c r="AG136">
        <f>IF(計分!AG136="","",計分!AG136^2)</f>
        <v/>
      </c>
      <c r="AH136">
        <f>IF(計分!AH136="","",計分!AH136^2)</f>
        <v/>
      </c>
      <c r="AI136">
        <f>IF(計分!AI136="","",計分!AI136^2)</f>
        <v/>
      </c>
      <c r="AJ136">
        <f>IF(計分!AJ136="","",計分!AJ136^2)</f>
        <v/>
      </c>
      <c r="AK136">
        <f>IF(計分!AK136="","",計分!AK136^2)</f>
        <v/>
      </c>
      <c r="AL136">
        <f>IF(計分!AL136="","",計分!AL136^2)</f>
        <v/>
      </c>
      <c r="AM136">
        <f>IF(計分!AM136="","",計分!AM136^2)</f>
        <v/>
      </c>
      <c r="AN136">
        <f>IF(計分!AN136="","",計分!AN136^2)</f>
        <v/>
      </c>
      <c r="AO136">
        <f>IF(計分!AO136="","",計分!AO136^2)</f>
        <v/>
      </c>
    </row>
    <row r="137">
      <c r="B137">
        <f>IF(計分!B137="","",計分!B137^2)</f>
        <v/>
      </c>
      <c r="C137">
        <f>IF(計分!C137="","",計分!C137^2)</f>
        <v/>
      </c>
      <c r="D137">
        <f>IF(計分!D137="","",計分!D137^2)</f>
        <v/>
      </c>
      <c r="E137">
        <f>IF(計分!E137="","",計分!E137^2)</f>
        <v/>
      </c>
      <c r="F137">
        <f>IF(計分!F137="","",計分!F137^2)</f>
        <v/>
      </c>
      <c r="G137">
        <f>IF(計分!G137="","",計分!G137^2)</f>
        <v/>
      </c>
      <c r="H137">
        <f>IF(計分!H137="","",計分!H137^2)</f>
        <v/>
      </c>
      <c r="I137">
        <f>IF(計分!I137="","",計分!I137^2)</f>
        <v/>
      </c>
      <c r="J137">
        <f>IF(計分!J137="","",計分!J137^2)</f>
        <v/>
      </c>
      <c r="K137">
        <f>IF(計分!K137="","",計分!K137^2)</f>
        <v/>
      </c>
      <c r="L137">
        <f>IF(計分!L137="","",計分!L137^2)</f>
        <v/>
      </c>
      <c r="M137">
        <f>IF(計分!M137="","",計分!M137^2)</f>
        <v/>
      </c>
      <c r="N137">
        <f>IF(計分!N137="","",計分!N137^2)</f>
        <v/>
      </c>
      <c r="O137">
        <f>IF(計分!O137="","",計分!O137^2)</f>
        <v/>
      </c>
      <c r="P137">
        <f>IF(計分!P137="","",計分!P137^2)</f>
        <v/>
      </c>
      <c r="Q137">
        <f>IF(計分!Q137="","",計分!Q137^2)</f>
        <v/>
      </c>
      <c r="R137">
        <f>IF(計分!R137="","",計分!R137^2)</f>
        <v/>
      </c>
      <c r="S137">
        <f>IF(計分!S137="","",計分!S137^2)</f>
        <v/>
      </c>
      <c r="T137">
        <f>IF(計分!T137="","",計分!T137^2)</f>
        <v/>
      </c>
      <c r="U137">
        <f>IF(計分!U137="","",計分!U137^2)</f>
        <v/>
      </c>
      <c r="V137">
        <f>IF(計分!V137="","",計分!V137^2)</f>
        <v/>
      </c>
      <c r="W137">
        <f>IF(計分!W137="","",計分!W137^2)</f>
        <v/>
      </c>
      <c r="X137">
        <f>IF(計分!X137="","",計分!X137^2)</f>
        <v/>
      </c>
      <c r="Y137">
        <f>IF(計分!Y137="","",計分!Y137^2)</f>
        <v/>
      </c>
      <c r="Z137">
        <f>IF(計分!Z137="","",計分!Z137^2)</f>
        <v/>
      </c>
      <c r="AA137">
        <f>IF(計分!AA137="","",計分!AA137^2)</f>
        <v/>
      </c>
      <c r="AB137">
        <f>IF(計分!AB137="","",計分!AB137^2)</f>
        <v/>
      </c>
      <c r="AC137">
        <f>IF(計分!AC137="","",計分!AC137^2)</f>
        <v/>
      </c>
      <c r="AD137">
        <f>IF(計分!AD137="","",計分!AD137^2)</f>
        <v/>
      </c>
      <c r="AE137">
        <f>IF(計分!AE137="","",計分!AE137^2)</f>
        <v/>
      </c>
      <c r="AF137">
        <f>IF(計分!AF137="","",計分!AF137^2)</f>
        <v/>
      </c>
      <c r="AG137">
        <f>IF(計分!AG137="","",計分!AG137^2)</f>
        <v/>
      </c>
      <c r="AH137">
        <f>IF(計分!AH137="","",計分!AH137^2)</f>
        <v/>
      </c>
      <c r="AI137">
        <f>IF(計分!AI137="","",計分!AI137^2)</f>
        <v/>
      </c>
      <c r="AJ137">
        <f>IF(計分!AJ137="","",計分!AJ137^2)</f>
        <v/>
      </c>
      <c r="AK137">
        <f>IF(計分!AK137="","",計分!AK137^2)</f>
        <v/>
      </c>
      <c r="AL137">
        <f>IF(計分!AL137="","",計分!AL137^2)</f>
        <v/>
      </c>
      <c r="AM137">
        <f>IF(計分!AM137="","",計分!AM137^2)</f>
        <v/>
      </c>
      <c r="AN137">
        <f>IF(計分!AN137="","",計分!AN137^2)</f>
        <v/>
      </c>
      <c r="AO137">
        <f>IF(計分!AO137="","",計分!AO137^2)</f>
        <v/>
      </c>
    </row>
    <row r="138">
      <c r="B138">
        <f>IF(計分!B138="","",計分!B138^2)</f>
        <v/>
      </c>
      <c r="C138">
        <f>IF(計分!C138="","",計分!C138^2)</f>
        <v/>
      </c>
      <c r="D138">
        <f>IF(計分!D138="","",計分!D138^2)</f>
        <v/>
      </c>
      <c r="E138">
        <f>IF(計分!E138="","",計分!E138^2)</f>
        <v/>
      </c>
      <c r="F138">
        <f>IF(計分!F138="","",計分!F138^2)</f>
        <v/>
      </c>
      <c r="G138">
        <f>IF(計分!G138="","",計分!G138^2)</f>
        <v/>
      </c>
      <c r="H138">
        <f>IF(計分!H138="","",計分!H138^2)</f>
        <v/>
      </c>
      <c r="I138">
        <f>IF(計分!I138="","",計分!I138^2)</f>
        <v/>
      </c>
      <c r="J138">
        <f>IF(計分!J138="","",計分!J138^2)</f>
        <v/>
      </c>
      <c r="K138">
        <f>IF(計分!K138="","",計分!K138^2)</f>
        <v/>
      </c>
      <c r="L138">
        <f>IF(計分!L138="","",計分!L138^2)</f>
        <v/>
      </c>
      <c r="M138">
        <f>IF(計分!M138="","",計分!M138^2)</f>
        <v/>
      </c>
      <c r="N138">
        <f>IF(計分!N138="","",計分!N138^2)</f>
        <v/>
      </c>
      <c r="O138">
        <f>IF(計分!O138="","",計分!O138^2)</f>
        <v/>
      </c>
      <c r="P138">
        <f>IF(計分!P138="","",計分!P138^2)</f>
        <v/>
      </c>
      <c r="Q138">
        <f>IF(計分!Q138="","",計分!Q138^2)</f>
        <v/>
      </c>
      <c r="R138">
        <f>IF(計分!R138="","",計分!R138^2)</f>
        <v/>
      </c>
      <c r="S138">
        <f>IF(計分!S138="","",計分!S138^2)</f>
        <v/>
      </c>
      <c r="T138">
        <f>IF(計分!T138="","",計分!T138^2)</f>
        <v/>
      </c>
      <c r="U138">
        <f>IF(計分!U138="","",計分!U138^2)</f>
        <v/>
      </c>
      <c r="V138">
        <f>IF(計分!V138="","",計分!V138^2)</f>
        <v/>
      </c>
      <c r="W138">
        <f>IF(計分!W138="","",計分!W138^2)</f>
        <v/>
      </c>
      <c r="X138">
        <f>IF(計分!X138="","",計分!X138^2)</f>
        <v/>
      </c>
      <c r="Y138">
        <f>IF(計分!Y138="","",計分!Y138^2)</f>
        <v/>
      </c>
      <c r="Z138">
        <f>IF(計分!Z138="","",計分!Z138^2)</f>
        <v/>
      </c>
      <c r="AA138">
        <f>IF(計分!AA138="","",計分!AA138^2)</f>
        <v/>
      </c>
      <c r="AB138">
        <f>IF(計分!AB138="","",計分!AB138^2)</f>
        <v/>
      </c>
      <c r="AC138">
        <f>IF(計分!AC138="","",計分!AC138^2)</f>
        <v/>
      </c>
      <c r="AD138">
        <f>IF(計分!AD138="","",計分!AD138^2)</f>
        <v/>
      </c>
      <c r="AE138">
        <f>IF(計分!AE138="","",計分!AE138^2)</f>
        <v/>
      </c>
      <c r="AF138">
        <f>IF(計分!AF138="","",計分!AF138^2)</f>
        <v/>
      </c>
      <c r="AG138">
        <f>IF(計分!AG138="","",計分!AG138^2)</f>
        <v/>
      </c>
      <c r="AH138">
        <f>IF(計分!AH138="","",計分!AH138^2)</f>
        <v/>
      </c>
      <c r="AI138">
        <f>IF(計分!AI138="","",計分!AI138^2)</f>
        <v/>
      </c>
      <c r="AJ138">
        <f>IF(計分!AJ138="","",計分!AJ138^2)</f>
        <v/>
      </c>
      <c r="AK138">
        <f>IF(計分!AK138="","",計分!AK138^2)</f>
        <v/>
      </c>
      <c r="AL138">
        <f>IF(計分!AL138="","",計分!AL138^2)</f>
        <v/>
      </c>
      <c r="AM138">
        <f>IF(計分!AM138="","",計分!AM138^2)</f>
        <v/>
      </c>
      <c r="AN138">
        <f>IF(計分!AN138="","",計分!AN138^2)</f>
        <v/>
      </c>
      <c r="AO138">
        <f>IF(計分!AO138="","",計分!AO138^2)</f>
        <v/>
      </c>
    </row>
    <row r="139">
      <c r="B139">
        <f>IF(計分!B139="","",計分!B139^2)</f>
        <v/>
      </c>
      <c r="C139">
        <f>IF(計分!C139="","",計分!C139^2)</f>
        <v/>
      </c>
      <c r="D139">
        <f>IF(計分!D139="","",計分!D139^2)</f>
        <v/>
      </c>
      <c r="E139">
        <f>IF(計分!E139="","",計分!E139^2)</f>
        <v/>
      </c>
      <c r="F139">
        <f>IF(計分!F139="","",計分!F139^2)</f>
        <v/>
      </c>
      <c r="G139">
        <f>IF(計分!G139="","",計分!G139^2)</f>
        <v/>
      </c>
      <c r="H139">
        <f>IF(計分!H139="","",計分!H139^2)</f>
        <v/>
      </c>
      <c r="I139">
        <f>IF(計分!I139="","",計分!I139^2)</f>
        <v/>
      </c>
      <c r="J139">
        <f>IF(計分!J139="","",計分!J139^2)</f>
        <v/>
      </c>
      <c r="K139">
        <f>IF(計分!K139="","",計分!K139^2)</f>
        <v/>
      </c>
      <c r="L139">
        <f>IF(計分!L139="","",計分!L139^2)</f>
        <v/>
      </c>
      <c r="M139">
        <f>IF(計分!M139="","",計分!M139^2)</f>
        <v/>
      </c>
      <c r="N139">
        <f>IF(計分!N139="","",計分!N139^2)</f>
        <v/>
      </c>
      <c r="O139">
        <f>IF(計分!O139="","",計分!O139^2)</f>
        <v/>
      </c>
      <c r="P139">
        <f>IF(計分!P139="","",計分!P139^2)</f>
        <v/>
      </c>
      <c r="Q139">
        <f>IF(計分!Q139="","",計分!Q139^2)</f>
        <v/>
      </c>
      <c r="R139">
        <f>IF(計分!R139="","",計分!R139^2)</f>
        <v/>
      </c>
      <c r="S139">
        <f>IF(計分!S139="","",計分!S139^2)</f>
        <v/>
      </c>
      <c r="T139">
        <f>IF(計分!T139="","",計分!T139^2)</f>
        <v/>
      </c>
      <c r="U139">
        <f>IF(計分!U139="","",計分!U139^2)</f>
        <v/>
      </c>
      <c r="V139">
        <f>IF(計分!V139="","",計分!V139^2)</f>
        <v/>
      </c>
      <c r="W139">
        <f>IF(計分!W139="","",計分!W139^2)</f>
        <v/>
      </c>
      <c r="X139">
        <f>IF(計分!X139="","",計分!X139^2)</f>
        <v/>
      </c>
      <c r="Y139">
        <f>IF(計分!Y139="","",計分!Y139^2)</f>
        <v/>
      </c>
      <c r="Z139">
        <f>IF(計分!Z139="","",計分!Z139^2)</f>
        <v/>
      </c>
      <c r="AA139">
        <f>IF(計分!AA139="","",計分!AA139^2)</f>
        <v/>
      </c>
      <c r="AB139">
        <f>IF(計分!AB139="","",計分!AB139^2)</f>
        <v/>
      </c>
      <c r="AC139">
        <f>IF(計分!AC139="","",計分!AC139^2)</f>
        <v/>
      </c>
      <c r="AD139">
        <f>IF(計分!AD139="","",計分!AD139^2)</f>
        <v/>
      </c>
      <c r="AE139">
        <f>IF(計分!AE139="","",計分!AE139^2)</f>
        <v/>
      </c>
      <c r="AF139">
        <f>IF(計分!AF139="","",計分!AF139^2)</f>
        <v/>
      </c>
      <c r="AG139">
        <f>IF(計分!AG139="","",計分!AG139^2)</f>
        <v/>
      </c>
      <c r="AH139">
        <f>IF(計分!AH139="","",計分!AH139^2)</f>
        <v/>
      </c>
      <c r="AI139">
        <f>IF(計分!AI139="","",計分!AI139^2)</f>
        <v/>
      </c>
      <c r="AJ139">
        <f>IF(計分!AJ139="","",計分!AJ139^2)</f>
        <v/>
      </c>
      <c r="AK139">
        <f>IF(計分!AK139="","",計分!AK139^2)</f>
        <v/>
      </c>
      <c r="AL139">
        <f>IF(計分!AL139="","",計分!AL139^2)</f>
        <v/>
      </c>
      <c r="AM139">
        <f>IF(計分!AM139="","",計分!AM139^2)</f>
        <v/>
      </c>
      <c r="AN139">
        <f>IF(計分!AN139="","",計分!AN139^2)</f>
        <v/>
      </c>
      <c r="AO139">
        <f>IF(計分!AO139="","",計分!AO139^2)</f>
        <v/>
      </c>
    </row>
    <row r="140">
      <c r="B140">
        <f>IF(計分!B140="","",計分!B140^2)</f>
        <v/>
      </c>
      <c r="C140">
        <f>IF(計分!C140="","",計分!C140^2)</f>
        <v/>
      </c>
      <c r="D140">
        <f>IF(計分!D140="","",計分!D140^2)</f>
        <v/>
      </c>
      <c r="E140">
        <f>IF(計分!E140="","",計分!E140^2)</f>
        <v/>
      </c>
      <c r="F140">
        <f>IF(計分!F140="","",計分!F140^2)</f>
        <v/>
      </c>
      <c r="G140">
        <f>IF(計分!G140="","",計分!G140^2)</f>
        <v/>
      </c>
      <c r="H140">
        <f>IF(計分!H140="","",計分!H140^2)</f>
        <v/>
      </c>
      <c r="I140">
        <f>IF(計分!I140="","",計分!I140^2)</f>
        <v/>
      </c>
      <c r="J140">
        <f>IF(計分!J140="","",計分!J140^2)</f>
        <v/>
      </c>
      <c r="K140">
        <f>IF(計分!K140="","",計分!K140^2)</f>
        <v/>
      </c>
      <c r="L140">
        <f>IF(計分!L140="","",計分!L140^2)</f>
        <v/>
      </c>
      <c r="M140">
        <f>IF(計分!M140="","",計分!M140^2)</f>
        <v/>
      </c>
      <c r="N140">
        <f>IF(計分!N140="","",計分!N140^2)</f>
        <v/>
      </c>
      <c r="O140">
        <f>IF(計分!O140="","",計分!O140^2)</f>
        <v/>
      </c>
      <c r="P140">
        <f>IF(計分!P140="","",計分!P140^2)</f>
        <v/>
      </c>
      <c r="Q140">
        <f>IF(計分!Q140="","",計分!Q140^2)</f>
        <v/>
      </c>
      <c r="R140">
        <f>IF(計分!R140="","",計分!R140^2)</f>
        <v/>
      </c>
      <c r="S140">
        <f>IF(計分!S140="","",計分!S140^2)</f>
        <v/>
      </c>
      <c r="T140">
        <f>IF(計分!T140="","",計分!T140^2)</f>
        <v/>
      </c>
      <c r="U140">
        <f>IF(計分!U140="","",計分!U140^2)</f>
        <v/>
      </c>
      <c r="V140">
        <f>IF(計分!V140="","",計分!V140^2)</f>
        <v/>
      </c>
      <c r="W140">
        <f>IF(計分!W140="","",計分!W140^2)</f>
        <v/>
      </c>
      <c r="X140">
        <f>IF(計分!X140="","",計分!X140^2)</f>
        <v/>
      </c>
      <c r="Y140">
        <f>IF(計分!Y140="","",計分!Y140^2)</f>
        <v/>
      </c>
      <c r="Z140">
        <f>IF(計分!Z140="","",計分!Z140^2)</f>
        <v/>
      </c>
      <c r="AA140">
        <f>IF(計分!AA140="","",計分!AA140^2)</f>
        <v/>
      </c>
      <c r="AB140">
        <f>IF(計分!AB140="","",計分!AB140^2)</f>
        <v/>
      </c>
      <c r="AC140">
        <f>IF(計分!AC140="","",計分!AC140^2)</f>
        <v/>
      </c>
      <c r="AD140">
        <f>IF(計分!AD140="","",計分!AD140^2)</f>
        <v/>
      </c>
      <c r="AE140">
        <f>IF(計分!AE140="","",計分!AE140^2)</f>
        <v/>
      </c>
      <c r="AF140">
        <f>IF(計分!AF140="","",計分!AF140^2)</f>
        <v/>
      </c>
      <c r="AG140">
        <f>IF(計分!AG140="","",計分!AG140^2)</f>
        <v/>
      </c>
      <c r="AH140">
        <f>IF(計分!AH140="","",計分!AH140^2)</f>
        <v/>
      </c>
      <c r="AI140">
        <f>IF(計分!AI140="","",計分!AI140^2)</f>
        <v/>
      </c>
      <c r="AJ140">
        <f>IF(計分!AJ140="","",計分!AJ140^2)</f>
        <v/>
      </c>
      <c r="AK140">
        <f>IF(計分!AK140="","",計分!AK140^2)</f>
        <v/>
      </c>
      <c r="AL140">
        <f>IF(計分!AL140="","",計分!AL140^2)</f>
        <v/>
      </c>
      <c r="AM140">
        <f>IF(計分!AM140="","",計分!AM140^2)</f>
        <v/>
      </c>
      <c r="AN140">
        <f>IF(計分!AN140="","",計分!AN140^2)</f>
        <v/>
      </c>
      <c r="AO140">
        <f>IF(計分!AO140="","",計分!AO140^2)</f>
        <v/>
      </c>
    </row>
    <row r="141">
      <c r="B141">
        <f>IF(計分!B141="","",計分!B141^2)</f>
        <v/>
      </c>
      <c r="C141">
        <f>IF(計分!C141="","",計分!C141^2)</f>
        <v/>
      </c>
      <c r="D141">
        <f>IF(計分!D141="","",計分!D141^2)</f>
        <v/>
      </c>
      <c r="E141">
        <f>IF(計分!E141="","",計分!E141^2)</f>
        <v/>
      </c>
      <c r="F141">
        <f>IF(計分!F141="","",計分!F141^2)</f>
        <v/>
      </c>
      <c r="G141">
        <f>IF(計分!G141="","",計分!G141^2)</f>
        <v/>
      </c>
      <c r="H141">
        <f>IF(計分!H141="","",計分!H141^2)</f>
        <v/>
      </c>
      <c r="I141">
        <f>IF(計分!I141="","",計分!I141^2)</f>
        <v/>
      </c>
      <c r="J141">
        <f>IF(計分!J141="","",計分!J141^2)</f>
        <v/>
      </c>
      <c r="K141">
        <f>IF(計分!K141="","",計分!K141^2)</f>
        <v/>
      </c>
      <c r="L141">
        <f>IF(計分!L141="","",計分!L141^2)</f>
        <v/>
      </c>
      <c r="M141">
        <f>IF(計分!M141="","",計分!M141^2)</f>
        <v/>
      </c>
      <c r="N141">
        <f>IF(計分!N141="","",計分!N141^2)</f>
        <v/>
      </c>
      <c r="O141">
        <f>IF(計分!O141="","",計分!O141^2)</f>
        <v/>
      </c>
      <c r="P141">
        <f>IF(計分!P141="","",計分!P141^2)</f>
        <v/>
      </c>
      <c r="Q141">
        <f>IF(計分!Q141="","",計分!Q141^2)</f>
        <v/>
      </c>
      <c r="R141">
        <f>IF(計分!R141="","",計分!R141^2)</f>
        <v/>
      </c>
      <c r="S141">
        <f>IF(計分!S141="","",計分!S141^2)</f>
        <v/>
      </c>
      <c r="T141">
        <f>IF(計分!T141="","",計分!T141^2)</f>
        <v/>
      </c>
      <c r="U141">
        <f>IF(計分!U141="","",計分!U141^2)</f>
        <v/>
      </c>
      <c r="V141">
        <f>IF(計分!V141="","",計分!V141^2)</f>
        <v/>
      </c>
      <c r="W141">
        <f>IF(計分!W141="","",計分!W141^2)</f>
        <v/>
      </c>
      <c r="X141">
        <f>IF(計分!X141="","",計分!X141^2)</f>
        <v/>
      </c>
      <c r="Y141">
        <f>IF(計分!Y141="","",計分!Y141^2)</f>
        <v/>
      </c>
      <c r="Z141">
        <f>IF(計分!Z141="","",計分!Z141^2)</f>
        <v/>
      </c>
      <c r="AA141">
        <f>IF(計分!AA141="","",計分!AA141^2)</f>
        <v/>
      </c>
      <c r="AB141">
        <f>IF(計分!AB141="","",計分!AB141^2)</f>
        <v/>
      </c>
      <c r="AC141">
        <f>IF(計分!AC141="","",計分!AC141^2)</f>
        <v/>
      </c>
      <c r="AD141">
        <f>IF(計分!AD141="","",計分!AD141^2)</f>
        <v/>
      </c>
      <c r="AE141">
        <f>IF(計分!AE141="","",計分!AE141^2)</f>
        <v/>
      </c>
      <c r="AF141">
        <f>IF(計分!AF141="","",計分!AF141^2)</f>
        <v/>
      </c>
      <c r="AG141">
        <f>IF(計分!AG141="","",計分!AG141^2)</f>
        <v/>
      </c>
      <c r="AH141">
        <f>IF(計分!AH141="","",計分!AH141^2)</f>
        <v/>
      </c>
      <c r="AI141">
        <f>IF(計分!AI141="","",計分!AI141^2)</f>
        <v/>
      </c>
      <c r="AJ141">
        <f>IF(計分!AJ141="","",計分!AJ141^2)</f>
        <v/>
      </c>
      <c r="AK141">
        <f>IF(計分!AK141="","",計分!AK141^2)</f>
        <v/>
      </c>
      <c r="AL141">
        <f>IF(計分!AL141="","",計分!AL141^2)</f>
        <v/>
      </c>
      <c r="AM141">
        <f>IF(計分!AM141="","",計分!AM141^2)</f>
        <v/>
      </c>
      <c r="AN141">
        <f>IF(計分!AN141="","",計分!AN141^2)</f>
        <v/>
      </c>
      <c r="AO141">
        <f>IF(計分!AO141="","",計分!AO141^2)</f>
        <v/>
      </c>
    </row>
    <row r="142">
      <c r="B142">
        <f>IF(計分!B142="","",計分!B142^2)</f>
        <v/>
      </c>
      <c r="C142">
        <f>IF(計分!C142="","",計分!C142^2)</f>
        <v/>
      </c>
      <c r="D142">
        <f>IF(計分!D142="","",計分!D142^2)</f>
        <v/>
      </c>
      <c r="E142">
        <f>IF(計分!E142="","",計分!E142^2)</f>
        <v/>
      </c>
      <c r="F142">
        <f>IF(計分!F142="","",計分!F142^2)</f>
        <v/>
      </c>
      <c r="G142">
        <f>IF(計分!G142="","",計分!G142^2)</f>
        <v/>
      </c>
      <c r="H142">
        <f>IF(計分!H142="","",計分!H142^2)</f>
        <v/>
      </c>
      <c r="I142">
        <f>IF(計分!I142="","",計分!I142^2)</f>
        <v/>
      </c>
      <c r="J142">
        <f>IF(計分!J142="","",計分!J142^2)</f>
        <v/>
      </c>
      <c r="K142">
        <f>IF(計分!K142="","",計分!K142^2)</f>
        <v/>
      </c>
      <c r="L142">
        <f>IF(計分!L142="","",計分!L142^2)</f>
        <v/>
      </c>
      <c r="M142">
        <f>IF(計分!M142="","",計分!M142^2)</f>
        <v/>
      </c>
      <c r="N142">
        <f>IF(計分!N142="","",計分!N142^2)</f>
        <v/>
      </c>
      <c r="O142">
        <f>IF(計分!O142="","",計分!O142^2)</f>
        <v/>
      </c>
      <c r="P142">
        <f>IF(計分!P142="","",計分!P142^2)</f>
        <v/>
      </c>
      <c r="Q142">
        <f>IF(計分!Q142="","",計分!Q142^2)</f>
        <v/>
      </c>
      <c r="R142">
        <f>IF(計分!R142="","",計分!R142^2)</f>
        <v/>
      </c>
      <c r="S142">
        <f>IF(計分!S142="","",計分!S142^2)</f>
        <v/>
      </c>
      <c r="T142">
        <f>IF(計分!T142="","",計分!T142^2)</f>
        <v/>
      </c>
      <c r="U142">
        <f>IF(計分!U142="","",計分!U142^2)</f>
        <v/>
      </c>
      <c r="V142">
        <f>IF(計分!V142="","",計分!V142^2)</f>
        <v/>
      </c>
      <c r="W142">
        <f>IF(計分!W142="","",計分!W142^2)</f>
        <v/>
      </c>
      <c r="X142">
        <f>IF(計分!X142="","",計分!X142^2)</f>
        <v/>
      </c>
      <c r="Y142">
        <f>IF(計分!Y142="","",計分!Y142^2)</f>
        <v/>
      </c>
      <c r="Z142">
        <f>IF(計分!Z142="","",計分!Z142^2)</f>
        <v/>
      </c>
      <c r="AA142">
        <f>IF(計分!AA142="","",計分!AA142^2)</f>
        <v/>
      </c>
      <c r="AB142">
        <f>IF(計分!AB142="","",計分!AB142^2)</f>
        <v/>
      </c>
      <c r="AC142">
        <f>IF(計分!AC142="","",計分!AC142^2)</f>
        <v/>
      </c>
      <c r="AD142">
        <f>IF(計分!AD142="","",計分!AD142^2)</f>
        <v/>
      </c>
      <c r="AE142">
        <f>IF(計分!AE142="","",計分!AE142^2)</f>
        <v/>
      </c>
      <c r="AF142">
        <f>IF(計分!AF142="","",計分!AF142^2)</f>
        <v/>
      </c>
      <c r="AG142">
        <f>IF(計分!AG142="","",計分!AG142^2)</f>
        <v/>
      </c>
      <c r="AH142">
        <f>IF(計分!AH142="","",計分!AH142^2)</f>
        <v/>
      </c>
      <c r="AI142">
        <f>IF(計分!AI142="","",計分!AI142^2)</f>
        <v/>
      </c>
      <c r="AJ142">
        <f>IF(計分!AJ142="","",計分!AJ142^2)</f>
        <v/>
      </c>
      <c r="AK142">
        <f>IF(計分!AK142="","",計分!AK142^2)</f>
        <v/>
      </c>
      <c r="AL142">
        <f>IF(計分!AL142="","",計分!AL142^2)</f>
        <v/>
      </c>
      <c r="AM142">
        <f>IF(計分!AM142="","",計分!AM142^2)</f>
        <v/>
      </c>
      <c r="AN142">
        <f>IF(計分!AN142="","",計分!AN142^2)</f>
        <v/>
      </c>
      <c r="AO142">
        <f>IF(計分!AO142="","",計分!AO142^2)</f>
        <v/>
      </c>
    </row>
    <row r="143">
      <c r="B143">
        <f>IF(計分!B143="","",計分!B143^2)</f>
        <v/>
      </c>
      <c r="C143">
        <f>IF(計分!C143="","",計分!C143^2)</f>
        <v/>
      </c>
      <c r="D143">
        <f>IF(計分!D143="","",計分!D143^2)</f>
        <v/>
      </c>
      <c r="E143">
        <f>IF(計分!E143="","",計分!E143^2)</f>
        <v/>
      </c>
      <c r="F143">
        <f>IF(計分!F143="","",計分!F143^2)</f>
        <v/>
      </c>
      <c r="G143">
        <f>IF(計分!G143="","",計分!G143^2)</f>
        <v/>
      </c>
      <c r="H143">
        <f>IF(計分!H143="","",計分!H143^2)</f>
        <v/>
      </c>
      <c r="I143">
        <f>IF(計分!I143="","",計分!I143^2)</f>
        <v/>
      </c>
      <c r="J143">
        <f>IF(計分!J143="","",計分!J143^2)</f>
        <v/>
      </c>
      <c r="K143">
        <f>IF(計分!K143="","",計分!K143^2)</f>
        <v/>
      </c>
      <c r="L143">
        <f>IF(計分!L143="","",計分!L143^2)</f>
        <v/>
      </c>
      <c r="M143">
        <f>IF(計分!M143="","",計分!M143^2)</f>
        <v/>
      </c>
      <c r="N143">
        <f>IF(計分!N143="","",計分!N143^2)</f>
        <v/>
      </c>
      <c r="O143">
        <f>IF(計分!O143="","",計分!O143^2)</f>
        <v/>
      </c>
      <c r="P143">
        <f>IF(計分!P143="","",計分!P143^2)</f>
        <v/>
      </c>
      <c r="Q143">
        <f>IF(計分!Q143="","",計分!Q143^2)</f>
        <v/>
      </c>
      <c r="R143">
        <f>IF(計分!R143="","",計分!R143^2)</f>
        <v/>
      </c>
      <c r="S143">
        <f>IF(計分!S143="","",計分!S143^2)</f>
        <v/>
      </c>
      <c r="T143">
        <f>IF(計分!T143="","",計分!T143^2)</f>
        <v/>
      </c>
      <c r="U143">
        <f>IF(計分!U143="","",計分!U143^2)</f>
        <v/>
      </c>
      <c r="V143">
        <f>IF(計分!V143="","",計分!V143^2)</f>
        <v/>
      </c>
      <c r="W143">
        <f>IF(計分!W143="","",計分!W143^2)</f>
        <v/>
      </c>
      <c r="X143">
        <f>IF(計分!X143="","",計分!X143^2)</f>
        <v/>
      </c>
      <c r="Y143">
        <f>IF(計分!Y143="","",計分!Y143^2)</f>
        <v/>
      </c>
      <c r="Z143">
        <f>IF(計分!Z143="","",計分!Z143^2)</f>
        <v/>
      </c>
      <c r="AA143">
        <f>IF(計分!AA143="","",計分!AA143^2)</f>
        <v/>
      </c>
      <c r="AB143">
        <f>IF(計分!AB143="","",計分!AB143^2)</f>
        <v/>
      </c>
      <c r="AC143">
        <f>IF(計分!AC143="","",計分!AC143^2)</f>
        <v/>
      </c>
      <c r="AD143">
        <f>IF(計分!AD143="","",計分!AD143^2)</f>
        <v/>
      </c>
      <c r="AE143">
        <f>IF(計分!AE143="","",計分!AE143^2)</f>
        <v/>
      </c>
      <c r="AF143">
        <f>IF(計分!AF143="","",計分!AF143^2)</f>
        <v/>
      </c>
      <c r="AG143">
        <f>IF(計分!AG143="","",計分!AG143^2)</f>
        <v/>
      </c>
      <c r="AH143">
        <f>IF(計分!AH143="","",計分!AH143^2)</f>
        <v/>
      </c>
      <c r="AI143">
        <f>IF(計分!AI143="","",計分!AI143^2)</f>
        <v/>
      </c>
      <c r="AJ143">
        <f>IF(計分!AJ143="","",計分!AJ143^2)</f>
        <v/>
      </c>
      <c r="AK143">
        <f>IF(計分!AK143="","",計分!AK143^2)</f>
        <v/>
      </c>
      <c r="AL143">
        <f>IF(計分!AL143="","",計分!AL143^2)</f>
        <v/>
      </c>
      <c r="AM143">
        <f>IF(計分!AM143="","",計分!AM143^2)</f>
        <v/>
      </c>
      <c r="AN143">
        <f>IF(計分!AN143="","",計分!AN143^2)</f>
        <v/>
      </c>
      <c r="AO143">
        <f>IF(計分!AO143="","",計分!AO143^2)</f>
        <v/>
      </c>
    </row>
    <row r="144">
      <c r="B144">
        <f>IF(計分!B144="","",計分!B144^2)</f>
        <v/>
      </c>
      <c r="C144">
        <f>IF(計分!C144="","",計分!C144^2)</f>
        <v/>
      </c>
      <c r="D144">
        <f>IF(計分!D144="","",計分!D144^2)</f>
        <v/>
      </c>
      <c r="E144">
        <f>IF(計分!E144="","",計分!E144^2)</f>
        <v/>
      </c>
      <c r="F144">
        <f>IF(計分!F144="","",計分!F144^2)</f>
        <v/>
      </c>
      <c r="G144">
        <f>IF(計分!G144="","",計分!G144^2)</f>
        <v/>
      </c>
      <c r="H144">
        <f>IF(計分!H144="","",計分!H144^2)</f>
        <v/>
      </c>
      <c r="I144">
        <f>IF(計分!I144="","",計分!I144^2)</f>
        <v/>
      </c>
      <c r="J144">
        <f>IF(計分!J144="","",計分!J144^2)</f>
        <v/>
      </c>
      <c r="K144">
        <f>IF(計分!K144="","",計分!K144^2)</f>
        <v/>
      </c>
      <c r="L144">
        <f>IF(計分!L144="","",計分!L144^2)</f>
        <v/>
      </c>
      <c r="M144">
        <f>IF(計分!M144="","",計分!M144^2)</f>
        <v/>
      </c>
      <c r="N144">
        <f>IF(計分!N144="","",計分!N144^2)</f>
        <v/>
      </c>
      <c r="O144">
        <f>IF(計分!O144="","",計分!O144^2)</f>
        <v/>
      </c>
      <c r="P144">
        <f>IF(計分!P144="","",計分!P144^2)</f>
        <v/>
      </c>
      <c r="Q144">
        <f>IF(計分!Q144="","",計分!Q144^2)</f>
        <v/>
      </c>
      <c r="R144">
        <f>IF(計分!R144="","",計分!R144^2)</f>
        <v/>
      </c>
      <c r="S144">
        <f>IF(計分!S144="","",計分!S144^2)</f>
        <v/>
      </c>
      <c r="T144">
        <f>IF(計分!T144="","",計分!T144^2)</f>
        <v/>
      </c>
      <c r="U144">
        <f>IF(計分!U144="","",計分!U144^2)</f>
        <v/>
      </c>
      <c r="V144">
        <f>IF(計分!V144="","",計分!V144^2)</f>
        <v/>
      </c>
      <c r="W144">
        <f>IF(計分!W144="","",計分!W144^2)</f>
        <v/>
      </c>
      <c r="X144">
        <f>IF(計分!X144="","",計分!X144^2)</f>
        <v/>
      </c>
      <c r="Y144">
        <f>IF(計分!Y144="","",計分!Y144^2)</f>
        <v/>
      </c>
      <c r="Z144">
        <f>IF(計分!Z144="","",計分!Z144^2)</f>
        <v/>
      </c>
      <c r="AA144">
        <f>IF(計分!AA144="","",計分!AA144^2)</f>
        <v/>
      </c>
      <c r="AB144">
        <f>IF(計分!AB144="","",計分!AB144^2)</f>
        <v/>
      </c>
      <c r="AC144">
        <f>IF(計分!AC144="","",計分!AC144^2)</f>
        <v/>
      </c>
      <c r="AD144">
        <f>IF(計分!AD144="","",計分!AD144^2)</f>
        <v/>
      </c>
      <c r="AE144">
        <f>IF(計分!AE144="","",計分!AE144^2)</f>
        <v/>
      </c>
      <c r="AF144">
        <f>IF(計分!AF144="","",計分!AF144^2)</f>
        <v/>
      </c>
      <c r="AG144">
        <f>IF(計分!AG144="","",計分!AG144^2)</f>
        <v/>
      </c>
      <c r="AH144">
        <f>IF(計分!AH144="","",計分!AH144^2)</f>
        <v/>
      </c>
      <c r="AI144">
        <f>IF(計分!AI144="","",計分!AI144^2)</f>
        <v/>
      </c>
      <c r="AJ144">
        <f>IF(計分!AJ144="","",計分!AJ144^2)</f>
        <v/>
      </c>
      <c r="AK144">
        <f>IF(計分!AK144="","",計分!AK144^2)</f>
        <v/>
      </c>
      <c r="AL144">
        <f>IF(計分!AL144="","",計分!AL144^2)</f>
        <v/>
      </c>
      <c r="AM144">
        <f>IF(計分!AM144="","",計分!AM144^2)</f>
        <v/>
      </c>
      <c r="AN144">
        <f>IF(計分!AN144="","",計分!AN144^2)</f>
        <v/>
      </c>
      <c r="AO144">
        <f>IF(計分!AO144="","",計分!AO144^2)</f>
        <v/>
      </c>
    </row>
    <row r="145">
      <c r="B145">
        <f>IF(計分!B145="","",計分!B145^2)</f>
        <v/>
      </c>
      <c r="C145">
        <f>IF(計分!C145="","",計分!C145^2)</f>
        <v/>
      </c>
      <c r="D145">
        <f>IF(計分!D145="","",計分!D145^2)</f>
        <v/>
      </c>
      <c r="E145">
        <f>IF(計分!E145="","",計分!E145^2)</f>
        <v/>
      </c>
      <c r="F145">
        <f>IF(計分!F145="","",計分!F145^2)</f>
        <v/>
      </c>
      <c r="G145">
        <f>IF(計分!G145="","",計分!G145^2)</f>
        <v/>
      </c>
      <c r="H145">
        <f>IF(計分!H145="","",計分!H145^2)</f>
        <v/>
      </c>
      <c r="I145">
        <f>IF(計分!I145="","",計分!I145^2)</f>
        <v/>
      </c>
      <c r="J145">
        <f>IF(計分!J145="","",計分!J145^2)</f>
        <v/>
      </c>
      <c r="K145">
        <f>IF(計分!K145="","",計分!K145^2)</f>
        <v/>
      </c>
      <c r="L145">
        <f>IF(計分!L145="","",計分!L145^2)</f>
        <v/>
      </c>
      <c r="M145">
        <f>IF(計分!M145="","",計分!M145^2)</f>
        <v/>
      </c>
      <c r="N145">
        <f>IF(計分!N145="","",計分!N145^2)</f>
        <v/>
      </c>
      <c r="O145">
        <f>IF(計分!O145="","",計分!O145^2)</f>
        <v/>
      </c>
      <c r="P145">
        <f>IF(計分!P145="","",計分!P145^2)</f>
        <v/>
      </c>
      <c r="Q145">
        <f>IF(計分!Q145="","",計分!Q145^2)</f>
        <v/>
      </c>
      <c r="R145">
        <f>IF(計分!R145="","",計分!R145^2)</f>
        <v/>
      </c>
      <c r="S145">
        <f>IF(計分!S145="","",計分!S145^2)</f>
        <v/>
      </c>
      <c r="T145">
        <f>IF(計分!T145="","",計分!T145^2)</f>
        <v/>
      </c>
      <c r="U145">
        <f>IF(計分!U145="","",計分!U145^2)</f>
        <v/>
      </c>
      <c r="V145">
        <f>IF(計分!V145="","",計分!V145^2)</f>
        <v/>
      </c>
      <c r="W145">
        <f>IF(計分!W145="","",計分!W145^2)</f>
        <v/>
      </c>
      <c r="X145">
        <f>IF(計分!X145="","",計分!X145^2)</f>
        <v/>
      </c>
      <c r="Y145">
        <f>IF(計分!Y145="","",計分!Y145^2)</f>
        <v/>
      </c>
      <c r="Z145">
        <f>IF(計分!Z145="","",計分!Z145^2)</f>
        <v/>
      </c>
      <c r="AA145">
        <f>IF(計分!AA145="","",計分!AA145^2)</f>
        <v/>
      </c>
      <c r="AB145">
        <f>IF(計分!AB145="","",計分!AB145^2)</f>
        <v/>
      </c>
      <c r="AC145">
        <f>IF(計分!AC145="","",計分!AC145^2)</f>
        <v/>
      </c>
      <c r="AD145">
        <f>IF(計分!AD145="","",計分!AD145^2)</f>
        <v/>
      </c>
      <c r="AE145">
        <f>IF(計分!AE145="","",計分!AE145^2)</f>
        <v/>
      </c>
      <c r="AF145">
        <f>IF(計分!AF145="","",計分!AF145^2)</f>
        <v/>
      </c>
      <c r="AG145">
        <f>IF(計分!AG145="","",計分!AG145^2)</f>
        <v/>
      </c>
      <c r="AH145">
        <f>IF(計分!AH145="","",計分!AH145^2)</f>
        <v/>
      </c>
      <c r="AI145">
        <f>IF(計分!AI145="","",計分!AI145^2)</f>
        <v/>
      </c>
      <c r="AJ145">
        <f>IF(計分!AJ145="","",計分!AJ145^2)</f>
        <v/>
      </c>
      <c r="AK145">
        <f>IF(計分!AK145="","",計分!AK145^2)</f>
        <v/>
      </c>
      <c r="AL145">
        <f>IF(計分!AL145="","",計分!AL145^2)</f>
        <v/>
      </c>
      <c r="AM145">
        <f>IF(計分!AM145="","",計分!AM145^2)</f>
        <v/>
      </c>
      <c r="AN145">
        <f>IF(計分!AN145="","",計分!AN145^2)</f>
        <v/>
      </c>
      <c r="AO145">
        <f>IF(計分!AO145="","",計分!AO145^2)</f>
        <v/>
      </c>
    </row>
    <row r="146">
      <c r="B146">
        <f>IF(計分!B146="","",計分!B146^2)</f>
        <v/>
      </c>
      <c r="C146">
        <f>IF(計分!C146="","",計分!C146^2)</f>
        <v/>
      </c>
      <c r="D146">
        <f>IF(計分!D146="","",計分!D146^2)</f>
        <v/>
      </c>
      <c r="E146">
        <f>IF(計分!E146="","",計分!E146^2)</f>
        <v/>
      </c>
      <c r="F146">
        <f>IF(計分!F146="","",計分!F146^2)</f>
        <v/>
      </c>
      <c r="G146">
        <f>IF(計分!G146="","",計分!G146^2)</f>
        <v/>
      </c>
      <c r="H146">
        <f>IF(計分!H146="","",計分!H146^2)</f>
        <v/>
      </c>
      <c r="I146">
        <f>IF(計分!I146="","",計分!I146^2)</f>
        <v/>
      </c>
      <c r="J146">
        <f>IF(計分!J146="","",計分!J146^2)</f>
        <v/>
      </c>
      <c r="K146">
        <f>IF(計分!K146="","",計分!K146^2)</f>
        <v/>
      </c>
      <c r="L146">
        <f>IF(計分!L146="","",計分!L146^2)</f>
        <v/>
      </c>
      <c r="M146">
        <f>IF(計分!M146="","",計分!M146^2)</f>
        <v/>
      </c>
      <c r="N146">
        <f>IF(計分!N146="","",計分!N146^2)</f>
        <v/>
      </c>
      <c r="O146">
        <f>IF(計分!O146="","",計分!O146^2)</f>
        <v/>
      </c>
      <c r="P146">
        <f>IF(計分!P146="","",計分!P146^2)</f>
        <v/>
      </c>
      <c r="Q146">
        <f>IF(計分!Q146="","",計分!Q146^2)</f>
        <v/>
      </c>
      <c r="R146">
        <f>IF(計分!R146="","",計分!R146^2)</f>
        <v/>
      </c>
      <c r="S146">
        <f>IF(計分!S146="","",計分!S146^2)</f>
        <v/>
      </c>
      <c r="T146">
        <f>IF(計分!T146="","",計分!T146^2)</f>
        <v/>
      </c>
      <c r="U146">
        <f>IF(計分!U146="","",計分!U146^2)</f>
        <v/>
      </c>
      <c r="V146">
        <f>IF(計分!V146="","",計分!V146^2)</f>
        <v/>
      </c>
      <c r="W146">
        <f>IF(計分!W146="","",計分!W146^2)</f>
        <v/>
      </c>
      <c r="X146">
        <f>IF(計分!X146="","",計分!X146^2)</f>
        <v/>
      </c>
      <c r="Y146">
        <f>IF(計分!Y146="","",計分!Y146^2)</f>
        <v/>
      </c>
      <c r="Z146">
        <f>IF(計分!Z146="","",計分!Z146^2)</f>
        <v/>
      </c>
      <c r="AA146">
        <f>IF(計分!AA146="","",計分!AA146^2)</f>
        <v/>
      </c>
      <c r="AB146">
        <f>IF(計分!AB146="","",計分!AB146^2)</f>
        <v/>
      </c>
      <c r="AC146">
        <f>IF(計分!AC146="","",計分!AC146^2)</f>
        <v/>
      </c>
      <c r="AD146">
        <f>IF(計分!AD146="","",計分!AD146^2)</f>
        <v/>
      </c>
      <c r="AE146">
        <f>IF(計分!AE146="","",計分!AE146^2)</f>
        <v/>
      </c>
      <c r="AF146">
        <f>IF(計分!AF146="","",計分!AF146^2)</f>
        <v/>
      </c>
      <c r="AG146">
        <f>IF(計分!AG146="","",計分!AG146^2)</f>
        <v/>
      </c>
      <c r="AH146">
        <f>IF(計分!AH146="","",計分!AH146^2)</f>
        <v/>
      </c>
      <c r="AI146">
        <f>IF(計分!AI146="","",計分!AI146^2)</f>
        <v/>
      </c>
      <c r="AJ146">
        <f>IF(計分!AJ146="","",計分!AJ146^2)</f>
        <v/>
      </c>
      <c r="AK146">
        <f>IF(計分!AK146="","",計分!AK146^2)</f>
        <v/>
      </c>
      <c r="AL146">
        <f>IF(計分!AL146="","",計分!AL146^2)</f>
        <v/>
      </c>
      <c r="AM146">
        <f>IF(計分!AM146="","",計分!AM146^2)</f>
        <v/>
      </c>
      <c r="AN146">
        <f>IF(計分!AN146="","",計分!AN146^2)</f>
        <v/>
      </c>
      <c r="AO146">
        <f>IF(計分!AO146="","",計分!AO146^2)</f>
        <v/>
      </c>
    </row>
    <row r="147">
      <c r="B147">
        <f>IF(計分!B147="","",計分!B147^2)</f>
        <v/>
      </c>
      <c r="C147">
        <f>IF(計分!C147="","",計分!C147^2)</f>
        <v/>
      </c>
      <c r="D147">
        <f>IF(計分!D147="","",計分!D147^2)</f>
        <v/>
      </c>
      <c r="E147">
        <f>IF(計分!E147="","",計分!E147^2)</f>
        <v/>
      </c>
      <c r="F147">
        <f>IF(計分!F147="","",計分!F147^2)</f>
        <v/>
      </c>
      <c r="G147">
        <f>IF(計分!G147="","",計分!G147^2)</f>
        <v/>
      </c>
      <c r="H147">
        <f>IF(計分!H147="","",計分!H147^2)</f>
        <v/>
      </c>
      <c r="I147">
        <f>IF(計分!I147="","",計分!I147^2)</f>
        <v/>
      </c>
      <c r="J147">
        <f>IF(計分!J147="","",計分!J147^2)</f>
        <v/>
      </c>
      <c r="K147">
        <f>IF(計分!K147="","",計分!K147^2)</f>
        <v/>
      </c>
      <c r="L147">
        <f>IF(計分!L147="","",計分!L147^2)</f>
        <v/>
      </c>
      <c r="M147">
        <f>IF(計分!M147="","",計分!M147^2)</f>
        <v/>
      </c>
      <c r="N147">
        <f>IF(計分!N147="","",計分!N147^2)</f>
        <v/>
      </c>
      <c r="O147">
        <f>IF(計分!O147="","",計分!O147^2)</f>
        <v/>
      </c>
      <c r="P147">
        <f>IF(計分!P147="","",計分!P147^2)</f>
        <v/>
      </c>
      <c r="Q147">
        <f>IF(計分!Q147="","",計分!Q147^2)</f>
        <v/>
      </c>
      <c r="R147">
        <f>IF(計分!R147="","",計分!R147^2)</f>
        <v/>
      </c>
      <c r="S147">
        <f>IF(計分!S147="","",計分!S147^2)</f>
        <v/>
      </c>
      <c r="T147">
        <f>IF(計分!T147="","",計分!T147^2)</f>
        <v/>
      </c>
      <c r="U147">
        <f>IF(計分!U147="","",計分!U147^2)</f>
        <v/>
      </c>
      <c r="V147">
        <f>IF(計分!V147="","",計分!V147^2)</f>
        <v/>
      </c>
      <c r="W147">
        <f>IF(計分!W147="","",計分!W147^2)</f>
        <v/>
      </c>
      <c r="X147">
        <f>IF(計分!X147="","",計分!X147^2)</f>
        <v/>
      </c>
      <c r="Y147">
        <f>IF(計分!Y147="","",計分!Y147^2)</f>
        <v/>
      </c>
      <c r="Z147">
        <f>IF(計分!Z147="","",計分!Z147^2)</f>
        <v/>
      </c>
      <c r="AA147">
        <f>IF(計分!AA147="","",計分!AA147^2)</f>
        <v/>
      </c>
      <c r="AB147">
        <f>IF(計分!AB147="","",計分!AB147^2)</f>
        <v/>
      </c>
      <c r="AC147">
        <f>IF(計分!AC147="","",計分!AC147^2)</f>
        <v/>
      </c>
      <c r="AD147">
        <f>IF(計分!AD147="","",計分!AD147^2)</f>
        <v/>
      </c>
      <c r="AE147">
        <f>IF(計分!AE147="","",計分!AE147^2)</f>
        <v/>
      </c>
      <c r="AF147">
        <f>IF(計分!AF147="","",計分!AF147^2)</f>
        <v/>
      </c>
      <c r="AG147">
        <f>IF(計分!AG147="","",計分!AG147^2)</f>
        <v/>
      </c>
      <c r="AH147">
        <f>IF(計分!AH147="","",計分!AH147^2)</f>
        <v/>
      </c>
      <c r="AI147">
        <f>IF(計分!AI147="","",計分!AI147^2)</f>
        <v/>
      </c>
      <c r="AJ147">
        <f>IF(計分!AJ147="","",計分!AJ147^2)</f>
        <v/>
      </c>
      <c r="AK147">
        <f>IF(計分!AK147="","",計分!AK147^2)</f>
        <v/>
      </c>
      <c r="AL147">
        <f>IF(計分!AL147="","",計分!AL147^2)</f>
        <v/>
      </c>
      <c r="AM147">
        <f>IF(計分!AM147="","",計分!AM147^2)</f>
        <v/>
      </c>
      <c r="AN147">
        <f>IF(計分!AN147="","",計分!AN147^2)</f>
        <v/>
      </c>
      <c r="AO147">
        <f>IF(計分!AO147="","",計分!AO147^2)</f>
        <v/>
      </c>
    </row>
    <row r="148">
      <c r="B148">
        <f>IF(計分!B148="","",計分!B148^2)</f>
        <v/>
      </c>
      <c r="C148">
        <f>IF(計分!C148="","",計分!C148^2)</f>
        <v/>
      </c>
      <c r="D148">
        <f>IF(計分!D148="","",計分!D148^2)</f>
        <v/>
      </c>
      <c r="E148">
        <f>IF(計分!E148="","",計分!E148^2)</f>
        <v/>
      </c>
      <c r="F148">
        <f>IF(計分!F148="","",計分!F148^2)</f>
        <v/>
      </c>
      <c r="G148">
        <f>IF(計分!G148="","",計分!G148^2)</f>
        <v/>
      </c>
      <c r="H148">
        <f>IF(計分!H148="","",計分!H148^2)</f>
        <v/>
      </c>
      <c r="I148">
        <f>IF(計分!I148="","",計分!I148^2)</f>
        <v/>
      </c>
      <c r="J148">
        <f>IF(計分!J148="","",計分!J148^2)</f>
        <v/>
      </c>
      <c r="K148">
        <f>IF(計分!K148="","",計分!K148^2)</f>
        <v/>
      </c>
      <c r="L148">
        <f>IF(計分!L148="","",計分!L148^2)</f>
        <v/>
      </c>
      <c r="M148">
        <f>IF(計分!M148="","",計分!M148^2)</f>
        <v/>
      </c>
      <c r="N148">
        <f>IF(計分!N148="","",計分!N148^2)</f>
        <v/>
      </c>
      <c r="O148">
        <f>IF(計分!O148="","",計分!O148^2)</f>
        <v/>
      </c>
      <c r="P148">
        <f>IF(計分!P148="","",計分!P148^2)</f>
        <v/>
      </c>
      <c r="Q148">
        <f>IF(計分!Q148="","",計分!Q148^2)</f>
        <v/>
      </c>
      <c r="R148">
        <f>IF(計分!R148="","",計分!R148^2)</f>
        <v/>
      </c>
      <c r="S148">
        <f>IF(計分!S148="","",計分!S148^2)</f>
        <v/>
      </c>
      <c r="T148">
        <f>IF(計分!T148="","",計分!T148^2)</f>
        <v/>
      </c>
      <c r="U148">
        <f>IF(計分!U148="","",計分!U148^2)</f>
        <v/>
      </c>
      <c r="V148">
        <f>IF(計分!V148="","",計分!V148^2)</f>
        <v/>
      </c>
      <c r="W148">
        <f>IF(計分!W148="","",計分!W148^2)</f>
        <v/>
      </c>
      <c r="X148">
        <f>IF(計分!X148="","",計分!X148^2)</f>
        <v/>
      </c>
      <c r="Y148">
        <f>IF(計分!Y148="","",計分!Y148^2)</f>
        <v/>
      </c>
      <c r="Z148">
        <f>IF(計分!Z148="","",計分!Z148^2)</f>
        <v/>
      </c>
      <c r="AA148">
        <f>IF(計分!AA148="","",計分!AA148^2)</f>
        <v/>
      </c>
      <c r="AB148">
        <f>IF(計分!AB148="","",計分!AB148^2)</f>
        <v/>
      </c>
      <c r="AC148">
        <f>IF(計分!AC148="","",計分!AC148^2)</f>
        <v/>
      </c>
      <c r="AD148">
        <f>IF(計分!AD148="","",計分!AD148^2)</f>
        <v/>
      </c>
      <c r="AE148">
        <f>IF(計分!AE148="","",計分!AE148^2)</f>
        <v/>
      </c>
      <c r="AF148">
        <f>IF(計分!AF148="","",計分!AF148^2)</f>
        <v/>
      </c>
      <c r="AG148">
        <f>IF(計分!AG148="","",計分!AG148^2)</f>
        <v/>
      </c>
      <c r="AH148">
        <f>IF(計分!AH148="","",計分!AH148^2)</f>
        <v/>
      </c>
      <c r="AI148">
        <f>IF(計分!AI148="","",計分!AI148^2)</f>
        <v/>
      </c>
      <c r="AJ148">
        <f>IF(計分!AJ148="","",計分!AJ148^2)</f>
        <v/>
      </c>
      <c r="AK148">
        <f>IF(計分!AK148="","",計分!AK148^2)</f>
        <v/>
      </c>
      <c r="AL148">
        <f>IF(計分!AL148="","",計分!AL148^2)</f>
        <v/>
      </c>
      <c r="AM148">
        <f>IF(計分!AM148="","",計分!AM148^2)</f>
        <v/>
      </c>
      <c r="AN148">
        <f>IF(計分!AN148="","",計分!AN148^2)</f>
        <v/>
      </c>
      <c r="AO148">
        <f>IF(計分!AO148="","",計分!AO148^2)</f>
        <v/>
      </c>
    </row>
    <row r="149">
      <c r="B149">
        <f>IF(計分!B149="","",計分!B149^2)</f>
        <v/>
      </c>
      <c r="C149">
        <f>IF(計分!C149="","",計分!C149^2)</f>
        <v/>
      </c>
      <c r="D149">
        <f>IF(計分!D149="","",計分!D149^2)</f>
        <v/>
      </c>
      <c r="E149">
        <f>IF(計分!E149="","",計分!E149^2)</f>
        <v/>
      </c>
      <c r="F149">
        <f>IF(計分!F149="","",計分!F149^2)</f>
        <v/>
      </c>
      <c r="G149">
        <f>IF(計分!G149="","",計分!G149^2)</f>
        <v/>
      </c>
      <c r="H149">
        <f>IF(計分!H149="","",計分!H149^2)</f>
        <v/>
      </c>
      <c r="I149">
        <f>IF(計分!I149="","",計分!I149^2)</f>
        <v/>
      </c>
      <c r="J149">
        <f>IF(計分!J149="","",計分!J149^2)</f>
        <v/>
      </c>
      <c r="K149">
        <f>IF(計分!K149="","",計分!K149^2)</f>
        <v/>
      </c>
      <c r="L149">
        <f>IF(計分!L149="","",計分!L149^2)</f>
        <v/>
      </c>
      <c r="M149">
        <f>IF(計分!M149="","",計分!M149^2)</f>
        <v/>
      </c>
      <c r="N149">
        <f>IF(計分!N149="","",計分!N149^2)</f>
        <v/>
      </c>
      <c r="O149">
        <f>IF(計分!O149="","",計分!O149^2)</f>
        <v/>
      </c>
      <c r="P149">
        <f>IF(計分!P149="","",計分!P149^2)</f>
        <v/>
      </c>
      <c r="Q149">
        <f>IF(計分!Q149="","",計分!Q149^2)</f>
        <v/>
      </c>
      <c r="R149">
        <f>IF(計分!R149="","",計分!R149^2)</f>
        <v/>
      </c>
      <c r="S149">
        <f>IF(計分!S149="","",計分!S149^2)</f>
        <v/>
      </c>
      <c r="T149">
        <f>IF(計分!T149="","",計分!T149^2)</f>
        <v/>
      </c>
      <c r="U149">
        <f>IF(計分!U149="","",計分!U149^2)</f>
        <v/>
      </c>
      <c r="V149">
        <f>IF(計分!V149="","",計分!V149^2)</f>
        <v/>
      </c>
      <c r="W149">
        <f>IF(計分!W149="","",計分!W149^2)</f>
        <v/>
      </c>
      <c r="X149">
        <f>IF(計分!X149="","",計分!X149^2)</f>
        <v/>
      </c>
      <c r="Y149">
        <f>IF(計分!Y149="","",計分!Y149^2)</f>
        <v/>
      </c>
      <c r="Z149">
        <f>IF(計分!Z149="","",計分!Z149^2)</f>
        <v/>
      </c>
      <c r="AA149">
        <f>IF(計分!AA149="","",計分!AA149^2)</f>
        <v/>
      </c>
      <c r="AB149">
        <f>IF(計分!AB149="","",計分!AB149^2)</f>
        <v/>
      </c>
      <c r="AC149">
        <f>IF(計分!AC149="","",計分!AC149^2)</f>
        <v/>
      </c>
      <c r="AD149">
        <f>IF(計分!AD149="","",計分!AD149^2)</f>
        <v/>
      </c>
      <c r="AE149">
        <f>IF(計分!AE149="","",計分!AE149^2)</f>
        <v/>
      </c>
      <c r="AF149">
        <f>IF(計分!AF149="","",計分!AF149^2)</f>
        <v/>
      </c>
      <c r="AG149">
        <f>IF(計分!AG149="","",計分!AG149^2)</f>
        <v/>
      </c>
      <c r="AH149">
        <f>IF(計分!AH149="","",計分!AH149^2)</f>
        <v/>
      </c>
      <c r="AI149">
        <f>IF(計分!AI149="","",計分!AI149^2)</f>
        <v/>
      </c>
      <c r="AJ149">
        <f>IF(計分!AJ149="","",計分!AJ149^2)</f>
        <v/>
      </c>
      <c r="AK149">
        <f>IF(計分!AK149="","",計分!AK149^2)</f>
        <v/>
      </c>
      <c r="AL149">
        <f>IF(計分!AL149="","",計分!AL149^2)</f>
        <v/>
      </c>
      <c r="AM149">
        <f>IF(計分!AM149="","",計分!AM149^2)</f>
        <v/>
      </c>
      <c r="AN149">
        <f>IF(計分!AN149="","",計分!AN149^2)</f>
        <v/>
      </c>
      <c r="AO149">
        <f>IF(計分!AO149="","",計分!AO149^2)</f>
        <v/>
      </c>
    </row>
    <row r="150">
      <c r="B150">
        <f>IF(計分!B150="","",計分!B150^2)</f>
        <v/>
      </c>
      <c r="C150">
        <f>IF(計分!C150="","",計分!C150^2)</f>
        <v/>
      </c>
      <c r="D150">
        <f>IF(計分!D150="","",計分!D150^2)</f>
        <v/>
      </c>
      <c r="E150">
        <f>IF(計分!E150="","",計分!E150^2)</f>
        <v/>
      </c>
      <c r="F150">
        <f>IF(計分!F150="","",計分!F150^2)</f>
        <v/>
      </c>
      <c r="G150">
        <f>IF(計分!G150="","",計分!G150^2)</f>
        <v/>
      </c>
      <c r="H150">
        <f>IF(計分!H150="","",計分!H150^2)</f>
        <v/>
      </c>
      <c r="I150">
        <f>IF(計分!I150="","",計分!I150^2)</f>
        <v/>
      </c>
      <c r="J150">
        <f>IF(計分!J150="","",計分!J150^2)</f>
        <v/>
      </c>
      <c r="K150">
        <f>IF(計分!K150="","",計分!K150^2)</f>
        <v/>
      </c>
      <c r="L150">
        <f>IF(計分!L150="","",計分!L150^2)</f>
        <v/>
      </c>
      <c r="M150">
        <f>IF(計分!M150="","",計分!M150^2)</f>
        <v/>
      </c>
      <c r="N150">
        <f>IF(計分!N150="","",計分!N150^2)</f>
        <v/>
      </c>
      <c r="O150">
        <f>IF(計分!O150="","",計分!O150^2)</f>
        <v/>
      </c>
      <c r="P150">
        <f>IF(計分!P150="","",計分!P150^2)</f>
        <v/>
      </c>
      <c r="Q150">
        <f>IF(計分!Q150="","",計分!Q150^2)</f>
        <v/>
      </c>
      <c r="R150">
        <f>IF(計分!R150="","",計分!R150^2)</f>
        <v/>
      </c>
      <c r="S150">
        <f>IF(計分!S150="","",計分!S150^2)</f>
        <v/>
      </c>
      <c r="T150">
        <f>IF(計分!T150="","",計分!T150^2)</f>
        <v/>
      </c>
      <c r="U150">
        <f>IF(計分!U150="","",計分!U150^2)</f>
        <v/>
      </c>
      <c r="V150">
        <f>IF(計分!V150="","",計分!V150^2)</f>
        <v/>
      </c>
      <c r="W150">
        <f>IF(計分!W150="","",計分!W150^2)</f>
        <v/>
      </c>
      <c r="X150">
        <f>IF(計分!X150="","",計分!X150^2)</f>
        <v/>
      </c>
      <c r="Y150">
        <f>IF(計分!Y150="","",計分!Y150^2)</f>
        <v/>
      </c>
      <c r="Z150">
        <f>IF(計分!Z150="","",計分!Z150^2)</f>
        <v/>
      </c>
      <c r="AA150">
        <f>IF(計分!AA150="","",計分!AA150^2)</f>
        <v/>
      </c>
      <c r="AB150">
        <f>IF(計分!AB150="","",計分!AB150^2)</f>
        <v/>
      </c>
      <c r="AC150">
        <f>IF(計分!AC150="","",計分!AC150^2)</f>
        <v/>
      </c>
      <c r="AD150">
        <f>IF(計分!AD150="","",計分!AD150^2)</f>
        <v/>
      </c>
      <c r="AE150">
        <f>IF(計分!AE150="","",計分!AE150^2)</f>
        <v/>
      </c>
      <c r="AF150">
        <f>IF(計分!AF150="","",計分!AF150^2)</f>
        <v/>
      </c>
      <c r="AG150">
        <f>IF(計分!AG150="","",計分!AG150^2)</f>
        <v/>
      </c>
      <c r="AH150">
        <f>IF(計分!AH150="","",計分!AH150^2)</f>
        <v/>
      </c>
      <c r="AI150">
        <f>IF(計分!AI150="","",計分!AI150^2)</f>
        <v/>
      </c>
      <c r="AJ150">
        <f>IF(計分!AJ150="","",計分!AJ150^2)</f>
        <v/>
      </c>
      <c r="AK150">
        <f>IF(計分!AK150="","",計分!AK150^2)</f>
        <v/>
      </c>
      <c r="AL150">
        <f>IF(計分!AL150="","",計分!AL150^2)</f>
        <v/>
      </c>
      <c r="AM150">
        <f>IF(計分!AM150="","",計分!AM150^2)</f>
        <v/>
      </c>
      <c r="AN150">
        <f>IF(計分!AN150="","",計分!AN150^2)</f>
        <v/>
      </c>
      <c r="AO150">
        <f>IF(計分!AO150="","",計分!AO150^2)</f>
        <v/>
      </c>
    </row>
    <row r="151">
      <c r="B151">
        <f>IF(計分!B151="","",計分!B151^2)</f>
        <v/>
      </c>
      <c r="C151">
        <f>IF(計分!C151="","",計分!C151^2)</f>
        <v/>
      </c>
      <c r="D151">
        <f>IF(計分!D151="","",計分!D151^2)</f>
        <v/>
      </c>
      <c r="E151">
        <f>IF(計分!E151="","",計分!E151^2)</f>
        <v/>
      </c>
      <c r="F151">
        <f>IF(計分!F151="","",計分!F151^2)</f>
        <v/>
      </c>
      <c r="G151">
        <f>IF(計分!G151="","",計分!G151^2)</f>
        <v/>
      </c>
      <c r="H151">
        <f>IF(計分!H151="","",計分!H151^2)</f>
        <v/>
      </c>
      <c r="I151">
        <f>IF(計分!I151="","",計分!I151^2)</f>
        <v/>
      </c>
      <c r="J151">
        <f>IF(計分!J151="","",計分!J151^2)</f>
        <v/>
      </c>
      <c r="K151">
        <f>IF(計分!K151="","",計分!K151^2)</f>
        <v/>
      </c>
      <c r="L151">
        <f>IF(計分!L151="","",計分!L151^2)</f>
        <v/>
      </c>
      <c r="M151">
        <f>IF(計分!M151="","",計分!M151^2)</f>
        <v/>
      </c>
      <c r="N151">
        <f>IF(計分!N151="","",計分!N151^2)</f>
        <v/>
      </c>
      <c r="O151">
        <f>IF(計分!O151="","",計分!O151^2)</f>
        <v/>
      </c>
      <c r="P151">
        <f>IF(計分!P151="","",計分!P151^2)</f>
        <v/>
      </c>
      <c r="Q151">
        <f>IF(計分!Q151="","",計分!Q151^2)</f>
        <v/>
      </c>
      <c r="R151">
        <f>IF(計分!R151="","",計分!R151^2)</f>
        <v/>
      </c>
      <c r="S151">
        <f>IF(計分!S151="","",計分!S151^2)</f>
        <v/>
      </c>
      <c r="T151">
        <f>IF(計分!T151="","",計分!T151^2)</f>
        <v/>
      </c>
      <c r="U151">
        <f>IF(計分!U151="","",計分!U151^2)</f>
        <v/>
      </c>
      <c r="V151">
        <f>IF(計分!V151="","",計分!V151^2)</f>
        <v/>
      </c>
      <c r="W151">
        <f>IF(計分!W151="","",計分!W151^2)</f>
        <v/>
      </c>
      <c r="X151">
        <f>IF(計分!X151="","",計分!X151^2)</f>
        <v/>
      </c>
      <c r="Y151">
        <f>IF(計分!Y151="","",計分!Y151^2)</f>
        <v/>
      </c>
      <c r="Z151">
        <f>IF(計分!Z151="","",計分!Z151^2)</f>
        <v/>
      </c>
      <c r="AA151">
        <f>IF(計分!AA151="","",計分!AA151^2)</f>
        <v/>
      </c>
      <c r="AB151">
        <f>IF(計分!AB151="","",計分!AB151^2)</f>
        <v/>
      </c>
      <c r="AC151">
        <f>IF(計分!AC151="","",計分!AC151^2)</f>
        <v/>
      </c>
      <c r="AD151">
        <f>IF(計分!AD151="","",計分!AD151^2)</f>
        <v/>
      </c>
      <c r="AE151">
        <f>IF(計分!AE151="","",計分!AE151^2)</f>
        <v/>
      </c>
      <c r="AF151">
        <f>IF(計分!AF151="","",計分!AF151^2)</f>
        <v/>
      </c>
      <c r="AG151">
        <f>IF(計分!AG151="","",計分!AG151^2)</f>
        <v/>
      </c>
      <c r="AH151">
        <f>IF(計分!AH151="","",計分!AH151^2)</f>
        <v/>
      </c>
      <c r="AI151">
        <f>IF(計分!AI151="","",計分!AI151^2)</f>
        <v/>
      </c>
      <c r="AJ151">
        <f>IF(計分!AJ151="","",計分!AJ151^2)</f>
        <v/>
      </c>
      <c r="AK151">
        <f>IF(計分!AK151="","",計分!AK151^2)</f>
        <v/>
      </c>
      <c r="AL151">
        <f>IF(計分!AL151="","",計分!AL151^2)</f>
        <v/>
      </c>
      <c r="AM151">
        <f>IF(計分!AM151="","",計分!AM151^2)</f>
        <v/>
      </c>
      <c r="AN151">
        <f>IF(計分!AN151="","",計分!AN151^2)</f>
        <v/>
      </c>
      <c r="AO151">
        <f>IF(計分!AO151="","",計分!AO151^2)</f>
        <v/>
      </c>
    </row>
    <row r="152">
      <c r="B152">
        <f>IF(計分!B152="","",計分!B152^2)</f>
        <v/>
      </c>
      <c r="C152">
        <f>IF(計分!C152="","",計分!C152^2)</f>
        <v/>
      </c>
      <c r="D152">
        <f>IF(計分!D152="","",計分!D152^2)</f>
        <v/>
      </c>
      <c r="E152">
        <f>IF(計分!E152="","",計分!E152^2)</f>
        <v/>
      </c>
      <c r="F152">
        <f>IF(計分!F152="","",計分!F152^2)</f>
        <v/>
      </c>
      <c r="G152">
        <f>IF(計分!G152="","",計分!G152^2)</f>
        <v/>
      </c>
      <c r="H152">
        <f>IF(計分!H152="","",計分!H152^2)</f>
        <v/>
      </c>
      <c r="I152">
        <f>IF(計分!I152="","",計分!I152^2)</f>
        <v/>
      </c>
      <c r="J152">
        <f>IF(計分!J152="","",計分!J152^2)</f>
        <v/>
      </c>
      <c r="K152">
        <f>IF(計分!K152="","",計分!K152^2)</f>
        <v/>
      </c>
      <c r="L152">
        <f>IF(計分!L152="","",計分!L152^2)</f>
        <v/>
      </c>
      <c r="M152">
        <f>IF(計分!M152="","",計分!M152^2)</f>
        <v/>
      </c>
      <c r="N152">
        <f>IF(計分!N152="","",計分!N152^2)</f>
        <v/>
      </c>
      <c r="O152">
        <f>IF(計分!O152="","",計分!O152^2)</f>
        <v/>
      </c>
      <c r="P152">
        <f>IF(計分!P152="","",計分!P152^2)</f>
        <v/>
      </c>
      <c r="Q152">
        <f>IF(計分!Q152="","",計分!Q152^2)</f>
        <v/>
      </c>
      <c r="R152">
        <f>IF(計分!R152="","",計分!R152^2)</f>
        <v/>
      </c>
      <c r="S152">
        <f>IF(計分!S152="","",計分!S152^2)</f>
        <v/>
      </c>
      <c r="T152">
        <f>IF(計分!T152="","",計分!T152^2)</f>
        <v/>
      </c>
      <c r="U152">
        <f>IF(計分!U152="","",計分!U152^2)</f>
        <v/>
      </c>
      <c r="V152">
        <f>IF(計分!V152="","",計分!V152^2)</f>
        <v/>
      </c>
      <c r="W152">
        <f>IF(計分!W152="","",計分!W152^2)</f>
        <v/>
      </c>
      <c r="X152">
        <f>IF(計分!X152="","",計分!X152^2)</f>
        <v/>
      </c>
      <c r="Y152">
        <f>IF(計分!Y152="","",計分!Y152^2)</f>
        <v/>
      </c>
      <c r="Z152">
        <f>IF(計分!Z152="","",計分!Z152^2)</f>
        <v/>
      </c>
      <c r="AA152">
        <f>IF(計分!AA152="","",計分!AA152^2)</f>
        <v/>
      </c>
      <c r="AB152">
        <f>IF(計分!AB152="","",計分!AB152^2)</f>
        <v/>
      </c>
      <c r="AC152">
        <f>IF(計分!AC152="","",計分!AC152^2)</f>
        <v/>
      </c>
      <c r="AD152">
        <f>IF(計分!AD152="","",計分!AD152^2)</f>
        <v/>
      </c>
      <c r="AE152">
        <f>IF(計分!AE152="","",計分!AE152^2)</f>
        <v/>
      </c>
      <c r="AF152">
        <f>IF(計分!AF152="","",計分!AF152^2)</f>
        <v/>
      </c>
      <c r="AG152">
        <f>IF(計分!AG152="","",計分!AG152^2)</f>
        <v/>
      </c>
      <c r="AH152">
        <f>IF(計分!AH152="","",計分!AH152^2)</f>
        <v/>
      </c>
      <c r="AI152">
        <f>IF(計分!AI152="","",計分!AI152^2)</f>
        <v/>
      </c>
      <c r="AJ152">
        <f>IF(計分!AJ152="","",計分!AJ152^2)</f>
        <v/>
      </c>
      <c r="AK152">
        <f>IF(計分!AK152="","",計分!AK152^2)</f>
        <v/>
      </c>
      <c r="AL152">
        <f>IF(計分!AL152="","",計分!AL152^2)</f>
        <v/>
      </c>
      <c r="AM152">
        <f>IF(計分!AM152="","",計分!AM152^2)</f>
        <v/>
      </c>
      <c r="AN152">
        <f>IF(計分!AN152="","",計分!AN152^2)</f>
        <v/>
      </c>
      <c r="AO152">
        <f>IF(計分!AO152="","",計分!AO152^2)</f>
        <v/>
      </c>
    </row>
    <row r="153">
      <c r="B153">
        <f>IF(計分!B153="","",計分!B153^2)</f>
        <v/>
      </c>
      <c r="C153">
        <f>IF(計分!C153="","",計分!C153^2)</f>
        <v/>
      </c>
      <c r="D153">
        <f>IF(計分!D153="","",計分!D153^2)</f>
        <v/>
      </c>
      <c r="E153">
        <f>IF(計分!E153="","",計分!E153^2)</f>
        <v/>
      </c>
      <c r="F153">
        <f>IF(計分!F153="","",計分!F153^2)</f>
        <v/>
      </c>
      <c r="G153">
        <f>IF(計分!G153="","",計分!G153^2)</f>
        <v/>
      </c>
      <c r="H153">
        <f>IF(計分!H153="","",計分!H153^2)</f>
        <v/>
      </c>
      <c r="I153">
        <f>IF(計分!I153="","",計分!I153^2)</f>
        <v/>
      </c>
      <c r="J153">
        <f>IF(計分!J153="","",計分!J153^2)</f>
        <v/>
      </c>
      <c r="K153">
        <f>IF(計分!K153="","",計分!K153^2)</f>
        <v/>
      </c>
      <c r="L153">
        <f>IF(計分!L153="","",計分!L153^2)</f>
        <v/>
      </c>
      <c r="M153">
        <f>IF(計分!M153="","",計分!M153^2)</f>
        <v/>
      </c>
      <c r="N153">
        <f>IF(計分!N153="","",計分!N153^2)</f>
        <v/>
      </c>
      <c r="O153">
        <f>IF(計分!O153="","",計分!O153^2)</f>
        <v/>
      </c>
      <c r="P153">
        <f>IF(計分!P153="","",計分!P153^2)</f>
        <v/>
      </c>
      <c r="Q153">
        <f>IF(計分!Q153="","",計分!Q153^2)</f>
        <v/>
      </c>
      <c r="R153">
        <f>IF(計分!R153="","",計分!R153^2)</f>
        <v/>
      </c>
      <c r="S153">
        <f>IF(計分!S153="","",計分!S153^2)</f>
        <v/>
      </c>
      <c r="T153">
        <f>IF(計分!T153="","",計分!T153^2)</f>
        <v/>
      </c>
      <c r="U153">
        <f>IF(計分!U153="","",計分!U153^2)</f>
        <v/>
      </c>
      <c r="V153">
        <f>IF(計分!V153="","",計分!V153^2)</f>
        <v/>
      </c>
      <c r="W153">
        <f>IF(計分!W153="","",計分!W153^2)</f>
        <v/>
      </c>
      <c r="X153">
        <f>IF(計分!X153="","",計分!X153^2)</f>
        <v/>
      </c>
      <c r="Y153">
        <f>IF(計分!Y153="","",計分!Y153^2)</f>
        <v/>
      </c>
      <c r="Z153">
        <f>IF(計分!Z153="","",計分!Z153^2)</f>
        <v/>
      </c>
      <c r="AA153">
        <f>IF(計分!AA153="","",計分!AA153^2)</f>
        <v/>
      </c>
      <c r="AB153">
        <f>IF(計分!AB153="","",計分!AB153^2)</f>
        <v/>
      </c>
      <c r="AC153">
        <f>IF(計分!AC153="","",計分!AC153^2)</f>
        <v/>
      </c>
      <c r="AD153">
        <f>IF(計分!AD153="","",計分!AD153^2)</f>
        <v/>
      </c>
      <c r="AE153">
        <f>IF(計分!AE153="","",計分!AE153^2)</f>
        <v/>
      </c>
      <c r="AF153">
        <f>IF(計分!AF153="","",計分!AF153^2)</f>
        <v/>
      </c>
      <c r="AG153">
        <f>IF(計分!AG153="","",計分!AG153^2)</f>
        <v/>
      </c>
      <c r="AH153">
        <f>IF(計分!AH153="","",計分!AH153^2)</f>
        <v/>
      </c>
      <c r="AI153">
        <f>IF(計分!AI153="","",計分!AI153^2)</f>
        <v/>
      </c>
      <c r="AJ153">
        <f>IF(計分!AJ153="","",計分!AJ153^2)</f>
        <v/>
      </c>
      <c r="AK153">
        <f>IF(計分!AK153="","",計分!AK153^2)</f>
        <v/>
      </c>
      <c r="AL153">
        <f>IF(計分!AL153="","",計分!AL153^2)</f>
        <v/>
      </c>
      <c r="AM153">
        <f>IF(計分!AM153="","",計分!AM153^2)</f>
        <v/>
      </c>
      <c r="AN153">
        <f>IF(計分!AN153="","",計分!AN153^2)</f>
        <v/>
      </c>
      <c r="AO153">
        <f>IF(計分!AO153="","",計分!AO153^2)</f>
        <v/>
      </c>
    </row>
    <row r="154">
      <c r="B154">
        <f>IF(計分!B154="","",計分!B154^2)</f>
        <v/>
      </c>
      <c r="C154">
        <f>IF(計分!C154="","",計分!C154^2)</f>
        <v/>
      </c>
      <c r="D154">
        <f>IF(計分!D154="","",計分!D154^2)</f>
        <v/>
      </c>
      <c r="E154">
        <f>IF(計分!E154="","",計分!E154^2)</f>
        <v/>
      </c>
      <c r="F154">
        <f>IF(計分!F154="","",計分!F154^2)</f>
        <v/>
      </c>
      <c r="G154">
        <f>IF(計分!G154="","",計分!G154^2)</f>
        <v/>
      </c>
      <c r="H154">
        <f>IF(計分!H154="","",計分!H154^2)</f>
        <v/>
      </c>
      <c r="I154">
        <f>IF(計分!I154="","",計分!I154^2)</f>
        <v/>
      </c>
      <c r="J154">
        <f>IF(計分!J154="","",計分!J154^2)</f>
        <v/>
      </c>
      <c r="K154">
        <f>IF(計分!K154="","",計分!K154^2)</f>
        <v/>
      </c>
      <c r="L154">
        <f>IF(計分!L154="","",計分!L154^2)</f>
        <v/>
      </c>
      <c r="M154">
        <f>IF(計分!M154="","",計分!M154^2)</f>
        <v/>
      </c>
      <c r="N154">
        <f>IF(計分!N154="","",計分!N154^2)</f>
        <v/>
      </c>
      <c r="O154">
        <f>IF(計分!O154="","",計分!O154^2)</f>
        <v/>
      </c>
      <c r="P154">
        <f>IF(計分!P154="","",計分!P154^2)</f>
        <v/>
      </c>
      <c r="Q154">
        <f>IF(計分!Q154="","",計分!Q154^2)</f>
        <v/>
      </c>
      <c r="R154">
        <f>IF(計分!R154="","",計分!R154^2)</f>
        <v/>
      </c>
      <c r="S154">
        <f>IF(計分!S154="","",計分!S154^2)</f>
        <v/>
      </c>
      <c r="T154">
        <f>IF(計分!T154="","",計分!T154^2)</f>
        <v/>
      </c>
      <c r="U154">
        <f>IF(計分!U154="","",計分!U154^2)</f>
        <v/>
      </c>
      <c r="V154">
        <f>IF(計分!V154="","",計分!V154^2)</f>
        <v/>
      </c>
      <c r="W154">
        <f>IF(計分!W154="","",計分!W154^2)</f>
        <v/>
      </c>
      <c r="X154">
        <f>IF(計分!X154="","",計分!X154^2)</f>
        <v/>
      </c>
      <c r="Y154">
        <f>IF(計分!Y154="","",計分!Y154^2)</f>
        <v/>
      </c>
      <c r="Z154">
        <f>IF(計分!Z154="","",計分!Z154^2)</f>
        <v/>
      </c>
      <c r="AA154">
        <f>IF(計分!AA154="","",計分!AA154^2)</f>
        <v/>
      </c>
      <c r="AB154">
        <f>IF(計分!AB154="","",計分!AB154^2)</f>
        <v/>
      </c>
      <c r="AC154">
        <f>IF(計分!AC154="","",計分!AC154^2)</f>
        <v/>
      </c>
      <c r="AD154">
        <f>IF(計分!AD154="","",計分!AD154^2)</f>
        <v/>
      </c>
      <c r="AE154">
        <f>IF(計分!AE154="","",計分!AE154^2)</f>
        <v/>
      </c>
      <c r="AF154">
        <f>IF(計分!AF154="","",計分!AF154^2)</f>
        <v/>
      </c>
      <c r="AG154">
        <f>IF(計分!AG154="","",計分!AG154^2)</f>
        <v/>
      </c>
      <c r="AH154">
        <f>IF(計分!AH154="","",計分!AH154^2)</f>
        <v/>
      </c>
      <c r="AI154">
        <f>IF(計分!AI154="","",計分!AI154^2)</f>
        <v/>
      </c>
      <c r="AJ154">
        <f>IF(計分!AJ154="","",計分!AJ154^2)</f>
        <v/>
      </c>
      <c r="AK154">
        <f>IF(計分!AK154="","",計分!AK154^2)</f>
        <v/>
      </c>
      <c r="AL154">
        <f>IF(計分!AL154="","",計分!AL154^2)</f>
        <v/>
      </c>
      <c r="AM154">
        <f>IF(計分!AM154="","",計分!AM154^2)</f>
        <v/>
      </c>
      <c r="AN154">
        <f>IF(計分!AN154="","",計分!AN154^2)</f>
        <v/>
      </c>
      <c r="AO154">
        <f>IF(計分!AO154="","",計分!AO154^2)</f>
        <v/>
      </c>
    </row>
    <row r="155">
      <c r="B155">
        <f>IF(計分!B155="","",計分!B155^2)</f>
        <v/>
      </c>
      <c r="C155">
        <f>IF(計分!C155="","",計分!C155^2)</f>
        <v/>
      </c>
      <c r="D155">
        <f>IF(計分!D155="","",計分!D155^2)</f>
        <v/>
      </c>
      <c r="E155">
        <f>IF(計分!E155="","",計分!E155^2)</f>
        <v/>
      </c>
      <c r="F155">
        <f>IF(計分!F155="","",計分!F155^2)</f>
        <v/>
      </c>
      <c r="G155">
        <f>IF(計分!G155="","",計分!G155^2)</f>
        <v/>
      </c>
      <c r="H155">
        <f>IF(計分!H155="","",計分!H155^2)</f>
        <v/>
      </c>
      <c r="I155">
        <f>IF(計分!I155="","",計分!I155^2)</f>
        <v/>
      </c>
      <c r="J155">
        <f>IF(計分!J155="","",計分!J155^2)</f>
        <v/>
      </c>
      <c r="K155">
        <f>IF(計分!K155="","",計分!K155^2)</f>
        <v/>
      </c>
      <c r="L155">
        <f>IF(計分!L155="","",計分!L155^2)</f>
        <v/>
      </c>
      <c r="M155">
        <f>IF(計分!M155="","",計分!M155^2)</f>
        <v/>
      </c>
      <c r="N155">
        <f>IF(計分!N155="","",計分!N155^2)</f>
        <v/>
      </c>
      <c r="O155">
        <f>IF(計分!O155="","",計分!O155^2)</f>
        <v/>
      </c>
      <c r="P155">
        <f>IF(計分!P155="","",計分!P155^2)</f>
        <v/>
      </c>
      <c r="Q155">
        <f>IF(計分!Q155="","",計分!Q155^2)</f>
        <v/>
      </c>
      <c r="R155">
        <f>IF(計分!R155="","",計分!R155^2)</f>
        <v/>
      </c>
      <c r="S155">
        <f>IF(計分!S155="","",計分!S155^2)</f>
        <v/>
      </c>
      <c r="T155">
        <f>IF(計分!T155="","",計分!T155^2)</f>
        <v/>
      </c>
      <c r="U155">
        <f>IF(計分!U155="","",計分!U155^2)</f>
        <v/>
      </c>
      <c r="V155">
        <f>IF(計分!V155="","",計分!V155^2)</f>
        <v/>
      </c>
      <c r="W155">
        <f>IF(計分!W155="","",計分!W155^2)</f>
        <v/>
      </c>
      <c r="X155">
        <f>IF(計分!X155="","",計分!X155^2)</f>
        <v/>
      </c>
      <c r="Y155">
        <f>IF(計分!Y155="","",計分!Y155^2)</f>
        <v/>
      </c>
      <c r="Z155">
        <f>IF(計分!Z155="","",計分!Z155^2)</f>
        <v/>
      </c>
      <c r="AA155">
        <f>IF(計分!AA155="","",計分!AA155^2)</f>
        <v/>
      </c>
      <c r="AB155">
        <f>IF(計分!AB155="","",計分!AB155^2)</f>
        <v/>
      </c>
      <c r="AC155">
        <f>IF(計分!AC155="","",計分!AC155^2)</f>
        <v/>
      </c>
      <c r="AD155">
        <f>IF(計分!AD155="","",計分!AD155^2)</f>
        <v/>
      </c>
      <c r="AE155">
        <f>IF(計分!AE155="","",計分!AE155^2)</f>
        <v/>
      </c>
      <c r="AF155">
        <f>IF(計分!AF155="","",計分!AF155^2)</f>
        <v/>
      </c>
      <c r="AG155">
        <f>IF(計分!AG155="","",計分!AG155^2)</f>
        <v/>
      </c>
      <c r="AH155">
        <f>IF(計分!AH155="","",計分!AH155^2)</f>
        <v/>
      </c>
      <c r="AI155">
        <f>IF(計分!AI155="","",計分!AI155^2)</f>
        <v/>
      </c>
      <c r="AJ155">
        <f>IF(計分!AJ155="","",計分!AJ155^2)</f>
        <v/>
      </c>
      <c r="AK155">
        <f>IF(計分!AK155="","",計分!AK155^2)</f>
        <v/>
      </c>
      <c r="AL155">
        <f>IF(計分!AL155="","",計分!AL155^2)</f>
        <v/>
      </c>
      <c r="AM155">
        <f>IF(計分!AM155="","",計分!AM155^2)</f>
        <v/>
      </c>
      <c r="AN155">
        <f>IF(計分!AN155="","",計分!AN155^2)</f>
        <v/>
      </c>
      <c r="AO155">
        <f>IF(計分!AO155="","",計分!AO155^2)</f>
        <v/>
      </c>
    </row>
    <row r="156">
      <c r="B156">
        <f>IF(計分!B156="","",計分!B156^2)</f>
        <v/>
      </c>
      <c r="C156">
        <f>IF(計分!C156="","",計分!C156^2)</f>
        <v/>
      </c>
      <c r="D156">
        <f>IF(計分!D156="","",計分!D156^2)</f>
        <v/>
      </c>
      <c r="E156">
        <f>IF(計分!E156="","",計分!E156^2)</f>
        <v/>
      </c>
      <c r="F156">
        <f>IF(計分!F156="","",計分!F156^2)</f>
        <v/>
      </c>
      <c r="G156">
        <f>IF(計分!G156="","",計分!G156^2)</f>
        <v/>
      </c>
      <c r="H156">
        <f>IF(計分!H156="","",計分!H156^2)</f>
        <v/>
      </c>
      <c r="I156">
        <f>IF(計分!I156="","",計分!I156^2)</f>
        <v/>
      </c>
      <c r="J156">
        <f>IF(計分!J156="","",計分!J156^2)</f>
        <v/>
      </c>
      <c r="K156">
        <f>IF(計分!K156="","",計分!K156^2)</f>
        <v/>
      </c>
      <c r="L156">
        <f>IF(計分!L156="","",計分!L156^2)</f>
        <v/>
      </c>
      <c r="M156">
        <f>IF(計分!M156="","",計分!M156^2)</f>
        <v/>
      </c>
      <c r="N156">
        <f>IF(計分!N156="","",計分!N156^2)</f>
        <v/>
      </c>
      <c r="O156">
        <f>IF(計分!O156="","",計分!O156^2)</f>
        <v/>
      </c>
      <c r="P156">
        <f>IF(計分!P156="","",計分!P156^2)</f>
        <v/>
      </c>
      <c r="Q156">
        <f>IF(計分!Q156="","",計分!Q156^2)</f>
        <v/>
      </c>
      <c r="R156">
        <f>IF(計分!R156="","",計分!R156^2)</f>
        <v/>
      </c>
      <c r="S156">
        <f>IF(計分!S156="","",計分!S156^2)</f>
        <v/>
      </c>
      <c r="T156">
        <f>IF(計分!T156="","",計分!T156^2)</f>
        <v/>
      </c>
      <c r="U156">
        <f>IF(計分!U156="","",計分!U156^2)</f>
        <v/>
      </c>
      <c r="V156">
        <f>IF(計分!V156="","",計分!V156^2)</f>
        <v/>
      </c>
      <c r="W156">
        <f>IF(計分!W156="","",計分!W156^2)</f>
        <v/>
      </c>
      <c r="X156">
        <f>IF(計分!X156="","",計分!X156^2)</f>
        <v/>
      </c>
      <c r="Y156">
        <f>IF(計分!Y156="","",計分!Y156^2)</f>
        <v/>
      </c>
      <c r="Z156">
        <f>IF(計分!Z156="","",計分!Z156^2)</f>
        <v/>
      </c>
      <c r="AA156">
        <f>IF(計分!AA156="","",計分!AA156^2)</f>
        <v/>
      </c>
      <c r="AB156">
        <f>IF(計分!AB156="","",計分!AB156^2)</f>
        <v/>
      </c>
      <c r="AC156">
        <f>IF(計分!AC156="","",計分!AC156^2)</f>
        <v/>
      </c>
      <c r="AD156">
        <f>IF(計分!AD156="","",計分!AD156^2)</f>
        <v/>
      </c>
      <c r="AE156">
        <f>IF(計分!AE156="","",計分!AE156^2)</f>
        <v/>
      </c>
      <c r="AF156">
        <f>IF(計分!AF156="","",計分!AF156^2)</f>
        <v/>
      </c>
      <c r="AG156">
        <f>IF(計分!AG156="","",計分!AG156^2)</f>
        <v/>
      </c>
      <c r="AH156">
        <f>IF(計分!AH156="","",計分!AH156^2)</f>
        <v/>
      </c>
      <c r="AI156">
        <f>IF(計分!AI156="","",計分!AI156^2)</f>
        <v/>
      </c>
      <c r="AJ156">
        <f>IF(計分!AJ156="","",計分!AJ156^2)</f>
        <v/>
      </c>
      <c r="AK156">
        <f>IF(計分!AK156="","",計分!AK156^2)</f>
        <v/>
      </c>
      <c r="AL156">
        <f>IF(計分!AL156="","",計分!AL156^2)</f>
        <v/>
      </c>
      <c r="AM156">
        <f>IF(計分!AM156="","",計分!AM156^2)</f>
        <v/>
      </c>
      <c r="AN156">
        <f>IF(計分!AN156="","",計分!AN156^2)</f>
        <v/>
      </c>
      <c r="AO156">
        <f>IF(計分!AO156="","",計分!AO156^2)</f>
        <v/>
      </c>
    </row>
    <row r="157">
      <c r="B157">
        <f>IF(計分!B157="","",計分!B157^2)</f>
        <v/>
      </c>
      <c r="C157">
        <f>IF(計分!C157="","",計分!C157^2)</f>
        <v/>
      </c>
      <c r="D157">
        <f>IF(計分!D157="","",計分!D157^2)</f>
        <v/>
      </c>
      <c r="E157">
        <f>IF(計分!E157="","",計分!E157^2)</f>
        <v/>
      </c>
      <c r="F157">
        <f>IF(計分!F157="","",計分!F157^2)</f>
        <v/>
      </c>
      <c r="G157">
        <f>IF(計分!G157="","",計分!G157^2)</f>
        <v/>
      </c>
      <c r="H157">
        <f>IF(計分!H157="","",計分!H157^2)</f>
        <v/>
      </c>
      <c r="I157">
        <f>IF(計分!I157="","",計分!I157^2)</f>
        <v/>
      </c>
      <c r="J157">
        <f>IF(計分!J157="","",計分!J157^2)</f>
        <v/>
      </c>
      <c r="K157">
        <f>IF(計分!K157="","",計分!K157^2)</f>
        <v/>
      </c>
      <c r="L157">
        <f>IF(計分!L157="","",計分!L157^2)</f>
        <v/>
      </c>
      <c r="M157">
        <f>IF(計分!M157="","",計分!M157^2)</f>
        <v/>
      </c>
      <c r="N157">
        <f>IF(計分!N157="","",計分!N157^2)</f>
        <v/>
      </c>
      <c r="O157">
        <f>IF(計分!O157="","",計分!O157^2)</f>
        <v/>
      </c>
      <c r="P157">
        <f>IF(計分!P157="","",計分!P157^2)</f>
        <v/>
      </c>
      <c r="Q157">
        <f>IF(計分!Q157="","",計分!Q157^2)</f>
        <v/>
      </c>
      <c r="R157">
        <f>IF(計分!R157="","",計分!R157^2)</f>
        <v/>
      </c>
      <c r="S157">
        <f>IF(計分!S157="","",計分!S157^2)</f>
        <v/>
      </c>
      <c r="T157">
        <f>IF(計分!T157="","",計分!T157^2)</f>
        <v/>
      </c>
      <c r="U157">
        <f>IF(計分!U157="","",計分!U157^2)</f>
        <v/>
      </c>
      <c r="V157">
        <f>IF(計分!V157="","",計分!V157^2)</f>
        <v/>
      </c>
      <c r="W157">
        <f>IF(計分!W157="","",計分!W157^2)</f>
        <v/>
      </c>
      <c r="X157">
        <f>IF(計分!X157="","",計分!X157^2)</f>
        <v/>
      </c>
      <c r="Y157">
        <f>IF(計分!Y157="","",計分!Y157^2)</f>
        <v/>
      </c>
      <c r="Z157">
        <f>IF(計分!Z157="","",計分!Z157^2)</f>
        <v/>
      </c>
      <c r="AA157">
        <f>IF(計分!AA157="","",計分!AA157^2)</f>
        <v/>
      </c>
      <c r="AB157">
        <f>IF(計分!AB157="","",計分!AB157^2)</f>
        <v/>
      </c>
      <c r="AC157">
        <f>IF(計分!AC157="","",計分!AC157^2)</f>
        <v/>
      </c>
      <c r="AD157">
        <f>IF(計分!AD157="","",計分!AD157^2)</f>
        <v/>
      </c>
      <c r="AE157">
        <f>IF(計分!AE157="","",計分!AE157^2)</f>
        <v/>
      </c>
      <c r="AF157">
        <f>IF(計分!AF157="","",計分!AF157^2)</f>
        <v/>
      </c>
      <c r="AG157">
        <f>IF(計分!AG157="","",計分!AG157^2)</f>
        <v/>
      </c>
      <c r="AH157">
        <f>IF(計分!AH157="","",計分!AH157^2)</f>
        <v/>
      </c>
      <c r="AI157">
        <f>IF(計分!AI157="","",計分!AI157^2)</f>
        <v/>
      </c>
      <c r="AJ157">
        <f>IF(計分!AJ157="","",計分!AJ157^2)</f>
        <v/>
      </c>
      <c r="AK157">
        <f>IF(計分!AK157="","",計分!AK157^2)</f>
        <v/>
      </c>
      <c r="AL157">
        <f>IF(計分!AL157="","",計分!AL157^2)</f>
        <v/>
      </c>
      <c r="AM157">
        <f>IF(計分!AM157="","",計分!AM157^2)</f>
        <v/>
      </c>
      <c r="AN157">
        <f>IF(計分!AN157="","",計分!AN157^2)</f>
        <v/>
      </c>
      <c r="AO157">
        <f>IF(計分!AO157="","",計分!AO157^2)</f>
        <v/>
      </c>
    </row>
    <row r="158">
      <c r="B158">
        <f>IF(計分!B158="","",計分!B158^2)</f>
        <v/>
      </c>
      <c r="C158">
        <f>IF(計分!C158="","",計分!C158^2)</f>
        <v/>
      </c>
      <c r="D158">
        <f>IF(計分!D158="","",計分!D158^2)</f>
        <v/>
      </c>
      <c r="E158">
        <f>IF(計分!E158="","",計分!E158^2)</f>
        <v/>
      </c>
      <c r="F158">
        <f>IF(計分!F158="","",計分!F158^2)</f>
        <v/>
      </c>
      <c r="G158">
        <f>IF(計分!G158="","",計分!G158^2)</f>
        <v/>
      </c>
      <c r="H158">
        <f>IF(計分!H158="","",計分!H158^2)</f>
        <v/>
      </c>
      <c r="I158">
        <f>IF(計分!I158="","",計分!I158^2)</f>
        <v/>
      </c>
      <c r="J158">
        <f>IF(計分!J158="","",計分!J158^2)</f>
        <v/>
      </c>
      <c r="K158">
        <f>IF(計分!K158="","",計分!K158^2)</f>
        <v/>
      </c>
      <c r="L158">
        <f>IF(計分!L158="","",計分!L158^2)</f>
        <v/>
      </c>
      <c r="M158">
        <f>IF(計分!M158="","",計分!M158^2)</f>
        <v/>
      </c>
      <c r="N158">
        <f>IF(計分!N158="","",計分!N158^2)</f>
        <v/>
      </c>
      <c r="O158">
        <f>IF(計分!O158="","",計分!O158^2)</f>
        <v/>
      </c>
      <c r="P158">
        <f>IF(計分!P158="","",計分!P158^2)</f>
        <v/>
      </c>
      <c r="Q158">
        <f>IF(計分!Q158="","",計分!Q158^2)</f>
        <v/>
      </c>
      <c r="R158">
        <f>IF(計分!R158="","",計分!R158^2)</f>
        <v/>
      </c>
      <c r="S158">
        <f>IF(計分!S158="","",計分!S158^2)</f>
        <v/>
      </c>
      <c r="T158">
        <f>IF(計分!T158="","",計分!T158^2)</f>
        <v/>
      </c>
      <c r="U158">
        <f>IF(計分!U158="","",計分!U158^2)</f>
        <v/>
      </c>
      <c r="V158">
        <f>IF(計分!V158="","",計分!V158^2)</f>
        <v/>
      </c>
      <c r="W158">
        <f>IF(計分!W158="","",計分!W158^2)</f>
        <v/>
      </c>
      <c r="X158">
        <f>IF(計分!X158="","",計分!X158^2)</f>
        <v/>
      </c>
      <c r="Y158">
        <f>IF(計分!Y158="","",計分!Y158^2)</f>
        <v/>
      </c>
      <c r="Z158">
        <f>IF(計分!Z158="","",計分!Z158^2)</f>
        <v/>
      </c>
      <c r="AA158">
        <f>IF(計分!AA158="","",計分!AA158^2)</f>
        <v/>
      </c>
      <c r="AB158">
        <f>IF(計分!AB158="","",計分!AB158^2)</f>
        <v/>
      </c>
      <c r="AC158">
        <f>IF(計分!AC158="","",計分!AC158^2)</f>
        <v/>
      </c>
      <c r="AD158">
        <f>IF(計分!AD158="","",計分!AD158^2)</f>
        <v/>
      </c>
      <c r="AE158">
        <f>IF(計分!AE158="","",計分!AE158^2)</f>
        <v/>
      </c>
      <c r="AF158">
        <f>IF(計分!AF158="","",計分!AF158^2)</f>
        <v/>
      </c>
      <c r="AG158">
        <f>IF(計分!AG158="","",計分!AG158^2)</f>
        <v/>
      </c>
      <c r="AH158">
        <f>IF(計分!AH158="","",計分!AH158^2)</f>
        <v/>
      </c>
      <c r="AI158">
        <f>IF(計分!AI158="","",計分!AI158^2)</f>
        <v/>
      </c>
      <c r="AJ158">
        <f>IF(計分!AJ158="","",計分!AJ158^2)</f>
        <v/>
      </c>
      <c r="AK158">
        <f>IF(計分!AK158="","",計分!AK158^2)</f>
        <v/>
      </c>
      <c r="AL158">
        <f>IF(計分!AL158="","",計分!AL158^2)</f>
        <v/>
      </c>
      <c r="AM158">
        <f>IF(計分!AM158="","",計分!AM158^2)</f>
        <v/>
      </c>
      <c r="AN158">
        <f>IF(計分!AN158="","",計分!AN158^2)</f>
        <v/>
      </c>
      <c r="AO158">
        <f>IF(計分!AO158="","",計分!AO158^2)</f>
        <v/>
      </c>
    </row>
    <row r="159">
      <c r="B159">
        <f>IF(計分!B159="","",計分!B159^2)</f>
        <v/>
      </c>
      <c r="C159">
        <f>IF(計分!C159="","",計分!C159^2)</f>
        <v/>
      </c>
      <c r="D159">
        <f>IF(計分!D159="","",計分!D159^2)</f>
        <v/>
      </c>
      <c r="E159">
        <f>IF(計分!E159="","",計分!E159^2)</f>
        <v/>
      </c>
      <c r="F159">
        <f>IF(計分!F159="","",計分!F159^2)</f>
        <v/>
      </c>
      <c r="G159">
        <f>IF(計分!G159="","",計分!G159^2)</f>
        <v/>
      </c>
      <c r="H159">
        <f>IF(計分!H159="","",計分!H159^2)</f>
        <v/>
      </c>
      <c r="I159">
        <f>IF(計分!I159="","",計分!I159^2)</f>
        <v/>
      </c>
      <c r="J159">
        <f>IF(計分!J159="","",計分!J159^2)</f>
        <v/>
      </c>
      <c r="K159">
        <f>IF(計分!K159="","",計分!K159^2)</f>
        <v/>
      </c>
      <c r="L159">
        <f>IF(計分!L159="","",計分!L159^2)</f>
        <v/>
      </c>
      <c r="M159">
        <f>IF(計分!M159="","",計分!M159^2)</f>
        <v/>
      </c>
      <c r="N159">
        <f>IF(計分!N159="","",計分!N159^2)</f>
        <v/>
      </c>
      <c r="O159">
        <f>IF(計分!O159="","",計分!O159^2)</f>
        <v/>
      </c>
      <c r="P159">
        <f>IF(計分!P159="","",計分!P159^2)</f>
        <v/>
      </c>
      <c r="Q159">
        <f>IF(計分!Q159="","",計分!Q159^2)</f>
        <v/>
      </c>
      <c r="R159">
        <f>IF(計分!R159="","",計分!R159^2)</f>
        <v/>
      </c>
      <c r="S159">
        <f>IF(計分!S159="","",計分!S159^2)</f>
        <v/>
      </c>
      <c r="T159">
        <f>IF(計分!T159="","",計分!T159^2)</f>
        <v/>
      </c>
      <c r="U159">
        <f>IF(計分!U159="","",計分!U159^2)</f>
        <v/>
      </c>
      <c r="V159">
        <f>IF(計分!V159="","",計分!V159^2)</f>
        <v/>
      </c>
      <c r="W159">
        <f>IF(計分!W159="","",計分!W159^2)</f>
        <v/>
      </c>
      <c r="X159">
        <f>IF(計分!X159="","",計分!X159^2)</f>
        <v/>
      </c>
      <c r="Y159">
        <f>IF(計分!Y159="","",計分!Y159^2)</f>
        <v/>
      </c>
      <c r="Z159">
        <f>IF(計分!Z159="","",計分!Z159^2)</f>
        <v/>
      </c>
      <c r="AA159">
        <f>IF(計分!AA159="","",計分!AA159^2)</f>
        <v/>
      </c>
      <c r="AB159">
        <f>IF(計分!AB159="","",計分!AB159^2)</f>
        <v/>
      </c>
      <c r="AC159">
        <f>IF(計分!AC159="","",計分!AC159^2)</f>
        <v/>
      </c>
      <c r="AD159">
        <f>IF(計分!AD159="","",計分!AD159^2)</f>
        <v/>
      </c>
      <c r="AE159">
        <f>IF(計分!AE159="","",計分!AE159^2)</f>
        <v/>
      </c>
      <c r="AF159">
        <f>IF(計分!AF159="","",計分!AF159^2)</f>
        <v/>
      </c>
      <c r="AG159">
        <f>IF(計分!AG159="","",計分!AG159^2)</f>
        <v/>
      </c>
      <c r="AH159">
        <f>IF(計分!AH159="","",計分!AH159^2)</f>
        <v/>
      </c>
      <c r="AI159">
        <f>IF(計分!AI159="","",計分!AI159^2)</f>
        <v/>
      </c>
      <c r="AJ159">
        <f>IF(計分!AJ159="","",計分!AJ159^2)</f>
        <v/>
      </c>
      <c r="AK159">
        <f>IF(計分!AK159="","",計分!AK159^2)</f>
        <v/>
      </c>
      <c r="AL159">
        <f>IF(計分!AL159="","",計分!AL159^2)</f>
        <v/>
      </c>
      <c r="AM159">
        <f>IF(計分!AM159="","",計分!AM159^2)</f>
        <v/>
      </c>
      <c r="AN159">
        <f>IF(計分!AN159="","",計分!AN159^2)</f>
        <v/>
      </c>
      <c r="AO159">
        <f>IF(計分!AO159="","",計分!AO159^2)</f>
        <v/>
      </c>
    </row>
    <row r="160">
      <c r="B160">
        <f>IF(計分!B160="","",計分!B160^2)</f>
        <v/>
      </c>
      <c r="C160">
        <f>IF(計分!C160="","",計分!C160^2)</f>
        <v/>
      </c>
      <c r="D160">
        <f>IF(計分!D160="","",計分!D160^2)</f>
        <v/>
      </c>
      <c r="E160">
        <f>IF(計分!E160="","",計分!E160^2)</f>
        <v/>
      </c>
      <c r="F160">
        <f>IF(計分!F160="","",計分!F160^2)</f>
        <v/>
      </c>
      <c r="G160">
        <f>IF(計分!G160="","",計分!G160^2)</f>
        <v/>
      </c>
      <c r="H160">
        <f>IF(計分!H160="","",計分!H160^2)</f>
        <v/>
      </c>
      <c r="I160">
        <f>IF(計分!I160="","",計分!I160^2)</f>
        <v/>
      </c>
      <c r="J160">
        <f>IF(計分!J160="","",計分!J160^2)</f>
        <v/>
      </c>
      <c r="K160">
        <f>IF(計分!K160="","",計分!K160^2)</f>
        <v/>
      </c>
      <c r="L160">
        <f>IF(計分!L160="","",計分!L160^2)</f>
        <v/>
      </c>
      <c r="M160">
        <f>IF(計分!M160="","",計分!M160^2)</f>
        <v/>
      </c>
      <c r="N160">
        <f>IF(計分!N160="","",計分!N160^2)</f>
        <v/>
      </c>
      <c r="O160">
        <f>IF(計分!O160="","",計分!O160^2)</f>
        <v/>
      </c>
      <c r="P160">
        <f>IF(計分!P160="","",計分!P160^2)</f>
        <v/>
      </c>
      <c r="Q160">
        <f>IF(計分!Q160="","",計分!Q160^2)</f>
        <v/>
      </c>
      <c r="R160">
        <f>IF(計分!R160="","",計分!R160^2)</f>
        <v/>
      </c>
      <c r="S160">
        <f>IF(計分!S160="","",計分!S160^2)</f>
        <v/>
      </c>
      <c r="T160">
        <f>IF(計分!T160="","",計分!T160^2)</f>
        <v/>
      </c>
      <c r="U160">
        <f>IF(計分!U160="","",計分!U160^2)</f>
        <v/>
      </c>
      <c r="V160">
        <f>IF(計分!V160="","",計分!V160^2)</f>
        <v/>
      </c>
      <c r="W160">
        <f>IF(計分!W160="","",計分!W160^2)</f>
        <v/>
      </c>
      <c r="X160">
        <f>IF(計分!X160="","",計分!X160^2)</f>
        <v/>
      </c>
      <c r="Y160">
        <f>IF(計分!Y160="","",計分!Y160^2)</f>
        <v/>
      </c>
      <c r="Z160">
        <f>IF(計分!Z160="","",計分!Z160^2)</f>
        <v/>
      </c>
      <c r="AA160">
        <f>IF(計分!AA160="","",計分!AA160^2)</f>
        <v/>
      </c>
      <c r="AB160">
        <f>IF(計分!AB160="","",計分!AB160^2)</f>
        <v/>
      </c>
      <c r="AC160">
        <f>IF(計分!AC160="","",計分!AC160^2)</f>
        <v/>
      </c>
      <c r="AD160">
        <f>IF(計分!AD160="","",計分!AD160^2)</f>
        <v/>
      </c>
      <c r="AE160">
        <f>IF(計分!AE160="","",計分!AE160^2)</f>
        <v/>
      </c>
      <c r="AF160">
        <f>IF(計分!AF160="","",計分!AF160^2)</f>
        <v/>
      </c>
      <c r="AG160">
        <f>IF(計分!AG160="","",計分!AG160^2)</f>
        <v/>
      </c>
      <c r="AH160">
        <f>IF(計分!AH160="","",計分!AH160^2)</f>
        <v/>
      </c>
      <c r="AI160">
        <f>IF(計分!AI160="","",計分!AI160^2)</f>
        <v/>
      </c>
      <c r="AJ160">
        <f>IF(計分!AJ160="","",計分!AJ160^2)</f>
        <v/>
      </c>
      <c r="AK160">
        <f>IF(計分!AK160="","",計分!AK160^2)</f>
        <v/>
      </c>
      <c r="AL160">
        <f>IF(計分!AL160="","",計分!AL160^2)</f>
        <v/>
      </c>
      <c r="AM160">
        <f>IF(計分!AM160="","",計分!AM160^2)</f>
        <v/>
      </c>
      <c r="AN160">
        <f>IF(計分!AN160="","",計分!AN160^2)</f>
        <v/>
      </c>
      <c r="AO160">
        <f>IF(計分!AO160="","",計分!AO160^2)</f>
        <v/>
      </c>
    </row>
    <row r="161">
      <c r="B161">
        <f>IF(計分!B161="","",計分!B161^2)</f>
        <v/>
      </c>
      <c r="C161">
        <f>IF(計分!C161="","",計分!C161^2)</f>
        <v/>
      </c>
      <c r="D161">
        <f>IF(計分!D161="","",計分!D161^2)</f>
        <v/>
      </c>
      <c r="E161">
        <f>IF(計分!E161="","",計分!E161^2)</f>
        <v/>
      </c>
      <c r="F161">
        <f>IF(計分!F161="","",計分!F161^2)</f>
        <v/>
      </c>
      <c r="G161">
        <f>IF(計分!G161="","",計分!G161^2)</f>
        <v/>
      </c>
      <c r="H161">
        <f>IF(計分!H161="","",計分!H161^2)</f>
        <v/>
      </c>
      <c r="I161">
        <f>IF(計分!I161="","",計分!I161^2)</f>
        <v/>
      </c>
      <c r="J161">
        <f>IF(計分!J161="","",計分!J161^2)</f>
        <v/>
      </c>
      <c r="K161">
        <f>IF(計分!K161="","",計分!K161^2)</f>
        <v/>
      </c>
      <c r="L161">
        <f>IF(計分!L161="","",計分!L161^2)</f>
        <v/>
      </c>
      <c r="M161">
        <f>IF(計分!M161="","",計分!M161^2)</f>
        <v/>
      </c>
      <c r="N161">
        <f>IF(計分!N161="","",計分!N161^2)</f>
        <v/>
      </c>
      <c r="O161">
        <f>IF(計分!O161="","",計分!O161^2)</f>
        <v/>
      </c>
      <c r="P161">
        <f>IF(計分!P161="","",計分!P161^2)</f>
        <v/>
      </c>
      <c r="Q161">
        <f>IF(計分!Q161="","",計分!Q161^2)</f>
        <v/>
      </c>
      <c r="R161">
        <f>IF(計分!R161="","",計分!R161^2)</f>
        <v/>
      </c>
      <c r="S161">
        <f>IF(計分!S161="","",計分!S161^2)</f>
        <v/>
      </c>
      <c r="T161">
        <f>IF(計分!T161="","",計分!T161^2)</f>
        <v/>
      </c>
      <c r="U161">
        <f>IF(計分!U161="","",計分!U161^2)</f>
        <v/>
      </c>
      <c r="V161">
        <f>IF(計分!V161="","",計分!V161^2)</f>
        <v/>
      </c>
      <c r="W161">
        <f>IF(計分!W161="","",計分!W161^2)</f>
        <v/>
      </c>
      <c r="X161">
        <f>IF(計分!X161="","",計分!X161^2)</f>
        <v/>
      </c>
      <c r="Y161">
        <f>IF(計分!Y161="","",計分!Y161^2)</f>
        <v/>
      </c>
      <c r="Z161">
        <f>IF(計分!Z161="","",計分!Z161^2)</f>
        <v/>
      </c>
      <c r="AA161">
        <f>IF(計分!AA161="","",計分!AA161^2)</f>
        <v/>
      </c>
      <c r="AB161">
        <f>IF(計分!AB161="","",計分!AB161^2)</f>
        <v/>
      </c>
      <c r="AC161">
        <f>IF(計分!AC161="","",計分!AC161^2)</f>
        <v/>
      </c>
      <c r="AD161">
        <f>IF(計分!AD161="","",計分!AD161^2)</f>
        <v/>
      </c>
      <c r="AE161">
        <f>IF(計分!AE161="","",計分!AE161^2)</f>
        <v/>
      </c>
      <c r="AF161">
        <f>IF(計分!AF161="","",計分!AF161^2)</f>
        <v/>
      </c>
      <c r="AG161">
        <f>IF(計分!AG161="","",計分!AG161^2)</f>
        <v/>
      </c>
      <c r="AH161">
        <f>IF(計分!AH161="","",計分!AH161^2)</f>
        <v/>
      </c>
      <c r="AI161">
        <f>IF(計分!AI161="","",計分!AI161^2)</f>
        <v/>
      </c>
      <c r="AJ161">
        <f>IF(計分!AJ161="","",計分!AJ161^2)</f>
        <v/>
      </c>
      <c r="AK161">
        <f>IF(計分!AK161="","",計分!AK161^2)</f>
        <v/>
      </c>
      <c r="AL161">
        <f>IF(計分!AL161="","",計分!AL161^2)</f>
        <v/>
      </c>
      <c r="AM161">
        <f>IF(計分!AM161="","",計分!AM161^2)</f>
        <v/>
      </c>
      <c r="AN161">
        <f>IF(計分!AN161="","",計分!AN161^2)</f>
        <v/>
      </c>
      <c r="AO161">
        <f>IF(計分!AO161="","",計分!AO161^2)</f>
        <v/>
      </c>
    </row>
    <row r="162">
      <c r="B162">
        <f>IF(計分!B162="","",計分!B162^2)</f>
        <v/>
      </c>
      <c r="C162">
        <f>IF(計分!C162="","",計分!C162^2)</f>
        <v/>
      </c>
      <c r="D162">
        <f>IF(計分!D162="","",計分!D162^2)</f>
        <v/>
      </c>
      <c r="E162">
        <f>IF(計分!E162="","",計分!E162^2)</f>
        <v/>
      </c>
      <c r="F162">
        <f>IF(計分!F162="","",計分!F162^2)</f>
        <v/>
      </c>
      <c r="G162">
        <f>IF(計分!G162="","",計分!G162^2)</f>
        <v/>
      </c>
      <c r="H162">
        <f>IF(計分!H162="","",計分!H162^2)</f>
        <v/>
      </c>
      <c r="I162">
        <f>IF(計分!I162="","",計分!I162^2)</f>
        <v/>
      </c>
      <c r="J162">
        <f>IF(計分!J162="","",計分!J162^2)</f>
        <v/>
      </c>
      <c r="K162">
        <f>IF(計分!K162="","",計分!K162^2)</f>
        <v/>
      </c>
      <c r="L162">
        <f>IF(計分!L162="","",計分!L162^2)</f>
        <v/>
      </c>
      <c r="M162">
        <f>IF(計分!M162="","",計分!M162^2)</f>
        <v/>
      </c>
      <c r="N162">
        <f>IF(計分!N162="","",計分!N162^2)</f>
        <v/>
      </c>
      <c r="O162">
        <f>IF(計分!O162="","",計分!O162^2)</f>
        <v/>
      </c>
      <c r="P162">
        <f>IF(計分!P162="","",計分!P162^2)</f>
        <v/>
      </c>
      <c r="Q162">
        <f>IF(計分!Q162="","",計分!Q162^2)</f>
        <v/>
      </c>
      <c r="R162">
        <f>IF(計分!R162="","",計分!R162^2)</f>
        <v/>
      </c>
      <c r="S162">
        <f>IF(計分!S162="","",計分!S162^2)</f>
        <v/>
      </c>
      <c r="T162">
        <f>IF(計分!T162="","",計分!T162^2)</f>
        <v/>
      </c>
      <c r="U162">
        <f>IF(計分!U162="","",計分!U162^2)</f>
        <v/>
      </c>
      <c r="V162">
        <f>IF(計分!V162="","",計分!V162^2)</f>
        <v/>
      </c>
      <c r="W162">
        <f>IF(計分!W162="","",計分!W162^2)</f>
        <v/>
      </c>
      <c r="X162">
        <f>IF(計分!X162="","",計分!X162^2)</f>
        <v/>
      </c>
      <c r="Y162">
        <f>IF(計分!Y162="","",計分!Y162^2)</f>
        <v/>
      </c>
      <c r="Z162">
        <f>IF(計分!Z162="","",計分!Z162^2)</f>
        <v/>
      </c>
      <c r="AA162">
        <f>IF(計分!AA162="","",計分!AA162^2)</f>
        <v/>
      </c>
      <c r="AB162">
        <f>IF(計分!AB162="","",計分!AB162^2)</f>
        <v/>
      </c>
      <c r="AC162">
        <f>IF(計分!AC162="","",計分!AC162^2)</f>
        <v/>
      </c>
      <c r="AD162">
        <f>IF(計分!AD162="","",計分!AD162^2)</f>
        <v/>
      </c>
      <c r="AE162">
        <f>IF(計分!AE162="","",計分!AE162^2)</f>
        <v/>
      </c>
      <c r="AF162">
        <f>IF(計分!AF162="","",計分!AF162^2)</f>
        <v/>
      </c>
      <c r="AG162">
        <f>IF(計分!AG162="","",計分!AG162^2)</f>
        <v/>
      </c>
      <c r="AH162">
        <f>IF(計分!AH162="","",計分!AH162^2)</f>
        <v/>
      </c>
      <c r="AI162">
        <f>IF(計分!AI162="","",計分!AI162^2)</f>
        <v/>
      </c>
      <c r="AJ162">
        <f>IF(計分!AJ162="","",計分!AJ162^2)</f>
        <v/>
      </c>
      <c r="AK162">
        <f>IF(計分!AK162="","",計分!AK162^2)</f>
        <v/>
      </c>
      <c r="AL162">
        <f>IF(計分!AL162="","",計分!AL162^2)</f>
        <v/>
      </c>
      <c r="AM162">
        <f>IF(計分!AM162="","",計分!AM162^2)</f>
        <v/>
      </c>
      <c r="AN162">
        <f>IF(計分!AN162="","",計分!AN162^2)</f>
        <v/>
      </c>
      <c r="AO162">
        <f>IF(計分!AO162="","",計分!AO162^2)</f>
        <v/>
      </c>
    </row>
    <row r="163">
      <c r="B163">
        <f>IF(計分!B163="","",計分!B163^2)</f>
        <v/>
      </c>
      <c r="C163">
        <f>IF(計分!C163="","",計分!C163^2)</f>
        <v/>
      </c>
      <c r="D163">
        <f>IF(計分!D163="","",計分!D163^2)</f>
        <v/>
      </c>
      <c r="E163">
        <f>IF(計分!E163="","",計分!E163^2)</f>
        <v/>
      </c>
      <c r="F163">
        <f>IF(計分!F163="","",計分!F163^2)</f>
        <v/>
      </c>
      <c r="G163">
        <f>IF(計分!G163="","",計分!G163^2)</f>
        <v/>
      </c>
      <c r="H163">
        <f>IF(計分!H163="","",計分!H163^2)</f>
        <v/>
      </c>
      <c r="I163">
        <f>IF(計分!I163="","",計分!I163^2)</f>
        <v/>
      </c>
      <c r="J163">
        <f>IF(計分!J163="","",計分!J163^2)</f>
        <v/>
      </c>
      <c r="K163">
        <f>IF(計分!K163="","",計分!K163^2)</f>
        <v/>
      </c>
      <c r="L163">
        <f>IF(計分!L163="","",計分!L163^2)</f>
        <v/>
      </c>
      <c r="M163">
        <f>IF(計分!M163="","",計分!M163^2)</f>
        <v/>
      </c>
      <c r="N163">
        <f>IF(計分!N163="","",計分!N163^2)</f>
        <v/>
      </c>
      <c r="O163">
        <f>IF(計分!O163="","",計分!O163^2)</f>
        <v/>
      </c>
      <c r="P163">
        <f>IF(計分!P163="","",計分!P163^2)</f>
        <v/>
      </c>
      <c r="Q163">
        <f>IF(計分!Q163="","",計分!Q163^2)</f>
        <v/>
      </c>
      <c r="R163">
        <f>IF(計分!R163="","",計分!R163^2)</f>
        <v/>
      </c>
      <c r="S163">
        <f>IF(計分!S163="","",計分!S163^2)</f>
        <v/>
      </c>
      <c r="T163">
        <f>IF(計分!T163="","",計分!T163^2)</f>
        <v/>
      </c>
      <c r="U163">
        <f>IF(計分!U163="","",計分!U163^2)</f>
        <v/>
      </c>
      <c r="V163">
        <f>IF(計分!V163="","",計分!V163^2)</f>
        <v/>
      </c>
      <c r="W163">
        <f>IF(計分!W163="","",計分!W163^2)</f>
        <v/>
      </c>
      <c r="X163">
        <f>IF(計分!X163="","",計分!X163^2)</f>
        <v/>
      </c>
      <c r="Y163">
        <f>IF(計分!Y163="","",計分!Y163^2)</f>
        <v/>
      </c>
      <c r="Z163">
        <f>IF(計分!Z163="","",計分!Z163^2)</f>
        <v/>
      </c>
      <c r="AA163">
        <f>IF(計分!AA163="","",計分!AA163^2)</f>
        <v/>
      </c>
      <c r="AB163">
        <f>IF(計分!AB163="","",計分!AB163^2)</f>
        <v/>
      </c>
      <c r="AC163">
        <f>IF(計分!AC163="","",計分!AC163^2)</f>
        <v/>
      </c>
      <c r="AD163">
        <f>IF(計分!AD163="","",計分!AD163^2)</f>
        <v/>
      </c>
      <c r="AE163">
        <f>IF(計分!AE163="","",計分!AE163^2)</f>
        <v/>
      </c>
      <c r="AF163">
        <f>IF(計分!AF163="","",計分!AF163^2)</f>
        <v/>
      </c>
      <c r="AG163">
        <f>IF(計分!AG163="","",計分!AG163^2)</f>
        <v/>
      </c>
      <c r="AH163">
        <f>IF(計分!AH163="","",計分!AH163^2)</f>
        <v/>
      </c>
      <c r="AI163">
        <f>IF(計分!AI163="","",計分!AI163^2)</f>
        <v/>
      </c>
      <c r="AJ163">
        <f>IF(計分!AJ163="","",計分!AJ163^2)</f>
        <v/>
      </c>
      <c r="AK163">
        <f>IF(計分!AK163="","",計分!AK163^2)</f>
        <v/>
      </c>
      <c r="AL163">
        <f>IF(計分!AL163="","",計分!AL163^2)</f>
        <v/>
      </c>
      <c r="AM163">
        <f>IF(計分!AM163="","",計分!AM163^2)</f>
        <v/>
      </c>
      <c r="AN163">
        <f>IF(計分!AN163="","",計分!AN163^2)</f>
        <v/>
      </c>
      <c r="AO163">
        <f>IF(計分!AO163="","",計分!AO163^2)</f>
        <v/>
      </c>
    </row>
    <row r="164">
      <c r="B164">
        <f>IF(計分!B164="","",計分!B164^2)</f>
        <v/>
      </c>
      <c r="C164">
        <f>IF(計分!C164="","",計分!C164^2)</f>
        <v/>
      </c>
      <c r="D164">
        <f>IF(計分!D164="","",計分!D164^2)</f>
        <v/>
      </c>
      <c r="E164">
        <f>IF(計分!E164="","",計分!E164^2)</f>
        <v/>
      </c>
      <c r="F164">
        <f>IF(計分!F164="","",計分!F164^2)</f>
        <v/>
      </c>
      <c r="G164">
        <f>IF(計分!G164="","",計分!G164^2)</f>
        <v/>
      </c>
      <c r="H164">
        <f>IF(計分!H164="","",計分!H164^2)</f>
        <v/>
      </c>
      <c r="I164">
        <f>IF(計分!I164="","",計分!I164^2)</f>
        <v/>
      </c>
      <c r="J164">
        <f>IF(計分!J164="","",計分!J164^2)</f>
        <v/>
      </c>
      <c r="K164">
        <f>IF(計分!K164="","",計分!K164^2)</f>
        <v/>
      </c>
      <c r="L164">
        <f>IF(計分!L164="","",計分!L164^2)</f>
        <v/>
      </c>
      <c r="M164">
        <f>IF(計分!M164="","",計分!M164^2)</f>
        <v/>
      </c>
      <c r="N164">
        <f>IF(計分!N164="","",計分!N164^2)</f>
        <v/>
      </c>
      <c r="O164">
        <f>IF(計分!O164="","",計分!O164^2)</f>
        <v/>
      </c>
      <c r="P164">
        <f>IF(計分!P164="","",計分!P164^2)</f>
        <v/>
      </c>
      <c r="Q164">
        <f>IF(計分!Q164="","",計分!Q164^2)</f>
        <v/>
      </c>
      <c r="R164">
        <f>IF(計分!R164="","",計分!R164^2)</f>
        <v/>
      </c>
      <c r="S164">
        <f>IF(計分!S164="","",計分!S164^2)</f>
        <v/>
      </c>
      <c r="T164">
        <f>IF(計分!T164="","",計分!T164^2)</f>
        <v/>
      </c>
      <c r="U164">
        <f>IF(計分!U164="","",計分!U164^2)</f>
        <v/>
      </c>
      <c r="V164">
        <f>IF(計分!V164="","",計分!V164^2)</f>
        <v/>
      </c>
      <c r="W164">
        <f>IF(計分!W164="","",計分!W164^2)</f>
        <v/>
      </c>
      <c r="X164">
        <f>IF(計分!X164="","",計分!X164^2)</f>
        <v/>
      </c>
      <c r="Y164">
        <f>IF(計分!Y164="","",計分!Y164^2)</f>
        <v/>
      </c>
      <c r="Z164">
        <f>IF(計分!Z164="","",計分!Z164^2)</f>
        <v/>
      </c>
      <c r="AA164">
        <f>IF(計分!AA164="","",計分!AA164^2)</f>
        <v/>
      </c>
      <c r="AB164">
        <f>IF(計分!AB164="","",計分!AB164^2)</f>
        <v/>
      </c>
      <c r="AC164">
        <f>IF(計分!AC164="","",計分!AC164^2)</f>
        <v/>
      </c>
      <c r="AD164">
        <f>IF(計分!AD164="","",計分!AD164^2)</f>
        <v/>
      </c>
      <c r="AE164">
        <f>IF(計分!AE164="","",計分!AE164^2)</f>
        <v/>
      </c>
      <c r="AF164">
        <f>IF(計分!AF164="","",計分!AF164^2)</f>
        <v/>
      </c>
      <c r="AG164">
        <f>IF(計分!AG164="","",計分!AG164^2)</f>
        <v/>
      </c>
      <c r="AH164">
        <f>IF(計分!AH164="","",計分!AH164^2)</f>
        <v/>
      </c>
      <c r="AI164">
        <f>IF(計分!AI164="","",計分!AI164^2)</f>
        <v/>
      </c>
      <c r="AJ164">
        <f>IF(計分!AJ164="","",計分!AJ164^2)</f>
        <v/>
      </c>
      <c r="AK164">
        <f>IF(計分!AK164="","",計分!AK164^2)</f>
        <v/>
      </c>
      <c r="AL164">
        <f>IF(計分!AL164="","",計分!AL164^2)</f>
        <v/>
      </c>
      <c r="AM164">
        <f>IF(計分!AM164="","",計分!AM164^2)</f>
        <v/>
      </c>
      <c r="AN164">
        <f>IF(計分!AN164="","",計分!AN164^2)</f>
        <v/>
      </c>
      <c r="AO164">
        <f>IF(計分!AO164="","",計分!AO164^2)</f>
        <v/>
      </c>
    </row>
    <row r="165">
      <c r="B165">
        <f>IF(計分!B165="","",計分!B165^2)</f>
        <v/>
      </c>
      <c r="C165">
        <f>IF(計分!C165="","",計分!C165^2)</f>
        <v/>
      </c>
      <c r="D165">
        <f>IF(計分!D165="","",計分!D165^2)</f>
        <v/>
      </c>
      <c r="E165">
        <f>IF(計分!E165="","",計分!E165^2)</f>
        <v/>
      </c>
      <c r="F165">
        <f>IF(計分!F165="","",計分!F165^2)</f>
        <v/>
      </c>
      <c r="G165">
        <f>IF(計分!G165="","",計分!G165^2)</f>
        <v/>
      </c>
      <c r="H165">
        <f>IF(計分!H165="","",計分!H165^2)</f>
        <v/>
      </c>
      <c r="I165">
        <f>IF(計分!I165="","",計分!I165^2)</f>
        <v/>
      </c>
      <c r="J165">
        <f>IF(計分!J165="","",計分!J165^2)</f>
        <v/>
      </c>
      <c r="K165">
        <f>IF(計分!K165="","",計分!K165^2)</f>
        <v/>
      </c>
      <c r="L165">
        <f>IF(計分!L165="","",計分!L165^2)</f>
        <v/>
      </c>
      <c r="M165">
        <f>IF(計分!M165="","",計分!M165^2)</f>
        <v/>
      </c>
      <c r="N165">
        <f>IF(計分!N165="","",計分!N165^2)</f>
        <v/>
      </c>
      <c r="O165">
        <f>IF(計分!O165="","",計分!O165^2)</f>
        <v/>
      </c>
      <c r="P165">
        <f>IF(計分!P165="","",計分!P165^2)</f>
        <v/>
      </c>
      <c r="Q165">
        <f>IF(計分!Q165="","",計分!Q165^2)</f>
        <v/>
      </c>
      <c r="R165">
        <f>IF(計分!R165="","",計分!R165^2)</f>
        <v/>
      </c>
      <c r="S165">
        <f>IF(計分!S165="","",計分!S165^2)</f>
        <v/>
      </c>
      <c r="T165">
        <f>IF(計分!T165="","",計分!T165^2)</f>
        <v/>
      </c>
      <c r="U165">
        <f>IF(計分!U165="","",計分!U165^2)</f>
        <v/>
      </c>
      <c r="V165">
        <f>IF(計分!V165="","",計分!V165^2)</f>
        <v/>
      </c>
      <c r="W165">
        <f>IF(計分!W165="","",計分!W165^2)</f>
        <v/>
      </c>
      <c r="X165">
        <f>IF(計分!X165="","",計分!X165^2)</f>
        <v/>
      </c>
      <c r="Y165">
        <f>IF(計分!Y165="","",計分!Y165^2)</f>
        <v/>
      </c>
      <c r="Z165">
        <f>IF(計分!Z165="","",計分!Z165^2)</f>
        <v/>
      </c>
      <c r="AA165">
        <f>IF(計分!AA165="","",計分!AA165^2)</f>
        <v/>
      </c>
      <c r="AB165">
        <f>IF(計分!AB165="","",計分!AB165^2)</f>
        <v/>
      </c>
      <c r="AC165">
        <f>IF(計分!AC165="","",計分!AC165^2)</f>
        <v/>
      </c>
      <c r="AD165">
        <f>IF(計分!AD165="","",計分!AD165^2)</f>
        <v/>
      </c>
      <c r="AE165">
        <f>IF(計分!AE165="","",計分!AE165^2)</f>
        <v/>
      </c>
      <c r="AF165">
        <f>IF(計分!AF165="","",計分!AF165^2)</f>
        <v/>
      </c>
      <c r="AG165">
        <f>IF(計分!AG165="","",計分!AG165^2)</f>
        <v/>
      </c>
      <c r="AH165">
        <f>IF(計分!AH165="","",計分!AH165^2)</f>
        <v/>
      </c>
      <c r="AI165">
        <f>IF(計分!AI165="","",計分!AI165^2)</f>
        <v/>
      </c>
      <c r="AJ165">
        <f>IF(計分!AJ165="","",計分!AJ165^2)</f>
        <v/>
      </c>
      <c r="AK165">
        <f>IF(計分!AK165="","",計分!AK165^2)</f>
        <v/>
      </c>
      <c r="AL165">
        <f>IF(計分!AL165="","",計分!AL165^2)</f>
        <v/>
      </c>
      <c r="AM165">
        <f>IF(計分!AM165="","",計分!AM165^2)</f>
        <v/>
      </c>
      <c r="AN165">
        <f>IF(計分!AN165="","",計分!AN165^2)</f>
        <v/>
      </c>
      <c r="AO165">
        <f>IF(計分!AO165="","",計分!AO165^2)</f>
        <v/>
      </c>
    </row>
    <row r="166">
      <c r="B166">
        <f>IF(計分!B166="","",計分!B166^2)</f>
        <v/>
      </c>
      <c r="C166">
        <f>IF(計分!C166="","",計分!C166^2)</f>
        <v/>
      </c>
      <c r="D166">
        <f>IF(計分!D166="","",計分!D166^2)</f>
        <v/>
      </c>
      <c r="E166">
        <f>IF(計分!E166="","",計分!E166^2)</f>
        <v/>
      </c>
      <c r="F166">
        <f>IF(計分!F166="","",計分!F166^2)</f>
        <v/>
      </c>
      <c r="G166">
        <f>IF(計分!G166="","",計分!G166^2)</f>
        <v/>
      </c>
      <c r="H166">
        <f>IF(計分!H166="","",計分!H166^2)</f>
        <v/>
      </c>
      <c r="I166">
        <f>IF(計分!I166="","",計分!I166^2)</f>
        <v/>
      </c>
      <c r="J166">
        <f>IF(計分!J166="","",計分!J166^2)</f>
        <v/>
      </c>
      <c r="K166">
        <f>IF(計分!K166="","",計分!K166^2)</f>
        <v/>
      </c>
      <c r="L166">
        <f>IF(計分!L166="","",計分!L166^2)</f>
        <v/>
      </c>
      <c r="M166">
        <f>IF(計分!M166="","",計分!M166^2)</f>
        <v/>
      </c>
      <c r="N166">
        <f>IF(計分!N166="","",計分!N166^2)</f>
        <v/>
      </c>
      <c r="O166">
        <f>IF(計分!O166="","",計分!O166^2)</f>
        <v/>
      </c>
      <c r="P166">
        <f>IF(計分!P166="","",計分!P166^2)</f>
        <v/>
      </c>
      <c r="Q166">
        <f>IF(計分!Q166="","",計分!Q166^2)</f>
        <v/>
      </c>
      <c r="R166">
        <f>IF(計分!R166="","",計分!R166^2)</f>
        <v/>
      </c>
      <c r="S166">
        <f>IF(計分!S166="","",計分!S166^2)</f>
        <v/>
      </c>
      <c r="T166">
        <f>IF(計分!T166="","",計分!T166^2)</f>
        <v/>
      </c>
      <c r="U166">
        <f>IF(計分!U166="","",計分!U166^2)</f>
        <v/>
      </c>
      <c r="V166">
        <f>IF(計分!V166="","",計分!V166^2)</f>
        <v/>
      </c>
      <c r="W166">
        <f>IF(計分!W166="","",計分!W166^2)</f>
        <v/>
      </c>
      <c r="X166">
        <f>IF(計分!X166="","",計分!X166^2)</f>
        <v/>
      </c>
      <c r="Y166">
        <f>IF(計分!Y166="","",計分!Y166^2)</f>
        <v/>
      </c>
      <c r="Z166">
        <f>IF(計分!Z166="","",計分!Z166^2)</f>
        <v/>
      </c>
      <c r="AA166">
        <f>IF(計分!AA166="","",計分!AA166^2)</f>
        <v/>
      </c>
      <c r="AB166">
        <f>IF(計分!AB166="","",計分!AB166^2)</f>
        <v/>
      </c>
      <c r="AC166">
        <f>IF(計分!AC166="","",計分!AC166^2)</f>
        <v/>
      </c>
      <c r="AD166">
        <f>IF(計分!AD166="","",計分!AD166^2)</f>
        <v/>
      </c>
      <c r="AE166">
        <f>IF(計分!AE166="","",計分!AE166^2)</f>
        <v/>
      </c>
      <c r="AF166">
        <f>IF(計分!AF166="","",計分!AF166^2)</f>
        <v/>
      </c>
      <c r="AG166">
        <f>IF(計分!AG166="","",計分!AG166^2)</f>
        <v/>
      </c>
      <c r="AH166">
        <f>IF(計分!AH166="","",計分!AH166^2)</f>
        <v/>
      </c>
      <c r="AI166">
        <f>IF(計分!AI166="","",計分!AI166^2)</f>
        <v/>
      </c>
      <c r="AJ166">
        <f>IF(計分!AJ166="","",計分!AJ166^2)</f>
        <v/>
      </c>
      <c r="AK166">
        <f>IF(計分!AK166="","",計分!AK166^2)</f>
        <v/>
      </c>
      <c r="AL166">
        <f>IF(計分!AL166="","",計分!AL166^2)</f>
        <v/>
      </c>
      <c r="AM166">
        <f>IF(計分!AM166="","",計分!AM166^2)</f>
        <v/>
      </c>
      <c r="AN166">
        <f>IF(計分!AN166="","",計分!AN166^2)</f>
        <v/>
      </c>
      <c r="AO166">
        <f>IF(計分!AO166="","",計分!AO166^2)</f>
        <v/>
      </c>
    </row>
    <row r="167">
      <c r="B167">
        <f>IF(計分!B167="","",計分!B167^2)</f>
        <v/>
      </c>
      <c r="C167">
        <f>IF(計分!C167="","",計分!C167^2)</f>
        <v/>
      </c>
      <c r="D167">
        <f>IF(計分!D167="","",計分!D167^2)</f>
        <v/>
      </c>
      <c r="E167">
        <f>IF(計分!E167="","",計分!E167^2)</f>
        <v/>
      </c>
      <c r="F167">
        <f>IF(計分!F167="","",計分!F167^2)</f>
        <v/>
      </c>
      <c r="G167">
        <f>IF(計分!G167="","",計分!G167^2)</f>
        <v/>
      </c>
      <c r="H167">
        <f>IF(計分!H167="","",計分!H167^2)</f>
        <v/>
      </c>
      <c r="I167">
        <f>IF(計分!I167="","",計分!I167^2)</f>
        <v/>
      </c>
      <c r="J167">
        <f>IF(計分!J167="","",計分!J167^2)</f>
        <v/>
      </c>
      <c r="K167">
        <f>IF(計分!K167="","",計分!K167^2)</f>
        <v/>
      </c>
      <c r="L167">
        <f>IF(計分!L167="","",計分!L167^2)</f>
        <v/>
      </c>
      <c r="M167">
        <f>IF(計分!M167="","",計分!M167^2)</f>
        <v/>
      </c>
      <c r="N167">
        <f>IF(計分!N167="","",計分!N167^2)</f>
        <v/>
      </c>
      <c r="O167">
        <f>IF(計分!O167="","",計分!O167^2)</f>
        <v/>
      </c>
      <c r="P167">
        <f>IF(計分!P167="","",計分!P167^2)</f>
        <v/>
      </c>
      <c r="Q167">
        <f>IF(計分!Q167="","",計分!Q167^2)</f>
        <v/>
      </c>
      <c r="R167">
        <f>IF(計分!R167="","",計分!R167^2)</f>
        <v/>
      </c>
      <c r="S167">
        <f>IF(計分!S167="","",計分!S167^2)</f>
        <v/>
      </c>
      <c r="T167">
        <f>IF(計分!T167="","",計分!T167^2)</f>
        <v/>
      </c>
      <c r="U167">
        <f>IF(計分!U167="","",計分!U167^2)</f>
        <v/>
      </c>
      <c r="V167">
        <f>IF(計分!V167="","",計分!V167^2)</f>
        <v/>
      </c>
      <c r="W167">
        <f>IF(計分!W167="","",計分!W167^2)</f>
        <v/>
      </c>
      <c r="X167">
        <f>IF(計分!X167="","",計分!X167^2)</f>
        <v/>
      </c>
      <c r="Y167">
        <f>IF(計分!Y167="","",計分!Y167^2)</f>
        <v/>
      </c>
      <c r="Z167">
        <f>IF(計分!Z167="","",計分!Z167^2)</f>
        <v/>
      </c>
      <c r="AA167">
        <f>IF(計分!AA167="","",計分!AA167^2)</f>
        <v/>
      </c>
      <c r="AB167">
        <f>IF(計分!AB167="","",計分!AB167^2)</f>
        <v/>
      </c>
      <c r="AC167">
        <f>IF(計分!AC167="","",計分!AC167^2)</f>
        <v/>
      </c>
      <c r="AD167">
        <f>IF(計分!AD167="","",計分!AD167^2)</f>
        <v/>
      </c>
      <c r="AE167">
        <f>IF(計分!AE167="","",計分!AE167^2)</f>
        <v/>
      </c>
      <c r="AF167">
        <f>IF(計分!AF167="","",計分!AF167^2)</f>
        <v/>
      </c>
      <c r="AG167">
        <f>IF(計分!AG167="","",計分!AG167^2)</f>
        <v/>
      </c>
      <c r="AH167">
        <f>IF(計分!AH167="","",計分!AH167^2)</f>
        <v/>
      </c>
      <c r="AI167">
        <f>IF(計分!AI167="","",計分!AI167^2)</f>
        <v/>
      </c>
      <c r="AJ167">
        <f>IF(計分!AJ167="","",計分!AJ167^2)</f>
        <v/>
      </c>
      <c r="AK167">
        <f>IF(計分!AK167="","",計分!AK167^2)</f>
        <v/>
      </c>
      <c r="AL167">
        <f>IF(計分!AL167="","",計分!AL167^2)</f>
        <v/>
      </c>
      <c r="AM167">
        <f>IF(計分!AM167="","",計分!AM167^2)</f>
        <v/>
      </c>
      <c r="AN167">
        <f>IF(計分!AN167="","",計分!AN167^2)</f>
        <v/>
      </c>
      <c r="AO167">
        <f>IF(計分!AO167="","",計分!AO167^2)</f>
        <v/>
      </c>
    </row>
    <row r="168">
      <c r="B168">
        <f>IF(計分!B168="","",計分!B168^2)</f>
        <v/>
      </c>
      <c r="C168">
        <f>IF(計分!C168="","",計分!C168^2)</f>
        <v/>
      </c>
      <c r="D168">
        <f>IF(計分!D168="","",計分!D168^2)</f>
        <v/>
      </c>
      <c r="E168">
        <f>IF(計分!E168="","",計分!E168^2)</f>
        <v/>
      </c>
      <c r="F168">
        <f>IF(計分!F168="","",計分!F168^2)</f>
        <v/>
      </c>
      <c r="G168">
        <f>IF(計分!G168="","",計分!G168^2)</f>
        <v/>
      </c>
      <c r="H168">
        <f>IF(計分!H168="","",計分!H168^2)</f>
        <v/>
      </c>
      <c r="I168">
        <f>IF(計分!I168="","",計分!I168^2)</f>
        <v/>
      </c>
      <c r="J168">
        <f>IF(計分!J168="","",計分!J168^2)</f>
        <v/>
      </c>
      <c r="K168">
        <f>IF(計分!K168="","",計分!K168^2)</f>
        <v/>
      </c>
      <c r="L168">
        <f>IF(計分!L168="","",計分!L168^2)</f>
        <v/>
      </c>
      <c r="M168">
        <f>IF(計分!M168="","",計分!M168^2)</f>
        <v/>
      </c>
      <c r="N168">
        <f>IF(計分!N168="","",計分!N168^2)</f>
        <v/>
      </c>
      <c r="O168">
        <f>IF(計分!O168="","",計分!O168^2)</f>
        <v/>
      </c>
      <c r="P168">
        <f>IF(計分!P168="","",計分!P168^2)</f>
        <v/>
      </c>
      <c r="Q168">
        <f>IF(計分!Q168="","",計分!Q168^2)</f>
        <v/>
      </c>
      <c r="R168">
        <f>IF(計分!R168="","",計分!R168^2)</f>
        <v/>
      </c>
      <c r="S168">
        <f>IF(計分!S168="","",計分!S168^2)</f>
        <v/>
      </c>
      <c r="T168">
        <f>IF(計分!T168="","",計分!T168^2)</f>
        <v/>
      </c>
      <c r="U168">
        <f>IF(計分!U168="","",計分!U168^2)</f>
        <v/>
      </c>
      <c r="V168">
        <f>IF(計分!V168="","",計分!V168^2)</f>
        <v/>
      </c>
      <c r="W168">
        <f>IF(計分!W168="","",計分!W168^2)</f>
        <v/>
      </c>
      <c r="X168">
        <f>IF(計分!X168="","",計分!X168^2)</f>
        <v/>
      </c>
      <c r="Y168">
        <f>IF(計分!Y168="","",計分!Y168^2)</f>
        <v/>
      </c>
      <c r="Z168">
        <f>IF(計分!Z168="","",計分!Z168^2)</f>
        <v/>
      </c>
      <c r="AA168">
        <f>IF(計分!AA168="","",計分!AA168^2)</f>
        <v/>
      </c>
      <c r="AB168">
        <f>IF(計分!AB168="","",計分!AB168^2)</f>
        <v/>
      </c>
      <c r="AC168">
        <f>IF(計分!AC168="","",計分!AC168^2)</f>
        <v/>
      </c>
      <c r="AD168">
        <f>IF(計分!AD168="","",計分!AD168^2)</f>
        <v/>
      </c>
      <c r="AE168">
        <f>IF(計分!AE168="","",計分!AE168^2)</f>
        <v/>
      </c>
      <c r="AF168">
        <f>IF(計分!AF168="","",計分!AF168^2)</f>
        <v/>
      </c>
      <c r="AG168">
        <f>IF(計分!AG168="","",計分!AG168^2)</f>
        <v/>
      </c>
      <c r="AH168">
        <f>IF(計分!AH168="","",計分!AH168^2)</f>
        <v/>
      </c>
      <c r="AI168">
        <f>IF(計分!AI168="","",計分!AI168^2)</f>
        <v/>
      </c>
      <c r="AJ168">
        <f>IF(計分!AJ168="","",計分!AJ168^2)</f>
        <v/>
      </c>
      <c r="AK168">
        <f>IF(計分!AK168="","",計分!AK168^2)</f>
        <v/>
      </c>
      <c r="AL168">
        <f>IF(計分!AL168="","",計分!AL168^2)</f>
        <v/>
      </c>
      <c r="AM168">
        <f>IF(計分!AM168="","",計分!AM168^2)</f>
        <v/>
      </c>
      <c r="AN168">
        <f>IF(計分!AN168="","",計分!AN168^2)</f>
        <v/>
      </c>
      <c r="AO168">
        <f>IF(計分!AO168="","",計分!AO168^2)</f>
        <v/>
      </c>
    </row>
    <row r="169">
      <c r="B169">
        <f>IF(計分!B169="","",計分!B169^2)</f>
        <v/>
      </c>
      <c r="C169">
        <f>IF(計分!C169="","",計分!C169^2)</f>
        <v/>
      </c>
      <c r="D169">
        <f>IF(計分!D169="","",計分!D169^2)</f>
        <v/>
      </c>
      <c r="E169">
        <f>IF(計分!E169="","",計分!E169^2)</f>
        <v/>
      </c>
      <c r="F169">
        <f>IF(計分!F169="","",計分!F169^2)</f>
        <v/>
      </c>
      <c r="G169">
        <f>IF(計分!G169="","",計分!G169^2)</f>
        <v/>
      </c>
      <c r="H169">
        <f>IF(計分!H169="","",計分!H169^2)</f>
        <v/>
      </c>
      <c r="I169">
        <f>IF(計分!I169="","",計分!I169^2)</f>
        <v/>
      </c>
      <c r="J169">
        <f>IF(計分!J169="","",計分!J169^2)</f>
        <v/>
      </c>
      <c r="K169">
        <f>IF(計分!K169="","",計分!K169^2)</f>
        <v/>
      </c>
      <c r="L169">
        <f>IF(計分!L169="","",計分!L169^2)</f>
        <v/>
      </c>
      <c r="M169">
        <f>IF(計分!M169="","",計分!M169^2)</f>
        <v/>
      </c>
      <c r="N169">
        <f>IF(計分!N169="","",計分!N169^2)</f>
        <v/>
      </c>
      <c r="O169">
        <f>IF(計分!O169="","",計分!O169^2)</f>
        <v/>
      </c>
      <c r="P169">
        <f>IF(計分!P169="","",計分!P169^2)</f>
        <v/>
      </c>
      <c r="Q169">
        <f>IF(計分!Q169="","",計分!Q169^2)</f>
        <v/>
      </c>
      <c r="R169">
        <f>IF(計分!R169="","",計分!R169^2)</f>
        <v/>
      </c>
      <c r="S169">
        <f>IF(計分!S169="","",計分!S169^2)</f>
        <v/>
      </c>
      <c r="T169">
        <f>IF(計分!T169="","",計分!T169^2)</f>
        <v/>
      </c>
      <c r="U169">
        <f>IF(計分!U169="","",計分!U169^2)</f>
        <v/>
      </c>
      <c r="V169">
        <f>IF(計分!V169="","",計分!V169^2)</f>
        <v/>
      </c>
      <c r="W169">
        <f>IF(計分!W169="","",計分!W169^2)</f>
        <v/>
      </c>
      <c r="X169">
        <f>IF(計分!X169="","",計分!X169^2)</f>
        <v/>
      </c>
      <c r="Y169">
        <f>IF(計分!Y169="","",計分!Y169^2)</f>
        <v/>
      </c>
      <c r="Z169">
        <f>IF(計分!Z169="","",計分!Z169^2)</f>
        <v/>
      </c>
      <c r="AA169">
        <f>IF(計分!AA169="","",計分!AA169^2)</f>
        <v/>
      </c>
      <c r="AB169">
        <f>IF(計分!AB169="","",計分!AB169^2)</f>
        <v/>
      </c>
      <c r="AC169">
        <f>IF(計分!AC169="","",計分!AC169^2)</f>
        <v/>
      </c>
      <c r="AD169">
        <f>IF(計分!AD169="","",計分!AD169^2)</f>
        <v/>
      </c>
      <c r="AE169">
        <f>IF(計分!AE169="","",計分!AE169^2)</f>
        <v/>
      </c>
      <c r="AF169">
        <f>IF(計分!AF169="","",計分!AF169^2)</f>
        <v/>
      </c>
      <c r="AG169">
        <f>IF(計分!AG169="","",計分!AG169^2)</f>
        <v/>
      </c>
      <c r="AH169">
        <f>IF(計分!AH169="","",計分!AH169^2)</f>
        <v/>
      </c>
      <c r="AI169">
        <f>IF(計分!AI169="","",計分!AI169^2)</f>
        <v/>
      </c>
      <c r="AJ169">
        <f>IF(計分!AJ169="","",計分!AJ169^2)</f>
        <v/>
      </c>
      <c r="AK169">
        <f>IF(計分!AK169="","",計分!AK169^2)</f>
        <v/>
      </c>
      <c r="AL169">
        <f>IF(計分!AL169="","",計分!AL169^2)</f>
        <v/>
      </c>
      <c r="AM169">
        <f>IF(計分!AM169="","",計分!AM169^2)</f>
        <v/>
      </c>
      <c r="AN169">
        <f>IF(計分!AN169="","",計分!AN169^2)</f>
        <v/>
      </c>
      <c r="AO169">
        <f>IF(計分!AO169="","",計分!AO169^2)</f>
        <v/>
      </c>
    </row>
    <row r="170">
      <c r="B170">
        <f>IF(計分!B170="","",計分!B170^2)</f>
        <v/>
      </c>
      <c r="C170">
        <f>IF(計分!C170="","",計分!C170^2)</f>
        <v/>
      </c>
      <c r="D170">
        <f>IF(計分!D170="","",計分!D170^2)</f>
        <v/>
      </c>
      <c r="E170">
        <f>IF(計分!E170="","",計分!E170^2)</f>
        <v/>
      </c>
      <c r="F170">
        <f>IF(計分!F170="","",計分!F170^2)</f>
        <v/>
      </c>
      <c r="G170">
        <f>IF(計分!G170="","",計分!G170^2)</f>
        <v/>
      </c>
      <c r="H170">
        <f>IF(計分!H170="","",計分!H170^2)</f>
        <v/>
      </c>
      <c r="I170">
        <f>IF(計分!I170="","",計分!I170^2)</f>
        <v/>
      </c>
      <c r="J170">
        <f>IF(計分!J170="","",計分!J170^2)</f>
        <v/>
      </c>
      <c r="K170">
        <f>IF(計分!K170="","",計分!K170^2)</f>
        <v/>
      </c>
      <c r="L170">
        <f>IF(計分!L170="","",計分!L170^2)</f>
        <v/>
      </c>
      <c r="M170">
        <f>IF(計分!M170="","",計分!M170^2)</f>
        <v/>
      </c>
      <c r="N170">
        <f>IF(計分!N170="","",計分!N170^2)</f>
        <v/>
      </c>
      <c r="O170">
        <f>IF(計分!O170="","",計分!O170^2)</f>
        <v/>
      </c>
      <c r="P170">
        <f>IF(計分!P170="","",計分!P170^2)</f>
        <v/>
      </c>
      <c r="Q170">
        <f>IF(計分!Q170="","",計分!Q170^2)</f>
        <v/>
      </c>
      <c r="R170">
        <f>IF(計分!R170="","",計分!R170^2)</f>
        <v/>
      </c>
      <c r="S170">
        <f>IF(計分!S170="","",計分!S170^2)</f>
        <v/>
      </c>
      <c r="T170">
        <f>IF(計分!T170="","",計分!T170^2)</f>
        <v/>
      </c>
      <c r="U170">
        <f>IF(計分!U170="","",計分!U170^2)</f>
        <v/>
      </c>
      <c r="V170">
        <f>IF(計分!V170="","",計分!V170^2)</f>
        <v/>
      </c>
      <c r="W170">
        <f>IF(計分!W170="","",計分!W170^2)</f>
        <v/>
      </c>
      <c r="X170">
        <f>IF(計分!X170="","",計分!X170^2)</f>
        <v/>
      </c>
      <c r="Y170">
        <f>IF(計分!Y170="","",計分!Y170^2)</f>
        <v/>
      </c>
      <c r="Z170">
        <f>IF(計分!Z170="","",計分!Z170^2)</f>
        <v/>
      </c>
      <c r="AA170">
        <f>IF(計分!AA170="","",計分!AA170^2)</f>
        <v/>
      </c>
      <c r="AB170">
        <f>IF(計分!AB170="","",計分!AB170^2)</f>
        <v/>
      </c>
      <c r="AC170">
        <f>IF(計分!AC170="","",計分!AC170^2)</f>
        <v/>
      </c>
      <c r="AD170">
        <f>IF(計分!AD170="","",計分!AD170^2)</f>
        <v/>
      </c>
      <c r="AE170">
        <f>IF(計分!AE170="","",計分!AE170^2)</f>
        <v/>
      </c>
      <c r="AF170">
        <f>IF(計分!AF170="","",計分!AF170^2)</f>
        <v/>
      </c>
      <c r="AG170">
        <f>IF(計分!AG170="","",計分!AG170^2)</f>
        <v/>
      </c>
      <c r="AH170">
        <f>IF(計分!AH170="","",計分!AH170^2)</f>
        <v/>
      </c>
      <c r="AI170">
        <f>IF(計分!AI170="","",計分!AI170^2)</f>
        <v/>
      </c>
      <c r="AJ170">
        <f>IF(計分!AJ170="","",計分!AJ170^2)</f>
        <v/>
      </c>
      <c r="AK170">
        <f>IF(計分!AK170="","",計分!AK170^2)</f>
        <v/>
      </c>
      <c r="AL170">
        <f>IF(計分!AL170="","",計分!AL170^2)</f>
        <v/>
      </c>
      <c r="AM170">
        <f>IF(計分!AM170="","",計分!AM170^2)</f>
        <v/>
      </c>
      <c r="AN170">
        <f>IF(計分!AN170="","",計分!AN170^2)</f>
        <v/>
      </c>
      <c r="AO170">
        <f>IF(計分!AO170="","",計分!AO170^2)</f>
        <v/>
      </c>
    </row>
    <row r="171">
      <c r="B171">
        <f>IF(計分!B171="","",計分!B171^2)</f>
        <v/>
      </c>
      <c r="C171">
        <f>IF(計分!C171="","",計分!C171^2)</f>
        <v/>
      </c>
      <c r="D171">
        <f>IF(計分!D171="","",計分!D171^2)</f>
        <v/>
      </c>
      <c r="E171">
        <f>IF(計分!E171="","",計分!E171^2)</f>
        <v/>
      </c>
      <c r="F171">
        <f>IF(計分!F171="","",計分!F171^2)</f>
        <v/>
      </c>
      <c r="G171">
        <f>IF(計分!G171="","",計分!G171^2)</f>
        <v/>
      </c>
      <c r="H171">
        <f>IF(計分!H171="","",計分!H171^2)</f>
        <v/>
      </c>
      <c r="I171">
        <f>IF(計分!I171="","",計分!I171^2)</f>
        <v/>
      </c>
      <c r="J171">
        <f>IF(計分!J171="","",計分!J171^2)</f>
        <v/>
      </c>
      <c r="K171">
        <f>IF(計分!K171="","",計分!K171^2)</f>
        <v/>
      </c>
      <c r="L171">
        <f>IF(計分!L171="","",計分!L171^2)</f>
        <v/>
      </c>
      <c r="M171">
        <f>IF(計分!M171="","",計分!M171^2)</f>
        <v/>
      </c>
      <c r="N171">
        <f>IF(計分!N171="","",計分!N171^2)</f>
        <v/>
      </c>
      <c r="O171">
        <f>IF(計分!O171="","",計分!O171^2)</f>
        <v/>
      </c>
      <c r="P171">
        <f>IF(計分!P171="","",計分!P171^2)</f>
        <v/>
      </c>
      <c r="Q171">
        <f>IF(計分!Q171="","",計分!Q171^2)</f>
        <v/>
      </c>
      <c r="R171">
        <f>IF(計分!R171="","",計分!R171^2)</f>
        <v/>
      </c>
      <c r="S171">
        <f>IF(計分!S171="","",計分!S171^2)</f>
        <v/>
      </c>
      <c r="T171">
        <f>IF(計分!T171="","",計分!T171^2)</f>
        <v/>
      </c>
      <c r="U171">
        <f>IF(計分!U171="","",計分!U171^2)</f>
        <v/>
      </c>
      <c r="V171">
        <f>IF(計分!V171="","",計分!V171^2)</f>
        <v/>
      </c>
      <c r="W171">
        <f>IF(計分!W171="","",計分!W171^2)</f>
        <v/>
      </c>
      <c r="X171">
        <f>IF(計分!X171="","",計分!X171^2)</f>
        <v/>
      </c>
      <c r="Y171">
        <f>IF(計分!Y171="","",計分!Y171^2)</f>
        <v/>
      </c>
      <c r="Z171">
        <f>IF(計分!Z171="","",計分!Z171^2)</f>
        <v/>
      </c>
      <c r="AA171">
        <f>IF(計分!AA171="","",計分!AA171^2)</f>
        <v/>
      </c>
      <c r="AB171">
        <f>IF(計分!AB171="","",計分!AB171^2)</f>
        <v/>
      </c>
      <c r="AC171">
        <f>IF(計分!AC171="","",計分!AC171^2)</f>
        <v/>
      </c>
      <c r="AD171">
        <f>IF(計分!AD171="","",計分!AD171^2)</f>
        <v/>
      </c>
      <c r="AE171">
        <f>IF(計分!AE171="","",計分!AE171^2)</f>
        <v/>
      </c>
      <c r="AF171">
        <f>IF(計分!AF171="","",計分!AF171^2)</f>
        <v/>
      </c>
      <c r="AG171">
        <f>IF(計分!AG171="","",計分!AG171^2)</f>
        <v/>
      </c>
      <c r="AH171">
        <f>IF(計分!AH171="","",計分!AH171^2)</f>
        <v/>
      </c>
      <c r="AI171">
        <f>IF(計分!AI171="","",計分!AI171^2)</f>
        <v/>
      </c>
      <c r="AJ171">
        <f>IF(計分!AJ171="","",計分!AJ171^2)</f>
        <v/>
      </c>
      <c r="AK171">
        <f>IF(計分!AK171="","",計分!AK171^2)</f>
        <v/>
      </c>
      <c r="AL171">
        <f>IF(計分!AL171="","",計分!AL171^2)</f>
        <v/>
      </c>
      <c r="AM171">
        <f>IF(計分!AM171="","",計分!AM171^2)</f>
        <v/>
      </c>
      <c r="AN171">
        <f>IF(計分!AN171="","",計分!AN171^2)</f>
        <v/>
      </c>
      <c r="AO171">
        <f>IF(計分!AO171="","",計分!AO171^2)</f>
        <v/>
      </c>
    </row>
    <row r="172">
      <c r="B172">
        <f>IF(計分!B172="","",計分!B172^2)</f>
        <v/>
      </c>
      <c r="C172">
        <f>IF(計分!C172="","",計分!C172^2)</f>
        <v/>
      </c>
      <c r="D172">
        <f>IF(計分!D172="","",計分!D172^2)</f>
        <v/>
      </c>
      <c r="E172">
        <f>IF(計分!E172="","",計分!E172^2)</f>
        <v/>
      </c>
      <c r="F172">
        <f>IF(計分!F172="","",計分!F172^2)</f>
        <v/>
      </c>
      <c r="G172">
        <f>IF(計分!G172="","",計分!G172^2)</f>
        <v/>
      </c>
      <c r="H172">
        <f>IF(計分!H172="","",計分!H172^2)</f>
        <v/>
      </c>
      <c r="I172">
        <f>IF(計分!I172="","",計分!I172^2)</f>
        <v/>
      </c>
      <c r="J172">
        <f>IF(計分!J172="","",計分!J172^2)</f>
        <v/>
      </c>
      <c r="K172">
        <f>IF(計分!K172="","",計分!K172^2)</f>
        <v/>
      </c>
      <c r="L172">
        <f>IF(計分!L172="","",計分!L172^2)</f>
        <v/>
      </c>
      <c r="M172">
        <f>IF(計分!M172="","",計分!M172^2)</f>
        <v/>
      </c>
      <c r="N172">
        <f>IF(計分!N172="","",計分!N172^2)</f>
        <v/>
      </c>
      <c r="O172">
        <f>IF(計分!O172="","",計分!O172^2)</f>
        <v/>
      </c>
      <c r="P172">
        <f>IF(計分!P172="","",計分!P172^2)</f>
        <v/>
      </c>
      <c r="Q172">
        <f>IF(計分!Q172="","",計分!Q172^2)</f>
        <v/>
      </c>
      <c r="R172">
        <f>IF(計分!R172="","",計分!R172^2)</f>
        <v/>
      </c>
      <c r="S172">
        <f>IF(計分!S172="","",計分!S172^2)</f>
        <v/>
      </c>
      <c r="T172">
        <f>IF(計分!T172="","",計分!T172^2)</f>
        <v/>
      </c>
      <c r="U172">
        <f>IF(計分!U172="","",計分!U172^2)</f>
        <v/>
      </c>
      <c r="V172">
        <f>IF(計分!V172="","",計分!V172^2)</f>
        <v/>
      </c>
      <c r="W172">
        <f>IF(計分!W172="","",計分!W172^2)</f>
        <v/>
      </c>
      <c r="X172">
        <f>IF(計分!X172="","",計分!X172^2)</f>
        <v/>
      </c>
      <c r="Y172">
        <f>IF(計分!Y172="","",計分!Y172^2)</f>
        <v/>
      </c>
      <c r="Z172">
        <f>IF(計分!Z172="","",計分!Z172^2)</f>
        <v/>
      </c>
      <c r="AA172">
        <f>IF(計分!AA172="","",計分!AA172^2)</f>
        <v/>
      </c>
      <c r="AB172">
        <f>IF(計分!AB172="","",計分!AB172^2)</f>
        <v/>
      </c>
      <c r="AC172">
        <f>IF(計分!AC172="","",計分!AC172^2)</f>
        <v/>
      </c>
      <c r="AD172">
        <f>IF(計分!AD172="","",計分!AD172^2)</f>
        <v/>
      </c>
      <c r="AE172">
        <f>IF(計分!AE172="","",計分!AE172^2)</f>
        <v/>
      </c>
      <c r="AF172">
        <f>IF(計分!AF172="","",計分!AF172^2)</f>
        <v/>
      </c>
      <c r="AG172">
        <f>IF(計分!AG172="","",計分!AG172^2)</f>
        <v/>
      </c>
      <c r="AH172">
        <f>IF(計分!AH172="","",計分!AH172^2)</f>
        <v/>
      </c>
      <c r="AI172">
        <f>IF(計分!AI172="","",計分!AI172^2)</f>
        <v/>
      </c>
      <c r="AJ172">
        <f>IF(計分!AJ172="","",計分!AJ172^2)</f>
        <v/>
      </c>
      <c r="AK172">
        <f>IF(計分!AK172="","",計分!AK172^2)</f>
        <v/>
      </c>
      <c r="AL172">
        <f>IF(計分!AL172="","",計分!AL172^2)</f>
        <v/>
      </c>
      <c r="AM172">
        <f>IF(計分!AM172="","",計分!AM172^2)</f>
        <v/>
      </c>
      <c r="AN172">
        <f>IF(計分!AN172="","",計分!AN172^2)</f>
        <v/>
      </c>
      <c r="AO172">
        <f>IF(計分!AO172="","",計分!AO172^2)</f>
        <v/>
      </c>
    </row>
    <row r="173">
      <c r="B173">
        <f>IF(計分!B173="","",計分!B173^2)</f>
        <v/>
      </c>
      <c r="C173">
        <f>IF(計分!C173="","",計分!C173^2)</f>
        <v/>
      </c>
      <c r="D173">
        <f>IF(計分!D173="","",計分!D173^2)</f>
        <v/>
      </c>
      <c r="E173">
        <f>IF(計分!E173="","",計分!E173^2)</f>
        <v/>
      </c>
      <c r="F173">
        <f>IF(計分!F173="","",計分!F173^2)</f>
        <v/>
      </c>
      <c r="G173">
        <f>IF(計分!G173="","",計分!G173^2)</f>
        <v/>
      </c>
      <c r="H173">
        <f>IF(計分!H173="","",計分!H173^2)</f>
        <v/>
      </c>
      <c r="I173">
        <f>IF(計分!I173="","",計分!I173^2)</f>
        <v/>
      </c>
      <c r="J173">
        <f>IF(計分!J173="","",計分!J173^2)</f>
        <v/>
      </c>
      <c r="K173">
        <f>IF(計分!K173="","",計分!K173^2)</f>
        <v/>
      </c>
      <c r="L173">
        <f>IF(計分!L173="","",計分!L173^2)</f>
        <v/>
      </c>
      <c r="M173">
        <f>IF(計分!M173="","",計分!M173^2)</f>
        <v/>
      </c>
      <c r="N173">
        <f>IF(計分!N173="","",計分!N173^2)</f>
        <v/>
      </c>
      <c r="O173">
        <f>IF(計分!O173="","",計分!O173^2)</f>
        <v/>
      </c>
      <c r="P173">
        <f>IF(計分!P173="","",計分!P173^2)</f>
        <v/>
      </c>
      <c r="Q173">
        <f>IF(計分!Q173="","",計分!Q173^2)</f>
        <v/>
      </c>
      <c r="R173">
        <f>IF(計分!R173="","",計分!R173^2)</f>
        <v/>
      </c>
      <c r="S173">
        <f>IF(計分!S173="","",計分!S173^2)</f>
        <v/>
      </c>
      <c r="T173">
        <f>IF(計分!T173="","",計分!T173^2)</f>
        <v/>
      </c>
      <c r="U173">
        <f>IF(計分!U173="","",計分!U173^2)</f>
        <v/>
      </c>
      <c r="V173">
        <f>IF(計分!V173="","",計分!V173^2)</f>
        <v/>
      </c>
      <c r="W173">
        <f>IF(計分!W173="","",計分!W173^2)</f>
        <v/>
      </c>
      <c r="X173">
        <f>IF(計分!X173="","",計分!X173^2)</f>
        <v/>
      </c>
      <c r="Y173">
        <f>IF(計分!Y173="","",計分!Y173^2)</f>
        <v/>
      </c>
      <c r="Z173">
        <f>IF(計分!Z173="","",計分!Z173^2)</f>
        <v/>
      </c>
      <c r="AA173">
        <f>IF(計分!AA173="","",計分!AA173^2)</f>
        <v/>
      </c>
      <c r="AB173">
        <f>IF(計分!AB173="","",計分!AB173^2)</f>
        <v/>
      </c>
      <c r="AC173">
        <f>IF(計分!AC173="","",計分!AC173^2)</f>
        <v/>
      </c>
      <c r="AD173">
        <f>IF(計分!AD173="","",計分!AD173^2)</f>
        <v/>
      </c>
      <c r="AE173">
        <f>IF(計分!AE173="","",計分!AE173^2)</f>
        <v/>
      </c>
      <c r="AF173">
        <f>IF(計分!AF173="","",計分!AF173^2)</f>
        <v/>
      </c>
      <c r="AG173">
        <f>IF(計分!AG173="","",計分!AG173^2)</f>
        <v/>
      </c>
      <c r="AH173">
        <f>IF(計分!AH173="","",計分!AH173^2)</f>
        <v/>
      </c>
      <c r="AI173">
        <f>IF(計分!AI173="","",計分!AI173^2)</f>
        <v/>
      </c>
      <c r="AJ173">
        <f>IF(計分!AJ173="","",計分!AJ173^2)</f>
        <v/>
      </c>
      <c r="AK173">
        <f>IF(計分!AK173="","",計分!AK173^2)</f>
        <v/>
      </c>
      <c r="AL173">
        <f>IF(計分!AL173="","",計分!AL173^2)</f>
        <v/>
      </c>
      <c r="AM173">
        <f>IF(計分!AM173="","",計分!AM173^2)</f>
        <v/>
      </c>
      <c r="AN173">
        <f>IF(計分!AN173="","",計分!AN173^2)</f>
        <v/>
      </c>
      <c r="AO173">
        <f>IF(計分!AO173="","",計分!AO173^2)</f>
        <v/>
      </c>
    </row>
    <row r="174">
      <c r="B174">
        <f>IF(計分!B174="","",計分!B174^2)</f>
        <v/>
      </c>
      <c r="C174">
        <f>IF(計分!C174="","",計分!C174^2)</f>
        <v/>
      </c>
      <c r="D174">
        <f>IF(計分!D174="","",計分!D174^2)</f>
        <v/>
      </c>
      <c r="E174">
        <f>IF(計分!E174="","",計分!E174^2)</f>
        <v/>
      </c>
      <c r="F174">
        <f>IF(計分!F174="","",計分!F174^2)</f>
        <v/>
      </c>
      <c r="G174">
        <f>IF(計分!G174="","",計分!G174^2)</f>
        <v/>
      </c>
      <c r="H174">
        <f>IF(計分!H174="","",計分!H174^2)</f>
        <v/>
      </c>
      <c r="I174">
        <f>IF(計分!I174="","",計分!I174^2)</f>
        <v/>
      </c>
      <c r="J174">
        <f>IF(計分!J174="","",計分!J174^2)</f>
        <v/>
      </c>
      <c r="K174">
        <f>IF(計分!K174="","",計分!K174^2)</f>
        <v/>
      </c>
      <c r="L174">
        <f>IF(計分!L174="","",計分!L174^2)</f>
        <v/>
      </c>
      <c r="M174">
        <f>IF(計分!M174="","",計分!M174^2)</f>
        <v/>
      </c>
      <c r="N174">
        <f>IF(計分!N174="","",計分!N174^2)</f>
        <v/>
      </c>
      <c r="O174">
        <f>IF(計分!O174="","",計分!O174^2)</f>
        <v/>
      </c>
      <c r="P174">
        <f>IF(計分!P174="","",計分!P174^2)</f>
        <v/>
      </c>
      <c r="Q174">
        <f>IF(計分!Q174="","",計分!Q174^2)</f>
        <v/>
      </c>
      <c r="R174">
        <f>IF(計分!R174="","",計分!R174^2)</f>
        <v/>
      </c>
      <c r="S174">
        <f>IF(計分!S174="","",計分!S174^2)</f>
        <v/>
      </c>
      <c r="T174">
        <f>IF(計分!T174="","",計分!T174^2)</f>
        <v/>
      </c>
      <c r="U174">
        <f>IF(計分!U174="","",計分!U174^2)</f>
        <v/>
      </c>
      <c r="V174">
        <f>IF(計分!V174="","",計分!V174^2)</f>
        <v/>
      </c>
      <c r="W174">
        <f>IF(計分!W174="","",計分!W174^2)</f>
        <v/>
      </c>
      <c r="X174">
        <f>IF(計分!X174="","",計分!X174^2)</f>
        <v/>
      </c>
      <c r="Y174">
        <f>IF(計分!Y174="","",計分!Y174^2)</f>
        <v/>
      </c>
      <c r="Z174">
        <f>IF(計分!Z174="","",計分!Z174^2)</f>
        <v/>
      </c>
      <c r="AA174">
        <f>IF(計分!AA174="","",計分!AA174^2)</f>
        <v/>
      </c>
      <c r="AB174">
        <f>IF(計分!AB174="","",計分!AB174^2)</f>
        <v/>
      </c>
      <c r="AC174">
        <f>IF(計分!AC174="","",計分!AC174^2)</f>
        <v/>
      </c>
      <c r="AD174">
        <f>IF(計分!AD174="","",計分!AD174^2)</f>
        <v/>
      </c>
      <c r="AE174">
        <f>IF(計分!AE174="","",計分!AE174^2)</f>
        <v/>
      </c>
      <c r="AF174">
        <f>IF(計分!AF174="","",計分!AF174^2)</f>
        <v/>
      </c>
      <c r="AG174">
        <f>IF(計分!AG174="","",計分!AG174^2)</f>
        <v/>
      </c>
      <c r="AH174">
        <f>IF(計分!AH174="","",計分!AH174^2)</f>
        <v/>
      </c>
      <c r="AI174">
        <f>IF(計分!AI174="","",計分!AI174^2)</f>
        <v/>
      </c>
      <c r="AJ174">
        <f>IF(計分!AJ174="","",計分!AJ174^2)</f>
        <v/>
      </c>
      <c r="AK174">
        <f>IF(計分!AK174="","",計分!AK174^2)</f>
        <v/>
      </c>
      <c r="AL174">
        <f>IF(計分!AL174="","",計分!AL174^2)</f>
        <v/>
      </c>
      <c r="AM174">
        <f>IF(計分!AM174="","",計分!AM174^2)</f>
        <v/>
      </c>
      <c r="AN174">
        <f>IF(計分!AN174="","",計分!AN174^2)</f>
        <v/>
      </c>
      <c r="AO174">
        <f>IF(計分!AO174="","",計分!AO174^2)</f>
        <v/>
      </c>
    </row>
    <row r="175">
      <c r="B175">
        <f>IF(計分!B175="","",計分!B175^2)</f>
        <v/>
      </c>
      <c r="C175">
        <f>IF(計分!C175="","",計分!C175^2)</f>
        <v/>
      </c>
      <c r="D175">
        <f>IF(計分!D175="","",計分!D175^2)</f>
        <v/>
      </c>
      <c r="E175">
        <f>IF(計分!E175="","",計分!E175^2)</f>
        <v/>
      </c>
      <c r="F175">
        <f>IF(計分!F175="","",計分!F175^2)</f>
        <v/>
      </c>
      <c r="G175">
        <f>IF(計分!G175="","",計分!G175^2)</f>
        <v/>
      </c>
      <c r="H175">
        <f>IF(計分!H175="","",計分!H175^2)</f>
        <v/>
      </c>
      <c r="I175">
        <f>IF(計分!I175="","",計分!I175^2)</f>
        <v/>
      </c>
      <c r="J175">
        <f>IF(計分!J175="","",計分!J175^2)</f>
        <v/>
      </c>
      <c r="K175">
        <f>IF(計分!K175="","",計分!K175^2)</f>
        <v/>
      </c>
      <c r="L175">
        <f>IF(計分!L175="","",計分!L175^2)</f>
        <v/>
      </c>
      <c r="M175">
        <f>IF(計分!M175="","",計分!M175^2)</f>
        <v/>
      </c>
      <c r="N175">
        <f>IF(計分!N175="","",計分!N175^2)</f>
        <v/>
      </c>
      <c r="O175">
        <f>IF(計分!O175="","",計分!O175^2)</f>
        <v/>
      </c>
      <c r="P175">
        <f>IF(計分!P175="","",計分!P175^2)</f>
        <v/>
      </c>
      <c r="Q175">
        <f>IF(計分!Q175="","",計分!Q175^2)</f>
        <v/>
      </c>
      <c r="R175">
        <f>IF(計分!R175="","",計分!R175^2)</f>
        <v/>
      </c>
      <c r="S175">
        <f>IF(計分!S175="","",計分!S175^2)</f>
        <v/>
      </c>
      <c r="T175">
        <f>IF(計分!T175="","",計分!T175^2)</f>
        <v/>
      </c>
      <c r="U175">
        <f>IF(計分!U175="","",計分!U175^2)</f>
        <v/>
      </c>
      <c r="V175">
        <f>IF(計分!V175="","",計分!V175^2)</f>
        <v/>
      </c>
      <c r="W175">
        <f>IF(計分!W175="","",計分!W175^2)</f>
        <v/>
      </c>
      <c r="X175">
        <f>IF(計分!X175="","",計分!X175^2)</f>
        <v/>
      </c>
      <c r="Y175">
        <f>IF(計分!Y175="","",計分!Y175^2)</f>
        <v/>
      </c>
      <c r="Z175">
        <f>IF(計分!Z175="","",計分!Z175^2)</f>
        <v/>
      </c>
      <c r="AA175">
        <f>IF(計分!AA175="","",計分!AA175^2)</f>
        <v/>
      </c>
      <c r="AB175">
        <f>IF(計分!AB175="","",計分!AB175^2)</f>
        <v/>
      </c>
      <c r="AC175">
        <f>IF(計分!AC175="","",計分!AC175^2)</f>
        <v/>
      </c>
      <c r="AD175">
        <f>IF(計分!AD175="","",計分!AD175^2)</f>
        <v/>
      </c>
      <c r="AE175">
        <f>IF(計分!AE175="","",計分!AE175^2)</f>
        <v/>
      </c>
      <c r="AF175">
        <f>IF(計分!AF175="","",計分!AF175^2)</f>
        <v/>
      </c>
      <c r="AG175">
        <f>IF(計分!AG175="","",計分!AG175^2)</f>
        <v/>
      </c>
      <c r="AH175">
        <f>IF(計分!AH175="","",計分!AH175^2)</f>
        <v/>
      </c>
      <c r="AI175">
        <f>IF(計分!AI175="","",計分!AI175^2)</f>
        <v/>
      </c>
      <c r="AJ175">
        <f>IF(計分!AJ175="","",計分!AJ175^2)</f>
        <v/>
      </c>
      <c r="AK175">
        <f>IF(計分!AK175="","",計分!AK175^2)</f>
        <v/>
      </c>
      <c r="AL175">
        <f>IF(計分!AL175="","",計分!AL175^2)</f>
        <v/>
      </c>
      <c r="AM175">
        <f>IF(計分!AM175="","",計分!AM175^2)</f>
        <v/>
      </c>
      <c r="AN175">
        <f>IF(計分!AN175="","",計分!AN175^2)</f>
        <v/>
      </c>
      <c r="AO175">
        <f>IF(計分!AO175="","",計分!AO175^2)</f>
        <v/>
      </c>
    </row>
    <row r="176">
      <c r="B176">
        <f>IF(計分!B176="","",計分!B176^2)</f>
        <v/>
      </c>
      <c r="C176">
        <f>IF(計分!C176="","",計分!C176^2)</f>
        <v/>
      </c>
      <c r="D176">
        <f>IF(計分!D176="","",計分!D176^2)</f>
        <v/>
      </c>
      <c r="E176">
        <f>IF(計分!E176="","",計分!E176^2)</f>
        <v/>
      </c>
      <c r="F176">
        <f>IF(計分!F176="","",計分!F176^2)</f>
        <v/>
      </c>
      <c r="G176">
        <f>IF(計分!G176="","",計分!G176^2)</f>
        <v/>
      </c>
      <c r="H176">
        <f>IF(計分!H176="","",計分!H176^2)</f>
        <v/>
      </c>
      <c r="I176">
        <f>IF(計分!I176="","",計分!I176^2)</f>
        <v/>
      </c>
      <c r="J176">
        <f>IF(計分!J176="","",計分!J176^2)</f>
        <v/>
      </c>
      <c r="K176">
        <f>IF(計分!K176="","",計分!K176^2)</f>
        <v/>
      </c>
      <c r="L176">
        <f>IF(計分!L176="","",計分!L176^2)</f>
        <v/>
      </c>
      <c r="M176">
        <f>IF(計分!M176="","",計分!M176^2)</f>
        <v/>
      </c>
      <c r="N176">
        <f>IF(計分!N176="","",計分!N176^2)</f>
        <v/>
      </c>
      <c r="O176">
        <f>IF(計分!O176="","",計分!O176^2)</f>
        <v/>
      </c>
      <c r="P176">
        <f>IF(計分!P176="","",計分!P176^2)</f>
        <v/>
      </c>
      <c r="Q176">
        <f>IF(計分!Q176="","",計分!Q176^2)</f>
        <v/>
      </c>
      <c r="R176">
        <f>IF(計分!R176="","",計分!R176^2)</f>
        <v/>
      </c>
      <c r="S176">
        <f>IF(計分!S176="","",計分!S176^2)</f>
        <v/>
      </c>
      <c r="T176">
        <f>IF(計分!T176="","",計分!T176^2)</f>
        <v/>
      </c>
      <c r="U176">
        <f>IF(計分!U176="","",計分!U176^2)</f>
        <v/>
      </c>
      <c r="V176">
        <f>IF(計分!V176="","",計分!V176^2)</f>
        <v/>
      </c>
      <c r="W176">
        <f>IF(計分!W176="","",計分!W176^2)</f>
        <v/>
      </c>
      <c r="X176">
        <f>IF(計分!X176="","",計分!X176^2)</f>
        <v/>
      </c>
      <c r="Y176">
        <f>IF(計分!Y176="","",計分!Y176^2)</f>
        <v/>
      </c>
      <c r="Z176">
        <f>IF(計分!Z176="","",計分!Z176^2)</f>
        <v/>
      </c>
      <c r="AA176">
        <f>IF(計分!AA176="","",計分!AA176^2)</f>
        <v/>
      </c>
      <c r="AB176">
        <f>IF(計分!AB176="","",計分!AB176^2)</f>
        <v/>
      </c>
      <c r="AC176">
        <f>IF(計分!AC176="","",計分!AC176^2)</f>
        <v/>
      </c>
      <c r="AD176">
        <f>IF(計分!AD176="","",計分!AD176^2)</f>
        <v/>
      </c>
      <c r="AE176">
        <f>IF(計分!AE176="","",計分!AE176^2)</f>
        <v/>
      </c>
      <c r="AF176">
        <f>IF(計分!AF176="","",計分!AF176^2)</f>
        <v/>
      </c>
      <c r="AG176">
        <f>IF(計分!AG176="","",計分!AG176^2)</f>
        <v/>
      </c>
      <c r="AH176">
        <f>IF(計分!AH176="","",計分!AH176^2)</f>
        <v/>
      </c>
      <c r="AI176">
        <f>IF(計分!AI176="","",計分!AI176^2)</f>
        <v/>
      </c>
      <c r="AJ176">
        <f>IF(計分!AJ176="","",計分!AJ176^2)</f>
        <v/>
      </c>
      <c r="AK176">
        <f>IF(計分!AK176="","",計分!AK176^2)</f>
        <v/>
      </c>
      <c r="AL176">
        <f>IF(計分!AL176="","",計分!AL176^2)</f>
        <v/>
      </c>
      <c r="AM176">
        <f>IF(計分!AM176="","",計分!AM176^2)</f>
        <v/>
      </c>
      <c r="AN176">
        <f>IF(計分!AN176="","",計分!AN176^2)</f>
        <v/>
      </c>
      <c r="AO176">
        <f>IF(計分!AO176="","",計分!AO176^2)</f>
        <v/>
      </c>
    </row>
    <row r="177">
      <c r="B177">
        <f>IF(計分!B177="","",計分!B177^2)</f>
        <v/>
      </c>
      <c r="C177">
        <f>IF(計分!C177="","",計分!C177^2)</f>
        <v/>
      </c>
      <c r="D177">
        <f>IF(計分!D177="","",計分!D177^2)</f>
        <v/>
      </c>
      <c r="E177">
        <f>IF(計分!E177="","",計分!E177^2)</f>
        <v/>
      </c>
      <c r="F177">
        <f>IF(計分!F177="","",計分!F177^2)</f>
        <v/>
      </c>
      <c r="G177">
        <f>IF(計分!G177="","",計分!G177^2)</f>
        <v/>
      </c>
      <c r="H177">
        <f>IF(計分!H177="","",計分!H177^2)</f>
        <v/>
      </c>
      <c r="I177">
        <f>IF(計分!I177="","",計分!I177^2)</f>
        <v/>
      </c>
      <c r="J177">
        <f>IF(計分!J177="","",計分!J177^2)</f>
        <v/>
      </c>
      <c r="K177">
        <f>IF(計分!K177="","",計分!K177^2)</f>
        <v/>
      </c>
      <c r="L177">
        <f>IF(計分!L177="","",計分!L177^2)</f>
        <v/>
      </c>
      <c r="M177">
        <f>IF(計分!M177="","",計分!M177^2)</f>
        <v/>
      </c>
      <c r="N177">
        <f>IF(計分!N177="","",計分!N177^2)</f>
        <v/>
      </c>
      <c r="O177">
        <f>IF(計分!O177="","",計分!O177^2)</f>
        <v/>
      </c>
      <c r="P177">
        <f>IF(計分!P177="","",計分!P177^2)</f>
        <v/>
      </c>
      <c r="Q177">
        <f>IF(計分!Q177="","",計分!Q177^2)</f>
        <v/>
      </c>
      <c r="R177">
        <f>IF(計分!R177="","",計分!R177^2)</f>
        <v/>
      </c>
      <c r="S177">
        <f>IF(計分!S177="","",計分!S177^2)</f>
        <v/>
      </c>
      <c r="T177">
        <f>IF(計分!T177="","",計分!T177^2)</f>
        <v/>
      </c>
      <c r="U177">
        <f>IF(計分!U177="","",計分!U177^2)</f>
        <v/>
      </c>
      <c r="V177">
        <f>IF(計分!V177="","",計分!V177^2)</f>
        <v/>
      </c>
      <c r="W177">
        <f>IF(計分!W177="","",計分!W177^2)</f>
        <v/>
      </c>
      <c r="X177">
        <f>IF(計分!X177="","",計分!X177^2)</f>
        <v/>
      </c>
      <c r="Y177">
        <f>IF(計分!Y177="","",計分!Y177^2)</f>
        <v/>
      </c>
      <c r="Z177">
        <f>IF(計分!Z177="","",計分!Z177^2)</f>
        <v/>
      </c>
      <c r="AA177">
        <f>IF(計分!AA177="","",計分!AA177^2)</f>
        <v/>
      </c>
      <c r="AB177">
        <f>IF(計分!AB177="","",計分!AB177^2)</f>
        <v/>
      </c>
      <c r="AC177">
        <f>IF(計分!AC177="","",計分!AC177^2)</f>
        <v/>
      </c>
      <c r="AD177">
        <f>IF(計分!AD177="","",計分!AD177^2)</f>
        <v/>
      </c>
      <c r="AE177">
        <f>IF(計分!AE177="","",計分!AE177^2)</f>
        <v/>
      </c>
      <c r="AF177">
        <f>IF(計分!AF177="","",計分!AF177^2)</f>
        <v/>
      </c>
      <c r="AG177">
        <f>IF(計分!AG177="","",計分!AG177^2)</f>
        <v/>
      </c>
      <c r="AH177">
        <f>IF(計分!AH177="","",計分!AH177^2)</f>
        <v/>
      </c>
      <c r="AI177">
        <f>IF(計分!AI177="","",計分!AI177^2)</f>
        <v/>
      </c>
      <c r="AJ177">
        <f>IF(計分!AJ177="","",計分!AJ177^2)</f>
        <v/>
      </c>
      <c r="AK177">
        <f>IF(計分!AK177="","",計分!AK177^2)</f>
        <v/>
      </c>
      <c r="AL177">
        <f>IF(計分!AL177="","",計分!AL177^2)</f>
        <v/>
      </c>
      <c r="AM177">
        <f>IF(計分!AM177="","",計分!AM177^2)</f>
        <v/>
      </c>
      <c r="AN177">
        <f>IF(計分!AN177="","",計分!AN177^2)</f>
        <v/>
      </c>
      <c r="AO177">
        <f>IF(計分!AO177="","",計分!AO177^2)</f>
        <v/>
      </c>
    </row>
    <row r="178">
      <c r="B178">
        <f>IF(計分!B178="","",計分!B178^2)</f>
        <v/>
      </c>
      <c r="C178">
        <f>IF(計分!C178="","",計分!C178^2)</f>
        <v/>
      </c>
      <c r="D178">
        <f>IF(計分!D178="","",計分!D178^2)</f>
        <v/>
      </c>
      <c r="E178">
        <f>IF(計分!E178="","",計分!E178^2)</f>
        <v/>
      </c>
      <c r="F178">
        <f>IF(計分!F178="","",計分!F178^2)</f>
        <v/>
      </c>
      <c r="G178">
        <f>IF(計分!G178="","",計分!G178^2)</f>
        <v/>
      </c>
      <c r="H178">
        <f>IF(計分!H178="","",計分!H178^2)</f>
        <v/>
      </c>
      <c r="I178">
        <f>IF(計分!I178="","",計分!I178^2)</f>
        <v/>
      </c>
      <c r="J178">
        <f>IF(計分!J178="","",計分!J178^2)</f>
        <v/>
      </c>
      <c r="K178">
        <f>IF(計分!K178="","",計分!K178^2)</f>
        <v/>
      </c>
      <c r="L178">
        <f>IF(計分!L178="","",計分!L178^2)</f>
        <v/>
      </c>
      <c r="M178">
        <f>IF(計分!M178="","",計分!M178^2)</f>
        <v/>
      </c>
      <c r="N178">
        <f>IF(計分!N178="","",計分!N178^2)</f>
        <v/>
      </c>
      <c r="O178">
        <f>IF(計分!O178="","",計分!O178^2)</f>
        <v/>
      </c>
      <c r="P178">
        <f>IF(計分!P178="","",計分!P178^2)</f>
        <v/>
      </c>
      <c r="Q178">
        <f>IF(計分!Q178="","",計分!Q178^2)</f>
        <v/>
      </c>
      <c r="R178">
        <f>IF(計分!R178="","",計分!R178^2)</f>
        <v/>
      </c>
      <c r="S178">
        <f>IF(計分!S178="","",計分!S178^2)</f>
        <v/>
      </c>
      <c r="T178">
        <f>IF(計分!T178="","",計分!T178^2)</f>
        <v/>
      </c>
      <c r="U178">
        <f>IF(計分!U178="","",計分!U178^2)</f>
        <v/>
      </c>
      <c r="V178">
        <f>IF(計分!V178="","",計分!V178^2)</f>
        <v/>
      </c>
      <c r="W178">
        <f>IF(計分!W178="","",計分!W178^2)</f>
        <v/>
      </c>
      <c r="X178">
        <f>IF(計分!X178="","",計分!X178^2)</f>
        <v/>
      </c>
      <c r="Y178">
        <f>IF(計分!Y178="","",計分!Y178^2)</f>
        <v/>
      </c>
      <c r="Z178">
        <f>IF(計分!Z178="","",計分!Z178^2)</f>
        <v/>
      </c>
      <c r="AA178">
        <f>IF(計分!AA178="","",計分!AA178^2)</f>
        <v/>
      </c>
      <c r="AB178">
        <f>IF(計分!AB178="","",計分!AB178^2)</f>
        <v/>
      </c>
      <c r="AC178">
        <f>IF(計分!AC178="","",計分!AC178^2)</f>
        <v/>
      </c>
      <c r="AD178">
        <f>IF(計分!AD178="","",計分!AD178^2)</f>
        <v/>
      </c>
      <c r="AE178">
        <f>IF(計分!AE178="","",計分!AE178^2)</f>
        <v/>
      </c>
      <c r="AF178">
        <f>IF(計分!AF178="","",計分!AF178^2)</f>
        <v/>
      </c>
      <c r="AG178">
        <f>IF(計分!AG178="","",計分!AG178^2)</f>
        <v/>
      </c>
      <c r="AH178">
        <f>IF(計分!AH178="","",計分!AH178^2)</f>
        <v/>
      </c>
      <c r="AI178">
        <f>IF(計分!AI178="","",計分!AI178^2)</f>
        <v/>
      </c>
      <c r="AJ178">
        <f>IF(計分!AJ178="","",計分!AJ178^2)</f>
        <v/>
      </c>
      <c r="AK178">
        <f>IF(計分!AK178="","",計分!AK178^2)</f>
        <v/>
      </c>
      <c r="AL178">
        <f>IF(計分!AL178="","",計分!AL178^2)</f>
        <v/>
      </c>
      <c r="AM178">
        <f>IF(計分!AM178="","",計分!AM178^2)</f>
        <v/>
      </c>
      <c r="AN178">
        <f>IF(計分!AN178="","",計分!AN178^2)</f>
        <v/>
      </c>
      <c r="AO178">
        <f>IF(計分!AO178="","",計分!AO178^2)</f>
        <v/>
      </c>
    </row>
    <row r="179">
      <c r="B179">
        <f>IF(計分!B179="","",計分!B179^2)</f>
        <v/>
      </c>
      <c r="C179">
        <f>IF(計分!C179="","",計分!C179^2)</f>
        <v/>
      </c>
      <c r="D179">
        <f>IF(計分!D179="","",計分!D179^2)</f>
        <v/>
      </c>
      <c r="E179">
        <f>IF(計分!E179="","",計分!E179^2)</f>
        <v/>
      </c>
      <c r="F179">
        <f>IF(計分!F179="","",計分!F179^2)</f>
        <v/>
      </c>
      <c r="G179">
        <f>IF(計分!G179="","",計分!G179^2)</f>
        <v/>
      </c>
      <c r="H179">
        <f>IF(計分!H179="","",計分!H179^2)</f>
        <v/>
      </c>
      <c r="I179">
        <f>IF(計分!I179="","",計分!I179^2)</f>
        <v/>
      </c>
      <c r="J179">
        <f>IF(計分!J179="","",計分!J179^2)</f>
        <v/>
      </c>
      <c r="K179">
        <f>IF(計分!K179="","",計分!K179^2)</f>
        <v/>
      </c>
      <c r="L179">
        <f>IF(計分!L179="","",計分!L179^2)</f>
        <v/>
      </c>
      <c r="M179">
        <f>IF(計分!M179="","",計分!M179^2)</f>
        <v/>
      </c>
      <c r="N179">
        <f>IF(計分!N179="","",計分!N179^2)</f>
        <v/>
      </c>
      <c r="O179">
        <f>IF(計分!O179="","",計分!O179^2)</f>
        <v/>
      </c>
      <c r="P179">
        <f>IF(計分!P179="","",計分!P179^2)</f>
        <v/>
      </c>
      <c r="Q179">
        <f>IF(計分!Q179="","",計分!Q179^2)</f>
        <v/>
      </c>
      <c r="R179">
        <f>IF(計分!R179="","",計分!R179^2)</f>
        <v/>
      </c>
      <c r="S179">
        <f>IF(計分!S179="","",計分!S179^2)</f>
        <v/>
      </c>
      <c r="T179">
        <f>IF(計分!T179="","",計分!T179^2)</f>
        <v/>
      </c>
      <c r="U179">
        <f>IF(計分!U179="","",計分!U179^2)</f>
        <v/>
      </c>
      <c r="V179">
        <f>IF(計分!V179="","",計分!V179^2)</f>
        <v/>
      </c>
      <c r="W179">
        <f>IF(計分!W179="","",計分!W179^2)</f>
        <v/>
      </c>
      <c r="X179">
        <f>IF(計分!X179="","",計分!X179^2)</f>
        <v/>
      </c>
      <c r="Y179">
        <f>IF(計分!Y179="","",計分!Y179^2)</f>
        <v/>
      </c>
      <c r="Z179">
        <f>IF(計分!Z179="","",計分!Z179^2)</f>
        <v/>
      </c>
      <c r="AA179">
        <f>IF(計分!AA179="","",計分!AA179^2)</f>
        <v/>
      </c>
      <c r="AB179">
        <f>IF(計分!AB179="","",計分!AB179^2)</f>
        <v/>
      </c>
      <c r="AC179">
        <f>IF(計分!AC179="","",計分!AC179^2)</f>
        <v/>
      </c>
      <c r="AD179">
        <f>IF(計分!AD179="","",計分!AD179^2)</f>
        <v/>
      </c>
      <c r="AE179">
        <f>IF(計分!AE179="","",計分!AE179^2)</f>
        <v/>
      </c>
      <c r="AF179">
        <f>IF(計分!AF179="","",計分!AF179^2)</f>
        <v/>
      </c>
      <c r="AG179">
        <f>IF(計分!AG179="","",計分!AG179^2)</f>
        <v/>
      </c>
      <c r="AH179">
        <f>IF(計分!AH179="","",計分!AH179^2)</f>
        <v/>
      </c>
      <c r="AI179">
        <f>IF(計分!AI179="","",計分!AI179^2)</f>
        <v/>
      </c>
      <c r="AJ179">
        <f>IF(計分!AJ179="","",計分!AJ179^2)</f>
        <v/>
      </c>
      <c r="AK179">
        <f>IF(計分!AK179="","",計分!AK179^2)</f>
        <v/>
      </c>
      <c r="AL179">
        <f>IF(計分!AL179="","",計分!AL179^2)</f>
        <v/>
      </c>
      <c r="AM179">
        <f>IF(計分!AM179="","",計分!AM179^2)</f>
        <v/>
      </c>
      <c r="AN179">
        <f>IF(計分!AN179="","",計分!AN179^2)</f>
        <v/>
      </c>
      <c r="AO179">
        <f>IF(計分!AO179="","",計分!AO179^2)</f>
        <v/>
      </c>
    </row>
    <row r="180">
      <c r="B180">
        <f>IF(計分!B180="","",計分!B180^2)</f>
        <v/>
      </c>
      <c r="C180">
        <f>IF(計分!C180="","",計分!C180^2)</f>
        <v/>
      </c>
      <c r="D180">
        <f>IF(計分!D180="","",計分!D180^2)</f>
        <v/>
      </c>
      <c r="E180">
        <f>IF(計分!E180="","",計分!E180^2)</f>
        <v/>
      </c>
      <c r="F180">
        <f>IF(計分!F180="","",計分!F180^2)</f>
        <v/>
      </c>
      <c r="G180">
        <f>IF(計分!G180="","",計分!G180^2)</f>
        <v/>
      </c>
      <c r="H180">
        <f>IF(計分!H180="","",計分!H180^2)</f>
        <v/>
      </c>
      <c r="I180">
        <f>IF(計分!I180="","",計分!I180^2)</f>
        <v/>
      </c>
      <c r="J180">
        <f>IF(計分!J180="","",計分!J180^2)</f>
        <v/>
      </c>
      <c r="K180">
        <f>IF(計分!K180="","",計分!K180^2)</f>
        <v/>
      </c>
      <c r="L180">
        <f>IF(計分!L180="","",計分!L180^2)</f>
        <v/>
      </c>
      <c r="M180">
        <f>IF(計分!M180="","",計分!M180^2)</f>
        <v/>
      </c>
      <c r="N180">
        <f>IF(計分!N180="","",計分!N180^2)</f>
        <v/>
      </c>
      <c r="O180">
        <f>IF(計分!O180="","",計分!O180^2)</f>
        <v/>
      </c>
      <c r="P180">
        <f>IF(計分!P180="","",計分!P180^2)</f>
        <v/>
      </c>
      <c r="Q180">
        <f>IF(計分!Q180="","",計分!Q180^2)</f>
        <v/>
      </c>
      <c r="R180">
        <f>IF(計分!R180="","",計分!R180^2)</f>
        <v/>
      </c>
      <c r="S180">
        <f>IF(計分!S180="","",計分!S180^2)</f>
        <v/>
      </c>
      <c r="T180">
        <f>IF(計分!T180="","",計分!T180^2)</f>
        <v/>
      </c>
      <c r="U180">
        <f>IF(計分!U180="","",計分!U180^2)</f>
        <v/>
      </c>
      <c r="V180">
        <f>IF(計分!V180="","",計分!V180^2)</f>
        <v/>
      </c>
      <c r="W180">
        <f>IF(計分!W180="","",計分!W180^2)</f>
        <v/>
      </c>
      <c r="X180">
        <f>IF(計分!X180="","",計分!X180^2)</f>
        <v/>
      </c>
      <c r="Y180">
        <f>IF(計分!Y180="","",計分!Y180^2)</f>
        <v/>
      </c>
      <c r="Z180">
        <f>IF(計分!Z180="","",計分!Z180^2)</f>
        <v/>
      </c>
      <c r="AA180">
        <f>IF(計分!AA180="","",計分!AA180^2)</f>
        <v/>
      </c>
      <c r="AB180">
        <f>IF(計分!AB180="","",計分!AB180^2)</f>
        <v/>
      </c>
      <c r="AC180">
        <f>IF(計分!AC180="","",計分!AC180^2)</f>
        <v/>
      </c>
      <c r="AD180">
        <f>IF(計分!AD180="","",計分!AD180^2)</f>
        <v/>
      </c>
      <c r="AE180">
        <f>IF(計分!AE180="","",計分!AE180^2)</f>
        <v/>
      </c>
      <c r="AF180">
        <f>IF(計分!AF180="","",計分!AF180^2)</f>
        <v/>
      </c>
      <c r="AG180">
        <f>IF(計分!AG180="","",計分!AG180^2)</f>
        <v/>
      </c>
      <c r="AH180">
        <f>IF(計分!AH180="","",計分!AH180^2)</f>
        <v/>
      </c>
      <c r="AI180">
        <f>IF(計分!AI180="","",計分!AI180^2)</f>
        <v/>
      </c>
      <c r="AJ180">
        <f>IF(計分!AJ180="","",計分!AJ180^2)</f>
        <v/>
      </c>
      <c r="AK180">
        <f>IF(計分!AK180="","",計分!AK180^2)</f>
        <v/>
      </c>
      <c r="AL180">
        <f>IF(計分!AL180="","",計分!AL180^2)</f>
        <v/>
      </c>
      <c r="AM180">
        <f>IF(計分!AM180="","",計分!AM180^2)</f>
        <v/>
      </c>
      <c r="AN180">
        <f>IF(計分!AN180="","",計分!AN180^2)</f>
        <v/>
      </c>
      <c r="AO180">
        <f>IF(計分!AO180="","",計分!AO180^2)</f>
        <v/>
      </c>
    </row>
    <row r="181">
      <c r="B181">
        <f>IF(計分!B181="","",計分!B181^2)</f>
        <v/>
      </c>
      <c r="C181">
        <f>IF(計分!C181="","",計分!C181^2)</f>
        <v/>
      </c>
      <c r="D181">
        <f>IF(計分!D181="","",計分!D181^2)</f>
        <v/>
      </c>
      <c r="E181">
        <f>IF(計分!E181="","",計分!E181^2)</f>
        <v/>
      </c>
      <c r="F181">
        <f>IF(計分!F181="","",計分!F181^2)</f>
        <v/>
      </c>
      <c r="G181">
        <f>IF(計分!G181="","",計分!G181^2)</f>
        <v/>
      </c>
      <c r="H181">
        <f>IF(計分!H181="","",計分!H181^2)</f>
        <v/>
      </c>
      <c r="I181">
        <f>IF(計分!I181="","",計分!I181^2)</f>
        <v/>
      </c>
      <c r="J181">
        <f>IF(計分!J181="","",計分!J181^2)</f>
        <v/>
      </c>
      <c r="K181">
        <f>IF(計分!K181="","",計分!K181^2)</f>
        <v/>
      </c>
      <c r="L181">
        <f>IF(計分!L181="","",計分!L181^2)</f>
        <v/>
      </c>
      <c r="M181">
        <f>IF(計分!M181="","",計分!M181^2)</f>
        <v/>
      </c>
      <c r="N181">
        <f>IF(計分!N181="","",計分!N181^2)</f>
        <v/>
      </c>
      <c r="O181">
        <f>IF(計分!O181="","",計分!O181^2)</f>
        <v/>
      </c>
      <c r="P181">
        <f>IF(計分!P181="","",計分!P181^2)</f>
        <v/>
      </c>
      <c r="Q181">
        <f>IF(計分!Q181="","",計分!Q181^2)</f>
        <v/>
      </c>
      <c r="R181">
        <f>IF(計分!R181="","",計分!R181^2)</f>
        <v/>
      </c>
      <c r="S181">
        <f>IF(計分!S181="","",計分!S181^2)</f>
        <v/>
      </c>
      <c r="T181">
        <f>IF(計分!T181="","",計分!T181^2)</f>
        <v/>
      </c>
      <c r="U181">
        <f>IF(計分!U181="","",計分!U181^2)</f>
        <v/>
      </c>
      <c r="V181">
        <f>IF(計分!V181="","",計分!V181^2)</f>
        <v/>
      </c>
      <c r="W181">
        <f>IF(計分!W181="","",計分!W181^2)</f>
        <v/>
      </c>
      <c r="X181">
        <f>IF(計分!X181="","",計分!X181^2)</f>
        <v/>
      </c>
      <c r="Y181">
        <f>IF(計分!Y181="","",計分!Y181^2)</f>
        <v/>
      </c>
      <c r="Z181">
        <f>IF(計分!Z181="","",計分!Z181^2)</f>
        <v/>
      </c>
      <c r="AA181">
        <f>IF(計分!AA181="","",計分!AA181^2)</f>
        <v/>
      </c>
      <c r="AB181">
        <f>IF(計分!AB181="","",計分!AB181^2)</f>
        <v/>
      </c>
      <c r="AC181">
        <f>IF(計分!AC181="","",計分!AC181^2)</f>
        <v/>
      </c>
      <c r="AD181">
        <f>IF(計分!AD181="","",計分!AD181^2)</f>
        <v/>
      </c>
      <c r="AE181">
        <f>IF(計分!AE181="","",計分!AE181^2)</f>
        <v/>
      </c>
      <c r="AF181">
        <f>IF(計分!AF181="","",計分!AF181^2)</f>
        <v/>
      </c>
      <c r="AG181">
        <f>IF(計分!AG181="","",計分!AG181^2)</f>
        <v/>
      </c>
      <c r="AH181">
        <f>IF(計分!AH181="","",計分!AH181^2)</f>
        <v/>
      </c>
      <c r="AI181">
        <f>IF(計分!AI181="","",計分!AI181^2)</f>
        <v/>
      </c>
      <c r="AJ181">
        <f>IF(計分!AJ181="","",計分!AJ181^2)</f>
        <v/>
      </c>
      <c r="AK181">
        <f>IF(計分!AK181="","",計分!AK181^2)</f>
        <v/>
      </c>
      <c r="AL181">
        <f>IF(計分!AL181="","",計分!AL181^2)</f>
        <v/>
      </c>
      <c r="AM181">
        <f>IF(計分!AM181="","",計分!AM181^2)</f>
        <v/>
      </c>
      <c r="AN181">
        <f>IF(計分!AN181="","",計分!AN181^2)</f>
        <v/>
      </c>
      <c r="AO181">
        <f>IF(計分!AO181="","",計分!AO181^2)</f>
        <v/>
      </c>
    </row>
    <row r="182">
      <c r="B182">
        <f>IF(計分!B182="","",計分!B182^2)</f>
        <v/>
      </c>
      <c r="C182">
        <f>IF(計分!C182="","",計分!C182^2)</f>
        <v/>
      </c>
      <c r="D182">
        <f>IF(計分!D182="","",計分!D182^2)</f>
        <v/>
      </c>
      <c r="E182">
        <f>IF(計分!E182="","",計分!E182^2)</f>
        <v/>
      </c>
      <c r="F182">
        <f>IF(計分!F182="","",計分!F182^2)</f>
        <v/>
      </c>
      <c r="G182">
        <f>IF(計分!G182="","",計分!G182^2)</f>
        <v/>
      </c>
      <c r="H182">
        <f>IF(計分!H182="","",計分!H182^2)</f>
        <v/>
      </c>
      <c r="I182">
        <f>IF(計分!I182="","",計分!I182^2)</f>
        <v/>
      </c>
      <c r="J182">
        <f>IF(計分!J182="","",計分!J182^2)</f>
        <v/>
      </c>
      <c r="K182">
        <f>IF(計分!K182="","",計分!K182^2)</f>
        <v/>
      </c>
      <c r="L182">
        <f>IF(計分!L182="","",計分!L182^2)</f>
        <v/>
      </c>
      <c r="M182">
        <f>IF(計分!M182="","",計分!M182^2)</f>
        <v/>
      </c>
      <c r="N182">
        <f>IF(計分!N182="","",計分!N182^2)</f>
        <v/>
      </c>
      <c r="O182">
        <f>IF(計分!O182="","",計分!O182^2)</f>
        <v/>
      </c>
      <c r="P182">
        <f>IF(計分!P182="","",計分!P182^2)</f>
        <v/>
      </c>
      <c r="Q182">
        <f>IF(計分!Q182="","",計分!Q182^2)</f>
        <v/>
      </c>
      <c r="R182">
        <f>IF(計分!R182="","",計分!R182^2)</f>
        <v/>
      </c>
      <c r="S182">
        <f>IF(計分!S182="","",計分!S182^2)</f>
        <v/>
      </c>
      <c r="T182">
        <f>IF(計分!T182="","",計分!T182^2)</f>
        <v/>
      </c>
      <c r="U182">
        <f>IF(計分!U182="","",計分!U182^2)</f>
        <v/>
      </c>
      <c r="V182">
        <f>IF(計分!V182="","",計分!V182^2)</f>
        <v/>
      </c>
      <c r="W182">
        <f>IF(計分!W182="","",計分!W182^2)</f>
        <v/>
      </c>
      <c r="X182">
        <f>IF(計分!X182="","",計分!X182^2)</f>
        <v/>
      </c>
      <c r="Y182">
        <f>IF(計分!Y182="","",計分!Y182^2)</f>
        <v/>
      </c>
      <c r="Z182">
        <f>IF(計分!Z182="","",計分!Z182^2)</f>
        <v/>
      </c>
      <c r="AA182">
        <f>IF(計分!AA182="","",計分!AA182^2)</f>
        <v/>
      </c>
      <c r="AB182">
        <f>IF(計分!AB182="","",計分!AB182^2)</f>
        <v/>
      </c>
      <c r="AC182">
        <f>IF(計分!AC182="","",計分!AC182^2)</f>
        <v/>
      </c>
      <c r="AD182">
        <f>IF(計分!AD182="","",計分!AD182^2)</f>
        <v/>
      </c>
      <c r="AE182">
        <f>IF(計分!AE182="","",計分!AE182^2)</f>
        <v/>
      </c>
      <c r="AF182">
        <f>IF(計分!AF182="","",計分!AF182^2)</f>
        <v/>
      </c>
      <c r="AG182">
        <f>IF(計分!AG182="","",計分!AG182^2)</f>
        <v/>
      </c>
      <c r="AH182">
        <f>IF(計分!AH182="","",計分!AH182^2)</f>
        <v/>
      </c>
      <c r="AI182">
        <f>IF(計分!AI182="","",計分!AI182^2)</f>
        <v/>
      </c>
      <c r="AJ182">
        <f>IF(計分!AJ182="","",計分!AJ182^2)</f>
        <v/>
      </c>
      <c r="AK182">
        <f>IF(計分!AK182="","",計分!AK182^2)</f>
        <v/>
      </c>
      <c r="AL182">
        <f>IF(計分!AL182="","",計分!AL182^2)</f>
        <v/>
      </c>
      <c r="AM182">
        <f>IF(計分!AM182="","",計分!AM182^2)</f>
        <v/>
      </c>
      <c r="AN182">
        <f>IF(計分!AN182="","",計分!AN182^2)</f>
        <v/>
      </c>
      <c r="AO182">
        <f>IF(計分!AO182="","",計分!AO182^2)</f>
        <v/>
      </c>
    </row>
    <row r="183">
      <c r="B183">
        <f>IF(計分!B183="","",計分!B183^2)</f>
        <v/>
      </c>
      <c r="C183">
        <f>IF(計分!C183="","",計分!C183^2)</f>
        <v/>
      </c>
      <c r="D183">
        <f>IF(計分!D183="","",計分!D183^2)</f>
        <v/>
      </c>
      <c r="E183">
        <f>IF(計分!E183="","",計分!E183^2)</f>
        <v/>
      </c>
      <c r="F183">
        <f>IF(計分!F183="","",計分!F183^2)</f>
        <v/>
      </c>
      <c r="G183">
        <f>IF(計分!G183="","",計分!G183^2)</f>
        <v/>
      </c>
      <c r="H183">
        <f>IF(計分!H183="","",計分!H183^2)</f>
        <v/>
      </c>
      <c r="I183">
        <f>IF(計分!I183="","",計分!I183^2)</f>
        <v/>
      </c>
      <c r="J183">
        <f>IF(計分!J183="","",計分!J183^2)</f>
        <v/>
      </c>
      <c r="K183">
        <f>IF(計分!K183="","",計分!K183^2)</f>
        <v/>
      </c>
      <c r="L183">
        <f>IF(計分!L183="","",計分!L183^2)</f>
        <v/>
      </c>
      <c r="M183">
        <f>IF(計分!M183="","",計分!M183^2)</f>
        <v/>
      </c>
      <c r="N183">
        <f>IF(計分!N183="","",計分!N183^2)</f>
        <v/>
      </c>
      <c r="O183">
        <f>IF(計分!O183="","",計分!O183^2)</f>
        <v/>
      </c>
      <c r="P183">
        <f>IF(計分!P183="","",計分!P183^2)</f>
        <v/>
      </c>
      <c r="Q183">
        <f>IF(計分!Q183="","",計分!Q183^2)</f>
        <v/>
      </c>
      <c r="R183">
        <f>IF(計分!R183="","",計分!R183^2)</f>
        <v/>
      </c>
      <c r="S183">
        <f>IF(計分!S183="","",計分!S183^2)</f>
        <v/>
      </c>
      <c r="T183">
        <f>IF(計分!T183="","",計分!T183^2)</f>
        <v/>
      </c>
      <c r="U183">
        <f>IF(計分!U183="","",計分!U183^2)</f>
        <v/>
      </c>
      <c r="V183">
        <f>IF(計分!V183="","",計分!V183^2)</f>
        <v/>
      </c>
      <c r="W183">
        <f>IF(計分!W183="","",計分!W183^2)</f>
        <v/>
      </c>
      <c r="X183">
        <f>IF(計分!X183="","",計分!X183^2)</f>
        <v/>
      </c>
      <c r="Y183">
        <f>IF(計分!Y183="","",計分!Y183^2)</f>
        <v/>
      </c>
      <c r="Z183">
        <f>IF(計分!Z183="","",計分!Z183^2)</f>
        <v/>
      </c>
      <c r="AA183">
        <f>IF(計分!AA183="","",計分!AA183^2)</f>
        <v/>
      </c>
      <c r="AB183">
        <f>IF(計分!AB183="","",計分!AB183^2)</f>
        <v/>
      </c>
      <c r="AC183">
        <f>IF(計分!AC183="","",計分!AC183^2)</f>
        <v/>
      </c>
      <c r="AD183">
        <f>IF(計分!AD183="","",計分!AD183^2)</f>
        <v/>
      </c>
      <c r="AE183">
        <f>IF(計分!AE183="","",計分!AE183^2)</f>
        <v/>
      </c>
      <c r="AF183">
        <f>IF(計分!AF183="","",計分!AF183^2)</f>
        <v/>
      </c>
      <c r="AG183">
        <f>IF(計分!AG183="","",計分!AG183^2)</f>
        <v/>
      </c>
      <c r="AH183">
        <f>IF(計分!AH183="","",計分!AH183^2)</f>
        <v/>
      </c>
      <c r="AI183">
        <f>IF(計分!AI183="","",計分!AI183^2)</f>
        <v/>
      </c>
      <c r="AJ183">
        <f>IF(計分!AJ183="","",計分!AJ183^2)</f>
        <v/>
      </c>
      <c r="AK183">
        <f>IF(計分!AK183="","",計分!AK183^2)</f>
        <v/>
      </c>
      <c r="AL183">
        <f>IF(計分!AL183="","",計分!AL183^2)</f>
        <v/>
      </c>
      <c r="AM183">
        <f>IF(計分!AM183="","",計分!AM183^2)</f>
        <v/>
      </c>
      <c r="AN183">
        <f>IF(計分!AN183="","",計分!AN183^2)</f>
        <v/>
      </c>
      <c r="AO183">
        <f>IF(計分!AO183="","",計分!AO183^2)</f>
        <v/>
      </c>
    </row>
    <row r="184">
      <c r="B184">
        <f>IF(計分!B184="","",計分!B184^2)</f>
        <v/>
      </c>
      <c r="C184">
        <f>IF(計分!C184="","",計分!C184^2)</f>
        <v/>
      </c>
      <c r="D184">
        <f>IF(計分!D184="","",計分!D184^2)</f>
        <v/>
      </c>
      <c r="E184">
        <f>IF(計分!E184="","",計分!E184^2)</f>
        <v/>
      </c>
      <c r="F184">
        <f>IF(計分!F184="","",計分!F184^2)</f>
        <v/>
      </c>
      <c r="G184">
        <f>IF(計分!G184="","",計分!G184^2)</f>
        <v/>
      </c>
      <c r="H184">
        <f>IF(計分!H184="","",計分!H184^2)</f>
        <v/>
      </c>
      <c r="I184">
        <f>IF(計分!I184="","",計分!I184^2)</f>
        <v/>
      </c>
      <c r="J184">
        <f>IF(計分!J184="","",計分!J184^2)</f>
        <v/>
      </c>
      <c r="K184">
        <f>IF(計分!K184="","",計分!K184^2)</f>
        <v/>
      </c>
      <c r="L184">
        <f>IF(計分!L184="","",計分!L184^2)</f>
        <v/>
      </c>
      <c r="M184">
        <f>IF(計分!M184="","",計分!M184^2)</f>
        <v/>
      </c>
      <c r="N184">
        <f>IF(計分!N184="","",計分!N184^2)</f>
        <v/>
      </c>
      <c r="O184">
        <f>IF(計分!O184="","",計分!O184^2)</f>
        <v/>
      </c>
      <c r="P184">
        <f>IF(計分!P184="","",計分!P184^2)</f>
        <v/>
      </c>
      <c r="Q184">
        <f>IF(計分!Q184="","",計分!Q184^2)</f>
        <v/>
      </c>
      <c r="R184">
        <f>IF(計分!R184="","",計分!R184^2)</f>
        <v/>
      </c>
      <c r="S184">
        <f>IF(計分!S184="","",計分!S184^2)</f>
        <v/>
      </c>
      <c r="T184">
        <f>IF(計分!T184="","",計分!T184^2)</f>
        <v/>
      </c>
      <c r="U184">
        <f>IF(計分!U184="","",計分!U184^2)</f>
        <v/>
      </c>
      <c r="V184">
        <f>IF(計分!V184="","",計分!V184^2)</f>
        <v/>
      </c>
      <c r="W184">
        <f>IF(計分!W184="","",計分!W184^2)</f>
        <v/>
      </c>
      <c r="X184">
        <f>IF(計分!X184="","",計分!X184^2)</f>
        <v/>
      </c>
      <c r="Y184">
        <f>IF(計分!Y184="","",計分!Y184^2)</f>
        <v/>
      </c>
      <c r="Z184">
        <f>IF(計分!Z184="","",計分!Z184^2)</f>
        <v/>
      </c>
      <c r="AA184">
        <f>IF(計分!AA184="","",計分!AA184^2)</f>
        <v/>
      </c>
      <c r="AB184">
        <f>IF(計分!AB184="","",計分!AB184^2)</f>
        <v/>
      </c>
      <c r="AC184">
        <f>IF(計分!AC184="","",計分!AC184^2)</f>
        <v/>
      </c>
      <c r="AD184">
        <f>IF(計分!AD184="","",計分!AD184^2)</f>
        <v/>
      </c>
      <c r="AE184">
        <f>IF(計分!AE184="","",計分!AE184^2)</f>
        <v/>
      </c>
      <c r="AF184">
        <f>IF(計分!AF184="","",計分!AF184^2)</f>
        <v/>
      </c>
      <c r="AG184">
        <f>IF(計分!AG184="","",計分!AG184^2)</f>
        <v/>
      </c>
      <c r="AH184">
        <f>IF(計分!AH184="","",計分!AH184^2)</f>
        <v/>
      </c>
      <c r="AI184">
        <f>IF(計分!AI184="","",計分!AI184^2)</f>
        <v/>
      </c>
      <c r="AJ184">
        <f>IF(計分!AJ184="","",計分!AJ184^2)</f>
        <v/>
      </c>
      <c r="AK184">
        <f>IF(計分!AK184="","",計分!AK184^2)</f>
        <v/>
      </c>
      <c r="AL184">
        <f>IF(計分!AL184="","",計分!AL184^2)</f>
        <v/>
      </c>
      <c r="AM184">
        <f>IF(計分!AM184="","",計分!AM184^2)</f>
        <v/>
      </c>
      <c r="AN184">
        <f>IF(計分!AN184="","",計分!AN184^2)</f>
        <v/>
      </c>
      <c r="AO184">
        <f>IF(計分!AO184="","",計分!AO184^2)</f>
        <v/>
      </c>
    </row>
    <row r="185">
      <c r="B185">
        <f>IF(計分!B185="","",計分!B185^2)</f>
        <v/>
      </c>
      <c r="C185">
        <f>IF(計分!C185="","",計分!C185^2)</f>
        <v/>
      </c>
      <c r="D185">
        <f>IF(計分!D185="","",計分!D185^2)</f>
        <v/>
      </c>
      <c r="E185">
        <f>IF(計分!E185="","",計分!E185^2)</f>
        <v/>
      </c>
      <c r="F185">
        <f>IF(計分!F185="","",計分!F185^2)</f>
        <v/>
      </c>
      <c r="G185">
        <f>IF(計分!G185="","",計分!G185^2)</f>
        <v/>
      </c>
      <c r="H185">
        <f>IF(計分!H185="","",計分!H185^2)</f>
        <v/>
      </c>
      <c r="I185">
        <f>IF(計分!I185="","",計分!I185^2)</f>
        <v/>
      </c>
      <c r="J185">
        <f>IF(計分!J185="","",計分!J185^2)</f>
        <v/>
      </c>
      <c r="K185">
        <f>IF(計分!K185="","",計分!K185^2)</f>
        <v/>
      </c>
      <c r="L185">
        <f>IF(計分!L185="","",計分!L185^2)</f>
        <v/>
      </c>
      <c r="M185">
        <f>IF(計分!M185="","",計分!M185^2)</f>
        <v/>
      </c>
      <c r="N185">
        <f>IF(計分!N185="","",計分!N185^2)</f>
        <v/>
      </c>
      <c r="O185">
        <f>IF(計分!O185="","",計分!O185^2)</f>
        <v/>
      </c>
      <c r="P185">
        <f>IF(計分!P185="","",計分!P185^2)</f>
        <v/>
      </c>
      <c r="Q185">
        <f>IF(計分!Q185="","",計分!Q185^2)</f>
        <v/>
      </c>
      <c r="R185">
        <f>IF(計分!R185="","",計分!R185^2)</f>
        <v/>
      </c>
      <c r="S185">
        <f>IF(計分!S185="","",計分!S185^2)</f>
        <v/>
      </c>
      <c r="T185">
        <f>IF(計分!T185="","",計分!T185^2)</f>
        <v/>
      </c>
      <c r="U185">
        <f>IF(計分!U185="","",計分!U185^2)</f>
        <v/>
      </c>
      <c r="V185">
        <f>IF(計分!V185="","",計分!V185^2)</f>
        <v/>
      </c>
      <c r="W185">
        <f>IF(計分!W185="","",計分!W185^2)</f>
        <v/>
      </c>
      <c r="X185">
        <f>IF(計分!X185="","",計分!X185^2)</f>
        <v/>
      </c>
      <c r="Y185">
        <f>IF(計分!Y185="","",計分!Y185^2)</f>
        <v/>
      </c>
      <c r="Z185">
        <f>IF(計分!Z185="","",計分!Z185^2)</f>
        <v/>
      </c>
      <c r="AA185">
        <f>IF(計分!AA185="","",計分!AA185^2)</f>
        <v/>
      </c>
      <c r="AB185">
        <f>IF(計分!AB185="","",計分!AB185^2)</f>
        <v/>
      </c>
      <c r="AC185">
        <f>IF(計分!AC185="","",計分!AC185^2)</f>
        <v/>
      </c>
      <c r="AD185">
        <f>IF(計分!AD185="","",計分!AD185^2)</f>
        <v/>
      </c>
      <c r="AE185">
        <f>IF(計分!AE185="","",計分!AE185^2)</f>
        <v/>
      </c>
      <c r="AF185">
        <f>IF(計分!AF185="","",計分!AF185^2)</f>
        <v/>
      </c>
      <c r="AG185">
        <f>IF(計分!AG185="","",計分!AG185^2)</f>
        <v/>
      </c>
      <c r="AH185">
        <f>IF(計分!AH185="","",計分!AH185^2)</f>
        <v/>
      </c>
      <c r="AI185">
        <f>IF(計分!AI185="","",計分!AI185^2)</f>
        <v/>
      </c>
      <c r="AJ185">
        <f>IF(計分!AJ185="","",計分!AJ185^2)</f>
        <v/>
      </c>
      <c r="AK185">
        <f>IF(計分!AK185="","",計分!AK185^2)</f>
        <v/>
      </c>
      <c r="AL185">
        <f>IF(計分!AL185="","",計分!AL185^2)</f>
        <v/>
      </c>
      <c r="AM185">
        <f>IF(計分!AM185="","",計分!AM185^2)</f>
        <v/>
      </c>
      <c r="AN185">
        <f>IF(計分!AN185="","",計分!AN185^2)</f>
        <v/>
      </c>
      <c r="AO185">
        <f>IF(計分!AO185="","",計分!AO185^2)</f>
        <v/>
      </c>
    </row>
    <row r="186">
      <c r="B186">
        <f>IF(計分!B186="","",計分!B186^2)</f>
        <v/>
      </c>
      <c r="C186">
        <f>IF(計分!C186="","",計分!C186^2)</f>
        <v/>
      </c>
      <c r="D186">
        <f>IF(計分!D186="","",計分!D186^2)</f>
        <v/>
      </c>
      <c r="E186">
        <f>IF(計分!E186="","",計分!E186^2)</f>
        <v/>
      </c>
      <c r="F186">
        <f>IF(計分!F186="","",計分!F186^2)</f>
        <v/>
      </c>
      <c r="G186">
        <f>IF(計分!G186="","",計分!G186^2)</f>
        <v/>
      </c>
      <c r="H186">
        <f>IF(計分!H186="","",計分!H186^2)</f>
        <v/>
      </c>
      <c r="I186">
        <f>IF(計分!I186="","",計分!I186^2)</f>
        <v/>
      </c>
      <c r="J186">
        <f>IF(計分!J186="","",計分!J186^2)</f>
        <v/>
      </c>
      <c r="K186">
        <f>IF(計分!K186="","",計分!K186^2)</f>
        <v/>
      </c>
      <c r="L186">
        <f>IF(計分!L186="","",計分!L186^2)</f>
        <v/>
      </c>
      <c r="M186">
        <f>IF(計分!M186="","",計分!M186^2)</f>
        <v/>
      </c>
      <c r="N186">
        <f>IF(計分!N186="","",計分!N186^2)</f>
        <v/>
      </c>
      <c r="O186">
        <f>IF(計分!O186="","",計分!O186^2)</f>
        <v/>
      </c>
      <c r="P186">
        <f>IF(計分!P186="","",計分!P186^2)</f>
        <v/>
      </c>
      <c r="Q186">
        <f>IF(計分!Q186="","",計分!Q186^2)</f>
        <v/>
      </c>
      <c r="R186">
        <f>IF(計分!R186="","",計分!R186^2)</f>
        <v/>
      </c>
      <c r="S186">
        <f>IF(計分!S186="","",計分!S186^2)</f>
        <v/>
      </c>
      <c r="T186">
        <f>IF(計分!T186="","",計分!T186^2)</f>
        <v/>
      </c>
      <c r="U186">
        <f>IF(計分!U186="","",計分!U186^2)</f>
        <v/>
      </c>
      <c r="V186">
        <f>IF(計分!V186="","",計分!V186^2)</f>
        <v/>
      </c>
      <c r="W186">
        <f>IF(計分!W186="","",計分!W186^2)</f>
        <v/>
      </c>
      <c r="X186">
        <f>IF(計分!X186="","",計分!X186^2)</f>
        <v/>
      </c>
      <c r="Y186">
        <f>IF(計分!Y186="","",計分!Y186^2)</f>
        <v/>
      </c>
      <c r="Z186">
        <f>IF(計分!Z186="","",計分!Z186^2)</f>
        <v/>
      </c>
      <c r="AA186">
        <f>IF(計分!AA186="","",計分!AA186^2)</f>
        <v/>
      </c>
      <c r="AB186">
        <f>IF(計分!AB186="","",計分!AB186^2)</f>
        <v/>
      </c>
      <c r="AC186">
        <f>IF(計分!AC186="","",計分!AC186^2)</f>
        <v/>
      </c>
      <c r="AD186">
        <f>IF(計分!AD186="","",計分!AD186^2)</f>
        <v/>
      </c>
      <c r="AE186">
        <f>IF(計分!AE186="","",計分!AE186^2)</f>
        <v/>
      </c>
      <c r="AF186">
        <f>IF(計分!AF186="","",計分!AF186^2)</f>
        <v/>
      </c>
      <c r="AG186">
        <f>IF(計分!AG186="","",計分!AG186^2)</f>
        <v/>
      </c>
      <c r="AH186">
        <f>IF(計分!AH186="","",計分!AH186^2)</f>
        <v/>
      </c>
      <c r="AI186">
        <f>IF(計分!AI186="","",計分!AI186^2)</f>
        <v/>
      </c>
      <c r="AJ186">
        <f>IF(計分!AJ186="","",計分!AJ186^2)</f>
        <v/>
      </c>
      <c r="AK186">
        <f>IF(計分!AK186="","",計分!AK186^2)</f>
        <v/>
      </c>
      <c r="AL186">
        <f>IF(計分!AL186="","",計分!AL186^2)</f>
        <v/>
      </c>
      <c r="AM186">
        <f>IF(計分!AM186="","",計分!AM186^2)</f>
        <v/>
      </c>
      <c r="AN186">
        <f>IF(計分!AN186="","",計分!AN186^2)</f>
        <v/>
      </c>
      <c r="AO186">
        <f>IF(計分!AO186="","",計分!AO186^2)</f>
        <v/>
      </c>
    </row>
    <row r="187">
      <c r="B187">
        <f>IF(計分!B187="","",計分!B187^2)</f>
        <v/>
      </c>
      <c r="C187">
        <f>IF(計分!C187="","",計分!C187^2)</f>
        <v/>
      </c>
      <c r="D187">
        <f>IF(計分!D187="","",計分!D187^2)</f>
        <v/>
      </c>
      <c r="E187">
        <f>IF(計分!E187="","",計分!E187^2)</f>
        <v/>
      </c>
      <c r="F187">
        <f>IF(計分!F187="","",計分!F187^2)</f>
        <v/>
      </c>
      <c r="G187">
        <f>IF(計分!G187="","",計分!G187^2)</f>
        <v/>
      </c>
      <c r="H187">
        <f>IF(計分!H187="","",計分!H187^2)</f>
        <v/>
      </c>
      <c r="I187">
        <f>IF(計分!I187="","",計分!I187^2)</f>
        <v/>
      </c>
      <c r="J187">
        <f>IF(計分!J187="","",計分!J187^2)</f>
        <v/>
      </c>
      <c r="K187">
        <f>IF(計分!K187="","",計分!K187^2)</f>
        <v/>
      </c>
      <c r="L187">
        <f>IF(計分!L187="","",計分!L187^2)</f>
        <v/>
      </c>
      <c r="M187">
        <f>IF(計分!M187="","",計分!M187^2)</f>
        <v/>
      </c>
      <c r="N187">
        <f>IF(計分!N187="","",計分!N187^2)</f>
        <v/>
      </c>
      <c r="O187">
        <f>IF(計分!O187="","",計分!O187^2)</f>
        <v/>
      </c>
      <c r="P187">
        <f>IF(計分!P187="","",計分!P187^2)</f>
        <v/>
      </c>
      <c r="Q187">
        <f>IF(計分!Q187="","",計分!Q187^2)</f>
        <v/>
      </c>
      <c r="R187">
        <f>IF(計分!R187="","",計分!R187^2)</f>
        <v/>
      </c>
      <c r="S187">
        <f>IF(計分!S187="","",計分!S187^2)</f>
        <v/>
      </c>
      <c r="T187">
        <f>IF(計分!T187="","",計分!T187^2)</f>
        <v/>
      </c>
      <c r="U187">
        <f>IF(計分!U187="","",計分!U187^2)</f>
        <v/>
      </c>
      <c r="V187">
        <f>IF(計分!V187="","",計分!V187^2)</f>
        <v/>
      </c>
      <c r="W187">
        <f>IF(計分!W187="","",計分!W187^2)</f>
        <v/>
      </c>
      <c r="X187">
        <f>IF(計分!X187="","",計分!X187^2)</f>
        <v/>
      </c>
      <c r="Y187">
        <f>IF(計分!Y187="","",計分!Y187^2)</f>
        <v/>
      </c>
      <c r="Z187">
        <f>IF(計分!Z187="","",計分!Z187^2)</f>
        <v/>
      </c>
      <c r="AA187">
        <f>IF(計分!AA187="","",計分!AA187^2)</f>
        <v/>
      </c>
      <c r="AB187">
        <f>IF(計分!AB187="","",計分!AB187^2)</f>
        <v/>
      </c>
      <c r="AC187">
        <f>IF(計分!AC187="","",計分!AC187^2)</f>
        <v/>
      </c>
      <c r="AD187">
        <f>IF(計分!AD187="","",計分!AD187^2)</f>
        <v/>
      </c>
      <c r="AE187">
        <f>IF(計分!AE187="","",計分!AE187^2)</f>
        <v/>
      </c>
      <c r="AF187">
        <f>IF(計分!AF187="","",計分!AF187^2)</f>
        <v/>
      </c>
      <c r="AG187">
        <f>IF(計分!AG187="","",計分!AG187^2)</f>
        <v/>
      </c>
      <c r="AH187">
        <f>IF(計分!AH187="","",計分!AH187^2)</f>
        <v/>
      </c>
      <c r="AI187">
        <f>IF(計分!AI187="","",計分!AI187^2)</f>
        <v/>
      </c>
      <c r="AJ187">
        <f>IF(計分!AJ187="","",計分!AJ187^2)</f>
        <v/>
      </c>
      <c r="AK187">
        <f>IF(計分!AK187="","",計分!AK187^2)</f>
        <v/>
      </c>
      <c r="AL187">
        <f>IF(計分!AL187="","",計分!AL187^2)</f>
        <v/>
      </c>
      <c r="AM187">
        <f>IF(計分!AM187="","",計分!AM187^2)</f>
        <v/>
      </c>
      <c r="AN187">
        <f>IF(計分!AN187="","",計分!AN187^2)</f>
        <v/>
      </c>
      <c r="AO187">
        <f>IF(計分!AO187="","",計分!AO187^2)</f>
        <v/>
      </c>
    </row>
    <row r="188">
      <c r="B188">
        <f>IF(計分!B188="","",計分!B188^2)</f>
        <v/>
      </c>
      <c r="C188">
        <f>IF(計分!C188="","",計分!C188^2)</f>
        <v/>
      </c>
      <c r="D188">
        <f>IF(計分!D188="","",計分!D188^2)</f>
        <v/>
      </c>
      <c r="E188">
        <f>IF(計分!E188="","",計分!E188^2)</f>
        <v/>
      </c>
      <c r="F188">
        <f>IF(計分!F188="","",計分!F188^2)</f>
        <v/>
      </c>
      <c r="G188">
        <f>IF(計分!G188="","",計分!G188^2)</f>
        <v/>
      </c>
      <c r="H188">
        <f>IF(計分!H188="","",計分!H188^2)</f>
        <v/>
      </c>
      <c r="I188">
        <f>IF(計分!I188="","",計分!I188^2)</f>
        <v/>
      </c>
      <c r="J188">
        <f>IF(計分!J188="","",計分!J188^2)</f>
        <v/>
      </c>
      <c r="K188">
        <f>IF(計分!K188="","",計分!K188^2)</f>
        <v/>
      </c>
      <c r="L188">
        <f>IF(計分!L188="","",計分!L188^2)</f>
        <v/>
      </c>
      <c r="M188">
        <f>IF(計分!M188="","",計分!M188^2)</f>
        <v/>
      </c>
      <c r="N188">
        <f>IF(計分!N188="","",計分!N188^2)</f>
        <v/>
      </c>
      <c r="O188">
        <f>IF(計分!O188="","",計分!O188^2)</f>
        <v/>
      </c>
      <c r="P188">
        <f>IF(計分!P188="","",計分!P188^2)</f>
        <v/>
      </c>
      <c r="Q188">
        <f>IF(計分!Q188="","",計分!Q188^2)</f>
        <v/>
      </c>
      <c r="R188">
        <f>IF(計分!R188="","",計分!R188^2)</f>
        <v/>
      </c>
      <c r="S188">
        <f>IF(計分!S188="","",計分!S188^2)</f>
        <v/>
      </c>
      <c r="T188">
        <f>IF(計分!T188="","",計分!T188^2)</f>
        <v/>
      </c>
      <c r="U188">
        <f>IF(計分!U188="","",計分!U188^2)</f>
        <v/>
      </c>
      <c r="V188">
        <f>IF(計分!V188="","",計分!V188^2)</f>
        <v/>
      </c>
      <c r="W188">
        <f>IF(計分!W188="","",計分!W188^2)</f>
        <v/>
      </c>
      <c r="X188">
        <f>IF(計分!X188="","",計分!X188^2)</f>
        <v/>
      </c>
      <c r="Y188">
        <f>IF(計分!Y188="","",計分!Y188^2)</f>
        <v/>
      </c>
      <c r="Z188">
        <f>IF(計分!Z188="","",計分!Z188^2)</f>
        <v/>
      </c>
      <c r="AA188">
        <f>IF(計分!AA188="","",計分!AA188^2)</f>
        <v/>
      </c>
      <c r="AB188">
        <f>IF(計分!AB188="","",計分!AB188^2)</f>
        <v/>
      </c>
      <c r="AC188">
        <f>IF(計分!AC188="","",計分!AC188^2)</f>
        <v/>
      </c>
      <c r="AD188">
        <f>IF(計分!AD188="","",計分!AD188^2)</f>
        <v/>
      </c>
      <c r="AE188">
        <f>IF(計分!AE188="","",計分!AE188^2)</f>
        <v/>
      </c>
      <c r="AF188">
        <f>IF(計分!AF188="","",計分!AF188^2)</f>
        <v/>
      </c>
      <c r="AG188">
        <f>IF(計分!AG188="","",計分!AG188^2)</f>
        <v/>
      </c>
      <c r="AH188">
        <f>IF(計分!AH188="","",計分!AH188^2)</f>
        <v/>
      </c>
      <c r="AI188">
        <f>IF(計分!AI188="","",計分!AI188^2)</f>
        <v/>
      </c>
      <c r="AJ188">
        <f>IF(計分!AJ188="","",計分!AJ188^2)</f>
        <v/>
      </c>
      <c r="AK188">
        <f>IF(計分!AK188="","",計分!AK188^2)</f>
        <v/>
      </c>
      <c r="AL188">
        <f>IF(計分!AL188="","",計分!AL188^2)</f>
        <v/>
      </c>
      <c r="AM188">
        <f>IF(計分!AM188="","",計分!AM188^2)</f>
        <v/>
      </c>
      <c r="AN188">
        <f>IF(計分!AN188="","",計分!AN188^2)</f>
        <v/>
      </c>
      <c r="AO188">
        <f>IF(計分!AO188="","",計分!AO188^2)</f>
        <v/>
      </c>
    </row>
    <row r="189">
      <c r="B189">
        <f>IF(計分!B189="","",計分!B189^2)</f>
        <v/>
      </c>
      <c r="C189">
        <f>IF(計分!C189="","",計分!C189^2)</f>
        <v/>
      </c>
      <c r="D189">
        <f>IF(計分!D189="","",計分!D189^2)</f>
        <v/>
      </c>
      <c r="E189">
        <f>IF(計分!E189="","",計分!E189^2)</f>
        <v/>
      </c>
      <c r="F189">
        <f>IF(計分!F189="","",計分!F189^2)</f>
        <v/>
      </c>
      <c r="G189">
        <f>IF(計分!G189="","",計分!G189^2)</f>
        <v/>
      </c>
      <c r="H189">
        <f>IF(計分!H189="","",計分!H189^2)</f>
        <v/>
      </c>
      <c r="I189">
        <f>IF(計分!I189="","",計分!I189^2)</f>
        <v/>
      </c>
      <c r="J189">
        <f>IF(計分!J189="","",計分!J189^2)</f>
        <v/>
      </c>
      <c r="K189">
        <f>IF(計分!K189="","",計分!K189^2)</f>
        <v/>
      </c>
      <c r="L189">
        <f>IF(計分!L189="","",計分!L189^2)</f>
        <v/>
      </c>
      <c r="M189">
        <f>IF(計分!M189="","",計分!M189^2)</f>
        <v/>
      </c>
      <c r="N189">
        <f>IF(計分!N189="","",計分!N189^2)</f>
        <v/>
      </c>
      <c r="O189">
        <f>IF(計分!O189="","",計分!O189^2)</f>
        <v/>
      </c>
      <c r="P189">
        <f>IF(計分!P189="","",計分!P189^2)</f>
        <v/>
      </c>
      <c r="Q189">
        <f>IF(計分!Q189="","",計分!Q189^2)</f>
        <v/>
      </c>
      <c r="R189">
        <f>IF(計分!R189="","",計分!R189^2)</f>
        <v/>
      </c>
      <c r="S189">
        <f>IF(計分!S189="","",計分!S189^2)</f>
        <v/>
      </c>
      <c r="T189">
        <f>IF(計分!T189="","",計分!T189^2)</f>
        <v/>
      </c>
      <c r="U189">
        <f>IF(計分!U189="","",計分!U189^2)</f>
        <v/>
      </c>
      <c r="V189">
        <f>IF(計分!V189="","",計分!V189^2)</f>
        <v/>
      </c>
      <c r="W189">
        <f>IF(計分!W189="","",計分!W189^2)</f>
        <v/>
      </c>
      <c r="X189">
        <f>IF(計分!X189="","",計分!X189^2)</f>
        <v/>
      </c>
      <c r="Y189">
        <f>IF(計分!Y189="","",計分!Y189^2)</f>
        <v/>
      </c>
      <c r="Z189">
        <f>IF(計分!Z189="","",計分!Z189^2)</f>
        <v/>
      </c>
      <c r="AA189">
        <f>IF(計分!AA189="","",計分!AA189^2)</f>
        <v/>
      </c>
      <c r="AB189">
        <f>IF(計分!AB189="","",計分!AB189^2)</f>
        <v/>
      </c>
      <c r="AC189">
        <f>IF(計分!AC189="","",計分!AC189^2)</f>
        <v/>
      </c>
      <c r="AD189">
        <f>IF(計分!AD189="","",計分!AD189^2)</f>
        <v/>
      </c>
      <c r="AE189">
        <f>IF(計分!AE189="","",計分!AE189^2)</f>
        <v/>
      </c>
      <c r="AF189">
        <f>IF(計分!AF189="","",計分!AF189^2)</f>
        <v/>
      </c>
      <c r="AG189">
        <f>IF(計分!AG189="","",計分!AG189^2)</f>
        <v/>
      </c>
      <c r="AH189">
        <f>IF(計分!AH189="","",計分!AH189^2)</f>
        <v/>
      </c>
      <c r="AI189">
        <f>IF(計分!AI189="","",計分!AI189^2)</f>
        <v/>
      </c>
      <c r="AJ189">
        <f>IF(計分!AJ189="","",計分!AJ189^2)</f>
        <v/>
      </c>
      <c r="AK189">
        <f>IF(計分!AK189="","",計分!AK189^2)</f>
        <v/>
      </c>
      <c r="AL189">
        <f>IF(計分!AL189="","",計分!AL189^2)</f>
        <v/>
      </c>
      <c r="AM189">
        <f>IF(計分!AM189="","",計分!AM189^2)</f>
        <v/>
      </c>
      <c r="AN189">
        <f>IF(計分!AN189="","",計分!AN189^2)</f>
        <v/>
      </c>
      <c r="AO189">
        <f>IF(計分!AO189="","",計分!AO189^2)</f>
        <v/>
      </c>
    </row>
    <row r="190">
      <c r="B190">
        <f>IF(計分!B190="","",計分!B190^2)</f>
        <v/>
      </c>
      <c r="C190">
        <f>IF(計分!C190="","",計分!C190^2)</f>
        <v/>
      </c>
      <c r="D190">
        <f>IF(計分!D190="","",計分!D190^2)</f>
        <v/>
      </c>
      <c r="E190">
        <f>IF(計分!E190="","",計分!E190^2)</f>
        <v/>
      </c>
      <c r="F190">
        <f>IF(計分!F190="","",計分!F190^2)</f>
        <v/>
      </c>
      <c r="G190">
        <f>IF(計分!G190="","",計分!G190^2)</f>
        <v/>
      </c>
      <c r="H190">
        <f>IF(計分!H190="","",計分!H190^2)</f>
        <v/>
      </c>
      <c r="I190">
        <f>IF(計分!I190="","",計分!I190^2)</f>
        <v/>
      </c>
      <c r="J190">
        <f>IF(計分!J190="","",計分!J190^2)</f>
        <v/>
      </c>
      <c r="K190">
        <f>IF(計分!K190="","",計分!K190^2)</f>
        <v/>
      </c>
      <c r="L190">
        <f>IF(計分!L190="","",計分!L190^2)</f>
        <v/>
      </c>
      <c r="M190">
        <f>IF(計分!M190="","",計分!M190^2)</f>
        <v/>
      </c>
      <c r="N190">
        <f>IF(計分!N190="","",計分!N190^2)</f>
        <v/>
      </c>
      <c r="O190">
        <f>IF(計分!O190="","",計分!O190^2)</f>
        <v/>
      </c>
      <c r="P190">
        <f>IF(計分!P190="","",計分!P190^2)</f>
        <v/>
      </c>
      <c r="Q190">
        <f>IF(計分!Q190="","",計分!Q190^2)</f>
        <v/>
      </c>
      <c r="R190">
        <f>IF(計分!R190="","",計分!R190^2)</f>
        <v/>
      </c>
      <c r="S190">
        <f>IF(計分!S190="","",計分!S190^2)</f>
        <v/>
      </c>
      <c r="T190">
        <f>IF(計分!T190="","",計分!T190^2)</f>
        <v/>
      </c>
      <c r="U190">
        <f>IF(計分!U190="","",計分!U190^2)</f>
        <v/>
      </c>
      <c r="V190">
        <f>IF(計分!V190="","",計分!V190^2)</f>
        <v/>
      </c>
      <c r="W190">
        <f>IF(計分!W190="","",計分!W190^2)</f>
        <v/>
      </c>
      <c r="X190">
        <f>IF(計分!X190="","",計分!X190^2)</f>
        <v/>
      </c>
      <c r="Y190">
        <f>IF(計分!Y190="","",計分!Y190^2)</f>
        <v/>
      </c>
      <c r="Z190">
        <f>IF(計分!Z190="","",計分!Z190^2)</f>
        <v/>
      </c>
      <c r="AA190">
        <f>IF(計分!AA190="","",計分!AA190^2)</f>
        <v/>
      </c>
      <c r="AB190">
        <f>IF(計分!AB190="","",計分!AB190^2)</f>
        <v/>
      </c>
      <c r="AC190">
        <f>IF(計分!AC190="","",計分!AC190^2)</f>
        <v/>
      </c>
      <c r="AD190">
        <f>IF(計分!AD190="","",計分!AD190^2)</f>
        <v/>
      </c>
      <c r="AE190">
        <f>IF(計分!AE190="","",計分!AE190^2)</f>
        <v/>
      </c>
      <c r="AF190">
        <f>IF(計分!AF190="","",計分!AF190^2)</f>
        <v/>
      </c>
      <c r="AG190">
        <f>IF(計分!AG190="","",計分!AG190^2)</f>
        <v/>
      </c>
      <c r="AH190">
        <f>IF(計分!AH190="","",計分!AH190^2)</f>
        <v/>
      </c>
      <c r="AI190">
        <f>IF(計分!AI190="","",計分!AI190^2)</f>
        <v/>
      </c>
      <c r="AJ190">
        <f>IF(計分!AJ190="","",計分!AJ190^2)</f>
        <v/>
      </c>
      <c r="AK190">
        <f>IF(計分!AK190="","",計分!AK190^2)</f>
        <v/>
      </c>
      <c r="AL190">
        <f>IF(計分!AL190="","",計分!AL190^2)</f>
        <v/>
      </c>
      <c r="AM190">
        <f>IF(計分!AM190="","",計分!AM190^2)</f>
        <v/>
      </c>
      <c r="AN190">
        <f>IF(計分!AN190="","",計分!AN190^2)</f>
        <v/>
      </c>
      <c r="AO190">
        <f>IF(計分!AO190="","",計分!AO190^2)</f>
        <v/>
      </c>
    </row>
    <row r="191">
      <c r="B191">
        <f>IF(計分!B191="","",計分!B191^2)</f>
        <v/>
      </c>
      <c r="C191">
        <f>IF(計分!C191="","",計分!C191^2)</f>
        <v/>
      </c>
      <c r="D191">
        <f>IF(計分!D191="","",計分!D191^2)</f>
        <v/>
      </c>
      <c r="E191">
        <f>IF(計分!E191="","",計分!E191^2)</f>
        <v/>
      </c>
      <c r="F191">
        <f>IF(計分!F191="","",計分!F191^2)</f>
        <v/>
      </c>
      <c r="G191">
        <f>IF(計分!G191="","",計分!G191^2)</f>
        <v/>
      </c>
      <c r="H191">
        <f>IF(計分!H191="","",計分!H191^2)</f>
        <v/>
      </c>
      <c r="I191">
        <f>IF(計分!I191="","",計分!I191^2)</f>
        <v/>
      </c>
      <c r="J191">
        <f>IF(計分!J191="","",計分!J191^2)</f>
        <v/>
      </c>
      <c r="K191">
        <f>IF(計分!K191="","",計分!K191^2)</f>
        <v/>
      </c>
      <c r="L191">
        <f>IF(計分!L191="","",計分!L191^2)</f>
        <v/>
      </c>
      <c r="M191">
        <f>IF(計分!M191="","",計分!M191^2)</f>
        <v/>
      </c>
      <c r="N191">
        <f>IF(計分!N191="","",計分!N191^2)</f>
        <v/>
      </c>
      <c r="O191">
        <f>IF(計分!O191="","",計分!O191^2)</f>
        <v/>
      </c>
      <c r="P191">
        <f>IF(計分!P191="","",計分!P191^2)</f>
        <v/>
      </c>
      <c r="Q191">
        <f>IF(計分!Q191="","",計分!Q191^2)</f>
        <v/>
      </c>
      <c r="R191">
        <f>IF(計分!R191="","",計分!R191^2)</f>
        <v/>
      </c>
      <c r="S191">
        <f>IF(計分!S191="","",計分!S191^2)</f>
        <v/>
      </c>
      <c r="T191">
        <f>IF(計分!T191="","",計分!T191^2)</f>
        <v/>
      </c>
      <c r="U191">
        <f>IF(計分!U191="","",計分!U191^2)</f>
        <v/>
      </c>
      <c r="V191">
        <f>IF(計分!V191="","",計分!V191^2)</f>
        <v/>
      </c>
      <c r="W191">
        <f>IF(計分!W191="","",計分!W191^2)</f>
        <v/>
      </c>
      <c r="X191">
        <f>IF(計分!X191="","",計分!X191^2)</f>
        <v/>
      </c>
      <c r="Y191">
        <f>IF(計分!Y191="","",計分!Y191^2)</f>
        <v/>
      </c>
      <c r="Z191">
        <f>IF(計分!Z191="","",計分!Z191^2)</f>
        <v/>
      </c>
      <c r="AA191">
        <f>IF(計分!AA191="","",計分!AA191^2)</f>
        <v/>
      </c>
      <c r="AB191">
        <f>IF(計分!AB191="","",計分!AB191^2)</f>
        <v/>
      </c>
      <c r="AC191">
        <f>IF(計分!AC191="","",計分!AC191^2)</f>
        <v/>
      </c>
      <c r="AD191">
        <f>IF(計分!AD191="","",計分!AD191^2)</f>
        <v/>
      </c>
      <c r="AE191">
        <f>IF(計分!AE191="","",計分!AE191^2)</f>
        <v/>
      </c>
      <c r="AF191">
        <f>IF(計分!AF191="","",計分!AF191^2)</f>
        <v/>
      </c>
      <c r="AG191">
        <f>IF(計分!AG191="","",計分!AG191^2)</f>
        <v/>
      </c>
      <c r="AH191">
        <f>IF(計分!AH191="","",計分!AH191^2)</f>
        <v/>
      </c>
      <c r="AI191">
        <f>IF(計分!AI191="","",計分!AI191^2)</f>
        <v/>
      </c>
      <c r="AJ191">
        <f>IF(計分!AJ191="","",計分!AJ191^2)</f>
        <v/>
      </c>
      <c r="AK191">
        <f>IF(計分!AK191="","",計分!AK191^2)</f>
        <v/>
      </c>
      <c r="AL191">
        <f>IF(計分!AL191="","",計分!AL191^2)</f>
        <v/>
      </c>
      <c r="AM191">
        <f>IF(計分!AM191="","",計分!AM191^2)</f>
        <v/>
      </c>
      <c r="AN191">
        <f>IF(計分!AN191="","",計分!AN191^2)</f>
        <v/>
      </c>
      <c r="AO191">
        <f>IF(計分!AO191="","",計分!AO191^2)</f>
        <v/>
      </c>
    </row>
    <row r="192">
      <c r="B192">
        <f>IF(計分!B192="","",計分!B192^2)</f>
        <v/>
      </c>
      <c r="C192">
        <f>IF(計分!C192="","",計分!C192^2)</f>
        <v/>
      </c>
      <c r="D192">
        <f>IF(計分!D192="","",計分!D192^2)</f>
        <v/>
      </c>
      <c r="E192">
        <f>IF(計分!E192="","",計分!E192^2)</f>
        <v/>
      </c>
      <c r="F192">
        <f>IF(計分!F192="","",計分!F192^2)</f>
        <v/>
      </c>
      <c r="G192">
        <f>IF(計分!G192="","",計分!G192^2)</f>
        <v/>
      </c>
      <c r="H192">
        <f>IF(計分!H192="","",計分!H192^2)</f>
        <v/>
      </c>
      <c r="I192">
        <f>IF(計分!I192="","",計分!I192^2)</f>
        <v/>
      </c>
      <c r="J192">
        <f>IF(計分!J192="","",計分!J192^2)</f>
        <v/>
      </c>
      <c r="K192">
        <f>IF(計分!K192="","",計分!K192^2)</f>
        <v/>
      </c>
      <c r="L192">
        <f>IF(計分!L192="","",計分!L192^2)</f>
        <v/>
      </c>
      <c r="M192">
        <f>IF(計分!M192="","",計分!M192^2)</f>
        <v/>
      </c>
      <c r="N192">
        <f>IF(計分!N192="","",計分!N192^2)</f>
        <v/>
      </c>
      <c r="O192">
        <f>IF(計分!O192="","",計分!O192^2)</f>
        <v/>
      </c>
      <c r="P192">
        <f>IF(計分!P192="","",計分!P192^2)</f>
        <v/>
      </c>
      <c r="Q192">
        <f>IF(計分!Q192="","",計分!Q192^2)</f>
        <v/>
      </c>
      <c r="R192">
        <f>IF(計分!R192="","",計分!R192^2)</f>
        <v/>
      </c>
      <c r="S192">
        <f>IF(計分!S192="","",計分!S192^2)</f>
        <v/>
      </c>
      <c r="T192">
        <f>IF(計分!T192="","",計分!T192^2)</f>
        <v/>
      </c>
      <c r="U192">
        <f>IF(計分!U192="","",計分!U192^2)</f>
        <v/>
      </c>
      <c r="V192">
        <f>IF(計分!V192="","",計分!V192^2)</f>
        <v/>
      </c>
      <c r="W192">
        <f>IF(計分!W192="","",計分!W192^2)</f>
        <v/>
      </c>
      <c r="X192">
        <f>IF(計分!X192="","",計分!X192^2)</f>
        <v/>
      </c>
      <c r="Y192">
        <f>IF(計分!Y192="","",計分!Y192^2)</f>
        <v/>
      </c>
      <c r="Z192">
        <f>IF(計分!Z192="","",計分!Z192^2)</f>
        <v/>
      </c>
      <c r="AA192">
        <f>IF(計分!AA192="","",計分!AA192^2)</f>
        <v/>
      </c>
      <c r="AB192">
        <f>IF(計分!AB192="","",計分!AB192^2)</f>
        <v/>
      </c>
      <c r="AC192">
        <f>IF(計分!AC192="","",計分!AC192^2)</f>
        <v/>
      </c>
      <c r="AD192">
        <f>IF(計分!AD192="","",計分!AD192^2)</f>
        <v/>
      </c>
      <c r="AE192">
        <f>IF(計分!AE192="","",計分!AE192^2)</f>
        <v/>
      </c>
      <c r="AF192">
        <f>IF(計分!AF192="","",計分!AF192^2)</f>
        <v/>
      </c>
      <c r="AG192">
        <f>IF(計分!AG192="","",計分!AG192^2)</f>
        <v/>
      </c>
      <c r="AH192">
        <f>IF(計分!AH192="","",計分!AH192^2)</f>
        <v/>
      </c>
      <c r="AI192">
        <f>IF(計分!AI192="","",計分!AI192^2)</f>
        <v/>
      </c>
      <c r="AJ192">
        <f>IF(計分!AJ192="","",計分!AJ192^2)</f>
        <v/>
      </c>
      <c r="AK192">
        <f>IF(計分!AK192="","",計分!AK192^2)</f>
        <v/>
      </c>
      <c r="AL192">
        <f>IF(計分!AL192="","",計分!AL192^2)</f>
        <v/>
      </c>
      <c r="AM192">
        <f>IF(計分!AM192="","",計分!AM192^2)</f>
        <v/>
      </c>
      <c r="AN192">
        <f>IF(計分!AN192="","",計分!AN192^2)</f>
        <v/>
      </c>
      <c r="AO192">
        <f>IF(計分!AO192="","",計分!AO192^2)</f>
        <v/>
      </c>
    </row>
    <row r="193">
      <c r="B193">
        <f>IF(計分!B193="","",計分!B193^2)</f>
        <v/>
      </c>
      <c r="C193">
        <f>IF(計分!C193="","",計分!C193^2)</f>
        <v/>
      </c>
      <c r="D193">
        <f>IF(計分!D193="","",計分!D193^2)</f>
        <v/>
      </c>
      <c r="E193">
        <f>IF(計分!E193="","",計分!E193^2)</f>
        <v/>
      </c>
      <c r="F193">
        <f>IF(計分!F193="","",計分!F193^2)</f>
        <v/>
      </c>
      <c r="G193">
        <f>IF(計分!G193="","",計分!G193^2)</f>
        <v/>
      </c>
      <c r="H193">
        <f>IF(計分!H193="","",計分!H193^2)</f>
        <v/>
      </c>
      <c r="I193">
        <f>IF(計分!I193="","",計分!I193^2)</f>
        <v/>
      </c>
      <c r="J193">
        <f>IF(計分!J193="","",計分!J193^2)</f>
        <v/>
      </c>
      <c r="K193">
        <f>IF(計分!K193="","",計分!K193^2)</f>
        <v/>
      </c>
      <c r="L193">
        <f>IF(計分!L193="","",計分!L193^2)</f>
        <v/>
      </c>
      <c r="M193">
        <f>IF(計分!M193="","",計分!M193^2)</f>
        <v/>
      </c>
      <c r="N193">
        <f>IF(計分!N193="","",計分!N193^2)</f>
        <v/>
      </c>
      <c r="O193">
        <f>IF(計分!O193="","",計分!O193^2)</f>
        <v/>
      </c>
      <c r="P193">
        <f>IF(計分!P193="","",計分!P193^2)</f>
        <v/>
      </c>
      <c r="Q193">
        <f>IF(計分!Q193="","",計分!Q193^2)</f>
        <v/>
      </c>
      <c r="R193">
        <f>IF(計分!R193="","",計分!R193^2)</f>
        <v/>
      </c>
      <c r="S193">
        <f>IF(計分!S193="","",計分!S193^2)</f>
        <v/>
      </c>
      <c r="T193">
        <f>IF(計分!T193="","",計分!T193^2)</f>
        <v/>
      </c>
      <c r="U193">
        <f>IF(計分!U193="","",計分!U193^2)</f>
        <v/>
      </c>
      <c r="V193">
        <f>IF(計分!V193="","",計分!V193^2)</f>
        <v/>
      </c>
      <c r="W193">
        <f>IF(計分!W193="","",計分!W193^2)</f>
        <v/>
      </c>
      <c r="X193">
        <f>IF(計分!X193="","",計分!X193^2)</f>
        <v/>
      </c>
      <c r="Y193">
        <f>IF(計分!Y193="","",計分!Y193^2)</f>
        <v/>
      </c>
      <c r="Z193">
        <f>IF(計分!Z193="","",計分!Z193^2)</f>
        <v/>
      </c>
      <c r="AA193">
        <f>IF(計分!AA193="","",計分!AA193^2)</f>
        <v/>
      </c>
      <c r="AB193">
        <f>IF(計分!AB193="","",計分!AB193^2)</f>
        <v/>
      </c>
      <c r="AC193">
        <f>IF(計分!AC193="","",計分!AC193^2)</f>
        <v/>
      </c>
      <c r="AD193">
        <f>IF(計分!AD193="","",計分!AD193^2)</f>
        <v/>
      </c>
      <c r="AE193">
        <f>IF(計分!AE193="","",計分!AE193^2)</f>
        <v/>
      </c>
      <c r="AF193">
        <f>IF(計分!AF193="","",計分!AF193^2)</f>
        <v/>
      </c>
      <c r="AG193">
        <f>IF(計分!AG193="","",計分!AG193^2)</f>
        <v/>
      </c>
      <c r="AH193">
        <f>IF(計分!AH193="","",計分!AH193^2)</f>
        <v/>
      </c>
      <c r="AI193">
        <f>IF(計分!AI193="","",計分!AI193^2)</f>
        <v/>
      </c>
      <c r="AJ193">
        <f>IF(計分!AJ193="","",計分!AJ193^2)</f>
        <v/>
      </c>
      <c r="AK193">
        <f>IF(計分!AK193="","",計分!AK193^2)</f>
        <v/>
      </c>
      <c r="AL193">
        <f>IF(計分!AL193="","",計分!AL193^2)</f>
        <v/>
      </c>
      <c r="AM193">
        <f>IF(計分!AM193="","",計分!AM193^2)</f>
        <v/>
      </c>
      <c r="AN193">
        <f>IF(計分!AN193="","",計分!AN193^2)</f>
        <v/>
      </c>
      <c r="AO193">
        <f>IF(計分!AO193="","",計分!AO193^2)</f>
        <v/>
      </c>
    </row>
    <row r="194">
      <c r="B194">
        <f>IF(計分!B194="","",計分!B194^2)</f>
        <v/>
      </c>
      <c r="C194">
        <f>IF(計分!C194="","",計分!C194^2)</f>
        <v/>
      </c>
      <c r="D194">
        <f>IF(計分!D194="","",計分!D194^2)</f>
        <v/>
      </c>
      <c r="E194">
        <f>IF(計分!E194="","",計分!E194^2)</f>
        <v/>
      </c>
      <c r="F194">
        <f>IF(計分!F194="","",計分!F194^2)</f>
        <v/>
      </c>
      <c r="G194">
        <f>IF(計分!G194="","",計分!G194^2)</f>
        <v/>
      </c>
      <c r="H194">
        <f>IF(計分!H194="","",計分!H194^2)</f>
        <v/>
      </c>
      <c r="I194">
        <f>IF(計分!I194="","",計分!I194^2)</f>
        <v/>
      </c>
      <c r="J194">
        <f>IF(計分!J194="","",計分!J194^2)</f>
        <v/>
      </c>
      <c r="K194">
        <f>IF(計分!K194="","",計分!K194^2)</f>
        <v/>
      </c>
      <c r="L194">
        <f>IF(計分!L194="","",計分!L194^2)</f>
        <v/>
      </c>
      <c r="M194">
        <f>IF(計分!M194="","",計分!M194^2)</f>
        <v/>
      </c>
      <c r="N194">
        <f>IF(計分!N194="","",計分!N194^2)</f>
        <v/>
      </c>
      <c r="O194">
        <f>IF(計分!O194="","",計分!O194^2)</f>
        <v/>
      </c>
      <c r="P194">
        <f>IF(計分!P194="","",計分!P194^2)</f>
        <v/>
      </c>
      <c r="Q194">
        <f>IF(計分!Q194="","",計分!Q194^2)</f>
        <v/>
      </c>
      <c r="R194">
        <f>IF(計分!R194="","",計分!R194^2)</f>
        <v/>
      </c>
      <c r="S194">
        <f>IF(計分!S194="","",計分!S194^2)</f>
        <v/>
      </c>
      <c r="T194">
        <f>IF(計分!T194="","",計分!T194^2)</f>
        <v/>
      </c>
      <c r="U194">
        <f>IF(計分!U194="","",計分!U194^2)</f>
        <v/>
      </c>
      <c r="V194">
        <f>IF(計分!V194="","",計分!V194^2)</f>
        <v/>
      </c>
      <c r="W194">
        <f>IF(計分!W194="","",計分!W194^2)</f>
        <v/>
      </c>
      <c r="X194">
        <f>IF(計分!X194="","",計分!X194^2)</f>
        <v/>
      </c>
      <c r="Y194">
        <f>IF(計分!Y194="","",計分!Y194^2)</f>
        <v/>
      </c>
      <c r="Z194">
        <f>IF(計分!Z194="","",計分!Z194^2)</f>
        <v/>
      </c>
      <c r="AA194">
        <f>IF(計分!AA194="","",計分!AA194^2)</f>
        <v/>
      </c>
      <c r="AB194">
        <f>IF(計分!AB194="","",計分!AB194^2)</f>
        <v/>
      </c>
      <c r="AC194">
        <f>IF(計分!AC194="","",計分!AC194^2)</f>
        <v/>
      </c>
      <c r="AD194">
        <f>IF(計分!AD194="","",計分!AD194^2)</f>
        <v/>
      </c>
      <c r="AE194">
        <f>IF(計分!AE194="","",計分!AE194^2)</f>
        <v/>
      </c>
      <c r="AF194">
        <f>IF(計分!AF194="","",計分!AF194^2)</f>
        <v/>
      </c>
      <c r="AG194">
        <f>IF(計分!AG194="","",計分!AG194^2)</f>
        <v/>
      </c>
      <c r="AH194">
        <f>IF(計分!AH194="","",計分!AH194^2)</f>
        <v/>
      </c>
      <c r="AI194">
        <f>IF(計分!AI194="","",計分!AI194^2)</f>
        <v/>
      </c>
      <c r="AJ194">
        <f>IF(計分!AJ194="","",計分!AJ194^2)</f>
        <v/>
      </c>
      <c r="AK194">
        <f>IF(計分!AK194="","",計分!AK194^2)</f>
        <v/>
      </c>
      <c r="AL194">
        <f>IF(計分!AL194="","",計分!AL194^2)</f>
        <v/>
      </c>
      <c r="AM194">
        <f>IF(計分!AM194="","",計分!AM194^2)</f>
        <v/>
      </c>
      <c r="AN194">
        <f>IF(計分!AN194="","",計分!AN194^2)</f>
        <v/>
      </c>
      <c r="AO194">
        <f>IF(計分!AO194="","",計分!AO194^2)</f>
        <v/>
      </c>
    </row>
    <row r="195">
      <c r="B195">
        <f>IF(計分!B195="","",計分!B195^2)</f>
        <v/>
      </c>
      <c r="C195">
        <f>IF(計分!C195="","",計分!C195^2)</f>
        <v/>
      </c>
      <c r="D195">
        <f>IF(計分!D195="","",計分!D195^2)</f>
        <v/>
      </c>
      <c r="E195">
        <f>IF(計分!E195="","",計分!E195^2)</f>
        <v/>
      </c>
      <c r="F195">
        <f>IF(計分!F195="","",計分!F195^2)</f>
        <v/>
      </c>
      <c r="G195">
        <f>IF(計分!G195="","",計分!G195^2)</f>
        <v/>
      </c>
      <c r="H195">
        <f>IF(計分!H195="","",計分!H195^2)</f>
        <v/>
      </c>
      <c r="I195">
        <f>IF(計分!I195="","",計分!I195^2)</f>
        <v/>
      </c>
      <c r="J195">
        <f>IF(計分!J195="","",計分!J195^2)</f>
        <v/>
      </c>
      <c r="K195">
        <f>IF(計分!K195="","",計分!K195^2)</f>
        <v/>
      </c>
      <c r="L195">
        <f>IF(計分!L195="","",計分!L195^2)</f>
        <v/>
      </c>
      <c r="M195">
        <f>IF(計分!M195="","",計分!M195^2)</f>
        <v/>
      </c>
      <c r="N195">
        <f>IF(計分!N195="","",計分!N195^2)</f>
        <v/>
      </c>
      <c r="O195">
        <f>IF(計分!O195="","",計分!O195^2)</f>
        <v/>
      </c>
      <c r="P195">
        <f>IF(計分!P195="","",計分!P195^2)</f>
        <v/>
      </c>
      <c r="Q195">
        <f>IF(計分!Q195="","",計分!Q195^2)</f>
        <v/>
      </c>
      <c r="R195">
        <f>IF(計分!R195="","",計分!R195^2)</f>
        <v/>
      </c>
      <c r="S195">
        <f>IF(計分!S195="","",計分!S195^2)</f>
        <v/>
      </c>
      <c r="T195">
        <f>IF(計分!T195="","",計分!T195^2)</f>
        <v/>
      </c>
      <c r="U195">
        <f>IF(計分!U195="","",計分!U195^2)</f>
        <v/>
      </c>
      <c r="V195">
        <f>IF(計分!V195="","",計分!V195^2)</f>
        <v/>
      </c>
      <c r="W195">
        <f>IF(計分!W195="","",計分!W195^2)</f>
        <v/>
      </c>
      <c r="X195">
        <f>IF(計分!X195="","",計分!X195^2)</f>
        <v/>
      </c>
      <c r="Y195">
        <f>IF(計分!Y195="","",計分!Y195^2)</f>
        <v/>
      </c>
      <c r="Z195">
        <f>IF(計分!Z195="","",計分!Z195^2)</f>
        <v/>
      </c>
      <c r="AA195">
        <f>IF(計分!AA195="","",計分!AA195^2)</f>
        <v/>
      </c>
      <c r="AB195">
        <f>IF(計分!AB195="","",計分!AB195^2)</f>
        <v/>
      </c>
      <c r="AC195">
        <f>IF(計分!AC195="","",計分!AC195^2)</f>
        <v/>
      </c>
      <c r="AD195">
        <f>IF(計分!AD195="","",計分!AD195^2)</f>
        <v/>
      </c>
      <c r="AE195">
        <f>IF(計分!AE195="","",計分!AE195^2)</f>
        <v/>
      </c>
      <c r="AF195">
        <f>IF(計分!AF195="","",計分!AF195^2)</f>
        <v/>
      </c>
      <c r="AG195">
        <f>IF(計分!AG195="","",計分!AG195^2)</f>
        <v/>
      </c>
      <c r="AH195">
        <f>IF(計分!AH195="","",計分!AH195^2)</f>
        <v/>
      </c>
      <c r="AI195">
        <f>IF(計分!AI195="","",計分!AI195^2)</f>
        <v/>
      </c>
      <c r="AJ195">
        <f>IF(計分!AJ195="","",計分!AJ195^2)</f>
        <v/>
      </c>
      <c r="AK195">
        <f>IF(計分!AK195="","",計分!AK195^2)</f>
        <v/>
      </c>
      <c r="AL195">
        <f>IF(計分!AL195="","",計分!AL195^2)</f>
        <v/>
      </c>
      <c r="AM195">
        <f>IF(計分!AM195="","",計分!AM195^2)</f>
        <v/>
      </c>
      <c r="AN195">
        <f>IF(計分!AN195="","",計分!AN195^2)</f>
        <v/>
      </c>
      <c r="AO195">
        <f>IF(計分!AO195="","",計分!AO195^2)</f>
        <v/>
      </c>
    </row>
    <row r="196">
      <c r="B196">
        <f>IF(計分!B196="","",計分!B196^2)</f>
        <v/>
      </c>
      <c r="C196">
        <f>IF(計分!C196="","",計分!C196^2)</f>
        <v/>
      </c>
      <c r="D196">
        <f>IF(計分!D196="","",計分!D196^2)</f>
        <v/>
      </c>
      <c r="E196">
        <f>IF(計分!E196="","",計分!E196^2)</f>
        <v/>
      </c>
      <c r="F196">
        <f>IF(計分!F196="","",計分!F196^2)</f>
        <v/>
      </c>
      <c r="G196">
        <f>IF(計分!G196="","",計分!G196^2)</f>
        <v/>
      </c>
      <c r="H196">
        <f>IF(計分!H196="","",計分!H196^2)</f>
        <v/>
      </c>
      <c r="I196">
        <f>IF(計分!I196="","",計分!I196^2)</f>
        <v/>
      </c>
      <c r="J196">
        <f>IF(計分!J196="","",計分!J196^2)</f>
        <v/>
      </c>
      <c r="K196">
        <f>IF(計分!K196="","",計分!K196^2)</f>
        <v/>
      </c>
      <c r="L196">
        <f>IF(計分!L196="","",計分!L196^2)</f>
        <v/>
      </c>
      <c r="M196">
        <f>IF(計分!M196="","",計分!M196^2)</f>
        <v/>
      </c>
      <c r="N196">
        <f>IF(計分!N196="","",計分!N196^2)</f>
        <v/>
      </c>
      <c r="O196">
        <f>IF(計分!O196="","",計分!O196^2)</f>
        <v/>
      </c>
      <c r="P196">
        <f>IF(計分!P196="","",計分!P196^2)</f>
        <v/>
      </c>
      <c r="Q196">
        <f>IF(計分!Q196="","",計分!Q196^2)</f>
        <v/>
      </c>
      <c r="R196">
        <f>IF(計分!R196="","",計分!R196^2)</f>
        <v/>
      </c>
      <c r="S196">
        <f>IF(計分!S196="","",計分!S196^2)</f>
        <v/>
      </c>
      <c r="T196">
        <f>IF(計分!T196="","",計分!T196^2)</f>
        <v/>
      </c>
      <c r="U196">
        <f>IF(計分!U196="","",計分!U196^2)</f>
        <v/>
      </c>
      <c r="V196">
        <f>IF(計分!V196="","",計分!V196^2)</f>
        <v/>
      </c>
      <c r="W196">
        <f>IF(計分!W196="","",計分!W196^2)</f>
        <v/>
      </c>
      <c r="X196">
        <f>IF(計分!X196="","",計分!X196^2)</f>
        <v/>
      </c>
      <c r="Y196">
        <f>IF(計分!Y196="","",計分!Y196^2)</f>
        <v/>
      </c>
      <c r="Z196">
        <f>IF(計分!Z196="","",計分!Z196^2)</f>
        <v/>
      </c>
      <c r="AA196">
        <f>IF(計分!AA196="","",計分!AA196^2)</f>
        <v/>
      </c>
      <c r="AB196">
        <f>IF(計分!AB196="","",計分!AB196^2)</f>
        <v/>
      </c>
      <c r="AC196">
        <f>IF(計分!AC196="","",計分!AC196^2)</f>
        <v/>
      </c>
      <c r="AD196">
        <f>IF(計分!AD196="","",計分!AD196^2)</f>
        <v/>
      </c>
      <c r="AE196">
        <f>IF(計分!AE196="","",計分!AE196^2)</f>
        <v/>
      </c>
      <c r="AF196">
        <f>IF(計分!AF196="","",計分!AF196^2)</f>
        <v/>
      </c>
      <c r="AG196">
        <f>IF(計分!AG196="","",計分!AG196^2)</f>
        <v/>
      </c>
      <c r="AH196">
        <f>IF(計分!AH196="","",計分!AH196^2)</f>
        <v/>
      </c>
      <c r="AI196">
        <f>IF(計分!AI196="","",計分!AI196^2)</f>
        <v/>
      </c>
      <c r="AJ196">
        <f>IF(計分!AJ196="","",計分!AJ196^2)</f>
        <v/>
      </c>
      <c r="AK196">
        <f>IF(計分!AK196="","",計分!AK196^2)</f>
        <v/>
      </c>
      <c r="AL196">
        <f>IF(計分!AL196="","",計分!AL196^2)</f>
        <v/>
      </c>
      <c r="AM196">
        <f>IF(計分!AM196="","",計分!AM196^2)</f>
        <v/>
      </c>
      <c r="AN196">
        <f>IF(計分!AN196="","",計分!AN196^2)</f>
        <v/>
      </c>
      <c r="AO196">
        <f>IF(計分!AO196="","",計分!AO196^2)</f>
        <v/>
      </c>
    </row>
    <row r="197">
      <c r="B197">
        <f>IF(計分!B197="","",計分!B197^2)</f>
        <v/>
      </c>
      <c r="C197">
        <f>IF(計分!C197="","",計分!C197^2)</f>
        <v/>
      </c>
      <c r="D197">
        <f>IF(計分!D197="","",計分!D197^2)</f>
        <v/>
      </c>
      <c r="E197">
        <f>IF(計分!E197="","",計分!E197^2)</f>
        <v/>
      </c>
      <c r="F197">
        <f>IF(計分!F197="","",計分!F197^2)</f>
        <v/>
      </c>
      <c r="G197">
        <f>IF(計分!G197="","",計分!G197^2)</f>
        <v/>
      </c>
      <c r="H197">
        <f>IF(計分!H197="","",計分!H197^2)</f>
        <v/>
      </c>
      <c r="I197">
        <f>IF(計分!I197="","",計分!I197^2)</f>
        <v/>
      </c>
      <c r="J197">
        <f>IF(計分!J197="","",計分!J197^2)</f>
        <v/>
      </c>
      <c r="K197">
        <f>IF(計分!K197="","",計分!K197^2)</f>
        <v/>
      </c>
      <c r="L197">
        <f>IF(計分!L197="","",計分!L197^2)</f>
        <v/>
      </c>
      <c r="M197">
        <f>IF(計分!M197="","",計分!M197^2)</f>
        <v/>
      </c>
      <c r="N197">
        <f>IF(計分!N197="","",計分!N197^2)</f>
        <v/>
      </c>
      <c r="O197">
        <f>IF(計分!O197="","",計分!O197^2)</f>
        <v/>
      </c>
      <c r="P197">
        <f>IF(計分!P197="","",計分!P197^2)</f>
        <v/>
      </c>
      <c r="Q197">
        <f>IF(計分!Q197="","",計分!Q197^2)</f>
        <v/>
      </c>
      <c r="R197">
        <f>IF(計分!R197="","",計分!R197^2)</f>
        <v/>
      </c>
      <c r="S197">
        <f>IF(計分!S197="","",計分!S197^2)</f>
        <v/>
      </c>
      <c r="T197">
        <f>IF(計分!T197="","",計分!T197^2)</f>
        <v/>
      </c>
      <c r="U197">
        <f>IF(計分!U197="","",計分!U197^2)</f>
        <v/>
      </c>
      <c r="V197">
        <f>IF(計分!V197="","",計分!V197^2)</f>
        <v/>
      </c>
      <c r="W197">
        <f>IF(計分!W197="","",計分!W197^2)</f>
        <v/>
      </c>
      <c r="X197">
        <f>IF(計分!X197="","",計分!X197^2)</f>
        <v/>
      </c>
      <c r="Y197">
        <f>IF(計分!Y197="","",計分!Y197^2)</f>
        <v/>
      </c>
      <c r="Z197">
        <f>IF(計分!Z197="","",計分!Z197^2)</f>
        <v/>
      </c>
      <c r="AA197">
        <f>IF(計分!AA197="","",計分!AA197^2)</f>
        <v/>
      </c>
      <c r="AB197">
        <f>IF(計分!AB197="","",計分!AB197^2)</f>
        <v/>
      </c>
      <c r="AC197">
        <f>IF(計分!AC197="","",計分!AC197^2)</f>
        <v/>
      </c>
      <c r="AD197">
        <f>IF(計分!AD197="","",計分!AD197^2)</f>
        <v/>
      </c>
      <c r="AE197">
        <f>IF(計分!AE197="","",計分!AE197^2)</f>
        <v/>
      </c>
      <c r="AF197">
        <f>IF(計分!AF197="","",計分!AF197^2)</f>
        <v/>
      </c>
      <c r="AG197">
        <f>IF(計分!AG197="","",計分!AG197^2)</f>
        <v/>
      </c>
      <c r="AH197">
        <f>IF(計分!AH197="","",計分!AH197^2)</f>
        <v/>
      </c>
      <c r="AI197">
        <f>IF(計分!AI197="","",計分!AI197^2)</f>
        <v/>
      </c>
      <c r="AJ197">
        <f>IF(計分!AJ197="","",計分!AJ197^2)</f>
        <v/>
      </c>
      <c r="AK197">
        <f>IF(計分!AK197="","",計分!AK197^2)</f>
        <v/>
      </c>
      <c r="AL197">
        <f>IF(計分!AL197="","",計分!AL197^2)</f>
        <v/>
      </c>
      <c r="AM197">
        <f>IF(計分!AM197="","",計分!AM197^2)</f>
        <v/>
      </c>
      <c r="AN197">
        <f>IF(計分!AN197="","",計分!AN197^2)</f>
        <v/>
      </c>
      <c r="AO197">
        <f>IF(計分!AO197="","",計分!AO197^2)</f>
        <v/>
      </c>
    </row>
    <row r="198">
      <c r="B198">
        <f>IF(計分!B198="","",計分!B198^2)</f>
        <v/>
      </c>
      <c r="C198">
        <f>IF(計分!C198="","",計分!C198^2)</f>
        <v/>
      </c>
      <c r="D198">
        <f>IF(計分!D198="","",計分!D198^2)</f>
        <v/>
      </c>
      <c r="E198">
        <f>IF(計分!E198="","",計分!E198^2)</f>
        <v/>
      </c>
      <c r="F198">
        <f>IF(計分!F198="","",計分!F198^2)</f>
        <v/>
      </c>
      <c r="G198">
        <f>IF(計分!G198="","",計分!G198^2)</f>
        <v/>
      </c>
      <c r="H198">
        <f>IF(計分!H198="","",計分!H198^2)</f>
        <v/>
      </c>
      <c r="I198">
        <f>IF(計分!I198="","",計分!I198^2)</f>
        <v/>
      </c>
      <c r="J198">
        <f>IF(計分!J198="","",計分!J198^2)</f>
        <v/>
      </c>
      <c r="K198">
        <f>IF(計分!K198="","",計分!K198^2)</f>
        <v/>
      </c>
      <c r="L198">
        <f>IF(計分!L198="","",計分!L198^2)</f>
        <v/>
      </c>
      <c r="M198">
        <f>IF(計分!M198="","",計分!M198^2)</f>
        <v/>
      </c>
      <c r="N198">
        <f>IF(計分!N198="","",計分!N198^2)</f>
        <v/>
      </c>
      <c r="O198">
        <f>IF(計分!O198="","",計分!O198^2)</f>
        <v/>
      </c>
      <c r="P198">
        <f>IF(計分!P198="","",計分!P198^2)</f>
        <v/>
      </c>
      <c r="Q198">
        <f>IF(計分!Q198="","",計分!Q198^2)</f>
        <v/>
      </c>
      <c r="R198">
        <f>IF(計分!R198="","",計分!R198^2)</f>
        <v/>
      </c>
      <c r="S198">
        <f>IF(計分!S198="","",計分!S198^2)</f>
        <v/>
      </c>
      <c r="T198">
        <f>IF(計分!T198="","",計分!T198^2)</f>
        <v/>
      </c>
      <c r="U198">
        <f>IF(計分!U198="","",計分!U198^2)</f>
        <v/>
      </c>
      <c r="V198">
        <f>IF(計分!V198="","",計分!V198^2)</f>
        <v/>
      </c>
      <c r="W198">
        <f>IF(計分!W198="","",計分!W198^2)</f>
        <v/>
      </c>
      <c r="X198">
        <f>IF(計分!X198="","",計分!X198^2)</f>
        <v/>
      </c>
      <c r="Y198">
        <f>IF(計分!Y198="","",計分!Y198^2)</f>
        <v/>
      </c>
      <c r="Z198">
        <f>IF(計分!Z198="","",計分!Z198^2)</f>
        <v/>
      </c>
      <c r="AA198">
        <f>IF(計分!AA198="","",計分!AA198^2)</f>
        <v/>
      </c>
      <c r="AB198">
        <f>IF(計分!AB198="","",計分!AB198^2)</f>
        <v/>
      </c>
      <c r="AC198">
        <f>IF(計分!AC198="","",計分!AC198^2)</f>
        <v/>
      </c>
      <c r="AD198">
        <f>IF(計分!AD198="","",計分!AD198^2)</f>
        <v/>
      </c>
      <c r="AE198">
        <f>IF(計分!AE198="","",計分!AE198^2)</f>
        <v/>
      </c>
      <c r="AF198">
        <f>IF(計分!AF198="","",計分!AF198^2)</f>
        <v/>
      </c>
      <c r="AG198">
        <f>IF(計分!AG198="","",計分!AG198^2)</f>
        <v/>
      </c>
      <c r="AH198">
        <f>IF(計分!AH198="","",計分!AH198^2)</f>
        <v/>
      </c>
      <c r="AI198">
        <f>IF(計分!AI198="","",計分!AI198^2)</f>
        <v/>
      </c>
      <c r="AJ198">
        <f>IF(計分!AJ198="","",計分!AJ198^2)</f>
        <v/>
      </c>
      <c r="AK198">
        <f>IF(計分!AK198="","",計分!AK198^2)</f>
        <v/>
      </c>
      <c r="AL198">
        <f>IF(計分!AL198="","",計分!AL198^2)</f>
        <v/>
      </c>
      <c r="AM198">
        <f>IF(計分!AM198="","",計分!AM198^2)</f>
        <v/>
      </c>
      <c r="AN198">
        <f>IF(計分!AN198="","",計分!AN198^2)</f>
        <v/>
      </c>
      <c r="AO198">
        <f>IF(計分!AO198="","",計分!AO198^2)</f>
        <v/>
      </c>
    </row>
    <row r="199">
      <c r="B199">
        <f>IF(計分!B199="","",計分!B199^2)</f>
        <v/>
      </c>
      <c r="C199">
        <f>IF(計分!C199="","",計分!C199^2)</f>
        <v/>
      </c>
      <c r="D199">
        <f>IF(計分!D199="","",計分!D199^2)</f>
        <v/>
      </c>
      <c r="E199">
        <f>IF(計分!E199="","",計分!E199^2)</f>
        <v/>
      </c>
      <c r="F199">
        <f>IF(計分!F199="","",計分!F199^2)</f>
        <v/>
      </c>
      <c r="G199">
        <f>IF(計分!G199="","",計分!G199^2)</f>
        <v/>
      </c>
      <c r="H199">
        <f>IF(計分!H199="","",計分!H199^2)</f>
        <v/>
      </c>
      <c r="I199">
        <f>IF(計分!I199="","",計分!I199^2)</f>
        <v/>
      </c>
      <c r="J199">
        <f>IF(計分!J199="","",計分!J199^2)</f>
        <v/>
      </c>
      <c r="K199">
        <f>IF(計分!K199="","",計分!K199^2)</f>
        <v/>
      </c>
      <c r="L199">
        <f>IF(計分!L199="","",計分!L199^2)</f>
        <v/>
      </c>
      <c r="M199">
        <f>IF(計分!M199="","",計分!M199^2)</f>
        <v/>
      </c>
      <c r="N199">
        <f>IF(計分!N199="","",計分!N199^2)</f>
        <v/>
      </c>
      <c r="O199">
        <f>IF(計分!O199="","",計分!O199^2)</f>
        <v/>
      </c>
      <c r="P199">
        <f>IF(計分!P199="","",計分!P199^2)</f>
        <v/>
      </c>
      <c r="Q199">
        <f>IF(計分!Q199="","",計分!Q199^2)</f>
        <v/>
      </c>
      <c r="R199">
        <f>IF(計分!R199="","",計分!R199^2)</f>
        <v/>
      </c>
      <c r="S199">
        <f>IF(計分!S199="","",計分!S199^2)</f>
        <v/>
      </c>
      <c r="T199">
        <f>IF(計分!T199="","",計分!T199^2)</f>
        <v/>
      </c>
      <c r="U199">
        <f>IF(計分!U199="","",計分!U199^2)</f>
        <v/>
      </c>
      <c r="V199">
        <f>IF(計分!V199="","",計分!V199^2)</f>
        <v/>
      </c>
      <c r="W199">
        <f>IF(計分!W199="","",計分!W199^2)</f>
        <v/>
      </c>
      <c r="X199">
        <f>IF(計分!X199="","",計分!X199^2)</f>
        <v/>
      </c>
      <c r="Y199">
        <f>IF(計分!Y199="","",計分!Y199^2)</f>
        <v/>
      </c>
      <c r="Z199">
        <f>IF(計分!Z199="","",計分!Z199^2)</f>
        <v/>
      </c>
      <c r="AA199">
        <f>IF(計分!AA199="","",計分!AA199^2)</f>
        <v/>
      </c>
      <c r="AB199">
        <f>IF(計分!AB199="","",計分!AB199^2)</f>
        <v/>
      </c>
      <c r="AC199">
        <f>IF(計分!AC199="","",計分!AC199^2)</f>
        <v/>
      </c>
      <c r="AD199">
        <f>IF(計分!AD199="","",計分!AD199^2)</f>
        <v/>
      </c>
      <c r="AE199">
        <f>IF(計分!AE199="","",計分!AE199^2)</f>
        <v/>
      </c>
      <c r="AF199">
        <f>IF(計分!AF199="","",計分!AF199^2)</f>
        <v/>
      </c>
      <c r="AG199">
        <f>IF(計分!AG199="","",計分!AG199^2)</f>
        <v/>
      </c>
      <c r="AH199">
        <f>IF(計分!AH199="","",計分!AH199^2)</f>
        <v/>
      </c>
      <c r="AI199">
        <f>IF(計分!AI199="","",計分!AI199^2)</f>
        <v/>
      </c>
      <c r="AJ199">
        <f>IF(計分!AJ199="","",計分!AJ199^2)</f>
        <v/>
      </c>
      <c r="AK199">
        <f>IF(計分!AK199="","",計分!AK199^2)</f>
        <v/>
      </c>
      <c r="AL199">
        <f>IF(計分!AL199="","",計分!AL199^2)</f>
        <v/>
      </c>
      <c r="AM199">
        <f>IF(計分!AM199="","",計分!AM199^2)</f>
        <v/>
      </c>
      <c r="AN199">
        <f>IF(計分!AN199="","",計分!AN199^2)</f>
        <v/>
      </c>
      <c r="AO199">
        <f>IF(計分!AO199="","",計分!AO199^2)</f>
        <v/>
      </c>
    </row>
    <row r="200">
      <c r="B200">
        <f>IF(計分!B200="","",計分!B200^2)</f>
        <v/>
      </c>
      <c r="C200">
        <f>IF(計分!C200="","",計分!C200^2)</f>
        <v/>
      </c>
      <c r="D200">
        <f>IF(計分!D200="","",計分!D200^2)</f>
        <v/>
      </c>
      <c r="E200">
        <f>IF(計分!E200="","",計分!E200^2)</f>
        <v/>
      </c>
      <c r="F200">
        <f>IF(計分!F200="","",計分!F200^2)</f>
        <v/>
      </c>
      <c r="G200">
        <f>IF(計分!G200="","",計分!G200^2)</f>
        <v/>
      </c>
      <c r="H200">
        <f>IF(計分!H200="","",計分!H200^2)</f>
        <v/>
      </c>
      <c r="I200">
        <f>IF(計分!I200="","",計分!I200^2)</f>
        <v/>
      </c>
      <c r="J200">
        <f>IF(計分!J200="","",計分!J200^2)</f>
        <v/>
      </c>
      <c r="K200">
        <f>IF(計分!K200="","",計分!K200^2)</f>
        <v/>
      </c>
      <c r="L200">
        <f>IF(計分!L200="","",計分!L200^2)</f>
        <v/>
      </c>
      <c r="M200">
        <f>IF(計分!M200="","",計分!M200^2)</f>
        <v/>
      </c>
      <c r="N200">
        <f>IF(計分!N200="","",計分!N200^2)</f>
        <v/>
      </c>
      <c r="O200">
        <f>IF(計分!O200="","",計分!O200^2)</f>
        <v/>
      </c>
      <c r="P200">
        <f>IF(計分!P200="","",計分!P200^2)</f>
        <v/>
      </c>
      <c r="Q200">
        <f>IF(計分!Q200="","",計分!Q200^2)</f>
        <v/>
      </c>
      <c r="R200">
        <f>IF(計分!R200="","",計分!R200^2)</f>
        <v/>
      </c>
      <c r="S200">
        <f>IF(計分!S200="","",計分!S200^2)</f>
        <v/>
      </c>
      <c r="T200">
        <f>IF(計分!T200="","",計分!T200^2)</f>
        <v/>
      </c>
      <c r="U200">
        <f>IF(計分!U200="","",計分!U200^2)</f>
        <v/>
      </c>
      <c r="V200">
        <f>IF(計分!V200="","",計分!V200^2)</f>
        <v/>
      </c>
      <c r="W200">
        <f>IF(計分!W200="","",計分!W200^2)</f>
        <v/>
      </c>
      <c r="X200">
        <f>IF(計分!X200="","",計分!X200^2)</f>
        <v/>
      </c>
      <c r="Y200">
        <f>IF(計分!Y200="","",計分!Y200^2)</f>
        <v/>
      </c>
      <c r="Z200">
        <f>IF(計分!Z200="","",計分!Z200^2)</f>
        <v/>
      </c>
      <c r="AA200">
        <f>IF(計分!AA200="","",計分!AA200^2)</f>
        <v/>
      </c>
      <c r="AB200">
        <f>IF(計分!AB200="","",計分!AB200^2)</f>
        <v/>
      </c>
      <c r="AC200">
        <f>IF(計分!AC200="","",計分!AC200^2)</f>
        <v/>
      </c>
      <c r="AD200">
        <f>IF(計分!AD200="","",計分!AD200^2)</f>
        <v/>
      </c>
      <c r="AE200">
        <f>IF(計分!AE200="","",計分!AE200^2)</f>
        <v/>
      </c>
      <c r="AF200">
        <f>IF(計分!AF200="","",計分!AF200^2)</f>
        <v/>
      </c>
      <c r="AG200">
        <f>IF(計分!AG200="","",計分!AG200^2)</f>
        <v/>
      </c>
      <c r="AH200">
        <f>IF(計分!AH200="","",計分!AH200^2)</f>
        <v/>
      </c>
      <c r="AI200">
        <f>IF(計分!AI200="","",計分!AI200^2)</f>
        <v/>
      </c>
      <c r="AJ200">
        <f>IF(計分!AJ200="","",計分!AJ200^2)</f>
        <v/>
      </c>
      <c r="AK200">
        <f>IF(計分!AK200="","",計分!AK200^2)</f>
        <v/>
      </c>
      <c r="AL200">
        <f>IF(計分!AL200="","",計分!AL200^2)</f>
        <v/>
      </c>
      <c r="AM200">
        <f>IF(計分!AM200="","",計分!AM200^2)</f>
        <v/>
      </c>
      <c r="AN200">
        <f>IF(計分!AN200="","",計分!AN200^2)</f>
        <v/>
      </c>
      <c r="AO200">
        <f>IF(計分!AO200="","",計分!AO200^2)</f>
        <v/>
      </c>
    </row>
    <row r="201">
      <c r="B201">
        <f>IF(計分!B201="","",計分!B201^2)</f>
        <v/>
      </c>
      <c r="C201">
        <f>IF(計分!C201="","",計分!C201^2)</f>
        <v/>
      </c>
      <c r="D201">
        <f>IF(計分!D201="","",計分!D201^2)</f>
        <v/>
      </c>
      <c r="E201">
        <f>IF(計分!E201="","",計分!E201^2)</f>
        <v/>
      </c>
      <c r="F201">
        <f>IF(計分!F201="","",計分!F201^2)</f>
        <v/>
      </c>
      <c r="G201">
        <f>IF(計分!G201="","",計分!G201^2)</f>
        <v/>
      </c>
      <c r="H201">
        <f>IF(計分!H201="","",計分!H201^2)</f>
        <v/>
      </c>
      <c r="I201">
        <f>IF(計分!I201="","",計分!I201^2)</f>
        <v/>
      </c>
      <c r="J201">
        <f>IF(計分!J201="","",計分!J201^2)</f>
        <v/>
      </c>
      <c r="K201">
        <f>IF(計分!K201="","",計分!K201^2)</f>
        <v/>
      </c>
      <c r="L201">
        <f>IF(計分!L201="","",計分!L201^2)</f>
        <v/>
      </c>
      <c r="M201">
        <f>IF(計分!M201="","",計分!M201^2)</f>
        <v/>
      </c>
      <c r="N201">
        <f>IF(計分!N201="","",計分!N201^2)</f>
        <v/>
      </c>
      <c r="O201">
        <f>IF(計分!O201="","",計分!O201^2)</f>
        <v/>
      </c>
      <c r="P201">
        <f>IF(計分!P201="","",計分!P201^2)</f>
        <v/>
      </c>
      <c r="Q201">
        <f>IF(計分!Q201="","",計分!Q201^2)</f>
        <v/>
      </c>
      <c r="R201">
        <f>IF(計分!R201="","",計分!R201^2)</f>
        <v/>
      </c>
      <c r="S201">
        <f>IF(計分!S201="","",計分!S201^2)</f>
        <v/>
      </c>
      <c r="T201">
        <f>IF(計分!T201="","",計分!T201^2)</f>
        <v/>
      </c>
      <c r="U201">
        <f>IF(計分!U201="","",計分!U201^2)</f>
        <v/>
      </c>
      <c r="V201">
        <f>IF(計分!V201="","",計分!V201^2)</f>
        <v/>
      </c>
      <c r="W201">
        <f>IF(計分!W201="","",計分!W201^2)</f>
        <v/>
      </c>
      <c r="X201">
        <f>IF(計分!X201="","",計分!X201^2)</f>
        <v/>
      </c>
      <c r="Y201">
        <f>IF(計分!Y201="","",計分!Y201^2)</f>
        <v/>
      </c>
      <c r="Z201">
        <f>IF(計分!Z201="","",計分!Z201^2)</f>
        <v/>
      </c>
      <c r="AA201">
        <f>IF(計分!AA201="","",計分!AA201^2)</f>
        <v/>
      </c>
      <c r="AB201">
        <f>IF(計分!AB201="","",計分!AB201^2)</f>
        <v/>
      </c>
      <c r="AC201">
        <f>IF(計分!AC201="","",計分!AC201^2)</f>
        <v/>
      </c>
      <c r="AD201">
        <f>IF(計分!AD201="","",計分!AD201^2)</f>
        <v/>
      </c>
      <c r="AE201">
        <f>IF(計分!AE201="","",計分!AE201^2)</f>
        <v/>
      </c>
      <c r="AF201">
        <f>IF(計分!AF201="","",計分!AF201^2)</f>
        <v/>
      </c>
      <c r="AG201">
        <f>IF(計分!AG201="","",計分!AG201^2)</f>
        <v/>
      </c>
      <c r="AH201">
        <f>IF(計分!AH201="","",計分!AH201^2)</f>
        <v/>
      </c>
      <c r="AI201">
        <f>IF(計分!AI201="","",計分!AI201^2)</f>
        <v/>
      </c>
      <c r="AJ201">
        <f>IF(計分!AJ201="","",計分!AJ201^2)</f>
        <v/>
      </c>
      <c r="AK201">
        <f>IF(計分!AK201="","",計分!AK201^2)</f>
        <v/>
      </c>
      <c r="AL201">
        <f>IF(計分!AL201="","",計分!AL201^2)</f>
        <v/>
      </c>
      <c r="AM201">
        <f>IF(計分!AM201="","",計分!AM201^2)</f>
        <v/>
      </c>
      <c r="AN201">
        <f>IF(計分!AN201="","",計分!AN201^2)</f>
        <v/>
      </c>
      <c r="AO201">
        <f>IF(計分!AO201="","",計分!AO201^2)</f>
        <v/>
      </c>
    </row>
    <row r="202">
      <c r="B202">
        <f>IF(計分!B202="","",計分!B202^2)</f>
        <v/>
      </c>
      <c r="C202">
        <f>IF(計分!C202="","",計分!C202^2)</f>
        <v/>
      </c>
      <c r="D202">
        <f>IF(計分!D202="","",計分!D202^2)</f>
        <v/>
      </c>
      <c r="E202">
        <f>IF(計分!E202="","",計分!E202^2)</f>
        <v/>
      </c>
      <c r="F202">
        <f>IF(計分!F202="","",計分!F202^2)</f>
        <v/>
      </c>
      <c r="G202">
        <f>IF(計分!G202="","",計分!G202^2)</f>
        <v/>
      </c>
      <c r="H202">
        <f>IF(計分!H202="","",計分!H202^2)</f>
        <v/>
      </c>
      <c r="I202">
        <f>IF(計分!I202="","",計分!I202^2)</f>
        <v/>
      </c>
      <c r="J202">
        <f>IF(計分!J202="","",計分!J202^2)</f>
        <v/>
      </c>
      <c r="K202">
        <f>IF(計分!K202="","",計分!K202^2)</f>
        <v/>
      </c>
      <c r="L202">
        <f>IF(計分!L202="","",計分!L202^2)</f>
        <v/>
      </c>
      <c r="M202">
        <f>IF(計分!M202="","",計分!M202^2)</f>
        <v/>
      </c>
      <c r="N202">
        <f>IF(計分!N202="","",計分!N202^2)</f>
        <v/>
      </c>
      <c r="O202">
        <f>IF(計分!O202="","",計分!O202^2)</f>
        <v/>
      </c>
      <c r="P202">
        <f>IF(計分!P202="","",計分!P202^2)</f>
        <v/>
      </c>
      <c r="Q202">
        <f>IF(計分!Q202="","",計分!Q202^2)</f>
        <v/>
      </c>
      <c r="R202">
        <f>IF(計分!R202="","",計分!R202^2)</f>
        <v/>
      </c>
      <c r="S202">
        <f>IF(計分!S202="","",計分!S202^2)</f>
        <v/>
      </c>
      <c r="T202">
        <f>IF(計分!T202="","",計分!T202^2)</f>
        <v/>
      </c>
      <c r="U202">
        <f>IF(計分!U202="","",計分!U202^2)</f>
        <v/>
      </c>
      <c r="V202">
        <f>IF(計分!V202="","",計分!V202^2)</f>
        <v/>
      </c>
      <c r="W202">
        <f>IF(計分!W202="","",計分!W202^2)</f>
        <v/>
      </c>
      <c r="X202">
        <f>IF(計分!X202="","",計分!X202^2)</f>
        <v/>
      </c>
      <c r="Y202">
        <f>IF(計分!Y202="","",計分!Y202^2)</f>
        <v/>
      </c>
      <c r="Z202">
        <f>IF(計分!Z202="","",計分!Z202^2)</f>
        <v/>
      </c>
      <c r="AA202">
        <f>IF(計分!AA202="","",計分!AA202^2)</f>
        <v/>
      </c>
      <c r="AB202">
        <f>IF(計分!AB202="","",計分!AB202^2)</f>
        <v/>
      </c>
      <c r="AC202">
        <f>IF(計分!AC202="","",計分!AC202^2)</f>
        <v/>
      </c>
      <c r="AD202">
        <f>IF(計分!AD202="","",計分!AD202^2)</f>
        <v/>
      </c>
      <c r="AE202">
        <f>IF(計分!AE202="","",計分!AE202^2)</f>
        <v/>
      </c>
      <c r="AF202">
        <f>IF(計分!AF202="","",計分!AF202^2)</f>
        <v/>
      </c>
      <c r="AG202">
        <f>IF(計分!AG202="","",計分!AG202^2)</f>
        <v/>
      </c>
      <c r="AH202">
        <f>IF(計分!AH202="","",計分!AH202^2)</f>
        <v/>
      </c>
      <c r="AI202">
        <f>IF(計分!AI202="","",計分!AI202^2)</f>
        <v/>
      </c>
      <c r="AJ202">
        <f>IF(計分!AJ202="","",計分!AJ202^2)</f>
        <v/>
      </c>
      <c r="AK202">
        <f>IF(計分!AK202="","",計分!AK202^2)</f>
        <v/>
      </c>
      <c r="AL202">
        <f>IF(計分!AL202="","",計分!AL202^2)</f>
        <v/>
      </c>
      <c r="AM202">
        <f>IF(計分!AM202="","",計分!AM202^2)</f>
        <v/>
      </c>
      <c r="AN202">
        <f>IF(計分!AN202="","",計分!AN202^2)</f>
        <v/>
      </c>
      <c r="AO202">
        <f>IF(計分!AO202="","",計分!AO202^2)</f>
        <v/>
      </c>
    </row>
    <row r="203">
      <c r="B203">
        <f>IF(計分!B203="","",計分!B203^2)</f>
        <v/>
      </c>
      <c r="C203">
        <f>IF(計分!C203="","",計分!C203^2)</f>
        <v/>
      </c>
      <c r="D203">
        <f>IF(計分!D203="","",計分!D203^2)</f>
        <v/>
      </c>
      <c r="E203">
        <f>IF(計分!E203="","",計分!E203^2)</f>
        <v/>
      </c>
      <c r="F203">
        <f>IF(計分!F203="","",計分!F203^2)</f>
        <v/>
      </c>
      <c r="G203">
        <f>IF(計分!G203="","",計分!G203^2)</f>
        <v/>
      </c>
      <c r="H203">
        <f>IF(計分!H203="","",計分!H203^2)</f>
        <v/>
      </c>
      <c r="I203">
        <f>IF(計分!I203="","",計分!I203^2)</f>
        <v/>
      </c>
      <c r="J203">
        <f>IF(計分!J203="","",計分!J203^2)</f>
        <v/>
      </c>
      <c r="K203">
        <f>IF(計分!K203="","",計分!K203^2)</f>
        <v/>
      </c>
      <c r="L203">
        <f>IF(計分!L203="","",計分!L203^2)</f>
        <v/>
      </c>
      <c r="M203">
        <f>IF(計分!M203="","",計分!M203^2)</f>
        <v/>
      </c>
      <c r="N203">
        <f>IF(計分!N203="","",計分!N203^2)</f>
        <v/>
      </c>
      <c r="O203">
        <f>IF(計分!O203="","",計分!O203^2)</f>
        <v/>
      </c>
      <c r="P203">
        <f>IF(計分!P203="","",計分!P203^2)</f>
        <v/>
      </c>
      <c r="Q203">
        <f>IF(計分!Q203="","",計分!Q203^2)</f>
        <v/>
      </c>
      <c r="R203">
        <f>IF(計分!R203="","",計分!R203^2)</f>
        <v/>
      </c>
      <c r="S203">
        <f>IF(計分!S203="","",計分!S203^2)</f>
        <v/>
      </c>
      <c r="T203">
        <f>IF(計分!T203="","",計分!T203^2)</f>
        <v/>
      </c>
      <c r="U203">
        <f>IF(計分!U203="","",計分!U203^2)</f>
        <v/>
      </c>
      <c r="V203">
        <f>IF(計分!V203="","",計分!V203^2)</f>
        <v/>
      </c>
      <c r="W203">
        <f>IF(計分!W203="","",計分!W203^2)</f>
        <v/>
      </c>
      <c r="X203">
        <f>IF(計分!X203="","",計分!X203^2)</f>
        <v/>
      </c>
      <c r="Y203">
        <f>IF(計分!Y203="","",計分!Y203^2)</f>
        <v/>
      </c>
      <c r="Z203">
        <f>IF(計分!Z203="","",計分!Z203^2)</f>
        <v/>
      </c>
      <c r="AA203">
        <f>IF(計分!AA203="","",計分!AA203^2)</f>
        <v/>
      </c>
      <c r="AB203">
        <f>IF(計分!AB203="","",計分!AB203^2)</f>
        <v/>
      </c>
      <c r="AC203">
        <f>IF(計分!AC203="","",計分!AC203^2)</f>
        <v/>
      </c>
      <c r="AD203">
        <f>IF(計分!AD203="","",計分!AD203^2)</f>
        <v/>
      </c>
      <c r="AE203">
        <f>IF(計分!AE203="","",計分!AE203^2)</f>
        <v/>
      </c>
      <c r="AF203">
        <f>IF(計分!AF203="","",計分!AF203^2)</f>
        <v/>
      </c>
      <c r="AG203">
        <f>IF(計分!AG203="","",計分!AG203^2)</f>
        <v/>
      </c>
      <c r="AH203">
        <f>IF(計分!AH203="","",計分!AH203^2)</f>
        <v/>
      </c>
      <c r="AI203">
        <f>IF(計分!AI203="","",計分!AI203^2)</f>
        <v/>
      </c>
      <c r="AJ203">
        <f>IF(計分!AJ203="","",計分!AJ203^2)</f>
        <v/>
      </c>
      <c r="AK203">
        <f>IF(計分!AK203="","",計分!AK203^2)</f>
        <v/>
      </c>
      <c r="AL203">
        <f>IF(計分!AL203="","",計分!AL203^2)</f>
        <v/>
      </c>
      <c r="AM203">
        <f>IF(計分!AM203="","",計分!AM203^2)</f>
        <v/>
      </c>
      <c r="AN203">
        <f>IF(計分!AN203="","",計分!AN203^2)</f>
        <v/>
      </c>
      <c r="AO203">
        <f>IF(計分!AO203="","",計分!AO203^2)</f>
        <v/>
      </c>
    </row>
    <row r="204">
      <c r="B204">
        <f>IF(計分!B204="","",計分!B204^2)</f>
        <v/>
      </c>
      <c r="C204">
        <f>IF(計分!C204="","",計分!C204^2)</f>
        <v/>
      </c>
      <c r="D204">
        <f>IF(計分!D204="","",計分!D204^2)</f>
        <v/>
      </c>
      <c r="E204">
        <f>IF(計分!E204="","",計分!E204^2)</f>
        <v/>
      </c>
      <c r="F204">
        <f>IF(計分!F204="","",計分!F204^2)</f>
        <v/>
      </c>
      <c r="G204">
        <f>IF(計分!G204="","",計分!G204^2)</f>
        <v/>
      </c>
      <c r="H204">
        <f>IF(計分!H204="","",計分!H204^2)</f>
        <v/>
      </c>
      <c r="I204">
        <f>IF(計分!I204="","",計分!I204^2)</f>
        <v/>
      </c>
      <c r="J204">
        <f>IF(計分!J204="","",計分!J204^2)</f>
        <v/>
      </c>
      <c r="K204">
        <f>IF(計分!K204="","",計分!K204^2)</f>
        <v/>
      </c>
      <c r="L204">
        <f>IF(計分!L204="","",計分!L204^2)</f>
        <v/>
      </c>
      <c r="M204">
        <f>IF(計分!M204="","",計分!M204^2)</f>
        <v/>
      </c>
      <c r="N204">
        <f>IF(計分!N204="","",計分!N204^2)</f>
        <v/>
      </c>
      <c r="O204">
        <f>IF(計分!O204="","",計分!O204^2)</f>
        <v/>
      </c>
      <c r="P204">
        <f>IF(計分!P204="","",計分!P204^2)</f>
        <v/>
      </c>
      <c r="Q204">
        <f>IF(計分!Q204="","",計分!Q204^2)</f>
        <v/>
      </c>
      <c r="R204">
        <f>IF(計分!R204="","",計分!R204^2)</f>
        <v/>
      </c>
      <c r="S204">
        <f>IF(計分!S204="","",計分!S204^2)</f>
        <v/>
      </c>
      <c r="T204">
        <f>IF(計分!T204="","",計分!T204^2)</f>
        <v/>
      </c>
      <c r="U204">
        <f>IF(計分!U204="","",計分!U204^2)</f>
        <v/>
      </c>
      <c r="V204">
        <f>IF(計分!V204="","",計分!V204^2)</f>
        <v/>
      </c>
      <c r="W204">
        <f>IF(計分!W204="","",計分!W204^2)</f>
        <v/>
      </c>
      <c r="X204">
        <f>IF(計分!X204="","",計分!X204^2)</f>
        <v/>
      </c>
      <c r="Y204">
        <f>IF(計分!Y204="","",計分!Y204^2)</f>
        <v/>
      </c>
      <c r="Z204">
        <f>IF(計分!Z204="","",計分!Z204^2)</f>
        <v/>
      </c>
      <c r="AA204">
        <f>IF(計分!AA204="","",計分!AA204^2)</f>
        <v/>
      </c>
      <c r="AB204">
        <f>IF(計分!AB204="","",計分!AB204^2)</f>
        <v/>
      </c>
      <c r="AC204">
        <f>IF(計分!AC204="","",計分!AC204^2)</f>
        <v/>
      </c>
      <c r="AD204">
        <f>IF(計分!AD204="","",計分!AD204^2)</f>
        <v/>
      </c>
      <c r="AE204">
        <f>IF(計分!AE204="","",計分!AE204^2)</f>
        <v/>
      </c>
      <c r="AF204">
        <f>IF(計分!AF204="","",計分!AF204^2)</f>
        <v/>
      </c>
      <c r="AG204">
        <f>IF(計分!AG204="","",計分!AG204^2)</f>
        <v/>
      </c>
      <c r="AH204">
        <f>IF(計分!AH204="","",計分!AH204^2)</f>
        <v/>
      </c>
      <c r="AI204">
        <f>IF(計分!AI204="","",計分!AI204^2)</f>
        <v/>
      </c>
      <c r="AJ204">
        <f>IF(計分!AJ204="","",計分!AJ204^2)</f>
        <v/>
      </c>
      <c r="AK204">
        <f>IF(計分!AK204="","",計分!AK204^2)</f>
        <v/>
      </c>
      <c r="AL204">
        <f>IF(計分!AL204="","",計分!AL204^2)</f>
        <v/>
      </c>
      <c r="AM204">
        <f>IF(計分!AM204="","",計分!AM204^2)</f>
        <v/>
      </c>
      <c r="AN204">
        <f>IF(計分!AN204="","",計分!AN204^2)</f>
        <v/>
      </c>
      <c r="AO204">
        <f>IF(計分!AO204="","",計分!AO204^2)</f>
        <v/>
      </c>
    </row>
    <row r="205">
      <c r="B205">
        <f>IF(計分!B205="","",計分!B205^2)</f>
        <v/>
      </c>
      <c r="C205">
        <f>IF(計分!C205="","",計分!C205^2)</f>
        <v/>
      </c>
      <c r="D205">
        <f>IF(計分!D205="","",計分!D205^2)</f>
        <v/>
      </c>
      <c r="E205">
        <f>IF(計分!E205="","",計分!E205^2)</f>
        <v/>
      </c>
      <c r="F205">
        <f>IF(計分!F205="","",計分!F205^2)</f>
        <v/>
      </c>
      <c r="G205">
        <f>IF(計分!G205="","",計分!G205^2)</f>
        <v/>
      </c>
      <c r="H205">
        <f>IF(計分!H205="","",計分!H205^2)</f>
        <v/>
      </c>
      <c r="I205">
        <f>IF(計分!I205="","",計分!I205^2)</f>
        <v/>
      </c>
      <c r="J205">
        <f>IF(計分!J205="","",計分!J205^2)</f>
        <v/>
      </c>
      <c r="K205">
        <f>IF(計分!K205="","",計分!K205^2)</f>
        <v/>
      </c>
      <c r="L205">
        <f>IF(計分!L205="","",計分!L205^2)</f>
        <v/>
      </c>
      <c r="M205">
        <f>IF(計分!M205="","",計分!M205^2)</f>
        <v/>
      </c>
      <c r="N205">
        <f>IF(計分!N205="","",計分!N205^2)</f>
        <v/>
      </c>
      <c r="O205">
        <f>IF(計分!O205="","",計分!O205^2)</f>
        <v/>
      </c>
      <c r="P205">
        <f>IF(計分!P205="","",計分!P205^2)</f>
        <v/>
      </c>
      <c r="Q205">
        <f>IF(計分!Q205="","",計分!Q205^2)</f>
        <v/>
      </c>
      <c r="R205">
        <f>IF(計分!R205="","",計分!R205^2)</f>
        <v/>
      </c>
      <c r="S205">
        <f>IF(計分!S205="","",計分!S205^2)</f>
        <v/>
      </c>
      <c r="T205">
        <f>IF(計分!T205="","",計分!T205^2)</f>
        <v/>
      </c>
      <c r="U205">
        <f>IF(計分!U205="","",計分!U205^2)</f>
        <v/>
      </c>
      <c r="V205">
        <f>IF(計分!V205="","",計分!V205^2)</f>
        <v/>
      </c>
      <c r="W205">
        <f>IF(計分!W205="","",計分!W205^2)</f>
        <v/>
      </c>
      <c r="X205">
        <f>IF(計分!X205="","",計分!X205^2)</f>
        <v/>
      </c>
      <c r="Y205">
        <f>IF(計分!Y205="","",計分!Y205^2)</f>
        <v/>
      </c>
      <c r="Z205">
        <f>IF(計分!Z205="","",計分!Z205^2)</f>
        <v/>
      </c>
      <c r="AA205">
        <f>IF(計分!AA205="","",計分!AA205^2)</f>
        <v/>
      </c>
      <c r="AB205">
        <f>IF(計分!AB205="","",計分!AB205^2)</f>
        <v/>
      </c>
      <c r="AC205">
        <f>IF(計分!AC205="","",計分!AC205^2)</f>
        <v/>
      </c>
      <c r="AD205">
        <f>IF(計分!AD205="","",計分!AD205^2)</f>
        <v/>
      </c>
      <c r="AE205">
        <f>IF(計分!AE205="","",計分!AE205^2)</f>
        <v/>
      </c>
      <c r="AF205">
        <f>IF(計分!AF205="","",計分!AF205^2)</f>
        <v/>
      </c>
      <c r="AG205">
        <f>IF(計分!AG205="","",計分!AG205^2)</f>
        <v/>
      </c>
      <c r="AH205">
        <f>IF(計分!AH205="","",計分!AH205^2)</f>
        <v/>
      </c>
      <c r="AI205">
        <f>IF(計分!AI205="","",計分!AI205^2)</f>
        <v/>
      </c>
      <c r="AJ205">
        <f>IF(計分!AJ205="","",計分!AJ205^2)</f>
        <v/>
      </c>
      <c r="AK205">
        <f>IF(計分!AK205="","",計分!AK205^2)</f>
        <v/>
      </c>
      <c r="AL205">
        <f>IF(計分!AL205="","",計分!AL205^2)</f>
        <v/>
      </c>
      <c r="AM205">
        <f>IF(計分!AM205="","",計分!AM205^2)</f>
        <v/>
      </c>
      <c r="AN205">
        <f>IF(計分!AN205="","",計分!AN205^2)</f>
        <v/>
      </c>
      <c r="AO205">
        <f>IF(計分!AO205="","",計分!AO205^2)</f>
        <v/>
      </c>
    </row>
    <row r="206">
      <c r="B206">
        <f>IF(計分!B206="","",計分!B206^2)</f>
        <v/>
      </c>
      <c r="C206">
        <f>IF(計分!C206="","",計分!C206^2)</f>
        <v/>
      </c>
      <c r="D206">
        <f>IF(計分!D206="","",計分!D206^2)</f>
        <v/>
      </c>
      <c r="E206">
        <f>IF(計分!E206="","",計分!E206^2)</f>
        <v/>
      </c>
      <c r="F206">
        <f>IF(計分!F206="","",計分!F206^2)</f>
        <v/>
      </c>
      <c r="G206">
        <f>IF(計分!G206="","",計分!G206^2)</f>
        <v/>
      </c>
      <c r="H206">
        <f>IF(計分!H206="","",計分!H206^2)</f>
        <v/>
      </c>
      <c r="I206">
        <f>IF(計分!I206="","",計分!I206^2)</f>
        <v/>
      </c>
      <c r="J206">
        <f>IF(計分!J206="","",計分!J206^2)</f>
        <v/>
      </c>
      <c r="K206">
        <f>IF(計分!K206="","",計分!K206^2)</f>
        <v/>
      </c>
      <c r="L206">
        <f>IF(計分!L206="","",計分!L206^2)</f>
        <v/>
      </c>
      <c r="M206">
        <f>IF(計分!M206="","",計分!M206^2)</f>
        <v/>
      </c>
      <c r="N206">
        <f>IF(計分!N206="","",計分!N206^2)</f>
        <v/>
      </c>
      <c r="O206">
        <f>IF(計分!O206="","",計分!O206^2)</f>
        <v/>
      </c>
      <c r="P206">
        <f>IF(計分!P206="","",計分!P206^2)</f>
        <v/>
      </c>
      <c r="Q206">
        <f>IF(計分!Q206="","",計分!Q206^2)</f>
        <v/>
      </c>
      <c r="R206">
        <f>IF(計分!R206="","",計分!R206^2)</f>
        <v/>
      </c>
      <c r="S206">
        <f>IF(計分!S206="","",計分!S206^2)</f>
        <v/>
      </c>
      <c r="T206">
        <f>IF(計分!T206="","",計分!T206^2)</f>
        <v/>
      </c>
      <c r="U206">
        <f>IF(計分!U206="","",計分!U206^2)</f>
        <v/>
      </c>
      <c r="V206">
        <f>IF(計分!V206="","",計分!V206^2)</f>
        <v/>
      </c>
      <c r="W206">
        <f>IF(計分!W206="","",計分!W206^2)</f>
        <v/>
      </c>
      <c r="X206">
        <f>IF(計分!X206="","",計分!X206^2)</f>
        <v/>
      </c>
      <c r="Y206">
        <f>IF(計分!Y206="","",計分!Y206^2)</f>
        <v/>
      </c>
      <c r="Z206">
        <f>IF(計分!Z206="","",計分!Z206^2)</f>
        <v/>
      </c>
      <c r="AA206">
        <f>IF(計分!AA206="","",計分!AA206^2)</f>
        <v/>
      </c>
      <c r="AB206">
        <f>IF(計分!AB206="","",計分!AB206^2)</f>
        <v/>
      </c>
      <c r="AC206">
        <f>IF(計分!AC206="","",計分!AC206^2)</f>
        <v/>
      </c>
      <c r="AD206">
        <f>IF(計分!AD206="","",計分!AD206^2)</f>
        <v/>
      </c>
      <c r="AE206">
        <f>IF(計分!AE206="","",計分!AE206^2)</f>
        <v/>
      </c>
      <c r="AF206">
        <f>IF(計分!AF206="","",計分!AF206^2)</f>
        <v/>
      </c>
      <c r="AG206">
        <f>IF(計分!AG206="","",計分!AG206^2)</f>
        <v/>
      </c>
      <c r="AH206">
        <f>IF(計分!AH206="","",計分!AH206^2)</f>
        <v/>
      </c>
      <c r="AI206">
        <f>IF(計分!AI206="","",計分!AI206^2)</f>
        <v/>
      </c>
      <c r="AJ206">
        <f>IF(計分!AJ206="","",計分!AJ206^2)</f>
        <v/>
      </c>
      <c r="AK206">
        <f>IF(計分!AK206="","",計分!AK206^2)</f>
        <v/>
      </c>
      <c r="AL206">
        <f>IF(計分!AL206="","",計分!AL206^2)</f>
        <v/>
      </c>
      <c r="AM206">
        <f>IF(計分!AM206="","",計分!AM206^2)</f>
        <v/>
      </c>
      <c r="AN206">
        <f>IF(計分!AN206="","",計分!AN206^2)</f>
        <v/>
      </c>
      <c r="AO206">
        <f>IF(計分!AO206="","",計分!AO206^2)</f>
        <v/>
      </c>
    </row>
    <row r="207">
      <c r="B207">
        <f>IF(計分!B207="","",計分!B207^2)</f>
        <v/>
      </c>
      <c r="C207">
        <f>IF(計分!C207="","",計分!C207^2)</f>
        <v/>
      </c>
      <c r="D207">
        <f>IF(計分!D207="","",計分!D207^2)</f>
        <v/>
      </c>
      <c r="E207">
        <f>IF(計分!E207="","",計分!E207^2)</f>
        <v/>
      </c>
      <c r="F207">
        <f>IF(計分!F207="","",計分!F207^2)</f>
        <v/>
      </c>
      <c r="G207">
        <f>IF(計分!G207="","",計分!G207^2)</f>
        <v/>
      </c>
      <c r="H207">
        <f>IF(計分!H207="","",計分!H207^2)</f>
        <v/>
      </c>
      <c r="I207">
        <f>IF(計分!I207="","",計分!I207^2)</f>
        <v/>
      </c>
      <c r="J207">
        <f>IF(計分!J207="","",計分!J207^2)</f>
        <v/>
      </c>
      <c r="K207">
        <f>IF(計分!K207="","",計分!K207^2)</f>
        <v/>
      </c>
      <c r="L207">
        <f>IF(計分!L207="","",計分!L207^2)</f>
        <v/>
      </c>
      <c r="M207">
        <f>IF(計分!M207="","",計分!M207^2)</f>
        <v/>
      </c>
      <c r="N207">
        <f>IF(計分!N207="","",計分!N207^2)</f>
        <v/>
      </c>
      <c r="O207">
        <f>IF(計分!O207="","",計分!O207^2)</f>
        <v/>
      </c>
      <c r="P207">
        <f>IF(計分!P207="","",計分!P207^2)</f>
        <v/>
      </c>
      <c r="Q207">
        <f>IF(計分!Q207="","",計分!Q207^2)</f>
        <v/>
      </c>
      <c r="R207">
        <f>IF(計分!R207="","",計分!R207^2)</f>
        <v/>
      </c>
      <c r="S207">
        <f>IF(計分!S207="","",計分!S207^2)</f>
        <v/>
      </c>
      <c r="T207">
        <f>IF(計分!T207="","",計分!T207^2)</f>
        <v/>
      </c>
      <c r="U207">
        <f>IF(計分!U207="","",計分!U207^2)</f>
        <v/>
      </c>
      <c r="V207">
        <f>IF(計分!V207="","",計分!V207^2)</f>
        <v/>
      </c>
      <c r="W207">
        <f>IF(計分!W207="","",計分!W207^2)</f>
        <v/>
      </c>
      <c r="X207">
        <f>IF(計分!X207="","",計分!X207^2)</f>
        <v/>
      </c>
      <c r="Y207">
        <f>IF(計分!Y207="","",計分!Y207^2)</f>
        <v/>
      </c>
      <c r="Z207">
        <f>IF(計分!Z207="","",計分!Z207^2)</f>
        <v/>
      </c>
      <c r="AA207">
        <f>IF(計分!AA207="","",計分!AA207^2)</f>
        <v/>
      </c>
      <c r="AB207">
        <f>IF(計分!AB207="","",計分!AB207^2)</f>
        <v/>
      </c>
      <c r="AC207">
        <f>IF(計分!AC207="","",計分!AC207^2)</f>
        <v/>
      </c>
      <c r="AD207">
        <f>IF(計分!AD207="","",計分!AD207^2)</f>
        <v/>
      </c>
      <c r="AE207">
        <f>IF(計分!AE207="","",計分!AE207^2)</f>
        <v/>
      </c>
      <c r="AF207">
        <f>IF(計分!AF207="","",計分!AF207^2)</f>
        <v/>
      </c>
      <c r="AG207">
        <f>IF(計分!AG207="","",計分!AG207^2)</f>
        <v/>
      </c>
      <c r="AH207">
        <f>IF(計分!AH207="","",計分!AH207^2)</f>
        <v/>
      </c>
      <c r="AI207">
        <f>IF(計分!AI207="","",計分!AI207^2)</f>
        <v/>
      </c>
      <c r="AJ207">
        <f>IF(計分!AJ207="","",計分!AJ207^2)</f>
        <v/>
      </c>
      <c r="AK207">
        <f>IF(計分!AK207="","",計分!AK207^2)</f>
        <v/>
      </c>
      <c r="AL207">
        <f>IF(計分!AL207="","",計分!AL207^2)</f>
        <v/>
      </c>
      <c r="AM207">
        <f>IF(計分!AM207="","",計分!AM207^2)</f>
        <v/>
      </c>
      <c r="AN207">
        <f>IF(計分!AN207="","",計分!AN207^2)</f>
        <v/>
      </c>
      <c r="AO207">
        <f>IF(計分!AO207="","",計分!AO207^2)</f>
        <v/>
      </c>
    </row>
    <row r="208">
      <c r="B208">
        <f>IF(計分!B208="","",計分!B208^2)</f>
        <v/>
      </c>
      <c r="C208">
        <f>IF(計分!C208="","",計分!C208^2)</f>
        <v/>
      </c>
      <c r="D208">
        <f>IF(計分!D208="","",計分!D208^2)</f>
        <v/>
      </c>
      <c r="E208">
        <f>IF(計分!E208="","",計分!E208^2)</f>
        <v/>
      </c>
      <c r="F208">
        <f>IF(計分!F208="","",計分!F208^2)</f>
        <v/>
      </c>
      <c r="G208">
        <f>IF(計分!G208="","",計分!G208^2)</f>
        <v/>
      </c>
      <c r="H208">
        <f>IF(計分!H208="","",計分!H208^2)</f>
        <v/>
      </c>
      <c r="I208">
        <f>IF(計分!I208="","",計分!I208^2)</f>
        <v/>
      </c>
      <c r="J208">
        <f>IF(計分!J208="","",計分!J208^2)</f>
        <v/>
      </c>
      <c r="K208">
        <f>IF(計分!K208="","",計分!K208^2)</f>
        <v/>
      </c>
      <c r="L208">
        <f>IF(計分!L208="","",計分!L208^2)</f>
        <v/>
      </c>
      <c r="M208">
        <f>IF(計分!M208="","",計分!M208^2)</f>
        <v/>
      </c>
      <c r="N208">
        <f>IF(計分!N208="","",計分!N208^2)</f>
        <v/>
      </c>
      <c r="O208">
        <f>IF(計分!O208="","",計分!O208^2)</f>
        <v/>
      </c>
      <c r="P208">
        <f>IF(計分!P208="","",計分!P208^2)</f>
        <v/>
      </c>
      <c r="Q208">
        <f>IF(計分!Q208="","",計分!Q208^2)</f>
        <v/>
      </c>
      <c r="R208">
        <f>IF(計分!R208="","",計分!R208^2)</f>
        <v/>
      </c>
      <c r="S208">
        <f>IF(計分!S208="","",計分!S208^2)</f>
        <v/>
      </c>
      <c r="T208">
        <f>IF(計分!T208="","",計分!T208^2)</f>
        <v/>
      </c>
      <c r="U208">
        <f>IF(計分!U208="","",計分!U208^2)</f>
        <v/>
      </c>
      <c r="V208">
        <f>IF(計分!V208="","",計分!V208^2)</f>
        <v/>
      </c>
      <c r="W208">
        <f>IF(計分!W208="","",計分!W208^2)</f>
        <v/>
      </c>
      <c r="X208">
        <f>IF(計分!X208="","",計分!X208^2)</f>
        <v/>
      </c>
      <c r="Y208">
        <f>IF(計分!Y208="","",計分!Y208^2)</f>
        <v/>
      </c>
      <c r="Z208">
        <f>IF(計分!Z208="","",計分!Z208^2)</f>
        <v/>
      </c>
      <c r="AA208">
        <f>IF(計分!AA208="","",計分!AA208^2)</f>
        <v/>
      </c>
      <c r="AB208">
        <f>IF(計分!AB208="","",計分!AB208^2)</f>
        <v/>
      </c>
      <c r="AC208">
        <f>IF(計分!AC208="","",計分!AC208^2)</f>
        <v/>
      </c>
      <c r="AD208">
        <f>IF(計分!AD208="","",計分!AD208^2)</f>
        <v/>
      </c>
      <c r="AE208">
        <f>IF(計分!AE208="","",計分!AE208^2)</f>
        <v/>
      </c>
      <c r="AF208">
        <f>IF(計分!AF208="","",計分!AF208^2)</f>
        <v/>
      </c>
      <c r="AG208">
        <f>IF(計分!AG208="","",計分!AG208^2)</f>
        <v/>
      </c>
      <c r="AH208">
        <f>IF(計分!AH208="","",計分!AH208^2)</f>
        <v/>
      </c>
      <c r="AI208">
        <f>IF(計分!AI208="","",計分!AI208^2)</f>
        <v/>
      </c>
      <c r="AJ208">
        <f>IF(計分!AJ208="","",計分!AJ208^2)</f>
        <v/>
      </c>
      <c r="AK208">
        <f>IF(計分!AK208="","",計分!AK208^2)</f>
        <v/>
      </c>
      <c r="AL208">
        <f>IF(計分!AL208="","",計分!AL208^2)</f>
        <v/>
      </c>
      <c r="AM208">
        <f>IF(計分!AM208="","",計分!AM208^2)</f>
        <v/>
      </c>
      <c r="AN208">
        <f>IF(計分!AN208="","",計分!AN208^2)</f>
        <v/>
      </c>
      <c r="AO208">
        <f>IF(計分!AO208="","",計分!AO208^2)</f>
        <v/>
      </c>
    </row>
    <row r="209">
      <c r="B209">
        <f>IF(計分!B209="","",計分!B209^2)</f>
        <v/>
      </c>
      <c r="C209">
        <f>IF(計分!C209="","",計分!C209^2)</f>
        <v/>
      </c>
      <c r="D209">
        <f>IF(計分!D209="","",計分!D209^2)</f>
        <v/>
      </c>
      <c r="E209">
        <f>IF(計分!E209="","",計分!E209^2)</f>
        <v/>
      </c>
      <c r="F209">
        <f>IF(計分!F209="","",計分!F209^2)</f>
        <v/>
      </c>
      <c r="G209">
        <f>IF(計分!G209="","",計分!G209^2)</f>
        <v/>
      </c>
      <c r="H209">
        <f>IF(計分!H209="","",計分!H209^2)</f>
        <v/>
      </c>
      <c r="I209">
        <f>IF(計分!I209="","",計分!I209^2)</f>
        <v/>
      </c>
      <c r="J209">
        <f>IF(計分!J209="","",計分!J209^2)</f>
        <v/>
      </c>
      <c r="K209">
        <f>IF(計分!K209="","",計分!K209^2)</f>
        <v/>
      </c>
      <c r="L209">
        <f>IF(計分!L209="","",計分!L209^2)</f>
        <v/>
      </c>
      <c r="M209">
        <f>IF(計分!M209="","",計分!M209^2)</f>
        <v/>
      </c>
      <c r="N209">
        <f>IF(計分!N209="","",計分!N209^2)</f>
        <v/>
      </c>
      <c r="O209">
        <f>IF(計分!O209="","",計分!O209^2)</f>
        <v/>
      </c>
      <c r="P209">
        <f>IF(計分!P209="","",計分!P209^2)</f>
        <v/>
      </c>
      <c r="Q209">
        <f>IF(計分!Q209="","",計分!Q209^2)</f>
        <v/>
      </c>
      <c r="R209">
        <f>IF(計分!R209="","",計分!R209^2)</f>
        <v/>
      </c>
      <c r="S209">
        <f>IF(計分!S209="","",計分!S209^2)</f>
        <v/>
      </c>
      <c r="T209">
        <f>IF(計分!T209="","",計分!T209^2)</f>
        <v/>
      </c>
      <c r="U209">
        <f>IF(計分!U209="","",計分!U209^2)</f>
        <v/>
      </c>
      <c r="V209">
        <f>IF(計分!V209="","",計分!V209^2)</f>
        <v/>
      </c>
      <c r="W209">
        <f>IF(計分!W209="","",計分!W209^2)</f>
        <v/>
      </c>
      <c r="X209">
        <f>IF(計分!X209="","",計分!X209^2)</f>
        <v/>
      </c>
      <c r="Y209">
        <f>IF(計分!Y209="","",計分!Y209^2)</f>
        <v/>
      </c>
      <c r="Z209">
        <f>IF(計分!Z209="","",計分!Z209^2)</f>
        <v/>
      </c>
      <c r="AA209">
        <f>IF(計分!AA209="","",計分!AA209^2)</f>
        <v/>
      </c>
      <c r="AB209">
        <f>IF(計分!AB209="","",計分!AB209^2)</f>
        <v/>
      </c>
      <c r="AC209">
        <f>IF(計分!AC209="","",計分!AC209^2)</f>
        <v/>
      </c>
      <c r="AD209">
        <f>IF(計分!AD209="","",計分!AD209^2)</f>
        <v/>
      </c>
      <c r="AE209">
        <f>IF(計分!AE209="","",計分!AE209^2)</f>
        <v/>
      </c>
      <c r="AF209">
        <f>IF(計分!AF209="","",計分!AF209^2)</f>
        <v/>
      </c>
      <c r="AG209">
        <f>IF(計分!AG209="","",計分!AG209^2)</f>
        <v/>
      </c>
      <c r="AH209">
        <f>IF(計分!AH209="","",計分!AH209^2)</f>
        <v/>
      </c>
      <c r="AI209">
        <f>IF(計分!AI209="","",計分!AI209^2)</f>
        <v/>
      </c>
      <c r="AJ209">
        <f>IF(計分!AJ209="","",計分!AJ209^2)</f>
        <v/>
      </c>
      <c r="AK209">
        <f>IF(計分!AK209="","",計分!AK209^2)</f>
        <v/>
      </c>
      <c r="AL209">
        <f>IF(計分!AL209="","",計分!AL209^2)</f>
        <v/>
      </c>
      <c r="AM209">
        <f>IF(計分!AM209="","",計分!AM209^2)</f>
        <v/>
      </c>
      <c r="AN209">
        <f>IF(計分!AN209="","",計分!AN209^2)</f>
        <v/>
      </c>
      <c r="AO209">
        <f>IF(計分!AO209="","",計分!AO209^2)</f>
        <v/>
      </c>
    </row>
    <row r="210">
      <c r="B210">
        <f>IF(計分!B210="","",計分!B210^2)</f>
        <v/>
      </c>
      <c r="C210">
        <f>IF(計分!C210="","",計分!C210^2)</f>
        <v/>
      </c>
      <c r="D210">
        <f>IF(計分!D210="","",計分!D210^2)</f>
        <v/>
      </c>
      <c r="E210">
        <f>IF(計分!E210="","",計分!E210^2)</f>
        <v/>
      </c>
      <c r="F210">
        <f>IF(計分!F210="","",計分!F210^2)</f>
        <v/>
      </c>
      <c r="G210">
        <f>IF(計分!G210="","",計分!G210^2)</f>
        <v/>
      </c>
      <c r="H210">
        <f>IF(計分!H210="","",計分!H210^2)</f>
        <v/>
      </c>
      <c r="I210">
        <f>IF(計分!I210="","",計分!I210^2)</f>
        <v/>
      </c>
      <c r="J210">
        <f>IF(計分!J210="","",計分!J210^2)</f>
        <v/>
      </c>
      <c r="K210">
        <f>IF(計分!K210="","",計分!K210^2)</f>
        <v/>
      </c>
      <c r="L210">
        <f>IF(計分!L210="","",計分!L210^2)</f>
        <v/>
      </c>
      <c r="M210">
        <f>IF(計分!M210="","",計分!M210^2)</f>
        <v/>
      </c>
      <c r="N210">
        <f>IF(計分!N210="","",計分!N210^2)</f>
        <v/>
      </c>
      <c r="O210">
        <f>IF(計分!O210="","",計分!O210^2)</f>
        <v/>
      </c>
      <c r="P210">
        <f>IF(計分!P210="","",計分!P210^2)</f>
        <v/>
      </c>
      <c r="Q210">
        <f>IF(計分!Q210="","",計分!Q210^2)</f>
        <v/>
      </c>
      <c r="R210">
        <f>IF(計分!R210="","",計分!R210^2)</f>
        <v/>
      </c>
      <c r="S210">
        <f>IF(計分!S210="","",計分!S210^2)</f>
        <v/>
      </c>
      <c r="T210">
        <f>IF(計分!T210="","",計分!T210^2)</f>
        <v/>
      </c>
      <c r="U210">
        <f>IF(計分!U210="","",計分!U210^2)</f>
        <v/>
      </c>
      <c r="V210">
        <f>IF(計分!V210="","",計分!V210^2)</f>
        <v/>
      </c>
      <c r="W210">
        <f>IF(計分!W210="","",計分!W210^2)</f>
        <v/>
      </c>
      <c r="X210">
        <f>IF(計分!X210="","",計分!X210^2)</f>
        <v/>
      </c>
      <c r="Y210">
        <f>IF(計分!Y210="","",計分!Y210^2)</f>
        <v/>
      </c>
      <c r="Z210">
        <f>IF(計分!Z210="","",計分!Z210^2)</f>
        <v/>
      </c>
      <c r="AA210">
        <f>IF(計分!AA210="","",計分!AA210^2)</f>
        <v/>
      </c>
      <c r="AB210">
        <f>IF(計分!AB210="","",計分!AB210^2)</f>
        <v/>
      </c>
      <c r="AC210">
        <f>IF(計分!AC210="","",計分!AC210^2)</f>
        <v/>
      </c>
      <c r="AD210">
        <f>IF(計分!AD210="","",計分!AD210^2)</f>
        <v/>
      </c>
      <c r="AE210">
        <f>IF(計分!AE210="","",計分!AE210^2)</f>
        <v/>
      </c>
      <c r="AF210">
        <f>IF(計分!AF210="","",計分!AF210^2)</f>
        <v/>
      </c>
      <c r="AG210">
        <f>IF(計分!AG210="","",計分!AG210^2)</f>
        <v/>
      </c>
      <c r="AH210">
        <f>IF(計分!AH210="","",計分!AH210^2)</f>
        <v/>
      </c>
      <c r="AI210">
        <f>IF(計分!AI210="","",計分!AI210^2)</f>
        <v/>
      </c>
      <c r="AJ210">
        <f>IF(計分!AJ210="","",計分!AJ210^2)</f>
        <v/>
      </c>
      <c r="AK210">
        <f>IF(計分!AK210="","",計分!AK210^2)</f>
        <v/>
      </c>
      <c r="AL210">
        <f>IF(計分!AL210="","",計分!AL210^2)</f>
        <v/>
      </c>
      <c r="AM210">
        <f>IF(計分!AM210="","",計分!AM210^2)</f>
        <v/>
      </c>
      <c r="AN210">
        <f>IF(計分!AN210="","",計分!AN210^2)</f>
        <v/>
      </c>
      <c r="AO210">
        <f>IF(計分!AO210="","",計分!AO210^2)</f>
        <v/>
      </c>
    </row>
    <row r="211">
      <c r="B211">
        <f>IF(計分!B211="","",計分!B211^2)</f>
        <v/>
      </c>
      <c r="C211">
        <f>IF(計分!C211="","",計分!C211^2)</f>
        <v/>
      </c>
      <c r="D211">
        <f>IF(計分!D211="","",計分!D211^2)</f>
        <v/>
      </c>
      <c r="E211">
        <f>IF(計分!E211="","",計分!E211^2)</f>
        <v/>
      </c>
      <c r="F211">
        <f>IF(計分!F211="","",計分!F211^2)</f>
        <v/>
      </c>
      <c r="G211">
        <f>IF(計分!G211="","",計分!G211^2)</f>
        <v/>
      </c>
      <c r="H211">
        <f>IF(計分!H211="","",計分!H211^2)</f>
        <v/>
      </c>
      <c r="I211">
        <f>IF(計分!I211="","",計分!I211^2)</f>
        <v/>
      </c>
      <c r="J211">
        <f>IF(計分!J211="","",計分!J211^2)</f>
        <v/>
      </c>
      <c r="K211">
        <f>IF(計分!K211="","",計分!K211^2)</f>
        <v/>
      </c>
      <c r="L211">
        <f>IF(計分!L211="","",計分!L211^2)</f>
        <v/>
      </c>
      <c r="M211">
        <f>IF(計分!M211="","",計分!M211^2)</f>
        <v/>
      </c>
      <c r="N211">
        <f>IF(計分!N211="","",計分!N211^2)</f>
        <v/>
      </c>
      <c r="O211">
        <f>IF(計分!O211="","",計分!O211^2)</f>
        <v/>
      </c>
      <c r="P211">
        <f>IF(計分!P211="","",計分!P211^2)</f>
        <v/>
      </c>
      <c r="Q211">
        <f>IF(計分!Q211="","",計分!Q211^2)</f>
        <v/>
      </c>
      <c r="R211">
        <f>IF(計分!R211="","",計分!R211^2)</f>
        <v/>
      </c>
      <c r="S211">
        <f>IF(計分!S211="","",計分!S211^2)</f>
        <v/>
      </c>
      <c r="T211">
        <f>IF(計分!T211="","",計分!T211^2)</f>
        <v/>
      </c>
      <c r="U211">
        <f>IF(計分!U211="","",計分!U211^2)</f>
        <v/>
      </c>
      <c r="V211">
        <f>IF(計分!V211="","",計分!V211^2)</f>
        <v/>
      </c>
      <c r="W211">
        <f>IF(計分!W211="","",計分!W211^2)</f>
        <v/>
      </c>
      <c r="X211">
        <f>IF(計分!X211="","",計分!X211^2)</f>
        <v/>
      </c>
      <c r="Y211">
        <f>IF(計分!Y211="","",計分!Y211^2)</f>
        <v/>
      </c>
      <c r="Z211">
        <f>IF(計分!Z211="","",計分!Z211^2)</f>
        <v/>
      </c>
      <c r="AA211">
        <f>IF(計分!AA211="","",計分!AA211^2)</f>
        <v/>
      </c>
      <c r="AB211">
        <f>IF(計分!AB211="","",計分!AB211^2)</f>
        <v/>
      </c>
      <c r="AC211">
        <f>IF(計分!AC211="","",計分!AC211^2)</f>
        <v/>
      </c>
      <c r="AD211">
        <f>IF(計分!AD211="","",計分!AD211^2)</f>
        <v/>
      </c>
      <c r="AE211">
        <f>IF(計分!AE211="","",計分!AE211^2)</f>
        <v/>
      </c>
      <c r="AF211">
        <f>IF(計分!AF211="","",計分!AF211^2)</f>
        <v/>
      </c>
      <c r="AG211">
        <f>IF(計分!AG211="","",計分!AG211^2)</f>
        <v/>
      </c>
      <c r="AH211">
        <f>IF(計分!AH211="","",計分!AH211^2)</f>
        <v/>
      </c>
      <c r="AI211">
        <f>IF(計分!AI211="","",計分!AI211^2)</f>
        <v/>
      </c>
      <c r="AJ211">
        <f>IF(計分!AJ211="","",計分!AJ211^2)</f>
        <v/>
      </c>
      <c r="AK211">
        <f>IF(計分!AK211="","",計分!AK211^2)</f>
        <v/>
      </c>
      <c r="AL211">
        <f>IF(計分!AL211="","",計分!AL211^2)</f>
        <v/>
      </c>
      <c r="AM211">
        <f>IF(計分!AM211="","",計分!AM211^2)</f>
        <v/>
      </c>
      <c r="AN211">
        <f>IF(計分!AN211="","",計分!AN211^2)</f>
        <v/>
      </c>
      <c r="AO211">
        <f>IF(計分!AO211="","",計分!AO211^2)</f>
        <v/>
      </c>
    </row>
    <row r="212">
      <c r="B212">
        <f>IF(計分!B212="","",計分!B212^2)</f>
        <v/>
      </c>
      <c r="C212">
        <f>IF(計分!C212="","",計分!C212^2)</f>
        <v/>
      </c>
      <c r="D212">
        <f>IF(計分!D212="","",計分!D212^2)</f>
        <v/>
      </c>
      <c r="E212">
        <f>IF(計分!E212="","",計分!E212^2)</f>
        <v/>
      </c>
      <c r="F212">
        <f>IF(計分!F212="","",計分!F212^2)</f>
        <v/>
      </c>
      <c r="G212">
        <f>IF(計分!G212="","",計分!G212^2)</f>
        <v/>
      </c>
      <c r="H212">
        <f>IF(計分!H212="","",計分!H212^2)</f>
        <v/>
      </c>
      <c r="I212">
        <f>IF(計分!I212="","",計分!I212^2)</f>
        <v/>
      </c>
      <c r="J212">
        <f>IF(計分!J212="","",計分!J212^2)</f>
        <v/>
      </c>
      <c r="K212">
        <f>IF(計分!K212="","",計分!K212^2)</f>
        <v/>
      </c>
      <c r="L212">
        <f>IF(計分!L212="","",計分!L212^2)</f>
        <v/>
      </c>
      <c r="M212">
        <f>IF(計分!M212="","",計分!M212^2)</f>
        <v/>
      </c>
      <c r="N212">
        <f>IF(計分!N212="","",計分!N212^2)</f>
        <v/>
      </c>
      <c r="O212">
        <f>IF(計分!O212="","",計分!O212^2)</f>
        <v/>
      </c>
      <c r="P212">
        <f>IF(計分!P212="","",計分!P212^2)</f>
        <v/>
      </c>
      <c r="Q212">
        <f>IF(計分!Q212="","",計分!Q212^2)</f>
        <v/>
      </c>
      <c r="R212">
        <f>IF(計分!R212="","",計分!R212^2)</f>
        <v/>
      </c>
      <c r="S212">
        <f>IF(計分!S212="","",計分!S212^2)</f>
        <v/>
      </c>
      <c r="T212">
        <f>IF(計分!T212="","",計分!T212^2)</f>
        <v/>
      </c>
      <c r="U212">
        <f>IF(計分!U212="","",計分!U212^2)</f>
        <v/>
      </c>
      <c r="V212">
        <f>IF(計分!V212="","",計分!V212^2)</f>
        <v/>
      </c>
      <c r="W212">
        <f>IF(計分!W212="","",計分!W212^2)</f>
        <v/>
      </c>
      <c r="X212">
        <f>IF(計分!X212="","",計分!X212^2)</f>
        <v/>
      </c>
      <c r="Y212">
        <f>IF(計分!Y212="","",計分!Y212^2)</f>
        <v/>
      </c>
      <c r="Z212">
        <f>IF(計分!Z212="","",計分!Z212^2)</f>
        <v/>
      </c>
      <c r="AA212">
        <f>IF(計分!AA212="","",計分!AA212^2)</f>
        <v/>
      </c>
      <c r="AB212">
        <f>IF(計分!AB212="","",計分!AB212^2)</f>
        <v/>
      </c>
      <c r="AC212">
        <f>IF(計分!AC212="","",計分!AC212^2)</f>
        <v/>
      </c>
      <c r="AD212">
        <f>IF(計分!AD212="","",計分!AD212^2)</f>
        <v/>
      </c>
      <c r="AE212">
        <f>IF(計分!AE212="","",計分!AE212^2)</f>
        <v/>
      </c>
      <c r="AF212">
        <f>IF(計分!AF212="","",計分!AF212^2)</f>
        <v/>
      </c>
      <c r="AG212">
        <f>IF(計分!AG212="","",計分!AG212^2)</f>
        <v/>
      </c>
      <c r="AH212">
        <f>IF(計分!AH212="","",計分!AH212^2)</f>
        <v/>
      </c>
      <c r="AI212">
        <f>IF(計分!AI212="","",計分!AI212^2)</f>
        <v/>
      </c>
      <c r="AJ212">
        <f>IF(計分!AJ212="","",計分!AJ212^2)</f>
        <v/>
      </c>
      <c r="AK212">
        <f>IF(計分!AK212="","",計分!AK212^2)</f>
        <v/>
      </c>
      <c r="AL212">
        <f>IF(計分!AL212="","",計分!AL212^2)</f>
        <v/>
      </c>
      <c r="AM212">
        <f>IF(計分!AM212="","",計分!AM212^2)</f>
        <v/>
      </c>
      <c r="AN212">
        <f>IF(計分!AN212="","",計分!AN212^2)</f>
        <v/>
      </c>
      <c r="AO212">
        <f>IF(計分!AO212="","",計分!AO212^2)</f>
        <v/>
      </c>
    </row>
    <row r="213">
      <c r="B213">
        <f>IF(計分!B213="","",計分!B213^2)</f>
        <v/>
      </c>
      <c r="C213">
        <f>IF(計分!C213="","",計分!C213^2)</f>
        <v/>
      </c>
      <c r="D213">
        <f>IF(計分!D213="","",計分!D213^2)</f>
        <v/>
      </c>
      <c r="E213">
        <f>IF(計分!E213="","",計分!E213^2)</f>
        <v/>
      </c>
      <c r="F213">
        <f>IF(計分!F213="","",計分!F213^2)</f>
        <v/>
      </c>
      <c r="G213">
        <f>IF(計分!G213="","",計分!G213^2)</f>
        <v/>
      </c>
      <c r="H213">
        <f>IF(計分!H213="","",計分!H213^2)</f>
        <v/>
      </c>
      <c r="I213">
        <f>IF(計分!I213="","",計分!I213^2)</f>
        <v/>
      </c>
      <c r="J213">
        <f>IF(計分!J213="","",計分!J213^2)</f>
        <v/>
      </c>
      <c r="K213">
        <f>IF(計分!K213="","",計分!K213^2)</f>
        <v/>
      </c>
      <c r="L213">
        <f>IF(計分!L213="","",計分!L213^2)</f>
        <v/>
      </c>
      <c r="M213">
        <f>IF(計分!M213="","",計分!M213^2)</f>
        <v/>
      </c>
      <c r="N213">
        <f>IF(計分!N213="","",計分!N213^2)</f>
        <v/>
      </c>
      <c r="O213">
        <f>IF(計分!O213="","",計分!O213^2)</f>
        <v/>
      </c>
      <c r="P213">
        <f>IF(計分!P213="","",計分!P213^2)</f>
        <v/>
      </c>
      <c r="Q213">
        <f>IF(計分!Q213="","",計分!Q213^2)</f>
        <v/>
      </c>
      <c r="R213">
        <f>IF(計分!R213="","",計分!R213^2)</f>
        <v/>
      </c>
      <c r="S213">
        <f>IF(計分!S213="","",計分!S213^2)</f>
        <v/>
      </c>
      <c r="T213">
        <f>IF(計分!T213="","",計分!T213^2)</f>
        <v/>
      </c>
      <c r="U213">
        <f>IF(計分!U213="","",計分!U213^2)</f>
        <v/>
      </c>
      <c r="V213">
        <f>IF(計分!V213="","",計分!V213^2)</f>
        <v/>
      </c>
      <c r="W213">
        <f>IF(計分!W213="","",計分!W213^2)</f>
        <v/>
      </c>
      <c r="X213">
        <f>IF(計分!X213="","",計分!X213^2)</f>
        <v/>
      </c>
      <c r="Y213">
        <f>IF(計分!Y213="","",計分!Y213^2)</f>
        <v/>
      </c>
      <c r="Z213">
        <f>IF(計分!Z213="","",計分!Z213^2)</f>
        <v/>
      </c>
      <c r="AA213">
        <f>IF(計分!AA213="","",計分!AA213^2)</f>
        <v/>
      </c>
      <c r="AB213">
        <f>IF(計分!AB213="","",計分!AB213^2)</f>
        <v/>
      </c>
      <c r="AC213">
        <f>IF(計分!AC213="","",計分!AC213^2)</f>
        <v/>
      </c>
      <c r="AD213">
        <f>IF(計分!AD213="","",計分!AD213^2)</f>
        <v/>
      </c>
      <c r="AE213">
        <f>IF(計分!AE213="","",計分!AE213^2)</f>
        <v/>
      </c>
      <c r="AF213">
        <f>IF(計分!AF213="","",計分!AF213^2)</f>
        <v/>
      </c>
      <c r="AG213">
        <f>IF(計分!AG213="","",計分!AG213^2)</f>
        <v/>
      </c>
      <c r="AH213">
        <f>IF(計分!AH213="","",計分!AH213^2)</f>
        <v/>
      </c>
      <c r="AI213">
        <f>IF(計分!AI213="","",計分!AI213^2)</f>
        <v/>
      </c>
      <c r="AJ213">
        <f>IF(計分!AJ213="","",計分!AJ213^2)</f>
        <v/>
      </c>
      <c r="AK213">
        <f>IF(計分!AK213="","",計分!AK213^2)</f>
        <v/>
      </c>
      <c r="AL213">
        <f>IF(計分!AL213="","",計分!AL213^2)</f>
        <v/>
      </c>
      <c r="AM213">
        <f>IF(計分!AM213="","",計分!AM213^2)</f>
        <v/>
      </c>
      <c r="AN213">
        <f>IF(計分!AN213="","",計分!AN213^2)</f>
        <v/>
      </c>
      <c r="AO213">
        <f>IF(計分!AO213="","",計分!AO213^2)</f>
        <v/>
      </c>
    </row>
    <row r="214">
      <c r="B214">
        <f>IF(計分!B214="","",計分!B214^2)</f>
        <v/>
      </c>
      <c r="C214">
        <f>IF(計分!C214="","",計分!C214^2)</f>
        <v/>
      </c>
      <c r="D214">
        <f>IF(計分!D214="","",計分!D214^2)</f>
        <v/>
      </c>
      <c r="E214">
        <f>IF(計分!E214="","",計分!E214^2)</f>
        <v/>
      </c>
      <c r="F214">
        <f>IF(計分!F214="","",計分!F214^2)</f>
        <v/>
      </c>
      <c r="G214">
        <f>IF(計分!G214="","",計分!G214^2)</f>
        <v/>
      </c>
      <c r="H214">
        <f>IF(計分!H214="","",計分!H214^2)</f>
        <v/>
      </c>
      <c r="I214">
        <f>IF(計分!I214="","",計分!I214^2)</f>
        <v/>
      </c>
      <c r="J214">
        <f>IF(計分!J214="","",計分!J214^2)</f>
        <v/>
      </c>
      <c r="K214">
        <f>IF(計分!K214="","",計分!K214^2)</f>
        <v/>
      </c>
      <c r="L214">
        <f>IF(計分!L214="","",計分!L214^2)</f>
        <v/>
      </c>
      <c r="M214">
        <f>IF(計分!M214="","",計分!M214^2)</f>
        <v/>
      </c>
      <c r="N214">
        <f>IF(計分!N214="","",計分!N214^2)</f>
        <v/>
      </c>
      <c r="O214">
        <f>IF(計分!O214="","",計分!O214^2)</f>
        <v/>
      </c>
      <c r="P214">
        <f>IF(計分!P214="","",計分!P214^2)</f>
        <v/>
      </c>
      <c r="Q214">
        <f>IF(計分!Q214="","",計分!Q214^2)</f>
        <v/>
      </c>
      <c r="R214">
        <f>IF(計分!R214="","",計分!R214^2)</f>
        <v/>
      </c>
      <c r="S214">
        <f>IF(計分!S214="","",計分!S214^2)</f>
        <v/>
      </c>
      <c r="T214">
        <f>IF(計分!T214="","",計分!T214^2)</f>
        <v/>
      </c>
      <c r="U214">
        <f>IF(計分!U214="","",計分!U214^2)</f>
        <v/>
      </c>
      <c r="V214">
        <f>IF(計分!V214="","",計分!V214^2)</f>
        <v/>
      </c>
      <c r="W214">
        <f>IF(計分!W214="","",計分!W214^2)</f>
        <v/>
      </c>
      <c r="X214">
        <f>IF(計分!X214="","",計分!X214^2)</f>
        <v/>
      </c>
      <c r="Y214">
        <f>IF(計分!Y214="","",計分!Y214^2)</f>
        <v/>
      </c>
      <c r="Z214">
        <f>IF(計分!Z214="","",計分!Z214^2)</f>
        <v/>
      </c>
      <c r="AA214">
        <f>IF(計分!AA214="","",計分!AA214^2)</f>
        <v/>
      </c>
      <c r="AB214">
        <f>IF(計分!AB214="","",計分!AB214^2)</f>
        <v/>
      </c>
      <c r="AC214">
        <f>IF(計分!AC214="","",計分!AC214^2)</f>
        <v/>
      </c>
      <c r="AD214">
        <f>IF(計分!AD214="","",計分!AD214^2)</f>
        <v/>
      </c>
      <c r="AE214">
        <f>IF(計分!AE214="","",計分!AE214^2)</f>
        <v/>
      </c>
      <c r="AF214">
        <f>IF(計分!AF214="","",計分!AF214^2)</f>
        <v/>
      </c>
      <c r="AG214">
        <f>IF(計分!AG214="","",計分!AG214^2)</f>
        <v/>
      </c>
      <c r="AH214">
        <f>IF(計分!AH214="","",計分!AH214^2)</f>
        <v/>
      </c>
      <c r="AI214">
        <f>IF(計分!AI214="","",計分!AI214^2)</f>
        <v/>
      </c>
      <c r="AJ214">
        <f>IF(計分!AJ214="","",計分!AJ214^2)</f>
        <v/>
      </c>
      <c r="AK214">
        <f>IF(計分!AK214="","",計分!AK214^2)</f>
        <v/>
      </c>
      <c r="AL214">
        <f>IF(計分!AL214="","",計分!AL214^2)</f>
        <v/>
      </c>
      <c r="AM214">
        <f>IF(計分!AM214="","",計分!AM214^2)</f>
        <v/>
      </c>
      <c r="AN214">
        <f>IF(計分!AN214="","",計分!AN214^2)</f>
        <v/>
      </c>
      <c r="AO214">
        <f>IF(計分!AO214="","",計分!AO214^2)</f>
        <v/>
      </c>
    </row>
    <row r="215">
      <c r="B215">
        <f>IF(計分!B215="","",計分!B215^2)</f>
        <v/>
      </c>
      <c r="C215">
        <f>IF(計分!C215="","",計分!C215^2)</f>
        <v/>
      </c>
      <c r="D215">
        <f>IF(計分!D215="","",計分!D215^2)</f>
        <v/>
      </c>
      <c r="E215">
        <f>IF(計分!E215="","",計分!E215^2)</f>
        <v/>
      </c>
      <c r="F215">
        <f>IF(計分!F215="","",計分!F215^2)</f>
        <v/>
      </c>
      <c r="G215">
        <f>IF(計分!G215="","",計分!G215^2)</f>
        <v/>
      </c>
      <c r="H215">
        <f>IF(計分!H215="","",計分!H215^2)</f>
        <v/>
      </c>
      <c r="I215">
        <f>IF(計分!I215="","",計分!I215^2)</f>
        <v/>
      </c>
      <c r="J215">
        <f>IF(計分!J215="","",計分!J215^2)</f>
        <v/>
      </c>
      <c r="K215">
        <f>IF(計分!K215="","",計分!K215^2)</f>
        <v/>
      </c>
      <c r="L215">
        <f>IF(計分!L215="","",計分!L215^2)</f>
        <v/>
      </c>
      <c r="M215">
        <f>IF(計分!M215="","",計分!M215^2)</f>
        <v/>
      </c>
      <c r="N215">
        <f>IF(計分!N215="","",計分!N215^2)</f>
        <v/>
      </c>
      <c r="O215">
        <f>IF(計分!O215="","",計分!O215^2)</f>
        <v/>
      </c>
      <c r="P215">
        <f>IF(計分!P215="","",計分!P215^2)</f>
        <v/>
      </c>
      <c r="Q215">
        <f>IF(計分!Q215="","",計分!Q215^2)</f>
        <v/>
      </c>
      <c r="R215">
        <f>IF(計分!R215="","",計分!R215^2)</f>
        <v/>
      </c>
      <c r="S215">
        <f>IF(計分!S215="","",計分!S215^2)</f>
        <v/>
      </c>
      <c r="T215">
        <f>IF(計分!T215="","",計分!T215^2)</f>
        <v/>
      </c>
      <c r="U215">
        <f>IF(計分!U215="","",計分!U215^2)</f>
        <v/>
      </c>
      <c r="V215">
        <f>IF(計分!V215="","",計分!V215^2)</f>
        <v/>
      </c>
      <c r="W215">
        <f>IF(計分!W215="","",計分!W215^2)</f>
        <v/>
      </c>
      <c r="X215">
        <f>IF(計分!X215="","",計分!X215^2)</f>
        <v/>
      </c>
      <c r="Y215">
        <f>IF(計分!Y215="","",計分!Y215^2)</f>
        <v/>
      </c>
      <c r="Z215">
        <f>IF(計分!Z215="","",計分!Z215^2)</f>
        <v/>
      </c>
      <c r="AA215">
        <f>IF(計分!AA215="","",計分!AA215^2)</f>
        <v/>
      </c>
      <c r="AB215">
        <f>IF(計分!AB215="","",計分!AB215^2)</f>
        <v/>
      </c>
      <c r="AC215">
        <f>IF(計分!AC215="","",計分!AC215^2)</f>
        <v/>
      </c>
      <c r="AD215">
        <f>IF(計分!AD215="","",計分!AD215^2)</f>
        <v/>
      </c>
      <c r="AE215">
        <f>IF(計分!AE215="","",計分!AE215^2)</f>
        <v/>
      </c>
      <c r="AF215">
        <f>IF(計分!AF215="","",計分!AF215^2)</f>
        <v/>
      </c>
      <c r="AG215">
        <f>IF(計分!AG215="","",計分!AG215^2)</f>
        <v/>
      </c>
      <c r="AH215">
        <f>IF(計分!AH215="","",計分!AH215^2)</f>
        <v/>
      </c>
      <c r="AI215">
        <f>IF(計分!AI215="","",計分!AI215^2)</f>
        <v/>
      </c>
      <c r="AJ215">
        <f>IF(計分!AJ215="","",計分!AJ215^2)</f>
        <v/>
      </c>
      <c r="AK215">
        <f>IF(計分!AK215="","",計分!AK215^2)</f>
        <v/>
      </c>
      <c r="AL215">
        <f>IF(計分!AL215="","",計分!AL215^2)</f>
        <v/>
      </c>
      <c r="AM215">
        <f>IF(計分!AM215="","",計分!AM215^2)</f>
        <v/>
      </c>
      <c r="AN215">
        <f>IF(計分!AN215="","",計分!AN215^2)</f>
        <v/>
      </c>
      <c r="AO215">
        <f>IF(計分!AO215="","",計分!AO215^2)</f>
        <v/>
      </c>
    </row>
    <row r="216">
      <c r="B216">
        <f>IF(計分!B216="","",計分!B216^2)</f>
        <v/>
      </c>
      <c r="C216">
        <f>IF(計分!C216="","",計分!C216^2)</f>
        <v/>
      </c>
      <c r="D216">
        <f>IF(計分!D216="","",計分!D216^2)</f>
        <v/>
      </c>
      <c r="E216">
        <f>IF(計分!E216="","",計分!E216^2)</f>
        <v/>
      </c>
      <c r="F216">
        <f>IF(計分!F216="","",計分!F216^2)</f>
        <v/>
      </c>
      <c r="G216">
        <f>IF(計分!G216="","",計分!G216^2)</f>
        <v/>
      </c>
      <c r="H216">
        <f>IF(計分!H216="","",計分!H216^2)</f>
        <v/>
      </c>
      <c r="I216">
        <f>IF(計分!I216="","",計分!I216^2)</f>
        <v/>
      </c>
      <c r="J216">
        <f>IF(計分!J216="","",計分!J216^2)</f>
        <v/>
      </c>
      <c r="K216">
        <f>IF(計分!K216="","",計分!K216^2)</f>
        <v/>
      </c>
      <c r="L216">
        <f>IF(計分!L216="","",計分!L216^2)</f>
        <v/>
      </c>
      <c r="M216">
        <f>IF(計分!M216="","",計分!M216^2)</f>
        <v/>
      </c>
      <c r="N216">
        <f>IF(計分!N216="","",計分!N216^2)</f>
        <v/>
      </c>
      <c r="O216">
        <f>IF(計分!O216="","",計分!O216^2)</f>
        <v/>
      </c>
      <c r="P216">
        <f>IF(計分!P216="","",計分!P216^2)</f>
        <v/>
      </c>
      <c r="Q216">
        <f>IF(計分!Q216="","",計分!Q216^2)</f>
        <v/>
      </c>
      <c r="R216">
        <f>IF(計分!R216="","",計分!R216^2)</f>
        <v/>
      </c>
      <c r="S216">
        <f>IF(計分!S216="","",計分!S216^2)</f>
        <v/>
      </c>
      <c r="T216">
        <f>IF(計分!T216="","",計分!T216^2)</f>
        <v/>
      </c>
      <c r="U216">
        <f>IF(計分!U216="","",計分!U216^2)</f>
        <v/>
      </c>
      <c r="V216">
        <f>IF(計分!V216="","",計分!V216^2)</f>
        <v/>
      </c>
      <c r="W216">
        <f>IF(計分!W216="","",計分!W216^2)</f>
        <v/>
      </c>
      <c r="X216">
        <f>IF(計分!X216="","",計分!X216^2)</f>
        <v/>
      </c>
      <c r="Y216">
        <f>IF(計分!Y216="","",計分!Y216^2)</f>
        <v/>
      </c>
      <c r="Z216">
        <f>IF(計分!Z216="","",計分!Z216^2)</f>
        <v/>
      </c>
      <c r="AA216">
        <f>IF(計分!AA216="","",計分!AA216^2)</f>
        <v/>
      </c>
      <c r="AB216">
        <f>IF(計分!AB216="","",計分!AB216^2)</f>
        <v/>
      </c>
      <c r="AC216">
        <f>IF(計分!AC216="","",計分!AC216^2)</f>
        <v/>
      </c>
      <c r="AD216">
        <f>IF(計分!AD216="","",計分!AD216^2)</f>
        <v/>
      </c>
      <c r="AE216">
        <f>IF(計分!AE216="","",計分!AE216^2)</f>
        <v/>
      </c>
      <c r="AF216">
        <f>IF(計分!AF216="","",計分!AF216^2)</f>
        <v/>
      </c>
      <c r="AG216">
        <f>IF(計分!AG216="","",計分!AG216^2)</f>
        <v/>
      </c>
      <c r="AH216">
        <f>IF(計分!AH216="","",計分!AH216^2)</f>
        <v/>
      </c>
      <c r="AI216">
        <f>IF(計分!AI216="","",計分!AI216^2)</f>
        <v/>
      </c>
      <c r="AJ216">
        <f>IF(計分!AJ216="","",計分!AJ216^2)</f>
        <v/>
      </c>
      <c r="AK216">
        <f>IF(計分!AK216="","",計分!AK216^2)</f>
        <v/>
      </c>
      <c r="AL216">
        <f>IF(計分!AL216="","",計分!AL216^2)</f>
        <v/>
      </c>
      <c r="AM216">
        <f>IF(計分!AM216="","",計分!AM216^2)</f>
        <v/>
      </c>
      <c r="AN216">
        <f>IF(計分!AN216="","",計分!AN216^2)</f>
        <v/>
      </c>
      <c r="AO216">
        <f>IF(計分!AO216="","",計分!AO216^2)</f>
        <v/>
      </c>
    </row>
    <row r="217">
      <c r="B217">
        <f>IF(計分!B217="","",計分!B217^2)</f>
        <v/>
      </c>
      <c r="C217">
        <f>IF(計分!C217="","",計分!C217^2)</f>
        <v/>
      </c>
      <c r="D217">
        <f>IF(計分!D217="","",計分!D217^2)</f>
        <v/>
      </c>
      <c r="E217">
        <f>IF(計分!E217="","",計分!E217^2)</f>
        <v/>
      </c>
      <c r="F217">
        <f>IF(計分!F217="","",計分!F217^2)</f>
        <v/>
      </c>
      <c r="G217">
        <f>IF(計分!G217="","",計分!G217^2)</f>
        <v/>
      </c>
      <c r="H217">
        <f>IF(計分!H217="","",計分!H217^2)</f>
        <v/>
      </c>
      <c r="I217">
        <f>IF(計分!I217="","",計分!I217^2)</f>
        <v/>
      </c>
      <c r="J217">
        <f>IF(計分!J217="","",計分!J217^2)</f>
        <v/>
      </c>
      <c r="K217">
        <f>IF(計分!K217="","",計分!K217^2)</f>
        <v/>
      </c>
      <c r="L217">
        <f>IF(計分!L217="","",計分!L217^2)</f>
        <v/>
      </c>
      <c r="M217">
        <f>IF(計分!M217="","",計分!M217^2)</f>
        <v/>
      </c>
      <c r="N217">
        <f>IF(計分!N217="","",計分!N217^2)</f>
        <v/>
      </c>
      <c r="O217">
        <f>IF(計分!O217="","",計分!O217^2)</f>
        <v/>
      </c>
      <c r="P217">
        <f>IF(計分!P217="","",計分!P217^2)</f>
        <v/>
      </c>
      <c r="Q217">
        <f>IF(計分!Q217="","",計分!Q217^2)</f>
        <v/>
      </c>
      <c r="R217">
        <f>IF(計分!R217="","",計分!R217^2)</f>
        <v/>
      </c>
      <c r="S217">
        <f>IF(計分!S217="","",計分!S217^2)</f>
        <v/>
      </c>
      <c r="T217">
        <f>IF(計分!T217="","",計分!T217^2)</f>
        <v/>
      </c>
      <c r="U217">
        <f>IF(計分!U217="","",計分!U217^2)</f>
        <v/>
      </c>
      <c r="V217">
        <f>IF(計分!V217="","",計分!V217^2)</f>
        <v/>
      </c>
      <c r="W217">
        <f>IF(計分!W217="","",計分!W217^2)</f>
        <v/>
      </c>
      <c r="X217">
        <f>IF(計分!X217="","",計分!X217^2)</f>
        <v/>
      </c>
      <c r="Y217">
        <f>IF(計分!Y217="","",計分!Y217^2)</f>
        <v/>
      </c>
      <c r="Z217">
        <f>IF(計分!Z217="","",計分!Z217^2)</f>
        <v/>
      </c>
      <c r="AA217">
        <f>IF(計分!AA217="","",計分!AA217^2)</f>
        <v/>
      </c>
      <c r="AB217">
        <f>IF(計分!AB217="","",計分!AB217^2)</f>
        <v/>
      </c>
      <c r="AC217">
        <f>IF(計分!AC217="","",計分!AC217^2)</f>
        <v/>
      </c>
      <c r="AD217">
        <f>IF(計分!AD217="","",計分!AD217^2)</f>
        <v/>
      </c>
      <c r="AE217">
        <f>IF(計分!AE217="","",計分!AE217^2)</f>
        <v/>
      </c>
      <c r="AF217">
        <f>IF(計分!AF217="","",計分!AF217^2)</f>
        <v/>
      </c>
      <c r="AG217">
        <f>IF(計分!AG217="","",計分!AG217^2)</f>
        <v/>
      </c>
      <c r="AH217">
        <f>IF(計分!AH217="","",計分!AH217^2)</f>
        <v/>
      </c>
      <c r="AI217">
        <f>IF(計分!AI217="","",計分!AI217^2)</f>
        <v/>
      </c>
      <c r="AJ217">
        <f>IF(計分!AJ217="","",計分!AJ217^2)</f>
        <v/>
      </c>
      <c r="AK217">
        <f>IF(計分!AK217="","",計分!AK217^2)</f>
        <v/>
      </c>
      <c r="AL217">
        <f>IF(計分!AL217="","",計分!AL217^2)</f>
        <v/>
      </c>
      <c r="AM217">
        <f>IF(計分!AM217="","",計分!AM217^2)</f>
        <v/>
      </c>
      <c r="AN217">
        <f>IF(計分!AN217="","",計分!AN217^2)</f>
        <v/>
      </c>
      <c r="AO217">
        <f>IF(計分!AO217="","",計分!AO217^2)</f>
        <v/>
      </c>
    </row>
    <row r="218">
      <c r="B218">
        <f>IF(計分!B218="","",計分!B218^2)</f>
        <v/>
      </c>
      <c r="C218">
        <f>IF(計分!C218="","",計分!C218^2)</f>
        <v/>
      </c>
      <c r="D218">
        <f>IF(計分!D218="","",計分!D218^2)</f>
        <v/>
      </c>
      <c r="E218">
        <f>IF(計分!E218="","",計分!E218^2)</f>
        <v/>
      </c>
      <c r="F218">
        <f>IF(計分!F218="","",計分!F218^2)</f>
        <v/>
      </c>
      <c r="G218">
        <f>IF(計分!G218="","",計分!G218^2)</f>
        <v/>
      </c>
      <c r="H218">
        <f>IF(計分!H218="","",計分!H218^2)</f>
        <v/>
      </c>
      <c r="I218">
        <f>IF(計分!I218="","",計分!I218^2)</f>
        <v/>
      </c>
      <c r="J218">
        <f>IF(計分!J218="","",計分!J218^2)</f>
        <v/>
      </c>
      <c r="K218">
        <f>IF(計分!K218="","",計分!K218^2)</f>
        <v/>
      </c>
      <c r="L218">
        <f>IF(計分!L218="","",計分!L218^2)</f>
        <v/>
      </c>
      <c r="M218">
        <f>IF(計分!M218="","",計分!M218^2)</f>
        <v/>
      </c>
      <c r="N218">
        <f>IF(計分!N218="","",計分!N218^2)</f>
        <v/>
      </c>
      <c r="O218">
        <f>IF(計分!O218="","",計分!O218^2)</f>
        <v/>
      </c>
      <c r="P218">
        <f>IF(計分!P218="","",計分!P218^2)</f>
        <v/>
      </c>
      <c r="Q218">
        <f>IF(計分!Q218="","",計分!Q218^2)</f>
        <v/>
      </c>
      <c r="R218">
        <f>IF(計分!R218="","",計分!R218^2)</f>
        <v/>
      </c>
      <c r="S218">
        <f>IF(計分!S218="","",計分!S218^2)</f>
        <v/>
      </c>
      <c r="T218">
        <f>IF(計分!T218="","",計分!T218^2)</f>
        <v/>
      </c>
      <c r="U218">
        <f>IF(計分!U218="","",計分!U218^2)</f>
        <v/>
      </c>
      <c r="V218">
        <f>IF(計分!V218="","",計分!V218^2)</f>
        <v/>
      </c>
      <c r="W218">
        <f>IF(計分!W218="","",計分!W218^2)</f>
        <v/>
      </c>
      <c r="X218">
        <f>IF(計分!X218="","",計分!X218^2)</f>
        <v/>
      </c>
      <c r="Y218">
        <f>IF(計分!Y218="","",計分!Y218^2)</f>
        <v/>
      </c>
      <c r="Z218">
        <f>IF(計分!Z218="","",計分!Z218^2)</f>
        <v/>
      </c>
      <c r="AA218">
        <f>IF(計分!AA218="","",計分!AA218^2)</f>
        <v/>
      </c>
      <c r="AB218">
        <f>IF(計分!AB218="","",計分!AB218^2)</f>
        <v/>
      </c>
      <c r="AC218">
        <f>IF(計分!AC218="","",計分!AC218^2)</f>
        <v/>
      </c>
      <c r="AD218">
        <f>IF(計分!AD218="","",計分!AD218^2)</f>
        <v/>
      </c>
      <c r="AE218">
        <f>IF(計分!AE218="","",計分!AE218^2)</f>
        <v/>
      </c>
      <c r="AF218">
        <f>IF(計分!AF218="","",計分!AF218^2)</f>
        <v/>
      </c>
      <c r="AG218">
        <f>IF(計分!AG218="","",計分!AG218^2)</f>
        <v/>
      </c>
      <c r="AH218">
        <f>IF(計分!AH218="","",計分!AH218^2)</f>
        <v/>
      </c>
      <c r="AI218">
        <f>IF(計分!AI218="","",計分!AI218^2)</f>
        <v/>
      </c>
      <c r="AJ218">
        <f>IF(計分!AJ218="","",計分!AJ218^2)</f>
        <v/>
      </c>
      <c r="AK218">
        <f>IF(計分!AK218="","",計分!AK218^2)</f>
        <v/>
      </c>
      <c r="AL218">
        <f>IF(計分!AL218="","",計分!AL218^2)</f>
        <v/>
      </c>
      <c r="AM218">
        <f>IF(計分!AM218="","",計分!AM218^2)</f>
        <v/>
      </c>
      <c r="AN218">
        <f>IF(計分!AN218="","",計分!AN218^2)</f>
        <v/>
      </c>
      <c r="AO218">
        <f>IF(計分!AO218="","",計分!AO218^2)</f>
        <v/>
      </c>
    </row>
    <row r="219">
      <c r="B219">
        <f>IF(計分!B219="","",計分!B219^2)</f>
        <v/>
      </c>
      <c r="C219">
        <f>IF(計分!C219="","",計分!C219^2)</f>
        <v/>
      </c>
      <c r="D219">
        <f>IF(計分!D219="","",計分!D219^2)</f>
        <v/>
      </c>
      <c r="E219">
        <f>IF(計分!E219="","",計分!E219^2)</f>
        <v/>
      </c>
      <c r="F219">
        <f>IF(計分!F219="","",計分!F219^2)</f>
        <v/>
      </c>
      <c r="G219">
        <f>IF(計分!G219="","",計分!G219^2)</f>
        <v/>
      </c>
      <c r="H219">
        <f>IF(計分!H219="","",計分!H219^2)</f>
        <v/>
      </c>
      <c r="I219">
        <f>IF(計分!I219="","",計分!I219^2)</f>
        <v/>
      </c>
      <c r="J219">
        <f>IF(計分!J219="","",計分!J219^2)</f>
        <v/>
      </c>
      <c r="K219">
        <f>IF(計分!K219="","",計分!K219^2)</f>
        <v/>
      </c>
      <c r="L219">
        <f>IF(計分!L219="","",計分!L219^2)</f>
        <v/>
      </c>
      <c r="M219">
        <f>IF(計分!M219="","",計分!M219^2)</f>
        <v/>
      </c>
      <c r="N219">
        <f>IF(計分!N219="","",計分!N219^2)</f>
        <v/>
      </c>
      <c r="O219">
        <f>IF(計分!O219="","",計分!O219^2)</f>
        <v/>
      </c>
      <c r="P219">
        <f>IF(計分!P219="","",計分!P219^2)</f>
        <v/>
      </c>
      <c r="Q219">
        <f>IF(計分!Q219="","",計分!Q219^2)</f>
        <v/>
      </c>
      <c r="R219">
        <f>IF(計分!R219="","",計分!R219^2)</f>
        <v/>
      </c>
      <c r="S219">
        <f>IF(計分!S219="","",計分!S219^2)</f>
        <v/>
      </c>
      <c r="T219">
        <f>IF(計分!T219="","",計分!T219^2)</f>
        <v/>
      </c>
      <c r="U219">
        <f>IF(計分!U219="","",計分!U219^2)</f>
        <v/>
      </c>
      <c r="V219">
        <f>IF(計分!V219="","",計分!V219^2)</f>
        <v/>
      </c>
      <c r="W219">
        <f>IF(計分!W219="","",計分!W219^2)</f>
        <v/>
      </c>
      <c r="X219">
        <f>IF(計分!X219="","",計分!X219^2)</f>
        <v/>
      </c>
      <c r="Y219">
        <f>IF(計分!Y219="","",計分!Y219^2)</f>
        <v/>
      </c>
      <c r="Z219">
        <f>IF(計分!Z219="","",計分!Z219^2)</f>
        <v/>
      </c>
      <c r="AA219">
        <f>IF(計分!AA219="","",計分!AA219^2)</f>
        <v/>
      </c>
      <c r="AB219">
        <f>IF(計分!AB219="","",計分!AB219^2)</f>
        <v/>
      </c>
      <c r="AC219">
        <f>IF(計分!AC219="","",計分!AC219^2)</f>
        <v/>
      </c>
      <c r="AD219">
        <f>IF(計分!AD219="","",計分!AD219^2)</f>
        <v/>
      </c>
      <c r="AE219">
        <f>IF(計分!AE219="","",計分!AE219^2)</f>
        <v/>
      </c>
      <c r="AF219">
        <f>IF(計分!AF219="","",計分!AF219^2)</f>
        <v/>
      </c>
      <c r="AG219">
        <f>IF(計分!AG219="","",計分!AG219^2)</f>
        <v/>
      </c>
      <c r="AH219">
        <f>IF(計分!AH219="","",計分!AH219^2)</f>
        <v/>
      </c>
      <c r="AI219">
        <f>IF(計分!AI219="","",計分!AI219^2)</f>
        <v/>
      </c>
      <c r="AJ219">
        <f>IF(計分!AJ219="","",計分!AJ219^2)</f>
        <v/>
      </c>
      <c r="AK219">
        <f>IF(計分!AK219="","",計分!AK219^2)</f>
        <v/>
      </c>
      <c r="AL219">
        <f>IF(計分!AL219="","",計分!AL219^2)</f>
        <v/>
      </c>
      <c r="AM219">
        <f>IF(計分!AM219="","",計分!AM219^2)</f>
        <v/>
      </c>
      <c r="AN219">
        <f>IF(計分!AN219="","",計分!AN219^2)</f>
        <v/>
      </c>
      <c r="AO219">
        <f>IF(計分!AO219="","",計分!AO219^2)</f>
        <v/>
      </c>
    </row>
    <row r="220">
      <c r="B220">
        <f>IF(計分!B220="","",計分!B220^2)</f>
        <v/>
      </c>
      <c r="C220">
        <f>IF(計分!C220="","",計分!C220^2)</f>
        <v/>
      </c>
      <c r="D220">
        <f>IF(計分!D220="","",計分!D220^2)</f>
        <v/>
      </c>
      <c r="E220">
        <f>IF(計分!E220="","",計分!E220^2)</f>
        <v/>
      </c>
      <c r="F220">
        <f>IF(計分!F220="","",計分!F220^2)</f>
        <v/>
      </c>
      <c r="G220">
        <f>IF(計分!G220="","",計分!G220^2)</f>
        <v/>
      </c>
      <c r="H220">
        <f>IF(計分!H220="","",計分!H220^2)</f>
        <v/>
      </c>
      <c r="I220">
        <f>IF(計分!I220="","",計分!I220^2)</f>
        <v/>
      </c>
      <c r="J220">
        <f>IF(計分!J220="","",計分!J220^2)</f>
        <v/>
      </c>
      <c r="K220">
        <f>IF(計分!K220="","",計分!K220^2)</f>
        <v/>
      </c>
      <c r="L220">
        <f>IF(計分!L220="","",計分!L220^2)</f>
        <v/>
      </c>
      <c r="M220">
        <f>IF(計分!M220="","",計分!M220^2)</f>
        <v/>
      </c>
      <c r="N220">
        <f>IF(計分!N220="","",計分!N220^2)</f>
        <v/>
      </c>
      <c r="O220">
        <f>IF(計分!O220="","",計分!O220^2)</f>
        <v/>
      </c>
      <c r="P220">
        <f>IF(計分!P220="","",計分!P220^2)</f>
        <v/>
      </c>
      <c r="Q220">
        <f>IF(計分!Q220="","",計分!Q220^2)</f>
        <v/>
      </c>
      <c r="R220">
        <f>IF(計分!R220="","",計分!R220^2)</f>
        <v/>
      </c>
      <c r="S220">
        <f>IF(計分!S220="","",計分!S220^2)</f>
        <v/>
      </c>
      <c r="T220">
        <f>IF(計分!T220="","",計分!T220^2)</f>
        <v/>
      </c>
      <c r="U220">
        <f>IF(計分!U220="","",計分!U220^2)</f>
        <v/>
      </c>
      <c r="V220">
        <f>IF(計分!V220="","",計分!V220^2)</f>
        <v/>
      </c>
      <c r="W220">
        <f>IF(計分!W220="","",計分!W220^2)</f>
        <v/>
      </c>
      <c r="X220">
        <f>IF(計分!X220="","",計分!X220^2)</f>
        <v/>
      </c>
      <c r="Y220">
        <f>IF(計分!Y220="","",計分!Y220^2)</f>
        <v/>
      </c>
      <c r="Z220">
        <f>IF(計分!Z220="","",計分!Z220^2)</f>
        <v/>
      </c>
      <c r="AA220">
        <f>IF(計分!AA220="","",計分!AA220^2)</f>
        <v/>
      </c>
      <c r="AB220">
        <f>IF(計分!AB220="","",計分!AB220^2)</f>
        <v/>
      </c>
      <c r="AC220">
        <f>IF(計分!AC220="","",計分!AC220^2)</f>
        <v/>
      </c>
      <c r="AD220">
        <f>IF(計分!AD220="","",計分!AD220^2)</f>
        <v/>
      </c>
      <c r="AE220">
        <f>IF(計分!AE220="","",計分!AE220^2)</f>
        <v/>
      </c>
      <c r="AF220">
        <f>IF(計分!AF220="","",計分!AF220^2)</f>
        <v/>
      </c>
      <c r="AG220">
        <f>IF(計分!AG220="","",計分!AG220^2)</f>
        <v/>
      </c>
      <c r="AH220">
        <f>IF(計分!AH220="","",計分!AH220^2)</f>
        <v/>
      </c>
      <c r="AI220">
        <f>IF(計分!AI220="","",計分!AI220^2)</f>
        <v/>
      </c>
      <c r="AJ220">
        <f>IF(計分!AJ220="","",計分!AJ220^2)</f>
        <v/>
      </c>
      <c r="AK220">
        <f>IF(計分!AK220="","",計分!AK220^2)</f>
        <v/>
      </c>
      <c r="AL220">
        <f>IF(計分!AL220="","",計分!AL220^2)</f>
        <v/>
      </c>
      <c r="AM220">
        <f>IF(計分!AM220="","",計分!AM220^2)</f>
        <v/>
      </c>
      <c r="AN220">
        <f>IF(計分!AN220="","",計分!AN220^2)</f>
        <v/>
      </c>
      <c r="AO220">
        <f>IF(計分!AO220="","",計分!AO220^2)</f>
        <v/>
      </c>
    </row>
    <row r="221">
      <c r="B221">
        <f>IF(計分!B221="","",計分!B221^2)</f>
        <v/>
      </c>
      <c r="C221">
        <f>IF(計分!C221="","",計分!C221^2)</f>
        <v/>
      </c>
      <c r="D221">
        <f>IF(計分!D221="","",計分!D221^2)</f>
        <v/>
      </c>
      <c r="E221">
        <f>IF(計分!E221="","",計分!E221^2)</f>
        <v/>
      </c>
      <c r="F221">
        <f>IF(計分!F221="","",計分!F221^2)</f>
        <v/>
      </c>
      <c r="G221">
        <f>IF(計分!G221="","",計分!G221^2)</f>
        <v/>
      </c>
      <c r="H221">
        <f>IF(計分!H221="","",計分!H221^2)</f>
        <v/>
      </c>
      <c r="I221">
        <f>IF(計分!I221="","",計分!I221^2)</f>
        <v/>
      </c>
      <c r="J221">
        <f>IF(計分!J221="","",計分!J221^2)</f>
        <v/>
      </c>
      <c r="K221">
        <f>IF(計分!K221="","",計分!K221^2)</f>
        <v/>
      </c>
      <c r="L221">
        <f>IF(計分!L221="","",計分!L221^2)</f>
        <v/>
      </c>
      <c r="M221">
        <f>IF(計分!M221="","",計分!M221^2)</f>
        <v/>
      </c>
      <c r="N221">
        <f>IF(計分!N221="","",計分!N221^2)</f>
        <v/>
      </c>
      <c r="O221">
        <f>IF(計分!O221="","",計分!O221^2)</f>
        <v/>
      </c>
      <c r="P221">
        <f>IF(計分!P221="","",計分!P221^2)</f>
        <v/>
      </c>
      <c r="Q221">
        <f>IF(計分!Q221="","",計分!Q221^2)</f>
        <v/>
      </c>
      <c r="R221">
        <f>IF(計分!R221="","",計分!R221^2)</f>
        <v/>
      </c>
      <c r="S221">
        <f>IF(計分!S221="","",計分!S221^2)</f>
        <v/>
      </c>
      <c r="T221">
        <f>IF(計分!T221="","",計分!T221^2)</f>
        <v/>
      </c>
      <c r="U221">
        <f>IF(計分!U221="","",計分!U221^2)</f>
        <v/>
      </c>
      <c r="V221">
        <f>IF(計分!V221="","",計分!V221^2)</f>
        <v/>
      </c>
      <c r="W221">
        <f>IF(計分!W221="","",計分!W221^2)</f>
        <v/>
      </c>
      <c r="X221">
        <f>IF(計分!X221="","",計分!X221^2)</f>
        <v/>
      </c>
      <c r="Y221">
        <f>IF(計分!Y221="","",計分!Y221^2)</f>
        <v/>
      </c>
      <c r="Z221">
        <f>IF(計分!Z221="","",計分!Z221^2)</f>
        <v/>
      </c>
      <c r="AA221">
        <f>IF(計分!AA221="","",計分!AA221^2)</f>
        <v/>
      </c>
      <c r="AB221">
        <f>IF(計分!AB221="","",計分!AB221^2)</f>
        <v/>
      </c>
      <c r="AC221">
        <f>IF(計分!AC221="","",計分!AC221^2)</f>
        <v/>
      </c>
      <c r="AD221">
        <f>IF(計分!AD221="","",計分!AD221^2)</f>
        <v/>
      </c>
      <c r="AE221">
        <f>IF(計分!AE221="","",計分!AE221^2)</f>
        <v/>
      </c>
      <c r="AF221">
        <f>IF(計分!AF221="","",計分!AF221^2)</f>
        <v/>
      </c>
      <c r="AG221">
        <f>IF(計分!AG221="","",計分!AG221^2)</f>
        <v/>
      </c>
      <c r="AH221">
        <f>IF(計分!AH221="","",計分!AH221^2)</f>
        <v/>
      </c>
      <c r="AI221">
        <f>IF(計分!AI221="","",計分!AI221^2)</f>
        <v/>
      </c>
      <c r="AJ221">
        <f>IF(計分!AJ221="","",計分!AJ221^2)</f>
        <v/>
      </c>
      <c r="AK221">
        <f>IF(計分!AK221="","",計分!AK221^2)</f>
        <v/>
      </c>
      <c r="AL221">
        <f>IF(計分!AL221="","",計分!AL221^2)</f>
        <v/>
      </c>
      <c r="AM221">
        <f>IF(計分!AM221="","",計分!AM221^2)</f>
        <v/>
      </c>
      <c r="AN221">
        <f>IF(計分!AN221="","",計分!AN221^2)</f>
        <v/>
      </c>
      <c r="AO221">
        <f>IF(計分!AO221="","",計分!AO221^2)</f>
        <v/>
      </c>
    </row>
    <row r="222">
      <c r="B222">
        <f>IF(計分!B222="","",計分!B222^2)</f>
        <v/>
      </c>
      <c r="C222">
        <f>IF(計分!C222="","",計分!C222^2)</f>
        <v/>
      </c>
      <c r="D222">
        <f>IF(計分!D222="","",計分!D222^2)</f>
        <v/>
      </c>
      <c r="E222">
        <f>IF(計分!E222="","",計分!E222^2)</f>
        <v/>
      </c>
      <c r="F222">
        <f>IF(計分!F222="","",計分!F222^2)</f>
        <v/>
      </c>
      <c r="G222">
        <f>IF(計分!G222="","",計分!G222^2)</f>
        <v/>
      </c>
      <c r="H222">
        <f>IF(計分!H222="","",計分!H222^2)</f>
        <v/>
      </c>
      <c r="I222">
        <f>IF(計分!I222="","",計分!I222^2)</f>
        <v/>
      </c>
      <c r="J222">
        <f>IF(計分!J222="","",計分!J222^2)</f>
        <v/>
      </c>
      <c r="K222">
        <f>IF(計分!K222="","",計分!K222^2)</f>
        <v/>
      </c>
      <c r="L222">
        <f>IF(計分!L222="","",計分!L222^2)</f>
        <v/>
      </c>
      <c r="M222">
        <f>IF(計分!M222="","",計分!M222^2)</f>
        <v/>
      </c>
      <c r="N222">
        <f>IF(計分!N222="","",計分!N222^2)</f>
        <v/>
      </c>
      <c r="O222">
        <f>IF(計分!O222="","",計分!O222^2)</f>
        <v/>
      </c>
      <c r="P222">
        <f>IF(計分!P222="","",計分!P222^2)</f>
        <v/>
      </c>
      <c r="Q222">
        <f>IF(計分!Q222="","",計分!Q222^2)</f>
        <v/>
      </c>
      <c r="R222">
        <f>IF(計分!R222="","",計分!R222^2)</f>
        <v/>
      </c>
      <c r="S222">
        <f>IF(計分!S222="","",計分!S222^2)</f>
        <v/>
      </c>
      <c r="T222">
        <f>IF(計分!T222="","",計分!T222^2)</f>
        <v/>
      </c>
      <c r="U222">
        <f>IF(計分!U222="","",計分!U222^2)</f>
        <v/>
      </c>
      <c r="V222">
        <f>IF(計分!V222="","",計分!V222^2)</f>
        <v/>
      </c>
      <c r="W222">
        <f>IF(計分!W222="","",計分!W222^2)</f>
        <v/>
      </c>
      <c r="X222">
        <f>IF(計分!X222="","",計分!X222^2)</f>
        <v/>
      </c>
      <c r="Y222">
        <f>IF(計分!Y222="","",計分!Y222^2)</f>
        <v/>
      </c>
      <c r="Z222">
        <f>IF(計分!Z222="","",計分!Z222^2)</f>
        <v/>
      </c>
      <c r="AA222">
        <f>IF(計分!AA222="","",計分!AA222^2)</f>
        <v/>
      </c>
      <c r="AB222">
        <f>IF(計分!AB222="","",計分!AB222^2)</f>
        <v/>
      </c>
      <c r="AC222">
        <f>IF(計分!AC222="","",計分!AC222^2)</f>
        <v/>
      </c>
      <c r="AD222">
        <f>IF(計分!AD222="","",計分!AD222^2)</f>
        <v/>
      </c>
      <c r="AE222">
        <f>IF(計分!AE222="","",計分!AE222^2)</f>
        <v/>
      </c>
      <c r="AF222">
        <f>IF(計分!AF222="","",計分!AF222^2)</f>
        <v/>
      </c>
      <c r="AG222">
        <f>IF(計分!AG222="","",計分!AG222^2)</f>
        <v/>
      </c>
      <c r="AH222">
        <f>IF(計分!AH222="","",計分!AH222^2)</f>
        <v/>
      </c>
      <c r="AI222">
        <f>IF(計分!AI222="","",計分!AI222^2)</f>
        <v/>
      </c>
      <c r="AJ222">
        <f>IF(計分!AJ222="","",計分!AJ222^2)</f>
        <v/>
      </c>
      <c r="AK222">
        <f>IF(計分!AK222="","",計分!AK222^2)</f>
        <v/>
      </c>
      <c r="AL222">
        <f>IF(計分!AL222="","",計分!AL222^2)</f>
        <v/>
      </c>
      <c r="AM222">
        <f>IF(計分!AM222="","",計分!AM222^2)</f>
        <v/>
      </c>
      <c r="AN222">
        <f>IF(計分!AN222="","",計分!AN222^2)</f>
        <v/>
      </c>
      <c r="AO222">
        <f>IF(計分!AO222="","",計分!AO222^2)</f>
        <v/>
      </c>
    </row>
    <row r="223">
      <c r="B223">
        <f>IF(計分!B223="","",計分!B223^2)</f>
        <v/>
      </c>
      <c r="C223">
        <f>IF(計分!C223="","",計分!C223^2)</f>
        <v/>
      </c>
      <c r="D223">
        <f>IF(計分!D223="","",計分!D223^2)</f>
        <v/>
      </c>
      <c r="E223">
        <f>IF(計分!E223="","",計分!E223^2)</f>
        <v/>
      </c>
      <c r="F223">
        <f>IF(計分!F223="","",計分!F223^2)</f>
        <v/>
      </c>
      <c r="G223">
        <f>IF(計分!G223="","",計分!G223^2)</f>
        <v/>
      </c>
      <c r="H223">
        <f>IF(計分!H223="","",計分!H223^2)</f>
        <v/>
      </c>
      <c r="I223">
        <f>IF(計分!I223="","",計分!I223^2)</f>
        <v/>
      </c>
      <c r="J223">
        <f>IF(計分!J223="","",計分!J223^2)</f>
        <v/>
      </c>
      <c r="K223">
        <f>IF(計分!K223="","",計分!K223^2)</f>
        <v/>
      </c>
      <c r="L223">
        <f>IF(計分!L223="","",計分!L223^2)</f>
        <v/>
      </c>
      <c r="M223">
        <f>IF(計分!M223="","",計分!M223^2)</f>
        <v/>
      </c>
      <c r="N223">
        <f>IF(計分!N223="","",計分!N223^2)</f>
        <v/>
      </c>
      <c r="O223">
        <f>IF(計分!O223="","",計分!O223^2)</f>
        <v/>
      </c>
      <c r="P223">
        <f>IF(計分!P223="","",計分!P223^2)</f>
        <v/>
      </c>
      <c r="Q223">
        <f>IF(計分!Q223="","",計分!Q223^2)</f>
        <v/>
      </c>
      <c r="R223">
        <f>IF(計分!R223="","",計分!R223^2)</f>
        <v/>
      </c>
      <c r="S223">
        <f>IF(計分!S223="","",計分!S223^2)</f>
        <v/>
      </c>
      <c r="T223">
        <f>IF(計分!T223="","",計分!T223^2)</f>
        <v/>
      </c>
      <c r="U223">
        <f>IF(計分!U223="","",計分!U223^2)</f>
        <v/>
      </c>
      <c r="V223">
        <f>IF(計分!V223="","",計分!V223^2)</f>
        <v/>
      </c>
      <c r="W223">
        <f>IF(計分!W223="","",計分!W223^2)</f>
        <v/>
      </c>
      <c r="X223">
        <f>IF(計分!X223="","",計分!X223^2)</f>
        <v/>
      </c>
      <c r="Y223">
        <f>IF(計分!Y223="","",計分!Y223^2)</f>
        <v/>
      </c>
      <c r="Z223">
        <f>IF(計分!Z223="","",計分!Z223^2)</f>
        <v/>
      </c>
      <c r="AA223">
        <f>IF(計分!AA223="","",計分!AA223^2)</f>
        <v/>
      </c>
      <c r="AB223">
        <f>IF(計分!AB223="","",計分!AB223^2)</f>
        <v/>
      </c>
      <c r="AC223">
        <f>IF(計分!AC223="","",計分!AC223^2)</f>
        <v/>
      </c>
      <c r="AD223">
        <f>IF(計分!AD223="","",計分!AD223^2)</f>
        <v/>
      </c>
      <c r="AE223">
        <f>IF(計分!AE223="","",計分!AE223^2)</f>
        <v/>
      </c>
      <c r="AF223">
        <f>IF(計分!AF223="","",計分!AF223^2)</f>
        <v/>
      </c>
      <c r="AG223">
        <f>IF(計分!AG223="","",計分!AG223^2)</f>
        <v/>
      </c>
      <c r="AH223">
        <f>IF(計分!AH223="","",計分!AH223^2)</f>
        <v/>
      </c>
      <c r="AI223">
        <f>IF(計分!AI223="","",計分!AI223^2)</f>
        <v/>
      </c>
      <c r="AJ223">
        <f>IF(計分!AJ223="","",計分!AJ223^2)</f>
        <v/>
      </c>
      <c r="AK223">
        <f>IF(計分!AK223="","",計分!AK223^2)</f>
        <v/>
      </c>
      <c r="AL223">
        <f>IF(計分!AL223="","",計分!AL223^2)</f>
        <v/>
      </c>
      <c r="AM223">
        <f>IF(計分!AM223="","",計分!AM223^2)</f>
        <v/>
      </c>
      <c r="AN223">
        <f>IF(計分!AN223="","",計分!AN223^2)</f>
        <v/>
      </c>
      <c r="AO223">
        <f>IF(計分!AO223="","",計分!AO223^2)</f>
        <v/>
      </c>
    </row>
    <row r="224">
      <c r="B224">
        <f>IF(計分!B224="","",計分!B224^2)</f>
        <v/>
      </c>
      <c r="C224">
        <f>IF(計分!C224="","",計分!C224^2)</f>
        <v/>
      </c>
      <c r="D224">
        <f>IF(計分!D224="","",計分!D224^2)</f>
        <v/>
      </c>
      <c r="E224">
        <f>IF(計分!E224="","",計分!E224^2)</f>
        <v/>
      </c>
      <c r="F224">
        <f>IF(計分!F224="","",計分!F224^2)</f>
        <v/>
      </c>
      <c r="G224">
        <f>IF(計分!G224="","",計分!G224^2)</f>
        <v/>
      </c>
      <c r="H224">
        <f>IF(計分!H224="","",計分!H224^2)</f>
        <v/>
      </c>
      <c r="I224">
        <f>IF(計分!I224="","",計分!I224^2)</f>
        <v/>
      </c>
      <c r="J224">
        <f>IF(計分!J224="","",計分!J224^2)</f>
        <v/>
      </c>
      <c r="K224">
        <f>IF(計分!K224="","",計分!K224^2)</f>
        <v/>
      </c>
      <c r="L224">
        <f>IF(計分!L224="","",計分!L224^2)</f>
        <v/>
      </c>
      <c r="M224">
        <f>IF(計分!M224="","",計分!M224^2)</f>
        <v/>
      </c>
      <c r="N224">
        <f>IF(計分!N224="","",計分!N224^2)</f>
        <v/>
      </c>
      <c r="O224">
        <f>IF(計分!O224="","",計分!O224^2)</f>
        <v/>
      </c>
      <c r="P224">
        <f>IF(計分!P224="","",計分!P224^2)</f>
        <v/>
      </c>
      <c r="Q224">
        <f>IF(計分!Q224="","",計分!Q224^2)</f>
        <v/>
      </c>
      <c r="R224">
        <f>IF(計分!R224="","",計分!R224^2)</f>
        <v/>
      </c>
      <c r="S224">
        <f>IF(計分!S224="","",計分!S224^2)</f>
        <v/>
      </c>
      <c r="T224">
        <f>IF(計分!T224="","",計分!T224^2)</f>
        <v/>
      </c>
      <c r="U224">
        <f>IF(計分!U224="","",計分!U224^2)</f>
        <v/>
      </c>
      <c r="V224">
        <f>IF(計分!V224="","",計分!V224^2)</f>
        <v/>
      </c>
      <c r="W224">
        <f>IF(計分!W224="","",計分!W224^2)</f>
        <v/>
      </c>
      <c r="X224">
        <f>IF(計分!X224="","",計分!X224^2)</f>
        <v/>
      </c>
      <c r="Y224">
        <f>IF(計分!Y224="","",計分!Y224^2)</f>
        <v/>
      </c>
      <c r="Z224">
        <f>IF(計分!Z224="","",計分!Z224^2)</f>
        <v/>
      </c>
      <c r="AA224">
        <f>IF(計分!AA224="","",計分!AA224^2)</f>
        <v/>
      </c>
      <c r="AB224">
        <f>IF(計分!AB224="","",計分!AB224^2)</f>
        <v/>
      </c>
      <c r="AC224">
        <f>IF(計分!AC224="","",計分!AC224^2)</f>
        <v/>
      </c>
      <c r="AD224">
        <f>IF(計分!AD224="","",計分!AD224^2)</f>
        <v/>
      </c>
      <c r="AE224">
        <f>IF(計分!AE224="","",計分!AE224^2)</f>
        <v/>
      </c>
      <c r="AF224">
        <f>IF(計分!AF224="","",計分!AF224^2)</f>
        <v/>
      </c>
      <c r="AG224">
        <f>IF(計分!AG224="","",計分!AG224^2)</f>
        <v/>
      </c>
      <c r="AH224">
        <f>IF(計分!AH224="","",計分!AH224^2)</f>
        <v/>
      </c>
      <c r="AI224">
        <f>IF(計分!AI224="","",計分!AI224^2)</f>
        <v/>
      </c>
      <c r="AJ224">
        <f>IF(計分!AJ224="","",計分!AJ224^2)</f>
        <v/>
      </c>
      <c r="AK224">
        <f>IF(計分!AK224="","",計分!AK224^2)</f>
        <v/>
      </c>
      <c r="AL224">
        <f>IF(計分!AL224="","",計分!AL224^2)</f>
        <v/>
      </c>
      <c r="AM224">
        <f>IF(計分!AM224="","",計分!AM224^2)</f>
        <v/>
      </c>
      <c r="AN224">
        <f>IF(計分!AN224="","",計分!AN224^2)</f>
        <v/>
      </c>
      <c r="AO224">
        <f>IF(計分!AO224="","",計分!AO224^2)</f>
        <v/>
      </c>
    </row>
    <row r="225">
      <c r="B225">
        <f>IF(計分!B225="","",計分!B225^2)</f>
        <v/>
      </c>
      <c r="C225">
        <f>IF(計分!C225="","",計分!C225^2)</f>
        <v/>
      </c>
      <c r="D225">
        <f>IF(計分!D225="","",計分!D225^2)</f>
        <v/>
      </c>
      <c r="E225">
        <f>IF(計分!E225="","",計分!E225^2)</f>
        <v/>
      </c>
      <c r="F225">
        <f>IF(計分!F225="","",計分!F225^2)</f>
        <v/>
      </c>
      <c r="G225">
        <f>IF(計分!G225="","",計分!G225^2)</f>
        <v/>
      </c>
      <c r="H225">
        <f>IF(計分!H225="","",計分!H225^2)</f>
        <v/>
      </c>
      <c r="I225">
        <f>IF(計分!I225="","",計分!I225^2)</f>
        <v/>
      </c>
      <c r="J225">
        <f>IF(計分!J225="","",計分!J225^2)</f>
        <v/>
      </c>
      <c r="K225">
        <f>IF(計分!K225="","",計分!K225^2)</f>
        <v/>
      </c>
      <c r="L225">
        <f>IF(計分!L225="","",計分!L225^2)</f>
        <v/>
      </c>
      <c r="M225">
        <f>IF(計分!M225="","",計分!M225^2)</f>
        <v/>
      </c>
      <c r="N225">
        <f>IF(計分!N225="","",計分!N225^2)</f>
        <v/>
      </c>
      <c r="O225">
        <f>IF(計分!O225="","",計分!O225^2)</f>
        <v/>
      </c>
      <c r="P225">
        <f>IF(計分!P225="","",計分!P225^2)</f>
        <v/>
      </c>
      <c r="Q225">
        <f>IF(計分!Q225="","",計分!Q225^2)</f>
        <v/>
      </c>
      <c r="R225">
        <f>IF(計分!R225="","",計分!R225^2)</f>
        <v/>
      </c>
      <c r="S225">
        <f>IF(計分!S225="","",計分!S225^2)</f>
        <v/>
      </c>
      <c r="T225">
        <f>IF(計分!T225="","",計分!T225^2)</f>
        <v/>
      </c>
      <c r="U225">
        <f>IF(計分!U225="","",計分!U225^2)</f>
        <v/>
      </c>
      <c r="V225">
        <f>IF(計分!V225="","",計分!V225^2)</f>
        <v/>
      </c>
      <c r="W225">
        <f>IF(計分!W225="","",計分!W225^2)</f>
        <v/>
      </c>
      <c r="X225">
        <f>IF(計分!X225="","",計分!X225^2)</f>
        <v/>
      </c>
      <c r="Y225">
        <f>IF(計分!Y225="","",計分!Y225^2)</f>
        <v/>
      </c>
      <c r="Z225">
        <f>IF(計分!Z225="","",計分!Z225^2)</f>
        <v/>
      </c>
      <c r="AA225">
        <f>IF(計分!AA225="","",計分!AA225^2)</f>
        <v/>
      </c>
      <c r="AB225">
        <f>IF(計分!AB225="","",計分!AB225^2)</f>
        <v/>
      </c>
      <c r="AC225">
        <f>IF(計分!AC225="","",計分!AC225^2)</f>
        <v/>
      </c>
      <c r="AD225">
        <f>IF(計分!AD225="","",計分!AD225^2)</f>
        <v/>
      </c>
      <c r="AE225">
        <f>IF(計分!AE225="","",計分!AE225^2)</f>
        <v/>
      </c>
      <c r="AF225">
        <f>IF(計分!AF225="","",計分!AF225^2)</f>
        <v/>
      </c>
      <c r="AG225">
        <f>IF(計分!AG225="","",計分!AG225^2)</f>
        <v/>
      </c>
      <c r="AH225">
        <f>IF(計分!AH225="","",計分!AH225^2)</f>
        <v/>
      </c>
      <c r="AI225">
        <f>IF(計分!AI225="","",計分!AI225^2)</f>
        <v/>
      </c>
      <c r="AJ225">
        <f>IF(計分!AJ225="","",計分!AJ225^2)</f>
        <v/>
      </c>
      <c r="AK225">
        <f>IF(計分!AK225="","",計分!AK225^2)</f>
        <v/>
      </c>
      <c r="AL225">
        <f>IF(計分!AL225="","",計分!AL225^2)</f>
        <v/>
      </c>
      <c r="AM225">
        <f>IF(計分!AM225="","",計分!AM225^2)</f>
        <v/>
      </c>
      <c r="AN225">
        <f>IF(計分!AN225="","",計分!AN225^2)</f>
        <v/>
      </c>
      <c r="AO225">
        <f>IF(計分!AO225="","",計分!AO225^2)</f>
        <v/>
      </c>
    </row>
    <row r="226">
      <c r="B226">
        <f>IF(計分!B226="","",計分!B226^2)</f>
        <v/>
      </c>
      <c r="C226">
        <f>IF(計分!C226="","",計分!C226^2)</f>
        <v/>
      </c>
      <c r="D226">
        <f>IF(計分!D226="","",計分!D226^2)</f>
        <v/>
      </c>
      <c r="E226">
        <f>IF(計分!E226="","",計分!E226^2)</f>
        <v/>
      </c>
      <c r="F226">
        <f>IF(計分!F226="","",計分!F226^2)</f>
        <v/>
      </c>
      <c r="G226">
        <f>IF(計分!G226="","",計分!G226^2)</f>
        <v/>
      </c>
      <c r="H226">
        <f>IF(計分!H226="","",計分!H226^2)</f>
        <v/>
      </c>
      <c r="I226">
        <f>IF(計分!I226="","",計分!I226^2)</f>
        <v/>
      </c>
      <c r="J226">
        <f>IF(計分!J226="","",計分!J226^2)</f>
        <v/>
      </c>
      <c r="K226">
        <f>IF(計分!K226="","",計分!K226^2)</f>
        <v/>
      </c>
      <c r="L226">
        <f>IF(計分!L226="","",計分!L226^2)</f>
        <v/>
      </c>
      <c r="M226">
        <f>IF(計分!M226="","",計分!M226^2)</f>
        <v/>
      </c>
      <c r="N226">
        <f>IF(計分!N226="","",計分!N226^2)</f>
        <v/>
      </c>
      <c r="O226">
        <f>IF(計分!O226="","",計分!O226^2)</f>
        <v/>
      </c>
      <c r="P226">
        <f>IF(計分!P226="","",計分!P226^2)</f>
        <v/>
      </c>
      <c r="Q226">
        <f>IF(計分!Q226="","",計分!Q226^2)</f>
        <v/>
      </c>
      <c r="R226">
        <f>IF(計分!R226="","",計分!R226^2)</f>
        <v/>
      </c>
      <c r="S226">
        <f>IF(計分!S226="","",計分!S226^2)</f>
        <v/>
      </c>
      <c r="T226">
        <f>IF(計分!T226="","",計分!T226^2)</f>
        <v/>
      </c>
      <c r="U226">
        <f>IF(計分!U226="","",計分!U226^2)</f>
        <v/>
      </c>
      <c r="V226">
        <f>IF(計分!V226="","",計分!V226^2)</f>
        <v/>
      </c>
      <c r="W226">
        <f>IF(計分!W226="","",計分!W226^2)</f>
        <v/>
      </c>
      <c r="X226">
        <f>IF(計分!X226="","",計分!X226^2)</f>
        <v/>
      </c>
      <c r="Y226">
        <f>IF(計分!Y226="","",計分!Y226^2)</f>
        <v/>
      </c>
      <c r="Z226">
        <f>IF(計分!Z226="","",計分!Z226^2)</f>
        <v/>
      </c>
      <c r="AA226">
        <f>IF(計分!AA226="","",計分!AA226^2)</f>
        <v/>
      </c>
      <c r="AB226">
        <f>IF(計分!AB226="","",計分!AB226^2)</f>
        <v/>
      </c>
      <c r="AC226">
        <f>IF(計分!AC226="","",計分!AC226^2)</f>
        <v/>
      </c>
      <c r="AD226">
        <f>IF(計分!AD226="","",計分!AD226^2)</f>
        <v/>
      </c>
      <c r="AE226">
        <f>IF(計分!AE226="","",計分!AE226^2)</f>
        <v/>
      </c>
      <c r="AF226">
        <f>IF(計分!AF226="","",計分!AF226^2)</f>
        <v/>
      </c>
      <c r="AG226">
        <f>IF(計分!AG226="","",計分!AG226^2)</f>
        <v/>
      </c>
      <c r="AH226">
        <f>IF(計分!AH226="","",計分!AH226^2)</f>
        <v/>
      </c>
      <c r="AI226">
        <f>IF(計分!AI226="","",計分!AI226^2)</f>
        <v/>
      </c>
      <c r="AJ226">
        <f>IF(計分!AJ226="","",計分!AJ226^2)</f>
        <v/>
      </c>
      <c r="AK226">
        <f>IF(計分!AK226="","",計分!AK226^2)</f>
        <v/>
      </c>
      <c r="AL226">
        <f>IF(計分!AL226="","",計分!AL226^2)</f>
        <v/>
      </c>
      <c r="AM226">
        <f>IF(計分!AM226="","",計分!AM226^2)</f>
        <v/>
      </c>
      <c r="AN226">
        <f>IF(計分!AN226="","",計分!AN226^2)</f>
        <v/>
      </c>
      <c r="AO226">
        <f>IF(計分!AO226="","",計分!AO226^2)</f>
        <v/>
      </c>
    </row>
    <row r="227">
      <c r="B227">
        <f>IF(計分!B227="","",計分!B227^2)</f>
        <v/>
      </c>
      <c r="C227">
        <f>IF(計分!C227="","",計分!C227^2)</f>
        <v/>
      </c>
      <c r="D227">
        <f>IF(計分!D227="","",計分!D227^2)</f>
        <v/>
      </c>
      <c r="E227">
        <f>IF(計分!E227="","",計分!E227^2)</f>
        <v/>
      </c>
      <c r="F227">
        <f>IF(計分!F227="","",計分!F227^2)</f>
        <v/>
      </c>
      <c r="G227">
        <f>IF(計分!G227="","",計分!G227^2)</f>
        <v/>
      </c>
      <c r="H227">
        <f>IF(計分!H227="","",計分!H227^2)</f>
        <v/>
      </c>
      <c r="I227">
        <f>IF(計分!I227="","",計分!I227^2)</f>
        <v/>
      </c>
      <c r="J227">
        <f>IF(計分!J227="","",計分!J227^2)</f>
        <v/>
      </c>
      <c r="K227">
        <f>IF(計分!K227="","",計分!K227^2)</f>
        <v/>
      </c>
      <c r="L227">
        <f>IF(計分!L227="","",計分!L227^2)</f>
        <v/>
      </c>
      <c r="M227">
        <f>IF(計分!M227="","",計分!M227^2)</f>
        <v/>
      </c>
      <c r="N227">
        <f>IF(計分!N227="","",計分!N227^2)</f>
        <v/>
      </c>
      <c r="O227">
        <f>IF(計分!O227="","",計分!O227^2)</f>
        <v/>
      </c>
      <c r="P227">
        <f>IF(計分!P227="","",計分!P227^2)</f>
        <v/>
      </c>
      <c r="Q227">
        <f>IF(計分!Q227="","",計分!Q227^2)</f>
        <v/>
      </c>
      <c r="R227">
        <f>IF(計分!R227="","",計分!R227^2)</f>
        <v/>
      </c>
      <c r="S227">
        <f>IF(計分!S227="","",計分!S227^2)</f>
        <v/>
      </c>
      <c r="T227">
        <f>IF(計分!T227="","",計分!T227^2)</f>
        <v/>
      </c>
      <c r="U227">
        <f>IF(計分!U227="","",計分!U227^2)</f>
        <v/>
      </c>
      <c r="V227">
        <f>IF(計分!V227="","",計分!V227^2)</f>
        <v/>
      </c>
      <c r="W227">
        <f>IF(計分!W227="","",計分!W227^2)</f>
        <v/>
      </c>
      <c r="X227">
        <f>IF(計分!X227="","",計分!X227^2)</f>
        <v/>
      </c>
      <c r="Y227">
        <f>IF(計分!Y227="","",計分!Y227^2)</f>
        <v/>
      </c>
      <c r="Z227">
        <f>IF(計分!Z227="","",計分!Z227^2)</f>
        <v/>
      </c>
      <c r="AA227">
        <f>IF(計分!AA227="","",計分!AA227^2)</f>
        <v/>
      </c>
      <c r="AB227">
        <f>IF(計分!AB227="","",計分!AB227^2)</f>
        <v/>
      </c>
      <c r="AC227">
        <f>IF(計分!AC227="","",計分!AC227^2)</f>
        <v/>
      </c>
      <c r="AD227">
        <f>IF(計分!AD227="","",計分!AD227^2)</f>
        <v/>
      </c>
      <c r="AE227">
        <f>IF(計分!AE227="","",計分!AE227^2)</f>
        <v/>
      </c>
      <c r="AF227">
        <f>IF(計分!AF227="","",計分!AF227^2)</f>
        <v/>
      </c>
      <c r="AG227">
        <f>IF(計分!AG227="","",計分!AG227^2)</f>
        <v/>
      </c>
      <c r="AH227">
        <f>IF(計分!AH227="","",計分!AH227^2)</f>
        <v/>
      </c>
      <c r="AI227">
        <f>IF(計分!AI227="","",計分!AI227^2)</f>
        <v/>
      </c>
      <c r="AJ227">
        <f>IF(計分!AJ227="","",計分!AJ227^2)</f>
        <v/>
      </c>
      <c r="AK227">
        <f>IF(計分!AK227="","",計分!AK227^2)</f>
        <v/>
      </c>
      <c r="AL227">
        <f>IF(計分!AL227="","",計分!AL227^2)</f>
        <v/>
      </c>
      <c r="AM227">
        <f>IF(計分!AM227="","",計分!AM227^2)</f>
        <v/>
      </c>
      <c r="AN227">
        <f>IF(計分!AN227="","",計分!AN227^2)</f>
        <v/>
      </c>
      <c r="AO227">
        <f>IF(計分!AO227="","",計分!AO227^2)</f>
        <v/>
      </c>
    </row>
    <row r="228">
      <c r="B228">
        <f>IF(計分!B228="","",計分!B228^2)</f>
        <v/>
      </c>
      <c r="C228">
        <f>IF(計分!C228="","",計分!C228^2)</f>
        <v/>
      </c>
      <c r="D228">
        <f>IF(計分!D228="","",計分!D228^2)</f>
        <v/>
      </c>
      <c r="E228">
        <f>IF(計分!E228="","",計分!E228^2)</f>
        <v/>
      </c>
      <c r="F228">
        <f>IF(計分!F228="","",計分!F228^2)</f>
        <v/>
      </c>
      <c r="G228">
        <f>IF(計分!G228="","",計分!G228^2)</f>
        <v/>
      </c>
      <c r="H228">
        <f>IF(計分!H228="","",計分!H228^2)</f>
        <v/>
      </c>
      <c r="I228">
        <f>IF(計分!I228="","",計分!I228^2)</f>
        <v/>
      </c>
      <c r="J228">
        <f>IF(計分!J228="","",計分!J228^2)</f>
        <v/>
      </c>
      <c r="K228">
        <f>IF(計分!K228="","",計分!K228^2)</f>
        <v/>
      </c>
      <c r="L228">
        <f>IF(計分!L228="","",計分!L228^2)</f>
        <v/>
      </c>
      <c r="M228">
        <f>IF(計分!M228="","",計分!M228^2)</f>
        <v/>
      </c>
      <c r="N228">
        <f>IF(計分!N228="","",計分!N228^2)</f>
        <v/>
      </c>
      <c r="O228">
        <f>IF(計分!O228="","",計分!O228^2)</f>
        <v/>
      </c>
      <c r="P228">
        <f>IF(計分!P228="","",計分!P228^2)</f>
        <v/>
      </c>
      <c r="Q228">
        <f>IF(計分!Q228="","",計分!Q228^2)</f>
        <v/>
      </c>
      <c r="R228">
        <f>IF(計分!R228="","",計分!R228^2)</f>
        <v/>
      </c>
      <c r="S228">
        <f>IF(計分!S228="","",計分!S228^2)</f>
        <v/>
      </c>
      <c r="T228">
        <f>IF(計分!T228="","",計分!T228^2)</f>
        <v/>
      </c>
      <c r="U228">
        <f>IF(計分!U228="","",計分!U228^2)</f>
        <v/>
      </c>
      <c r="V228">
        <f>IF(計分!V228="","",計分!V228^2)</f>
        <v/>
      </c>
      <c r="W228">
        <f>IF(計分!W228="","",計分!W228^2)</f>
        <v/>
      </c>
      <c r="X228">
        <f>IF(計分!X228="","",計分!X228^2)</f>
        <v/>
      </c>
      <c r="Y228">
        <f>IF(計分!Y228="","",計分!Y228^2)</f>
        <v/>
      </c>
      <c r="Z228">
        <f>IF(計分!Z228="","",計分!Z228^2)</f>
        <v/>
      </c>
      <c r="AA228">
        <f>IF(計分!AA228="","",計分!AA228^2)</f>
        <v/>
      </c>
      <c r="AB228">
        <f>IF(計分!AB228="","",計分!AB228^2)</f>
        <v/>
      </c>
      <c r="AC228">
        <f>IF(計分!AC228="","",計分!AC228^2)</f>
        <v/>
      </c>
      <c r="AD228">
        <f>IF(計分!AD228="","",計分!AD228^2)</f>
        <v/>
      </c>
      <c r="AE228">
        <f>IF(計分!AE228="","",計分!AE228^2)</f>
        <v/>
      </c>
      <c r="AF228">
        <f>IF(計分!AF228="","",計分!AF228^2)</f>
        <v/>
      </c>
      <c r="AG228">
        <f>IF(計分!AG228="","",計分!AG228^2)</f>
        <v/>
      </c>
      <c r="AH228">
        <f>IF(計分!AH228="","",計分!AH228^2)</f>
        <v/>
      </c>
      <c r="AI228">
        <f>IF(計分!AI228="","",計分!AI228^2)</f>
        <v/>
      </c>
      <c r="AJ228">
        <f>IF(計分!AJ228="","",計分!AJ228^2)</f>
        <v/>
      </c>
      <c r="AK228">
        <f>IF(計分!AK228="","",計分!AK228^2)</f>
        <v/>
      </c>
      <c r="AL228">
        <f>IF(計分!AL228="","",計分!AL228^2)</f>
        <v/>
      </c>
      <c r="AM228">
        <f>IF(計分!AM228="","",計分!AM228^2)</f>
        <v/>
      </c>
      <c r="AN228">
        <f>IF(計分!AN228="","",計分!AN228^2)</f>
        <v/>
      </c>
      <c r="AO228">
        <f>IF(計分!AO228="","",計分!AO228^2)</f>
        <v/>
      </c>
    </row>
    <row r="229">
      <c r="B229">
        <f>IF(計分!B229="","",計分!B229^2)</f>
        <v/>
      </c>
      <c r="C229">
        <f>IF(計分!C229="","",計分!C229^2)</f>
        <v/>
      </c>
      <c r="D229">
        <f>IF(計分!D229="","",計分!D229^2)</f>
        <v/>
      </c>
      <c r="E229">
        <f>IF(計分!E229="","",計分!E229^2)</f>
        <v/>
      </c>
      <c r="F229">
        <f>IF(計分!F229="","",計分!F229^2)</f>
        <v/>
      </c>
      <c r="G229">
        <f>IF(計分!G229="","",計分!G229^2)</f>
        <v/>
      </c>
      <c r="H229">
        <f>IF(計分!H229="","",計分!H229^2)</f>
        <v/>
      </c>
      <c r="I229">
        <f>IF(計分!I229="","",計分!I229^2)</f>
        <v/>
      </c>
      <c r="J229">
        <f>IF(計分!J229="","",計分!J229^2)</f>
        <v/>
      </c>
      <c r="K229">
        <f>IF(計分!K229="","",計分!K229^2)</f>
        <v/>
      </c>
      <c r="L229">
        <f>IF(計分!L229="","",計分!L229^2)</f>
        <v/>
      </c>
      <c r="M229">
        <f>IF(計分!M229="","",計分!M229^2)</f>
        <v/>
      </c>
      <c r="N229">
        <f>IF(計分!N229="","",計分!N229^2)</f>
        <v/>
      </c>
      <c r="O229">
        <f>IF(計分!O229="","",計分!O229^2)</f>
        <v/>
      </c>
      <c r="P229">
        <f>IF(計分!P229="","",計分!P229^2)</f>
        <v/>
      </c>
      <c r="Q229">
        <f>IF(計分!Q229="","",計分!Q229^2)</f>
        <v/>
      </c>
      <c r="R229">
        <f>IF(計分!R229="","",計分!R229^2)</f>
        <v/>
      </c>
      <c r="S229">
        <f>IF(計分!S229="","",計分!S229^2)</f>
        <v/>
      </c>
      <c r="T229">
        <f>IF(計分!T229="","",計分!T229^2)</f>
        <v/>
      </c>
      <c r="U229">
        <f>IF(計分!U229="","",計分!U229^2)</f>
        <v/>
      </c>
      <c r="V229">
        <f>IF(計分!V229="","",計分!V229^2)</f>
        <v/>
      </c>
      <c r="W229">
        <f>IF(計分!W229="","",計分!W229^2)</f>
        <v/>
      </c>
      <c r="X229">
        <f>IF(計分!X229="","",計分!X229^2)</f>
        <v/>
      </c>
      <c r="Y229">
        <f>IF(計分!Y229="","",計分!Y229^2)</f>
        <v/>
      </c>
      <c r="Z229">
        <f>IF(計分!Z229="","",計分!Z229^2)</f>
        <v/>
      </c>
      <c r="AA229">
        <f>IF(計分!AA229="","",計分!AA229^2)</f>
        <v/>
      </c>
      <c r="AB229">
        <f>IF(計分!AB229="","",計分!AB229^2)</f>
        <v/>
      </c>
      <c r="AC229">
        <f>IF(計分!AC229="","",計分!AC229^2)</f>
        <v/>
      </c>
      <c r="AD229">
        <f>IF(計分!AD229="","",計分!AD229^2)</f>
        <v/>
      </c>
      <c r="AE229">
        <f>IF(計分!AE229="","",計分!AE229^2)</f>
        <v/>
      </c>
      <c r="AF229">
        <f>IF(計分!AF229="","",計分!AF229^2)</f>
        <v/>
      </c>
      <c r="AG229">
        <f>IF(計分!AG229="","",計分!AG229^2)</f>
        <v/>
      </c>
      <c r="AH229">
        <f>IF(計分!AH229="","",計分!AH229^2)</f>
        <v/>
      </c>
      <c r="AI229">
        <f>IF(計分!AI229="","",計分!AI229^2)</f>
        <v/>
      </c>
      <c r="AJ229">
        <f>IF(計分!AJ229="","",計分!AJ229^2)</f>
        <v/>
      </c>
      <c r="AK229">
        <f>IF(計分!AK229="","",計分!AK229^2)</f>
        <v/>
      </c>
      <c r="AL229">
        <f>IF(計分!AL229="","",計分!AL229^2)</f>
        <v/>
      </c>
      <c r="AM229">
        <f>IF(計分!AM229="","",計分!AM229^2)</f>
        <v/>
      </c>
      <c r="AN229">
        <f>IF(計分!AN229="","",計分!AN229^2)</f>
        <v/>
      </c>
      <c r="AO229">
        <f>IF(計分!AO229="","",計分!AO229^2)</f>
        <v/>
      </c>
    </row>
    <row r="230">
      <c r="B230">
        <f>IF(計分!B230="","",計分!B230^2)</f>
        <v/>
      </c>
      <c r="C230">
        <f>IF(計分!C230="","",計分!C230^2)</f>
        <v/>
      </c>
      <c r="D230">
        <f>IF(計分!D230="","",計分!D230^2)</f>
        <v/>
      </c>
      <c r="E230">
        <f>IF(計分!E230="","",計分!E230^2)</f>
        <v/>
      </c>
      <c r="F230">
        <f>IF(計分!F230="","",計分!F230^2)</f>
        <v/>
      </c>
      <c r="G230">
        <f>IF(計分!G230="","",計分!G230^2)</f>
        <v/>
      </c>
      <c r="H230">
        <f>IF(計分!H230="","",計分!H230^2)</f>
        <v/>
      </c>
      <c r="I230">
        <f>IF(計分!I230="","",計分!I230^2)</f>
        <v/>
      </c>
      <c r="J230">
        <f>IF(計分!J230="","",計分!J230^2)</f>
        <v/>
      </c>
      <c r="K230">
        <f>IF(計分!K230="","",計分!K230^2)</f>
        <v/>
      </c>
      <c r="L230">
        <f>IF(計分!L230="","",計分!L230^2)</f>
        <v/>
      </c>
      <c r="M230">
        <f>IF(計分!M230="","",計分!M230^2)</f>
        <v/>
      </c>
      <c r="N230">
        <f>IF(計分!N230="","",計分!N230^2)</f>
        <v/>
      </c>
      <c r="O230">
        <f>IF(計分!O230="","",計分!O230^2)</f>
        <v/>
      </c>
      <c r="P230">
        <f>IF(計分!P230="","",計分!P230^2)</f>
        <v/>
      </c>
      <c r="Q230">
        <f>IF(計分!Q230="","",計分!Q230^2)</f>
        <v/>
      </c>
      <c r="R230">
        <f>IF(計分!R230="","",計分!R230^2)</f>
        <v/>
      </c>
      <c r="S230">
        <f>IF(計分!S230="","",計分!S230^2)</f>
        <v/>
      </c>
      <c r="T230">
        <f>IF(計分!T230="","",計分!T230^2)</f>
        <v/>
      </c>
      <c r="U230">
        <f>IF(計分!U230="","",計分!U230^2)</f>
        <v/>
      </c>
      <c r="V230">
        <f>IF(計分!V230="","",計分!V230^2)</f>
        <v/>
      </c>
      <c r="W230">
        <f>IF(計分!W230="","",計分!W230^2)</f>
        <v/>
      </c>
      <c r="X230">
        <f>IF(計分!X230="","",計分!X230^2)</f>
        <v/>
      </c>
      <c r="Y230">
        <f>IF(計分!Y230="","",計分!Y230^2)</f>
        <v/>
      </c>
      <c r="Z230">
        <f>IF(計分!Z230="","",計分!Z230^2)</f>
        <v/>
      </c>
      <c r="AA230">
        <f>IF(計分!AA230="","",計分!AA230^2)</f>
        <v/>
      </c>
      <c r="AB230">
        <f>IF(計分!AB230="","",計分!AB230^2)</f>
        <v/>
      </c>
      <c r="AC230">
        <f>IF(計分!AC230="","",計分!AC230^2)</f>
        <v/>
      </c>
      <c r="AD230">
        <f>IF(計分!AD230="","",計分!AD230^2)</f>
        <v/>
      </c>
      <c r="AE230">
        <f>IF(計分!AE230="","",計分!AE230^2)</f>
        <v/>
      </c>
      <c r="AF230">
        <f>IF(計分!AF230="","",計分!AF230^2)</f>
        <v/>
      </c>
      <c r="AG230">
        <f>IF(計分!AG230="","",計分!AG230^2)</f>
        <v/>
      </c>
      <c r="AH230">
        <f>IF(計分!AH230="","",計分!AH230^2)</f>
        <v/>
      </c>
      <c r="AI230">
        <f>IF(計分!AI230="","",計分!AI230^2)</f>
        <v/>
      </c>
      <c r="AJ230">
        <f>IF(計分!AJ230="","",計分!AJ230^2)</f>
        <v/>
      </c>
      <c r="AK230">
        <f>IF(計分!AK230="","",計分!AK230^2)</f>
        <v/>
      </c>
      <c r="AL230">
        <f>IF(計分!AL230="","",計分!AL230^2)</f>
        <v/>
      </c>
      <c r="AM230">
        <f>IF(計分!AM230="","",計分!AM230^2)</f>
        <v/>
      </c>
      <c r="AN230">
        <f>IF(計分!AN230="","",計分!AN230^2)</f>
        <v/>
      </c>
      <c r="AO230">
        <f>IF(計分!AO230="","",計分!AO230^2)</f>
        <v/>
      </c>
    </row>
    <row r="231">
      <c r="B231">
        <f>IF(計分!B231="","",計分!B231^2)</f>
        <v/>
      </c>
      <c r="C231">
        <f>IF(計分!C231="","",計分!C231^2)</f>
        <v/>
      </c>
      <c r="D231">
        <f>IF(計分!D231="","",計分!D231^2)</f>
        <v/>
      </c>
      <c r="E231">
        <f>IF(計分!E231="","",計分!E231^2)</f>
        <v/>
      </c>
      <c r="F231">
        <f>IF(計分!F231="","",計分!F231^2)</f>
        <v/>
      </c>
      <c r="G231">
        <f>IF(計分!G231="","",計分!G231^2)</f>
        <v/>
      </c>
      <c r="H231">
        <f>IF(計分!H231="","",計分!H231^2)</f>
        <v/>
      </c>
      <c r="I231">
        <f>IF(計分!I231="","",計分!I231^2)</f>
        <v/>
      </c>
      <c r="J231">
        <f>IF(計分!J231="","",計分!J231^2)</f>
        <v/>
      </c>
      <c r="K231">
        <f>IF(計分!K231="","",計分!K231^2)</f>
        <v/>
      </c>
      <c r="L231">
        <f>IF(計分!L231="","",計分!L231^2)</f>
        <v/>
      </c>
      <c r="M231">
        <f>IF(計分!M231="","",計分!M231^2)</f>
        <v/>
      </c>
      <c r="N231">
        <f>IF(計分!N231="","",計分!N231^2)</f>
        <v/>
      </c>
      <c r="O231">
        <f>IF(計分!O231="","",計分!O231^2)</f>
        <v/>
      </c>
      <c r="P231">
        <f>IF(計分!P231="","",計分!P231^2)</f>
        <v/>
      </c>
      <c r="Q231">
        <f>IF(計分!Q231="","",計分!Q231^2)</f>
        <v/>
      </c>
      <c r="R231">
        <f>IF(計分!R231="","",計分!R231^2)</f>
        <v/>
      </c>
      <c r="S231">
        <f>IF(計分!S231="","",計分!S231^2)</f>
        <v/>
      </c>
      <c r="T231">
        <f>IF(計分!T231="","",計分!T231^2)</f>
        <v/>
      </c>
      <c r="U231">
        <f>IF(計分!U231="","",計分!U231^2)</f>
        <v/>
      </c>
      <c r="V231">
        <f>IF(計分!V231="","",計分!V231^2)</f>
        <v/>
      </c>
      <c r="W231">
        <f>IF(計分!W231="","",計分!W231^2)</f>
        <v/>
      </c>
      <c r="X231">
        <f>IF(計分!X231="","",計分!X231^2)</f>
        <v/>
      </c>
      <c r="Y231">
        <f>IF(計分!Y231="","",計分!Y231^2)</f>
        <v/>
      </c>
      <c r="Z231">
        <f>IF(計分!Z231="","",計分!Z231^2)</f>
        <v/>
      </c>
      <c r="AA231">
        <f>IF(計分!AA231="","",計分!AA231^2)</f>
        <v/>
      </c>
      <c r="AB231">
        <f>IF(計分!AB231="","",計分!AB231^2)</f>
        <v/>
      </c>
      <c r="AC231">
        <f>IF(計分!AC231="","",計分!AC231^2)</f>
        <v/>
      </c>
      <c r="AD231">
        <f>IF(計分!AD231="","",計分!AD231^2)</f>
        <v/>
      </c>
      <c r="AE231">
        <f>IF(計分!AE231="","",計分!AE231^2)</f>
        <v/>
      </c>
      <c r="AF231">
        <f>IF(計分!AF231="","",計分!AF231^2)</f>
        <v/>
      </c>
      <c r="AG231">
        <f>IF(計分!AG231="","",計分!AG231^2)</f>
        <v/>
      </c>
      <c r="AH231">
        <f>IF(計分!AH231="","",計分!AH231^2)</f>
        <v/>
      </c>
      <c r="AI231">
        <f>IF(計分!AI231="","",計分!AI231^2)</f>
        <v/>
      </c>
      <c r="AJ231">
        <f>IF(計分!AJ231="","",計分!AJ231^2)</f>
        <v/>
      </c>
      <c r="AK231">
        <f>IF(計分!AK231="","",計分!AK231^2)</f>
        <v/>
      </c>
      <c r="AL231">
        <f>IF(計分!AL231="","",計分!AL231^2)</f>
        <v/>
      </c>
      <c r="AM231">
        <f>IF(計分!AM231="","",計分!AM231^2)</f>
        <v/>
      </c>
      <c r="AN231">
        <f>IF(計分!AN231="","",計分!AN231^2)</f>
        <v/>
      </c>
      <c r="AO231">
        <f>IF(計分!AO231="","",計分!AO231^2)</f>
        <v/>
      </c>
    </row>
    <row r="232">
      <c r="B232">
        <f>IF(計分!B232="","",計分!B232^2)</f>
        <v/>
      </c>
      <c r="C232">
        <f>IF(計分!C232="","",計分!C232^2)</f>
        <v/>
      </c>
      <c r="D232">
        <f>IF(計分!D232="","",計分!D232^2)</f>
        <v/>
      </c>
      <c r="E232">
        <f>IF(計分!E232="","",計分!E232^2)</f>
        <v/>
      </c>
      <c r="F232">
        <f>IF(計分!F232="","",計分!F232^2)</f>
        <v/>
      </c>
      <c r="G232">
        <f>IF(計分!G232="","",計分!G232^2)</f>
        <v/>
      </c>
      <c r="H232">
        <f>IF(計分!H232="","",計分!H232^2)</f>
        <v/>
      </c>
      <c r="I232">
        <f>IF(計分!I232="","",計分!I232^2)</f>
        <v/>
      </c>
      <c r="J232">
        <f>IF(計分!J232="","",計分!J232^2)</f>
        <v/>
      </c>
      <c r="K232">
        <f>IF(計分!K232="","",計分!K232^2)</f>
        <v/>
      </c>
      <c r="L232">
        <f>IF(計分!L232="","",計分!L232^2)</f>
        <v/>
      </c>
      <c r="M232">
        <f>IF(計分!M232="","",計分!M232^2)</f>
        <v/>
      </c>
      <c r="N232">
        <f>IF(計分!N232="","",計分!N232^2)</f>
        <v/>
      </c>
      <c r="O232">
        <f>IF(計分!O232="","",計分!O232^2)</f>
        <v/>
      </c>
      <c r="P232">
        <f>IF(計分!P232="","",計分!P232^2)</f>
        <v/>
      </c>
      <c r="Q232">
        <f>IF(計分!Q232="","",計分!Q232^2)</f>
        <v/>
      </c>
      <c r="R232">
        <f>IF(計分!R232="","",計分!R232^2)</f>
        <v/>
      </c>
      <c r="S232">
        <f>IF(計分!S232="","",計分!S232^2)</f>
        <v/>
      </c>
      <c r="T232">
        <f>IF(計分!T232="","",計分!T232^2)</f>
        <v/>
      </c>
      <c r="U232">
        <f>IF(計分!U232="","",計分!U232^2)</f>
        <v/>
      </c>
      <c r="V232">
        <f>IF(計分!V232="","",計分!V232^2)</f>
        <v/>
      </c>
      <c r="W232">
        <f>IF(計分!W232="","",計分!W232^2)</f>
        <v/>
      </c>
      <c r="X232">
        <f>IF(計分!X232="","",計分!X232^2)</f>
        <v/>
      </c>
      <c r="Y232">
        <f>IF(計分!Y232="","",計分!Y232^2)</f>
        <v/>
      </c>
      <c r="Z232">
        <f>IF(計分!Z232="","",計分!Z232^2)</f>
        <v/>
      </c>
      <c r="AA232">
        <f>IF(計分!AA232="","",計分!AA232^2)</f>
        <v/>
      </c>
      <c r="AB232">
        <f>IF(計分!AB232="","",計分!AB232^2)</f>
        <v/>
      </c>
      <c r="AC232">
        <f>IF(計分!AC232="","",計分!AC232^2)</f>
        <v/>
      </c>
      <c r="AD232">
        <f>IF(計分!AD232="","",計分!AD232^2)</f>
        <v/>
      </c>
      <c r="AE232">
        <f>IF(計分!AE232="","",計分!AE232^2)</f>
        <v/>
      </c>
      <c r="AF232">
        <f>IF(計分!AF232="","",計分!AF232^2)</f>
        <v/>
      </c>
      <c r="AG232">
        <f>IF(計分!AG232="","",計分!AG232^2)</f>
        <v/>
      </c>
      <c r="AH232">
        <f>IF(計分!AH232="","",計分!AH232^2)</f>
        <v/>
      </c>
      <c r="AI232">
        <f>IF(計分!AI232="","",計分!AI232^2)</f>
        <v/>
      </c>
      <c r="AJ232">
        <f>IF(計分!AJ232="","",計分!AJ232^2)</f>
        <v/>
      </c>
      <c r="AK232">
        <f>IF(計分!AK232="","",計分!AK232^2)</f>
        <v/>
      </c>
      <c r="AL232">
        <f>IF(計分!AL232="","",計分!AL232^2)</f>
        <v/>
      </c>
      <c r="AM232">
        <f>IF(計分!AM232="","",計分!AM232^2)</f>
        <v/>
      </c>
      <c r="AN232">
        <f>IF(計分!AN232="","",計分!AN232^2)</f>
        <v/>
      </c>
      <c r="AO232">
        <f>IF(計分!AO232="","",計分!AO232^2)</f>
        <v/>
      </c>
    </row>
    <row r="233">
      <c r="B233">
        <f>IF(計分!B233="","",計分!B233^2)</f>
        <v/>
      </c>
      <c r="C233">
        <f>IF(計分!C233="","",計分!C233^2)</f>
        <v/>
      </c>
      <c r="D233">
        <f>IF(計分!D233="","",計分!D233^2)</f>
        <v/>
      </c>
      <c r="E233">
        <f>IF(計分!E233="","",計分!E233^2)</f>
        <v/>
      </c>
      <c r="F233">
        <f>IF(計分!F233="","",計分!F233^2)</f>
        <v/>
      </c>
      <c r="G233">
        <f>IF(計分!G233="","",計分!G233^2)</f>
        <v/>
      </c>
      <c r="H233">
        <f>IF(計分!H233="","",計分!H233^2)</f>
        <v/>
      </c>
      <c r="I233">
        <f>IF(計分!I233="","",計分!I233^2)</f>
        <v/>
      </c>
      <c r="J233">
        <f>IF(計分!J233="","",計分!J233^2)</f>
        <v/>
      </c>
      <c r="K233">
        <f>IF(計分!K233="","",計分!K233^2)</f>
        <v/>
      </c>
      <c r="L233">
        <f>IF(計分!L233="","",計分!L233^2)</f>
        <v/>
      </c>
      <c r="M233">
        <f>IF(計分!M233="","",計分!M233^2)</f>
        <v/>
      </c>
      <c r="N233">
        <f>IF(計分!N233="","",計分!N233^2)</f>
        <v/>
      </c>
      <c r="O233">
        <f>IF(計分!O233="","",計分!O233^2)</f>
        <v/>
      </c>
      <c r="P233">
        <f>IF(計分!P233="","",計分!P233^2)</f>
        <v/>
      </c>
      <c r="Q233">
        <f>IF(計分!Q233="","",計分!Q233^2)</f>
        <v/>
      </c>
      <c r="R233">
        <f>IF(計分!R233="","",計分!R233^2)</f>
        <v/>
      </c>
      <c r="S233">
        <f>IF(計分!S233="","",計分!S233^2)</f>
        <v/>
      </c>
      <c r="T233">
        <f>IF(計分!T233="","",計分!T233^2)</f>
        <v/>
      </c>
      <c r="U233">
        <f>IF(計分!U233="","",計分!U233^2)</f>
        <v/>
      </c>
      <c r="V233">
        <f>IF(計分!V233="","",計分!V233^2)</f>
        <v/>
      </c>
      <c r="W233">
        <f>IF(計分!W233="","",計分!W233^2)</f>
        <v/>
      </c>
      <c r="X233">
        <f>IF(計分!X233="","",計分!X233^2)</f>
        <v/>
      </c>
      <c r="Y233">
        <f>IF(計分!Y233="","",計分!Y233^2)</f>
        <v/>
      </c>
      <c r="Z233">
        <f>IF(計分!Z233="","",計分!Z233^2)</f>
        <v/>
      </c>
      <c r="AA233">
        <f>IF(計分!AA233="","",計分!AA233^2)</f>
        <v/>
      </c>
      <c r="AB233">
        <f>IF(計分!AB233="","",計分!AB233^2)</f>
        <v/>
      </c>
      <c r="AC233">
        <f>IF(計分!AC233="","",計分!AC233^2)</f>
        <v/>
      </c>
      <c r="AD233">
        <f>IF(計分!AD233="","",計分!AD233^2)</f>
        <v/>
      </c>
      <c r="AE233">
        <f>IF(計分!AE233="","",計分!AE233^2)</f>
        <v/>
      </c>
      <c r="AF233">
        <f>IF(計分!AF233="","",計分!AF233^2)</f>
        <v/>
      </c>
      <c r="AG233">
        <f>IF(計分!AG233="","",計分!AG233^2)</f>
        <v/>
      </c>
      <c r="AH233">
        <f>IF(計分!AH233="","",計分!AH233^2)</f>
        <v/>
      </c>
      <c r="AI233">
        <f>IF(計分!AI233="","",計分!AI233^2)</f>
        <v/>
      </c>
      <c r="AJ233">
        <f>IF(計分!AJ233="","",計分!AJ233^2)</f>
        <v/>
      </c>
      <c r="AK233">
        <f>IF(計分!AK233="","",計分!AK233^2)</f>
        <v/>
      </c>
      <c r="AL233">
        <f>IF(計分!AL233="","",計分!AL233^2)</f>
        <v/>
      </c>
      <c r="AM233">
        <f>IF(計分!AM233="","",計分!AM233^2)</f>
        <v/>
      </c>
      <c r="AN233">
        <f>IF(計分!AN233="","",計分!AN233^2)</f>
        <v/>
      </c>
      <c r="AO233">
        <f>IF(計分!AO233="","",計分!AO233^2)</f>
        <v/>
      </c>
    </row>
    <row r="234">
      <c r="B234">
        <f>IF(計分!B234="","",計分!B234^2)</f>
        <v/>
      </c>
      <c r="C234">
        <f>IF(計分!C234="","",計分!C234^2)</f>
        <v/>
      </c>
      <c r="D234">
        <f>IF(計分!D234="","",計分!D234^2)</f>
        <v/>
      </c>
      <c r="E234">
        <f>IF(計分!E234="","",計分!E234^2)</f>
        <v/>
      </c>
      <c r="F234">
        <f>IF(計分!F234="","",計分!F234^2)</f>
        <v/>
      </c>
      <c r="G234">
        <f>IF(計分!G234="","",計分!G234^2)</f>
        <v/>
      </c>
      <c r="H234">
        <f>IF(計分!H234="","",計分!H234^2)</f>
        <v/>
      </c>
      <c r="I234">
        <f>IF(計分!I234="","",計分!I234^2)</f>
        <v/>
      </c>
      <c r="J234">
        <f>IF(計分!J234="","",計分!J234^2)</f>
        <v/>
      </c>
      <c r="K234">
        <f>IF(計分!K234="","",計分!K234^2)</f>
        <v/>
      </c>
      <c r="L234">
        <f>IF(計分!L234="","",計分!L234^2)</f>
        <v/>
      </c>
      <c r="M234">
        <f>IF(計分!M234="","",計分!M234^2)</f>
        <v/>
      </c>
      <c r="N234">
        <f>IF(計分!N234="","",計分!N234^2)</f>
        <v/>
      </c>
      <c r="O234">
        <f>IF(計分!O234="","",計分!O234^2)</f>
        <v/>
      </c>
      <c r="P234">
        <f>IF(計分!P234="","",計分!P234^2)</f>
        <v/>
      </c>
      <c r="Q234">
        <f>IF(計分!Q234="","",計分!Q234^2)</f>
        <v/>
      </c>
      <c r="R234">
        <f>IF(計分!R234="","",計分!R234^2)</f>
        <v/>
      </c>
      <c r="S234">
        <f>IF(計分!S234="","",計分!S234^2)</f>
        <v/>
      </c>
      <c r="T234">
        <f>IF(計分!T234="","",計分!T234^2)</f>
        <v/>
      </c>
      <c r="U234">
        <f>IF(計分!U234="","",計分!U234^2)</f>
        <v/>
      </c>
      <c r="V234">
        <f>IF(計分!V234="","",計分!V234^2)</f>
        <v/>
      </c>
      <c r="W234">
        <f>IF(計分!W234="","",計分!W234^2)</f>
        <v/>
      </c>
      <c r="X234">
        <f>IF(計分!X234="","",計分!X234^2)</f>
        <v/>
      </c>
      <c r="Y234">
        <f>IF(計分!Y234="","",計分!Y234^2)</f>
        <v/>
      </c>
      <c r="Z234">
        <f>IF(計分!Z234="","",計分!Z234^2)</f>
        <v/>
      </c>
      <c r="AA234">
        <f>IF(計分!AA234="","",計分!AA234^2)</f>
        <v/>
      </c>
      <c r="AB234">
        <f>IF(計分!AB234="","",計分!AB234^2)</f>
        <v/>
      </c>
      <c r="AC234">
        <f>IF(計分!AC234="","",計分!AC234^2)</f>
        <v/>
      </c>
      <c r="AD234">
        <f>IF(計分!AD234="","",計分!AD234^2)</f>
        <v/>
      </c>
      <c r="AE234">
        <f>IF(計分!AE234="","",計分!AE234^2)</f>
        <v/>
      </c>
      <c r="AF234">
        <f>IF(計分!AF234="","",計分!AF234^2)</f>
        <v/>
      </c>
      <c r="AG234">
        <f>IF(計分!AG234="","",計分!AG234^2)</f>
        <v/>
      </c>
      <c r="AH234">
        <f>IF(計分!AH234="","",計分!AH234^2)</f>
        <v/>
      </c>
      <c r="AI234">
        <f>IF(計分!AI234="","",計分!AI234^2)</f>
        <v/>
      </c>
      <c r="AJ234">
        <f>IF(計分!AJ234="","",計分!AJ234^2)</f>
        <v/>
      </c>
      <c r="AK234">
        <f>IF(計分!AK234="","",計分!AK234^2)</f>
        <v/>
      </c>
      <c r="AL234">
        <f>IF(計分!AL234="","",計分!AL234^2)</f>
        <v/>
      </c>
      <c r="AM234">
        <f>IF(計分!AM234="","",計分!AM234^2)</f>
        <v/>
      </c>
      <c r="AN234">
        <f>IF(計分!AN234="","",計分!AN234^2)</f>
        <v/>
      </c>
      <c r="AO234">
        <f>IF(計分!AO234="","",計分!AO234^2)</f>
        <v/>
      </c>
    </row>
    <row r="235">
      <c r="B235">
        <f>IF(計分!B235="","",計分!B235^2)</f>
        <v/>
      </c>
      <c r="C235">
        <f>IF(計分!C235="","",計分!C235^2)</f>
        <v/>
      </c>
      <c r="D235">
        <f>IF(計分!D235="","",計分!D235^2)</f>
        <v/>
      </c>
      <c r="E235">
        <f>IF(計分!E235="","",計分!E235^2)</f>
        <v/>
      </c>
      <c r="F235">
        <f>IF(計分!F235="","",計分!F235^2)</f>
        <v/>
      </c>
      <c r="G235">
        <f>IF(計分!G235="","",計分!G235^2)</f>
        <v/>
      </c>
      <c r="H235">
        <f>IF(計分!H235="","",計分!H235^2)</f>
        <v/>
      </c>
      <c r="I235">
        <f>IF(計分!I235="","",計分!I235^2)</f>
        <v/>
      </c>
      <c r="J235">
        <f>IF(計分!J235="","",計分!J235^2)</f>
        <v/>
      </c>
      <c r="K235">
        <f>IF(計分!K235="","",計分!K235^2)</f>
        <v/>
      </c>
      <c r="L235">
        <f>IF(計分!L235="","",計分!L235^2)</f>
        <v/>
      </c>
      <c r="M235">
        <f>IF(計分!M235="","",計分!M235^2)</f>
        <v/>
      </c>
      <c r="N235">
        <f>IF(計分!N235="","",計分!N235^2)</f>
        <v/>
      </c>
      <c r="O235">
        <f>IF(計分!O235="","",計分!O235^2)</f>
        <v/>
      </c>
      <c r="P235">
        <f>IF(計分!P235="","",計分!P235^2)</f>
        <v/>
      </c>
      <c r="Q235">
        <f>IF(計分!Q235="","",計分!Q235^2)</f>
        <v/>
      </c>
      <c r="R235">
        <f>IF(計分!R235="","",計分!R235^2)</f>
        <v/>
      </c>
      <c r="S235">
        <f>IF(計分!S235="","",計分!S235^2)</f>
        <v/>
      </c>
      <c r="T235">
        <f>IF(計分!T235="","",計分!T235^2)</f>
        <v/>
      </c>
      <c r="U235">
        <f>IF(計分!U235="","",計分!U235^2)</f>
        <v/>
      </c>
      <c r="V235">
        <f>IF(計分!V235="","",計分!V235^2)</f>
        <v/>
      </c>
      <c r="W235">
        <f>IF(計分!W235="","",計分!W235^2)</f>
        <v/>
      </c>
      <c r="X235">
        <f>IF(計分!X235="","",計分!X235^2)</f>
        <v/>
      </c>
      <c r="Y235">
        <f>IF(計分!Y235="","",計分!Y235^2)</f>
        <v/>
      </c>
      <c r="Z235">
        <f>IF(計分!Z235="","",計分!Z235^2)</f>
        <v/>
      </c>
      <c r="AA235">
        <f>IF(計分!AA235="","",計分!AA235^2)</f>
        <v/>
      </c>
      <c r="AB235">
        <f>IF(計分!AB235="","",計分!AB235^2)</f>
        <v/>
      </c>
      <c r="AC235">
        <f>IF(計分!AC235="","",計分!AC235^2)</f>
        <v/>
      </c>
      <c r="AD235">
        <f>IF(計分!AD235="","",計分!AD235^2)</f>
        <v/>
      </c>
      <c r="AE235">
        <f>IF(計分!AE235="","",計分!AE235^2)</f>
        <v/>
      </c>
      <c r="AF235">
        <f>IF(計分!AF235="","",計分!AF235^2)</f>
        <v/>
      </c>
      <c r="AG235">
        <f>IF(計分!AG235="","",計分!AG235^2)</f>
        <v/>
      </c>
      <c r="AH235">
        <f>IF(計分!AH235="","",計分!AH235^2)</f>
        <v/>
      </c>
      <c r="AI235">
        <f>IF(計分!AI235="","",計分!AI235^2)</f>
        <v/>
      </c>
      <c r="AJ235">
        <f>IF(計分!AJ235="","",計分!AJ235^2)</f>
        <v/>
      </c>
      <c r="AK235">
        <f>IF(計分!AK235="","",計分!AK235^2)</f>
        <v/>
      </c>
      <c r="AL235">
        <f>IF(計分!AL235="","",計分!AL235^2)</f>
        <v/>
      </c>
      <c r="AM235">
        <f>IF(計分!AM235="","",計分!AM235^2)</f>
        <v/>
      </c>
      <c r="AN235">
        <f>IF(計分!AN235="","",計分!AN235^2)</f>
        <v/>
      </c>
      <c r="AO235">
        <f>IF(計分!AO235="","",計分!AO235^2)</f>
        <v/>
      </c>
    </row>
    <row r="236">
      <c r="B236">
        <f>IF(計分!B236="","",計分!B236^2)</f>
        <v/>
      </c>
      <c r="C236">
        <f>IF(計分!C236="","",計分!C236^2)</f>
        <v/>
      </c>
      <c r="D236">
        <f>IF(計分!D236="","",計分!D236^2)</f>
        <v/>
      </c>
      <c r="E236">
        <f>IF(計分!E236="","",計分!E236^2)</f>
        <v/>
      </c>
      <c r="F236">
        <f>IF(計分!F236="","",計分!F236^2)</f>
        <v/>
      </c>
      <c r="G236">
        <f>IF(計分!G236="","",計分!G236^2)</f>
        <v/>
      </c>
      <c r="H236">
        <f>IF(計分!H236="","",計分!H236^2)</f>
        <v/>
      </c>
      <c r="I236">
        <f>IF(計分!I236="","",計分!I236^2)</f>
        <v/>
      </c>
      <c r="J236">
        <f>IF(計分!J236="","",計分!J236^2)</f>
        <v/>
      </c>
      <c r="K236">
        <f>IF(計分!K236="","",計分!K236^2)</f>
        <v/>
      </c>
      <c r="L236">
        <f>IF(計分!L236="","",計分!L236^2)</f>
        <v/>
      </c>
      <c r="M236">
        <f>IF(計分!M236="","",計分!M236^2)</f>
        <v/>
      </c>
      <c r="N236">
        <f>IF(計分!N236="","",計分!N236^2)</f>
        <v/>
      </c>
      <c r="O236">
        <f>IF(計分!O236="","",計分!O236^2)</f>
        <v/>
      </c>
      <c r="P236">
        <f>IF(計分!P236="","",計分!P236^2)</f>
        <v/>
      </c>
      <c r="Q236">
        <f>IF(計分!Q236="","",計分!Q236^2)</f>
        <v/>
      </c>
      <c r="R236">
        <f>IF(計分!R236="","",計分!R236^2)</f>
        <v/>
      </c>
      <c r="S236">
        <f>IF(計分!S236="","",計分!S236^2)</f>
        <v/>
      </c>
      <c r="T236">
        <f>IF(計分!T236="","",計分!T236^2)</f>
        <v/>
      </c>
      <c r="U236">
        <f>IF(計分!U236="","",計分!U236^2)</f>
        <v/>
      </c>
      <c r="V236">
        <f>IF(計分!V236="","",計分!V236^2)</f>
        <v/>
      </c>
      <c r="W236">
        <f>IF(計分!W236="","",計分!W236^2)</f>
        <v/>
      </c>
      <c r="X236">
        <f>IF(計分!X236="","",計分!X236^2)</f>
        <v/>
      </c>
      <c r="Y236">
        <f>IF(計分!Y236="","",計分!Y236^2)</f>
        <v/>
      </c>
      <c r="Z236">
        <f>IF(計分!Z236="","",計分!Z236^2)</f>
        <v/>
      </c>
      <c r="AA236">
        <f>IF(計分!AA236="","",計分!AA236^2)</f>
        <v/>
      </c>
      <c r="AB236">
        <f>IF(計分!AB236="","",計分!AB236^2)</f>
        <v/>
      </c>
      <c r="AC236">
        <f>IF(計分!AC236="","",計分!AC236^2)</f>
        <v/>
      </c>
      <c r="AD236">
        <f>IF(計分!AD236="","",計分!AD236^2)</f>
        <v/>
      </c>
      <c r="AE236">
        <f>IF(計分!AE236="","",計分!AE236^2)</f>
        <v/>
      </c>
      <c r="AF236">
        <f>IF(計分!AF236="","",計分!AF236^2)</f>
        <v/>
      </c>
      <c r="AG236">
        <f>IF(計分!AG236="","",計分!AG236^2)</f>
        <v/>
      </c>
      <c r="AH236">
        <f>IF(計分!AH236="","",計分!AH236^2)</f>
        <v/>
      </c>
      <c r="AI236">
        <f>IF(計分!AI236="","",計分!AI236^2)</f>
        <v/>
      </c>
      <c r="AJ236">
        <f>IF(計分!AJ236="","",計分!AJ236^2)</f>
        <v/>
      </c>
      <c r="AK236">
        <f>IF(計分!AK236="","",計分!AK236^2)</f>
        <v/>
      </c>
      <c r="AL236">
        <f>IF(計分!AL236="","",計分!AL236^2)</f>
        <v/>
      </c>
      <c r="AM236">
        <f>IF(計分!AM236="","",計分!AM236^2)</f>
        <v/>
      </c>
      <c r="AN236">
        <f>IF(計分!AN236="","",計分!AN236^2)</f>
        <v/>
      </c>
      <c r="AO236">
        <f>IF(計分!AO236="","",計分!AO236^2)</f>
        <v/>
      </c>
    </row>
    <row r="237">
      <c r="B237">
        <f>IF(計分!B237="","",計分!B237^2)</f>
        <v/>
      </c>
      <c r="C237">
        <f>IF(計分!C237="","",計分!C237^2)</f>
        <v/>
      </c>
      <c r="D237">
        <f>IF(計分!D237="","",計分!D237^2)</f>
        <v/>
      </c>
      <c r="E237">
        <f>IF(計分!E237="","",計分!E237^2)</f>
        <v/>
      </c>
      <c r="F237">
        <f>IF(計分!F237="","",計分!F237^2)</f>
        <v/>
      </c>
      <c r="G237">
        <f>IF(計分!G237="","",計分!G237^2)</f>
        <v/>
      </c>
      <c r="H237">
        <f>IF(計分!H237="","",計分!H237^2)</f>
        <v/>
      </c>
      <c r="I237">
        <f>IF(計分!I237="","",計分!I237^2)</f>
        <v/>
      </c>
      <c r="J237">
        <f>IF(計分!J237="","",計分!J237^2)</f>
        <v/>
      </c>
      <c r="K237">
        <f>IF(計分!K237="","",計分!K237^2)</f>
        <v/>
      </c>
      <c r="L237">
        <f>IF(計分!L237="","",計分!L237^2)</f>
        <v/>
      </c>
      <c r="M237">
        <f>IF(計分!M237="","",計分!M237^2)</f>
        <v/>
      </c>
      <c r="N237">
        <f>IF(計分!N237="","",計分!N237^2)</f>
        <v/>
      </c>
      <c r="O237">
        <f>IF(計分!O237="","",計分!O237^2)</f>
        <v/>
      </c>
      <c r="P237">
        <f>IF(計分!P237="","",計分!P237^2)</f>
        <v/>
      </c>
      <c r="Q237">
        <f>IF(計分!Q237="","",計分!Q237^2)</f>
        <v/>
      </c>
      <c r="R237">
        <f>IF(計分!R237="","",計分!R237^2)</f>
        <v/>
      </c>
      <c r="S237">
        <f>IF(計分!S237="","",計分!S237^2)</f>
        <v/>
      </c>
      <c r="T237">
        <f>IF(計分!T237="","",計分!T237^2)</f>
        <v/>
      </c>
      <c r="U237">
        <f>IF(計分!U237="","",計分!U237^2)</f>
        <v/>
      </c>
      <c r="V237">
        <f>IF(計分!V237="","",計分!V237^2)</f>
        <v/>
      </c>
      <c r="W237">
        <f>IF(計分!W237="","",計分!W237^2)</f>
        <v/>
      </c>
      <c r="X237">
        <f>IF(計分!X237="","",計分!X237^2)</f>
        <v/>
      </c>
      <c r="Y237">
        <f>IF(計分!Y237="","",計分!Y237^2)</f>
        <v/>
      </c>
      <c r="Z237">
        <f>IF(計分!Z237="","",計分!Z237^2)</f>
        <v/>
      </c>
      <c r="AA237">
        <f>IF(計分!AA237="","",計分!AA237^2)</f>
        <v/>
      </c>
      <c r="AB237">
        <f>IF(計分!AB237="","",計分!AB237^2)</f>
        <v/>
      </c>
      <c r="AC237">
        <f>IF(計分!AC237="","",計分!AC237^2)</f>
        <v/>
      </c>
      <c r="AD237">
        <f>IF(計分!AD237="","",計分!AD237^2)</f>
        <v/>
      </c>
      <c r="AE237">
        <f>IF(計分!AE237="","",計分!AE237^2)</f>
        <v/>
      </c>
      <c r="AF237">
        <f>IF(計分!AF237="","",計分!AF237^2)</f>
        <v/>
      </c>
      <c r="AG237">
        <f>IF(計分!AG237="","",計分!AG237^2)</f>
        <v/>
      </c>
      <c r="AH237">
        <f>IF(計分!AH237="","",計分!AH237^2)</f>
        <v/>
      </c>
      <c r="AI237">
        <f>IF(計分!AI237="","",計分!AI237^2)</f>
        <v/>
      </c>
      <c r="AJ237">
        <f>IF(計分!AJ237="","",計分!AJ237^2)</f>
        <v/>
      </c>
      <c r="AK237">
        <f>IF(計分!AK237="","",計分!AK237^2)</f>
        <v/>
      </c>
      <c r="AL237">
        <f>IF(計分!AL237="","",計分!AL237^2)</f>
        <v/>
      </c>
      <c r="AM237">
        <f>IF(計分!AM237="","",計分!AM237^2)</f>
        <v/>
      </c>
      <c r="AN237">
        <f>IF(計分!AN237="","",計分!AN237^2)</f>
        <v/>
      </c>
      <c r="AO237">
        <f>IF(計分!AO237="","",計分!AO237^2)</f>
        <v/>
      </c>
    </row>
    <row r="238">
      <c r="B238">
        <f>IF(計分!B238="","",計分!B238^2)</f>
        <v/>
      </c>
      <c r="C238">
        <f>IF(計分!C238="","",計分!C238^2)</f>
        <v/>
      </c>
      <c r="D238">
        <f>IF(計分!D238="","",計分!D238^2)</f>
        <v/>
      </c>
      <c r="E238">
        <f>IF(計分!E238="","",計分!E238^2)</f>
        <v/>
      </c>
      <c r="F238">
        <f>IF(計分!F238="","",計分!F238^2)</f>
        <v/>
      </c>
      <c r="G238">
        <f>IF(計分!G238="","",計分!G238^2)</f>
        <v/>
      </c>
      <c r="H238">
        <f>IF(計分!H238="","",計分!H238^2)</f>
        <v/>
      </c>
      <c r="I238">
        <f>IF(計分!I238="","",計分!I238^2)</f>
        <v/>
      </c>
      <c r="J238">
        <f>IF(計分!J238="","",計分!J238^2)</f>
        <v/>
      </c>
      <c r="K238">
        <f>IF(計分!K238="","",計分!K238^2)</f>
        <v/>
      </c>
      <c r="L238">
        <f>IF(計分!L238="","",計分!L238^2)</f>
        <v/>
      </c>
      <c r="M238">
        <f>IF(計分!M238="","",計分!M238^2)</f>
        <v/>
      </c>
      <c r="N238">
        <f>IF(計分!N238="","",計分!N238^2)</f>
        <v/>
      </c>
      <c r="O238">
        <f>IF(計分!O238="","",計分!O238^2)</f>
        <v/>
      </c>
      <c r="P238">
        <f>IF(計分!P238="","",計分!P238^2)</f>
        <v/>
      </c>
      <c r="Q238">
        <f>IF(計分!Q238="","",計分!Q238^2)</f>
        <v/>
      </c>
      <c r="R238">
        <f>IF(計分!R238="","",計分!R238^2)</f>
        <v/>
      </c>
      <c r="S238">
        <f>IF(計分!S238="","",計分!S238^2)</f>
        <v/>
      </c>
      <c r="T238">
        <f>IF(計分!T238="","",計分!T238^2)</f>
        <v/>
      </c>
      <c r="U238">
        <f>IF(計分!U238="","",計分!U238^2)</f>
        <v/>
      </c>
      <c r="V238">
        <f>IF(計分!V238="","",計分!V238^2)</f>
        <v/>
      </c>
      <c r="W238">
        <f>IF(計分!W238="","",計分!W238^2)</f>
        <v/>
      </c>
      <c r="X238">
        <f>IF(計分!X238="","",計分!X238^2)</f>
        <v/>
      </c>
      <c r="Y238">
        <f>IF(計分!Y238="","",計分!Y238^2)</f>
        <v/>
      </c>
      <c r="Z238">
        <f>IF(計分!Z238="","",計分!Z238^2)</f>
        <v/>
      </c>
      <c r="AA238">
        <f>IF(計分!AA238="","",計分!AA238^2)</f>
        <v/>
      </c>
      <c r="AB238">
        <f>IF(計分!AB238="","",計分!AB238^2)</f>
        <v/>
      </c>
      <c r="AC238">
        <f>IF(計分!AC238="","",計分!AC238^2)</f>
        <v/>
      </c>
      <c r="AD238">
        <f>IF(計分!AD238="","",計分!AD238^2)</f>
        <v/>
      </c>
      <c r="AE238">
        <f>IF(計分!AE238="","",計分!AE238^2)</f>
        <v/>
      </c>
      <c r="AF238">
        <f>IF(計分!AF238="","",計分!AF238^2)</f>
        <v/>
      </c>
      <c r="AG238">
        <f>IF(計分!AG238="","",計分!AG238^2)</f>
        <v/>
      </c>
      <c r="AH238">
        <f>IF(計分!AH238="","",計分!AH238^2)</f>
        <v/>
      </c>
      <c r="AI238">
        <f>IF(計分!AI238="","",計分!AI238^2)</f>
        <v/>
      </c>
      <c r="AJ238">
        <f>IF(計分!AJ238="","",計分!AJ238^2)</f>
        <v/>
      </c>
      <c r="AK238">
        <f>IF(計分!AK238="","",計分!AK238^2)</f>
        <v/>
      </c>
      <c r="AL238">
        <f>IF(計分!AL238="","",計分!AL238^2)</f>
        <v/>
      </c>
      <c r="AM238">
        <f>IF(計分!AM238="","",計分!AM238^2)</f>
        <v/>
      </c>
      <c r="AN238">
        <f>IF(計分!AN238="","",計分!AN238^2)</f>
        <v/>
      </c>
      <c r="AO238">
        <f>IF(計分!AO238="","",計分!AO238^2)</f>
        <v/>
      </c>
    </row>
    <row r="239">
      <c r="B239">
        <f>IF(計分!B239="","",計分!B239^2)</f>
        <v/>
      </c>
      <c r="C239">
        <f>IF(計分!C239="","",計分!C239^2)</f>
        <v/>
      </c>
      <c r="D239">
        <f>IF(計分!D239="","",計分!D239^2)</f>
        <v/>
      </c>
      <c r="E239">
        <f>IF(計分!E239="","",計分!E239^2)</f>
        <v/>
      </c>
      <c r="F239">
        <f>IF(計分!F239="","",計分!F239^2)</f>
        <v/>
      </c>
      <c r="G239">
        <f>IF(計分!G239="","",計分!G239^2)</f>
        <v/>
      </c>
      <c r="H239">
        <f>IF(計分!H239="","",計分!H239^2)</f>
        <v/>
      </c>
      <c r="I239">
        <f>IF(計分!I239="","",計分!I239^2)</f>
        <v/>
      </c>
      <c r="J239">
        <f>IF(計分!J239="","",計分!J239^2)</f>
        <v/>
      </c>
      <c r="K239">
        <f>IF(計分!K239="","",計分!K239^2)</f>
        <v/>
      </c>
      <c r="L239">
        <f>IF(計分!L239="","",計分!L239^2)</f>
        <v/>
      </c>
      <c r="M239">
        <f>IF(計分!M239="","",計分!M239^2)</f>
        <v/>
      </c>
      <c r="N239">
        <f>IF(計分!N239="","",計分!N239^2)</f>
        <v/>
      </c>
      <c r="O239">
        <f>IF(計分!O239="","",計分!O239^2)</f>
        <v/>
      </c>
      <c r="P239">
        <f>IF(計分!P239="","",計分!P239^2)</f>
        <v/>
      </c>
      <c r="Q239">
        <f>IF(計分!Q239="","",計分!Q239^2)</f>
        <v/>
      </c>
      <c r="R239">
        <f>IF(計分!R239="","",計分!R239^2)</f>
        <v/>
      </c>
      <c r="S239">
        <f>IF(計分!S239="","",計分!S239^2)</f>
        <v/>
      </c>
      <c r="T239">
        <f>IF(計分!T239="","",計分!T239^2)</f>
        <v/>
      </c>
      <c r="U239">
        <f>IF(計分!U239="","",計分!U239^2)</f>
        <v/>
      </c>
      <c r="V239">
        <f>IF(計分!V239="","",計分!V239^2)</f>
        <v/>
      </c>
      <c r="W239">
        <f>IF(計分!W239="","",計分!W239^2)</f>
        <v/>
      </c>
      <c r="X239">
        <f>IF(計分!X239="","",計分!X239^2)</f>
        <v/>
      </c>
      <c r="Y239">
        <f>IF(計分!Y239="","",計分!Y239^2)</f>
        <v/>
      </c>
      <c r="Z239">
        <f>IF(計分!Z239="","",計分!Z239^2)</f>
        <v/>
      </c>
      <c r="AA239">
        <f>IF(計分!AA239="","",計分!AA239^2)</f>
        <v/>
      </c>
      <c r="AB239">
        <f>IF(計分!AB239="","",計分!AB239^2)</f>
        <v/>
      </c>
      <c r="AC239">
        <f>IF(計分!AC239="","",計分!AC239^2)</f>
        <v/>
      </c>
      <c r="AD239">
        <f>IF(計分!AD239="","",計分!AD239^2)</f>
        <v/>
      </c>
      <c r="AE239">
        <f>IF(計分!AE239="","",計分!AE239^2)</f>
        <v/>
      </c>
      <c r="AF239">
        <f>IF(計分!AF239="","",計分!AF239^2)</f>
        <v/>
      </c>
      <c r="AG239">
        <f>IF(計分!AG239="","",計分!AG239^2)</f>
        <v/>
      </c>
      <c r="AH239">
        <f>IF(計分!AH239="","",計分!AH239^2)</f>
        <v/>
      </c>
      <c r="AI239">
        <f>IF(計分!AI239="","",計分!AI239^2)</f>
        <v/>
      </c>
      <c r="AJ239">
        <f>IF(計分!AJ239="","",計分!AJ239^2)</f>
        <v/>
      </c>
      <c r="AK239">
        <f>IF(計分!AK239="","",計分!AK239^2)</f>
        <v/>
      </c>
      <c r="AL239">
        <f>IF(計分!AL239="","",計分!AL239^2)</f>
        <v/>
      </c>
      <c r="AM239">
        <f>IF(計分!AM239="","",計分!AM239^2)</f>
        <v/>
      </c>
      <c r="AN239">
        <f>IF(計分!AN239="","",計分!AN239^2)</f>
        <v/>
      </c>
      <c r="AO239">
        <f>IF(計分!AO239="","",計分!AO239^2)</f>
        <v/>
      </c>
    </row>
    <row r="240">
      <c r="B240">
        <f>IF(計分!B240="","",計分!B240^2)</f>
        <v/>
      </c>
      <c r="C240">
        <f>IF(計分!C240="","",計分!C240^2)</f>
        <v/>
      </c>
      <c r="D240">
        <f>IF(計分!D240="","",計分!D240^2)</f>
        <v/>
      </c>
      <c r="E240">
        <f>IF(計分!E240="","",計分!E240^2)</f>
        <v/>
      </c>
      <c r="F240">
        <f>IF(計分!F240="","",計分!F240^2)</f>
        <v/>
      </c>
      <c r="G240">
        <f>IF(計分!G240="","",計分!G240^2)</f>
        <v/>
      </c>
      <c r="H240">
        <f>IF(計分!H240="","",計分!H240^2)</f>
        <v/>
      </c>
      <c r="I240">
        <f>IF(計分!I240="","",計分!I240^2)</f>
        <v/>
      </c>
      <c r="J240">
        <f>IF(計分!J240="","",計分!J240^2)</f>
        <v/>
      </c>
      <c r="K240">
        <f>IF(計分!K240="","",計分!K240^2)</f>
        <v/>
      </c>
      <c r="L240">
        <f>IF(計分!L240="","",計分!L240^2)</f>
        <v/>
      </c>
      <c r="M240">
        <f>IF(計分!M240="","",計分!M240^2)</f>
        <v/>
      </c>
      <c r="N240">
        <f>IF(計分!N240="","",計分!N240^2)</f>
        <v/>
      </c>
      <c r="O240">
        <f>IF(計分!O240="","",計分!O240^2)</f>
        <v/>
      </c>
      <c r="P240">
        <f>IF(計分!P240="","",計分!P240^2)</f>
        <v/>
      </c>
      <c r="Q240">
        <f>IF(計分!Q240="","",計分!Q240^2)</f>
        <v/>
      </c>
      <c r="R240">
        <f>IF(計分!R240="","",計分!R240^2)</f>
        <v/>
      </c>
      <c r="S240">
        <f>IF(計分!S240="","",計分!S240^2)</f>
        <v/>
      </c>
      <c r="T240">
        <f>IF(計分!T240="","",計分!T240^2)</f>
        <v/>
      </c>
      <c r="U240">
        <f>IF(計分!U240="","",計分!U240^2)</f>
        <v/>
      </c>
      <c r="V240">
        <f>IF(計分!V240="","",計分!V240^2)</f>
        <v/>
      </c>
      <c r="W240">
        <f>IF(計分!W240="","",計分!W240^2)</f>
        <v/>
      </c>
      <c r="X240">
        <f>IF(計分!X240="","",計分!X240^2)</f>
        <v/>
      </c>
      <c r="Y240">
        <f>IF(計分!Y240="","",計分!Y240^2)</f>
        <v/>
      </c>
      <c r="Z240">
        <f>IF(計分!Z240="","",計分!Z240^2)</f>
        <v/>
      </c>
      <c r="AA240">
        <f>IF(計分!AA240="","",計分!AA240^2)</f>
        <v/>
      </c>
      <c r="AB240">
        <f>IF(計分!AB240="","",計分!AB240^2)</f>
        <v/>
      </c>
      <c r="AC240">
        <f>IF(計分!AC240="","",計分!AC240^2)</f>
        <v/>
      </c>
      <c r="AD240">
        <f>IF(計分!AD240="","",計分!AD240^2)</f>
        <v/>
      </c>
      <c r="AE240">
        <f>IF(計分!AE240="","",計分!AE240^2)</f>
        <v/>
      </c>
      <c r="AF240">
        <f>IF(計分!AF240="","",計分!AF240^2)</f>
        <v/>
      </c>
      <c r="AG240">
        <f>IF(計分!AG240="","",計分!AG240^2)</f>
        <v/>
      </c>
      <c r="AH240">
        <f>IF(計分!AH240="","",計分!AH240^2)</f>
        <v/>
      </c>
      <c r="AI240">
        <f>IF(計分!AI240="","",計分!AI240^2)</f>
        <v/>
      </c>
      <c r="AJ240">
        <f>IF(計分!AJ240="","",計分!AJ240^2)</f>
        <v/>
      </c>
      <c r="AK240">
        <f>IF(計分!AK240="","",計分!AK240^2)</f>
        <v/>
      </c>
      <c r="AL240">
        <f>IF(計分!AL240="","",計分!AL240^2)</f>
        <v/>
      </c>
      <c r="AM240">
        <f>IF(計分!AM240="","",計分!AM240^2)</f>
        <v/>
      </c>
      <c r="AN240">
        <f>IF(計分!AN240="","",計分!AN240^2)</f>
        <v/>
      </c>
      <c r="AO240">
        <f>IF(計分!AO240="","",計分!AO240^2)</f>
        <v/>
      </c>
    </row>
    <row r="241">
      <c r="B241">
        <f>IF(計分!B241="","",計分!B241^2)</f>
        <v/>
      </c>
      <c r="C241">
        <f>IF(計分!C241="","",計分!C241^2)</f>
        <v/>
      </c>
      <c r="D241">
        <f>IF(計分!D241="","",計分!D241^2)</f>
        <v/>
      </c>
      <c r="E241">
        <f>IF(計分!E241="","",計分!E241^2)</f>
        <v/>
      </c>
      <c r="F241">
        <f>IF(計分!F241="","",計分!F241^2)</f>
        <v/>
      </c>
      <c r="G241">
        <f>IF(計分!G241="","",計分!G241^2)</f>
        <v/>
      </c>
      <c r="H241">
        <f>IF(計分!H241="","",計分!H241^2)</f>
        <v/>
      </c>
      <c r="I241">
        <f>IF(計分!I241="","",計分!I241^2)</f>
        <v/>
      </c>
      <c r="J241">
        <f>IF(計分!J241="","",計分!J241^2)</f>
        <v/>
      </c>
      <c r="K241">
        <f>IF(計分!K241="","",計分!K241^2)</f>
        <v/>
      </c>
      <c r="L241">
        <f>IF(計分!L241="","",計分!L241^2)</f>
        <v/>
      </c>
      <c r="M241">
        <f>IF(計分!M241="","",計分!M241^2)</f>
        <v/>
      </c>
      <c r="N241">
        <f>IF(計分!N241="","",計分!N241^2)</f>
        <v/>
      </c>
      <c r="O241">
        <f>IF(計分!O241="","",計分!O241^2)</f>
        <v/>
      </c>
      <c r="P241">
        <f>IF(計分!P241="","",計分!P241^2)</f>
        <v/>
      </c>
      <c r="Q241">
        <f>IF(計分!Q241="","",計分!Q241^2)</f>
        <v/>
      </c>
      <c r="R241">
        <f>IF(計分!R241="","",計分!R241^2)</f>
        <v/>
      </c>
      <c r="S241">
        <f>IF(計分!S241="","",計分!S241^2)</f>
        <v/>
      </c>
      <c r="T241">
        <f>IF(計分!T241="","",計分!T241^2)</f>
        <v/>
      </c>
      <c r="U241">
        <f>IF(計分!U241="","",計分!U241^2)</f>
        <v/>
      </c>
      <c r="V241">
        <f>IF(計分!V241="","",計分!V241^2)</f>
        <v/>
      </c>
      <c r="W241">
        <f>IF(計分!W241="","",計分!W241^2)</f>
        <v/>
      </c>
      <c r="X241">
        <f>IF(計分!X241="","",計分!X241^2)</f>
        <v/>
      </c>
      <c r="Y241">
        <f>IF(計分!Y241="","",計分!Y241^2)</f>
        <v/>
      </c>
      <c r="Z241">
        <f>IF(計分!Z241="","",計分!Z241^2)</f>
        <v/>
      </c>
      <c r="AA241">
        <f>IF(計分!AA241="","",計分!AA241^2)</f>
        <v/>
      </c>
      <c r="AB241">
        <f>IF(計分!AB241="","",計分!AB241^2)</f>
        <v/>
      </c>
      <c r="AC241">
        <f>IF(計分!AC241="","",計分!AC241^2)</f>
        <v/>
      </c>
      <c r="AD241">
        <f>IF(計分!AD241="","",計分!AD241^2)</f>
        <v/>
      </c>
      <c r="AE241">
        <f>IF(計分!AE241="","",計分!AE241^2)</f>
        <v/>
      </c>
      <c r="AF241">
        <f>IF(計分!AF241="","",計分!AF241^2)</f>
        <v/>
      </c>
      <c r="AG241">
        <f>IF(計分!AG241="","",計分!AG241^2)</f>
        <v/>
      </c>
      <c r="AH241">
        <f>IF(計分!AH241="","",計分!AH241^2)</f>
        <v/>
      </c>
      <c r="AI241">
        <f>IF(計分!AI241="","",計分!AI241^2)</f>
        <v/>
      </c>
      <c r="AJ241">
        <f>IF(計分!AJ241="","",計分!AJ241^2)</f>
        <v/>
      </c>
      <c r="AK241">
        <f>IF(計分!AK241="","",計分!AK241^2)</f>
        <v/>
      </c>
      <c r="AL241">
        <f>IF(計分!AL241="","",計分!AL241^2)</f>
        <v/>
      </c>
      <c r="AM241">
        <f>IF(計分!AM241="","",計分!AM241^2)</f>
        <v/>
      </c>
      <c r="AN241">
        <f>IF(計分!AN241="","",計分!AN241^2)</f>
        <v/>
      </c>
      <c r="AO241">
        <f>IF(計分!AO241="","",計分!AO241^2)</f>
        <v/>
      </c>
    </row>
    <row r="242">
      <c r="B242">
        <f>IF(計分!B242="","",計分!B242^2)</f>
        <v/>
      </c>
      <c r="C242">
        <f>IF(計分!C242="","",計分!C242^2)</f>
        <v/>
      </c>
      <c r="D242">
        <f>IF(計分!D242="","",計分!D242^2)</f>
        <v/>
      </c>
      <c r="E242">
        <f>IF(計分!E242="","",計分!E242^2)</f>
        <v/>
      </c>
      <c r="F242">
        <f>IF(計分!F242="","",計分!F242^2)</f>
        <v/>
      </c>
      <c r="G242">
        <f>IF(計分!G242="","",計分!G242^2)</f>
        <v/>
      </c>
      <c r="H242">
        <f>IF(計分!H242="","",計分!H242^2)</f>
        <v/>
      </c>
      <c r="I242">
        <f>IF(計分!I242="","",計分!I242^2)</f>
        <v/>
      </c>
      <c r="J242">
        <f>IF(計分!J242="","",計分!J242^2)</f>
        <v/>
      </c>
      <c r="K242">
        <f>IF(計分!K242="","",計分!K242^2)</f>
        <v/>
      </c>
      <c r="L242">
        <f>IF(計分!L242="","",計分!L242^2)</f>
        <v/>
      </c>
      <c r="M242">
        <f>IF(計分!M242="","",計分!M242^2)</f>
        <v/>
      </c>
      <c r="N242">
        <f>IF(計分!N242="","",計分!N242^2)</f>
        <v/>
      </c>
      <c r="O242">
        <f>IF(計分!O242="","",計分!O242^2)</f>
        <v/>
      </c>
      <c r="P242">
        <f>IF(計分!P242="","",計分!P242^2)</f>
        <v/>
      </c>
      <c r="Q242">
        <f>IF(計分!Q242="","",計分!Q242^2)</f>
        <v/>
      </c>
      <c r="R242">
        <f>IF(計分!R242="","",計分!R242^2)</f>
        <v/>
      </c>
      <c r="S242">
        <f>IF(計分!S242="","",計分!S242^2)</f>
        <v/>
      </c>
      <c r="T242">
        <f>IF(計分!T242="","",計分!T242^2)</f>
        <v/>
      </c>
      <c r="U242">
        <f>IF(計分!U242="","",計分!U242^2)</f>
        <v/>
      </c>
      <c r="V242">
        <f>IF(計分!V242="","",計分!V242^2)</f>
        <v/>
      </c>
      <c r="W242">
        <f>IF(計分!W242="","",計分!W242^2)</f>
        <v/>
      </c>
      <c r="X242">
        <f>IF(計分!X242="","",計分!X242^2)</f>
        <v/>
      </c>
      <c r="Y242">
        <f>IF(計分!Y242="","",計分!Y242^2)</f>
        <v/>
      </c>
      <c r="Z242">
        <f>IF(計分!Z242="","",計分!Z242^2)</f>
        <v/>
      </c>
      <c r="AA242">
        <f>IF(計分!AA242="","",計分!AA242^2)</f>
        <v/>
      </c>
      <c r="AB242">
        <f>IF(計分!AB242="","",計分!AB242^2)</f>
        <v/>
      </c>
      <c r="AC242">
        <f>IF(計分!AC242="","",計分!AC242^2)</f>
        <v/>
      </c>
      <c r="AD242">
        <f>IF(計分!AD242="","",計分!AD242^2)</f>
        <v/>
      </c>
      <c r="AE242">
        <f>IF(計分!AE242="","",計分!AE242^2)</f>
        <v/>
      </c>
      <c r="AF242">
        <f>IF(計分!AF242="","",計分!AF242^2)</f>
        <v/>
      </c>
      <c r="AG242">
        <f>IF(計分!AG242="","",計分!AG242^2)</f>
        <v/>
      </c>
      <c r="AH242">
        <f>IF(計分!AH242="","",計分!AH242^2)</f>
        <v/>
      </c>
      <c r="AI242">
        <f>IF(計分!AI242="","",計分!AI242^2)</f>
        <v/>
      </c>
      <c r="AJ242">
        <f>IF(計分!AJ242="","",計分!AJ242^2)</f>
        <v/>
      </c>
      <c r="AK242">
        <f>IF(計分!AK242="","",計分!AK242^2)</f>
        <v/>
      </c>
      <c r="AL242">
        <f>IF(計分!AL242="","",計分!AL242^2)</f>
        <v/>
      </c>
      <c r="AM242">
        <f>IF(計分!AM242="","",計分!AM242^2)</f>
        <v/>
      </c>
      <c r="AN242">
        <f>IF(計分!AN242="","",計分!AN242^2)</f>
        <v/>
      </c>
      <c r="AO242">
        <f>IF(計分!AO242="","",計分!AO242^2)</f>
        <v/>
      </c>
    </row>
    <row r="243">
      <c r="B243">
        <f>IF(計分!B243="","",計分!B243^2)</f>
        <v/>
      </c>
      <c r="C243">
        <f>IF(計分!C243="","",計分!C243^2)</f>
        <v/>
      </c>
      <c r="D243">
        <f>IF(計分!D243="","",計分!D243^2)</f>
        <v/>
      </c>
      <c r="E243">
        <f>IF(計分!E243="","",計分!E243^2)</f>
        <v/>
      </c>
      <c r="F243">
        <f>IF(計分!F243="","",計分!F243^2)</f>
        <v/>
      </c>
      <c r="G243">
        <f>IF(計分!G243="","",計分!G243^2)</f>
        <v/>
      </c>
      <c r="H243">
        <f>IF(計分!H243="","",計分!H243^2)</f>
        <v/>
      </c>
      <c r="I243">
        <f>IF(計分!I243="","",計分!I243^2)</f>
        <v/>
      </c>
      <c r="J243">
        <f>IF(計分!J243="","",計分!J243^2)</f>
        <v/>
      </c>
      <c r="K243">
        <f>IF(計分!K243="","",計分!K243^2)</f>
        <v/>
      </c>
      <c r="L243">
        <f>IF(計分!L243="","",計分!L243^2)</f>
        <v/>
      </c>
      <c r="M243">
        <f>IF(計分!M243="","",計分!M243^2)</f>
        <v/>
      </c>
      <c r="N243">
        <f>IF(計分!N243="","",計分!N243^2)</f>
        <v/>
      </c>
      <c r="O243">
        <f>IF(計分!O243="","",計分!O243^2)</f>
        <v/>
      </c>
      <c r="P243">
        <f>IF(計分!P243="","",計分!P243^2)</f>
        <v/>
      </c>
      <c r="Q243">
        <f>IF(計分!Q243="","",計分!Q243^2)</f>
        <v/>
      </c>
      <c r="R243">
        <f>IF(計分!R243="","",計分!R243^2)</f>
        <v/>
      </c>
      <c r="S243">
        <f>IF(計分!S243="","",計分!S243^2)</f>
        <v/>
      </c>
      <c r="T243">
        <f>IF(計分!T243="","",計分!T243^2)</f>
        <v/>
      </c>
      <c r="U243">
        <f>IF(計分!U243="","",計分!U243^2)</f>
        <v/>
      </c>
      <c r="V243">
        <f>IF(計分!V243="","",計分!V243^2)</f>
        <v/>
      </c>
      <c r="W243">
        <f>IF(計分!W243="","",計分!W243^2)</f>
        <v/>
      </c>
      <c r="X243">
        <f>IF(計分!X243="","",計分!X243^2)</f>
        <v/>
      </c>
      <c r="Y243">
        <f>IF(計分!Y243="","",計分!Y243^2)</f>
        <v/>
      </c>
      <c r="Z243">
        <f>IF(計分!Z243="","",計分!Z243^2)</f>
        <v/>
      </c>
      <c r="AA243">
        <f>IF(計分!AA243="","",計分!AA243^2)</f>
        <v/>
      </c>
      <c r="AB243">
        <f>IF(計分!AB243="","",計分!AB243^2)</f>
        <v/>
      </c>
      <c r="AC243">
        <f>IF(計分!AC243="","",計分!AC243^2)</f>
        <v/>
      </c>
      <c r="AD243">
        <f>IF(計分!AD243="","",計分!AD243^2)</f>
        <v/>
      </c>
      <c r="AE243">
        <f>IF(計分!AE243="","",計分!AE243^2)</f>
        <v/>
      </c>
      <c r="AF243">
        <f>IF(計分!AF243="","",計分!AF243^2)</f>
        <v/>
      </c>
      <c r="AG243">
        <f>IF(計分!AG243="","",計分!AG243^2)</f>
        <v/>
      </c>
      <c r="AH243">
        <f>IF(計分!AH243="","",計分!AH243^2)</f>
        <v/>
      </c>
      <c r="AI243">
        <f>IF(計分!AI243="","",計分!AI243^2)</f>
        <v/>
      </c>
      <c r="AJ243">
        <f>IF(計分!AJ243="","",計分!AJ243^2)</f>
        <v/>
      </c>
      <c r="AK243">
        <f>IF(計分!AK243="","",計分!AK243^2)</f>
        <v/>
      </c>
      <c r="AL243">
        <f>IF(計分!AL243="","",計分!AL243^2)</f>
        <v/>
      </c>
      <c r="AM243">
        <f>IF(計分!AM243="","",計分!AM243^2)</f>
        <v/>
      </c>
      <c r="AN243">
        <f>IF(計分!AN243="","",計分!AN243^2)</f>
        <v/>
      </c>
      <c r="AO243">
        <f>IF(計分!AO243="","",計分!AO243^2)</f>
        <v/>
      </c>
    </row>
    <row r="244">
      <c r="B244">
        <f>IF(計分!B244="","",計分!B244^2)</f>
        <v/>
      </c>
      <c r="C244">
        <f>IF(計分!C244="","",計分!C244^2)</f>
        <v/>
      </c>
      <c r="D244">
        <f>IF(計分!D244="","",計分!D244^2)</f>
        <v/>
      </c>
      <c r="E244">
        <f>IF(計分!E244="","",計分!E244^2)</f>
        <v/>
      </c>
      <c r="F244">
        <f>IF(計分!F244="","",計分!F244^2)</f>
        <v/>
      </c>
      <c r="G244">
        <f>IF(計分!G244="","",計分!G244^2)</f>
        <v/>
      </c>
      <c r="H244">
        <f>IF(計分!H244="","",計分!H244^2)</f>
        <v/>
      </c>
      <c r="I244">
        <f>IF(計分!I244="","",計分!I244^2)</f>
        <v/>
      </c>
      <c r="J244">
        <f>IF(計分!J244="","",計分!J244^2)</f>
        <v/>
      </c>
      <c r="K244">
        <f>IF(計分!K244="","",計分!K244^2)</f>
        <v/>
      </c>
      <c r="L244">
        <f>IF(計分!L244="","",計分!L244^2)</f>
        <v/>
      </c>
      <c r="M244">
        <f>IF(計分!M244="","",計分!M244^2)</f>
        <v/>
      </c>
      <c r="N244">
        <f>IF(計分!N244="","",計分!N244^2)</f>
        <v/>
      </c>
      <c r="O244">
        <f>IF(計分!O244="","",計分!O244^2)</f>
        <v/>
      </c>
      <c r="P244">
        <f>IF(計分!P244="","",計分!P244^2)</f>
        <v/>
      </c>
      <c r="Q244">
        <f>IF(計分!Q244="","",計分!Q244^2)</f>
        <v/>
      </c>
      <c r="R244">
        <f>IF(計分!R244="","",計分!R244^2)</f>
        <v/>
      </c>
      <c r="S244">
        <f>IF(計分!S244="","",計分!S244^2)</f>
        <v/>
      </c>
      <c r="T244">
        <f>IF(計分!T244="","",計分!T244^2)</f>
        <v/>
      </c>
      <c r="U244">
        <f>IF(計分!U244="","",計分!U244^2)</f>
        <v/>
      </c>
      <c r="V244">
        <f>IF(計分!V244="","",計分!V244^2)</f>
        <v/>
      </c>
      <c r="W244">
        <f>IF(計分!W244="","",計分!W244^2)</f>
        <v/>
      </c>
      <c r="X244">
        <f>IF(計分!X244="","",計分!X244^2)</f>
        <v/>
      </c>
      <c r="Y244">
        <f>IF(計分!Y244="","",計分!Y244^2)</f>
        <v/>
      </c>
      <c r="Z244">
        <f>IF(計分!Z244="","",計分!Z244^2)</f>
        <v/>
      </c>
      <c r="AA244">
        <f>IF(計分!AA244="","",計分!AA244^2)</f>
        <v/>
      </c>
      <c r="AB244">
        <f>IF(計分!AB244="","",計分!AB244^2)</f>
        <v/>
      </c>
      <c r="AC244">
        <f>IF(計分!AC244="","",計分!AC244^2)</f>
        <v/>
      </c>
      <c r="AD244">
        <f>IF(計分!AD244="","",計分!AD244^2)</f>
        <v/>
      </c>
      <c r="AE244">
        <f>IF(計分!AE244="","",計分!AE244^2)</f>
        <v/>
      </c>
      <c r="AF244">
        <f>IF(計分!AF244="","",計分!AF244^2)</f>
        <v/>
      </c>
      <c r="AG244">
        <f>IF(計分!AG244="","",計分!AG244^2)</f>
        <v/>
      </c>
      <c r="AH244">
        <f>IF(計分!AH244="","",計分!AH244^2)</f>
        <v/>
      </c>
      <c r="AI244">
        <f>IF(計分!AI244="","",計分!AI244^2)</f>
        <v/>
      </c>
      <c r="AJ244">
        <f>IF(計分!AJ244="","",計分!AJ244^2)</f>
        <v/>
      </c>
      <c r="AK244">
        <f>IF(計分!AK244="","",計分!AK244^2)</f>
        <v/>
      </c>
      <c r="AL244">
        <f>IF(計分!AL244="","",計分!AL244^2)</f>
        <v/>
      </c>
      <c r="AM244">
        <f>IF(計分!AM244="","",計分!AM244^2)</f>
        <v/>
      </c>
      <c r="AN244">
        <f>IF(計分!AN244="","",計分!AN244^2)</f>
        <v/>
      </c>
      <c r="AO244">
        <f>IF(計分!AO244="","",計分!AO244^2)</f>
        <v/>
      </c>
    </row>
    <row r="245">
      <c r="B245">
        <f>IF(計分!B245="","",計分!B245^2)</f>
        <v/>
      </c>
      <c r="C245">
        <f>IF(計分!C245="","",計分!C245^2)</f>
        <v/>
      </c>
      <c r="D245">
        <f>IF(計分!D245="","",計分!D245^2)</f>
        <v/>
      </c>
      <c r="E245">
        <f>IF(計分!E245="","",計分!E245^2)</f>
        <v/>
      </c>
      <c r="F245">
        <f>IF(計分!F245="","",計分!F245^2)</f>
        <v/>
      </c>
      <c r="G245">
        <f>IF(計分!G245="","",計分!G245^2)</f>
        <v/>
      </c>
      <c r="H245">
        <f>IF(計分!H245="","",計分!H245^2)</f>
        <v/>
      </c>
      <c r="I245">
        <f>IF(計分!I245="","",計分!I245^2)</f>
        <v/>
      </c>
      <c r="J245">
        <f>IF(計分!J245="","",計分!J245^2)</f>
        <v/>
      </c>
      <c r="K245">
        <f>IF(計分!K245="","",計分!K245^2)</f>
        <v/>
      </c>
      <c r="L245">
        <f>IF(計分!L245="","",計分!L245^2)</f>
        <v/>
      </c>
      <c r="M245">
        <f>IF(計分!M245="","",計分!M245^2)</f>
        <v/>
      </c>
      <c r="N245">
        <f>IF(計分!N245="","",計分!N245^2)</f>
        <v/>
      </c>
      <c r="O245">
        <f>IF(計分!O245="","",計分!O245^2)</f>
        <v/>
      </c>
      <c r="P245">
        <f>IF(計分!P245="","",計分!P245^2)</f>
        <v/>
      </c>
      <c r="Q245">
        <f>IF(計分!Q245="","",計分!Q245^2)</f>
        <v/>
      </c>
      <c r="R245">
        <f>IF(計分!R245="","",計分!R245^2)</f>
        <v/>
      </c>
      <c r="S245">
        <f>IF(計分!S245="","",計分!S245^2)</f>
        <v/>
      </c>
      <c r="T245">
        <f>IF(計分!T245="","",計分!T245^2)</f>
        <v/>
      </c>
      <c r="U245">
        <f>IF(計分!U245="","",計分!U245^2)</f>
        <v/>
      </c>
      <c r="V245">
        <f>IF(計分!V245="","",計分!V245^2)</f>
        <v/>
      </c>
      <c r="W245">
        <f>IF(計分!W245="","",計分!W245^2)</f>
        <v/>
      </c>
      <c r="X245">
        <f>IF(計分!X245="","",計分!X245^2)</f>
        <v/>
      </c>
      <c r="Y245">
        <f>IF(計分!Y245="","",計分!Y245^2)</f>
        <v/>
      </c>
      <c r="Z245">
        <f>IF(計分!Z245="","",計分!Z245^2)</f>
        <v/>
      </c>
      <c r="AA245">
        <f>IF(計分!AA245="","",計分!AA245^2)</f>
        <v/>
      </c>
      <c r="AB245">
        <f>IF(計分!AB245="","",計分!AB245^2)</f>
        <v/>
      </c>
      <c r="AC245">
        <f>IF(計分!AC245="","",計分!AC245^2)</f>
        <v/>
      </c>
      <c r="AD245">
        <f>IF(計分!AD245="","",計分!AD245^2)</f>
        <v/>
      </c>
      <c r="AE245">
        <f>IF(計分!AE245="","",計分!AE245^2)</f>
        <v/>
      </c>
      <c r="AF245">
        <f>IF(計分!AF245="","",計分!AF245^2)</f>
        <v/>
      </c>
      <c r="AG245">
        <f>IF(計分!AG245="","",計分!AG245^2)</f>
        <v/>
      </c>
      <c r="AH245">
        <f>IF(計分!AH245="","",計分!AH245^2)</f>
        <v/>
      </c>
      <c r="AI245">
        <f>IF(計分!AI245="","",計分!AI245^2)</f>
        <v/>
      </c>
      <c r="AJ245">
        <f>IF(計分!AJ245="","",計分!AJ245^2)</f>
        <v/>
      </c>
      <c r="AK245">
        <f>IF(計分!AK245="","",計分!AK245^2)</f>
        <v/>
      </c>
      <c r="AL245">
        <f>IF(計分!AL245="","",計分!AL245^2)</f>
        <v/>
      </c>
      <c r="AM245">
        <f>IF(計分!AM245="","",計分!AM245^2)</f>
        <v/>
      </c>
      <c r="AN245">
        <f>IF(計分!AN245="","",計分!AN245^2)</f>
        <v/>
      </c>
      <c r="AO245">
        <f>IF(計分!AO245="","",計分!AO245^2)</f>
        <v/>
      </c>
    </row>
    <row r="246">
      <c r="B246">
        <f>IF(計分!B246="","",計分!B246^2)</f>
        <v/>
      </c>
      <c r="C246">
        <f>IF(計分!C246="","",計分!C246^2)</f>
        <v/>
      </c>
      <c r="D246">
        <f>IF(計分!D246="","",計分!D246^2)</f>
        <v/>
      </c>
      <c r="E246">
        <f>IF(計分!E246="","",計分!E246^2)</f>
        <v/>
      </c>
      <c r="F246">
        <f>IF(計分!F246="","",計分!F246^2)</f>
        <v/>
      </c>
      <c r="G246">
        <f>IF(計分!G246="","",計分!G246^2)</f>
        <v/>
      </c>
      <c r="H246">
        <f>IF(計分!H246="","",計分!H246^2)</f>
        <v/>
      </c>
      <c r="I246">
        <f>IF(計分!I246="","",計分!I246^2)</f>
        <v/>
      </c>
      <c r="J246">
        <f>IF(計分!J246="","",計分!J246^2)</f>
        <v/>
      </c>
      <c r="K246">
        <f>IF(計分!K246="","",計分!K246^2)</f>
        <v/>
      </c>
      <c r="L246">
        <f>IF(計分!L246="","",計分!L246^2)</f>
        <v/>
      </c>
      <c r="M246">
        <f>IF(計分!M246="","",計分!M246^2)</f>
        <v/>
      </c>
      <c r="N246">
        <f>IF(計分!N246="","",計分!N246^2)</f>
        <v/>
      </c>
      <c r="O246">
        <f>IF(計分!O246="","",計分!O246^2)</f>
        <v/>
      </c>
      <c r="P246">
        <f>IF(計分!P246="","",計分!P246^2)</f>
        <v/>
      </c>
      <c r="Q246">
        <f>IF(計分!Q246="","",計分!Q246^2)</f>
        <v/>
      </c>
      <c r="R246">
        <f>IF(計分!R246="","",計分!R246^2)</f>
        <v/>
      </c>
      <c r="S246">
        <f>IF(計分!S246="","",計分!S246^2)</f>
        <v/>
      </c>
      <c r="T246">
        <f>IF(計分!T246="","",計分!T246^2)</f>
        <v/>
      </c>
      <c r="U246">
        <f>IF(計分!U246="","",計分!U246^2)</f>
        <v/>
      </c>
      <c r="V246">
        <f>IF(計分!V246="","",計分!V246^2)</f>
        <v/>
      </c>
      <c r="W246">
        <f>IF(計分!W246="","",計分!W246^2)</f>
        <v/>
      </c>
      <c r="X246">
        <f>IF(計分!X246="","",計分!X246^2)</f>
        <v/>
      </c>
      <c r="Y246">
        <f>IF(計分!Y246="","",計分!Y246^2)</f>
        <v/>
      </c>
      <c r="Z246">
        <f>IF(計分!Z246="","",計分!Z246^2)</f>
        <v/>
      </c>
      <c r="AA246">
        <f>IF(計分!AA246="","",計分!AA246^2)</f>
        <v/>
      </c>
      <c r="AB246">
        <f>IF(計分!AB246="","",計分!AB246^2)</f>
        <v/>
      </c>
      <c r="AC246">
        <f>IF(計分!AC246="","",計分!AC246^2)</f>
        <v/>
      </c>
      <c r="AD246">
        <f>IF(計分!AD246="","",計分!AD246^2)</f>
        <v/>
      </c>
      <c r="AE246">
        <f>IF(計分!AE246="","",計分!AE246^2)</f>
        <v/>
      </c>
      <c r="AF246">
        <f>IF(計分!AF246="","",計分!AF246^2)</f>
        <v/>
      </c>
      <c r="AG246">
        <f>IF(計分!AG246="","",計分!AG246^2)</f>
        <v/>
      </c>
      <c r="AH246">
        <f>IF(計分!AH246="","",計分!AH246^2)</f>
        <v/>
      </c>
      <c r="AI246">
        <f>IF(計分!AI246="","",計分!AI246^2)</f>
        <v/>
      </c>
      <c r="AJ246">
        <f>IF(計分!AJ246="","",計分!AJ246^2)</f>
        <v/>
      </c>
      <c r="AK246">
        <f>IF(計分!AK246="","",計分!AK246^2)</f>
        <v/>
      </c>
      <c r="AL246">
        <f>IF(計分!AL246="","",計分!AL246^2)</f>
        <v/>
      </c>
      <c r="AM246">
        <f>IF(計分!AM246="","",計分!AM246^2)</f>
        <v/>
      </c>
      <c r="AN246">
        <f>IF(計分!AN246="","",計分!AN246^2)</f>
        <v/>
      </c>
      <c r="AO246">
        <f>IF(計分!AO246="","",計分!AO246^2)</f>
        <v/>
      </c>
    </row>
    <row r="247">
      <c r="B247">
        <f>IF(計分!B247="","",計分!B247^2)</f>
        <v/>
      </c>
      <c r="C247">
        <f>IF(計分!C247="","",計分!C247^2)</f>
        <v/>
      </c>
      <c r="D247">
        <f>IF(計分!D247="","",計分!D247^2)</f>
        <v/>
      </c>
      <c r="E247">
        <f>IF(計分!E247="","",計分!E247^2)</f>
        <v/>
      </c>
      <c r="F247">
        <f>IF(計分!F247="","",計分!F247^2)</f>
        <v/>
      </c>
      <c r="G247">
        <f>IF(計分!G247="","",計分!G247^2)</f>
        <v/>
      </c>
      <c r="H247">
        <f>IF(計分!H247="","",計分!H247^2)</f>
        <v/>
      </c>
      <c r="I247">
        <f>IF(計分!I247="","",計分!I247^2)</f>
        <v/>
      </c>
      <c r="J247">
        <f>IF(計分!J247="","",計分!J247^2)</f>
        <v/>
      </c>
      <c r="K247">
        <f>IF(計分!K247="","",計分!K247^2)</f>
        <v/>
      </c>
      <c r="L247">
        <f>IF(計分!L247="","",計分!L247^2)</f>
        <v/>
      </c>
      <c r="M247">
        <f>IF(計分!M247="","",計分!M247^2)</f>
        <v/>
      </c>
      <c r="N247">
        <f>IF(計分!N247="","",計分!N247^2)</f>
        <v/>
      </c>
      <c r="O247">
        <f>IF(計分!O247="","",計分!O247^2)</f>
        <v/>
      </c>
      <c r="P247">
        <f>IF(計分!P247="","",計分!P247^2)</f>
        <v/>
      </c>
      <c r="Q247">
        <f>IF(計分!Q247="","",計分!Q247^2)</f>
        <v/>
      </c>
      <c r="R247">
        <f>IF(計分!R247="","",計分!R247^2)</f>
        <v/>
      </c>
      <c r="S247">
        <f>IF(計分!S247="","",計分!S247^2)</f>
        <v/>
      </c>
      <c r="T247">
        <f>IF(計分!T247="","",計分!T247^2)</f>
        <v/>
      </c>
      <c r="U247">
        <f>IF(計分!U247="","",計分!U247^2)</f>
        <v/>
      </c>
      <c r="V247">
        <f>IF(計分!V247="","",計分!V247^2)</f>
        <v/>
      </c>
      <c r="W247">
        <f>IF(計分!W247="","",計分!W247^2)</f>
        <v/>
      </c>
      <c r="X247">
        <f>IF(計分!X247="","",計分!X247^2)</f>
        <v/>
      </c>
      <c r="Y247">
        <f>IF(計分!Y247="","",計分!Y247^2)</f>
        <v/>
      </c>
      <c r="Z247">
        <f>IF(計分!Z247="","",計分!Z247^2)</f>
        <v/>
      </c>
      <c r="AA247">
        <f>IF(計分!AA247="","",計分!AA247^2)</f>
        <v/>
      </c>
      <c r="AB247">
        <f>IF(計分!AB247="","",計分!AB247^2)</f>
        <v/>
      </c>
      <c r="AC247">
        <f>IF(計分!AC247="","",計分!AC247^2)</f>
        <v/>
      </c>
      <c r="AD247">
        <f>IF(計分!AD247="","",計分!AD247^2)</f>
        <v/>
      </c>
      <c r="AE247">
        <f>IF(計分!AE247="","",計分!AE247^2)</f>
        <v/>
      </c>
      <c r="AF247">
        <f>IF(計分!AF247="","",計分!AF247^2)</f>
        <v/>
      </c>
      <c r="AG247">
        <f>IF(計分!AG247="","",計分!AG247^2)</f>
        <v/>
      </c>
      <c r="AH247">
        <f>IF(計分!AH247="","",計分!AH247^2)</f>
        <v/>
      </c>
      <c r="AI247">
        <f>IF(計分!AI247="","",計分!AI247^2)</f>
        <v/>
      </c>
      <c r="AJ247">
        <f>IF(計分!AJ247="","",計分!AJ247^2)</f>
        <v/>
      </c>
      <c r="AK247">
        <f>IF(計分!AK247="","",計分!AK247^2)</f>
        <v/>
      </c>
      <c r="AL247">
        <f>IF(計分!AL247="","",計分!AL247^2)</f>
        <v/>
      </c>
      <c r="AM247">
        <f>IF(計分!AM247="","",計分!AM247^2)</f>
        <v/>
      </c>
      <c r="AN247">
        <f>IF(計分!AN247="","",計分!AN247^2)</f>
        <v/>
      </c>
      <c r="AO247">
        <f>IF(計分!AO247="","",計分!AO247^2)</f>
        <v/>
      </c>
    </row>
    <row r="248">
      <c r="B248">
        <f>IF(計分!B248="","",計分!B248^2)</f>
        <v/>
      </c>
      <c r="C248">
        <f>IF(計分!C248="","",計分!C248^2)</f>
        <v/>
      </c>
      <c r="D248">
        <f>IF(計分!D248="","",計分!D248^2)</f>
        <v/>
      </c>
      <c r="E248">
        <f>IF(計分!E248="","",計分!E248^2)</f>
        <v/>
      </c>
      <c r="F248">
        <f>IF(計分!F248="","",計分!F248^2)</f>
        <v/>
      </c>
      <c r="G248">
        <f>IF(計分!G248="","",計分!G248^2)</f>
        <v/>
      </c>
      <c r="H248">
        <f>IF(計分!H248="","",計分!H248^2)</f>
        <v/>
      </c>
      <c r="I248">
        <f>IF(計分!I248="","",計分!I248^2)</f>
        <v/>
      </c>
      <c r="J248">
        <f>IF(計分!J248="","",計分!J248^2)</f>
        <v/>
      </c>
      <c r="K248">
        <f>IF(計分!K248="","",計分!K248^2)</f>
        <v/>
      </c>
      <c r="L248">
        <f>IF(計分!L248="","",計分!L248^2)</f>
        <v/>
      </c>
      <c r="M248">
        <f>IF(計分!M248="","",計分!M248^2)</f>
        <v/>
      </c>
      <c r="N248">
        <f>IF(計分!N248="","",計分!N248^2)</f>
        <v/>
      </c>
      <c r="O248">
        <f>IF(計分!O248="","",計分!O248^2)</f>
        <v/>
      </c>
      <c r="P248">
        <f>IF(計分!P248="","",計分!P248^2)</f>
        <v/>
      </c>
      <c r="Q248">
        <f>IF(計分!Q248="","",計分!Q248^2)</f>
        <v/>
      </c>
      <c r="R248">
        <f>IF(計分!R248="","",計分!R248^2)</f>
        <v/>
      </c>
      <c r="S248">
        <f>IF(計分!S248="","",計分!S248^2)</f>
        <v/>
      </c>
      <c r="T248">
        <f>IF(計分!T248="","",計分!T248^2)</f>
        <v/>
      </c>
      <c r="U248">
        <f>IF(計分!U248="","",計分!U248^2)</f>
        <v/>
      </c>
      <c r="V248">
        <f>IF(計分!V248="","",計分!V248^2)</f>
        <v/>
      </c>
      <c r="W248">
        <f>IF(計分!W248="","",計分!W248^2)</f>
        <v/>
      </c>
      <c r="X248">
        <f>IF(計分!X248="","",計分!X248^2)</f>
        <v/>
      </c>
      <c r="Y248">
        <f>IF(計分!Y248="","",計分!Y248^2)</f>
        <v/>
      </c>
      <c r="Z248">
        <f>IF(計分!Z248="","",計分!Z248^2)</f>
        <v/>
      </c>
      <c r="AA248">
        <f>IF(計分!AA248="","",計分!AA248^2)</f>
        <v/>
      </c>
      <c r="AB248">
        <f>IF(計分!AB248="","",計分!AB248^2)</f>
        <v/>
      </c>
      <c r="AC248">
        <f>IF(計分!AC248="","",計分!AC248^2)</f>
        <v/>
      </c>
      <c r="AD248">
        <f>IF(計分!AD248="","",計分!AD248^2)</f>
        <v/>
      </c>
      <c r="AE248">
        <f>IF(計分!AE248="","",計分!AE248^2)</f>
        <v/>
      </c>
      <c r="AF248">
        <f>IF(計分!AF248="","",計分!AF248^2)</f>
        <v/>
      </c>
      <c r="AG248">
        <f>IF(計分!AG248="","",計分!AG248^2)</f>
        <v/>
      </c>
      <c r="AH248">
        <f>IF(計分!AH248="","",計分!AH248^2)</f>
        <v/>
      </c>
      <c r="AI248">
        <f>IF(計分!AI248="","",計分!AI248^2)</f>
        <v/>
      </c>
      <c r="AJ248">
        <f>IF(計分!AJ248="","",計分!AJ248^2)</f>
        <v/>
      </c>
      <c r="AK248">
        <f>IF(計分!AK248="","",計分!AK248^2)</f>
        <v/>
      </c>
      <c r="AL248">
        <f>IF(計分!AL248="","",計分!AL248^2)</f>
        <v/>
      </c>
      <c r="AM248">
        <f>IF(計分!AM248="","",計分!AM248^2)</f>
        <v/>
      </c>
      <c r="AN248">
        <f>IF(計分!AN248="","",計分!AN248^2)</f>
        <v/>
      </c>
      <c r="AO248">
        <f>IF(計分!AO248="","",計分!AO248^2)</f>
        <v/>
      </c>
    </row>
    <row r="249">
      <c r="B249">
        <f>IF(計分!B249="","",計分!B249^2)</f>
        <v/>
      </c>
      <c r="C249">
        <f>IF(計分!C249="","",計分!C249^2)</f>
        <v/>
      </c>
      <c r="D249">
        <f>IF(計分!D249="","",計分!D249^2)</f>
        <v/>
      </c>
      <c r="E249">
        <f>IF(計分!E249="","",計分!E249^2)</f>
        <v/>
      </c>
      <c r="F249">
        <f>IF(計分!F249="","",計分!F249^2)</f>
        <v/>
      </c>
      <c r="G249">
        <f>IF(計分!G249="","",計分!G249^2)</f>
        <v/>
      </c>
      <c r="H249">
        <f>IF(計分!H249="","",計分!H249^2)</f>
        <v/>
      </c>
      <c r="I249">
        <f>IF(計分!I249="","",計分!I249^2)</f>
        <v/>
      </c>
      <c r="J249">
        <f>IF(計分!J249="","",計分!J249^2)</f>
        <v/>
      </c>
      <c r="K249">
        <f>IF(計分!K249="","",計分!K249^2)</f>
        <v/>
      </c>
      <c r="L249">
        <f>IF(計分!L249="","",計分!L249^2)</f>
        <v/>
      </c>
      <c r="M249">
        <f>IF(計分!M249="","",計分!M249^2)</f>
        <v/>
      </c>
      <c r="N249">
        <f>IF(計分!N249="","",計分!N249^2)</f>
        <v/>
      </c>
      <c r="O249">
        <f>IF(計分!O249="","",計分!O249^2)</f>
        <v/>
      </c>
      <c r="P249">
        <f>IF(計分!P249="","",計分!P249^2)</f>
        <v/>
      </c>
      <c r="Q249">
        <f>IF(計分!Q249="","",計分!Q249^2)</f>
        <v/>
      </c>
      <c r="R249">
        <f>IF(計分!R249="","",計分!R249^2)</f>
        <v/>
      </c>
      <c r="S249">
        <f>IF(計分!S249="","",計分!S249^2)</f>
        <v/>
      </c>
      <c r="T249">
        <f>IF(計分!T249="","",計分!T249^2)</f>
        <v/>
      </c>
      <c r="U249">
        <f>IF(計分!U249="","",計分!U249^2)</f>
        <v/>
      </c>
      <c r="V249">
        <f>IF(計分!V249="","",計分!V249^2)</f>
        <v/>
      </c>
      <c r="W249">
        <f>IF(計分!W249="","",計分!W249^2)</f>
        <v/>
      </c>
      <c r="X249">
        <f>IF(計分!X249="","",計分!X249^2)</f>
        <v/>
      </c>
      <c r="Y249">
        <f>IF(計分!Y249="","",計分!Y249^2)</f>
        <v/>
      </c>
      <c r="Z249">
        <f>IF(計分!Z249="","",計分!Z249^2)</f>
        <v/>
      </c>
      <c r="AA249">
        <f>IF(計分!AA249="","",計分!AA249^2)</f>
        <v/>
      </c>
      <c r="AB249">
        <f>IF(計分!AB249="","",計分!AB249^2)</f>
        <v/>
      </c>
      <c r="AC249">
        <f>IF(計分!AC249="","",計分!AC249^2)</f>
        <v/>
      </c>
      <c r="AD249">
        <f>IF(計分!AD249="","",計分!AD249^2)</f>
        <v/>
      </c>
      <c r="AE249">
        <f>IF(計分!AE249="","",計分!AE249^2)</f>
        <v/>
      </c>
      <c r="AF249">
        <f>IF(計分!AF249="","",計分!AF249^2)</f>
        <v/>
      </c>
      <c r="AG249">
        <f>IF(計分!AG249="","",計分!AG249^2)</f>
        <v/>
      </c>
      <c r="AH249">
        <f>IF(計分!AH249="","",計分!AH249^2)</f>
        <v/>
      </c>
      <c r="AI249">
        <f>IF(計分!AI249="","",計分!AI249^2)</f>
        <v/>
      </c>
      <c r="AJ249">
        <f>IF(計分!AJ249="","",計分!AJ249^2)</f>
        <v/>
      </c>
      <c r="AK249">
        <f>IF(計分!AK249="","",計分!AK249^2)</f>
        <v/>
      </c>
      <c r="AL249">
        <f>IF(計分!AL249="","",計分!AL249^2)</f>
        <v/>
      </c>
      <c r="AM249">
        <f>IF(計分!AM249="","",計分!AM249^2)</f>
        <v/>
      </c>
      <c r="AN249">
        <f>IF(計分!AN249="","",計分!AN249^2)</f>
        <v/>
      </c>
      <c r="AO249">
        <f>IF(計分!AO249="","",計分!AO249^2)</f>
        <v/>
      </c>
    </row>
    <row r="250">
      <c r="B250">
        <f>IF(計分!B250="","",計分!B250^2)</f>
        <v/>
      </c>
      <c r="C250">
        <f>IF(計分!C250="","",計分!C250^2)</f>
        <v/>
      </c>
      <c r="D250">
        <f>IF(計分!D250="","",計分!D250^2)</f>
        <v/>
      </c>
      <c r="E250">
        <f>IF(計分!E250="","",計分!E250^2)</f>
        <v/>
      </c>
      <c r="F250">
        <f>IF(計分!F250="","",計分!F250^2)</f>
        <v/>
      </c>
      <c r="G250">
        <f>IF(計分!G250="","",計分!G250^2)</f>
        <v/>
      </c>
      <c r="H250">
        <f>IF(計分!H250="","",計分!H250^2)</f>
        <v/>
      </c>
      <c r="I250">
        <f>IF(計分!I250="","",計分!I250^2)</f>
        <v/>
      </c>
      <c r="J250">
        <f>IF(計分!J250="","",計分!J250^2)</f>
        <v/>
      </c>
      <c r="K250">
        <f>IF(計分!K250="","",計分!K250^2)</f>
        <v/>
      </c>
      <c r="L250">
        <f>IF(計分!L250="","",計分!L250^2)</f>
        <v/>
      </c>
      <c r="M250">
        <f>IF(計分!M250="","",計分!M250^2)</f>
        <v/>
      </c>
      <c r="N250">
        <f>IF(計分!N250="","",計分!N250^2)</f>
        <v/>
      </c>
      <c r="O250">
        <f>IF(計分!O250="","",計分!O250^2)</f>
        <v/>
      </c>
      <c r="P250">
        <f>IF(計分!P250="","",計分!P250^2)</f>
        <v/>
      </c>
      <c r="Q250">
        <f>IF(計分!Q250="","",計分!Q250^2)</f>
        <v/>
      </c>
      <c r="R250">
        <f>IF(計分!R250="","",計分!R250^2)</f>
        <v/>
      </c>
      <c r="S250">
        <f>IF(計分!S250="","",計分!S250^2)</f>
        <v/>
      </c>
      <c r="T250">
        <f>IF(計分!T250="","",計分!T250^2)</f>
        <v/>
      </c>
      <c r="U250">
        <f>IF(計分!U250="","",計分!U250^2)</f>
        <v/>
      </c>
      <c r="V250">
        <f>IF(計分!V250="","",計分!V250^2)</f>
        <v/>
      </c>
      <c r="W250">
        <f>IF(計分!W250="","",計分!W250^2)</f>
        <v/>
      </c>
      <c r="X250">
        <f>IF(計分!X250="","",計分!X250^2)</f>
        <v/>
      </c>
      <c r="Y250">
        <f>IF(計分!Y250="","",計分!Y250^2)</f>
        <v/>
      </c>
      <c r="Z250">
        <f>IF(計分!Z250="","",計分!Z250^2)</f>
        <v/>
      </c>
      <c r="AA250">
        <f>IF(計分!AA250="","",計分!AA250^2)</f>
        <v/>
      </c>
      <c r="AB250">
        <f>IF(計分!AB250="","",計分!AB250^2)</f>
        <v/>
      </c>
      <c r="AC250">
        <f>IF(計分!AC250="","",計分!AC250^2)</f>
        <v/>
      </c>
      <c r="AD250">
        <f>IF(計分!AD250="","",計分!AD250^2)</f>
        <v/>
      </c>
      <c r="AE250">
        <f>IF(計分!AE250="","",計分!AE250^2)</f>
        <v/>
      </c>
      <c r="AF250">
        <f>IF(計分!AF250="","",計分!AF250^2)</f>
        <v/>
      </c>
      <c r="AG250">
        <f>IF(計分!AG250="","",計分!AG250^2)</f>
        <v/>
      </c>
      <c r="AH250">
        <f>IF(計分!AH250="","",計分!AH250^2)</f>
        <v/>
      </c>
      <c r="AI250">
        <f>IF(計分!AI250="","",計分!AI250^2)</f>
        <v/>
      </c>
      <c r="AJ250">
        <f>IF(計分!AJ250="","",計分!AJ250^2)</f>
        <v/>
      </c>
      <c r="AK250">
        <f>IF(計分!AK250="","",計分!AK250^2)</f>
        <v/>
      </c>
      <c r="AL250">
        <f>IF(計分!AL250="","",計分!AL250^2)</f>
        <v/>
      </c>
      <c r="AM250">
        <f>IF(計分!AM250="","",計分!AM250^2)</f>
        <v/>
      </c>
      <c r="AN250">
        <f>IF(計分!AN250="","",計分!AN250^2)</f>
        <v/>
      </c>
      <c r="AO250">
        <f>IF(計分!AO250="","",計分!AO250^2)</f>
        <v/>
      </c>
    </row>
    <row r="251">
      <c r="B251">
        <f>IF(計分!B251="","",計分!B251^2)</f>
        <v/>
      </c>
      <c r="C251">
        <f>IF(計分!C251="","",計分!C251^2)</f>
        <v/>
      </c>
      <c r="D251">
        <f>IF(計分!D251="","",計分!D251^2)</f>
        <v/>
      </c>
      <c r="E251">
        <f>IF(計分!E251="","",計分!E251^2)</f>
        <v/>
      </c>
      <c r="F251">
        <f>IF(計分!F251="","",計分!F251^2)</f>
        <v/>
      </c>
      <c r="G251">
        <f>IF(計分!G251="","",計分!G251^2)</f>
        <v/>
      </c>
      <c r="H251">
        <f>IF(計分!H251="","",計分!H251^2)</f>
        <v/>
      </c>
      <c r="I251">
        <f>IF(計分!I251="","",計分!I251^2)</f>
        <v/>
      </c>
      <c r="J251">
        <f>IF(計分!J251="","",計分!J251^2)</f>
        <v/>
      </c>
      <c r="K251">
        <f>IF(計分!K251="","",計分!K251^2)</f>
        <v/>
      </c>
      <c r="L251">
        <f>IF(計分!L251="","",計分!L251^2)</f>
        <v/>
      </c>
      <c r="M251">
        <f>IF(計分!M251="","",計分!M251^2)</f>
        <v/>
      </c>
      <c r="N251">
        <f>IF(計分!N251="","",計分!N251^2)</f>
        <v/>
      </c>
      <c r="O251">
        <f>IF(計分!O251="","",計分!O251^2)</f>
        <v/>
      </c>
      <c r="P251">
        <f>IF(計分!P251="","",計分!P251^2)</f>
        <v/>
      </c>
      <c r="Q251">
        <f>IF(計分!Q251="","",計分!Q251^2)</f>
        <v/>
      </c>
      <c r="R251">
        <f>IF(計分!R251="","",計分!R251^2)</f>
        <v/>
      </c>
      <c r="S251">
        <f>IF(計分!S251="","",計分!S251^2)</f>
        <v/>
      </c>
      <c r="T251">
        <f>IF(計分!T251="","",計分!T251^2)</f>
        <v/>
      </c>
      <c r="U251">
        <f>IF(計分!U251="","",計分!U251^2)</f>
        <v/>
      </c>
      <c r="V251">
        <f>IF(計分!V251="","",計分!V251^2)</f>
        <v/>
      </c>
      <c r="W251">
        <f>IF(計分!W251="","",計分!W251^2)</f>
        <v/>
      </c>
      <c r="X251">
        <f>IF(計分!X251="","",計分!X251^2)</f>
        <v/>
      </c>
      <c r="Y251">
        <f>IF(計分!Y251="","",計分!Y251^2)</f>
        <v/>
      </c>
      <c r="Z251">
        <f>IF(計分!Z251="","",計分!Z251^2)</f>
        <v/>
      </c>
      <c r="AA251">
        <f>IF(計分!AA251="","",計分!AA251^2)</f>
        <v/>
      </c>
      <c r="AB251">
        <f>IF(計分!AB251="","",計分!AB251^2)</f>
        <v/>
      </c>
      <c r="AC251">
        <f>IF(計分!AC251="","",計分!AC251^2)</f>
        <v/>
      </c>
      <c r="AD251">
        <f>IF(計分!AD251="","",計分!AD251^2)</f>
        <v/>
      </c>
      <c r="AE251">
        <f>IF(計分!AE251="","",計分!AE251^2)</f>
        <v/>
      </c>
      <c r="AF251">
        <f>IF(計分!AF251="","",計分!AF251^2)</f>
        <v/>
      </c>
      <c r="AG251">
        <f>IF(計分!AG251="","",計分!AG251^2)</f>
        <v/>
      </c>
      <c r="AH251">
        <f>IF(計分!AH251="","",計分!AH251^2)</f>
        <v/>
      </c>
      <c r="AI251">
        <f>IF(計分!AI251="","",計分!AI251^2)</f>
        <v/>
      </c>
      <c r="AJ251">
        <f>IF(計分!AJ251="","",計分!AJ251^2)</f>
        <v/>
      </c>
      <c r="AK251">
        <f>IF(計分!AK251="","",計分!AK251^2)</f>
        <v/>
      </c>
      <c r="AL251">
        <f>IF(計分!AL251="","",計分!AL251^2)</f>
        <v/>
      </c>
      <c r="AM251">
        <f>IF(計分!AM251="","",計分!AM251^2)</f>
        <v/>
      </c>
      <c r="AN251">
        <f>IF(計分!AN251="","",計分!AN251^2)</f>
        <v/>
      </c>
      <c r="AO251">
        <f>IF(計分!AO251="","",計分!AO251^2)</f>
        <v/>
      </c>
    </row>
    <row r="252">
      <c r="B252">
        <f>IF(計分!B252="","",計分!B252^2)</f>
        <v/>
      </c>
      <c r="C252">
        <f>IF(計分!C252="","",計分!C252^2)</f>
        <v/>
      </c>
      <c r="D252">
        <f>IF(計分!D252="","",計分!D252^2)</f>
        <v/>
      </c>
      <c r="E252">
        <f>IF(計分!E252="","",計分!E252^2)</f>
        <v/>
      </c>
      <c r="F252">
        <f>IF(計分!F252="","",計分!F252^2)</f>
        <v/>
      </c>
      <c r="G252">
        <f>IF(計分!G252="","",計分!G252^2)</f>
        <v/>
      </c>
      <c r="H252">
        <f>IF(計分!H252="","",計分!H252^2)</f>
        <v/>
      </c>
      <c r="I252">
        <f>IF(計分!I252="","",計分!I252^2)</f>
        <v/>
      </c>
      <c r="J252">
        <f>IF(計分!J252="","",計分!J252^2)</f>
        <v/>
      </c>
      <c r="K252">
        <f>IF(計分!K252="","",計分!K252^2)</f>
        <v/>
      </c>
      <c r="L252">
        <f>IF(計分!L252="","",計分!L252^2)</f>
        <v/>
      </c>
      <c r="M252">
        <f>IF(計分!M252="","",計分!M252^2)</f>
        <v/>
      </c>
      <c r="N252">
        <f>IF(計分!N252="","",計分!N252^2)</f>
        <v/>
      </c>
      <c r="O252">
        <f>IF(計分!O252="","",計分!O252^2)</f>
        <v/>
      </c>
      <c r="P252">
        <f>IF(計分!P252="","",計分!P252^2)</f>
        <v/>
      </c>
      <c r="Q252">
        <f>IF(計分!Q252="","",計分!Q252^2)</f>
        <v/>
      </c>
      <c r="R252">
        <f>IF(計分!R252="","",計分!R252^2)</f>
        <v/>
      </c>
      <c r="S252">
        <f>IF(計分!S252="","",計分!S252^2)</f>
        <v/>
      </c>
      <c r="T252">
        <f>IF(計分!T252="","",計分!T252^2)</f>
        <v/>
      </c>
      <c r="U252">
        <f>IF(計分!U252="","",計分!U252^2)</f>
        <v/>
      </c>
      <c r="V252">
        <f>IF(計分!V252="","",計分!V252^2)</f>
        <v/>
      </c>
      <c r="W252">
        <f>IF(計分!W252="","",計分!W252^2)</f>
        <v/>
      </c>
      <c r="X252">
        <f>IF(計分!X252="","",計分!X252^2)</f>
        <v/>
      </c>
      <c r="Y252">
        <f>IF(計分!Y252="","",計分!Y252^2)</f>
        <v/>
      </c>
      <c r="Z252">
        <f>IF(計分!Z252="","",計分!Z252^2)</f>
        <v/>
      </c>
      <c r="AA252">
        <f>IF(計分!AA252="","",計分!AA252^2)</f>
        <v/>
      </c>
      <c r="AB252">
        <f>IF(計分!AB252="","",計分!AB252^2)</f>
        <v/>
      </c>
      <c r="AC252">
        <f>IF(計分!AC252="","",計分!AC252^2)</f>
        <v/>
      </c>
      <c r="AD252">
        <f>IF(計分!AD252="","",計分!AD252^2)</f>
        <v/>
      </c>
      <c r="AE252">
        <f>IF(計分!AE252="","",計分!AE252^2)</f>
        <v/>
      </c>
      <c r="AF252">
        <f>IF(計分!AF252="","",計分!AF252^2)</f>
        <v/>
      </c>
      <c r="AG252">
        <f>IF(計分!AG252="","",計分!AG252^2)</f>
        <v/>
      </c>
      <c r="AH252">
        <f>IF(計分!AH252="","",計分!AH252^2)</f>
        <v/>
      </c>
      <c r="AI252">
        <f>IF(計分!AI252="","",計分!AI252^2)</f>
        <v/>
      </c>
      <c r="AJ252">
        <f>IF(計分!AJ252="","",計分!AJ252^2)</f>
        <v/>
      </c>
      <c r="AK252">
        <f>IF(計分!AK252="","",計分!AK252^2)</f>
        <v/>
      </c>
      <c r="AL252">
        <f>IF(計分!AL252="","",計分!AL252^2)</f>
        <v/>
      </c>
      <c r="AM252">
        <f>IF(計分!AM252="","",計分!AM252^2)</f>
        <v/>
      </c>
      <c r="AN252">
        <f>IF(計分!AN252="","",計分!AN252^2)</f>
        <v/>
      </c>
      <c r="AO252">
        <f>IF(計分!AO252="","",計分!AO252^2)</f>
        <v/>
      </c>
    </row>
    <row r="253">
      <c r="B253">
        <f>IF(計分!B253="","",計分!B253^2)</f>
        <v/>
      </c>
      <c r="C253">
        <f>IF(計分!C253="","",計分!C253^2)</f>
        <v/>
      </c>
      <c r="D253">
        <f>IF(計分!D253="","",計分!D253^2)</f>
        <v/>
      </c>
      <c r="E253">
        <f>IF(計分!E253="","",計分!E253^2)</f>
        <v/>
      </c>
      <c r="F253">
        <f>IF(計分!F253="","",計分!F253^2)</f>
        <v/>
      </c>
      <c r="G253">
        <f>IF(計分!G253="","",計分!G253^2)</f>
        <v/>
      </c>
      <c r="H253">
        <f>IF(計分!H253="","",計分!H253^2)</f>
        <v/>
      </c>
      <c r="I253">
        <f>IF(計分!I253="","",計分!I253^2)</f>
        <v/>
      </c>
      <c r="J253">
        <f>IF(計分!J253="","",計分!J253^2)</f>
        <v/>
      </c>
      <c r="K253">
        <f>IF(計分!K253="","",計分!K253^2)</f>
        <v/>
      </c>
      <c r="L253">
        <f>IF(計分!L253="","",計分!L253^2)</f>
        <v/>
      </c>
      <c r="M253">
        <f>IF(計分!M253="","",計分!M253^2)</f>
        <v/>
      </c>
      <c r="N253">
        <f>IF(計分!N253="","",計分!N253^2)</f>
        <v/>
      </c>
      <c r="O253">
        <f>IF(計分!O253="","",計分!O253^2)</f>
        <v/>
      </c>
      <c r="P253">
        <f>IF(計分!P253="","",計分!P253^2)</f>
        <v/>
      </c>
      <c r="Q253">
        <f>IF(計分!Q253="","",計分!Q253^2)</f>
        <v/>
      </c>
      <c r="R253">
        <f>IF(計分!R253="","",計分!R253^2)</f>
        <v/>
      </c>
      <c r="S253">
        <f>IF(計分!S253="","",計分!S253^2)</f>
        <v/>
      </c>
      <c r="T253">
        <f>IF(計分!T253="","",計分!T253^2)</f>
        <v/>
      </c>
      <c r="U253">
        <f>IF(計分!U253="","",計分!U253^2)</f>
        <v/>
      </c>
      <c r="V253">
        <f>IF(計分!V253="","",計分!V253^2)</f>
        <v/>
      </c>
      <c r="W253">
        <f>IF(計分!W253="","",計分!W253^2)</f>
        <v/>
      </c>
      <c r="X253">
        <f>IF(計分!X253="","",計分!X253^2)</f>
        <v/>
      </c>
      <c r="Y253">
        <f>IF(計分!Y253="","",計分!Y253^2)</f>
        <v/>
      </c>
      <c r="Z253">
        <f>IF(計分!Z253="","",計分!Z253^2)</f>
        <v/>
      </c>
      <c r="AA253">
        <f>IF(計分!AA253="","",計分!AA253^2)</f>
        <v/>
      </c>
      <c r="AB253">
        <f>IF(計分!AB253="","",計分!AB253^2)</f>
        <v/>
      </c>
      <c r="AC253">
        <f>IF(計分!AC253="","",計分!AC253^2)</f>
        <v/>
      </c>
      <c r="AD253">
        <f>IF(計分!AD253="","",計分!AD253^2)</f>
        <v/>
      </c>
      <c r="AE253">
        <f>IF(計分!AE253="","",計分!AE253^2)</f>
        <v/>
      </c>
      <c r="AF253">
        <f>IF(計分!AF253="","",計分!AF253^2)</f>
        <v/>
      </c>
      <c r="AG253">
        <f>IF(計分!AG253="","",計分!AG253^2)</f>
        <v/>
      </c>
      <c r="AH253">
        <f>IF(計分!AH253="","",計分!AH253^2)</f>
        <v/>
      </c>
      <c r="AI253">
        <f>IF(計分!AI253="","",計分!AI253^2)</f>
        <v/>
      </c>
      <c r="AJ253">
        <f>IF(計分!AJ253="","",計分!AJ253^2)</f>
        <v/>
      </c>
      <c r="AK253">
        <f>IF(計分!AK253="","",計分!AK253^2)</f>
        <v/>
      </c>
      <c r="AL253">
        <f>IF(計分!AL253="","",計分!AL253^2)</f>
        <v/>
      </c>
      <c r="AM253">
        <f>IF(計分!AM253="","",計分!AM253^2)</f>
        <v/>
      </c>
      <c r="AN253">
        <f>IF(計分!AN253="","",計分!AN253^2)</f>
        <v/>
      </c>
      <c r="AO253">
        <f>IF(計分!AO253="","",計分!AO253^2)</f>
        <v/>
      </c>
    </row>
    <row r="254">
      <c r="B254">
        <f>IF(計分!B254="","",計分!B254^2)</f>
        <v/>
      </c>
      <c r="C254">
        <f>IF(計分!C254="","",計分!C254^2)</f>
        <v/>
      </c>
      <c r="D254">
        <f>IF(計分!D254="","",計分!D254^2)</f>
        <v/>
      </c>
      <c r="E254">
        <f>IF(計分!E254="","",計分!E254^2)</f>
        <v/>
      </c>
      <c r="F254">
        <f>IF(計分!F254="","",計分!F254^2)</f>
        <v/>
      </c>
      <c r="G254">
        <f>IF(計分!G254="","",計分!G254^2)</f>
        <v/>
      </c>
      <c r="H254">
        <f>IF(計分!H254="","",計分!H254^2)</f>
        <v/>
      </c>
      <c r="I254">
        <f>IF(計分!I254="","",計分!I254^2)</f>
        <v/>
      </c>
      <c r="J254">
        <f>IF(計分!J254="","",計分!J254^2)</f>
        <v/>
      </c>
      <c r="K254">
        <f>IF(計分!K254="","",計分!K254^2)</f>
        <v/>
      </c>
      <c r="L254">
        <f>IF(計分!L254="","",計分!L254^2)</f>
        <v/>
      </c>
      <c r="M254">
        <f>IF(計分!M254="","",計分!M254^2)</f>
        <v/>
      </c>
      <c r="N254">
        <f>IF(計分!N254="","",計分!N254^2)</f>
        <v/>
      </c>
      <c r="O254">
        <f>IF(計分!O254="","",計分!O254^2)</f>
        <v/>
      </c>
      <c r="P254">
        <f>IF(計分!P254="","",計分!P254^2)</f>
        <v/>
      </c>
      <c r="Q254">
        <f>IF(計分!Q254="","",計分!Q254^2)</f>
        <v/>
      </c>
      <c r="R254">
        <f>IF(計分!R254="","",計分!R254^2)</f>
        <v/>
      </c>
      <c r="S254">
        <f>IF(計分!S254="","",計分!S254^2)</f>
        <v/>
      </c>
      <c r="T254">
        <f>IF(計分!T254="","",計分!T254^2)</f>
        <v/>
      </c>
      <c r="U254">
        <f>IF(計分!U254="","",計分!U254^2)</f>
        <v/>
      </c>
      <c r="V254">
        <f>IF(計分!V254="","",計分!V254^2)</f>
        <v/>
      </c>
      <c r="W254">
        <f>IF(計分!W254="","",計分!W254^2)</f>
        <v/>
      </c>
      <c r="X254">
        <f>IF(計分!X254="","",計分!X254^2)</f>
        <v/>
      </c>
      <c r="Y254">
        <f>IF(計分!Y254="","",計分!Y254^2)</f>
        <v/>
      </c>
      <c r="Z254">
        <f>IF(計分!Z254="","",計分!Z254^2)</f>
        <v/>
      </c>
      <c r="AA254">
        <f>IF(計分!AA254="","",計分!AA254^2)</f>
        <v/>
      </c>
      <c r="AB254">
        <f>IF(計分!AB254="","",計分!AB254^2)</f>
        <v/>
      </c>
      <c r="AC254">
        <f>IF(計分!AC254="","",計分!AC254^2)</f>
        <v/>
      </c>
      <c r="AD254">
        <f>IF(計分!AD254="","",計分!AD254^2)</f>
        <v/>
      </c>
      <c r="AE254">
        <f>IF(計分!AE254="","",計分!AE254^2)</f>
        <v/>
      </c>
      <c r="AF254">
        <f>IF(計分!AF254="","",計分!AF254^2)</f>
        <v/>
      </c>
      <c r="AG254">
        <f>IF(計分!AG254="","",計分!AG254^2)</f>
        <v/>
      </c>
      <c r="AH254">
        <f>IF(計分!AH254="","",計分!AH254^2)</f>
        <v/>
      </c>
      <c r="AI254">
        <f>IF(計分!AI254="","",計分!AI254^2)</f>
        <v/>
      </c>
      <c r="AJ254">
        <f>IF(計分!AJ254="","",計分!AJ254^2)</f>
        <v/>
      </c>
      <c r="AK254">
        <f>IF(計分!AK254="","",計分!AK254^2)</f>
        <v/>
      </c>
      <c r="AL254">
        <f>IF(計分!AL254="","",計分!AL254^2)</f>
        <v/>
      </c>
      <c r="AM254">
        <f>IF(計分!AM254="","",計分!AM254^2)</f>
        <v/>
      </c>
      <c r="AN254">
        <f>IF(計分!AN254="","",計分!AN254^2)</f>
        <v/>
      </c>
      <c r="AO254">
        <f>IF(計分!AO254="","",計分!AO254^2)</f>
        <v/>
      </c>
    </row>
    <row r="255">
      <c r="B255">
        <f>IF(計分!B255="","",計分!B255^2)</f>
        <v/>
      </c>
      <c r="C255">
        <f>IF(計分!C255="","",計分!C255^2)</f>
        <v/>
      </c>
      <c r="D255">
        <f>IF(計分!D255="","",計分!D255^2)</f>
        <v/>
      </c>
      <c r="E255">
        <f>IF(計分!E255="","",計分!E255^2)</f>
        <v/>
      </c>
      <c r="F255">
        <f>IF(計分!F255="","",計分!F255^2)</f>
        <v/>
      </c>
      <c r="G255">
        <f>IF(計分!G255="","",計分!G255^2)</f>
        <v/>
      </c>
      <c r="H255">
        <f>IF(計分!H255="","",計分!H255^2)</f>
        <v/>
      </c>
      <c r="I255">
        <f>IF(計分!I255="","",計分!I255^2)</f>
        <v/>
      </c>
      <c r="J255">
        <f>IF(計分!J255="","",計分!J255^2)</f>
        <v/>
      </c>
      <c r="K255">
        <f>IF(計分!K255="","",計分!K255^2)</f>
        <v/>
      </c>
      <c r="L255">
        <f>IF(計分!L255="","",計分!L255^2)</f>
        <v/>
      </c>
      <c r="M255">
        <f>IF(計分!M255="","",計分!M255^2)</f>
        <v/>
      </c>
      <c r="N255">
        <f>IF(計分!N255="","",計分!N255^2)</f>
        <v/>
      </c>
      <c r="O255">
        <f>IF(計分!O255="","",計分!O255^2)</f>
        <v/>
      </c>
      <c r="P255">
        <f>IF(計分!P255="","",計分!P255^2)</f>
        <v/>
      </c>
      <c r="Q255">
        <f>IF(計分!Q255="","",計分!Q255^2)</f>
        <v/>
      </c>
      <c r="R255">
        <f>IF(計分!R255="","",計分!R255^2)</f>
        <v/>
      </c>
      <c r="S255">
        <f>IF(計分!S255="","",計分!S255^2)</f>
        <v/>
      </c>
      <c r="T255">
        <f>IF(計分!T255="","",計分!T255^2)</f>
        <v/>
      </c>
      <c r="U255">
        <f>IF(計分!U255="","",計分!U255^2)</f>
        <v/>
      </c>
      <c r="V255">
        <f>IF(計分!V255="","",計分!V255^2)</f>
        <v/>
      </c>
      <c r="W255">
        <f>IF(計分!W255="","",計分!W255^2)</f>
        <v/>
      </c>
      <c r="X255">
        <f>IF(計分!X255="","",計分!X255^2)</f>
        <v/>
      </c>
      <c r="Y255">
        <f>IF(計分!Y255="","",計分!Y255^2)</f>
        <v/>
      </c>
      <c r="Z255">
        <f>IF(計分!Z255="","",計分!Z255^2)</f>
        <v/>
      </c>
      <c r="AA255">
        <f>IF(計分!AA255="","",計分!AA255^2)</f>
        <v/>
      </c>
      <c r="AB255">
        <f>IF(計分!AB255="","",計分!AB255^2)</f>
        <v/>
      </c>
      <c r="AC255">
        <f>IF(計分!AC255="","",計分!AC255^2)</f>
        <v/>
      </c>
      <c r="AD255">
        <f>IF(計分!AD255="","",計分!AD255^2)</f>
        <v/>
      </c>
      <c r="AE255">
        <f>IF(計分!AE255="","",計分!AE255^2)</f>
        <v/>
      </c>
      <c r="AF255">
        <f>IF(計分!AF255="","",計分!AF255^2)</f>
        <v/>
      </c>
      <c r="AG255">
        <f>IF(計分!AG255="","",計分!AG255^2)</f>
        <v/>
      </c>
      <c r="AH255">
        <f>IF(計分!AH255="","",計分!AH255^2)</f>
        <v/>
      </c>
      <c r="AI255">
        <f>IF(計分!AI255="","",計分!AI255^2)</f>
        <v/>
      </c>
      <c r="AJ255">
        <f>IF(計分!AJ255="","",計分!AJ255^2)</f>
        <v/>
      </c>
      <c r="AK255">
        <f>IF(計分!AK255="","",計分!AK255^2)</f>
        <v/>
      </c>
      <c r="AL255">
        <f>IF(計分!AL255="","",計分!AL255^2)</f>
        <v/>
      </c>
      <c r="AM255">
        <f>IF(計分!AM255="","",計分!AM255^2)</f>
        <v/>
      </c>
      <c r="AN255">
        <f>IF(計分!AN255="","",計分!AN255^2)</f>
        <v/>
      </c>
      <c r="AO255">
        <f>IF(計分!AO255="","",計分!AO255^2)</f>
        <v/>
      </c>
    </row>
    <row r="256">
      <c r="B256">
        <f>IF(計分!B256="","",計分!B256^2)</f>
        <v/>
      </c>
      <c r="C256">
        <f>IF(計分!C256="","",計分!C256^2)</f>
        <v/>
      </c>
      <c r="D256">
        <f>IF(計分!D256="","",計分!D256^2)</f>
        <v/>
      </c>
      <c r="E256">
        <f>IF(計分!E256="","",計分!E256^2)</f>
        <v/>
      </c>
      <c r="F256">
        <f>IF(計分!F256="","",計分!F256^2)</f>
        <v/>
      </c>
      <c r="G256">
        <f>IF(計分!G256="","",計分!G256^2)</f>
        <v/>
      </c>
      <c r="H256">
        <f>IF(計分!H256="","",計分!H256^2)</f>
        <v/>
      </c>
      <c r="I256">
        <f>IF(計分!I256="","",計分!I256^2)</f>
        <v/>
      </c>
      <c r="J256">
        <f>IF(計分!J256="","",計分!J256^2)</f>
        <v/>
      </c>
      <c r="K256">
        <f>IF(計分!K256="","",計分!K256^2)</f>
        <v/>
      </c>
      <c r="L256">
        <f>IF(計分!L256="","",計分!L256^2)</f>
        <v/>
      </c>
      <c r="M256">
        <f>IF(計分!M256="","",計分!M256^2)</f>
        <v/>
      </c>
      <c r="N256">
        <f>IF(計分!N256="","",計分!N256^2)</f>
        <v/>
      </c>
      <c r="O256">
        <f>IF(計分!O256="","",計分!O256^2)</f>
        <v/>
      </c>
      <c r="P256">
        <f>IF(計分!P256="","",計分!P256^2)</f>
        <v/>
      </c>
      <c r="Q256">
        <f>IF(計分!Q256="","",計分!Q256^2)</f>
        <v/>
      </c>
      <c r="R256">
        <f>IF(計分!R256="","",計分!R256^2)</f>
        <v/>
      </c>
      <c r="S256">
        <f>IF(計分!S256="","",計分!S256^2)</f>
        <v/>
      </c>
      <c r="T256">
        <f>IF(計分!T256="","",計分!T256^2)</f>
        <v/>
      </c>
      <c r="U256">
        <f>IF(計分!U256="","",計分!U256^2)</f>
        <v/>
      </c>
      <c r="V256">
        <f>IF(計分!V256="","",計分!V256^2)</f>
        <v/>
      </c>
      <c r="W256">
        <f>IF(計分!W256="","",計分!W256^2)</f>
        <v/>
      </c>
      <c r="X256">
        <f>IF(計分!X256="","",計分!X256^2)</f>
        <v/>
      </c>
      <c r="Y256">
        <f>IF(計分!Y256="","",計分!Y256^2)</f>
        <v/>
      </c>
      <c r="Z256">
        <f>IF(計分!Z256="","",計分!Z256^2)</f>
        <v/>
      </c>
      <c r="AA256">
        <f>IF(計分!AA256="","",計分!AA256^2)</f>
        <v/>
      </c>
      <c r="AB256">
        <f>IF(計分!AB256="","",計分!AB256^2)</f>
        <v/>
      </c>
      <c r="AC256">
        <f>IF(計分!AC256="","",計分!AC256^2)</f>
        <v/>
      </c>
      <c r="AD256">
        <f>IF(計分!AD256="","",計分!AD256^2)</f>
        <v/>
      </c>
      <c r="AE256">
        <f>IF(計分!AE256="","",計分!AE256^2)</f>
        <v/>
      </c>
      <c r="AF256">
        <f>IF(計分!AF256="","",計分!AF256^2)</f>
        <v/>
      </c>
      <c r="AG256">
        <f>IF(計分!AG256="","",計分!AG256^2)</f>
        <v/>
      </c>
      <c r="AH256">
        <f>IF(計分!AH256="","",計分!AH256^2)</f>
        <v/>
      </c>
      <c r="AI256">
        <f>IF(計分!AI256="","",計分!AI256^2)</f>
        <v/>
      </c>
      <c r="AJ256">
        <f>IF(計分!AJ256="","",計分!AJ256^2)</f>
        <v/>
      </c>
      <c r="AK256">
        <f>IF(計分!AK256="","",計分!AK256^2)</f>
        <v/>
      </c>
      <c r="AL256">
        <f>IF(計分!AL256="","",計分!AL256^2)</f>
        <v/>
      </c>
      <c r="AM256">
        <f>IF(計分!AM256="","",計分!AM256^2)</f>
        <v/>
      </c>
      <c r="AN256">
        <f>IF(計分!AN256="","",計分!AN256^2)</f>
        <v/>
      </c>
      <c r="AO256">
        <f>IF(計分!AO256="","",計分!AO256^2)</f>
        <v/>
      </c>
    </row>
    <row r="257">
      <c r="B257">
        <f>IF(計分!B257="","",計分!B257^2)</f>
        <v/>
      </c>
      <c r="C257">
        <f>IF(計分!C257="","",計分!C257^2)</f>
        <v/>
      </c>
      <c r="D257">
        <f>IF(計分!D257="","",計分!D257^2)</f>
        <v/>
      </c>
      <c r="E257">
        <f>IF(計分!E257="","",計分!E257^2)</f>
        <v/>
      </c>
      <c r="F257">
        <f>IF(計分!F257="","",計分!F257^2)</f>
        <v/>
      </c>
      <c r="G257">
        <f>IF(計分!G257="","",計分!G257^2)</f>
        <v/>
      </c>
      <c r="H257">
        <f>IF(計分!H257="","",計分!H257^2)</f>
        <v/>
      </c>
      <c r="I257">
        <f>IF(計分!I257="","",計分!I257^2)</f>
        <v/>
      </c>
      <c r="J257">
        <f>IF(計分!J257="","",計分!J257^2)</f>
        <v/>
      </c>
      <c r="K257">
        <f>IF(計分!K257="","",計分!K257^2)</f>
        <v/>
      </c>
      <c r="L257">
        <f>IF(計分!L257="","",計分!L257^2)</f>
        <v/>
      </c>
      <c r="M257">
        <f>IF(計分!M257="","",計分!M257^2)</f>
        <v/>
      </c>
      <c r="N257">
        <f>IF(計分!N257="","",計分!N257^2)</f>
        <v/>
      </c>
      <c r="O257">
        <f>IF(計分!O257="","",計分!O257^2)</f>
        <v/>
      </c>
      <c r="P257">
        <f>IF(計分!P257="","",計分!P257^2)</f>
        <v/>
      </c>
      <c r="Q257">
        <f>IF(計分!Q257="","",計分!Q257^2)</f>
        <v/>
      </c>
      <c r="R257">
        <f>IF(計分!R257="","",計分!R257^2)</f>
        <v/>
      </c>
      <c r="S257">
        <f>IF(計分!S257="","",計分!S257^2)</f>
        <v/>
      </c>
      <c r="T257">
        <f>IF(計分!T257="","",計分!T257^2)</f>
        <v/>
      </c>
      <c r="U257">
        <f>IF(計分!U257="","",計分!U257^2)</f>
        <v/>
      </c>
      <c r="V257">
        <f>IF(計分!V257="","",計分!V257^2)</f>
        <v/>
      </c>
      <c r="W257">
        <f>IF(計分!W257="","",計分!W257^2)</f>
        <v/>
      </c>
      <c r="X257">
        <f>IF(計分!X257="","",計分!X257^2)</f>
        <v/>
      </c>
      <c r="Y257">
        <f>IF(計分!Y257="","",計分!Y257^2)</f>
        <v/>
      </c>
      <c r="Z257">
        <f>IF(計分!Z257="","",計分!Z257^2)</f>
        <v/>
      </c>
      <c r="AA257">
        <f>IF(計分!AA257="","",計分!AA257^2)</f>
        <v/>
      </c>
      <c r="AB257">
        <f>IF(計分!AB257="","",計分!AB257^2)</f>
        <v/>
      </c>
      <c r="AC257">
        <f>IF(計分!AC257="","",計分!AC257^2)</f>
        <v/>
      </c>
      <c r="AD257">
        <f>IF(計分!AD257="","",計分!AD257^2)</f>
        <v/>
      </c>
      <c r="AE257">
        <f>IF(計分!AE257="","",計分!AE257^2)</f>
        <v/>
      </c>
      <c r="AF257">
        <f>IF(計分!AF257="","",計分!AF257^2)</f>
        <v/>
      </c>
      <c r="AG257">
        <f>IF(計分!AG257="","",計分!AG257^2)</f>
        <v/>
      </c>
      <c r="AH257">
        <f>IF(計分!AH257="","",計分!AH257^2)</f>
        <v/>
      </c>
      <c r="AI257">
        <f>IF(計分!AI257="","",計分!AI257^2)</f>
        <v/>
      </c>
      <c r="AJ257">
        <f>IF(計分!AJ257="","",計分!AJ257^2)</f>
        <v/>
      </c>
      <c r="AK257">
        <f>IF(計分!AK257="","",計分!AK257^2)</f>
        <v/>
      </c>
      <c r="AL257">
        <f>IF(計分!AL257="","",計分!AL257^2)</f>
        <v/>
      </c>
      <c r="AM257">
        <f>IF(計分!AM257="","",計分!AM257^2)</f>
        <v/>
      </c>
      <c r="AN257">
        <f>IF(計分!AN257="","",計分!AN257^2)</f>
        <v/>
      </c>
      <c r="AO257">
        <f>IF(計分!AO257="","",計分!AO257^2)</f>
        <v/>
      </c>
    </row>
    <row r="258">
      <c r="B258">
        <f>IF(計分!B258="","",計分!B258^2)</f>
        <v/>
      </c>
      <c r="C258">
        <f>IF(計分!C258="","",計分!C258^2)</f>
        <v/>
      </c>
      <c r="D258">
        <f>IF(計分!D258="","",計分!D258^2)</f>
        <v/>
      </c>
      <c r="E258">
        <f>IF(計分!E258="","",計分!E258^2)</f>
        <v/>
      </c>
      <c r="F258">
        <f>IF(計分!F258="","",計分!F258^2)</f>
        <v/>
      </c>
      <c r="G258">
        <f>IF(計分!G258="","",計分!G258^2)</f>
        <v/>
      </c>
      <c r="H258">
        <f>IF(計分!H258="","",計分!H258^2)</f>
        <v/>
      </c>
      <c r="I258">
        <f>IF(計分!I258="","",計分!I258^2)</f>
        <v/>
      </c>
      <c r="J258">
        <f>IF(計分!J258="","",計分!J258^2)</f>
        <v/>
      </c>
      <c r="K258">
        <f>IF(計分!K258="","",計分!K258^2)</f>
        <v/>
      </c>
      <c r="L258">
        <f>IF(計分!L258="","",計分!L258^2)</f>
        <v/>
      </c>
      <c r="M258">
        <f>IF(計分!M258="","",計分!M258^2)</f>
        <v/>
      </c>
      <c r="N258">
        <f>IF(計分!N258="","",計分!N258^2)</f>
        <v/>
      </c>
      <c r="O258">
        <f>IF(計分!O258="","",計分!O258^2)</f>
        <v/>
      </c>
      <c r="P258">
        <f>IF(計分!P258="","",計分!P258^2)</f>
        <v/>
      </c>
      <c r="Q258">
        <f>IF(計分!Q258="","",計分!Q258^2)</f>
        <v/>
      </c>
      <c r="R258">
        <f>IF(計分!R258="","",計分!R258^2)</f>
        <v/>
      </c>
      <c r="S258">
        <f>IF(計分!S258="","",計分!S258^2)</f>
        <v/>
      </c>
      <c r="T258">
        <f>IF(計分!T258="","",計分!T258^2)</f>
        <v/>
      </c>
      <c r="U258">
        <f>IF(計分!U258="","",計分!U258^2)</f>
        <v/>
      </c>
      <c r="V258">
        <f>IF(計分!V258="","",計分!V258^2)</f>
        <v/>
      </c>
      <c r="W258">
        <f>IF(計分!W258="","",計分!W258^2)</f>
        <v/>
      </c>
      <c r="X258">
        <f>IF(計分!X258="","",計分!X258^2)</f>
        <v/>
      </c>
      <c r="Y258">
        <f>IF(計分!Y258="","",計分!Y258^2)</f>
        <v/>
      </c>
      <c r="Z258">
        <f>IF(計分!Z258="","",計分!Z258^2)</f>
        <v/>
      </c>
      <c r="AA258">
        <f>IF(計分!AA258="","",計分!AA258^2)</f>
        <v/>
      </c>
      <c r="AB258">
        <f>IF(計分!AB258="","",計分!AB258^2)</f>
        <v/>
      </c>
      <c r="AC258">
        <f>IF(計分!AC258="","",計分!AC258^2)</f>
        <v/>
      </c>
      <c r="AD258">
        <f>IF(計分!AD258="","",計分!AD258^2)</f>
        <v/>
      </c>
      <c r="AE258">
        <f>IF(計分!AE258="","",計分!AE258^2)</f>
        <v/>
      </c>
      <c r="AF258">
        <f>IF(計分!AF258="","",計分!AF258^2)</f>
        <v/>
      </c>
      <c r="AG258">
        <f>IF(計分!AG258="","",計分!AG258^2)</f>
        <v/>
      </c>
      <c r="AH258">
        <f>IF(計分!AH258="","",計分!AH258^2)</f>
        <v/>
      </c>
      <c r="AI258">
        <f>IF(計分!AI258="","",計分!AI258^2)</f>
        <v/>
      </c>
      <c r="AJ258">
        <f>IF(計分!AJ258="","",計分!AJ258^2)</f>
        <v/>
      </c>
      <c r="AK258">
        <f>IF(計分!AK258="","",計分!AK258^2)</f>
        <v/>
      </c>
      <c r="AL258">
        <f>IF(計分!AL258="","",計分!AL258^2)</f>
        <v/>
      </c>
      <c r="AM258">
        <f>IF(計分!AM258="","",計分!AM258^2)</f>
        <v/>
      </c>
      <c r="AN258">
        <f>IF(計分!AN258="","",計分!AN258^2)</f>
        <v/>
      </c>
      <c r="AO258">
        <f>IF(計分!AO258="","",計分!AO258^2)</f>
        <v/>
      </c>
    </row>
    <row r="259">
      <c r="B259">
        <f>IF(計分!B259="","",計分!B259^2)</f>
        <v/>
      </c>
      <c r="C259">
        <f>IF(計分!C259="","",計分!C259^2)</f>
        <v/>
      </c>
      <c r="D259">
        <f>IF(計分!D259="","",計分!D259^2)</f>
        <v/>
      </c>
      <c r="E259">
        <f>IF(計分!E259="","",計分!E259^2)</f>
        <v/>
      </c>
      <c r="F259">
        <f>IF(計分!F259="","",計分!F259^2)</f>
        <v/>
      </c>
      <c r="G259">
        <f>IF(計分!G259="","",計分!G259^2)</f>
        <v/>
      </c>
      <c r="H259">
        <f>IF(計分!H259="","",計分!H259^2)</f>
        <v/>
      </c>
      <c r="I259">
        <f>IF(計分!I259="","",計分!I259^2)</f>
        <v/>
      </c>
      <c r="J259">
        <f>IF(計分!J259="","",計分!J259^2)</f>
        <v/>
      </c>
      <c r="K259">
        <f>IF(計分!K259="","",計分!K259^2)</f>
        <v/>
      </c>
      <c r="L259">
        <f>IF(計分!L259="","",計分!L259^2)</f>
        <v/>
      </c>
      <c r="M259">
        <f>IF(計分!M259="","",計分!M259^2)</f>
        <v/>
      </c>
      <c r="N259">
        <f>IF(計分!N259="","",計分!N259^2)</f>
        <v/>
      </c>
      <c r="O259">
        <f>IF(計分!O259="","",計分!O259^2)</f>
        <v/>
      </c>
      <c r="P259">
        <f>IF(計分!P259="","",計分!P259^2)</f>
        <v/>
      </c>
      <c r="Q259">
        <f>IF(計分!Q259="","",計分!Q259^2)</f>
        <v/>
      </c>
      <c r="R259">
        <f>IF(計分!R259="","",計分!R259^2)</f>
        <v/>
      </c>
      <c r="S259">
        <f>IF(計分!S259="","",計分!S259^2)</f>
        <v/>
      </c>
      <c r="T259">
        <f>IF(計分!T259="","",計分!T259^2)</f>
        <v/>
      </c>
      <c r="U259">
        <f>IF(計分!U259="","",計分!U259^2)</f>
        <v/>
      </c>
      <c r="V259">
        <f>IF(計分!V259="","",計分!V259^2)</f>
        <v/>
      </c>
      <c r="W259">
        <f>IF(計分!W259="","",計分!W259^2)</f>
        <v/>
      </c>
      <c r="X259">
        <f>IF(計分!X259="","",計分!X259^2)</f>
        <v/>
      </c>
      <c r="Y259">
        <f>IF(計分!Y259="","",計分!Y259^2)</f>
        <v/>
      </c>
      <c r="Z259">
        <f>IF(計分!Z259="","",計分!Z259^2)</f>
        <v/>
      </c>
      <c r="AA259">
        <f>IF(計分!AA259="","",計分!AA259^2)</f>
        <v/>
      </c>
      <c r="AB259">
        <f>IF(計分!AB259="","",計分!AB259^2)</f>
        <v/>
      </c>
      <c r="AC259">
        <f>IF(計分!AC259="","",計分!AC259^2)</f>
        <v/>
      </c>
      <c r="AD259">
        <f>IF(計分!AD259="","",計分!AD259^2)</f>
        <v/>
      </c>
      <c r="AE259">
        <f>IF(計分!AE259="","",計分!AE259^2)</f>
        <v/>
      </c>
      <c r="AF259">
        <f>IF(計分!AF259="","",計分!AF259^2)</f>
        <v/>
      </c>
      <c r="AG259">
        <f>IF(計分!AG259="","",計分!AG259^2)</f>
        <v/>
      </c>
      <c r="AH259">
        <f>IF(計分!AH259="","",計分!AH259^2)</f>
        <v/>
      </c>
      <c r="AI259">
        <f>IF(計分!AI259="","",計分!AI259^2)</f>
        <v/>
      </c>
      <c r="AJ259">
        <f>IF(計分!AJ259="","",計分!AJ259^2)</f>
        <v/>
      </c>
      <c r="AK259">
        <f>IF(計分!AK259="","",計分!AK259^2)</f>
        <v/>
      </c>
      <c r="AL259">
        <f>IF(計分!AL259="","",計分!AL259^2)</f>
        <v/>
      </c>
      <c r="AM259">
        <f>IF(計分!AM259="","",計分!AM259^2)</f>
        <v/>
      </c>
      <c r="AN259">
        <f>IF(計分!AN259="","",計分!AN259^2)</f>
        <v/>
      </c>
      <c r="AO259">
        <f>IF(計分!AO259="","",計分!AO259^2)</f>
        <v/>
      </c>
    </row>
    <row r="260">
      <c r="B260">
        <f>IF(計分!B260="","",計分!B260^2)</f>
        <v/>
      </c>
      <c r="C260">
        <f>IF(計分!C260="","",計分!C260^2)</f>
        <v/>
      </c>
      <c r="D260">
        <f>IF(計分!D260="","",計分!D260^2)</f>
        <v/>
      </c>
      <c r="E260">
        <f>IF(計分!E260="","",計分!E260^2)</f>
        <v/>
      </c>
      <c r="F260">
        <f>IF(計分!F260="","",計分!F260^2)</f>
        <v/>
      </c>
      <c r="G260">
        <f>IF(計分!G260="","",計分!G260^2)</f>
        <v/>
      </c>
      <c r="H260">
        <f>IF(計分!H260="","",計分!H260^2)</f>
        <v/>
      </c>
      <c r="I260">
        <f>IF(計分!I260="","",計分!I260^2)</f>
        <v/>
      </c>
      <c r="J260">
        <f>IF(計分!J260="","",計分!J260^2)</f>
        <v/>
      </c>
      <c r="K260">
        <f>IF(計分!K260="","",計分!K260^2)</f>
        <v/>
      </c>
      <c r="L260">
        <f>IF(計分!L260="","",計分!L260^2)</f>
        <v/>
      </c>
      <c r="M260">
        <f>IF(計分!M260="","",計分!M260^2)</f>
        <v/>
      </c>
      <c r="N260">
        <f>IF(計分!N260="","",計分!N260^2)</f>
        <v/>
      </c>
      <c r="O260">
        <f>IF(計分!O260="","",計分!O260^2)</f>
        <v/>
      </c>
      <c r="P260">
        <f>IF(計分!P260="","",計分!P260^2)</f>
        <v/>
      </c>
      <c r="Q260">
        <f>IF(計分!Q260="","",計分!Q260^2)</f>
        <v/>
      </c>
      <c r="R260">
        <f>IF(計分!R260="","",計分!R260^2)</f>
        <v/>
      </c>
      <c r="S260">
        <f>IF(計分!S260="","",計分!S260^2)</f>
        <v/>
      </c>
      <c r="T260">
        <f>IF(計分!T260="","",計分!T260^2)</f>
        <v/>
      </c>
      <c r="U260">
        <f>IF(計分!U260="","",計分!U260^2)</f>
        <v/>
      </c>
      <c r="V260">
        <f>IF(計分!V260="","",計分!V260^2)</f>
        <v/>
      </c>
      <c r="W260">
        <f>IF(計分!W260="","",計分!W260^2)</f>
        <v/>
      </c>
      <c r="X260">
        <f>IF(計分!X260="","",計分!X260^2)</f>
        <v/>
      </c>
      <c r="Y260">
        <f>IF(計分!Y260="","",計分!Y260^2)</f>
        <v/>
      </c>
      <c r="Z260">
        <f>IF(計分!Z260="","",計分!Z260^2)</f>
        <v/>
      </c>
      <c r="AA260">
        <f>IF(計分!AA260="","",計分!AA260^2)</f>
        <v/>
      </c>
      <c r="AB260">
        <f>IF(計分!AB260="","",計分!AB260^2)</f>
        <v/>
      </c>
      <c r="AC260">
        <f>IF(計分!AC260="","",計分!AC260^2)</f>
        <v/>
      </c>
      <c r="AD260">
        <f>IF(計分!AD260="","",計分!AD260^2)</f>
        <v/>
      </c>
      <c r="AE260">
        <f>IF(計分!AE260="","",計分!AE260^2)</f>
        <v/>
      </c>
      <c r="AF260">
        <f>IF(計分!AF260="","",計分!AF260^2)</f>
        <v/>
      </c>
      <c r="AG260">
        <f>IF(計分!AG260="","",計分!AG260^2)</f>
        <v/>
      </c>
      <c r="AH260">
        <f>IF(計分!AH260="","",計分!AH260^2)</f>
        <v/>
      </c>
      <c r="AI260">
        <f>IF(計分!AI260="","",計分!AI260^2)</f>
        <v/>
      </c>
      <c r="AJ260">
        <f>IF(計分!AJ260="","",計分!AJ260^2)</f>
        <v/>
      </c>
      <c r="AK260">
        <f>IF(計分!AK260="","",計分!AK260^2)</f>
        <v/>
      </c>
      <c r="AL260">
        <f>IF(計分!AL260="","",計分!AL260^2)</f>
        <v/>
      </c>
      <c r="AM260">
        <f>IF(計分!AM260="","",計分!AM260^2)</f>
        <v/>
      </c>
      <c r="AN260">
        <f>IF(計分!AN260="","",計分!AN260^2)</f>
        <v/>
      </c>
      <c r="AO260">
        <f>IF(計分!AO260="","",計分!AO260^2)</f>
        <v/>
      </c>
    </row>
    <row r="261">
      <c r="B261">
        <f>IF(計分!B261="","",計分!B261^2)</f>
        <v/>
      </c>
      <c r="C261">
        <f>IF(計分!C261="","",計分!C261^2)</f>
        <v/>
      </c>
      <c r="D261">
        <f>IF(計分!D261="","",計分!D261^2)</f>
        <v/>
      </c>
      <c r="E261">
        <f>IF(計分!E261="","",計分!E261^2)</f>
        <v/>
      </c>
      <c r="F261">
        <f>IF(計分!F261="","",計分!F261^2)</f>
        <v/>
      </c>
      <c r="G261">
        <f>IF(計分!G261="","",計分!G261^2)</f>
        <v/>
      </c>
      <c r="H261">
        <f>IF(計分!H261="","",計分!H261^2)</f>
        <v/>
      </c>
      <c r="I261">
        <f>IF(計分!I261="","",計分!I261^2)</f>
        <v/>
      </c>
      <c r="J261">
        <f>IF(計分!J261="","",計分!J261^2)</f>
        <v/>
      </c>
      <c r="K261">
        <f>IF(計分!K261="","",計分!K261^2)</f>
        <v/>
      </c>
      <c r="L261">
        <f>IF(計分!L261="","",計分!L261^2)</f>
        <v/>
      </c>
      <c r="M261">
        <f>IF(計分!M261="","",計分!M261^2)</f>
        <v/>
      </c>
      <c r="N261">
        <f>IF(計分!N261="","",計分!N261^2)</f>
        <v/>
      </c>
      <c r="O261">
        <f>IF(計分!O261="","",計分!O261^2)</f>
        <v/>
      </c>
      <c r="P261">
        <f>IF(計分!P261="","",計分!P261^2)</f>
        <v/>
      </c>
      <c r="Q261">
        <f>IF(計分!Q261="","",計分!Q261^2)</f>
        <v/>
      </c>
      <c r="R261">
        <f>IF(計分!R261="","",計分!R261^2)</f>
        <v/>
      </c>
      <c r="S261">
        <f>IF(計分!S261="","",計分!S261^2)</f>
        <v/>
      </c>
      <c r="T261">
        <f>IF(計分!T261="","",計分!T261^2)</f>
        <v/>
      </c>
      <c r="U261">
        <f>IF(計分!U261="","",計分!U261^2)</f>
        <v/>
      </c>
      <c r="V261">
        <f>IF(計分!V261="","",計分!V261^2)</f>
        <v/>
      </c>
      <c r="W261">
        <f>IF(計分!W261="","",計分!W261^2)</f>
        <v/>
      </c>
      <c r="X261">
        <f>IF(計分!X261="","",計分!X261^2)</f>
        <v/>
      </c>
      <c r="Y261">
        <f>IF(計分!Y261="","",計分!Y261^2)</f>
        <v/>
      </c>
      <c r="Z261">
        <f>IF(計分!Z261="","",計分!Z261^2)</f>
        <v/>
      </c>
      <c r="AA261">
        <f>IF(計分!AA261="","",計分!AA261^2)</f>
        <v/>
      </c>
      <c r="AB261">
        <f>IF(計分!AB261="","",計分!AB261^2)</f>
        <v/>
      </c>
      <c r="AC261">
        <f>IF(計分!AC261="","",計分!AC261^2)</f>
        <v/>
      </c>
      <c r="AD261">
        <f>IF(計分!AD261="","",計分!AD261^2)</f>
        <v/>
      </c>
      <c r="AE261">
        <f>IF(計分!AE261="","",計分!AE261^2)</f>
        <v/>
      </c>
      <c r="AF261">
        <f>IF(計分!AF261="","",計分!AF261^2)</f>
        <v/>
      </c>
      <c r="AG261">
        <f>IF(計分!AG261="","",計分!AG261^2)</f>
        <v/>
      </c>
      <c r="AH261">
        <f>IF(計分!AH261="","",計分!AH261^2)</f>
        <v/>
      </c>
      <c r="AI261">
        <f>IF(計分!AI261="","",計分!AI261^2)</f>
        <v/>
      </c>
      <c r="AJ261">
        <f>IF(計分!AJ261="","",計分!AJ261^2)</f>
        <v/>
      </c>
      <c r="AK261">
        <f>IF(計分!AK261="","",計分!AK261^2)</f>
        <v/>
      </c>
      <c r="AL261">
        <f>IF(計分!AL261="","",計分!AL261^2)</f>
        <v/>
      </c>
      <c r="AM261">
        <f>IF(計分!AM261="","",計分!AM261^2)</f>
        <v/>
      </c>
      <c r="AN261">
        <f>IF(計分!AN261="","",計分!AN261^2)</f>
        <v/>
      </c>
      <c r="AO261">
        <f>IF(計分!AO261="","",計分!AO261^2)</f>
        <v/>
      </c>
    </row>
    <row r="262">
      <c r="B262">
        <f>IF(計分!B262="","",計分!B262^2)</f>
        <v/>
      </c>
      <c r="C262">
        <f>IF(計分!C262="","",計分!C262^2)</f>
        <v/>
      </c>
      <c r="D262">
        <f>IF(計分!D262="","",計分!D262^2)</f>
        <v/>
      </c>
      <c r="E262">
        <f>IF(計分!E262="","",計分!E262^2)</f>
        <v/>
      </c>
      <c r="F262">
        <f>IF(計分!F262="","",計分!F262^2)</f>
        <v/>
      </c>
      <c r="G262">
        <f>IF(計分!G262="","",計分!G262^2)</f>
        <v/>
      </c>
      <c r="H262">
        <f>IF(計分!H262="","",計分!H262^2)</f>
        <v/>
      </c>
      <c r="I262">
        <f>IF(計分!I262="","",計分!I262^2)</f>
        <v/>
      </c>
      <c r="J262">
        <f>IF(計分!J262="","",計分!J262^2)</f>
        <v/>
      </c>
      <c r="K262">
        <f>IF(計分!K262="","",計分!K262^2)</f>
        <v/>
      </c>
      <c r="L262">
        <f>IF(計分!L262="","",計分!L262^2)</f>
        <v/>
      </c>
      <c r="M262">
        <f>IF(計分!M262="","",計分!M262^2)</f>
        <v/>
      </c>
      <c r="N262">
        <f>IF(計分!N262="","",計分!N262^2)</f>
        <v/>
      </c>
      <c r="O262">
        <f>IF(計分!O262="","",計分!O262^2)</f>
        <v/>
      </c>
      <c r="P262">
        <f>IF(計分!P262="","",計分!P262^2)</f>
        <v/>
      </c>
      <c r="Q262">
        <f>IF(計分!Q262="","",計分!Q262^2)</f>
        <v/>
      </c>
      <c r="R262">
        <f>IF(計分!R262="","",計分!R262^2)</f>
        <v/>
      </c>
      <c r="S262">
        <f>IF(計分!S262="","",計分!S262^2)</f>
        <v/>
      </c>
      <c r="T262">
        <f>IF(計分!T262="","",計分!T262^2)</f>
        <v/>
      </c>
      <c r="U262">
        <f>IF(計分!U262="","",計分!U262^2)</f>
        <v/>
      </c>
      <c r="V262">
        <f>IF(計分!V262="","",計分!V262^2)</f>
        <v/>
      </c>
      <c r="W262">
        <f>IF(計分!W262="","",計分!W262^2)</f>
        <v/>
      </c>
      <c r="X262">
        <f>IF(計分!X262="","",計分!X262^2)</f>
        <v/>
      </c>
      <c r="Y262">
        <f>IF(計分!Y262="","",計分!Y262^2)</f>
        <v/>
      </c>
      <c r="Z262">
        <f>IF(計分!Z262="","",計分!Z262^2)</f>
        <v/>
      </c>
      <c r="AA262">
        <f>IF(計分!AA262="","",計分!AA262^2)</f>
        <v/>
      </c>
      <c r="AB262">
        <f>IF(計分!AB262="","",計分!AB262^2)</f>
        <v/>
      </c>
      <c r="AC262">
        <f>IF(計分!AC262="","",計分!AC262^2)</f>
        <v/>
      </c>
      <c r="AD262">
        <f>IF(計分!AD262="","",計分!AD262^2)</f>
        <v/>
      </c>
      <c r="AE262">
        <f>IF(計分!AE262="","",計分!AE262^2)</f>
        <v/>
      </c>
      <c r="AF262">
        <f>IF(計分!AF262="","",計分!AF262^2)</f>
        <v/>
      </c>
      <c r="AG262">
        <f>IF(計分!AG262="","",計分!AG262^2)</f>
        <v/>
      </c>
      <c r="AH262">
        <f>IF(計分!AH262="","",計分!AH262^2)</f>
        <v/>
      </c>
      <c r="AI262">
        <f>IF(計分!AI262="","",計分!AI262^2)</f>
        <v/>
      </c>
      <c r="AJ262">
        <f>IF(計分!AJ262="","",計分!AJ262^2)</f>
        <v/>
      </c>
      <c r="AK262">
        <f>IF(計分!AK262="","",計分!AK262^2)</f>
        <v/>
      </c>
      <c r="AL262">
        <f>IF(計分!AL262="","",計分!AL262^2)</f>
        <v/>
      </c>
      <c r="AM262">
        <f>IF(計分!AM262="","",計分!AM262^2)</f>
        <v/>
      </c>
      <c r="AN262">
        <f>IF(計分!AN262="","",計分!AN262^2)</f>
        <v/>
      </c>
      <c r="AO262">
        <f>IF(計分!AO262="","",計分!AO262^2)</f>
        <v/>
      </c>
    </row>
    <row r="263">
      <c r="B263">
        <f>IF(計分!B263="","",計分!B263^2)</f>
        <v/>
      </c>
      <c r="C263">
        <f>IF(計分!C263="","",計分!C263^2)</f>
        <v/>
      </c>
      <c r="D263">
        <f>IF(計分!D263="","",計分!D263^2)</f>
        <v/>
      </c>
      <c r="E263">
        <f>IF(計分!E263="","",計分!E263^2)</f>
        <v/>
      </c>
      <c r="F263">
        <f>IF(計分!F263="","",計分!F263^2)</f>
        <v/>
      </c>
      <c r="G263">
        <f>IF(計分!G263="","",計分!G263^2)</f>
        <v/>
      </c>
      <c r="H263">
        <f>IF(計分!H263="","",計分!H263^2)</f>
        <v/>
      </c>
      <c r="I263">
        <f>IF(計分!I263="","",計分!I263^2)</f>
        <v/>
      </c>
      <c r="J263">
        <f>IF(計分!J263="","",計分!J263^2)</f>
        <v/>
      </c>
      <c r="K263">
        <f>IF(計分!K263="","",計分!K263^2)</f>
        <v/>
      </c>
      <c r="L263">
        <f>IF(計分!L263="","",計分!L263^2)</f>
        <v/>
      </c>
      <c r="M263">
        <f>IF(計分!M263="","",計分!M263^2)</f>
        <v/>
      </c>
      <c r="N263">
        <f>IF(計分!N263="","",計分!N263^2)</f>
        <v/>
      </c>
      <c r="O263">
        <f>IF(計分!O263="","",計分!O263^2)</f>
        <v/>
      </c>
      <c r="P263">
        <f>IF(計分!P263="","",計分!P263^2)</f>
        <v/>
      </c>
      <c r="Q263">
        <f>IF(計分!Q263="","",計分!Q263^2)</f>
        <v/>
      </c>
      <c r="R263">
        <f>IF(計分!R263="","",計分!R263^2)</f>
        <v/>
      </c>
      <c r="S263">
        <f>IF(計分!S263="","",計分!S263^2)</f>
        <v/>
      </c>
      <c r="T263">
        <f>IF(計分!T263="","",計分!T263^2)</f>
        <v/>
      </c>
      <c r="U263">
        <f>IF(計分!U263="","",計分!U263^2)</f>
        <v/>
      </c>
      <c r="V263">
        <f>IF(計分!V263="","",計分!V263^2)</f>
        <v/>
      </c>
      <c r="W263">
        <f>IF(計分!W263="","",計分!W263^2)</f>
        <v/>
      </c>
      <c r="X263">
        <f>IF(計分!X263="","",計分!X263^2)</f>
        <v/>
      </c>
      <c r="Y263">
        <f>IF(計分!Y263="","",計分!Y263^2)</f>
        <v/>
      </c>
      <c r="Z263">
        <f>IF(計分!Z263="","",計分!Z263^2)</f>
        <v/>
      </c>
      <c r="AA263">
        <f>IF(計分!AA263="","",計分!AA263^2)</f>
        <v/>
      </c>
      <c r="AB263">
        <f>IF(計分!AB263="","",計分!AB263^2)</f>
        <v/>
      </c>
      <c r="AC263">
        <f>IF(計分!AC263="","",計分!AC263^2)</f>
        <v/>
      </c>
      <c r="AD263">
        <f>IF(計分!AD263="","",計分!AD263^2)</f>
        <v/>
      </c>
      <c r="AE263">
        <f>IF(計分!AE263="","",計分!AE263^2)</f>
        <v/>
      </c>
      <c r="AF263">
        <f>IF(計分!AF263="","",計分!AF263^2)</f>
        <v/>
      </c>
      <c r="AG263">
        <f>IF(計分!AG263="","",計分!AG263^2)</f>
        <v/>
      </c>
      <c r="AH263">
        <f>IF(計分!AH263="","",計分!AH263^2)</f>
        <v/>
      </c>
      <c r="AI263">
        <f>IF(計分!AI263="","",計分!AI263^2)</f>
        <v/>
      </c>
      <c r="AJ263">
        <f>IF(計分!AJ263="","",計分!AJ263^2)</f>
        <v/>
      </c>
      <c r="AK263">
        <f>IF(計分!AK263="","",計分!AK263^2)</f>
        <v/>
      </c>
      <c r="AL263">
        <f>IF(計分!AL263="","",計分!AL263^2)</f>
        <v/>
      </c>
      <c r="AM263">
        <f>IF(計分!AM263="","",計分!AM263^2)</f>
        <v/>
      </c>
      <c r="AN263">
        <f>IF(計分!AN263="","",計分!AN263^2)</f>
        <v/>
      </c>
      <c r="AO263">
        <f>IF(計分!AO263="","",計分!AO263^2)</f>
        <v/>
      </c>
    </row>
    <row r="264">
      <c r="B264">
        <f>IF(計分!B264="","",計分!B264^2)</f>
        <v/>
      </c>
      <c r="C264">
        <f>IF(計分!C264="","",計分!C264^2)</f>
        <v/>
      </c>
      <c r="D264">
        <f>IF(計分!D264="","",計分!D264^2)</f>
        <v/>
      </c>
      <c r="E264">
        <f>IF(計分!E264="","",計分!E264^2)</f>
        <v/>
      </c>
      <c r="F264">
        <f>IF(計分!F264="","",計分!F264^2)</f>
        <v/>
      </c>
      <c r="G264">
        <f>IF(計分!G264="","",計分!G264^2)</f>
        <v/>
      </c>
      <c r="H264">
        <f>IF(計分!H264="","",計分!H264^2)</f>
        <v/>
      </c>
      <c r="I264">
        <f>IF(計分!I264="","",計分!I264^2)</f>
        <v/>
      </c>
      <c r="J264">
        <f>IF(計分!J264="","",計分!J264^2)</f>
        <v/>
      </c>
      <c r="K264">
        <f>IF(計分!K264="","",計分!K264^2)</f>
        <v/>
      </c>
      <c r="L264">
        <f>IF(計分!L264="","",計分!L264^2)</f>
        <v/>
      </c>
      <c r="M264">
        <f>IF(計分!M264="","",計分!M264^2)</f>
        <v/>
      </c>
      <c r="N264">
        <f>IF(計分!N264="","",計分!N264^2)</f>
        <v/>
      </c>
      <c r="O264">
        <f>IF(計分!O264="","",計分!O264^2)</f>
        <v/>
      </c>
      <c r="P264">
        <f>IF(計分!P264="","",計分!P264^2)</f>
        <v/>
      </c>
      <c r="Q264">
        <f>IF(計分!Q264="","",計分!Q264^2)</f>
        <v/>
      </c>
      <c r="R264">
        <f>IF(計分!R264="","",計分!R264^2)</f>
        <v/>
      </c>
      <c r="S264">
        <f>IF(計分!S264="","",計分!S264^2)</f>
        <v/>
      </c>
      <c r="T264">
        <f>IF(計分!T264="","",計分!T264^2)</f>
        <v/>
      </c>
      <c r="U264">
        <f>IF(計分!U264="","",計分!U264^2)</f>
        <v/>
      </c>
      <c r="V264">
        <f>IF(計分!V264="","",計分!V264^2)</f>
        <v/>
      </c>
      <c r="W264">
        <f>IF(計分!W264="","",計分!W264^2)</f>
        <v/>
      </c>
      <c r="X264">
        <f>IF(計分!X264="","",計分!X264^2)</f>
        <v/>
      </c>
      <c r="Y264">
        <f>IF(計分!Y264="","",計分!Y264^2)</f>
        <v/>
      </c>
      <c r="Z264">
        <f>IF(計分!Z264="","",計分!Z264^2)</f>
        <v/>
      </c>
      <c r="AA264">
        <f>IF(計分!AA264="","",計分!AA264^2)</f>
        <v/>
      </c>
      <c r="AB264">
        <f>IF(計分!AB264="","",計分!AB264^2)</f>
        <v/>
      </c>
      <c r="AC264">
        <f>IF(計分!AC264="","",計分!AC264^2)</f>
        <v/>
      </c>
      <c r="AD264">
        <f>IF(計分!AD264="","",計分!AD264^2)</f>
        <v/>
      </c>
      <c r="AE264">
        <f>IF(計分!AE264="","",計分!AE264^2)</f>
        <v/>
      </c>
      <c r="AF264">
        <f>IF(計分!AF264="","",計分!AF264^2)</f>
        <v/>
      </c>
      <c r="AG264">
        <f>IF(計分!AG264="","",計分!AG264^2)</f>
        <v/>
      </c>
      <c r="AH264">
        <f>IF(計分!AH264="","",計分!AH264^2)</f>
        <v/>
      </c>
      <c r="AI264">
        <f>IF(計分!AI264="","",計分!AI264^2)</f>
        <v/>
      </c>
      <c r="AJ264">
        <f>IF(計分!AJ264="","",計分!AJ264^2)</f>
        <v/>
      </c>
      <c r="AK264">
        <f>IF(計分!AK264="","",計分!AK264^2)</f>
        <v/>
      </c>
      <c r="AL264">
        <f>IF(計分!AL264="","",計分!AL264^2)</f>
        <v/>
      </c>
      <c r="AM264">
        <f>IF(計分!AM264="","",計分!AM264^2)</f>
        <v/>
      </c>
      <c r="AN264">
        <f>IF(計分!AN264="","",計分!AN264^2)</f>
        <v/>
      </c>
      <c r="AO264">
        <f>IF(計分!AO264="","",計分!AO264^2)</f>
        <v/>
      </c>
    </row>
    <row r="265">
      <c r="B265">
        <f>IF(計分!B265="","",計分!B265^2)</f>
        <v/>
      </c>
      <c r="C265">
        <f>IF(計分!C265="","",計分!C265^2)</f>
        <v/>
      </c>
      <c r="D265">
        <f>IF(計分!D265="","",計分!D265^2)</f>
        <v/>
      </c>
      <c r="E265">
        <f>IF(計分!E265="","",計分!E265^2)</f>
        <v/>
      </c>
      <c r="F265">
        <f>IF(計分!F265="","",計分!F265^2)</f>
        <v/>
      </c>
      <c r="G265">
        <f>IF(計分!G265="","",計分!G265^2)</f>
        <v/>
      </c>
      <c r="H265">
        <f>IF(計分!H265="","",計分!H265^2)</f>
        <v/>
      </c>
      <c r="I265">
        <f>IF(計分!I265="","",計分!I265^2)</f>
        <v/>
      </c>
      <c r="J265">
        <f>IF(計分!J265="","",計分!J265^2)</f>
        <v/>
      </c>
      <c r="K265">
        <f>IF(計分!K265="","",計分!K265^2)</f>
        <v/>
      </c>
      <c r="L265">
        <f>IF(計分!L265="","",計分!L265^2)</f>
        <v/>
      </c>
      <c r="M265">
        <f>IF(計分!M265="","",計分!M265^2)</f>
        <v/>
      </c>
      <c r="N265">
        <f>IF(計分!N265="","",計分!N265^2)</f>
        <v/>
      </c>
      <c r="O265">
        <f>IF(計分!O265="","",計分!O265^2)</f>
        <v/>
      </c>
      <c r="P265">
        <f>IF(計分!P265="","",計分!P265^2)</f>
        <v/>
      </c>
      <c r="Q265">
        <f>IF(計分!Q265="","",計分!Q265^2)</f>
        <v/>
      </c>
      <c r="R265">
        <f>IF(計分!R265="","",計分!R265^2)</f>
        <v/>
      </c>
      <c r="S265">
        <f>IF(計分!S265="","",計分!S265^2)</f>
        <v/>
      </c>
      <c r="T265">
        <f>IF(計分!T265="","",計分!T265^2)</f>
        <v/>
      </c>
      <c r="U265">
        <f>IF(計分!U265="","",計分!U265^2)</f>
        <v/>
      </c>
      <c r="V265">
        <f>IF(計分!V265="","",計分!V265^2)</f>
        <v/>
      </c>
      <c r="W265">
        <f>IF(計分!W265="","",計分!W265^2)</f>
        <v/>
      </c>
      <c r="X265">
        <f>IF(計分!X265="","",計分!X265^2)</f>
        <v/>
      </c>
      <c r="Y265">
        <f>IF(計分!Y265="","",計分!Y265^2)</f>
        <v/>
      </c>
      <c r="Z265">
        <f>IF(計分!Z265="","",計分!Z265^2)</f>
        <v/>
      </c>
      <c r="AA265">
        <f>IF(計分!AA265="","",計分!AA265^2)</f>
        <v/>
      </c>
      <c r="AB265">
        <f>IF(計分!AB265="","",計分!AB265^2)</f>
        <v/>
      </c>
      <c r="AC265">
        <f>IF(計分!AC265="","",計分!AC265^2)</f>
        <v/>
      </c>
      <c r="AD265">
        <f>IF(計分!AD265="","",計分!AD265^2)</f>
        <v/>
      </c>
      <c r="AE265">
        <f>IF(計分!AE265="","",計分!AE265^2)</f>
        <v/>
      </c>
      <c r="AF265">
        <f>IF(計分!AF265="","",計分!AF265^2)</f>
        <v/>
      </c>
      <c r="AG265">
        <f>IF(計分!AG265="","",計分!AG265^2)</f>
        <v/>
      </c>
      <c r="AH265">
        <f>IF(計分!AH265="","",計分!AH265^2)</f>
        <v/>
      </c>
      <c r="AI265">
        <f>IF(計分!AI265="","",計分!AI265^2)</f>
        <v/>
      </c>
      <c r="AJ265">
        <f>IF(計分!AJ265="","",計分!AJ265^2)</f>
        <v/>
      </c>
      <c r="AK265">
        <f>IF(計分!AK265="","",計分!AK265^2)</f>
        <v/>
      </c>
      <c r="AL265">
        <f>IF(計分!AL265="","",計分!AL265^2)</f>
        <v/>
      </c>
      <c r="AM265">
        <f>IF(計分!AM265="","",計分!AM265^2)</f>
        <v/>
      </c>
      <c r="AN265">
        <f>IF(計分!AN265="","",計分!AN265^2)</f>
        <v/>
      </c>
      <c r="AO265">
        <f>IF(計分!AO265="","",計分!AO265^2)</f>
        <v/>
      </c>
    </row>
    <row r="266">
      <c r="B266">
        <f>IF(計分!B266="","",計分!B266^2)</f>
        <v/>
      </c>
      <c r="C266">
        <f>IF(計分!C266="","",計分!C266^2)</f>
        <v/>
      </c>
      <c r="D266">
        <f>IF(計分!D266="","",計分!D266^2)</f>
        <v/>
      </c>
      <c r="E266">
        <f>IF(計分!E266="","",計分!E266^2)</f>
        <v/>
      </c>
      <c r="F266">
        <f>IF(計分!F266="","",計分!F266^2)</f>
        <v/>
      </c>
      <c r="G266">
        <f>IF(計分!G266="","",計分!G266^2)</f>
        <v/>
      </c>
      <c r="H266">
        <f>IF(計分!H266="","",計分!H266^2)</f>
        <v/>
      </c>
      <c r="I266">
        <f>IF(計分!I266="","",計分!I266^2)</f>
        <v/>
      </c>
      <c r="J266">
        <f>IF(計分!J266="","",計分!J266^2)</f>
        <v/>
      </c>
      <c r="K266">
        <f>IF(計分!K266="","",計分!K266^2)</f>
        <v/>
      </c>
      <c r="L266">
        <f>IF(計分!L266="","",計分!L266^2)</f>
        <v/>
      </c>
      <c r="M266">
        <f>IF(計分!M266="","",計分!M266^2)</f>
        <v/>
      </c>
      <c r="N266">
        <f>IF(計分!N266="","",計分!N266^2)</f>
        <v/>
      </c>
      <c r="O266">
        <f>IF(計分!O266="","",計分!O266^2)</f>
        <v/>
      </c>
      <c r="P266">
        <f>IF(計分!P266="","",計分!P266^2)</f>
        <v/>
      </c>
      <c r="Q266">
        <f>IF(計分!Q266="","",計分!Q266^2)</f>
        <v/>
      </c>
      <c r="R266">
        <f>IF(計分!R266="","",計分!R266^2)</f>
        <v/>
      </c>
      <c r="S266">
        <f>IF(計分!S266="","",計分!S266^2)</f>
        <v/>
      </c>
      <c r="T266">
        <f>IF(計分!T266="","",計分!T266^2)</f>
        <v/>
      </c>
      <c r="U266">
        <f>IF(計分!U266="","",計分!U266^2)</f>
        <v/>
      </c>
      <c r="V266">
        <f>IF(計分!V266="","",計分!V266^2)</f>
        <v/>
      </c>
      <c r="W266">
        <f>IF(計分!W266="","",計分!W266^2)</f>
        <v/>
      </c>
      <c r="X266">
        <f>IF(計分!X266="","",計分!X266^2)</f>
        <v/>
      </c>
      <c r="Y266">
        <f>IF(計分!Y266="","",計分!Y266^2)</f>
        <v/>
      </c>
      <c r="Z266">
        <f>IF(計分!Z266="","",計分!Z266^2)</f>
        <v/>
      </c>
      <c r="AA266">
        <f>IF(計分!AA266="","",計分!AA266^2)</f>
        <v/>
      </c>
      <c r="AB266">
        <f>IF(計分!AB266="","",計分!AB266^2)</f>
        <v/>
      </c>
      <c r="AC266">
        <f>IF(計分!AC266="","",計分!AC266^2)</f>
        <v/>
      </c>
      <c r="AD266">
        <f>IF(計分!AD266="","",計分!AD266^2)</f>
        <v/>
      </c>
      <c r="AE266">
        <f>IF(計分!AE266="","",計分!AE266^2)</f>
        <v/>
      </c>
      <c r="AF266">
        <f>IF(計分!AF266="","",計分!AF266^2)</f>
        <v/>
      </c>
      <c r="AG266">
        <f>IF(計分!AG266="","",計分!AG266^2)</f>
        <v/>
      </c>
      <c r="AH266">
        <f>IF(計分!AH266="","",計分!AH266^2)</f>
        <v/>
      </c>
      <c r="AI266">
        <f>IF(計分!AI266="","",計分!AI266^2)</f>
        <v/>
      </c>
      <c r="AJ266">
        <f>IF(計分!AJ266="","",計分!AJ266^2)</f>
        <v/>
      </c>
      <c r="AK266">
        <f>IF(計分!AK266="","",計分!AK266^2)</f>
        <v/>
      </c>
      <c r="AL266">
        <f>IF(計分!AL266="","",計分!AL266^2)</f>
        <v/>
      </c>
      <c r="AM266">
        <f>IF(計分!AM266="","",計分!AM266^2)</f>
        <v/>
      </c>
      <c r="AN266">
        <f>IF(計分!AN266="","",計分!AN266^2)</f>
        <v/>
      </c>
      <c r="AO266">
        <f>IF(計分!AO266="","",計分!AO266^2)</f>
        <v/>
      </c>
    </row>
    <row r="267">
      <c r="B267">
        <f>IF(計分!B267="","",計分!B267^2)</f>
        <v/>
      </c>
      <c r="C267">
        <f>IF(計分!C267="","",計分!C267^2)</f>
        <v/>
      </c>
      <c r="D267">
        <f>IF(計分!D267="","",計分!D267^2)</f>
        <v/>
      </c>
      <c r="E267">
        <f>IF(計分!E267="","",計分!E267^2)</f>
        <v/>
      </c>
      <c r="F267">
        <f>IF(計分!F267="","",計分!F267^2)</f>
        <v/>
      </c>
      <c r="G267">
        <f>IF(計分!G267="","",計分!G267^2)</f>
        <v/>
      </c>
      <c r="H267">
        <f>IF(計分!H267="","",計分!H267^2)</f>
        <v/>
      </c>
      <c r="I267">
        <f>IF(計分!I267="","",計分!I267^2)</f>
        <v/>
      </c>
      <c r="J267">
        <f>IF(計分!J267="","",計分!J267^2)</f>
        <v/>
      </c>
      <c r="K267">
        <f>IF(計分!K267="","",計分!K267^2)</f>
        <v/>
      </c>
      <c r="L267">
        <f>IF(計分!L267="","",計分!L267^2)</f>
        <v/>
      </c>
      <c r="M267">
        <f>IF(計分!M267="","",計分!M267^2)</f>
        <v/>
      </c>
      <c r="N267">
        <f>IF(計分!N267="","",計分!N267^2)</f>
        <v/>
      </c>
      <c r="O267">
        <f>IF(計分!O267="","",計分!O267^2)</f>
        <v/>
      </c>
      <c r="P267">
        <f>IF(計分!P267="","",計分!P267^2)</f>
        <v/>
      </c>
      <c r="Q267">
        <f>IF(計分!Q267="","",計分!Q267^2)</f>
        <v/>
      </c>
      <c r="R267">
        <f>IF(計分!R267="","",計分!R267^2)</f>
        <v/>
      </c>
      <c r="S267">
        <f>IF(計分!S267="","",計分!S267^2)</f>
        <v/>
      </c>
      <c r="T267">
        <f>IF(計分!T267="","",計分!T267^2)</f>
        <v/>
      </c>
      <c r="U267">
        <f>IF(計分!U267="","",計分!U267^2)</f>
        <v/>
      </c>
      <c r="V267">
        <f>IF(計分!V267="","",計分!V267^2)</f>
        <v/>
      </c>
      <c r="W267">
        <f>IF(計分!W267="","",計分!W267^2)</f>
        <v/>
      </c>
      <c r="X267">
        <f>IF(計分!X267="","",計分!X267^2)</f>
        <v/>
      </c>
      <c r="Y267">
        <f>IF(計分!Y267="","",計分!Y267^2)</f>
        <v/>
      </c>
      <c r="Z267">
        <f>IF(計分!Z267="","",計分!Z267^2)</f>
        <v/>
      </c>
      <c r="AA267">
        <f>IF(計分!AA267="","",計分!AA267^2)</f>
        <v/>
      </c>
      <c r="AB267">
        <f>IF(計分!AB267="","",計分!AB267^2)</f>
        <v/>
      </c>
      <c r="AC267">
        <f>IF(計分!AC267="","",計分!AC267^2)</f>
        <v/>
      </c>
      <c r="AD267">
        <f>IF(計分!AD267="","",計分!AD267^2)</f>
        <v/>
      </c>
      <c r="AE267">
        <f>IF(計分!AE267="","",計分!AE267^2)</f>
        <v/>
      </c>
      <c r="AF267">
        <f>IF(計分!AF267="","",計分!AF267^2)</f>
        <v/>
      </c>
      <c r="AG267">
        <f>IF(計分!AG267="","",計分!AG267^2)</f>
        <v/>
      </c>
      <c r="AH267">
        <f>IF(計分!AH267="","",計分!AH267^2)</f>
        <v/>
      </c>
      <c r="AI267">
        <f>IF(計分!AI267="","",計分!AI267^2)</f>
        <v/>
      </c>
      <c r="AJ267">
        <f>IF(計分!AJ267="","",計分!AJ267^2)</f>
        <v/>
      </c>
      <c r="AK267">
        <f>IF(計分!AK267="","",計分!AK267^2)</f>
        <v/>
      </c>
      <c r="AL267">
        <f>IF(計分!AL267="","",計分!AL267^2)</f>
        <v/>
      </c>
      <c r="AM267">
        <f>IF(計分!AM267="","",計分!AM267^2)</f>
        <v/>
      </c>
      <c r="AN267">
        <f>IF(計分!AN267="","",計分!AN267^2)</f>
        <v/>
      </c>
      <c r="AO267">
        <f>IF(計分!AO267="","",計分!AO267^2)</f>
        <v/>
      </c>
    </row>
    <row r="268">
      <c r="B268">
        <f>IF(計分!B268="","",計分!B268^2)</f>
        <v/>
      </c>
      <c r="C268">
        <f>IF(計分!C268="","",計分!C268^2)</f>
        <v/>
      </c>
      <c r="D268">
        <f>IF(計分!D268="","",計分!D268^2)</f>
        <v/>
      </c>
      <c r="E268">
        <f>IF(計分!E268="","",計分!E268^2)</f>
        <v/>
      </c>
      <c r="F268">
        <f>IF(計分!F268="","",計分!F268^2)</f>
        <v/>
      </c>
      <c r="G268">
        <f>IF(計分!G268="","",計分!G268^2)</f>
        <v/>
      </c>
      <c r="H268">
        <f>IF(計分!H268="","",計分!H268^2)</f>
        <v/>
      </c>
      <c r="I268">
        <f>IF(計分!I268="","",計分!I268^2)</f>
        <v/>
      </c>
      <c r="J268">
        <f>IF(計分!J268="","",計分!J268^2)</f>
        <v/>
      </c>
      <c r="K268">
        <f>IF(計分!K268="","",計分!K268^2)</f>
        <v/>
      </c>
      <c r="L268">
        <f>IF(計分!L268="","",計分!L268^2)</f>
        <v/>
      </c>
      <c r="M268">
        <f>IF(計分!M268="","",計分!M268^2)</f>
        <v/>
      </c>
      <c r="N268">
        <f>IF(計分!N268="","",計分!N268^2)</f>
        <v/>
      </c>
      <c r="O268">
        <f>IF(計分!O268="","",計分!O268^2)</f>
        <v/>
      </c>
      <c r="P268">
        <f>IF(計分!P268="","",計分!P268^2)</f>
        <v/>
      </c>
      <c r="Q268">
        <f>IF(計分!Q268="","",計分!Q268^2)</f>
        <v/>
      </c>
      <c r="R268">
        <f>IF(計分!R268="","",計分!R268^2)</f>
        <v/>
      </c>
      <c r="S268">
        <f>IF(計分!S268="","",計分!S268^2)</f>
        <v/>
      </c>
      <c r="T268">
        <f>IF(計分!T268="","",計分!T268^2)</f>
        <v/>
      </c>
      <c r="U268">
        <f>IF(計分!U268="","",計分!U268^2)</f>
        <v/>
      </c>
      <c r="V268">
        <f>IF(計分!V268="","",計分!V268^2)</f>
        <v/>
      </c>
      <c r="W268">
        <f>IF(計分!W268="","",計分!W268^2)</f>
        <v/>
      </c>
      <c r="X268">
        <f>IF(計分!X268="","",計分!X268^2)</f>
        <v/>
      </c>
      <c r="Y268">
        <f>IF(計分!Y268="","",計分!Y268^2)</f>
        <v/>
      </c>
      <c r="Z268">
        <f>IF(計分!Z268="","",計分!Z268^2)</f>
        <v/>
      </c>
      <c r="AA268">
        <f>IF(計分!AA268="","",計分!AA268^2)</f>
        <v/>
      </c>
      <c r="AB268">
        <f>IF(計分!AB268="","",計分!AB268^2)</f>
        <v/>
      </c>
      <c r="AC268">
        <f>IF(計分!AC268="","",計分!AC268^2)</f>
        <v/>
      </c>
      <c r="AD268">
        <f>IF(計分!AD268="","",計分!AD268^2)</f>
        <v/>
      </c>
      <c r="AE268">
        <f>IF(計分!AE268="","",計分!AE268^2)</f>
        <v/>
      </c>
      <c r="AF268">
        <f>IF(計分!AF268="","",計分!AF268^2)</f>
        <v/>
      </c>
      <c r="AG268">
        <f>IF(計分!AG268="","",計分!AG268^2)</f>
        <v/>
      </c>
      <c r="AH268">
        <f>IF(計分!AH268="","",計分!AH268^2)</f>
        <v/>
      </c>
      <c r="AI268">
        <f>IF(計分!AI268="","",計分!AI268^2)</f>
        <v/>
      </c>
      <c r="AJ268">
        <f>IF(計分!AJ268="","",計分!AJ268^2)</f>
        <v/>
      </c>
      <c r="AK268">
        <f>IF(計分!AK268="","",計分!AK268^2)</f>
        <v/>
      </c>
      <c r="AL268">
        <f>IF(計分!AL268="","",計分!AL268^2)</f>
        <v/>
      </c>
      <c r="AM268">
        <f>IF(計分!AM268="","",計分!AM268^2)</f>
        <v/>
      </c>
      <c r="AN268">
        <f>IF(計分!AN268="","",計分!AN268^2)</f>
        <v/>
      </c>
      <c r="AO268">
        <f>IF(計分!AO268="","",計分!AO268^2)</f>
        <v/>
      </c>
    </row>
    <row r="269">
      <c r="B269">
        <f>IF(計分!B269="","",計分!B269^2)</f>
        <v/>
      </c>
      <c r="C269">
        <f>IF(計分!C269="","",計分!C269^2)</f>
        <v/>
      </c>
      <c r="D269">
        <f>IF(計分!D269="","",計分!D269^2)</f>
        <v/>
      </c>
      <c r="E269">
        <f>IF(計分!E269="","",計分!E269^2)</f>
        <v/>
      </c>
      <c r="F269">
        <f>IF(計分!F269="","",計分!F269^2)</f>
        <v/>
      </c>
      <c r="G269">
        <f>IF(計分!G269="","",計分!G269^2)</f>
        <v/>
      </c>
      <c r="H269">
        <f>IF(計分!H269="","",計分!H269^2)</f>
        <v/>
      </c>
      <c r="I269">
        <f>IF(計分!I269="","",計分!I269^2)</f>
        <v/>
      </c>
      <c r="J269">
        <f>IF(計分!J269="","",計分!J269^2)</f>
        <v/>
      </c>
      <c r="K269">
        <f>IF(計分!K269="","",計分!K269^2)</f>
        <v/>
      </c>
      <c r="L269">
        <f>IF(計分!L269="","",計分!L269^2)</f>
        <v/>
      </c>
      <c r="M269">
        <f>IF(計分!M269="","",計分!M269^2)</f>
        <v/>
      </c>
      <c r="N269">
        <f>IF(計分!N269="","",計分!N269^2)</f>
        <v/>
      </c>
      <c r="O269">
        <f>IF(計分!O269="","",計分!O269^2)</f>
        <v/>
      </c>
      <c r="P269">
        <f>IF(計分!P269="","",計分!P269^2)</f>
        <v/>
      </c>
      <c r="Q269">
        <f>IF(計分!Q269="","",計分!Q269^2)</f>
        <v/>
      </c>
      <c r="R269">
        <f>IF(計分!R269="","",計分!R269^2)</f>
        <v/>
      </c>
      <c r="S269">
        <f>IF(計分!S269="","",計分!S269^2)</f>
        <v/>
      </c>
      <c r="T269">
        <f>IF(計分!T269="","",計分!T269^2)</f>
        <v/>
      </c>
      <c r="U269">
        <f>IF(計分!U269="","",計分!U269^2)</f>
        <v/>
      </c>
      <c r="V269">
        <f>IF(計分!V269="","",計分!V269^2)</f>
        <v/>
      </c>
      <c r="W269">
        <f>IF(計分!W269="","",計分!W269^2)</f>
        <v/>
      </c>
      <c r="X269">
        <f>IF(計分!X269="","",計分!X269^2)</f>
        <v/>
      </c>
      <c r="Y269">
        <f>IF(計分!Y269="","",計分!Y269^2)</f>
        <v/>
      </c>
      <c r="Z269">
        <f>IF(計分!Z269="","",計分!Z269^2)</f>
        <v/>
      </c>
      <c r="AA269">
        <f>IF(計分!AA269="","",計分!AA269^2)</f>
        <v/>
      </c>
      <c r="AB269">
        <f>IF(計分!AB269="","",計分!AB269^2)</f>
        <v/>
      </c>
      <c r="AC269">
        <f>IF(計分!AC269="","",計分!AC269^2)</f>
        <v/>
      </c>
      <c r="AD269">
        <f>IF(計分!AD269="","",計分!AD269^2)</f>
        <v/>
      </c>
      <c r="AE269">
        <f>IF(計分!AE269="","",計分!AE269^2)</f>
        <v/>
      </c>
      <c r="AF269">
        <f>IF(計分!AF269="","",計分!AF269^2)</f>
        <v/>
      </c>
      <c r="AG269">
        <f>IF(計分!AG269="","",計分!AG269^2)</f>
        <v/>
      </c>
      <c r="AH269">
        <f>IF(計分!AH269="","",計分!AH269^2)</f>
        <v/>
      </c>
      <c r="AI269">
        <f>IF(計分!AI269="","",計分!AI269^2)</f>
        <v/>
      </c>
      <c r="AJ269">
        <f>IF(計分!AJ269="","",計分!AJ269^2)</f>
        <v/>
      </c>
      <c r="AK269">
        <f>IF(計分!AK269="","",計分!AK269^2)</f>
        <v/>
      </c>
      <c r="AL269">
        <f>IF(計分!AL269="","",計分!AL269^2)</f>
        <v/>
      </c>
      <c r="AM269">
        <f>IF(計分!AM269="","",計分!AM269^2)</f>
        <v/>
      </c>
      <c r="AN269">
        <f>IF(計分!AN269="","",計分!AN269^2)</f>
        <v/>
      </c>
      <c r="AO269">
        <f>IF(計分!AO269="","",計分!AO269^2)</f>
        <v/>
      </c>
    </row>
    <row r="270">
      <c r="B270">
        <f>IF(計分!B270="","",計分!B270^2)</f>
        <v/>
      </c>
      <c r="C270">
        <f>IF(計分!C270="","",計分!C270^2)</f>
        <v/>
      </c>
      <c r="D270">
        <f>IF(計分!D270="","",計分!D270^2)</f>
        <v/>
      </c>
      <c r="E270">
        <f>IF(計分!E270="","",計分!E270^2)</f>
        <v/>
      </c>
      <c r="F270">
        <f>IF(計分!F270="","",計分!F270^2)</f>
        <v/>
      </c>
      <c r="G270">
        <f>IF(計分!G270="","",計分!G270^2)</f>
        <v/>
      </c>
      <c r="H270">
        <f>IF(計分!H270="","",計分!H270^2)</f>
        <v/>
      </c>
      <c r="I270">
        <f>IF(計分!I270="","",計分!I270^2)</f>
        <v/>
      </c>
      <c r="J270">
        <f>IF(計分!J270="","",計分!J270^2)</f>
        <v/>
      </c>
      <c r="K270">
        <f>IF(計分!K270="","",計分!K270^2)</f>
        <v/>
      </c>
      <c r="L270">
        <f>IF(計分!L270="","",計分!L270^2)</f>
        <v/>
      </c>
      <c r="M270">
        <f>IF(計分!M270="","",計分!M270^2)</f>
        <v/>
      </c>
      <c r="N270">
        <f>IF(計分!N270="","",計分!N270^2)</f>
        <v/>
      </c>
      <c r="O270">
        <f>IF(計分!O270="","",計分!O270^2)</f>
        <v/>
      </c>
      <c r="P270">
        <f>IF(計分!P270="","",計分!P270^2)</f>
        <v/>
      </c>
      <c r="Q270">
        <f>IF(計分!Q270="","",計分!Q270^2)</f>
        <v/>
      </c>
      <c r="R270">
        <f>IF(計分!R270="","",計分!R270^2)</f>
        <v/>
      </c>
      <c r="S270">
        <f>IF(計分!S270="","",計分!S270^2)</f>
        <v/>
      </c>
      <c r="T270">
        <f>IF(計分!T270="","",計分!T270^2)</f>
        <v/>
      </c>
      <c r="U270">
        <f>IF(計分!U270="","",計分!U270^2)</f>
        <v/>
      </c>
      <c r="V270">
        <f>IF(計分!V270="","",計分!V270^2)</f>
        <v/>
      </c>
      <c r="W270">
        <f>IF(計分!W270="","",計分!W270^2)</f>
        <v/>
      </c>
      <c r="X270">
        <f>IF(計分!X270="","",計分!X270^2)</f>
        <v/>
      </c>
      <c r="Y270">
        <f>IF(計分!Y270="","",計分!Y270^2)</f>
        <v/>
      </c>
      <c r="Z270">
        <f>IF(計分!Z270="","",計分!Z270^2)</f>
        <v/>
      </c>
      <c r="AA270">
        <f>IF(計分!AA270="","",計分!AA270^2)</f>
        <v/>
      </c>
      <c r="AB270">
        <f>IF(計分!AB270="","",計分!AB270^2)</f>
        <v/>
      </c>
      <c r="AC270">
        <f>IF(計分!AC270="","",計分!AC270^2)</f>
        <v/>
      </c>
      <c r="AD270">
        <f>IF(計分!AD270="","",計分!AD270^2)</f>
        <v/>
      </c>
      <c r="AE270">
        <f>IF(計分!AE270="","",計分!AE270^2)</f>
        <v/>
      </c>
      <c r="AF270">
        <f>IF(計分!AF270="","",計分!AF270^2)</f>
        <v/>
      </c>
      <c r="AG270">
        <f>IF(計分!AG270="","",計分!AG270^2)</f>
        <v/>
      </c>
      <c r="AH270">
        <f>IF(計分!AH270="","",計分!AH270^2)</f>
        <v/>
      </c>
      <c r="AI270">
        <f>IF(計分!AI270="","",計分!AI270^2)</f>
        <v/>
      </c>
      <c r="AJ270">
        <f>IF(計分!AJ270="","",計分!AJ270^2)</f>
        <v/>
      </c>
      <c r="AK270">
        <f>IF(計分!AK270="","",計分!AK270^2)</f>
        <v/>
      </c>
      <c r="AL270">
        <f>IF(計分!AL270="","",計分!AL270^2)</f>
        <v/>
      </c>
      <c r="AM270">
        <f>IF(計分!AM270="","",計分!AM270^2)</f>
        <v/>
      </c>
      <c r="AN270">
        <f>IF(計分!AN270="","",計分!AN270^2)</f>
        <v/>
      </c>
      <c r="AO270">
        <f>IF(計分!AO270="","",計分!AO270^2)</f>
        <v/>
      </c>
    </row>
    <row r="271">
      <c r="B271">
        <f>IF(計分!B271="","",計分!B271^2)</f>
        <v/>
      </c>
      <c r="C271">
        <f>IF(計分!C271="","",計分!C271^2)</f>
        <v/>
      </c>
      <c r="D271">
        <f>IF(計分!D271="","",計分!D271^2)</f>
        <v/>
      </c>
      <c r="E271">
        <f>IF(計分!E271="","",計分!E271^2)</f>
        <v/>
      </c>
      <c r="F271">
        <f>IF(計分!F271="","",計分!F271^2)</f>
        <v/>
      </c>
      <c r="G271">
        <f>IF(計分!G271="","",計分!G271^2)</f>
        <v/>
      </c>
      <c r="H271">
        <f>IF(計分!H271="","",計分!H271^2)</f>
        <v/>
      </c>
      <c r="I271">
        <f>IF(計分!I271="","",計分!I271^2)</f>
        <v/>
      </c>
      <c r="J271">
        <f>IF(計分!J271="","",計分!J271^2)</f>
        <v/>
      </c>
      <c r="K271">
        <f>IF(計分!K271="","",計分!K271^2)</f>
        <v/>
      </c>
      <c r="L271">
        <f>IF(計分!L271="","",計分!L271^2)</f>
        <v/>
      </c>
      <c r="M271">
        <f>IF(計分!M271="","",計分!M271^2)</f>
        <v/>
      </c>
      <c r="N271">
        <f>IF(計分!N271="","",計分!N271^2)</f>
        <v/>
      </c>
      <c r="O271">
        <f>IF(計分!O271="","",計分!O271^2)</f>
        <v/>
      </c>
      <c r="P271">
        <f>IF(計分!P271="","",計分!P271^2)</f>
        <v/>
      </c>
      <c r="Q271">
        <f>IF(計分!Q271="","",計分!Q271^2)</f>
        <v/>
      </c>
      <c r="R271">
        <f>IF(計分!R271="","",計分!R271^2)</f>
        <v/>
      </c>
      <c r="S271">
        <f>IF(計分!S271="","",計分!S271^2)</f>
        <v/>
      </c>
      <c r="T271">
        <f>IF(計分!T271="","",計分!T271^2)</f>
        <v/>
      </c>
      <c r="U271">
        <f>IF(計分!U271="","",計分!U271^2)</f>
        <v/>
      </c>
      <c r="V271">
        <f>IF(計分!V271="","",計分!V271^2)</f>
        <v/>
      </c>
      <c r="W271">
        <f>IF(計分!W271="","",計分!W271^2)</f>
        <v/>
      </c>
      <c r="X271">
        <f>IF(計分!X271="","",計分!X271^2)</f>
        <v/>
      </c>
      <c r="Y271">
        <f>IF(計分!Y271="","",計分!Y271^2)</f>
        <v/>
      </c>
      <c r="Z271">
        <f>IF(計分!Z271="","",計分!Z271^2)</f>
        <v/>
      </c>
      <c r="AA271">
        <f>IF(計分!AA271="","",計分!AA271^2)</f>
        <v/>
      </c>
      <c r="AB271">
        <f>IF(計分!AB271="","",計分!AB271^2)</f>
        <v/>
      </c>
      <c r="AC271">
        <f>IF(計分!AC271="","",計分!AC271^2)</f>
        <v/>
      </c>
      <c r="AD271">
        <f>IF(計分!AD271="","",計分!AD271^2)</f>
        <v/>
      </c>
      <c r="AE271">
        <f>IF(計分!AE271="","",計分!AE271^2)</f>
        <v/>
      </c>
      <c r="AF271">
        <f>IF(計分!AF271="","",計分!AF271^2)</f>
        <v/>
      </c>
      <c r="AG271">
        <f>IF(計分!AG271="","",計分!AG271^2)</f>
        <v/>
      </c>
      <c r="AH271">
        <f>IF(計分!AH271="","",計分!AH271^2)</f>
        <v/>
      </c>
      <c r="AI271">
        <f>IF(計分!AI271="","",計分!AI271^2)</f>
        <v/>
      </c>
      <c r="AJ271">
        <f>IF(計分!AJ271="","",計分!AJ271^2)</f>
        <v/>
      </c>
      <c r="AK271">
        <f>IF(計分!AK271="","",計分!AK271^2)</f>
        <v/>
      </c>
      <c r="AL271">
        <f>IF(計分!AL271="","",計分!AL271^2)</f>
        <v/>
      </c>
      <c r="AM271">
        <f>IF(計分!AM271="","",計分!AM271^2)</f>
        <v/>
      </c>
      <c r="AN271">
        <f>IF(計分!AN271="","",計分!AN271^2)</f>
        <v/>
      </c>
      <c r="AO271">
        <f>IF(計分!AO271="","",計分!AO271^2)</f>
        <v/>
      </c>
    </row>
    <row r="272">
      <c r="B272">
        <f>IF(計分!B272="","",計分!B272^2)</f>
        <v/>
      </c>
      <c r="C272">
        <f>IF(計分!C272="","",計分!C272^2)</f>
        <v/>
      </c>
      <c r="D272">
        <f>IF(計分!D272="","",計分!D272^2)</f>
        <v/>
      </c>
      <c r="E272">
        <f>IF(計分!E272="","",計分!E272^2)</f>
        <v/>
      </c>
      <c r="F272">
        <f>IF(計分!F272="","",計分!F272^2)</f>
        <v/>
      </c>
      <c r="G272">
        <f>IF(計分!G272="","",計分!G272^2)</f>
        <v/>
      </c>
      <c r="H272">
        <f>IF(計分!H272="","",計分!H272^2)</f>
        <v/>
      </c>
      <c r="I272">
        <f>IF(計分!I272="","",計分!I272^2)</f>
        <v/>
      </c>
      <c r="J272">
        <f>IF(計分!J272="","",計分!J272^2)</f>
        <v/>
      </c>
      <c r="K272">
        <f>IF(計分!K272="","",計分!K272^2)</f>
        <v/>
      </c>
      <c r="L272">
        <f>IF(計分!L272="","",計分!L272^2)</f>
        <v/>
      </c>
      <c r="M272">
        <f>IF(計分!M272="","",計分!M272^2)</f>
        <v/>
      </c>
      <c r="N272">
        <f>IF(計分!N272="","",計分!N272^2)</f>
        <v/>
      </c>
      <c r="O272">
        <f>IF(計分!O272="","",計分!O272^2)</f>
        <v/>
      </c>
      <c r="P272">
        <f>IF(計分!P272="","",計分!P272^2)</f>
        <v/>
      </c>
      <c r="Q272">
        <f>IF(計分!Q272="","",計分!Q272^2)</f>
        <v/>
      </c>
      <c r="R272">
        <f>IF(計分!R272="","",計分!R272^2)</f>
        <v/>
      </c>
      <c r="S272">
        <f>IF(計分!S272="","",計分!S272^2)</f>
        <v/>
      </c>
      <c r="T272">
        <f>IF(計分!T272="","",計分!T272^2)</f>
        <v/>
      </c>
      <c r="U272">
        <f>IF(計分!U272="","",計分!U272^2)</f>
        <v/>
      </c>
      <c r="V272">
        <f>IF(計分!V272="","",計分!V272^2)</f>
        <v/>
      </c>
      <c r="W272">
        <f>IF(計分!W272="","",計分!W272^2)</f>
        <v/>
      </c>
      <c r="X272">
        <f>IF(計分!X272="","",計分!X272^2)</f>
        <v/>
      </c>
      <c r="Y272">
        <f>IF(計分!Y272="","",計分!Y272^2)</f>
        <v/>
      </c>
      <c r="Z272">
        <f>IF(計分!Z272="","",計分!Z272^2)</f>
        <v/>
      </c>
      <c r="AA272">
        <f>IF(計分!AA272="","",計分!AA272^2)</f>
        <v/>
      </c>
      <c r="AB272">
        <f>IF(計分!AB272="","",計分!AB272^2)</f>
        <v/>
      </c>
      <c r="AC272">
        <f>IF(計分!AC272="","",計分!AC272^2)</f>
        <v/>
      </c>
      <c r="AD272">
        <f>IF(計分!AD272="","",計分!AD272^2)</f>
        <v/>
      </c>
      <c r="AE272">
        <f>IF(計分!AE272="","",計分!AE272^2)</f>
        <v/>
      </c>
      <c r="AF272">
        <f>IF(計分!AF272="","",計分!AF272^2)</f>
        <v/>
      </c>
      <c r="AG272">
        <f>IF(計分!AG272="","",計分!AG272^2)</f>
        <v/>
      </c>
      <c r="AH272">
        <f>IF(計分!AH272="","",計分!AH272^2)</f>
        <v/>
      </c>
      <c r="AI272">
        <f>IF(計分!AI272="","",計分!AI272^2)</f>
        <v/>
      </c>
      <c r="AJ272">
        <f>IF(計分!AJ272="","",計分!AJ272^2)</f>
        <v/>
      </c>
      <c r="AK272">
        <f>IF(計分!AK272="","",計分!AK272^2)</f>
        <v/>
      </c>
      <c r="AL272">
        <f>IF(計分!AL272="","",計分!AL272^2)</f>
        <v/>
      </c>
      <c r="AM272">
        <f>IF(計分!AM272="","",計分!AM272^2)</f>
        <v/>
      </c>
      <c r="AN272">
        <f>IF(計分!AN272="","",計分!AN272^2)</f>
        <v/>
      </c>
      <c r="AO272">
        <f>IF(計分!AO272="","",計分!AO272^2)</f>
        <v/>
      </c>
    </row>
    <row r="273">
      <c r="B273">
        <f>IF(計分!B273="","",計分!B273^2)</f>
        <v/>
      </c>
      <c r="C273">
        <f>IF(計分!C273="","",計分!C273^2)</f>
        <v/>
      </c>
      <c r="D273">
        <f>IF(計分!D273="","",計分!D273^2)</f>
        <v/>
      </c>
      <c r="E273">
        <f>IF(計分!E273="","",計分!E273^2)</f>
        <v/>
      </c>
      <c r="F273">
        <f>IF(計分!F273="","",計分!F273^2)</f>
        <v/>
      </c>
      <c r="G273">
        <f>IF(計分!G273="","",計分!G273^2)</f>
        <v/>
      </c>
      <c r="H273">
        <f>IF(計分!H273="","",計分!H273^2)</f>
        <v/>
      </c>
      <c r="I273">
        <f>IF(計分!I273="","",計分!I273^2)</f>
        <v/>
      </c>
      <c r="J273">
        <f>IF(計分!J273="","",計分!J273^2)</f>
        <v/>
      </c>
      <c r="K273">
        <f>IF(計分!K273="","",計分!K273^2)</f>
        <v/>
      </c>
      <c r="L273">
        <f>IF(計分!L273="","",計分!L273^2)</f>
        <v/>
      </c>
      <c r="M273">
        <f>IF(計分!M273="","",計分!M273^2)</f>
        <v/>
      </c>
      <c r="N273">
        <f>IF(計分!N273="","",計分!N273^2)</f>
        <v/>
      </c>
      <c r="O273">
        <f>IF(計分!O273="","",計分!O273^2)</f>
        <v/>
      </c>
      <c r="P273">
        <f>IF(計分!P273="","",計分!P273^2)</f>
        <v/>
      </c>
      <c r="Q273">
        <f>IF(計分!Q273="","",計分!Q273^2)</f>
        <v/>
      </c>
      <c r="R273">
        <f>IF(計分!R273="","",計分!R273^2)</f>
        <v/>
      </c>
      <c r="S273">
        <f>IF(計分!S273="","",計分!S273^2)</f>
        <v/>
      </c>
      <c r="T273">
        <f>IF(計分!T273="","",計分!T273^2)</f>
        <v/>
      </c>
      <c r="U273">
        <f>IF(計分!U273="","",計分!U273^2)</f>
        <v/>
      </c>
      <c r="V273">
        <f>IF(計分!V273="","",計分!V273^2)</f>
        <v/>
      </c>
      <c r="W273">
        <f>IF(計分!W273="","",計分!W273^2)</f>
        <v/>
      </c>
      <c r="X273">
        <f>IF(計分!X273="","",計分!X273^2)</f>
        <v/>
      </c>
      <c r="Y273">
        <f>IF(計分!Y273="","",計分!Y273^2)</f>
        <v/>
      </c>
      <c r="Z273">
        <f>IF(計分!Z273="","",計分!Z273^2)</f>
        <v/>
      </c>
      <c r="AA273">
        <f>IF(計分!AA273="","",計分!AA273^2)</f>
        <v/>
      </c>
      <c r="AB273">
        <f>IF(計分!AB273="","",計分!AB273^2)</f>
        <v/>
      </c>
      <c r="AC273">
        <f>IF(計分!AC273="","",計分!AC273^2)</f>
        <v/>
      </c>
      <c r="AD273">
        <f>IF(計分!AD273="","",計分!AD273^2)</f>
        <v/>
      </c>
      <c r="AE273">
        <f>IF(計分!AE273="","",計分!AE273^2)</f>
        <v/>
      </c>
      <c r="AF273">
        <f>IF(計分!AF273="","",計分!AF273^2)</f>
        <v/>
      </c>
      <c r="AG273">
        <f>IF(計分!AG273="","",計分!AG273^2)</f>
        <v/>
      </c>
      <c r="AH273">
        <f>IF(計分!AH273="","",計分!AH273^2)</f>
        <v/>
      </c>
      <c r="AI273">
        <f>IF(計分!AI273="","",計分!AI273^2)</f>
        <v/>
      </c>
      <c r="AJ273">
        <f>IF(計分!AJ273="","",計分!AJ273^2)</f>
        <v/>
      </c>
      <c r="AK273">
        <f>IF(計分!AK273="","",計分!AK273^2)</f>
        <v/>
      </c>
      <c r="AL273">
        <f>IF(計分!AL273="","",計分!AL273^2)</f>
        <v/>
      </c>
      <c r="AM273">
        <f>IF(計分!AM273="","",計分!AM273^2)</f>
        <v/>
      </c>
      <c r="AN273">
        <f>IF(計分!AN273="","",計分!AN273^2)</f>
        <v/>
      </c>
      <c r="AO273">
        <f>IF(計分!AO273="","",計分!AO273^2)</f>
        <v/>
      </c>
    </row>
    <row r="274">
      <c r="B274">
        <f>IF(計分!B274="","",計分!B274^2)</f>
        <v/>
      </c>
      <c r="C274">
        <f>IF(計分!C274="","",計分!C274^2)</f>
        <v/>
      </c>
      <c r="D274">
        <f>IF(計分!D274="","",計分!D274^2)</f>
        <v/>
      </c>
      <c r="E274">
        <f>IF(計分!E274="","",計分!E274^2)</f>
        <v/>
      </c>
      <c r="F274">
        <f>IF(計分!F274="","",計分!F274^2)</f>
        <v/>
      </c>
      <c r="G274">
        <f>IF(計分!G274="","",計分!G274^2)</f>
        <v/>
      </c>
      <c r="H274">
        <f>IF(計分!H274="","",計分!H274^2)</f>
        <v/>
      </c>
      <c r="I274">
        <f>IF(計分!I274="","",計分!I274^2)</f>
        <v/>
      </c>
      <c r="J274">
        <f>IF(計分!J274="","",計分!J274^2)</f>
        <v/>
      </c>
      <c r="K274">
        <f>IF(計分!K274="","",計分!K274^2)</f>
        <v/>
      </c>
      <c r="L274">
        <f>IF(計分!L274="","",計分!L274^2)</f>
        <v/>
      </c>
      <c r="M274">
        <f>IF(計分!M274="","",計分!M274^2)</f>
        <v/>
      </c>
      <c r="N274">
        <f>IF(計分!N274="","",計分!N274^2)</f>
        <v/>
      </c>
      <c r="O274">
        <f>IF(計分!O274="","",計分!O274^2)</f>
        <v/>
      </c>
      <c r="P274">
        <f>IF(計分!P274="","",計分!P274^2)</f>
        <v/>
      </c>
      <c r="Q274">
        <f>IF(計分!Q274="","",計分!Q274^2)</f>
        <v/>
      </c>
      <c r="R274">
        <f>IF(計分!R274="","",計分!R274^2)</f>
        <v/>
      </c>
      <c r="S274">
        <f>IF(計分!S274="","",計分!S274^2)</f>
        <v/>
      </c>
      <c r="T274">
        <f>IF(計分!T274="","",計分!T274^2)</f>
        <v/>
      </c>
      <c r="U274">
        <f>IF(計分!U274="","",計分!U274^2)</f>
        <v/>
      </c>
      <c r="V274">
        <f>IF(計分!V274="","",計分!V274^2)</f>
        <v/>
      </c>
      <c r="W274">
        <f>IF(計分!W274="","",計分!W274^2)</f>
        <v/>
      </c>
      <c r="X274">
        <f>IF(計分!X274="","",計分!X274^2)</f>
        <v/>
      </c>
      <c r="Y274">
        <f>IF(計分!Y274="","",計分!Y274^2)</f>
        <v/>
      </c>
      <c r="Z274">
        <f>IF(計分!Z274="","",計分!Z274^2)</f>
        <v/>
      </c>
      <c r="AA274">
        <f>IF(計分!AA274="","",計分!AA274^2)</f>
        <v/>
      </c>
      <c r="AB274">
        <f>IF(計分!AB274="","",計分!AB274^2)</f>
        <v/>
      </c>
      <c r="AC274">
        <f>IF(計分!AC274="","",計分!AC274^2)</f>
        <v/>
      </c>
      <c r="AD274">
        <f>IF(計分!AD274="","",計分!AD274^2)</f>
        <v/>
      </c>
      <c r="AE274">
        <f>IF(計分!AE274="","",計分!AE274^2)</f>
        <v/>
      </c>
      <c r="AF274">
        <f>IF(計分!AF274="","",計分!AF274^2)</f>
        <v/>
      </c>
      <c r="AG274">
        <f>IF(計分!AG274="","",計分!AG274^2)</f>
        <v/>
      </c>
      <c r="AH274">
        <f>IF(計分!AH274="","",計分!AH274^2)</f>
        <v/>
      </c>
      <c r="AI274">
        <f>IF(計分!AI274="","",計分!AI274^2)</f>
        <v/>
      </c>
      <c r="AJ274">
        <f>IF(計分!AJ274="","",計分!AJ274^2)</f>
        <v/>
      </c>
      <c r="AK274">
        <f>IF(計分!AK274="","",計分!AK274^2)</f>
        <v/>
      </c>
      <c r="AL274">
        <f>IF(計分!AL274="","",計分!AL274^2)</f>
        <v/>
      </c>
      <c r="AM274">
        <f>IF(計分!AM274="","",計分!AM274^2)</f>
        <v/>
      </c>
      <c r="AN274">
        <f>IF(計分!AN274="","",計分!AN274^2)</f>
        <v/>
      </c>
      <c r="AO274">
        <f>IF(計分!AO274="","",計分!AO274^2)</f>
        <v/>
      </c>
    </row>
    <row r="275">
      <c r="B275">
        <f>IF(計分!B275="","",計分!B275^2)</f>
        <v/>
      </c>
      <c r="C275">
        <f>IF(計分!C275="","",計分!C275^2)</f>
        <v/>
      </c>
      <c r="D275">
        <f>IF(計分!D275="","",計分!D275^2)</f>
        <v/>
      </c>
      <c r="E275">
        <f>IF(計分!E275="","",計分!E275^2)</f>
        <v/>
      </c>
      <c r="F275">
        <f>IF(計分!F275="","",計分!F275^2)</f>
        <v/>
      </c>
      <c r="G275">
        <f>IF(計分!G275="","",計分!G275^2)</f>
        <v/>
      </c>
      <c r="H275">
        <f>IF(計分!H275="","",計分!H275^2)</f>
        <v/>
      </c>
      <c r="I275">
        <f>IF(計分!I275="","",計分!I275^2)</f>
        <v/>
      </c>
      <c r="J275">
        <f>IF(計分!J275="","",計分!J275^2)</f>
        <v/>
      </c>
      <c r="K275">
        <f>IF(計分!K275="","",計分!K275^2)</f>
        <v/>
      </c>
      <c r="L275">
        <f>IF(計分!L275="","",計分!L275^2)</f>
        <v/>
      </c>
      <c r="M275">
        <f>IF(計分!M275="","",計分!M275^2)</f>
        <v/>
      </c>
      <c r="N275">
        <f>IF(計分!N275="","",計分!N275^2)</f>
        <v/>
      </c>
      <c r="O275">
        <f>IF(計分!O275="","",計分!O275^2)</f>
        <v/>
      </c>
      <c r="P275">
        <f>IF(計分!P275="","",計分!P275^2)</f>
        <v/>
      </c>
      <c r="Q275">
        <f>IF(計分!Q275="","",計分!Q275^2)</f>
        <v/>
      </c>
      <c r="R275">
        <f>IF(計分!R275="","",計分!R275^2)</f>
        <v/>
      </c>
      <c r="S275">
        <f>IF(計分!S275="","",計分!S275^2)</f>
        <v/>
      </c>
      <c r="T275">
        <f>IF(計分!T275="","",計分!T275^2)</f>
        <v/>
      </c>
      <c r="U275">
        <f>IF(計分!U275="","",計分!U275^2)</f>
        <v/>
      </c>
      <c r="V275">
        <f>IF(計分!V275="","",計分!V275^2)</f>
        <v/>
      </c>
      <c r="W275">
        <f>IF(計分!W275="","",計分!W275^2)</f>
        <v/>
      </c>
      <c r="X275">
        <f>IF(計分!X275="","",計分!X275^2)</f>
        <v/>
      </c>
      <c r="Y275">
        <f>IF(計分!Y275="","",計分!Y275^2)</f>
        <v/>
      </c>
      <c r="Z275">
        <f>IF(計分!Z275="","",計分!Z275^2)</f>
        <v/>
      </c>
      <c r="AA275">
        <f>IF(計分!AA275="","",計分!AA275^2)</f>
        <v/>
      </c>
      <c r="AB275">
        <f>IF(計分!AB275="","",計分!AB275^2)</f>
        <v/>
      </c>
      <c r="AC275">
        <f>IF(計分!AC275="","",計分!AC275^2)</f>
        <v/>
      </c>
      <c r="AD275">
        <f>IF(計分!AD275="","",計分!AD275^2)</f>
        <v/>
      </c>
      <c r="AE275">
        <f>IF(計分!AE275="","",計分!AE275^2)</f>
        <v/>
      </c>
      <c r="AF275">
        <f>IF(計分!AF275="","",計分!AF275^2)</f>
        <v/>
      </c>
      <c r="AG275">
        <f>IF(計分!AG275="","",計分!AG275^2)</f>
        <v/>
      </c>
      <c r="AH275">
        <f>IF(計分!AH275="","",計分!AH275^2)</f>
        <v/>
      </c>
      <c r="AI275">
        <f>IF(計分!AI275="","",計分!AI275^2)</f>
        <v/>
      </c>
      <c r="AJ275">
        <f>IF(計分!AJ275="","",計分!AJ275^2)</f>
        <v/>
      </c>
      <c r="AK275">
        <f>IF(計分!AK275="","",計分!AK275^2)</f>
        <v/>
      </c>
      <c r="AL275">
        <f>IF(計分!AL275="","",計分!AL275^2)</f>
        <v/>
      </c>
      <c r="AM275">
        <f>IF(計分!AM275="","",計分!AM275^2)</f>
        <v/>
      </c>
      <c r="AN275">
        <f>IF(計分!AN275="","",計分!AN275^2)</f>
        <v/>
      </c>
      <c r="AO275">
        <f>IF(計分!AO275="","",計分!AO275^2)</f>
        <v/>
      </c>
    </row>
    <row r="276">
      <c r="B276">
        <f>IF(計分!B276="","",計分!B276^2)</f>
        <v/>
      </c>
      <c r="C276">
        <f>IF(計分!C276="","",計分!C276^2)</f>
        <v/>
      </c>
      <c r="D276">
        <f>IF(計分!D276="","",計分!D276^2)</f>
        <v/>
      </c>
      <c r="E276">
        <f>IF(計分!E276="","",計分!E276^2)</f>
        <v/>
      </c>
      <c r="F276">
        <f>IF(計分!F276="","",計分!F276^2)</f>
        <v/>
      </c>
      <c r="G276">
        <f>IF(計分!G276="","",計分!G276^2)</f>
        <v/>
      </c>
      <c r="H276">
        <f>IF(計分!H276="","",計分!H276^2)</f>
        <v/>
      </c>
      <c r="I276">
        <f>IF(計分!I276="","",計分!I276^2)</f>
        <v/>
      </c>
      <c r="J276">
        <f>IF(計分!J276="","",計分!J276^2)</f>
        <v/>
      </c>
      <c r="K276">
        <f>IF(計分!K276="","",計分!K276^2)</f>
        <v/>
      </c>
      <c r="L276">
        <f>IF(計分!L276="","",計分!L276^2)</f>
        <v/>
      </c>
      <c r="M276">
        <f>IF(計分!M276="","",計分!M276^2)</f>
        <v/>
      </c>
      <c r="N276">
        <f>IF(計分!N276="","",計分!N276^2)</f>
        <v/>
      </c>
      <c r="O276">
        <f>IF(計分!O276="","",計分!O276^2)</f>
        <v/>
      </c>
      <c r="P276">
        <f>IF(計分!P276="","",計分!P276^2)</f>
        <v/>
      </c>
      <c r="Q276">
        <f>IF(計分!Q276="","",計分!Q276^2)</f>
        <v/>
      </c>
      <c r="R276">
        <f>IF(計分!R276="","",計分!R276^2)</f>
        <v/>
      </c>
      <c r="S276">
        <f>IF(計分!S276="","",計分!S276^2)</f>
        <v/>
      </c>
      <c r="T276">
        <f>IF(計分!T276="","",計分!T276^2)</f>
        <v/>
      </c>
      <c r="U276">
        <f>IF(計分!U276="","",計分!U276^2)</f>
        <v/>
      </c>
      <c r="V276">
        <f>IF(計分!V276="","",計分!V276^2)</f>
        <v/>
      </c>
      <c r="W276">
        <f>IF(計分!W276="","",計分!W276^2)</f>
        <v/>
      </c>
      <c r="X276">
        <f>IF(計分!X276="","",計分!X276^2)</f>
        <v/>
      </c>
      <c r="Y276">
        <f>IF(計分!Y276="","",計分!Y276^2)</f>
        <v/>
      </c>
      <c r="Z276">
        <f>IF(計分!Z276="","",計分!Z276^2)</f>
        <v/>
      </c>
      <c r="AA276">
        <f>IF(計分!AA276="","",計分!AA276^2)</f>
        <v/>
      </c>
      <c r="AB276">
        <f>IF(計分!AB276="","",計分!AB276^2)</f>
        <v/>
      </c>
      <c r="AC276">
        <f>IF(計分!AC276="","",計分!AC276^2)</f>
        <v/>
      </c>
      <c r="AD276">
        <f>IF(計分!AD276="","",計分!AD276^2)</f>
        <v/>
      </c>
      <c r="AE276">
        <f>IF(計分!AE276="","",計分!AE276^2)</f>
        <v/>
      </c>
      <c r="AF276">
        <f>IF(計分!AF276="","",計分!AF276^2)</f>
        <v/>
      </c>
      <c r="AG276">
        <f>IF(計分!AG276="","",計分!AG276^2)</f>
        <v/>
      </c>
      <c r="AH276">
        <f>IF(計分!AH276="","",計分!AH276^2)</f>
        <v/>
      </c>
      <c r="AI276">
        <f>IF(計分!AI276="","",計分!AI276^2)</f>
        <v/>
      </c>
      <c r="AJ276">
        <f>IF(計分!AJ276="","",計分!AJ276^2)</f>
        <v/>
      </c>
      <c r="AK276">
        <f>IF(計分!AK276="","",計分!AK276^2)</f>
        <v/>
      </c>
      <c r="AL276">
        <f>IF(計分!AL276="","",計分!AL276^2)</f>
        <v/>
      </c>
      <c r="AM276">
        <f>IF(計分!AM276="","",計分!AM276^2)</f>
        <v/>
      </c>
      <c r="AN276">
        <f>IF(計分!AN276="","",計分!AN276^2)</f>
        <v/>
      </c>
      <c r="AO276">
        <f>IF(計分!AO276="","",計分!AO276^2)</f>
        <v/>
      </c>
    </row>
    <row r="277">
      <c r="B277">
        <f>IF(計分!B277="","",計分!B277^2)</f>
        <v/>
      </c>
      <c r="C277">
        <f>IF(計分!C277="","",計分!C277^2)</f>
        <v/>
      </c>
      <c r="D277">
        <f>IF(計分!D277="","",計分!D277^2)</f>
        <v/>
      </c>
      <c r="E277">
        <f>IF(計分!E277="","",計分!E277^2)</f>
        <v/>
      </c>
      <c r="F277">
        <f>IF(計分!F277="","",計分!F277^2)</f>
        <v/>
      </c>
      <c r="G277">
        <f>IF(計分!G277="","",計分!G277^2)</f>
        <v/>
      </c>
      <c r="H277">
        <f>IF(計分!H277="","",計分!H277^2)</f>
        <v/>
      </c>
      <c r="I277">
        <f>IF(計分!I277="","",計分!I277^2)</f>
        <v/>
      </c>
      <c r="J277">
        <f>IF(計分!J277="","",計分!J277^2)</f>
        <v/>
      </c>
      <c r="K277">
        <f>IF(計分!K277="","",計分!K277^2)</f>
        <v/>
      </c>
      <c r="L277">
        <f>IF(計分!L277="","",計分!L277^2)</f>
        <v/>
      </c>
      <c r="M277">
        <f>IF(計分!M277="","",計分!M277^2)</f>
        <v/>
      </c>
      <c r="N277">
        <f>IF(計分!N277="","",計分!N277^2)</f>
        <v/>
      </c>
      <c r="O277">
        <f>IF(計分!O277="","",計分!O277^2)</f>
        <v/>
      </c>
      <c r="P277">
        <f>IF(計分!P277="","",計分!P277^2)</f>
        <v/>
      </c>
      <c r="Q277">
        <f>IF(計分!Q277="","",計分!Q277^2)</f>
        <v/>
      </c>
      <c r="R277">
        <f>IF(計分!R277="","",計分!R277^2)</f>
        <v/>
      </c>
      <c r="S277">
        <f>IF(計分!S277="","",計分!S277^2)</f>
        <v/>
      </c>
      <c r="T277">
        <f>IF(計分!T277="","",計分!T277^2)</f>
        <v/>
      </c>
      <c r="U277">
        <f>IF(計分!U277="","",計分!U277^2)</f>
        <v/>
      </c>
      <c r="V277">
        <f>IF(計分!V277="","",計分!V277^2)</f>
        <v/>
      </c>
      <c r="W277">
        <f>IF(計分!W277="","",計分!W277^2)</f>
        <v/>
      </c>
      <c r="X277">
        <f>IF(計分!X277="","",計分!X277^2)</f>
        <v/>
      </c>
      <c r="Y277">
        <f>IF(計分!Y277="","",計分!Y277^2)</f>
        <v/>
      </c>
      <c r="Z277">
        <f>IF(計分!Z277="","",計分!Z277^2)</f>
        <v/>
      </c>
      <c r="AA277">
        <f>IF(計分!AA277="","",計分!AA277^2)</f>
        <v/>
      </c>
      <c r="AB277">
        <f>IF(計分!AB277="","",計分!AB277^2)</f>
        <v/>
      </c>
      <c r="AC277">
        <f>IF(計分!AC277="","",計分!AC277^2)</f>
        <v/>
      </c>
      <c r="AD277">
        <f>IF(計分!AD277="","",計分!AD277^2)</f>
        <v/>
      </c>
      <c r="AE277">
        <f>IF(計分!AE277="","",計分!AE277^2)</f>
        <v/>
      </c>
      <c r="AF277">
        <f>IF(計分!AF277="","",計分!AF277^2)</f>
        <v/>
      </c>
      <c r="AG277">
        <f>IF(計分!AG277="","",計分!AG277^2)</f>
        <v/>
      </c>
      <c r="AH277">
        <f>IF(計分!AH277="","",計分!AH277^2)</f>
        <v/>
      </c>
      <c r="AI277">
        <f>IF(計分!AI277="","",計分!AI277^2)</f>
        <v/>
      </c>
      <c r="AJ277">
        <f>IF(計分!AJ277="","",計分!AJ277^2)</f>
        <v/>
      </c>
      <c r="AK277">
        <f>IF(計分!AK277="","",計分!AK277^2)</f>
        <v/>
      </c>
      <c r="AL277">
        <f>IF(計分!AL277="","",計分!AL277^2)</f>
        <v/>
      </c>
      <c r="AM277">
        <f>IF(計分!AM277="","",計分!AM277^2)</f>
        <v/>
      </c>
      <c r="AN277">
        <f>IF(計分!AN277="","",計分!AN277^2)</f>
        <v/>
      </c>
      <c r="AO277">
        <f>IF(計分!AO277="","",計分!AO277^2)</f>
        <v/>
      </c>
    </row>
    <row r="278">
      <c r="B278">
        <f>IF(計分!B278="","",計分!B278^2)</f>
        <v/>
      </c>
      <c r="C278">
        <f>IF(計分!C278="","",計分!C278^2)</f>
        <v/>
      </c>
      <c r="D278">
        <f>IF(計分!D278="","",計分!D278^2)</f>
        <v/>
      </c>
      <c r="E278">
        <f>IF(計分!E278="","",計分!E278^2)</f>
        <v/>
      </c>
      <c r="F278">
        <f>IF(計分!F278="","",計分!F278^2)</f>
        <v/>
      </c>
      <c r="G278">
        <f>IF(計分!G278="","",計分!G278^2)</f>
        <v/>
      </c>
      <c r="H278">
        <f>IF(計分!H278="","",計分!H278^2)</f>
        <v/>
      </c>
      <c r="I278">
        <f>IF(計分!I278="","",計分!I278^2)</f>
        <v/>
      </c>
      <c r="J278">
        <f>IF(計分!J278="","",計分!J278^2)</f>
        <v/>
      </c>
      <c r="K278">
        <f>IF(計分!K278="","",計分!K278^2)</f>
        <v/>
      </c>
      <c r="L278">
        <f>IF(計分!L278="","",計分!L278^2)</f>
        <v/>
      </c>
      <c r="M278">
        <f>IF(計分!M278="","",計分!M278^2)</f>
        <v/>
      </c>
      <c r="N278">
        <f>IF(計分!N278="","",計分!N278^2)</f>
        <v/>
      </c>
      <c r="O278">
        <f>IF(計分!O278="","",計分!O278^2)</f>
        <v/>
      </c>
      <c r="P278">
        <f>IF(計分!P278="","",計分!P278^2)</f>
        <v/>
      </c>
      <c r="Q278">
        <f>IF(計分!Q278="","",計分!Q278^2)</f>
        <v/>
      </c>
      <c r="R278">
        <f>IF(計分!R278="","",計分!R278^2)</f>
        <v/>
      </c>
      <c r="S278">
        <f>IF(計分!S278="","",計分!S278^2)</f>
        <v/>
      </c>
      <c r="T278">
        <f>IF(計分!T278="","",計分!T278^2)</f>
        <v/>
      </c>
      <c r="U278">
        <f>IF(計分!U278="","",計分!U278^2)</f>
        <v/>
      </c>
      <c r="V278">
        <f>IF(計分!V278="","",計分!V278^2)</f>
        <v/>
      </c>
      <c r="W278">
        <f>IF(計分!W278="","",計分!W278^2)</f>
        <v/>
      </c>
      <c r="X278">
        <f>IF(計分!X278="","",計分!X278^2)</f>
        <v/>
      </c>
      <c r="Y278">
        <f>IF(計分!Y278="","",計分!Y278^2)</f>
        <v/>
      </c>
      <c r="Z278">
        <f>IF(計分!Z278="","",計分!Z278^2)</f>
        <v/>
      </c>
      <c r="AA278">
        <f>IF(計分!AA278="","",計分!AA278^2)</f>
        <v/>
      </c>
      <c r="AB278">
        <f>IF(計分!AB278="","",計分!AB278^2)</f>
        <v/>
      </c>
      <c r="AC278">
        <f>IF(計分!AC278="","",計分!AC278^2)</f>
        <v/>
      </c>
      <c r="AD278">
        <f>IF(計分!AD278="","",計分!AD278^2)</f>
        <v/>
      </c>
      <c r="AE278">
        <f>IF(計分!AE278="","",計分!AE278^2)</f>
        <v/>
      </c>
      <c r="AF278">
        <f>IF(計分!AF278="","",計分!AF278^2)</f>
        <v/>
      </c>
      <c r="AG278">
        <f>IF(計分!AG278="","",計分!AG278^2)</f>
        <v/>
      </c>
      <c r="AH278">
        <f>IF(計分!AH278="","",計分!AH278^2)</f>
        <v/>
      </c>
      <c r="AI278">
        <f>IF(計分!AI278="","",計分!AI278^2)</f>
        <v/>
      </c>
      <c r="AJ278">
        <f>IF(計分!AJ278="","",計分!AJ278^2)</f>
        <v/>
      </c>
      <c r="AK278">
        <f>IF(計分!AK278="","",計分!AK278^2)</f>
        <v/>
      </c>
      <c r="AL278">
        <f>IF(計分!AL278="","",計分!AL278^2)</f>
        <v/>
      </c>
      <c r="AM278">
        <f>IF(計分!AM278="","",計分!AM278^2)</f>
        <v/>
      </c>
      <c r="AN278">
        <f>IF(計分!AN278="","",計分!AN278^2)</f>
        <v/>
      </c>
      <c r="AO278">
        <f>IF(計分!AO278="","",計分!AO278^2)</f>
        <v/>
      </c>
    </row>
    <row r="279">
      <c r="B279">
        <f>IF(計分!B279="","",計分!B279^2)</f>
        <v/>
      </c>
      <c r="C279">
        <f>IF(計分!C279="","",計分!C279^2)</f>
        <v/>
      </c>
      <c r="D279">
        <f>IF(計分!D279="","",計分!D279^2)</f>
        <v/>
      </c>
      <c r="E279">
        <f>IF(計分!E279="","",計分!E279^2)</f>
        <v/>
      </c>
      <c r="F279">
        <f>IF(計分!F279="","",計分!F279^2)</f>
        <v/>
      </c>
      <c r="G279">
        <f>IF(計分!G279="","",計分!G279^2)</f>
        <v/>
      </c>
      <c r="H279">
        <f>IF(計分!H279="","",計分!H279^2)</f>
        <v/>
      </c>
      <c r="I279">
        <f>IF(計分!I279="","",計分!I279^2)</f>
        <v/>
      </c>
      <c r="J279">
        <f>IF(計分!J279="","",計分!J279^2)</f>
        <v/>
      </c>
      <c r="K279">
        <f>IF(計分!K279="","",計分!K279^2)</f>
        <v/>
      </c>
      <c r="L279">
        <f>IF(計分!L279="","",計分!L279^2)</f>
        <v/>
      </c>
      <c r="M279">
        <f>IF(計分!M279="","",計分!M279^2)</f>
        <v/>
      </c>
      <c r="N279">
        <f>IF(計分!N279="","",計分!N279^2)</f>
        <v/>
      </c>
      <c r="O279">
        <f>IF(計分!O279="","",計分!O279^2)</f>
        <v/>
      </c>
      <c r="P279">
        <f>IF(計分!P279="","",計分!P279^2)</f>
        <v/>
      </c>
      <c r="Q279">
        <f>IF(計分!Q279="","",計分!Q279^2)</f>
        <v/>
      </c>
      <c r="R279">
        <f>IF(計分!R279="","",計分!R279^2)</f>
        <v/>
      </c>
      <c r="S279">
        <f>IF(計分!S279="","",計分!S279^2)</f>
        <v/>
      </c>
      <c r="T279">
        <f>IF(計分!T279="","",計分!T279^2)</f>
        <v/>
      </c>
      <c r="U279">
        <f>IF(計分!U279="","",計分!U279^2)</f>
        <v/>
      </c>
      <c r="V279">
        <f>IF(計分!V279="","",計分!V279^2)</f>
        <v/>
      </c>
      <c r="W279">
        <f>IF(計分!W279="","",計分!W279^2)</f>
        <v/>
      </c>
      <c r="X279">
        <f>IF(計分!X279="","",計分!X279^2)</f>
        <v/>
      </c>
      <c r="Y279">
        <f>IF(計分!Y279="","",計分!Y279^2)</f>
        <v/>
      </c>
      <c r="Z279">
        <f>IF(計分!Z279="","",計分!Z279^2)</f>
        <v/>
      </c>
      <c r="AA279">
        <f>IF(計分!AA279="","",計分!AA279^2)</f>
        <v/>
      </c>
      <c r="AB279">
        <f>IF(計分!AB279="","",計分!AB279^2)</f>
        <v/>
      </c>
      <c r="AC279">
        <f>IF(計分!AC279="","",計分!AC279^2)</f>
        <v/>
      </c>
      <c r="AD279">
        <f>IF(計分!AD279="","",計分!AD279^2)</f>
        <v/>
      </c>
      <c r="AE279">
        <f>IF(計分!AE279="","",計分!AE279^2)</f>
        <v/>
      </c>
      <c r="AF279">
        <f>IF(計分!AF279="","",計分!AF279^2)</f>
        <v/>
      </c>
      <c r="AG279">
        <f>IF(計分!AG279="","",計分!AG279^2)</f>
        <v/>
      </c>
      <c r="AH279">
        <f>IF(計分!AH279="","",計分!AH279^2)</f>
        <v/>
      </c>
      <c r="AI279">
        <f>IF(計分!AI279="","",計分!AI279^2)</f>
        <v/>
      </c>
      <c r="AJ279">
        <f>IF(計分!AJ279="","",計分!AJ279^2)</f>
        <v/>
      </c>
      <c r="AK279">
        <f>IF(計分!AK279="","",計分!AK279^2)</f>
        <v/>
      </c>
      <c r="AL279">
        <f>IF(計分!AL279="","",計分!AL279^2)</f>
        <v/>
      </c>
      <c r="AM279">
        <f>IF(計分!AM279="","",計分!AM279^2)</f>
        <v/>
      </c>
      <c r="AN279">
        <f>IF(計分!AN279="","",計分!AN279^2)</f>
        <v/>
      </c>
      <c r="AO279">
        <f>IF(計分!AO279="","",計分!AO279^2)</f>
        <v/>
      </c>
    </row>
    <row r="280">
      <c r="B280">
        <f>IF(計分!B280="","",計分!B280^2)</f>
        <v/>
      </c>
      <c r="C280">
        <f>IF(計分!C280="","",計分!C280^2)</f>
        <v/>
      </c>
      <c r="D280">
        <f>IF(計分!D280="","",計分!D280^2)</f>
        <v/>
      </c>
      <c r="E280">
        <f>IF(計分!E280="","",計分!E280^2)</f>
        <v/>
      </c>
      <c r="F280">
        <f>IF(計分!F280="","",計分!F280^2)</f>
        <v/>
      </c>
      <c r="G280">
        <f>IF(計分!G280="","",計分!G280^2)</f>
        <v/>
      </c>
      <c r="H280">
        <f>IF(計分!H280="","",計分!H280^2)</f>
        <v/>
      </c>
      <c r="I280">
        <f>IF(計分!I280="","",計分!I280^2)</f>
        <v/>
      </c>
      <c r="J280">
        <f>IF(計分!J280="","",計分!J280^2)</f>
        <v/>
      </c>
      <c r="K280">
        <f>IF(計分!K280="","",計分!K280^2)</f>
        <v/>
      </c>
      <c r="L280">
        <f>IF(計分!L280="","",計分!L280^2)</f>
        <v/>
      </c>
      <c r="M280">
        <f>IF(計分!M280="","",計分!M280^2)</f>
        <v/>
      </c>
      <c r="N280">
        <f>IF(計分!N280="","",計分!N280^2)</f>
        <v/>
      </c>
      <c r="O280">
        <f>IF(計分!O280="","",計分!O280^2)</f>
        <v/>
      </c>
      <c r="P280">
        <f>IF(計分!P280="","",計分!P280^2)</f>
        <v/>
      </c>
      <c r="Q280">
        <f>IF(計分!Q280="","",計分!Q280^2)</f>
        <v/>
      </c>
      <c r="R280">
        <f>IF(計分!R280="","",計分!R280^2)</f>
        <v/>
      </c>
      <c r="S280">
        <f>IF(計分!S280="","",計分!S280^2)</f>
        <v/>
      </c>
      <c r="T280">
        <f>IF(計分!T280="","",計分!T280^2)</f>
        <v/>
      </c>
      <c r="U280">
        <f>IF(計分!U280="","",計分!U280^2)</f>
        <v/>
      </c>
      <c r="V280">
        <f>IF(計分!V280="","",計分!V280^2)</f>
        <v/>
      </c>
      <c r="W280">
        <f>IF(計分!W280="","",計分!W280^2)</f>
        <v/>
      </c>
      <c r="X280">
        <f>IF(計分!X280="","",計分!X280^2)</f>
        <v/>
      </c>
      <c r="Y280">
        <f>IF(計分!Y280="","",計分!Y280^2)</f>
        <v/>
      </c>
      <c r="Z280">
        <f>IF(計分!Z280="","",計分!Z280^2)</f>
        <v/>
      </c>
      <c r="AA280">
        <f>IF(計分!AA280="","",計分!AA280^2)</f>
        <v/>
      </c>
      <c r="AB280">
        <f>IF(計分!AB280="","",計分!AB280^2)</f>
        <v/>
      </c>
      <c r="AC280">
        <f>IF(計分!AC280="","",計分!AC280^2)</f>
        <v/>
      </c>
      <c r="AD280">
        <f>IF(計分!AD280="","",計分!AD280^2)</f>
        <v/>
      </c>
      <c r="AE280">
        <f>IF(計分!AE280="","",計分!AE280^2)</f>
        <v/>
      </c>
      <c r="AF280">
        <f>IF(計分!AF280="","",計分!AF280^2)</f>
        <v/>
      </c>
      <c r="AG280">
        <f>IF(計分!AG280="","",計分!AG280^2)</f>
        <v/>
      </c>
      <c r="AH280">
        <f>IF(計分!AH280="","",計分!AH280^2)</f>
        <v/>
      </c>
      <c r="AI280">
        <f>IF(計分!AI280="","",計分!AI280^2)</f>
        <v/>
      </c>
      <c r="AJ280">
        <f>IF(計分!AJ280="","",計分!AJ280^2)</f>
        <v/>
      </c>
      <c r="AK280">
        <f>IF(計分!AK280="","",計分!AK280^2)</f>
        <v/>
      </c>
      <c r="AL280">
        <f>IF(計分!AL280="","",計分!AL280^2)</f>
        <v/>
      </c>
      <c r="AM280">
        <f>IF(計分!AM280="","",計分!AM280^2)</f>
        <v/>
      </c>
      <c r="AN280">
        <f>IF(計分!AN280="","",計分!AN280^2)</f>
        <v/>
      </c>
      <c r="AO280">
        <f>IF(計分!AO280="","",計分!AO280^2)</f>
        <v/>
      </c>
    </row>
    <row r="281">
      <c r="B281">
        <f>IF(計分!B281="","",計分!B281^2)</f>
        <v/>
      </c>
      <c r="C281">
        <f>IF(計分!C281="","",計分!C281^2)</f>
        <v/>
      </c>
      <c r="D281">
        <f>IF(計分!D281="","",計分!D281^2)</f>
        <v/>
      </c>
      <c r="E281">
        <f>IF(計分!E281="","",計分!E281^2)</f>
        <v/>
      </c>
      <c r="F281">
        <f>IF(計分!F281="","",計分!F281^2)</f>
        <v/>
      </c>
      <c r="G281">
        <f>IF(計分!G281="","",計分!G281^2)</f>
        <v/>
      </c>
      <c r="H281">
        <f>IF(計分!H281="","",計分!H281^2)</f>
        <v/>
      </c>
      <c r="I281">
        <f>IF(計分!I281="","",計分!I281^2)</f>
        <v/>
      </c>
      <c r="J281">
        <f>IF(計分!J281="","",計分!J281^2)</f>
        <v/>
      </c>
      <c r="K281">
        <f>IF(計分!K281="","",計分!K281^2)</f>
        <v/>
      </c>
      <c r="L281">
        <f>IF(計分!L281="","",計分!L281^2)</f>
        <v/>
      </c>
      <c r="M281">
        <f>IF(計分!M281="","",計分!M281^2)</f>
        <v/>
      </c>
      <c r="N281">
        <f>IF(計分!N281="","",計分!N281^2)</f>
        <v/>
      </c>
      <c r="O281">
        <f>IF(計分!O281="","",計分!O281^2)</f>
        <v/>
      </c>
      <c r="P281">
        <f>IF(計分!P281="","",計分!P281^2)</f>
        <v/>
      </c>
      <c r="Q281">
        <f>IF(計分!Q281="","",計分!Q281^2)</f>
        <v/>
      </c>
      <c r="R281">
        <f>IF(計分!R281="","",計分!R281^2)</f>
        <v/>
      </c>
      <c r="S281">
        <f>IF(計分!S281="","",計分!S281^2)</f>
        <v/>
      </c>
      <c r="T281">
        <f>IF(計分!T281="","",計分!T281^2)</f>
        <v/>
      </c>
      <c r="U281">
        <f>IF(計分!U281="","",計分!U281^2)</f>
        <v/>
      </c>
      <c r="V281">
        <f>IF(計分!V281="","",計分!V281^2)</f>
        <v/>
      </c>
      <c r="W281">
        <f>IF(計分!W281="","",計分!W281^2)</f>
        <v/>
      </c>
      <c r="X281">
        <f>IF(計分!X281="","",計分!X281^2)</f>
        <v/>
      </c>
      <c r="Y281">
        <f>IF(計分!Y281="","",計分!Y281^2)</f>
        <v/>
      </c>
      <c r="Z281">
        <f>IF(計分!Z281="","",計分!Z281^2)</f>
        <v/>
      </c>
      <c r="AA281">
        <f>IF(計分!AA281="","",計分!AA281^2)</f>
        <v/>
      </c>
      <c r="AB281">
        <f>IF(計分!AB281="","",計分!AB281^2)</f>
        <v/>
      </c>
      <c r="AC281">
        <f>IF(計分!AC281="","",計分!AC281^2)</f>
        <v/>
      </c>
      <c r="AD281">
        <f>IF(計分!AD281="","",計分!AD281^2)</f>
        <v/>
      </c>
      <c r="AE281">
        <f>IF(計分!AE281="","",計分!AE281^2)</f>
        <v/>
      </c>
      <c r="AF281">
        <f>IF(計分!AF281="","",計分!AF281^2)</f>
        <v/>
      </c>
      <c r="AG281">
        <f>IF(計分!AG281="","",計分!AG281^2)</f>
        <v/>
      </c>
      <c r="AH281">
        <f>IF(計分!AH281="","",計分!AH281^2)</f>
        <v/>
      </c>
      <c r="AI281">
        <f>IF(計分!AI281="","",計分!AI281^2)</f>
        <v/>
      </c>
      <c r="AJ281">
        <f>IF(計分!AJ281="","",計分!AJ281^2)</f>
        <v/>
      </c>
      <c r="AK281">
        <f>IF(計分!AK281="","",計分!AK281^2)</f>
        <v/>
      </c>
      <c r="AL281">
        <f>IF(計分!AL281="","",計分!AL281^2)</f>
        <v/>
      </c>
      <c r="AM281">
        <f>IF(計分!AM281="","",計分!AM281^2)</f>
        <v/>
      </c>
      <c r="AN281">
        <f>IF(計分!AN281="","",計分!AN281^2)</f>
        <v/>
      </c>
      <c r="AO281">
        <f>IF(計分!AO281="","",計分!AO281^2)</f>
        <v/>
      </c>
    </row>
    <row r="282">
      <c r="B282">
        <f>IF(計分!B282="","",計分!B282^2)</f>
        <v/>
      </c>
      <c r="C282">
        <f>IF(計分!C282="","",計分!C282^2)</f>
        <v/>
      </c>
      <c r="D282">
        <f>IF(計分!D282="","",計分!D282^2)</f>
        <v/>
      </c>
      <c r="E282">
        <f>IF(計分!E282="","",計分!E282^2)</f>
        <v/>
      </c>
      <c r="F282">
        <f>IF(計分!F282="","",計分!F282^2)</f>
        <v/>
      </c>
      <c r="G282">
        <f>IF(計分!G282="","",計分!G282^2)</f>
        <v/>
      </c>
      <c r="H282">
        <f>IF(計分!H282="","",計分!H282^2)</f>
        <v/>
      </c>
      <c r="I282">
        <f>IF(計分!I282="","",計分!I282^2)</f>
        <v/>
      </c>
      <c r="J282">
        <f>IF(計分!J282="","",計分!J282^2)</f>
        <v/>
      </c>
      <c r="K282">
        <f>IF(計分!K282="","",計分!K282^2)</f>
        <v/>
      </c>
      <c r="L282">
        <f>IF(計分!L282="","",計分!L282^2)</f>
        <v/>
      </c>
      <c r="M282">
        <f>IF(計分!M282="","",計分!M282^2)</f>
        <v/>
      </c>
      <c r="N282">
        <f>IF(計分!N282="","",計分!N282^2)</f>
        <v/>
      </c>
      <c r="O282">
        <f>IF(計分!O282="","",計分!O282^2)</f>
        <v/>
      </c>
      <c r="P282">
        <f>IF(計分!P282="","",計分!P282^2)</f>
        <v/>
      </c>
      <c r="Q282">
        <f>IF(計分!Q282="","",計分!Q282^2)</f>
        <v/>
      </c>
      <c r="R282">
        <f>IF(計分!R282="","",計分!R282^2)</f>
        <v/>
      </c>
      <c r="S282">
        <f>IF(計分!S282="","",計分!S282^2)</f>
        <v/>
      </c>
      <c r="T282">
        <f>IF(計分!T282="","",計分!T282^2)</f>
        <v/>
      </c>
      <c r="U282">
        <f>IF(計分!U282="","",計分!U282^2)</f>
        <v/>
      </c>
      <c r="V282">
        <f>IF(計分!V282="","",計分!V282^2)</f>
        <v/>
      </c>
      <c r="W282">
        <f>IF(計分!W282="","",計分!W282^2)</f>
        <v/>
      </c>
      <c r="X282">
        <f>IF(計分!X282="","",計分!X282^2)</f>
        <v/>
      </c>
      <c r="Y282">
        <f>IF(計分!Y282="","",計分!Y282^2)</f>
        <v/>
      </c>
      <c r="Z282">
        <f>IF(計分!Z282="","",計分!Z282^2)</f>
        <v/>
      </c>
      <c r="AA282">
        <f>IF(計分!AA282="","",計分!AA282^2)</f>
        <v/>
      </c>
      <c r="AB282">
        <f>IF(計分!AB282="","",計分!AB282^2)</f>
        <v/>
      </c>
      <c r="AC282">
        <f>IF(計分!AC282="","",計分!AC282^2)</f>
        <v/>
      </c>
      <c r="AD282">
        <f>IF(計分!AD282="","",計分!AD282^2)</f>
        <v/>
      </c>
      <c r="AE282">
        <f>IF(計分!AE282="","",計分!AE282^2)</f>
        <v/>
      </c>
      <c r="AF282">
        <f>IF(計分!AF282="","",計分!AF282^2)</f>
        <v/>
      </c>
      <c r="AG282">
        <f>IF(計分!AG282="","",計分!AG282^2)</f>
        <v/>
      </c>
      <c r="AH282">
        <f>IF(計分!AH282="","",計分!AH282^2)</f>
        <v/>
      </c>
      <c r="AI282">
        <f>IF(計分!AI282="","",計分!AI282^2)</f>
        <v/>
      </c>
      <c r="AJ282">
        <f>IF(計分!AJ282="","",計分!AJ282^2)</f>
        <v/>
      </c>
      <c r="AK282">
        <f>IF(計分!AK282="","",計分!AK282^2)</f>
        <v/>
      </c>
      <c r="AL282">
        <f>IF(計分!AL282="","",計分!AL282^2)</f>
        <v/>
      </c>
      <c r="AM282">
        <f>IF(計分!AM282="","",計分!AM282^2)</f>
        <v/>
      </c>
      <c r="AN282">
        <f>IF(計分!AN282="","",計分!AN282^2)</f>
        <v/>
      </c>
      <c r="AO282">
        <f>IF(計分!AO282="","",計分!AO282^2)</f>
        <v/>
      </c>
    </row>
    <row r="283">
      <c r="B283">
        <f>IF(計分!B283="","",計分!B283^2)</f>
        <v/>
      </c>
      <c r="C283">
        <f>IF(計分!C283="","",計分!C283^2)</f>
        <v/>
      </c>
      <c r="D283">
        <f>IF(計分!D283="","",計分!D283^2)</f>
        <v/>
      </c>
      <c r="E283">
        <f>IF(計分!E283="","",計分!E283^2)</f>
        <v/>
      </c>
      <c r="F283">
        <f>IF(計分!F283="","",計分!F283^2)</f>
        <v/>
      </c>
      <c r="G283">
        <f>IF(計分!G283="","",計分!G283^2)</f>
        <v/>
      </c>
      <c r="H283">
        <f>IF(計分!H283="","",計分!H283^2)</f>
        <v/>
      </c>
      <c r="I283">
        <f>IF(計分!I283="","",計分!I283^2)</f>
        <v/>
      </c>
      <c r="J283">
        <f>IF(計分!J283="","",計分!J283^2)</f>
        <v/>
      </c>
      <c r="K283">
        <f>IF(計分!K283="","",計分!K283^2)</f>
        <v/>
      </c>
      <c r="L283">
        <f>IF(計分!L283="","",計分!L283^2)</f>
        <v/>
      </c>
      <c r="M283">
        <f>IF(計分!M283="","",計分!M283^2)</f>
        <v/>
      </c>
      <c r="N283">
        <f>IF(計分!N283="","",計分!N283^2)</f>
        <v/>
      </c>
      <c r="O283">
        <f>IF(計分!O283="","",計分!O283^2)</f>
        <v/>
      </c>
      <c r="P283">
        <f>IF(計分!P283="","",計分!P283^2)</f>
        <v/>
      </c>
      <c r="Q283">
        <f>IF(計分!Q283="","",計分!Q283^2)</f>
        <v/>
      </c>
      <c r="R283">
        <f>IF(計分!R283="","",計分!R283^2)</f>
        <v/>
      </c>
      <c r="S283">
        <f>IF(計分!S283="","",計分!S283^2)</f>
        <v/>
      </c>
      <c r="T283">
        <f>IF(計分!T283="","",計分!T283^2)</f>
        <v/>
      </c>
      <c r="U283">
        <f>IF(計分!U283="","",計分!U283^2)</f>
        <v/>
      </c>
      <c r="V283">
        <f>IF(計分!V283="","",計分!V283^2)</f>
        <v/>
      </c>
      <c r="W283">
        <f>IF(計分!W283="","",計分!W283^2)</f>
        <v/>
      </c>
      <c r="X283">
        <f>IF(計分!X283="","",計分!X283^2)</f>
        <v/>
      </c>
      <c r="Y283">
        <f>IF(計分!Y283="","",計分!Y283^2)</f>
        <v/>
      </c>
      <c r="Z283">
        <f>IF(計分!Z283="","",計分!Z283^2)</f>
        <v/>
      </c>
      <c r="AA283">
        <f>IF(計分!AA283="","",計分!AA283^2)</f>
        <v/>
      </c>
      <c r="AB283">
        <f>IF(計分!AB283="","",計分!AB283^2)</f>
        <v/>
      </c>
      <c r="AC283">
        <f>IF(計分!AC283="","",計分!AC283^2)</f>
        <v/>
      </c>
      <c r="AD283">
        <f>IF(計分!AD283="","",計分!AD283^2)</f>
        <v/>
      </c>
      <c r="AE283">
        <f>IF(計分!AE283="","",計分!AE283^2)</f>
        <v/>
      </c>
      <c r="AF283">
        <f>IF(計分!AF283="","",計分!AF283^2)</f>
        <v/>
      </c>
      <c r="AG283">
        <f>IF(計分!AG283="","",計分!AG283^2)</f>
        <v/>
      </c>
      <c r="AH283">
        <f>IF(計分!AH283="","",計分!AH283^2)</f>
        <v/>
      </c>
      <c r="AI283">
        <f>IF(計分!AI283="","",計分!AI283^2)</f>
        <v/>
      </c>
      <c r="AJ283">
        <f>IF(計分!AJ283="","",計分!AJ283^2)</f>
        <v/>
      </c>
      <c r="AK283">
        <f>IF(計分!AK283="","",計分!AK283^2)</f>
        <v/>
      </c>
      <c r="AL283">
        <f>IF(計分!AL283="","",計分!AL283^2)</f>
        <v/>
      </c>
      <c r="AM283">
        <f>IF(計分!AM283="","",計分!AM283^2)</f>
        <v/>
      </c>
      <c r="AN283">
        <f>IF(計分!AN283="","",計分!AN283^2)</f>
        <v/>
      </c>
      <c r="AO283">
        <f>IF(計分!AO283="","",計分!AO283^2)</f>
        <v/>
      </c>
    </row>
    <row r="284">
      <c r="B284">
        <f>IF(計分!B284="","",計分!B284^2)</f>
        <v/>
      </c>
      <c r="C284">
        <f>IF(計分!C284="","",計分!C284^2)</f>
        <v/>
      </c>
      <c r="D284">
        <f>IF(計分!D284="","",計分!D284^2)</f>
        <v/>
      </c>
      <c r="E284">
        <f>IF(計分!E284="","",計分!E284^2)</f>
        <v/>
      </c>
      <c r="F284">
        <f>IF(計分!F284="","",計分!F284^2)</f>
        <v/>
      </c>
      <c r="G284">
        <f>IF(計分!G284="","",計分!G284^2)</f>
        <v/>
      </c>
      <c r="H284">
        <f>IF(計分!H284="","",計分!H284^2)</f>
        <v/>
      </c>
      <c r="I284">
        <f>IF(計分!I284="","",計分!I284^2)</f>
        <v/>
      </c>
      <c r="J284">
        <f>IF(計分!J284="","",計分!J284^2)</f>
        <v/>
      </c>
      <c r="K284">
        <f>IF(計分!K284="","",計分!K284^2)</f>
        <v/>
      </c>
      <c r="L284">
        <f>IF(計分!L284="","",計分!L284^2)</f>
        <v/>
      </c>
      <c r="M284">
        <f>IF(計分!M284="","",計分!M284^2)</f>
        <v/>
      </c>
      <c r="N284">
        <f>IF(計分!N284="","",計分!N284^2)</f>
        <v/>
      </c>
      <c r="O284">
        <f>IF(計分!O284="","",計分!O284^2)</f>
        <v/>
      </c>
      <c r="P284">
        <f>IF(計分!P284="","",計分!P284^2)</f>
        <v/>
      </c>
      <c r="Q284">
        <f>IF(計分!Q284="","",計分!Q284^2)</f>
        <v/>
      </c>
      <c r="R284">
        <f>IF(計分!R284="","",計分!R284^2)</f>
        <v/>
      </c>
      <c r="S284">
        <f>IF(計分!S284="","",計分!S284^2)</f>
        <v/>
      </c>
      <c r="T284">
        <f>IF(計分!T284="","",計分!T284^2)</f>
        <v/>
      </c>
      <c r="U284">
        <f>IF(計分!U284="","",計分!U284^2)</f>
        <v/>
      </c>
      <c r="V284">
        <f>IF(計分!V284="","",計分!V284^2)</f>
        <v/>
      </c>
      <c r="W284">
        <f>IF(計分!W284="","",計分!W284^2)</f>
        <v/>
      </c>
      <c r="X284">
        <f>IF(計分!X284="","",計分!X284^2)</f>
        <v/>
      </c>
      <c r="Y284">
        <f>IF(計分!Y284="","",計分!Y284^2)</f>
        <v/>
      </c>
      <c r="Z284">
        <f>IF(計分!Z284="","",計分!Z284^2)</f>
        <v/>
      </c>
      <c r="AA284">
        <f>IF(計分!AA284="","",計分!AA284^2)</f>
        <v/>
      </c>
      <c r="AB284">
        <f>IF(計分!AB284="","",計分!AB284^2)</f>
        <v/>
      </c>
      <c r="AC284">
        <f>IF(計分!AC284="","",計分!AC284^2)</f>
        <v/>
      </c>
      <c r="AD284">
        <f>IF(計分!AD284="","",計分!AD284^2)</f>
        <v/>
      </c>
      <c r="AE284">
        <f>IF(計分!AE284="","",計分!AE284^2)</f>
        <v/>
      </c>
      <c r="AF284">
        <f>IF(計分!AF284="","",計分!AF284^2)</f>
        <v/>
      </c>
      <c r="AG284">
        <f>IF(計分!AG284="","",計分!AG284^2)</f>
        <v/>
      </c>
      <c r="AH284">
        <f>IF(計分!AH284="","",計分!AH284^2)</f>
        <v/>
      </c>
      <c r="AI284">
        <f>IF(計分!AI284="","",計分!AI284^2)</f>
        <v/>
      </c>
      <c r="AJ284">
        <f>IF(計分!AJ284="","",計分!AJ284^2)</f>
        <v/>
      </c>
      <c r="AK284">
        <f>IF(計分!AK284="","",計分!AK284^2)</f>
        <v/>
      </c>
      <c r="AL284">
        <f>IF(計分!AL284="","",計分!AL284^2)</f>
        <v/>
      </c>
      <c r="AM284">
        <f>IF(計分!AM284="","",計分!AM284^2)</f>
        <v/>
      </c>
      <c r="AN284">
        <f>IF(計分!AN284="","",計分!AN284^2)</f>
        <v/>
      </c>
      <c r="AO284">
        <f>IF(計分!AO284="","",計分!AO284^2)</f>
        <v/>
      </c>
    </row>
    <row r="285">
      <c r="B285">
        <f>IF(計分!B285="","",計分!B285^2)</f>
        <v/>
      </c>
      <c r="C285">
        <f>IF(計分!C285="","",計分!C285^2)</f>
        <v/>
      </c>
      <c r="D285">
        <f>IF(計分!D285="","",計分!D285^2)</f>
        <v/>
      </c>
      <c r="E285">
        <f>IF(計分!E285="","",計分!E285^2)</f>
        <v/>
      </c>
      <c r="F285">
        <f>IF(計分!F285="","",計分!F285^2)</f>
        <v/>
      </c>
      <c r="G285">
        <f>IF(計分!G285="","",計分!G285^2)</f>
        <v/>
      </c>
      <c r="H285">
        <f>IF(計分!H285="","",計分!H285^2)</f>
        <v/>
      </c>
      <c r="I285">
        <f>IF(計分!I285="","",計分!I285^2)</f>
        <v/>
      </c>
      <c r="J285">
        <f>IF(計分!J285="","",計分!J285^2)</f>
        <v/>
      </c>
      <c r="K285">
        <f>IF(計分!K285="","",計分!K285^2)</f>
        <v/>
      </c>
      <c r="L285">
        <f>IF(計分!L285="","",計分!L285^2)</f>
        <v/>
      </c>
      <c r="M285">
        <f>IF(計分!M285="","",計分!M285^2)</f>
        <v/>
      </c>
      <c r="N285">
        <f>IF(計分!N285="","",計分!N285^2)</f>
        <v/>
      </c>
      <c r="O285">
        <f>IF(計分!O285="","",計分!O285^2)</f>
        <v/>
      </c>
      <c r="P285">
        <f>IF(計分!P285="","",計分!P285^2)</f>
        <v/>
      </c>
      <c r="Q285">
        <f>IF(計分!Q285="","",計分!Q285^2)</f>
        <v/>
      </c>
      <c r="R285">
        <f>IF(計分!R285="","",計分!R285^2)</f>
        <v/>
      </c>
      <c r="S285">
        <f>IF(計分!S285="","",計分!S285^2)</f>
        <v/>
      </c>
      <c r="T285">
        <f>IF(計分!T285="","",計分!T285^2)</f>
        <v/>
      </c>
      <c r="U285">
        <f>IF(計分!U285="","",計分!U285^2)</f>
        <v/>
      </c>
      <c r="V285">
        <f>IF(計分!V285="","",計分!V285^2)</f>
        <v/>
      </c>
      <c r="W285">
        <f>IF(計分!W285="","",計分!W285^2)</f>
        <v/>
      </c>
      <c r="X285">
        <f>IF(計分!X285="","",計分!X285^2)</f>
        <v/>
      </c>
      <c r="Y285">
        <f>IF(計分!Y285="","",計分!Y285^2)</f>
        <v/>
      </c>
      <c r="Z285">
        <f>IF(計分!Z285="","",計分!Z285^2)</f>
        <v/>
      </c>
      <c r="AA285">
        <f>IF(計分!AA285="","",計分!AA285^2)</f>
        <v/>
      </c>
      <c r="AB285">
        <f>IF(計分!AB285="","",計分!AB285^2)</f>
        <v/>
      </c>
      <c r="AC285">
        <f>IF(計分!AC285="","",計分!AC285^2)</f>
        <v/>
      </c>
      <c r="AD285">
        <f>IF(計分!AD285="","",計分!AD285^2)</f>
        <v/>
      </c>
      <c r="AE285">
        <f>IF(計分!AE285="","",計分!AE285^2)</f>
        <v/>
      </c>
      <c r="AF285">
        <f>IF(計分!AF285="","",計分!AF285^2)</f>
        <v/>
      </c>
      <c r="AG285">
        <f>IF(計分!AG285="","",計分!AG285^2)</f>
        <v/>
      </c>
      <c r="AH285">
        <f>IF(計分!AH285="","",計分!AH285^2)</f>
        <v/>
      </c>
      <c r="AI285">
        <f>IF(計分!AI285="","",計分!AI285^2)</f>
        <v/>
      </c>
      <c r="AJ285">
        <f>IF(計分!AJ285="","",計分!AJ285^2)</f>
        <v/>
      </c>
      <c r="AK285">
        <f>IF(計分!AK285="","",計分!AK285^2)</f>
        <v/>
      </c>
      <c r="AL285">
        <f>IF(計分!AL285="","",計分!AL285^2)</f>
        <v/>
      </c>
      <c r="AM285">
        <f>IF(計分!AM285="","",計分!AM285^2)</f>
        <v/>
      </c>
      <c r="AN285">
        <f>IF(計分!AN285="","",計分!AN285^2)</f>
        <v/>
      </c>
      <c r="AO285">
        <f>IF(計分!AO285="","",計分!AO285^2)</f>
        <v/>
      </c>
    </row>
    <row r="286">
      <c r="B286">
        <f>IF(計分!B286="","",計分!B286^2)</f>
        <v/>
      </c>
      <c r="C286">
        <f>IF(計分!C286="","",計分!C286^2)</f>
        <v/>
      </c>
      <c r="D286">
        <f>IF(計分!D286="","",計分!D286^2)</f>
        <v/>
      </c>
      <c r="E286">
        <f>IF(計分!E286="","",計分!E286^2)</f>
        <v/>
      </c>
      <c r="F286">
        <f>IF(計分!F286="","",計分!F286^2)</f>
        <v/>
      </c>
      <c r="G286">
        <f>IF(計分!G286="","",計分!G286^2)</f>
        <v/>
      </c>
      <c r="H286">
        <f>IF(計分!H286="","",計分!H286^2)</f>
        <v/>
      </c>
      <c r="I286">
        <f>IF(計分!I286="","",計分!I286^2)</f>
        <v/>
      </c>
      <c r="J286">
        <f>IF(計分!J286="","",計分!J286^2)</f>
        <v/>
      </c>
      <c r="K286">
        <f>IF(計分!K286="","",計分!K286^2)</f>
        <v/>
      </c>
      <c r="L286">
        <f>IF(計分!L286="","",計分!L286^2)</f>
        <v/>
      </c>
      <c r="M286">
        <f>IF(計分!M286="","",計分!M286^2)</f>
        <v/>
      </c>
      <c r="N286">
        <f>IF(計分!N286="","",計分!N286^2)</f>
        <v/>
      </c>
      <c r="O286">
        <f>IF(計分!O286="","",計分!O286^2)</f>
        <v/>
      </c>
      <c r="P286">
        <f>IF(計分!P286="","",計分!P286^2)</f>
        <v/>
      </c>
      <c r="Q286">
        <f>IF(計分!Q286="","",計分!Q286^2)</f>
        <v/>
      </c>
      <c r="R286">
        <f>IF(計分!R286="","",計分!R286^2)</f>
        <v/>
      </c>
      <c r="S286">
        <f>IF(計分!S286="","",計分!S286^2)</f>
        <v/>
      </c>
      <c r="T286">
        <f>IF(計分!T286="","",計分!T286^2)</f>
        <v/>
      </c>
      <c r="U286">
        <f>IF(計分!U286="","",計分!U286^2)</f>
        <v/>
      </c>
      <c r="V286">
        <f>IF(計分!V286="","",計分!V286^2)</f>
        <v/>
      </c>
      <c r="W286">
        <f>IF(計分!W286="","",計分!W286^2)</f>
        <v/>
      </c>
      <c r="X286">
        <f>IF(計分!X286="","",計分!X286^2)</f>
        <v/>
      </c>
      <c r="Y286">
        <f>IF(計分!Y286="","",計分!Y286^2)</f>
        <v/>
      </c>
      <c r="Z286">
        <f>IF(計分!Z286="","",計分!Z286^2)</f>
        <v/>
      </c>
      <c r="AA286">
        <f>IF(計分!AA286="","",計分!AA286^2)</f>
        <v/>
      </c>
      <c r="AB286">
        <f>IF(計分!AB286="","",計分!AB286^2)</f>
        <v/>
      </c>
      <c r="AC286">
        <f>IF(計分!AC286="","",計分!AC286^2)</f>
        <v/>
      </c>
      <c r="AD286">
        <f>IF(計分!AD286="","",計分!AD286^2)</f>
        <v/>
      </c>
      <c r="AE286">
        <f>IF(計分!AE286="","",計分!AE286^2)</f>
        <v/>
      </c>
      <c r="AF286">
        <f>IF(計分!AF286="","",計分!AF286^2)</f>
        <v/>
      </c>
      <c r="AG286">
        <f>IF(計分!AG286="","",計分!AG286^2)</f>
        <v/>
      </c>
      <c r="AH286">
        <f>IF(計分!AH286="","",計分!AH286^2)</f>
        <v/>
      </c>
      <c r="AI286">
        <f>IF(計分!AI286="","",計分!AI286^2)</f>
        <v/>
      </c>
      <c r="AJ286">
        <f>IF(計分!AJ286="","",計分!AJ286^2)</f>
        <v/>
      </c>
      <c r="AK286">
        <f>IF(計分!AK286="","",計分!AK286^2)</f>
        <v/>
      </c>
      <c r="AL286">
        <f>IF(計分!AL286="","",計分!AL286^2)</f>
        <v/>
      </c>
      <c r="AM286">
        <f>IF(計分!AM286="","",計分!AM286^2)</f>
        <v/>
      </c>
      <c r="AN286">
        <f>IF(計分!AN286="","",計分!AN286^2)</f>
        <v/>
      </c>
      <c r="AO286">
        <f>IF(計分!AO286="","",計分!AO286^2)</f>
        <v/>
      </c>
    </row>
    <row r="287">
      <c r="B287">
        <f>IF(計分!B287="","",計分!B287^2)</f>
        <v/>
      </c>
      <c r="C287">
        <f>IF(計分!C287="","",計分!C287^2)</f>
        <v/>
      </c>
      <c r="D287">
        <f>IF(計分!D287="","",計分!D287^2)</f>
        <v/>
      </c>
      <c r="E287">
        <f>IF(計分!E287="","",計分!E287^2)</f>
        <v/>
      </c>
      <c r="F287">
        <f>IF(計分!F287="","",計分!F287^2)</f>
        <v/>
      </c>
      <c r="G287">
        <f>IF(計分!G287="","",計分!G287^2)</f>
        <v/>
      </c>
      <c r="H287">
        <f>IF(計分!H287="","",計分!H287^2)</f>
        <v/>
      </c>
      <c r="I287">
        <f>IF(計分!I287="","",計分!I287^2)</f>
        <v/>
      </c>
      <c r="J287">
        <f>IF(計分!J287="","",計分!J287^2)</f>
        <v/>
      </c>
      <c r="K287">
        <f>IF(計分!K287="","",計分!K287^2)</f>
        <v/>
      </c>
      <c r="L287">
        <f>IF(計分!L287="","",計分!L287^2)</f>
        <v/>
      </c>
      <c r="M287">
        <f>IF(計分!M287="","",計分!M287^2)</f>
        <v/>
      </c>
      <c r="N287">
        <f>IF(計分!N287="","",計分!N287^2)</f>
        <v/>
      </c>
      <c r="O287">
        <f>IF(計分!O287="","",計分!O287^2)</f>
        <v/>
      </c>
      <c r="P287">
        <f>IF(計分!P287="","",計分!P287^2)</f>
        <v/>
      </c>
      <c r="Q287">
        <f>IF(計分!Q287="","",計分!Q287^2)</f>
        <v/>
      </c>
      <c r="R287">
        <f>IF(計分!R287="","",計分!R287^2)</f>
        <v/>
      </c>
      <c r="S287">
        <f>IF(計分!S287="","",計分!S287^2)</f>
        <v/>
      </c>
      <c r="T287">
        <f>IF(計分!T287="","",計分!T287^2)</f>
        <v/>
      </c>
      <c r="U287">
        <f>IF(計分!U287="","",計分!U287^2)</f>
        <v/>
      </c>
      <c r="V287">
        <f>IF(計分!V287="","",計分!V287^2)</f>
        <v/>
      </c>
      <c r="W287">
        <f>IF(計分!W287="","",計分!W287^2)</f>
        <v/>
      </c>
      <c r="X287">
        <f>IF(計分!X287="","",計分!X287^2)</f>
        <v/>
      </c>
      <c r="Y287">
        <f>IF(計分!Y287="","",計分!Y287^2)</f>
        <v/>
      </c>
      <c r="Z287">
        <f>IF(計分!Z287="","",計分!Z287^2)</f>
        <v/>
      </c>
      <c r="AA287">
        <f>IF(計分!AA287="","",計分!AA287^2)</f>
        <v/>
      </c>
      <c r="AB287">
        <f>IF(計分!AB287="","",計分!AB287^2)</f>
        <v/>
      </c>
      <c r="AC287">
        <f>IF(計分!AC287="","",計分!AC287^2)</f>
        <v/>
      </c>
      <c r="AD287">
        <f>IF(計分!AD287="","",計分!AD287^2)</f>
        <v/>
      </c>
      <c r="AE287">
        <f>IF(計分!AE287="","",計分!AE287^2)</f>
        <v/>
      </c>
      <c r="AF287">
        <f>IF(計分!AF287="","",計分!AF287^2)</f>
        <v/>
      </c>
      <c r="AG287">
        <f>IF(計分!AG287="","",計分!AG287^2)</f>
        <v/>
      </c>
      <c r="AH287">
        <f>IF(計分!AH287="","",計分!AH287^2)</f>
        <v/>
      </c>
      <c r="AI287">
        <f>IF(計分!AI287="","",計分!AI287^2)</f>
        <v/>
      </c>
      <c r="AJ287">
        <f>IF(計分!AJ287="","",計分!AJ287^2)</f>
        <v/>
      </c>
      <c r="AK287">
        <f>IF(計分!AK287="","",計分!AK287^2)</f>
        <v/>
      </c>
      <c r="AL287">
        <f>IF(計分!AL287="","",計分!AL287^2)</f>
        <v/>
      </c>
      <c r="AM287">
        <f>IF(計分!AM287="","",計分!AM287^2)</f>
        <v/>
      </c>
      <c r="AN287">
        <f>IF(計分!AN287="","",計分!AN287^2)</f>
        <v/>
      </c>
      <c r="AO287">
        <f>IF(計分!AO287="","",計分!AO287^2)</f>
        <v/>
      </c>
    </row>
    <row r="288">
      <c r="B288">
        <f>IF(計分!B288="","",計分!B288^2)</f>
        <v/>
      </c>
      <c r="C288">
        <f>IF(計分!C288="","",計分!C288^2)</f>
        <v/>
      </c>
      <c r="D288">
        <f>IF(計分!D288="","",計分!D288^2)</f>
        <v/>
      </c>
      <c r="E288">
        <f>IF(計分!E288="","",計分!E288^2)</f>
        <v/>
      </c>
      <c r="F288">
        <f>IF(計分!F288="","",計分!F288^2)</f>
        <v/>
      </c>
      <c r="G288">
        <f>IF(計分!G288="","",計分!G288^2)</f>
        <v/>
      </c>
      <c r="H288">
        <f>IF(計分!H288="","",計分!H288^2)</f>
        <v/>
      </c>
      <c r="I288">
        <f>IF(計分!I288="","",計分!I288^2)</f>
        <v/>
      </c>
      <c r="J288">
        <f>IF(計分!J288="","",計分!J288^2)</f>
        <v/>
      </c>
      <c r="K288">
        <f>IF(計分!K288="","",計分!K288^2)</f>
        <v/>
      </c>
      <c r="L288">
        <f>IF(計分!L288="","",計分!L288^2)</f>
        <v/>
      </c>
      <c r="M288">
        <f>IF(計分!M288="","",計分!M288^2)</f>
        <v/>
      </c>
      <c r="N288">
        <f>IF(計分!N288="","",計分!N288^2)</f>
        <v/>
      </c>
      <c r="O288">
        <f>IF(計分!O288="","",計分!O288^2)</f>
        <v/>
      </c>
      <c r="P288">
        <f>IF(計分!P288="","",計分!P288^2)</f>
        <v/>
      </c>
      <c r="Q288">
        <f>IF(計分!Q288="","",計分!Q288^2)</f>
        <v/>
      </c>
      <c r="R288">
        <f>IF(計分!R288="","",計分!R288^2)</f>
        <v/>
      </c>
      <c r="S288">
        <f>IF(計分!S288="","",計分!S288^2)</f>
        <v/>
      </c>
      <c r="T288">
        <f>IF(計分!T288="","",計分!T288^2)</f>
        <v/>
      </c>
      <c r="U288">
        <f>IF(計分!U288="","",計分!U288^2)</f>
        <v/>
      </c>
      <c r="V288">
        <f>IF(計分!V288="","",計分!V288^2)</f>
        <v/>
      </c>
      <c r="W288">
        <f>IF(計分!W288="","",計分!W288^2)</f>
        <v/>
      </c>
      <c r="X288">
        <f>IF(計分!X288="","",計分!X288^2)</f>
        <v/>
      </c>
      <c r="Y288">
        <f>IF(計分!Y288="","",計分!Y288^2)</f>
        <v/>
      </c>
      <c r="Z288">
        <f>IF(計分!Z288="","",計分!Z288^2)</f>
        <v/>
      </c>
      <c r="AA288">
        <f>IF(計分!AA288="","",計分!AA288^2)</f>
        <v/>
      </c>
      <c r="AB288">
        <f>IF(計分!AB288="","",計分!AB288^2)</f>
        <v/>
      </c>
      <c r="AC288">
        <f>IF(計分!AC288="","",計分!AC288^2)</f>
        <v/>
      </c>
      <c r="AD288">
        <f>IF(計分!AD288="","",計分!AD288^2)</f>
        <v/>
      </c>
      <c r="AE288">
        <f>IF(計分!AE288="","",計分!AE288^2)</f>
        <v/>
      </c>
      <c r="AF288">
        <f>IF(計分!AF288="","",計分!AF288^2)</f>
        <v/>
      </c>
      <c r="AG288">
        <f>IF(計分!AG288="","",計分!AG288^2)</f>
        <v/>
      </c>
      <c r="AH288">
        <f>IF(計分!AH288="","",計分!AH288^2)</f>
        <v/>
      </c>
      <c r="AI288">
        <f>IF(計分!AI288="","",計分!AI288^2)</f>
        <v/>
      </c>
      <c r="AJ288">
        <f>IF(計分!AJ288="","",計分!AJ288^2)</f>
        <v/>
      </c>
      <c r="AK288">
        <f>IF(計分!AK288="","",計分!AK288^2)</f>
        <v/>
      </c>
      <c r="AL288">
        <f>IF(計分!AL288="","",計分!AL288^2)</f>
        <v/>
      </c>
      <c r="AM288">
        <f>IF(計分!AM288="","",計分!AM288^2)</f>
        <v/>
      </c>
      <c r="AN288">
        <f>IF(計分!AN288="","",計分!AN288^2)</f>
        <v/>
      </c>
      <c r="AO288">
        <f>IF(計分!AO288="","",計分!AO288^2)</f>
        <v/>
      </c>
    </row>
    <row r="289">
      <c r="B289">
        <f>IF(計分!B289="","",計分!B289^2)</f>
        <v/>
      </c>
      <c r="C289">
        <f>IF(計分!C289="","",計分!C289^2)</f>
        <v/>
      </c>
      <c r="D289">
        <f>IF(計分!D289="","",計分!D289^2)</f>
        <v/>
      </c>
      <c r="E289">
        <f>IF(計分!E289="","",計分!E289^2)</f>
        <v/>
      </c>
      <c r="F289">
        <f>IF(計分!F289="","",計分!F289^2)</f>
        <v/>
      </c>
      <c r="G289">
        <f>IF(計分!G289="","",計分!G289^2)</f>
        <v/>
      </c>
      <c r="H289">
        <f>IF(計分!H289="","",計分!H289^2)</f>
        <v/>
      </c>
      <c r="I289">
        <f>IF(計分!I289="","",計分!I289^2)</f>
        <v/>
      </c>
      <c r="J289">
        <f>IF(計分!J289="","",計分!J289^2)</f>
        <v/>
      </c>
      <c r="K289">
        <f>IF(計分!K289="","",計分!K289^2)</f>
        <v/>
      </c>
      <c r="L289">
        <f>IF(計分!L289="","",計分!L289^2)</f>
        <v/>
      </c>
      <c r="M289">
        <f>IF(計分!M289="","",計分!M289^2)</f>
        <v/>
      </c>
      <c r="N289">
        <f>IF(計分!N289="","",計分!N289^2)</f>
        <v/>
      </c>
      <c r="O289">
        <f>IF(計分!O289="","",計分!O289^2)</f>
        <v/>
      </c>
      <c r="P289">
        <f>IF(計分!P289="","",計分!P289^2)</f>
        <v/>
      </c>
      <c r="Q289">
        <f>IF(計分!Q289="","",計分!Q289^2)</f>
        <v/>
      </c>
      <c r="R289">
        <f>IF(計分!R289="","",計分!R289^2)</f>
        <v/>
      </c>
      <c r="S289">
        <f>IF(計分!S289="","",計分!S289^2)</f>
        <v/>
      </c>
      <c r="T289">
        <f>IF(計分!T289="","",計分!T289^2)</f>
        <v/>
      </c>
      <c r="U289">
        <f>IF(計分!U289="","",計分!U289^2)</f>
        <v/>
      </c>
      <c r="V289">
        <f>IF(計分!V289="","",計分!V289^2)</f>
        <v/>
      </c>
      <c r="W289">
        <f>IF(計分!W289="","",計分!W289^2)</f>
        <v/>
      </c>
      <c r="X289">
        <f>IF(計分!X289="","",計分!X289^2)</f>
        <v/>
      </c>
      <c r="Y289">
        <f>IF(計分!Y289="","",計分!Y289^2)</f>
        <v/>
      </c>
      <c r="Z289">
        <f>IF(計分!Z289="","",計分!Z289^2)</f>
        <v/>
      </c>
      <c r="AA289">
        <f>IF(計分!AA289="","",計分!AA289^2)</f>
        <v/>
      </c>
      <c r="AB289">
        <f>IF(計分!AB289="","",計分!AB289^2)</f>
        <v/>
      </c>
      <c r="AC289">
        <f>IF(計分!AC289="","",計分!AC289^2)</f>
        <v/>
      </c>
      <c r="AD289">
        <f>IF(計分!AD289="","",計分!AD289^2)</f>
        <v/>
      </c>
      <c r="AE289">
        <f>IF(計分!AE289="","",計分!AE289^2)</f>
        <v/>
      </c>
      <c r="AF289">
        <f>IF(計分!AF289="","",計分!AF289^2)</f>
        <v/>
      </c>
      <c r="AG289">
        <f>IF(計分!AG289="","",計分!AG289^2)</f>
        <v/>
      </c>
      <c r="AH289">
        <f>IF(計分!AH289="","",計分!AH289^2)</f>
        <v/>
      </c>
      <c r="AI289">
        <f>IF(計分!AI289="","",計分!AI289^2)</f>
        <v/>
      </c>
      <c r="AJ289">
        <f>IF(計分!AJ289="","",計分!AJ289^2)</f>
        <v/>
      </c>
      <c r="AK289">
        <f>IF(計分!AK289="","",計分!AK289^2)</f>
        <v/>
      </c>
      <c r="AL289">
        <f>IF(計分!AL289="","",計分!AL289^2)</f>
        <v/>
      </c>
      <c r="AM289">
        <f>IF(計分!AM289="","",計分!AM289^2)</f>
        <v/>
      </c>
      <c r="AN289">
        <f>IF(計分!AN289="","",計分!AN289^2)</f>
        <v/>
      </c>
      <c r="AO289">
        <f>IF(計分!AO289="","",計分!AO289^2)</f>
        <v/>
      </c>
    </row>
    <row r="290">
      <c r="B290">
        <f>IF(計分!B290="","",計分!B290^2)</f>
        <v/>
      </c>
      <c r="C290">
        <f>IF(計分!C290="","",計分!C290^2)</f>
        <v/>
      </c>
      <c r="D290">
        <f>IF(計分!D290="","",計分!D290^2)</f>
        <v/>
      </c>
      <c r="E290">
        <f>IF(計分!E290="","",計分!E290^2)</f>
        <v/>
      </c>
      <c r="F290">
        <f>IF(計分!F290="","",計分!F290^2)</f>
        <v/>
      </c>
      <c r="G290">
        <f>IF(計分!G290="","",計分!G290^2)</f>
        <v/>
      </c>
      <c r="H290">
        <f>IF(計分!H290="","",計分!H290^2)</f>
        <v/>
      </c>
      <c r="I290">
        <f>IF(計分!I290="","",計分!I290^2)</f>
        <v/>
      </c>
      <c r="J290">
        <f>IF(計分!J290="","",計分!J290^2)</f>
        <v/>
      </c>
      <c r="K290">
        <f>IF(計分!K290="","",計分!K290^2)</f>
        <v/>
      </c>
      <c r="L290">
        <f>IF(計分!L290="","",計分!L290^2)</f>
        <v/>
      </c>
      <c r="M290">
        <f>IF(計分!M290="","",計分!M290^2)</f>
        <v/>
      </c>
      <c r="N290">
        <f>IF(計分!N290="","",計分!N290^2)</f>
        <v/>
      </c>
      <c r="O290">
        <f>IF(計分!O290="","",計分!O290^2)</f>
        <v/>
      </c>
      <c r="P290">
        <f>IF(計分!P290="","",計分!P290^2)</f>
        <v/>
      </c>
      <c r="Q290">
        <f>IF(計分!Q290="","",計分!Q290^2)</f>
        <v/>
      </c>
      <c r="R290">
        <f>IF(計分!R290="","",計分!R290^2)</f>
        <v/>
      </c>
      <c r="S290">
        <f>IF(計分!S290="","",計分!S290^2)</f>
        <v/>
      </c>
      <c r="T290">
        <f>IF(計分!T290="","",計分!T290^2)</f>
        <v/>
      </c>
      <c r="U290">
        <f>IF(計分!U290="","",計分!U290^2)</f>
        <v/>
      </c>
      <c r="V290">
        <f>IF(計分!V290="","",計分!V290^2)</f>
        <v/>
      </c>
      <c r="W290">
        <f>IF(計分!W290="","",計分!W290^2)</f>
        <v/>
      </c>
      <c r="X290">
        <f>IF(計分!X290="","",計分!X290^2)</f>
        <v/>
      </c>
      <c r="Y290">
        <f>IF(計分!Y290="","",計分!Y290^2)</f>
        <v/>
      </c>
      <c r="Z290">
        <f>IF(計分!Z290="","",計分!Z290^2)</f>
        <v/>
      </c>
      <c r="AA290">
        <f>IF(計分!AA290="","",計分!AA290^2)</f>
        <v/>
      </c>
      <c r="AB290">
        <f>IF(計分!AB290="","",計分!AB290^2)</f>
        <v/>
      </c>
      <c r="AC290">
        <f>IF(計分!AC290="","",計分!AC290^2)</f>
        <v/>
      </c>
      <c r="AD290">
        <f>IF(計分!AD290="","",計分!AD290^2)</f>
        <v/>
      </c>
      <c r="AE290">
        <f>IF(計分!AE290="","",計分!AE290^2)</f>
        <v/>
      </c>
      <c r="AF290">
        <f>IF(計分!AF290="","",計分!AF290^2)</f>
        <v/>
      </c>
      <c r="AG290">
        <f>IF(計分!AG290="","",計分!AG290^2)</f>
        <v/>
      </c>
      <c r="AH290">
        <f>IF(計分!AH290="","",計分!AH290^2)</f>
        <v/>
      </c>
      <c r="AI290">
        <f>IF(計分!AI290="","",計分!AI290^2)</f>
        <v/>
      </c>
      <c r="AJ290">
        <f>IF(計分!AJ290="","",計分!AJ290^2)</f>
        <v/>
      </c>
      <c r="AK290">
        <f>IF(計分!AK290="","",計分!AK290^2)</f>
        <v/>
      </c>
      <c r="AL290">
        <f>IF(計分!AL290="","",計分!AL290^2)</f>
        <v/>
      </c>
      <c r="AM290">
        <f>IF(計分!AM290="","",計分!AM290^2)</f>
        <v/>
      </c>
      <c r="AN290">
        <f>IF(計分!AN290="","",計分!AN290^2)</f>
        <v/>
      </c>
      <c r="AO290">
        <f>IF(計分!AO290="","",計分!AO290^2)</f>
        <v/>
      </c>
    </row>
    <row r="291">
      <c r="B291">
        <f>IF(計分!B291="","",計分!B291^2)</f>
        <v/>
      </c>
      <c r="C291">
        <f>IF(計分!C291="","",計分!C291^2)</f>
        <v/>
      </c>
      <c r="D291">
        <f>IF(計分!D291="","",計分!D291^2)</f>
        <v/>
      </c>
      <c r="E291">
        <f>IF(計分!E291="","",計分!E291^2)</f>
        <v/>
      </c>
      <c r="F291">
        <f>IF(計分!F291="","",計分!F291^2)</f>
        <v/>
      </c>
      <c r="G291">
        <f>IF(計分!G291="","",計分!G291^2)</f>
        <v/>
      </c>
      <c r="H291">
        <f>IF(計分!H291="","",計分!H291^2)</f>
        <v/>
      </c>
      <c r="I291">
        <f>IF(計分!I291="","",計分!I291^2)</f>
        <v/>
      </c>
      <c r="J291">
        <f>IF(計分!J291="","",計分!J291^2)</f>
        <v/>
      </c>
      <c r="K291">
        <f>IF(計分!K291="","",計分!K291^2)</f>
        <v/>
      </c>
      <c r="L291">
        <f>IF(計分!L291="","",計分!L291^2)</f>
        <v/>
      </c>
      <c r="M291">
        <f>IF(計分!M291="","",計分!M291^2)</f>
        <v/>
      </c>
      <c r="N291">
        <f>IF(計分!N291="","",計分!N291^2)</f>
        <v/>
      </c>
      <c r="O291">
        <f>IF(計分!O291="","",計分!O291^2)</f>
        <v/>
      </c>
      <c r="P291">
        <f>IF(計分!P291="","",計分!P291^2)</f>
        <v/>
      </c>
      <c r="Q291">
        <f>IF(計分!Q291="","",計分!Q291^2)</f>
        <v/>
      </c>
      <c r="R291">
        <f>IF(計分!R291="","",計分!R291^2)</f>
        <v/>
      </c>
      <c r="S291">
        <f>IF(計分!S291="","",計分!S291^2)</f>
        <v/>
      </c>
      <c r="T291">
        <f>IF(計分!T291="","",計分!T291^2)</f>
        <v/>
      </c>
      <c r="U291">
        <f>IF(計分!U291="","",計分!U291^2)</f>
        <v/>
      </c>
      <c r="V291">
        <f>IF(計分!V291="","",計分!V291^2)</f>
        <v/>
      </c>
      <c r="W291">
        <f>IF(計分!W291="","",計分!W291^2)</f>
        <v/>
      </c>
      <c r="X291">
        <f>IF(計分!X291="","",計分!X291^2)</f>
        <v/>
      </c>
      <c r="Y291">
        <f>IF(計分!Y291="","",計分!Y291^2)</f>
        <v/>
      </c>
      <c r="Z291">
        <f>IF(計分!Z291="","",計分!Z291^2)</f>
        <v/>
      </c>
      <c r="AA291">
        <f>IF(計分!AA291="","",計分!AA291^2)</f>
        <v/>
      </c>
      <c r="AB291">
        <f>IF(計分!AB291="","",計分!AB291^2)</f>
        <v/>
      </c>
      <c r="AC291">
        <f>IF(計分!AC291="","",計分!AC291^2)</f>
        <v/>
      </c>
      <c r="AD291">
        <f>IF(計分!AD291="","",計分!AD291^2)</f>
        <v/>
      </c>
      <c r="AE291">
        <f>IF(計分!AE291="","",計分!AE291^2)</f>
        <v/>
      </c>
      <c r="AF291">
        <f>IF(計分!AF291="","",計分!AF291^2)</f>
        <v/>
      </c>
      <c r="AG291">
        <f>IF(計分!AG291="","",計分!AG291^2)</f>
        <v/>
      </c>
      <c r="AH291">
        <f>IF(計分!AH291="","",計分!AH291^2)</f>
        <v/>
      </c>
      <c r="AI291">
        <f>IF(計分!AI291="","",計分!AI291^2)</f>
        <v/>
      </c>
      <c r="AJ291">
        <f>IF(計分!AJ291="","",計分!AJ291^2)</f>
        <v/>
      </c>
      <c r="AK291">
        <f>IF(計分!AK291="","",計分!AK291^2)</f>
        <v/>
      </c>
      <c r="AL291">
        <f>IF(計分!AL291="","",計分!AL291^2)</f>
        <v/>
      </c>
      <c r="AM291">
        <f>IF(計分!AM291="","",計分!AM291^2)</f>
        <v/>
      </c>
      <c r="AN291">
        <f>IF(計分!AN291="","",計分!AN291^2)</f>
        <v/>
      </c>
      <c r="AO291">
        <f>IF(計分!AO291="","",計分!AO291^2)</f>
        <v/>
      </c>
    </row>
    <row r="292">
      <c r="B292">
        <f>IF(計分!B292="","",計分!B292^2)</f>
        <v/>
      </c>
      <c r="C292">
        <f>IF(計分!C292="","",計分!C292^2)</f>
        <v/>
      </c>
      <c r="D292">
        <f>IF(計分!D292="","",計分!D292^2)</f>
        <v/>
      </c>
      <c r="E292">
        <f>IF(計分!E292="","",計分!E292^2)</f>
        <v/>
      </c>
      <c r="F292">
        <f>IF(計分!F292="","",計分!F292^2)</f>
        <v/>
      </c>
      <c r="G292">
        <f>IF(計分!G292="","",計分!G292^2)</f>
        <v/>
      </c>
      <c r="H292">
        <f>IF(計分!H292="","",計分!H292^2)</f>
        <v/>
      </c>
      <c r="I292">
        <f>IF(計分!I292="","",計分!I292^2)</f>
        <v/>
      </c>
      <c r="J292">
        <f>IF(計分!J292="","",計分!J292^2)</f>
        <v/>
      </c>
      <c r="K292">
        <f>IF(計分!K292="","",計分!K292^2)</f>
        <v/>
      </c>
      <c r="L292">
        <f>IF(計分!L292="","",計分!L292^2)</f>
        <v/>
      </c>
      <c r="M292">
        <f>IF(計分!M292="","",計分!M292^2)</f>
        <v/>
      </c>
      <c r="N292">
        <f>IF(計分!N292="","",計分!N292^2)</f>
        <v/>
      </c>
      <c r="O292">
        <f>IF(計分!O292="","",計分!O292^2)</f>
        <v/>
      </c>
      <c r="P292">
        <f>IF(計分!P292="","",計分!P292^2)</f>
        <v/>
      </c>
      <c r="Q292">
        <f>IF(計分!Q292="","",計分!Q292^2)</f>
        <v/>
      </c>
      <c r="R292">
        <f>IF(計分!R292="","",計分!R292^2)</f>
        <v/>
      </c>
      <c r="S292">
        <f>IF(計分!S292="","",計分!S292^2)</f>
        <v/>
      </c>
      <c r="T292">
        <f>IF(計分!T292="","",計分!T292^2)</f>
        <v/>
      </c>
      <c r="U292">
        <f>IF(計分!U292="","",計分!U292^2)</f>
        <v/>
      </c>
      <c r="V292">
        <f>IF(計分!V292="","",計分!V292^2)</f>
        <v/>
      </c>
      <c r="W292">
        <f>IF(計分!W292="","",計分!W292^2)</f>
        <v/>
      </c>
      <c r="X292">
        <f>IF(計分!X292="","",計分!X292^2)</f>
        <v/>
      </c>
      <c r="Y292">
        <f>IF(計分!Y292="","",計分!Y292^2)</f>
        <v/>
      </c>
      <c r="Z292">
        <f>IF(計分!Z292="","",計分!Z292^2)</f>
        <v/>
      </c>
      <c r="AA292">
        <f>IF(計分!AA292="","",計分!AA292^2)</f>
        <v/>
      </c>
      <c r="AB292">
        <f>IF(計分!AB292="","",計分!AB292^2)</f>
        <v/>
      </c>
      <c r="AC292">
        <f>IF(計分!AC292="","",計分!AC292^2)</f>
        <v/>
      </c>
      <c r="AD292">
        <f>IF(計分!AD292="","",計分!AD292^2)</f>
        <v/>
      </c>
      <c r="AE292">
        <f>IF(計分!AE292="","",計分!AE292^2)</f>
        <v/>
      </c>
      <c r="AF292">
        <f>IF(計分!AF292="","",計分!AF292^2)</f>
        <v/>
      </c>
      <c r="AG292">
        <f>IF(計分!AG292="","",計分!AG292^2)</f>
        <v/>
      </c>
      <c r="AH292">
        <f>IF(計分!AH292="","",計分!AH292^2)</f>
        <v/>
      </c>
      <c r="AI292">
        <f>IF(計分!AI292="","",計分!AI292^2)</f>
        <v/>
      </c>
      <c r="AJ292">
        <f>IF(計分!AJ292="","",計分!AJ292^2)</f>
        <v/>
      </c>
      <c r="AK292">
        <f>IF(計分!AK292="","",計分!AK292^2)</f>
        <v/>
      </c>
      <c r="AL292">
        <f>IF(計分!AL292="","",計分!AL292^2)</f>
        <v/>
      </c>
      <c r="AM292">
        <f>IF(計分!AM292="","",計分!AM292^2)</f>
        <v/>
      </c>
      <c r="AN292">
        <f>IF(計分!AN292="","",計分!AN292^2)</f>
        <v/>
      </c>
      <c r="AO292">
        <f>IF(計分!AO292="","",計分!AO292^2)</f>
        <v/>
      </c>
    </row>
    <row r="293">
      <c r="B293">
        <f>IF(計分!B293="","",計分!B293^2)</f>
        <v/>
      </c>
      <c r="C293">
        <f>IF(計分!C293="","",計分!C293^2)</f>
        <v/>
      </c>
      <c r="D293">
        <f>IF(計分!D293="","",計分!D293^2)</f>
        <v/>
      </c>
      <c r="E293">
        <f>IF(計分!E293="","",計分!E293^2)</f>
        <v/>
      </c>
      <c r="F293">
        <f>IF(計分!F293="","",計分!F293^2)</f>
        <v/>
      </c>
      <c r="G293">
        <f>IF(計分!G293="","",計分!G293^2)</f>
        <v/>
      </c>
      <c r="H293">
        <f>IF(計分!H293="","",計分!H293^2)</f>
        <v/>
      </c>
      <c r="I293">
        <f>IF(計分!I293="","",計分!I293^2)</f>
        <v/>
      </c>
      <c r="J293">
        <f>IF(計分!J293="","",計分!J293^2)</f>
        <v/>
      </c>
      <c r="K293">
        <f>IF(計分!K293="","",計分!K293^2)</f>
        <v/>
      </c>
      <c r="L293">
        <f>IF(計分!L293="","",計分!L293^2)</f>
        <v/>
      </c>
      <c r="M293">
        <f>IF(計分!M293="","",計分!M293^2)</f>
        <v/>
      </c>
      <c r="N293">
        <f>IF(計分!N293="","",計分!N293^2)</f>
        <v/>
      </c>
      <c r="O293">
        <f>IF(計分!O293="","",計分!O293^2)</f>
        <v/>
      </c>
      <c r="P293">
        <f>IF(計分!P293="","",計分!P293^2)</f>
        <v/>
      </c>
      <c r="Q293">
        <f>IF(計分!Q293="","",計分!Q293^2)</f>
        <v/>
      </c>
      <c r="R293">
        <f>IF(計分!R293="","",計分!R293^2)</f>
        <v/>
      </c>
      <c r="S293">
        <f>IF(計分!S293="","",計分!S293^2)</f>
        <v/>
      </c>
      <c r="T293">
        <f>IF(計分!T293="","",計分!T293^2)</f>
        <v/>
      </c>
      <c r="U293">
        <f>IF(計分!U293="","",計分!U293^2)</f>
        <v/>
      </c>
      <c r="V293">
        <f>IF(計分!V293="","",計分!V293^2)</f>
        <v/>
      </c>
      <c r="W293">
        <f>IF(計分!W293="","",計分!W293^2)</f>
        <v/>
      </c>
      <c r="X293">
        <f>IF(計分!X293="","",計分!X293^2)</f>
        <v/>
      </c>
      <c r="Y293">
        <f>IF(計分!Y293="","",計分!Y293^2)</f>
        <v/>
      </c>
      <c r="Z293">
        <f>IF(計分!Z293="","",計分!Z293^2)</f>
        <v/>
      </c>
      <c r="AA293">
        <f>IF(計分!AA293="","",計分!AA293^2)</f>
        <v/>
      </c>
      <c r="AB293">
        <f>IF(計分!AB293="","",計分!AB293^2)</f>
        <v/>
      </c>
      <c r="AC293">
        <f>IF(計分!AC293="","",計分!AC293^2)</f>
        <v/>
      </c>
      <c r="AD293">
        <f>IF(計分!AD293="","",計分!AD293^2)</f>
        <v/>
      </c>
      <c r="AE293">
        <f>IF(計分!AE293="","",計分!AE293^2)</f>
        <v/>
      </c>
      <c r="AF293">
        <f>IF(計分!AF293="","",計分!AF293^2)</f>
        <v/>
      </c>
      <c r="AG293">
        <f>IF(計分!AG293="","",計分!AG293^2)</f>
        <v/>
      </c>
      <c r="AH293">
        <f>IF(計分!AH293="","",計分!AH293^2)</f>
        <v/>
      </c>
      <c r="AI293">
        <f>IF(計分!AI293="","",計分!AI293^2)</f>
        <v/>
      </c>
      <c r="AJ293">
        <f>IF(計分!AJ293="","",計分!AJ293^2)</f>
        <v/>
      </c>
      <c r="AK293">
        <f>IF(計分!AK293="","",計分!AK293^2)</f>
        <v/>
      </c>
      <c r="AL293">
        <f>IF(計分!AL293="","",計分!AL293^2)</f>
        <v/>
      </c>
      <c r="AM293">
        <f>IF(計分!AM293="","",計分!AM293^2)</f>
        <v/>
      </c>
      <c r="AN293">
        <f>IF(計分!AN293="","",計分!AN293^2)</f>
        <v/>
      </c>
      <c r="AO293">
        <f>IF(計分!AO293="","",計分!AO293^2)</f>
        <v/>
      </c>
    </row>
    <row r="294">
      <c r="B294">
        <f>IF(計分!B294="","",計分!B294^2)</f>
        <v/>
      </c>
      <c r="C294">
        <f>IF(計分!C294="","",計分!C294^2)</f>
        <v/>
      </c>
      <c r="D294">
        <f>IF(計分!D294="","",計分!D294^2)</f>
        <v/>
      </c>
      <c r="E294">
        <f>IF(計分!E294="","",計分!E294^2)</f>
        <v/>
      </c>
      <c r="F294">
        <f>IF(計分!F294="","",計分!F294^2)</f>
        <v/>
      </c>
      <c r="G294">
        <f>IF(計分!G294="","",計分!G294^2)</f>
        <v/>
      </c>
      <c r="H294">
        <f>IF(計分!H294="","",計分!H294^2)</f>
        <v/>
      </c>
      <c r="I294">
        <f>IF(計分!I294="","",計分!I294^2)</f>
        <v/>
      </c>
      <c r="J294">
        <f>IF(計分!J294="","",計分!J294^2)</f>
        <v/>
      </c>
      <c r="K294">
        <f>IF(計分!K294="","",計分!K294^2)</f>
        <v/>
      </c>
      <c r="L294">
        <f>IF(計分!L294="","",計分!L294^2)</f>
        <v/>
      </c>
      <c r="M294">
        <f>IF(計分!M294="","",計分!M294^2)</f>
        <v/>
      </c>
      <c r="N294">
        <f>IF(計分!N294="","",計分!N294^2)</f>
        <v/>
      </c>
      <c r="O294">
        <f>IF(計分!O294="","",計分!O294^2)</f>
        <v/>
      </c>
      <c r="P294">
        <f>IF(計分!P294="","",計分!P294^2)</f>
        <v/>
      </c>
      <c r="Q294">
        <f>IF(計分!Q294="","",計分!Q294^2)</f>
        <v/>
      </c>
      <c r="R294">
        <f>IF(計分!R294="","",計分!R294^2)</f>
        <v/>
      </c>
      <c r="S294">
        <f>IF(計分!S294="","",計分!S294^2)</f>
        <v/>
      </c>
      <c r="T294">
        <f>IF(計分!T294="","",計分!T294^2)</f>
        <v/>
      </c>
      <c r="U294">
        <f>IF(計分!U294="","",計分!U294^2)</f>
        <v/>
      </c>
      <c r="V294">
        <f>IF(計分!V294="","",計分!V294^2)</f>
        <v/>
      </c>
      <c r="W294">
        <f>IF(計分!W294="","",計分!W294^2)</f>
        <v/>
      </c>
      <c r="X294">
        <f>IF(計分!X294="","",計分!X294^2)</f>
        <v/>
      </c>
      <c r="Y294">
        <f>IF(計分!Y294="","",計分!Y294^2)</f>
        <v/>
      </c>
      <c r="Z294">
        <f>IF(計分!Z294="","",計分!Z294^2)</f>
        <v/>
      </c>
      <c r="AA294">
        <f>IF(計分!AA294="","",計分!AA294^2)</f>
        <v/>
      </c>
      <c r="AB294">
        <f>IF(計分!AB294="","",計分!AB294^2)</f>
        <v/>
      </c>
      <c r="AC294">
        <f>IF(計分!AC294="","",計分!AC294^2)</f>
        <v/>
      </c>
      <c r="AD294">
        <f>IF(計分!AD294="","",計分!AD294^2)</f>
        <v/>
      </c>
      <c r="AE294">
        <f>IF(計分!AE294="","",計分!AE294^2)</f>
        <v/>
      </c>
      <c r="AF294">
        <f>IF(計分!AF294="","",計分!AF294^2)</f>
        <v/>
      </c>
      <c r="AG294">
        <f>IF(計分!AG294="","",計分!AG294^2)</f>
        <v/>
      </c>
      <c r="AH294">
        <f>IF(計分!AH294="","",計分!AH294^2)</f>
        <v/>
      </c>
      <c r="AI294">
        <f>IF(計分!AI294="","",計分!AI294^2)</f>
        <v/>
      </c>
      <c r="AJ294">
        <f>IF(計分!AJ294="","",計分!AJ294^2)</f>
        <v/>
      </c>
      <c r="AK294">
        <f>IF(計分!AK294="","",計分!AK294^2)</f>
        <v/>
      </c>
      <c r="AL294">
        <f>IF(計分!AL294="","",計分!AL294^2)</f>
        <v/>
      </c>
      <c r="AM294">
        <f>IF(計分!AM294="","",計分!AM294^2)</f>
        <v/>
      </c>
      <c r="AN294">
        <f>IF(計分!AN294="","",計分!AN294^2)</f>
        <v/>
      </c>
      <c r="AO294">
        <f>IF(計分!AO294="","",計分!AO294^2)</f>
        <v/>
      </c>
    </row>
    <row r="295">
      <c r="B295">
        <f>IF(計分!B295="","",計分!B295^2)</f>
        <v/>
      </c>
      <c r="C295">
        <f>IF(計分!C295="","",計分!C295^2)</f>
        <v/>
      </c>
      <c r="D295">
        <f>IF(計分!D295="","",計分!D295^2)</f>
        <v/>
      </c>
      <c r="E295">
        <f>IF(計分!E295="","",計分!E295^2)</f>
        <v/>
      </c>
      <c r="F295">
        <f>IF(計分!F295="","",計分!F295^2)</f>
        <v/>
      </c>
      <c r="G295">
        <f>IF(計分!G295="","",計分!G295^2)</f>
        <v/>
      </c>
      <c r="H295">
        <f>IF(計分!H295="","",計分!H295^2)</f>
        <v/>
      </c>
      <c r="I295">
        <f>IF(計分!I295="","",計分!I295^2)</f>
        <v/>
      </c>
      <c r="J295">
        <f>IF(計分!J295="","",計分!J295^2)</f>
        <v/>
      </c>
      <c r="K295">
        <f>IF(計分!K295="","",計分!K295^2)</f>
        <v/>
      </c>
      <c r="L295">
        <f>IF(計分!L295="","",計分!L295^2)</f>
        <v/>
      </c>
      <c r="M295">
        <f>IF(計分!M295="","",計分!M295^2)</f>
        <v/>
      </c>
      <c r="N295">
        <f>IF(計分!N295="","",計分!N295^2)</f>
        <v/>
      </c>
      <c r="O295">
        <f>IF(計分!O295="","",計分!O295^2)</f>
        <v/>
      </c>
      <c r="P295">
        <f>IF(計分!P295="","",計分!P295^2)</f>
        <v/>
      </c>
      <c r="Q295">
        <f>IF(計分!Q295="","",計分!Q295^2)</f>
        <v/>
      </c>
      <c r="R295">
        <f>IF(計分!R295="","",計分!R295^2)</f>
        <v/>
      </c>
      <c r="S295">
        <f>IF(計分!S295="","",計分!S295^2)</f>
        <v/>
      </c>
      <c r="T295">
        <f>IF(計分!T295="","",計分!T295^2)</f>
        <v/>
      </c>
      <c r="U295">
        <f>IF(計分!U295="","",計分!U295^2)</f>
        <v/>
      </c>
      <c r="V295">
        <f>IF(計分!V295="","",計分!V295^2)</f>
        <v/>
      </c>
      <c r="W295">
        <f>IF(計分!W295="","",計分!W295^2)</f>
        <v/>
      </c>
      <c r="X295">
        <f>IF(計分!X295="","",計分!X295^2)</f>
        <v/>
      </c>
      <c r="Y295">
        <f>IF(計分!Y295="","",計分!Y295^2)</f>
        <v/>
      </c>
      <c r="Z295">
        <f>IF(計分!Z295="","",計分!Z295^2)</f>
        <v/>
      </c>
      <c r="AA295">
        <f>IF(計分!AA295="","",計分!AA295^2)</f>
        <v/>
      </c>
      <c r="AB295">
        <f>IF(計分!AB295="","",計分!AB295^2)</f>
        <v/>
      </c>
      <c r="AC295">
        <f>IF(計分!AC295="","",計分!AC295^2)</f>
        <v/>
      </c>
      <c r="AD295">
        <f>IF(計分!AD295="","",計分!AD295^2)</f>
        <v/>
      </c>
      <c r="AE295">
        <f>IF(計分!AE295="","",計分!AE295^2)</f>
        <v/>
      </c>
      <c r="AF295">
        <f>IF(計分!AF295="","",計分!AF295^2)</f>
        <v/>
      </c>
      <c r="AG295">
        <f>IF(計分!AG295="","",計分!AG295^2)</f>
        <v/>
      </c>
      <c r="AH295">
        <f>IF(計分!AH295="","",計分!AH295^2)</f>
        <v/>
      </c>
      <c r="AI295">
        <f>IF(計分!AI295="","",計分!AI295^2)</f>
        <v/>
      </c>
      <c r="AJ295">
        <f>IF(計分!AJ295="","",計分!AJ295^2)</f>
        <v/>
      </c>
      <c r="AK295">
        <f>IF(計分!AK295="","",計分!AK295^2)</f>
        <v/>
      </c>
      <c r="AL295">
        <f>IF(計分!AL295="","",計分!AL295^2)</f>
        <v/>
      </c>
      <c r="AM295">
        <f>IF(計分!AM295="","",計分!AM295^2)</f>
        <v/>
      </c>
      <c r="AN295">
        <f>IF(計分!AN295="","",計分!AN295^2)</f>
        <v/>
      </c>
      <c r="AO295">
        <f>IF(計分!AO295="","",計分!AO295^2)</f>
        <v/>
      </c>
    </row>
    <row r="296">
      <c r="B296">
        <f>IF(計分!B296="","",計分!B296^2)</f>
        <v/>
      </c>
      <c r="C296">
        <f>IF(計分!C296="","",計分!C296^2)</f>
        <v/>
      </c>
      <c r="D296">
        <f>IF(計分!D296="","",計分!D296^2)</f>
        <v/>
      </c>
      <c r="E296">
        <f>IF(計分!E296="","",計分!E296^2)</f>
        <v/>
      </c>
      <c r="F296">
        <f>IF(計分!F296="","",計分!F296^2)</f>
        <v/>
      </c>
      <c r="G296">
        <f>IF(計分!G296="","",計分!G296^2)</f>
        <v/>
      </c>
      <c r="H296">
        <f>IF(計分!H296="","",計分!H296^2)</f>
        <v/>
      </c>
      <c r="I296">
        <f>IF(計分!I296="","",計分!I296^2)</f>
        <v/>
      </c>
      <c r="J296">
        <f>IF(計分!J296="","",計分!J296^2)</f>
        <v/>
      </c>
      <c r="K296">
        <f>IF(計分!K296="","",計分!K296^2)</f>
        <v/>
      </c>
      <c r="L296">
        <f>IF(計分!L296="","",計分!L296^2)</f>
        <v/>
      </c>
      <c r="M296">
        <f>IF(計分!M296="","",計分!M296^2)</f>
        <v/>
      </c>
      <c r="N296">
        <f>IF(計分!N296="","",計分!N296^2)</f>
        <v/>
      </c>
      <c r="O296">
        <f>IF(計分!O296="","",計分!O296^2)</f>
        <v/>
      </c>
      <c r="P296">
        <f>IF(計分!P296="","",計分!P296^2)</f>
        <v/>
      </c>
      <c r="Q296">
        <f>IF(計分!Q296="","",計分!Q296^2)</f>
        <v/>
      </c>
      <c r="R296">
        <f>IF(計分!R296="","",計分!R296^2)</f>
        <v/>
      </c>
      <c r="S296">
        <f>IF(計分!S296="","",計分!S296^2)</f>
        <v/>
      </c>
      <c r="T296">
        <f>IF(計分!T296="","",計分!T296^2)</f>
        <v/>
      </c>
      <c r="U296">
        <f>IF(計分!U296="","",計分!U296^2)</f>
        <v/>
      </c>
      <c r="V296">
        <f>IF(計分!V296="","",計分!V296^2)</f>
        <v/>
      </c>
      <c r="W296">
        <f>IF(計分!W296="","",計分!W296^2)</f>
        <v/>
      </c>
      <c r="X296">
        <f>IF(計分!X296="","",計分!X296^2)</f>
        <v/>
      </c>
      <c r="Y296">
        <f>IF(計分!Y296="","",計分!Y296^2)</f>
        <v/>
      </c>
      <c r="Z296">
        <f>IF(計分!Z296="","",計分!Z296^2)</f>
        <v/>
      </c>
      <c r="AA296">
        <f>IF(計分!AA296="","",計分!AA296^2)</f>
        <v/>
      </c>
      <c r="AB296">
        <f>IF(計分!AB296="","",計分!AB296^2)</f>
        <v/>
      </c>
      <c r="AC296">
        <f>IF(計分!AC296="","",計分!AC296^2)</f>
        <v/>
      </c>
      <c r="AD296">
        <f>IF(計分!AD296="","",計分!AD296^2)</f>
        <v/>
      </c>
      <c r="AE296">
        <f>IF(計分!AE296="","",計分!AE296^2)</f>
        <v/>
      </c>
      <c r="AF296">
        <f>IF(計分!AF296="","",計分!AF296^2)</f>
        <v/>
      </c>
      <c r="AG296">
        <f>IF(計分!AG296="","",計分!AG296^2)</f>
        <v/>
      </c>
      <c r="AH296">
        <f>IF(計分!AH296="","",計分!AH296^2)</f>
        <v/>
      </c>
      <c r="AI296">
        <f>IF(計分!AI296="","",計分!AI296^2)</f>
        <v/>
      </c>
      <c r="AJ296">
        <f>IF(計分!AJ296="","",計分!AJ296^2)</f>
        <v/>
      </c>
      <c r="AK296">
        <f>IF(計分!AK296="","",計分!AK296^2)</f>
        <v/>
      </c>
      <c r="AL296">
        <f>IF(計分!AL296="","",計分!AL296^2)</f>
        <v/>
      </c>
      <c r="AM296">
        <f>IF(計分!AM296="","",計分!AM296^2)</f>
        <v/>
      </c>
      <c r="AN296">
        <f>IF(計分!AN296="","",計分!AN296^2)</f>
        <v/>
      </c>
      <c r="AO296">
        <f>IF(計分!AO296="","",計分!AO296^2)</f>
        <v/>
      </c>
    </row>
    <row r="297">
      <c r="B297">
        <f>IF(計分!B297="","",計分!B297^2)</f>
        <v/>
      </c>
      <c r="C297">
        <f>IF(計分!C297="","",計分!C297^2)</f>
        <v/>
      </c>
      <c r="D297">
        <f>IF(計分!D297="","",計分!D297^2)</f>
        <v/>
      </c>
      <c r="E297">
        <f>IF(計分!E297="","",計分!E297^2)</f>
        <v/>
      </c>
      <c r="F297">
        <f>IF(計分!F297="","",計分!F297^2)</f>
        <v/>
      </c>
      <c r="G297">
        <f>IF(計分!G297="","",計分!G297^2)</f>
        <v/>
      </c>
      <c r="H297">
        <f>IF(計分!H297="","",計分!H297^2)</f>
        <v/>
      </c>
      <c r="I297">
        <f>IF(計分!I297="","",計分!I297^2)</f>
        <v/>
      </c>
      <c r="J297">
        <f>IF(計分!J297="","",計分!J297^2)</f>
        <v/>
      </c>
      <c r="K297">
        <f>IF(計分!K297="","",計分!K297^2)</f>
        <v/>
      </c>
      <c r="L297">
        <f>IF(計分!L297="","",計分!L297^2)</f>
        <v/>
      </c>
      <c r="M297">
        <f>IF(計分!M297="","",計分!M297^2)</f>
        <v/>
      </c>
      <c r="N297">
        <f>IF(計分!N297="","",計分!N297^2)</f>
        <v/>
      </c>
      <c r="O297">
        <f>IF(計分!O297="","",計分!O297^2)</f>
        <v/>
      </c>
      <c r="P297">
        <f>IF(計分!P297="","",計分!P297^2)</f>
        <v/>
      </c>
      <c r="Q297">
        <f>IF(計分!Q297="","",計分!Q297^2)</f>
        <v/>
      </c>
      <c r="R297">
        <f>IF(計分!R297="","",計分!R297^2)</f>
        <v/>
      </c>
      <c r="S297">
        <f>IF(計分!S297="","",計分!S297^2)</f>
        <v/>
      </c>
      <c r="T297">
        <f>IF(計分!T297="","",計分!T297^2)</f>
        <v/>
      </c>
      <c r="U297">
        <f>IF(計分!U297="","",計分!U297^2)</f>
        <v/>
      </c>
      <c r="V297">
        <f>IF(計分!V297="","",計分!V297^2)</f>
        <v/>
      </c>
      <c r="W297">
        <f>IF(計分!W297="","",計分!W297^2)</f>
        <v/>
      </c>
      <c r="X297">
        <f>IF(計分!X297="","",計分!X297^2)</f>
        <v/>
      </c>
      <c r="Y297">
        <f>IF(計分!Y297="","",計分!Y297^2)</f>
        <v/>
      </c>
      <c r="Z297">
        <f>IF(計分!Z297="","",計分!Z297^2)</f>
        <v/>
      </c>
      <c r="AA297">
        <f>IF(計分!AA297="","",計分!AA297^2)</f>
        <v/>
      </c>
      <c r="AB297">
        <f>IF(計分!AB297="","",計分!AB297^2)</f>
        <v/>
      </c>
      <c r="AC297">
        <f>IF(計分!AC297="","",計分!AC297^2)</f>
        <v/>
      </c>
      <c r="AD297">
        <f>IF(計分!AD297="","",計分!AD297^2)</f>
        <v/>
      </c>
      <c r="AE297">
        <f>IF(計分!AE297="","",計分!AE297^2)</f>
        <v/>
      </c>
      <c r="AF297">
        <f>IF(計分!AF297="","",計分!AF297^2)</f>
        <v/>
      </c>
      <c r="AG297">
        <f>IF(計分!AG297="","",計分!AG297^2)</f>
        <v/>
      </c>
      <c r="AH297">
        <f>IF(計分!AH297="","",計分!AH297^2)</f>
        <v/>
      </c>
      <c r="AI297">
        <f>IF(計分!AI297="","",計分!AI297^2)</f>
        <v/>
      </c>
      <c r="AJ297">
        <f>IF(計分!AJ297="","",計分!AJ297^2)</f>
        <v/>
      </c>
      <c r="AK297">
        <f>IF(計分!AK297="","",計分!AK297^2)</f>
        <v/>
      </c>
      <c r="AL297">
        <f>IF(計分!AL297="","",計分!AL297^2)</f>
        <v/>
      </c>
      <c r="AM297">
        <f>IF(計分!AM297="","",計分!AM297^2)</f>
        <v/>
      </c>
      <c r="AN297">
        <f>IF(計分!AN297="","",計分!AN297^2)</f>
        <v/>
      </c>
      <c r="AO297">
        <f>IF(計分!AO297="","",計分!AO297^2)</f>
        <v/>
      </c>
    </row>
    <row r="298">
      <c r="B298">
        <f>IF(計分!B298="","",計分!B298^2)</f>
        <v/>
      </c>
      <c r="C298">
        <f>IF(計分!C298="","",計分!C298^2)</f>
        <v/>
      </c>
      <c r="D298">
        <f>IF(計分!D298="","",計分!D298^2)</f>
        <v/>
      </c>
      <c r="E298">
        <f>IF(計分!E298="","",計分!E298^2)</f>
        <v/>
      </c>
      <c r="F298">
        <f>IF(計分!F298="","",計分!F298^2)</f>
        <v/>
      </c>
      <c r="G298">
        <f>IF(計分!G298="","",計分!G298^2)</f>
        <v/>
      </c>
      <c r="H298">
        <f>IF(計分!H298="","",計分!H298^2)</f>
        <v/>
      </c>
      <c r="I298">
        <f>IF(計分!I298="","",計分!I298^2)</f>
        <v/>
      </c>
      <c r="J298">
        <f>IF(計分!J298="","",計分!J298^2)</f>
        <v/>
      </c>
      <c r="K298">
        <f>IF(計分!K298="","",計分!K298^2)</f>
        <v/>
      </c>
      <c r="L298">
        <f>IF(計分!L298="","",計分!L298^2)</f>
        <v/>
      </c>
      <c r="M298">
        <f>IF(計分!M298="","",計分!M298^2)</f>
        <v/>
      </c>
      <c r="N298">
        <f>IF(計分!N298="","",計分!N298^2)</f>
        <v/>
      </c>
      <c r="O298">
        <f>IF(計分!O298="","",計分!O298^2)</f>
        <v/>
      </c>
      <c r="P298">
        <f>IF(計分!P298="","",計分!P298^2)</f>
        <v/>
      </c>
      <c r="Q298">
        <f>IF(計分!Q298="","",計分!Q298^2)</f>
        <v/>
      </c>
      <c r="R298">
        <f>IF(計分!R298="","",計分!R298^2)</f>
        <v/>
      </c>
      <c r="S298">
        <f>IF(計分!S298="","",計分!S298^2)</f>
        <v/>
      </c>
      <c r="T298">
        <f>IF(計分!T298="","",計分!T298^2)</f>
        <v/>
      </c>
      <c r="U298">
        <f>IF(計分!U298="","",計分!U298^2)</f>
        <v/>
      </c>
      <c r="V298">
        <f>IF(計分!V298="","",計分!V298^2)</f>
        <v/>
      </c>
      <c r="W298">
        <f>IF(計分!W298="","",計分!W298^2)</f>
        <v/>
      </c>
      <c r="X298">
        <f>IF(計分!X298="","",計分!X298^2)</f>
        <v/>
      </c>
      <c r="Y298">
        <f>IF(計分!Y298="","",計分!Y298^2)</f>
        <v/>
      </c>
      <c r="Z298">
        <f>IF(計分!Z298="","",計分!Z298^2)</f>
        <v/>
      </c>
      <c r="AA298">
        <f>IF(計分!AA298="","",計分!AA298^2)</f>
        <v/>
      </c>
      <c r="AB298">
        <f>IF(計分!AB298="","",計分!AB298^2)</f>
        <v/>
      </c>
      <c r="AC298">
        <f>IF(計分!AC298="","",計分!AC298^2)</f>
        <v/>
      </c>
      <c r="AD298">
        <f>IF(計分!AD298="","",計分!AD298^2)</f>
        <v/>
      </c>
      <c r="AE298">
        <f>IF(計分!AE298="","",計分!AE298^2)</f>
        <v/>
      </c>
      <c r="AF298">
        <f>IF(計分!AF298="","",計分!AF298^2)</f>
        <v/>
      </c>
      <c r="AG298">
        <f>IF(計分!AG298="","",計分!AG298^2)</f>
        <v/>
      </c>
      <c r="AH298">
        <f>IF(計分!AH298="","",計分!AH298^2)</f>
        <v/>
      </c>
      <c r="AI298">
        <f>IF(計分!AI298="","",計分!AI298^2)</f>
        <v/>
      </c>
      <c r="AJ298">
        <f>IF(計分!AJ298="","",計分!AJ298^2)</f>
        <v/>
      </c>
      <c r="AK298">
        <f>IF(計分!AK298="","",計分!AK298^2)</f>
        <v/>
      </c>
      <c r="AL298">
        <f>IF(計分!AL298="","",計分!AL298^2)</f>
        <v/>
      </c>
      <c r="AM298">
        <f>IF(計分!AM298="","",計分!AM298^2)</f>
        <v/>
      </c>
      <c r="AN298">
        <f>IF(計分!AN298="","",計分!AN298^2)</f>
        <v/>
      </c>
      <c r="AO298">
        <f>IF(計分!AO298="","",計分!AO298^2)</f>
        <v/>
      </c>
    </row>
    <row r="299">
      <c r="B299">
        <f>IF(計分!B299="","",計分!B299^2)</f>
        <v/>
      </c>
      <c r="C299">
        <f>IF(計分!C299="","",計分!C299^2)</f>
        <v/>
      </c>
      <c r="D299">
        <f>IF(計分!D299="","",計分!D299^2)</f>
        <v/>
      </c>
      <c r="E299">
        <f>IF(計分!E299="","",計分!E299^2)</f>
        <v/>
      </c>
      <c r="F299">
        <f>IF(計分!F299="","",計分!F299^2)</f>
        <v/>
      </c>
      <c r="G299">
        <f>IF(計分!G299="","",計分!G299^2)</f>
        <v/>
      </c>
      <c r="H299">
        <f>IF(計分!H299="","",計分!H299^2)</f>
        <v/>
      </c>
      <c r="I299">
        <f>IF(計分!I299="","",計分!I299^2)</f>
        <v/>
      </c>
      <c r="J299">
        <f>IF(計分!J299="","",計分!J299^2)</f>
        <v/>
      </c>
      <c r="K299">
        <f>IF(計分!K299="","",計分!K299^2)</f>
        <v/>
      </c>
      <c r="L299">
        <f>IF(計分!L299="","",計分!L299^2)</f>
        <v/>
      </c>
      <c r="M299">
        <f>IF(計分!M299="","",計分!M299^2)</f>
        <v/>
      </c>
      <c r="N299">
        <f>IF(計分!N299="","",計分!N299^2)</f>
        <v/>
      </c>
      <c r="O299">
        <f>IF(計分!O299="","",計分!O299^2)</f>
        <v/>
      </c>
      <c r="P299">
        <f>IF(計分!P299="","",計分!P299^2)</f>
        <v/>
      </c>
      <c r="Q299">
        <f>IF(計分!Q299="","",計分!Q299^2)</f>
        <v/>
      </c>
      <c r="R299">
        <f>IF(計分!R299="","",計分!R299^2)</f>
        <v/>
      </c>
      <c r="S299">
        <f>IF(計分!S299="","",計分!S299^2)</f>
        <v/>
      </c>
      <c r="T299">
        <f>IF(計分!T299="","",計分!T299^2)</f>
        <v/>
      </c>
      <c r="U299">
        <f>IF(計分!U299="","",計分!U299^2)</f>
        <v/>
      </c>
      <c r="V299">
        <f>IF(計分!V299="","",計分!V299^2)</f>
        <v/>
      </c>
      <c r="W299">
        <f>IF(計分!W299="","",計分!W299^2)</f>
        <v/>
      </c>
      <c r="X299">
        <f>IF(計分!X299="","",計分!X299^2)</f>
        <v/>
      </c>
      <c r="Y299">
        <f>IF(計分!Y299="","",計分!Y299^2)</f>
        <v/>
      </c>
      <c r="Z299">
        <f>IF(計分!Z299="","",計分!Z299^2)</f>
        <v/>
      </c>
      <c r="AA299">
        <f>IF(計分!AA299="","",計分!AA299^2)</f>
        <v/>
      </c>
      <c r="AB299">
        <f>IF(計分!AB299="","",計分!AB299^2)</f>
        <v/>
      </c>
      <c r="AC299">
        <f>IF(計分!AC299="","",計分!AC299^2)</f>
        <v/>
      </c>
      <c r="AD299">
        <f>IF(計分!AD299="","",計分!AD299^2)</f>
        <v/>
      </c>
      <c r="AE299">
        <f>IF(計分!AE299="","",計分!AE299^2)</f>
        <v/>
      </c>
      <c r="AF299">
        <f>IF(計分!AF299="","",計分!AF299^2)</f>
        <v/>
      </c>
      <c r="AG299">
        <f>IF(計分!AG299="","",計分!AG299^2)</f>
        <v/>
      </c>
      <c r="AH299">
        <f>IF(計分!AH299="","",計分!AH299^2)</f>
        <v/>
      </c>
      <c r="AI299">
        <f>IF(計分!AI299="","",計分!AI299^2)</f>
        <v/>
      </c>
      <c r="AJ299">
        <f>IF(計分!AJ299="","",計分!AJ299^2)</f>
        <v/>
      </c>
      <c r="AK299">
        <f>IF(計分!AK299="","",計分!AK299^2)</f>
        <v/>
      </c>
      <c r="AL299">
        <f>IF(計分!AL299="","",計分!AL299^2)</f>
        <v/>
      </c>
      <c r="AM299">
        <f>IF(計分!AM299="","",計分!AM299^2)</f>
        <v/>
      </c>
      <c r="AN299">
        <f>IF(計分!AN299="","",計分!AN299^2)</f>
        <v/>
      </c>
      <c r="AO299">
        <f>IF(計分!AO299="","",計分!AO299^2)</f>
        <v/>
      </c>
    </row>
    <row r="300">
      <c r="B300">
        <f>IF(計分!B300="","",計分!B300^2)</f>
        <v/>
      </c>
      <c r="C300">
        <f>IF(計分!C300="","",計分!C300^2)</f>
        <v/>
      </c>
      <c r="D300">
        <f>IF(計分!D300="","",計分!D300^2)</f>
        <v/>
      </c>
      <c r="E300">
        <f>IF(計分!E300="","",計分!E300^2)</f>
        <v/>
      </c>
      <c r="F300">
        <f>IF(計分!F300="","",計分!F300^2)</f>
        <v/>
      </c>
      <c r="G300">
        <f>IF(計分!G300="","",計分!G300^2)</f>
        <v/>
      </c>
      <c r="H300">
        <f>IF(計分!H300="","",計分!H300^2)</f>
        <v/>
      </c>
      <c r="I300">
        <f>IF(計分!I300="","",計分!I300^2)</f>
        <v/>
      </c>
      <c r="J300">
        <f>IF(計分!J300="","",計分!J300^2)</f>
        <v/>
      </c>
      <c r="K300">
        <f>IF(計分!K300="","",計分!K300^2)</f>
        <v/>
      </c>
      <c r="L300">
        <f>IF(計分!L300="","",計分!L300^2)</f>
        <v/>
      </c>
      <c r="M300">
        <f>IF(計分!M300="","",計分!M300^2)</f>
        <v/>
      </c>
      <c r="N300">
        <f>IF(計分!N300="","",計分!N300^2)</f>
        <v/>
      </c>
      <c r="O300">
        <f>IF(計分!O300="","",計分!O300^2)</f>
        <v/>
      </c>
      <c r="P300">
        <f>IF(計分!P300="","",計分!P300^2)</f>
        <v/>
      </c>
      <c r="Q300">
        <f>IF(計分!Q300="","",計分!Q300^2)</f>
        <v/>
      </c>
      <c r="R300">
        <f>IF(計分!R300="","",計分!R300^2)</f>
        <v/>
      </c>
      <c r="S300">
        <f>IF(計分!S300="","",計分!S300^2)</f>
        <v/>
      </c>
      <c r="T300">
        <f>IF(計分!T300="","",計分!T300^2)</f>
        <v/>
      </c>
      <c r="U300">
        <f>IF(計分!U300="","",計分!U300^2)</f>
        <v/>
      </c>
      <c r="V300">
        <f>IF(計分!V300="","",計分!V300^2)</f>
        <v/>
      </c>
      <c r="W300">
        <f>IF(計分!W300="","",計分!W300^2)</f>
        <v/>
      </c>
      <c r="X300">
        <f>IF(計分!X300="","",計分!X300^2)</f>
        <v/>
      </c>
      <c r="Y300">
        <f>IF(計分!Y300="","",計分!Y300^2)</f>
        <v/>
      </c>
      <c r="Z300">
        <f>IF(計分!Z300="","",計分!Z300^2)</f>
        <v/>
      </c>
      <c r="AA300">
        <f>IF(計分!AA300="","",計分!AA300^2)</f>
        <v/>
      </c>
      <c r="AB300">
        <f>IF(計分!AB300="","",計分!AB300^2)</f>
        <v/>
      </c>
      <c r="AC300">
        <f>IF(計分!AC300="","",計分!AC300^2)</f>
        <v/>
      </c>
      <c r="AD300">
        <f>IF(計分!AD300="","",計分!AD300^2)</f>
        <v/>
      </c>
      <c r="AE300">
        <f>IF(計分!AE300="","",計分!AE300^2)</f>
        <v/>
      </c>
      <c r="AF300">
        <f>IF(計分!AF300="","",計分!AF300^2)</f>
        <v/>
      </c>
      <c r="AG300">
        <f>IF(計分!AG300="","",計分!AG300^2)</f>
        <v/>
      </c>
      <c r="AH300">
        <f>IF(計分!AH300="","",計分!AH300^2)</f>
        <v/>
      </c>
      <c r="AI300">
        <f>IF(計分!AI300="","",計分!AI300^2)</f>
        <v/>
      </c>
      <c r="AJ300">
        <f>IF(計分!AJ300="","",計分!AJ300^2)</f>
        <v/>
      </c>
      <c r="AK300">
        <f>IF(計分!AK300="","",計分!AK300^2)</f>
        <v/>
      </c>
      <c r="AL300">
        <f>IF(計分!AL300="","",計分!AL300^2)</f>
        <v/>
      </c>
      <c r="AM300">
        <f>IF(計分!AM300="","",計分!AM300^2)</f>
        <v/>
      </c>
      <c r="AN300">
        <f>IF(計分!AN300="","",計分!AN300^2)</f>
        <v/>
      </c>
      <c r="AO300">
        <f>IF(計分!AO300="","",計分!AO300^2)</f>
        <v/>
      </c>
    </row>
    <row r="301">
      <c r="B301">
        <f>IF(計分!B301="","",計分!B301^2)</f>
        <v/>
      </c>
      <c r="C301">
        <f>IF(計分!C301="","",計分!C301^2)</f>
        <v/>
      </c>
      <c r="D301">
        <f>IF(計分!D301="","",計分!D301^2)</f>
        <v/>
      </c>
      <c r="E301">
        <f>IF(計分!E301="","",計分!E301^2)</f>
        <v/>
      </c>
      <c r="F301">
        <f>IF(計分!F301="","",計分!F301^2)</f>
        <v/>
      </c>
      <c r="G301">
        <f>IF(計分!G301="","",計分!G301^2)</f>
        <v/>
      </c>
      <c r="H301">
        <f>IF(計分!H301="","",計分!H301^2)</f>
        <v/>
      </c>
      <c r="I301">
        <f>IF(計分!I301="","",計分!I301^2)</f>
        <v/>
      </c>
      <c r="J301">
        <f>IF(計分!J301="","",計分!J301^2)</f>
        <v/>
      </c>
      <c r="K301">
        <f>IF(計分!K301="","",計分!K301^2)</f>
        <v/>
      </c>
      <c r="L301">
        <f>IF(計分!L301="","",計分!L301^2)</f>
        <v/>
      </c>
      <c r="M301">
        <f>IF(計分!M301="","",計分!M301^2)</f>
        <v/>
      </c>
      <c r="N301">
        <f>IF(計分!N301="","",計分!N301^2)</f>
        <v/>
      </c>
      <c r="O301">
        <f>IF(計分!O301="","",計分!O301^2)</f>
        <v/>
      </c>
      <c r="P301">
        <f>IF(計分!P301="","",計分!P301^2)</f>
        <v/>
      </c>
      <c r="Q301">
        <f>IF(計分!Q301="","",計分!Q301^2)</f>
        <v/>
      </c>
      <c r="R301">
        <f>IF(計分!R301="","",計分!R301^2)</f>
        <v/>
      </c>
      <c r="S301">
        <f>IF(計分!S301="","",計分!S301^2)</f>
        <v/>
      </c>
      <c r="T301">
        <f>IF(計分!T301="","",計分!T301^2)</f>
        <v/>
      </c>
      <c r="U301">
        <f>IF(計分!U301="","",計分!U301^2)</f>
        <v/>
      </c>
      <c r="V301">
        <f>IF(計分!V301="","",計分!V301^2)</f>
        <v/>
      </c>
      <c r="W301">
        <f>IF(計分!W301="","",計分!W301^2)</f>
        <v/>
      </c>
      <c r="X301">
        <f>IF(計分!X301="","",計分!X301^2)</f>
        <v/>
      </c>
      <c r="Y301">
        <f>IF(計分!Y301="","",計分!Y301^2)</f>
        <v/>
      </c>
      <c r="Z301">
        <f>IF(計分!Z301="","",計分!Z301^2)</f>
        <v/>
      </c>
      <c r="AA301">
        <f>IF(計分!AA301="","",計分!AA301^2)</f>
        <v/>
      </c>
      <c r="AB301">
        <f>IF(計分!AB301="","",計分!AB301^2)</f>
        <v/>
      </c>
      <c r="AC301">
        <f>IF(計分!AC301="","",計分!AC301^2)</f>
        <v/>
      </c>
      <c r="AD301">
        <f>IF(計分!AD301="","",計分!AD301^2)</f>
        <v/>
      </c>
      <c r="AE301">
        <f>IF(計分!AE301="","",計分!AE301^2)</f>
        <v/>
      </c>
      <c r="AF301">
        <f>IF(計分!AF301="","",計分!AF301^2)</f>
        <v/>
      </c>
      <c r="AG301">
        <f>IF(計分!AG301="","",計分!AG301^2)</f>
        <v/>
      </c>
      <c r="AH301">
        <f>IF(計分!AH301="","",計分!AH301^2)</f>
        <v/>
      </c>
      <c r="AI301">
        <f>IF(計分!AI301="","",計分!AI301^2)</f>
        <v/>
      </c>
      <c r="AJ301">
        <f>IF(計分!AJ301="","",計分!AJ301^2)</f>
        <v/>
      </c>
      <c r="AK301">
        <f>IF(計分!AK301="","",計分!AK301^2)</f>
        <v/>
      </c>
      <c r="AL301">
        <f>IF(計分!AL301="","",計分!AL301^2)</f>
        <v/>
      </c>
      <c r="AM301">
        <f>IF(計分!AM301="","",計分!AM301^2)</f>
        <v/>
      </c>
      <c r="AN301">
        <f>IF(計分!AN301="","",計分!AN301^2)</f>
        <v/>
      </c>
      <c r="AO301">
        <f>IF(計分!AO301="","",計分!AO301^2)</f>
        <v/>
      </c>
    </row>
    <row r="302">
      <c r="B302">
        <f>IF(計分!B302="","",計分!B302^2)</f>
        <v/>
      </c>
      <c r="C302">
        <f>IF(計分!C302="","",計分!C302^2)</f>
        <v/>
      </c>
      <c r="D302">
        <f>IF(計分!D302="","",計分!D302^2)</f>
        <v/>
      </c>
      <c r="E302">
        <f>IF(計分!E302="","",計分!E302^2)</f>
        <v/>
      </c>
      <c r="F302">
        <f>IF(計分!F302="","",計分!F302^2)</f>
        <v/>
      </c>
      <c r="G302">
        <f>IF(計分!G302="","",計分!G302^2)</f>
        <v/>
      </c>
      <c r="H302">
        <f>IF(計分!H302="","",計分!H302^2)</f>
        <v/>
      </c>
      <c r="I302">
        <f>IF(計分!I302="","",計分!I302^2)</f>
        <v/>
      </c>
      <c r="J302">
        <f>IF(計分!J302="","",計分!J302^2)</f>
        <v/>
      </c>
      <c r="K302">
        <f>IF(計分!K302="","",計分!K302^2)</f>
        <v/>
      </c>
      <c r="L302">
        <f>IF(計分!L302="","",計分!L302^2)</f>
        <v/>
      </c>
      <c r="M302">
        <f>IF(計分!M302="","",計分!M302^2)</f>
        <v/>
      </c>
      <c r="N302">
        <f>IF(計分!N302="","",計分!N302^2)</f>
        <v/>
      </c>
      <c r="O302">
        <f>IF(計分!O302="","",計分!O302^2)</f>
        <v/>
      </c>
      <c r="P302">
        <f>IF(計分!P302="","",計分!P302^2)</f>
        <v/>
      </c>
      <c r="Q302">
        <f>IF(計分!Q302="","",計分!Q302^2)</f>
        <v/>
      </c>
      <c r="R302">
        <f>IF(計分!R302="","",計分!R302^2)</f>
        <v/>
      </c>
      <c r="S302">
        <f>IF(計分!S302="","",計分!S302^2)</f>
        <v/>
      </c>
      <c r="T302">
        <f>IF(計分!T302="","",計分!T302^2)</f>
        <v/>
      </c>
      <c r="U302">
        <f>IF(計分!U302="","",計分!U302^2)</f>
        <v/>
      </c>
      <c r="V302">
        <f>IF(計分!V302="","",計分!V302^2)</f>
        <v/>
      </c>
      <c r="W302">
        <f>IF(計分!W302="","",計分!W302^2)</f>
        <v/>
      </c>
      <c r="X302">
        <f>IF(計分!X302="","",計分!X302^2)</f>
        <v/>
      </c>
      <c r="Y302">
        <f>IF(計分!Y302="","",計分!Y302^2)</f>
        <v/>
      </c>
      <c r="Z302">
        <f>IF(計分!Z302="","",計分!Z302^2)</f>
        <v/>
      </c>
      <c r="AA302">
        <f>IF(計分!AA302="","",計分!AA302^2)</f>
        <v/>
      </c>
      <c r="AB302">
        <f>IF(計分!AB302="","",計分!AB302^2)</f>
        <v/>
      </c>
      <c r="AC302">
        <f>IF(計分!AC302="","",計分!AC302^2)</f>
        <v/>
      </c>
      <c r="AD302">
        <f>IF(計分!AD302="","",計分!AD302^2)</f>
        <v/>
      </c>
      <c r="AE302">
        <f>IF(計分!AE302="","",計分!AE302^2)</f>
        <v/>
      </c>
      <c r="AF302">
        <f>IF(計分!AF302="","",計分!AF302^2)</f>
        <v/>
      </c>
      <c r="AG302">
        <f>IF(計分!AG302="","",計分!AG302^2)</f>
        <v/>
      </c>
      <c r="AH302">
        <f>IF(計分!AH302="","",計分!AH302^2)</f>
        <v/>
      </c>
      <c r="AI302">
        <f>IF(計分!AI302="","",計分!AI302^2)</f>
        <v/>
      </c>
      <c r="AJ302">
        <f>IF(計分!AJ302="","",計分!AJ302^2)</f>
        <v/>
      </c>
      <c r="AK302">
        <f>IF(計分!AK302="","",計分!AK302^2)</f>
        <v/>
      </c>
      <c r="AL302">
        <f>IF(計分!AL302="","",計分!AL302^2)</f>
        <v/>
      </c>
      <c r="AM302">
        <f>IF(計分!AM302="","",計分!AM302^2)</f>
        <v/>
      </c>
      <c r="AN302">
        <f>IF(計分!AN302="","",計分!AN302^2)</f>
        <v/>
      </c>
      <c r="AO302">
        <f>IF(計分!AO302="","",計分!AO302^2)</f>
        <v/>
      </c>
    </row>
    <row r="303">
      <c r="B303">
        <f>IF(計分!B303="","",計分!B303^2)</f>
        <v/>
      </c>
      <c r="C303">
        <f>IF(計分!C303="","",計分!C303^2)</f>
        <v/>
      </c>
      <c r="D303">
        <f>IF(計分!D303="","",計分!D303^2)</f>
        <v/>
      </c>
      <c r="E303">
        <f>IF(計分!E303="","",計分!E303^2)</f>
        <v/>
      </c>
      <c r="F303">
        <f>IF(計分!F303="","",計分!F303^2)</f>
        <v/>
      </c>
      <c r="G303">
        <f>IF(計分!G303="","",計分!G303^2)</f>
        <v/>
      </c>
      <c r="H303">
        <f>IF(計分!H303="","",計分!H303^2)</f>
        <v/>
      </c>
      <c r="I303">
        <f>IF(計分!I303="","",計分!I303^2)</f>
        <v/>
      </c>
      <c r="J303">
        <f>IF(計分!J303="","",計分!J303^2)</f>
        <v/>
      </c>
      <c r="K303">
        <f>IF(計分!K303="","",計分!K303^2)</f>
        <v/>
      </c>
      <c r="L303">
        <f>IF(計分!L303="","",計分!L303^2)</f>
        <v/>
      </c>
      <c r="M303">
        <f>IF(計分!M303="","",計分!M303^2)</f>
        <v/>
      </c>
      <c r="N303">
        <f>IF(計分!N303="","",計分!N303^2)</f>
        <v/>
      </c>
      <c r="O303">
        <f>IF(計分!O303="","",計分!O303^2)</f>
        <v/>
      </c>
      <c r="P303">
        <f>IF(計分!P303="","",計分!P303^2)</f>
        <v/>
      </c>
      <c r="Q303">
        <f>IF(計分!Q303="","",計分!Q303^2)</f>
        <v/>
      </c>
      <c r="R303">
        <f>IF(計分!R303="","",計分!R303^2)</f>
        <v/>
      </c>
      <c r="S303">
        <f>IF(計分!S303="","",計分!S303^2)</f>
        <v/>
      </c>
      <c r="T303">
        <f>IF(計分!T303="","",計分!T303^2)</f>
        <v/>
      </c>
      <c r="U303">
        <f>IF(計分!U303="","",計分!U303^2)</f>
        <v/>
      </c>
      <c r="V303">
        <f>IF(計分!V303="","",計分!V303^2)</f>
        <v/>
      </c>
      <c r="W303">
        <f>IF(計分!W303="","",計分!W303^2)</f>
        <v/>
      </c>
      <c r="X303">
        <f>IF(計分!X303="","",計分!X303^2)</f>
        <v/>
      </c>
      <c r="Y303">
        <f>IF(計分!Y303="","",計分!Y303^2)</f>
        <v/>
      </c>
      <c r="Z303">
        <f>IF(計分!Z303="","",計分!Z303^2)</f>
        <v/>
      </c>
      <c r="AA303">
        <f>IF(計分!AA303="","",計分!AA303^2)</f>
        <v/>
      </c>
      <c r="AB303">
        <f>IF(計分!AB303="","",計分!AB303^2)</f>
        <v/>
      </c>
      <c r="AC303">
        <f>IF(計分!AC303="","",計分!AC303^2)</f>
        <v/>
      </c>
      <c r="AD303">
        <f>IF(計分!AD303="","",計分!AD303^2)</f>
        <v/>
      </c>
      <c r="AE303">
        <f>IF(計分!AE303="","",計分!AE303^2)</f>
        <v/>
      </c>
      <c r="AF303">
        <f>IF(計分!AF303="","",計分!AF303^2)</f>
        <v/>
      </c>
      <c r="AG303">
        <f>IF(計分!AG303="","",計分!AG303^2)</f>
        <v/>
      </c>
      <c r="AH303">
        <f>IF(計分!AH303="","",計分!AH303^2)</f>
        <v/>
      </c>
      <c r="AI303">
        <f>IF(計分!AI303="","",計分!AI303^2)</f>
        <v/>
      </c>
      <c r="AJ303">
        <f>IF(計分!AJ303="","",計分!AJ303^2)</f>
        <v/>
      </c>
      <c r="AK303">
        <f>IF(計分!AK303="","",計分!AK303^2)</f>
        <v/>
      </c>
      <c r="AL303">
        <f>IF(計分!AL303="","",計分!AL303^2)</f>
        <v/>
      </c>
      <c r="AM303">
        <f>IF(計分!AM303="","",計分!AM303^2)</f>
        <v/>
      </c>
      <c r="AN303">
        <f>IF(計分!AN303="","",計分!AN303^2)</f>
        <v/>
      </c>
      <c r="AO303">
        <f>IF(計分!AO303="","",計分!AO303^2)</f>
        <v/>
      </c>
    </row>
    <row r="304">
      <c r="B304">
        <f>IF(計分!B304="","",計分!B304^2)</f>
        <v/>
      </c>
      <c r="C304">
        <f>IF(計分!C304="","",計分!C304^2)</f>
        <v/>
      </c>
      <c r="D304">
        <f>IF(計分!D304="","",計分!D304^2)</f>
        <v/>
      </c>
      <c r="E304">
        <f>IF(計分!E304="","",計分!E304^2)</f>
        <v/>
      </c>
      <c r="F304">
        <f>IF(計分!F304="","",計分!F304^2)</f>
        <v/>
      </c>
      <c r="G304">
        <f>IF(計分!G304="","",計分!G304^2)</f>
        <v/>
      </c>
      <c r="H304">
        <f>IF(計分!H304="","",計分!H304^2)</f>
        <v/>
      </c>
      <c r="I304">
        <f>IF(計分!I304="","",計分!I304^2)</f>
        <v/>
      </c>
      <c r="J304">
        <f>IF(計分!J304="","",計分!J304^2)</f>
        <v/>
      </c>
      <c r="K304">
        <f>IF(計分!K304="","",計分!K304^2)</f>
        <v/>
      </c>
      <c r="L304">
        <f>IF(計分!L304="","",計分!L304^2)</f>
        <v/>
      </c>
      <c r="M304">
        <f>IF(計分!M304="","",計分!M304^2)</f>
        <v/>
      </c>
      <c r="N304">
        <f>IF(計分!N304="","",計分!N304^2)</f>
        <v/>
      </c>
      <c r="O304">
        <f>IF(計分!O304="","",計分!O304^2)</f>
        <v/>
      </c>
      <c r="P304">
        <f>IF(計分!P304="","",計分!P304^2)</f>
        <v/>
      </c>
      <c r="Q304">
        <f>IF(計分!Q304="","",計分!Q304^2)</f>
        <v/>
      </c>
      <c r="R304">
        <f>IF(計分!R304="","",計分!R304^2)</f>
        <v/>
      </c>
      <c r="S304">
        <f>IF(計分!S304="","",計分!S304^2)</f>
        <v/>
      </c>
      <c r="T304">
        <f>IF(計分!T304="","",計分!T304^2)</f>
        <v/>
      </c>
      <c r="U304">
        <f>IF(計分!U304="","",計分!U304^2)</f>
        <v/>
      </c>
      <c r="V304">
        <f>IF(計分!V304="","",計分!V304^2)</f>
        <v/>
      </c>
      <c r="W304">
        <f>IF(計分!W304="","",計分!W304^2)</f>
        <v/>
      </c>
      <c r="X304">
        <f>IF(計分!X304="","",計分!X304^2)</f>
        <v/>
      </c>
      <c r="Y304">
        <f>IF(計分!Y304="","",計分!Y304^2)</f>
        <v/>
      </c>
      <c r="Z304">
        <f>IF(計分!Z304="","",計分!Z304^2)</f>
        <v/>
      </c>
      <c r="AA304">
        <f>IF(計分!AA304="","",計分!AA304^2)</f>
        <v/>
      </c>
      <c r="AB304">
        <f>IF(計分!AB304="","",計分!AB304^2)</f>
        <v/>
      </c>
      <c r="AC304">
        <f>IF(計分!AC304="","",計分!AC304^2)</f>
        <v/>
      </c>
      <c r="AD304">
        <f>IF(計分!AD304="","",計分!AD304^2)</f>
        <v/>
      </c>
      <c r="AE304">
        <f>IF(計分!AE304="","",計分!AE304^2)</f>
        <v/>
      </c>
      <c r="AF304">
        <f>IF(計分!AF304="","",計分!AF304^2)</f>
        <v/>
      </c>
      <c r="AG304">
        <f>IF(計分!AG304="","",計分!AG304^2)</f>
        <v/>
      </c>
      <c r="AH304">
        <f>IF(計分!AH304="","",計分!AH304^2)</f>
        <v/>
      </c>
      <c r="AI304">
        <f>IF(計分!AI304="","",計分!AI304^2)</f>
        <v/>
      </c>
      <c r="AJ304">
        <f>IF(計分!AJ304="","",計分!AJ304^2)</f>
        <v/>
      </c>
      <c r="AK304">
        <f>IF(計分!AK304="","",計分!AK304^2)</f>
        <v/>
      </c>
      <c r="AL304">
        <f>IF(計分!AL304="","",計分!AL304^2)</f>
        <v/>
      </c>
      <c r="AM304">
        <f>IF(計分!AM304="","",計分!AM304^2)</f>
        <v/>
      </c>
      <c r="AN304">
        <f>IF(計分!AN304="","",計分!AN304^2)</f>
        <v/>
      </c>
      <c r="AO304">
        <f>IF(計分!AO304="","",計分!AO304^2)</f>
        <v/>
      </c>
    </row>
    <row r="305">
      <c r="B305">
        <f>IF(計分!B305="","",計分!B305^2)</f>
        <v/>
      </c>
      <c r="C305">
        <f>IF(計分!C305="","",計分!C305^2)</f>
        <v/>
      </c>
      <c r="D305">
        <f>IF(計分!D305="","",計分!D305^2)</f>
        <v/>
      </c>
      <c r="E305">
        <f>IF(計分!E305="","",計分!E305^2)</f>
        <v/>
      </c>
      <c r="F305">
        <f>IF(計分!F305="","",計分!F305^2)</f>
        <v/>
      </c>
      <c r="G305">
        <f>IF(計分!G305="","",計分!G305^2)</f>
        <v/>
      </c>
      <c r="H305">
        <f>IF(計分!H305="","",計分!H305^2)</f>
        <v/>
      </c>
      <c r="I305">
        <f>IF(計分!I305="","",計分!I305^2)</f>
        <v/>
      </c>
      <c r="J305">
        <f>IF(計分!J305="","",計分!J305^2)</f>
        <v/>
      </c>
      <c r="K305">
        <f>IF(計分!K305="","",計分!K305^2)</f>
        <v/>
      </c>
      <c r="L305">
        <f>IF(計分!L305="","",計分!L305^2)</f>
        <v/>
      </c>
      <c r="M305">
        <f>IF(計分!M305="","",計分!M305^2)</f>
        <v/>
      </c>
      <c r="N305">
        <f>IF(計分!N305="","",計分!N305^2)</f>
        <v/>
      </c>
      <c r="O305">
        <f>IF(計分!O305="","",計分!O305^2)</f>
        <v/>
      </c>
      <c r="P305">
        <f>IF(計分!P305="","",計分!P305^2)</f>
        <v/>
      </c>
      <c r="Q305">
        <f>IF(計分!Q305="","",計分!Q305^2)</f>
        <v/>
      </c>
      <c r="R305">
        <f>IF(計分!R305="","",計分!R305^2)</f>
        <v/>
      </c>
      <c r="S305">
        <f>IF(計分!S305="","",計分!S305^2)</f>
        <v/>
      </c>
      <c r="T305">
        <f>IF(計分!T305="","",計分!T305^2)</f>
        <v/>
      </c>
      <c r="U305">
        <f>IF(計分!U305="","",計分!U305^2)</f>
        <v/>
      </c>
      <c r="V305">
        <f>IF(計分!V305="","",計分!V305^2)</f>
        <v/>
      </c>
      <c r="W305">
        <f>IF(計分!W305="","",計分!W305^2)</f>
        <v/>
      </c>
      <c r="X305">
        <f>IF(計分!X305="","",計分!X305^2)</f>
        <v/>
      </c>
      <c r="Y305">
        <f>IF(計分!Y305="","",計分!Y305^2)</f>
        <v/>
      </c>
      <c r="Z305">
        <f>IF(計分!Z305="","",計分!Z305^2)</f>
        <v/>
      </c>
      <c r="AA305">
        <f>IF(計分!AA305="","",計分!AA305^2)</f>
        <v/>
      </c>
      <c r="AB305">
        <f>IF(計分!AB305="","",計分!AB305^2)</f>
        <v/>
      </c>
      <c r="AC305">
        <f>IF(計分!AC305="","",計分!AC305^2)</f>
        <v/>
      </c>
      <c r="AD305">
        <f>IF(計分!AD305="","",計分!AD305^2)</f>
        <v/>
      </c>
      <c r="AE305">
        <f>IF(計分!AE305="","",計分!AE305^2)</f>
        <v/>
      </c>
      <c r="AF305">
        <f>IF(計分!AF305="","",計分!AF305^2)</f>
        <v/>
      </c>
      <c r="AG305">
        <f>IF(計分!AG305="","",計分!AG305^2)</f>
        <v/>
      </c>
      <c r="AH305">
        <f>IF(計分!AH305="","",計分!AH305^2)</f>
        <v/>
      </c>
      <c r="AI305">
        <f>IF(計分!AI305="","",計分!AI305^2)</f>
        <v/>
      </c>
      <c r="AJ305">
        <f>IF(計分!AJ305="","",計分!AJ305^2)</f>
        <v/>
      </c>
      <c r="AK305">
        <f>IF(計分!AK305="","",計分!AK305^2)</f>
        <v/>
      </c>
      <c r="AL305">
        <f>IF(計分!AL305="","",計分!AL305^2)</f>
        <v/>
      </c>
      <c r="AM305">
        <f>IF(計分!AM305="","",計分!AM305^2)</f>
        <v/>
      </c>
      <c r="AN305">
        <f>IF(計分!AN305="","",計分!AN305^2)</f>
        <v/>
      </c>
      <c r="AO305">
        <f>IF(計分!AO305="","",計分!AO305^2)</f>
        <v/>
      </c>
    </row>
    <row r="306">
      <c r="B306">
        <f>IF(計分!B306="","",計分!B306^2)</f>
        <v/>
      </c>
      <c r="C306">
        <f>IF(計分!C306="","",計分!C306^2)</f>
        <v/>
      </c>
      <c r="D306">
        <f>IF(計分!D306="","",計分!D306^2)</f>
        <v/>
      </c>
      <c r="E306">
        <f>IF(計分!E306="","",計分!E306^2)</f>
        <v/>
      </c>
      <c r="F306">
        <f>IF(計分!F306="","",計分!F306^2)</f>
        <v/>
      </c>
      <c r="G306">
        <f>IF(計分!G306="","",計分!G306^2)</f>
        <v/>
      </c>
      <c r="H306">
        <f>IF(計分!H306="","",計分!H306^2)</f>
        <v/>
      </c>
      <c r="I306">
        <f>IF(計分!I306="","",計分!I306^2)</f>
        <v/>
      </c>
      <c r="J306">
        <f>IF(計分!J306="","",計分!J306^2)</f>
        <v/>
      </c>
      <c r="K306">
        <f>IF(計分!K306="","",計分!K306^2)</f>
        <v/>
      </c>
      <c r="L306">
        <f>IF(計分!L306="","",計分!L306^2)</f>
        <v/>
      </c>
      <c r="M306">
        <f>IF(計分!M306="","",計分!M306^2)</f>
        <v/>
      </c>
      <c r="N306">
        <f>IF(計分!N306="","",計分!N306^2)</f>
        <v/>
      </c>
      <c r="O306">
        <f>IF(計分!O306="","",計分!O306^2)</f>
        <v/>
      </c>
      <c r="P306">
        <f>IF(計分!P306="","",計分!P306^2)</f>
        <v/>
      </c>
      <c r="Q306">
        <f>IF(計分!Q306="","",計分!Q306^2)</f>
        <v/>
      </c>
      <c r="R306">
        <f>IF(計分!R306="","",計分!R306^2)</f>
        <v/>
      </c>
      <c r="S306">
        <f>IF(計分!S306="","",計分!S306^2)</f>
        <v/>
      </c>
      <c r="T306">
        <f>IF(計分!T306="","",計分!T306^2)</f>
        <v/>
      </c>
      <c r="U306">
        <f>IF(計分!U306="","",計分!U306^2)</f>
        <v/>
      </c>
      <c r="V306">
        <f>IF(計分!V306="","",計分!V306^2)</f>
        <v/>
      </c>
      <c r="W306">
        <f>IF(計分!W306="","",計分!W306^2)</f>
        <v/>
      </c>
      <c r="X306">
        <f>IF(計分!X306="","",計分!X306^2)</f>
        <v/>
      </c>
      <c r="Y306">
        <f>IF(計分!Y306="","",計分!Y306^2)</f>
        <v/>
      </c>
      <c r="Z306">
        <f>IF(計分!Z306="","",計分!Z306^2)</f>
        <v/>
      </c>
      <c r="AA306">
        <f>IF(計分!AA306="","",計分!AA306^2)</f>
        <v/>
      </c>
      <c r="AB306">
        <f>IF(計分!AB306="","",計分!AB306^2)</f>
        <v/>
      </c>
      <c r="AC306">
        <f>IF(計分!AC306="","",計分!AC306^2)</f>
        <v/>
      </c>
      <c r="AD306">
        <f>IF(計分!AD306="","",計分!AD306^2)</f>
        <v/>
      </c>
      <c r="AE306">
        <f>IF(計分!AE306="","",計分!AE306^2)</f>
        <v/>
      </c>
      <c r="AF306">
        <f>IF(計分!AF306="","",計分!AF306^2)</f>
        <v/>
      </c>
      <c r="AG306">
        <f>IF(計分!AG306="","",計分!AG306^2)</f>
        <v/>
      </c>
      <c r="AH306">
        <f>IF(計分!AH306="","",計分!AH306^2)</f>
        <v/>
      </c>
      <c r="AI306">
        <f>IF(計分!AI306="","",計分!AI306^2)</f>
        <v/>
      </c>
      <c r="AJ306">
        <f>IF(計分!AJ306="","",計分!AJ306^2)</f>
        <v/>
      </c>
      <c r="AK306">
        <f>IF(計分!AK306="","",計分!AK306^2)</f>
        <v/>
      </c>
      <c r="AL306">
        <f>IF(計分!AL306="","",計分!AL306^2)</f>
        <v/>
      </c>
      <c r="AM306">
        <f>IF(計分!AM306="","",計分!AM306^2)</f>
        <v/>
      </c>
      <c r="AN306">
        <f>IF(計分!AN306="","",計分!AN306^2)</f>
        <v/>
      </c>
      <c r="AO306">
        <f>IF(計分!AO306="","",計分!AO306^2)</f>
        <v/>
      </c>
    </row>
    <row r="307">
      <c r="B307">
        <f>IF(計分!B307="","",計分!B307^2)</f>
        <v/>
      </c>
      <c r="C307">
        <f>IF(計分!C307="","",計分!C307^2)</f>
        <v/>
      </c>
      <c r="D307">
        <f>IF(計分!D307="","",計分!D307^2)</f>
        <v/>
      </c>
      <c r="E307">
        <f>IF(計分!E307="","",計分!E307^2)</f>
        <v/>
      </c>
      <c r="F307">
        <f>IF(計分!F307="","",計分!F307^2)</f>
        <v/>
      </c>
      <c r="G307">
        <f>IF(計分!G307="","",計分!G307^2)</f>
        <v/>
      </c>
      <c r="H307">
        <f>IF(計分!H307="","",計分!H307^2)</f>
        <v/>
      </c>
      <c r="I307">
        <f>IF(計分!I307="","",計分!I307^2)</f>
        <v/>
      </c>
      <c r="J307">
        <f>IF(計分!J307="","",計分!J307^2)</f>
        <v/>
      </c>
      <c r="K307">
        <f>IF(計分!K307="","",計分!K307^2)</f>
        <v/>
      </c>
      <c r="L307">
        <f>IF(計分!L307="","",計分!L307^2)</f>
        <v/>
      </c>
      <c r="M307">
        <f>IF(計分!M307="","",計分!M307^2)</f>
        <v/>
      </c>
      <c r="N307">
        <f>IF(計分!N307="","",計分!N307^2)</f>
        <v/>
      </c>
      <c r="O307">
        <f>IF(計分!O307="","",計分!O307^2)</f>
        <v/>
      </c>
      <c r="P307">
        <f>IF(計分!P307="","",計分!P307^2)</f>
        <v/>
      </c>
      <c r="Q307">
        <f>IF(計分!Q307="","",計分!Q307^2)</f>
        <v/>
      </c>
      <c r="R307">
        <f>IF(計分!R307="","",計分!R307^2)</f>
        <v/>
      </c>
      <c r="S307">
        <f>IF(計分!S307="","",計分!S307^2)</f>
        <v/>
      </c>
      <c r="T307">
        <f>IF(計分!T307="","",計分!T307^2)</f>
        <v/>
      </c>
      <c r="U307">
        <f>IF(計分!U307="","",計分!U307^2)</f>
        <v/>
      </c>
      <c r="V307">
        <f>IF(計分!V307="","",計分!V307^2)</f>
        <v/>
      </c>
      <c r="W307">
        <f>IF(計分!W307="","",計分!W307^2)</f>
        <v/>
      </c>
      <c r="X307">
        <f>IF(計分!X307="","",計分!X307^2)</f>
        <v/>
      </c>
      <c r="Y307">
        <f>IF(計分!Y307="","",計分!Y307^2)</f>
        <v/>
      </c>
      <c r="Z307">
        <f>IF(計分!Z307="","",計分!Z307^2)</f>
        <v/>
      </c>
      <c r="AA307">
        <f>IF(計分!AA307="","",計分!AA307^2)</f>
        <v/>
      </c>
      <c r="AB307">
        <f>IF(計分!AB307="","",計分!AB307^2)</f>
        <v/>
      </c>
      <c r="AC307">
        <f>IF(計分!AC307="","",計分!AC307^2)</f>
        <v/>
      </c>
      <c r="AD307">
        <f>IF(計分!AD307="","",計分!AD307^2)</f>
        <v/>
      </c>
      <c r="AE307">
        <f>IF(計分!AE307="","",計分!AE307^2)</f>
        <v/>
      </c>
      <c r="AF307">
        <f>IF(計分!AF307="","",計分!AF307^2)</f>
        <v/>
      </c>
      <c r="AG307">
        <f>IF(計分!AG307="","",計分!AG307^2)</f>
        <v/>
      </c>
      <c r="AH307">
        <f>IF(計分!AH307="","",計分!AH307^2)</f>
        <v/>
      </c>
      <c r="AI307">
        <f>IF(計分!AI307="","",計分!AI307^2)</f>
        <v/>
      </c>
      <c r="AJ307">
        <f>IF(計分!AJ307="","",計分!AJ307^2)</f>
        <v/>
      </c>
      <c r="AK307">
        <f>IF(計分!AK307="","",計分!AK307^2)</f>
        <v/>
      </c>
      <c r="AL307">
        <f>IF(計分!AL307="","",計分!AL307^2)</f>
        <v/>
      </c>
      <c r="AM307">
        <f>IF(計分!AM307="","",計分!AM307^2)</f>
        <v/>
      </c>
      <c r="AN307">
        <f>IF(計分!AN307="","",計分!AN307^2)</f>
        <v/>
      </c>
      <c r="AO307">
        <f>IF(計分!AO307="","",計分!AO307^2)</f>
        <v/>
      </c>
    </row>
    <row r="308">
      <c r="B308">
        <f>IF(計分!B308="","",計分!B308^2)</f>
        <v/>
      </c>
      <c r="C308">
        <f>IF(計分!C308="","",計分!C308^2)</f>
        <v/>
      </c>
      <c r="D308">
        <f>IF(計分!D308="","",計分!D308^2)</f>
        <v/>
      </c>
      <c r="E308">
        <f>IF(計分!E308="","",計分!E308^2)</f>
        <v/>
      </c>
      <c r="F308">
        <f>IF(計分!F308="","",計分!F308^2)</f>
        <v/>
      </c>
      <c r="G308">
        <f>IF(計分!G308="","",計分!G308^2)</f>
        <v/>
      </c>
      <c r="H308">
        <f>IF(計分!H308="","",計分!H308^2)</f>
        <v/>
      </c>
      <c r="I308">
        <f>IF(計分!I308="","",計分!I308^2)</f>
        <v/>
      </c>
      <c r="J308">
        <f>IF(計分!J308="","",計分!J308^2)</f>
        <v/>
      </c>
      <c r="K308">
        <f>IF(計分!K308="","",計分!K308^2)</f>
        <v/>
      </c>
      <c r="L308">
        <f>IF(計分!L308="","",計分!L308^2)</f>
        <v/>
      </c>
      <c r="M308">
        <f>IF(計分!M308="","",計分!M308^2)</f>
        <v/>
      </c>
      <c r="N308">
        <f>IF(計分!N308="","",計分!N308^2)</f>
        <v/>
      </c>
      <c r="O308">
        <f>IF(計分!O308="","",計分!O308^2)</f>
        <v/>
      </c>
      <c r="P308">
        <f>IF(計分!P308="","",計分!P308^2)</f>
        <v/>
      </c>
      <c r="Q308">
        <f>IF(計分!Q308="","",計分!Q308^2)</f>
        <v/>
      </c>
      <c r="R308">
        <f>IF(計分!R308="","",計分!R308^2)</f>
        <v/>
      </c>
      <c r="S308">
        <f>IF(計分!S308="","",計分!S308^2)</f>
        <v/>
      </c>
      <c r="T308">
        <f>IF(計分!T308="","",計分!T308^2)</f>
        <v/>
      </c>
      <c r="U308">
        <f>IF(計分!U308="","",計分!U308^2)</f>
        <v/>
      </c>
      <c r="V308">
        <f>IF(計分!V308="","",計分!V308^2)</f>
        <v/>
      </c>
      <c r="W308">
        <f>IF(計分!W308="","",計分!W308^2)</f>
        <v/>
      </c>
      <c r="X308">
        <f>IF(計分!X308="","",計分!X308^2)</f>
        <v/>
      </c>
      <c r="Y308">
        <f>IF(計分!Y308="","",計分!Y308^2)</f>
        <v/>
      </c>
      <c r="Z308">
        <f>IF(計分!Z308="","",計分!Z308^2)</f>
        <v/>
      </c>
      <c r="AA308">
        <f>IF(計分!AA308="","",計分!AA308^2)</f>
        <v/>
      </c>
      <c r="AB308">
        <f>IF(計分!AB308="","",計分!AB308^2)</f>
        <v/>
      </c>
      <c r="AC308">
        <f>IF(計分!AC308="","",計分!AC308^2)</f>
        <v/>
      </c>
      <c r="AD308">
        <f>IF(計分!AD308="","",計分!AD308^2)</f>
        <v/>
      </c>
      <c r="AE308">
        <f>IF(計分!AE308="","",計分!AE308^2)</f>
        <v/>
      </c>
      <c r="AF308">
        <f>IF(計分!AF308="","",計分!AF308^2)</f>
        <v/>
      </c>
      <c r="AG308">
        <f>IF(計分!AG308="","",計分!AG308^2)</f>
        <v/>
      </c>
      <c r="AH308">
        <f>IF(計分!AH308="","",計分!AH308^2)</f>
        <v/>
      </c>
      <c r="AI308">
        <f>IF(計分!AI308="","",計分!AI308^2)</f>
        <v/>
      </c>
      <c r="AJ308">
        <f>IF(計分!AJ308="","",計分!AJ308^2)</f>
        <v/>
      </c>
      <c r="AK308">
        <f>IF(計分!AK308="","",計分!AK308^2)</f>
        <v/>
      </c>
      <c r="AL308">
        <f>IF(計分!AL308="","",計分!AL308^2)</f>
        <v/>
      </c>
      <c r="AM308">
        <f>IF(計分!AM308="","",計分!AM308^2)</f>
        <v/>
      </c>
      <c r="AN308">
        <f>IF(計分!AN308="","",計分!AN308^2)</f>
        <v/>
      </c>
      <c r="AO308">
        <f>IF(計分!AO308="","",計分!AO308^2)</f>
        <v/>
      </c>
    </row>
    <row r="309">
      <c r="B309">
        <f>IF(計分!B309="","",計分!B309^2)</f>
        <v/>
      </c>
      <c r="C309">
        <f>IF(計分!C309="","",計分!C309^2)</f>
        <v/>
      </c>
      <c r="D309">
        <f>IF(計分!D309="","",計分!D309^2)</f>
        <v/>
      </c>
      <c r="E309">
        <f>IF(計分!E309="","",計分!E309^2)</f>
        <v/>
      </c>
      <c r="F309">
        <f>IF(計分!F309="","",計分!F309^2)</f>
        <v/>
      </c>
      <c r="G309">
        <f>IF(計分!G309="","",計分!G309^2)</f>
        <v/>
      </c>
      <c r="H309">
        <f>IF(計分!H309="","",計分!H309^2)</f>
        <v/>
      </c>
      <c r="I309">
        <f>IF(計分!I309="","",計分!I309^2)</f>
        <v/>
      </c>
      <c r="J309">
        <f>IF(計分!J309="","",計分!J309^2)</f>
        <v/>
      </c>
      <c r="K309">
        <f>IF(計分!K309="","",計分!K309^2)</f>
        <v/>
      </c>
      <c r="L309">
        <f>IF(計分!L309="","",計分!L309^2)</f>
        <v/>
      </c>
      <c r="M309">
        <f>IF(計分!M309="","",計分!M309^2)</f>
        <v/>
      </c>
      <c r="N309">
        <f>IF(計分!N309="","",計分!N309^2)</f>
        <v/>
      </c>
      <c r="O309">
        <f>IF(計分!O309="","",計分!O309^2)</f>
        <v/>
      </c>
      <c r="P309">
        <f>IF(計分!P309="","",計分!P309^2)</f>
        <v/>
      </c>
      <c r="Q309">
        <f>IF(計分!Q309="","",計分!Q309^2)</f>
        <v/>
      </c>
      <c r="R309">
        <f>IF(計分!R309="","",計分!R309^2)</f>
        <v/>
      </c>
      <c r="S309">
        <f>IF(計分!S309="","",計分!S309^2)</f>
        <v/>
      </c>
      <c r="T309">
        <f>IF(計分!T309="","",計分!T309^2)</f>
        <v/>
      </c>
      <c r="U309">
        <f>IF(計分!U309="","",計分!U309^2)</f>
        <v/>
      </c>
      <c r="V309">
        <f>IF(計分!V309="","",計分!V309^2)</f>
        <v/>
      </c>
      <c r="W309">
        <f>IF(計分!W309="","",計分!W309^2)</f>
        <v/>
      </c>
      <c r="X309">
        <f>IF(計分!X309="","",計分!X309^2)</f>
        <v/>
      </c>
      <c r="Y309">
        <f>IF(計分!Y309="","",計分!Y309^2)</f>
        <v/>
      </c>
      <c r="Z309">
        <f>IF(計分!Z309="","",計分!Z309^2)</f>
        <v/>
      </c>
      <c r="AA309">
        <f>IF(計分!AA309="","",計分!AA309^2)</f>
        <v/>
      </c>
      <c r="AB309">
        <f>IF(計分!AB309="","",計分!AB309^2)</f>
        <v/>
      </c>
      <c r="AC309">
        <f>IF(計分!AC309="","",計分!AC309^2)</f>
        <v/>
      </c>
      <c r="AD309">
        <f>IF(計分!AD309="","",計分!AD309^2)</f>
        <v/>
      </c>
      <c r="AE309">
        <f>IF(計分!AE309="","",計分!AE309^2)</f>
        <v/>
      </c>
      <c r="AF309">
        <f>IF(計分!AF309="","",計分!AF309^2)</f>
        <v/>
      </c>
      <c r="AG309">
        <f>IF(計分!AG309="","",計分!AG309^2)</f>
        <v/>
      </c>
      <c r="AH309">
        <f>IF(計分!AH309="","",計分!AH309^2)</f>
        <v/>
      </c>
      <c r="AI309">
        <f>IF(計分!AI309="","",計分!AI309^2)</f>
        <v/>
      </c>
      <c r="AJ309">
        <f>IF(計分!AJ309="","",計分!AJ309^2)</f>
        <v/>
      </c>
      <c r="AK309">
        <f>IF(計分!AK309="","",計分!AK309^2)</f>
        <v/>
      </c>
      <c r="AL309">
        <f>IF(計分!AL309="","",計分!AL309^2)</f>
        <v/>
      </c>
      <c r="AM309">
        <f>IF(計分!AM309="","",計分!AM309^2)</f>
        <v/>
      </c>
      <c r="AN309">
        <f>IF(計分!AN309="","",計分!AN309^2)</f>
        <v/>
      </c>
      <c r="AO309">
        <f>IF(計分!AO309="","",計分!AO309^2)</f>
        <v/>
      </c>
    </row>
    <row r="310">
      <c r="B310">
        <f>IF(計分!B310="","",計分!B310^2)</f>
        <v/>
      </c>
      <c r="C310">
        <f>IF(計分!C310="","",計分!C310^2)</f>
        <v/>
      </c>
      <c r="D310">
        <f>IF(計分!D310="","",計分!D310^2)</f>
        <v/>
      </c>
      <c r="E310">
        <f>IF(計分!E310="","",計分!E310^2)</f>
        <v/>
      </c>
      <c r="F310">
        <f>IF(計分!F310="","",計分!F310^2)</f>
        <v/>
      </c>
      <c r="G310">
        <f>IF(計分!G310="","",計分!G310^2)</f>
        <v/>
      </c>
      <c r="H310">
        <f>IF(計分!H310="","",計分!H310^2)</f>
        <v/>
      </c>
      <c r="I310">
        <f>IF(計分!I310="","",計分!I310^2)</f>
        <v/>
      </c>
      <c r="J310">
        <f>IF(計分!J310="","",計分!J310^2)</f>
        <v/>
      </c>
      <c r="K310">
        <f>IF(計分!K310="","",計分!K310^2)</f>
        <v/>
      </c>
      <c r="L310">
        <f>IF(計分!L310="","",計分!L310^2)</f>
        <v/>
      </c>
      <c r="M310">
        <f>IF(計分!M310="","",計分!M310^2)</f>
        <v/>
      </c>
      <c r="N310">
        <f>IF(計分!N310="","",計分!N310^2)</f>
        <v/>
      </c>
      <c r="O310">
        <f>IF(計分!O310="","",計分!O310^2)</f>
        <v/>
      </c>
      <c r="P310">
        <f>IF(計分!P310="","",計分!P310^2)</f>
        <v/>
      </c>
      <c r="Q310">
        <f>IF(計分!Q310="","",計分!Q310^2)</f>
        <v/>
      </c>
      <c r="R310">
        <f>IF(計分!R310="","",計分!R310^2)</f>
        <v/>
      </c>
      <c r="S310">
        <f>IF(計分!S310="","",計分!S310^2)</f>
        <v/>
      </c>
      <c r="T310">
        <f>IF(計分!T310="","",計分!T310^2)</f>
        <v/>
      </c>
      <c r="U310">
        <f>IF(計分!U310="","",計分!U310^2)</f>
        <v/>
      </c>
      <c r="V310">
        <f>IF(計分!V310="","",計分!V310^2)</f>
        <v/>
      </c>
      <c r="W310">
        <f>IF(計分!W310="","",計分!W310^2)</f>
        <v/>
      </c>
      <c r="X310">
        <f>IF(計分!X310="","",計分!X310^2)</f>
        <v/>
      </c>
      <c r="Y310">
        <f>IF(計分!Y310="","",計分!Y310^2)</f>
        <v/>
      </c>
      <c r="Z310">
        <f>IF(計分!Z310="","",計分!Z310^2)</f>
        <v/>
      </c>
      <c r="AA310">
        <f>IF(計分!AA310="","",計分!AA310^2)</f>
        <v/>
      </c>
      <c r="AB310">
        <f>IF(計分!AB310="","",計分!AB310^2)</f>
        <v/>
      </c>
      <c r="AC310">
        <f>IF(計分!AC310="","",計分!AC310^2)</f>
        <v/>
      </c>
      <c r="AD310">
        <f>IF(計分!AD310="","",計分!AD310^2)</f>
        <v/>
      </c>
      <c r="AE310">
        <f>IF(計分!AE310="","",計分!AE310^2)</f>
        <v/>
      </c>
      <c r="AF310">
        <f>IF(計分!AF310="","",計分!AF310^2)</f>
        <v/>
      </c>
      <c r="AG310">
        <f>IF(計分!AG310="","",計分!AG310^2)</f>
        <v/>
      </c>
      <c r="AH310">
        <f>IF(計分!AH310="","",計分!AH310^2)</f>
        <v/>
      </c>
      <c r="AI310">
        <f>IF(計分!AI310="","",計分!AI310^2)</f>
        <v/>
      </c>
      <c r="AJ310">
        <f>IF(計分!AJ310="","",計分!AJ310^2)</f>
        <v/>
      </c>
      <c r="AK310">
        <f>IF(計分!AK310="","",計分!AK310^2)</f>
        <v/>
      </c>
      <c r="AL310">
        <f>IF(計分!AL310="","",計分!AL310^2)</f>
        <v/>
      </c>
      <c r="AM310">
        <f>IF(計分!AM310="","",計分!AM310^2)</f>
        <v/>
      </c>
      <c r="AN310">
        <f>IF(計分!AN310="","",計分!AN310^2)</f>
        <v/>
      </c>
      <c r="AO310">
        <f>IF(計分!AO310="","",計分!AO310^2)</f>
        <v/>
      </c>
    </row>
    <row r="311">
      <c r="B311">
        <f>IF(計分!B311="","",計分!B311^2)</f>
        <v/>
      </c>
      <c r="C311">
        <f>IF(計分!C311="","",計分!C311^2)</f>
        <v/>
      </c>
      <c r="D311">
        <f>IF(計分!D311="","",計分!D311^2)</f>
        <v/>
      </c>
      <c r="E311">
        <f>IF(計分!E311="","",計分!E311^2)</f>
        <v/>
      </c>
      <c r="F311">
        <f>IF(計分!F311="","",計分!F311^2)</f>
        <v/>
      </c>
      <c r="G311">
        <f>IF(計分!G311="","",計分!G311^2)</f>
        <v/>
      </c>
      <c r="H311">
        <f>IF(計分!H311="","",計分!H311^2)</f>
        <v/>
      </c>
      <c r="I311">
        <f>IF(計分!I311="","",計分!I311^2)</f>
        <v/>
      </c>
      <c r="J311">
        <f>IF(計分!J311="","",計分!J311^2)</f>
        <v/>
      </c>
      <c r="K311">
        <f>IF(計分!K311="","",計分!K311^2)</f>
        <v/>
      </c>
      <c r="L311">
        <f>IF(計分!L311="","",計分!L311^2)</f>
        <v/>
      </c>
      <c r="M311">
        <f>IF(計分!M311="","",計分!M311^2)</f>
        <v/>
      </c>
      <c r="N311">
        <f>IF(計分!N311="","",計分!N311^2)</f>
        <v/>
      </c>
      <c r="O311">
        <f>IF(計分!O311="","",計分!O311^2)</f>
        <v/>
      </c>
      <c r="P311">
        <f>IF(計分!P311="","",計分!P311^2)</f>
        <v/>
      </c>
      <c r="Q311">
        <f>IF(計分!Q311="","",計分!Q311^2)</f>
        <v/>
      </c>
      <c r="R311">
        <f>IF(計分!R311="","",計分!R311^2)</f>
        <v/>
      </c>
      <c r="S311">
        <f>IF(計分!S311="","",計分!S311^2)</f>
        <v/>
      </c>
      <c r="T311">
        <f>IF(計分!T311="","",計分!T311^2)</f>
        <v/>
      </c>
      <c r="U311">
        <f>IF(計分!U311="","",計分!U311^2)</f>
        <v/>
      </c>
      <c r="V311">
        <f>IF(計分!V311="","",計分!V311^2)</f>
        <v/>
      </c>
      <c r="W311">
        <f>IF(計分!W311="","",計分!W311^2)</f>
        <v/>
      </c>
      <c r="X311">
        <f>IF(計分!X311="","",計分!X311^2)</f>
        <v/>
      </c>
      <c r="Y311">
        <f>IF(計分!Y311="","",計分!Y311^2)</f>
        <v/>
      </c>
      <c r="Z311">
        <f>IF(計分!Z311="","",計分!Z311^2)</f>
        <v/>
      </c>
      <c r="AA311">
        <f>IF(計分!AA311="","",計分!AA311^2)</f>
        <v/>
      </c>
      <c r="AB311">
        <f>IF(計分!AB311="","",計分!AB311^2)</f>
        <v/>
      </c>
      <c r="AC311">
        <f>IF(計分!AC311="","",計分!AC311^2)</f>
        <v/>
      </c>
      <c r="AD311">
        <f>IF(計分!AD311="","",計分!AD311^2)</f>
        <v/>
      </c>
      <c r="AE311">
        <f>IF(計分!AE311="","",計分!AE311^2)</f>
        <v/>
      </c>
      <c r="AF311">
        <f>IF(計分!AF311="","",計分!AF311^2)</f>
        <v/>
      </c>
      <c r="AG311">
        <f>IF(計分!AG311="","",計分!AG311^2)</f>
        <v/>
      </c>
      <c r="AH311">
        <f>IF(計分!AH311="","",計分!AH311^2)</f>
        <v/>
      </c>
      <c r="AI311">
        <f>IF(計分!AI311="","",計分!AI311^2)</f>
        <v/>
      </c>
      <c r="AJ311">
        <f>IF(計分!AJ311="","",計分!AJ311^2)</f>
        <v/>
      </c>
      <c r="AK311">
        <f>IF(計分!AK311="","",計分!AK311^2)</f>
        <v/>
      </c>
      <c r="AL311">
        <f>IF(計分!AL311="","",計分!AL311^2)</f>
        <v/>
      </c>
      <c r="AM311">
        <f>IF(計分!AM311="","",計分!AM311^2)</f>
        <v/>
      </c>
      <c r="AN311">
        <f>IF(計分!AN311="","",計分!AN311^2)</f>
        <v/>
      </c>
      <c r="AO311">
        <f>IF(計分!AO311="","",計分!AO311^2)</f>
        <v/>
      </c>
    </row>
    <row r="312">
      <c r="B312">
        <f>IF(計分!B312="","",計分!B312^2)</f>
        <v/>
      </c>
      <c r="C312">
        <f>IF(計分!C312="","",計分!C312^2)</f>
        <v/>
      </c>
      <c r="D312">
        <f>IF(計分!D312="","",計分!D312^2)</f>
        <v/>
      </c>
      <c r="E312">
        <f>IF(計分!E312="","",計分!E312^2)</f>
        <v/>
      </c>
      <c r="F312">
        <f>IF(計分!F312="","",計分!F312^2)</f>
        <v/>
      </c>
      <c r="G312">
        <f>IF(計分!G312="","",計分!G312^2)</f>
        <v/>
      </c>
      <c r="H312">
        <f>IF(計分!H312="","",計分!H312^2)</f>
        <v/>
      </c>
      <c r="I312">
        <f>IF(計分!I312="","",計分!I312^2)</f>
        <v/>
      </c>
      <c r="J312">
        <f>IF(計分!J312="","",計分!J312^2)</f>
        <v/>
      </c>
      <c r="K312">
        <f>IF(計分!K312="","",計分!K312^2)</f>
        <v/>
      </c>
      <c r="L312">
        <f>IF(計分!L312="","",計分!L312^2)</f>
        <v/>
      </c>
      <c r="M312">
        <f>IF(計分!M312="","",計分!M312^2)</f>
        <v/>
      </c>
      <c r="N312">
        <f>IF(計分!N312="","",計分!N312^2)</f>
        <v/>
      </c>
      <c r="O312">
        <f>IF(計分!O312="","",計分!O312^2)</f>
        <v/>
      </c>
      <c r="P312">
        <f>IF(計分!P312="","",計分!P312^2)</f>
        <v/>
      </c>
      <c r="Q312">
        <f>IF(計分!Q312="","",計分!Q312^2)</f>
        <v/>
      </c>
      <c r="R312">
        <f>IF(計分!R312="","",計分!R312^2)</f>
        <v/>
      </c>
      <c r="S312">
        <f>IF(計分!S312="","",計分!S312^2)</f>
        <v/>
      </c>
      <c r="T312">
        <f>IF(計分!T312="","",計分!T312^2)</f>
        <v/>
      </c>
      <c r="U312">
        <f>IF(計分!U312="","",計分!U312^2)</f>
        <v/>
      </c>
      <c r="V312">
        <f>IF(計分!V312="","",計分!V312^2)</f>
        <v/>
      </c>
      <c r="W312">
        <f>IF(計分!W312="","",計分!W312^2)</f>
        <v/>
      </c>
      <c r="X312">
        <f>IF(計分!X312="","",計分!X312^2)</f>
        <v/>
      </c>
      <c r="Y312">
        <f>IF(計分!Y312="","",計分!Y312^2)</f>
        <v/>
      </c>
      <c r="Z312">
        <f>IF(計分!Z312="","",計分!Z312^2)</f>
        <v/>
      </c>
      <c r="AA312">
        <f>IF(計分!AA312="","",計分!AA312^2)</f>
        <v/>
      </c>
      <c r="AB312">
        <f>IF(計分!AB312="","",計分!AB312^2)</f>
        <v/>
      </c>
      <c r="AC312">
        <f>IF(計分!AC312="","",計分!AC312^2)</f>
        <v/>
      </c>
      <c r="AD312">
        <f>IF(計分!AD312="","",計分!AD312^2)</f>
        <v/>
      </c>
      <c r="AE312">
        <f>IF(計分!AE312="","",計分!AE312^2)</f>
        <v/>
      </c>
      <c r="AF312">
        <f>IF(計分!AF312="","",計分!AF312^2)</f>
        <v/>
      </c>
      <c r="AG312">
        <f>IF(計分!AG312="","",計分!AG312^2)</f>
        <v/>
      </c>
      <c r="AH312">
        <f>IF(計分!AH312="","",計分!AH312^2)</f>
        <v/>
      </c>
      <c r="AI312">
        <f>IF(計分!AI312="","",計分!AI312^2)</f>
        <v/>
      </c>
      <c r="AJ312">
        <f>IF(計分!AJ312="","",計分!AJ312^2)</f>
        <v/>
      </c>
      <c r="AK312">
        <f>IF(計分!AK312="","",計分!AK312^2)</f>
        <v/>
      </c>
      <c r="AL312">
        <f>IF(計分!AL312="","",計分!AL312^2)</f>
        <v/>
      </c>
      <c r="AM312">
        <f>IF(計分!AM312="","",計分!AM312^2)</f>
        <v/>
      </c>
      <c r="AN312">
        <f>IF(計分!AN312="","",計分!AN312^2)</f>
        <v/>
      </c>
      <c r="AO312">
        <f>IF(計分!AO312="","",計分!AO312^2)</f>
        <v/>
      </c>
    </row>
    <row r="313">
      <c r="B313">
        <f>IF(計分!B313="","",計分!B313^2)</f>
        <v/>
      </c>
      <c r="C313">
        <f>IF(計分!C313="","",計分!C313^2)</f>
        <v/>
      </c>
      <c r="D313">
        <f>IF(計分!D313="","",計分!D313^2)</f>
        <v/>
      </c>
      <c r="E313">
        <f>IF(計分!E313="","",計分!E313^2)</f>
        <v/>
      </c>
      <c r="F313">
        <f>IF(計分!F313="","",計分!F313^2)</f>
        <v/>
      </c>
      <c r="G313">
        <f>IF(計分!G313="","",計分!G313^2)</f>
        <v/>
      </c>
      <c r="H313">
        <f>IF(計分!H313="","",計分!H313^2)</f>
        <v/>
      </c>
      <c r="I313">
        <f>IF(計分!I313="","",計分!I313^2)</f>
        <v/>
      </c>
      <c r="J313">
        <f>IF(計分!J313="","",計分!J313^2)</f>
        <v/>
      </c>
      <c r="K313">
        <f>IF(計分!K313="","",計分!K313^2)</f>
        <v/>
      </c>
      <c r="L313">
        <f>IF(計分!L313="","",計分!L313^2)</f>
        <v/>
      </c>
      <c r="M313">
        <f>IF(計分!M313="","",計分!M313^2)</f>
        <v/>
      </c>
      <c r="N313">
        <f>IF(計分!N313="","",計分!N313^2)</f>
        <v/>
      </c>
      <c r="O313">
        <f>IF(計分!O313="","",計分!O313^2)</f>
        <v/>
      </c>
      <c r="P313">
        <f>IF(計分!P313="","",計分!P313^2)</f>
        <v/>
      </c>
      <c r="Q313">
        <f>IF(計分!Q313="","",計分!Q313^2)</f>
        <v/>
      </c>
      <c r="R313">
        <f>IF(計分!R313="","",計分!R313^2)</f>
        <v/>
      </c>
      <c r="S313">
        <f>IF(計分!S313="","",計分!S313^2)</f>
        <v/>
      </c>
      <c r="T313">
        <f>IF(計分!T313="","",計分!T313^2)</f>
        <v/>
      </c>
      <c r="U313">
        <f>IF(計分!U313="","",計分!U313^2)</f>
        <v/>
      </c>
      <c r="V313">
        <f>IF(計分!V313="","",計分!V313^2)</f>
        <v/>
      </c>
      <c r="W313">
        <f>IF(計分!W313="","",計分!W313^2)</f>
        <v/>
      </c>
      <c r="X313">
        <f>IF(計分!X313="","",計分!X313^2)</f>
        <v/>
      </c>
      <c r="Y313">
        <f>IF(計分!Y313="","",計分!Y313^2)</f>
        <v/>
      </c>
      <c r="Z313">
        <f>IF(計分!Z313="","",計分!Z313^2)</f>
        <v/>
      </c>
      <c r="AA313">
        <f>IF(計分!AA313="","",計分!AA313^2)</f>
        <v/>
      </c>
      <c r="AB313">
        <f>IF(計分!AB313="","",計分!AB313^2)</f>
        <v/>
      </c>
      <c r="AC313">
        <f>IF(計分!AC313="","",計分!AC313^2)</f>
        <v/>
      </c>
      <c r="AD313">
        <f>IF(計分!AD313="","",計分!AD313^2)</f>
        <v/>
      </c>
      <c r="AE313">
        <f>IF(計分!AE313="","",計分!AE313^2)</f>
        <v/>
      </c>
      <c r="AF313">
        <f>IF(計分!AF313="","",計分!AF313^2)</f>
        <v/>
      </c>
      <c r="AG313">
        <f>IF(計分!AG313="","",計分!AG313^2)</f>
        <v/>
      </c>
      <c r="AH313">
        <f>IF(計分!AH313="","",計分!AH313^2)</f>
        <v/>
      </c>
      <c r="AI313">
        <f>IF(計分!AI313="","",計分!AI313^2)</f>
        <v/>
      </c>
      <c r="AJ313">
        <f>IF(計分!AJ313="","",計分!AJ313^2)</f>
        <v/>
      </c>
      <c r="AK313">
        <f>IF(計分!AK313="","",計分!AK313^2)</f>
        <v/>
      </c>
      <c r="AL313">
        <f>IF(計分!AL313="","",計分!AL313^2)</f>
        <v/>
      </c>
      <c r="AM313">
        <f>IF(計分!AM313="","",計分!AM313^2)</f>
        <v/>
      </c>
      <c r="AN313">
        <f>IF(計分!AN313="","",計分!AN313^2)</f>
        <v/>
      </c>
      <c r="AO313">
        <f>IF(計分!AO313="","",計分!AO313^2)</f>
        <v/>
      </c>
    </row>
    <row r="314">
      <c r="B314">
        <f>IF(計分!B314="","",計分!B314^2)</f>
        <v/>
      </c>
      <c r="C314">
        <f>IF(計分!C314="","",計分!C314^2)</f>
        <v/>
      </c>
      <c r="D314">
        <f>IF(計分!D314="","",計分!D314^2)</f>
        <v/>
      </c>
      <c r="E314">
        <f>IF(計分!E314="","",計分!E314^2)</f>
        <v/>
      </c>
      <c r="F314">
        <f>IF(計分!F314="","",計分!F314^2)</f>
        <v/>
      </c>
      <c r="G314">
        <f>IF(計分!G314="","",計分!G314^2)</f>
        <v/>
      </c>
      <c r="H314">
        <f>IF(計分!H314="","",計分!H314^2)</f>
        <v/>
      </c>
      <c r="I314">
        <f>IF(計分!I314="","",計分!I314^2)</f>
        <v/>
      </c>
      <c r="J314">
        <f>IF(計分!J314="","",計分!J314^2)</f>
        <v/>
      </c>
      <c r="K314">
        <f>IF(計分!K314="","",計分!K314^2)</f>
        <v/>
      </c>
      <c r="L314">
        <f>IF(計分!L314="","",計分!L314^2)</f>
        <v/>
      </c>
      <c r="M314">
        <f>IF(計分!M314="","",計分!M314^2)</f>
        <v/>
      </c>
      <c r="N314">
        <f>IF(計分!N314="","",計分!N314^2)</f>
        <v/>
      </c>
      <c r="O314">
        <f>IF(計分!O314="","",計分!O314^2)</f>
        <v/>
      </c>
      <c r="P314">
        <f>IF(計分!P314="","",計分!P314^2)</f>
        <v/>
      </c>
      <c r="Q314">
        <f>IF(計分!Q314="","",計分!Q314^2)</f>
        <v/>
      </c>
      <c r="R314">
        <f>IF(計分!R314="","",計分!R314^2)</f>
        <v/>
      </c>
      <c r="S314">
        <f>IF(計分!S314="","",計分!S314^2)</f>
        <v/>
      </c>
      <c r="T314">
        <f>IF(計分!T314="","",計分!T314^2)</f>
        <v/>
      </c>
      <c r="U314">
        <f>IF(計分!U314="","",計分!U314^2)</f>
        <v/>
      </c>
      <c r="V314">
        <f>IF(計分!V314="","",計分!V314^2)</f>
        <v/>
      </c>
      <c r="W314">
        <f>IF(計分!W314="","",計分!W314^2)</f>
        <v/>
      </c>
      <c r="X314">
        <f>IF(計分!X314="","",計分!X314^2)</f>
        <v/>
      </c>
      <c r="Y314">
        <f>IF(計分!Y314="","",計分!Y314^2)</f>
        <v/>
      </c>
      <c r="Z314">
        <f>IF(計分!Z314="","",計分!Z314^2)</f>
        <v/>
      </c>
      <c r="AA314">
        <f>IF(計分!AA314="","",計分!AA314^2)</f>
        <v/>
      </c>
      <c r="AB314">
        <f>IF(計分!AB314="","",計分!AB314^2)</f>
        <v/>
      </c>
      <c r="AC314">
        <f>IF(計分!AC314="","",計分!AC314^2)</f>
        <v/>
      </c>
      <c r="AD314">
        <f>IF(計分!AD314="","",計分!AD314^2)</f>
        <v/>
      </c>
      <c r="AE314">
        <f>IF(計分!AE314="","",計分!AE314^2)</f>
        <v/>
      </c>
      <c r="AF314">
        <f>IF(計分!AF314="","",計分!AF314^2)</f>
        <v/>
      </c>
      <c r="AG314">
        <f>IF(計分!AG314="","",計分!AG314^2)</f>
        <v/>
      </c>
      <c r="AH314">
        <f>IF(計分!AH314="","",計分!AH314^2)</f>
        <v/>
      </c>
      <c r="AI314">
        <f>IF(計分!AI314="","",計分!AI314^2)</f>
        <v/>
      </c>
      <c r="AJ314">
        <f>IF(計分!AJ314="","",計分!AJ314^2)</f>
        <v/>
      </c>
      <c r="AK314">
        <f>IF(計分!AK314="","",計分!AK314^2)</f>
        <v/>
      </c>
      <c r="AL314">
        <f>IF(計分!AL314="","",計分!AL314^2)</f>
        <v/>
      </c>
      <c r="AM314">
        <f>IF(計分!AM314="","",計分!AM314^2)</f>
        <v/>
      </c>
      <c r="AN314">
        <f>IF(計分!AN314="","",計分!AN314^2)</f>
        <v/>
      </c>
      <c r="AO314">
        <f>IF(計分!AO314="","",計分!AO314^2)</f>
        <v/>
      </c>
    </row>
    <row r="315">
      <c r="B315">
        <f>IF(計分!B315="","",計分!B315^2)</f>
        <v/>
      </c>
      <c r="C315">
        <f>IF(計分!C315="","",計分!C315^2)</f>
        <v/>
      </c>
      <c r="D315">
        <f>IF(計分!D315="","",計分!D315^2)</f>
        <v/>
      </c>
      <c r="E315">
        <f>IF(計分!E315="","",計分!E315^2)</f>
        <v/>
      </c>
      <c r="F315">
        <f>IF(計分!F315="","",計分!F315^2)</f>
        <v/>
      </c>
      <c r="G315">
        <f>IF(計分!G315="","",計分!G315^2)</f>
        <v/>
      </c>
      <c r="H315">
        <f>IF(計分!H315="","",計分!H315^2)</f>
        <v/>
      </c>
      <c r="I315">
        <f>IF(計分!I315="","",計分!I315^2)</f>
        <v/>
      </c>
      <c r="J315">
        <f>IF(計分!J315="","",計分!J315^2)</f>
        <v/>
      </c>
      <c r="K315">
        <f>IF(計分!K315="","",計分!K315^2)</f>
        <v/>
      </c>
      <c r="L315">
        <f>IF(計分!L315="","",計分!L315^2)</f>
        <v/>
      </c>
      <c r="M315">
        <f>IF(計分!M315="","",計分!M315^2)</f>
        <v/>
      </c>
      <c r="N315">
        <f>IF(計分!N315="","",計分!N315^2)</f>
        <v/>
      </c>
      <c r="O315">
        <f>IF(計分!O315="","",計分!O315^2)</f>
        <v/>
      </c>
      <c r="P315">
        <f>IF(計分!P315="","",計分!P315^2)</f>
        <v/>
      </c>
      <c r="Q315">
        <f>IF(計分!Q315="","",計分!Q315^2)</f>
        <v/>
      </c>
      <c r="R315">
        <f>IF(計分!R315="","",計分!R315^2)</f>
        <v/>
      </c>
      <c r="S315">
        <f>IF(計分!S315="","",計分!S315^2)</f>
        <v/>
      </c>
      <c r="T315">
        <f>IF(計分!T315="","",計分!T315^2)</f>
        <v/>
      </c>
      <c r="U315">
        <f>IF(計分!U315="","",計分!U315^2)</f>
        <v/>
      </c>
      <c r="V315">
        <f>IF(計分!V315="","",計分!V315^2)</f>
        <v/>
      </c>
      <c r="W315">
        <f>IF(計分!W315="","",計分!W315^2)</f>
        <v/>
      </c>
      <c r="X315">
        <f>IF(計分!X315="","",計分!X315^2)</f>
        <v/>
      </c>
      <c r="Y315">
        <f>IF(計分!Y315="","",計分!Y315^2)</f>
        <v/>
      </c>
      <c r="Z315">
        <f>IF(計分!Z315="","",計分!Z315^2)</f>
        <v/>
      </c>
      <c r="AA315">
        <f>IF(計分!AA315="","",計分!AA315^2)</f>
        <v/>
      </c>
      <c r="AB315">
        <f>IF(計分!AB315="","",計分!AB315^2)</f>
        <v/>
      </c>
      <c r="AC315">
        <f>IF(計分!AC315="","",計分!AC315^2)</f>
        <v/>
      </c>
      <c r="AD315">
        <f>IF(計分!AD315="","",計分!AD315^2)</f>
        <v/>
      </c>
      <c r="AE315">
        <f>IF(計分!AE315="","",計分!AE315^2)</f>
        <v/>
      </c>
      <c r="AF315">
        <f>IF(計分!AF315="","",計分!AF315^2)</f>
        <v/>
      </c>
      <c r="AG315">
        <f>IF(計分!AG315="","",計分!AG315^2)</f>
        <v/>
      </c>
      <c r="AH315">
        <f>IF(計分!AH315="","",計分!AH315^2)</f>
        <v/>
      </c>
      <c r="AI315">
        <f>IF(計分!AI315="","",計分!AI315^2)</f>
        <v/>
      </c>
      <c r="AJ315">
        <f>IF(計分!AJ315="","",計分!AJ315^2)</f>
        <v/>
      </c>
      <c r="AK315">
        <f>IF(計分!AK315="","",計分!AK315^2)</f>
        <v/>
      </c>
      <c r="AL315">
        <f>IF(計分!AL315="","",計分!AL315^2)</f>
        <v/>
      </c>
      <c r="AM315">
        <f>IF(計分!AM315="","",計分!AM315^2)</f>
        <v/>
      </c>
      <c r="AN315">
        <f>IF(計分!AN315="","",計分!AN315^2)</f>
        <v/>
      </c>
      <c r="AO315">
        <f>IF(計分!AO315="","",計分!AO315^2)</f>
        <v/>
      </c>
    </row>
    <row r="316">
      <c r="B316">
        <f>IF(計分!B316="","",計分!B316^2)</f>
        <v/>
      </c>
      <c r="C316">
        <f>IF(計分!C316="","",計分!C316^2)</f>
        <v/>
      </c>
      <c r="D316">
        <f>IF(計分!D316="","",計分!D316^2)</f>
        <v/>
      </c>
      <c r="E316">
        <f>IF(計分!E316="","",計分!E316^2)</f>
        <v/>
      </c>
      <c r="F316">
        <f>IF(計分!F316="","",計分!F316^2)</f>
        <v/>
      </c>
      <c r="G316">
        <f>IF(計分!G316="","",計分!G316^2)</f>
        <v/>
      </c>
      <c r="H316">
        <f>IF(計分!H316="","",計分!H316^2)</f>
        <v/>
      </c>
      <c r="I316">
        <f>IF(計分!I316="","",計分!I316^2)</f>
        <v/>
      </c>
      <c r="J316">
        <f>IF(計分!J316="","",計分!J316^2)</f>
        <v/>
      </c>
      <c r="K316">
        <f>IF(計分!K316="","",計分!K316^2)</f>
        <v/>
      </c>
      <c r="L316">
        <f>IF(計分!L316="","",計分!L316^2)</f>
        <v/>
      </c>
      <c r="M316">
        <f>IF(計分!M316="","",計分!M316^2)</f>
        <v/>
      </c>
      <c r="N316">
        <f>IF(計分!N316="","",計分!N316^2)</f>
        <v/>
      </c>
      <c r="O316">
        <f>IF(計分!O316="","",計分!O316^2)</f>
        <v/>
      </c>
      <c r="P316">
        <f>IF(計分!P316="","",計分!P316^2)</f>
        <v/>
      </c>
      <c r="Q316">
        <f>IF(計分!Q316="","",計分!Q316^2)</f>
        <v/>
      </c>
      <c r="R316">
        <f>IF(計分!R316="","",計分!R316^2)</f>
        <v/>
      </c>
      <c r="S316">
        <f>IF(計分!S316="","",計分!S316^2)</f>
        <v/>
      </c>
      <c r="T316">
        <f>IF(計分!T316="","",計分!T316^2)</f>
        <v/>
      </c>
      <c r="U316">
        <f>IF(計分!U316="","",計分!U316^2)</f>
        <v/>
      </c>
      <c r="V316">
        <f>IF(計分!V316="","",計分!V316^2)</f>
        <v/>
      </c>
      <c r="W316">
        <f>IF(計分!W316="","",計分!W316^2)</f>
        <v/>
      </c>
      <c r="X316">
        <f>IF(計分!X316="","",計分!X316^2)</f>
        <v/>
      </c>
      <c r="Y316">
        <f>IF(計分!Y316="","",計分!Y316^2)</f>
        <v/>
      </c>
      <c r="Z316">
        <f>IF(計分!Z316="","",計分!Z316^2)</f>
        <v/>
      </c>
      <c r="AA316">
        <f>IF(計分!AA316="","",計分!AA316^2)</f>
        <v/>
      </c>
      <c r="AB316">
        <f>IF(計分!AB316="","",計分!AB316^2)</f>
        <v/>
      </c>
      <c r="AC316">
        <f>IF(計分!AC316="","",計分!AC316^2)</f>
        <v/>
      </c>
      <c r="AD316">
        <f>IF(計分!AD316="","",計分!AD316^2)</f>
        <v/>
      </c>
      <c r="AE316">
        <f>IF(計分!AE316="","",計分!AE316^2)</f>
        <v/>
      </c>
      <c r="AF316">
        <f>IF(計分!AF316="","",計分!AF316^2)</f>
        <v/>
      </c>
      <c r="AG316">
        <f>IF(計分!AG316="","",計分!AG316^2)</f>
        <v/>
      </c>
      <c r="AH316">
        <f>IF(計分!AH316="","",計分!AH316^2)</f>
        <v/>
      </c>
      <c r="AI316">
        <f>IF(計分!AI316="","",計分!AI316^2)</f>
        <v/>
      </c>
      <c r="AJ316">
        <f>IF(計分!AJ316="","",計分!AJ316^2)</f>
        <v/>
      </c>
      <c r="AK316">
        <f>IF(計分!AK316="","",計分!AK316^2)</f>
        <v/>
      </c>
      <c r="AL316">
        <f>IF(計分!AL316="","",計分!AL316^2)</f>
        <v/>
      </c>
      <c r="AM316">
        <f>IF(計分!AM316="","",計分!AM316^2)</f>
        <v/>
      </c>
      <c r="AN316">
        <f>IF(計分!AN316="","",計分!AN316^2)</f>
        <v/>
      </c>
      <c r="AO316">
        <f>IF(計分!AO316="","",計分!AO316^2)</f>
        <v/>
      </c>
    </row>
    <row r="317">
      <c r="B317">
        <f>IF(計分!B317="","",計分!B317^2)</f>
        <v/>
      </c>
      <c r="C317">
        <f>IF(計分!C317="","",計分!C317^2)</f>
        <v/>
      </c>
      <c r="D317">
        <f>IF(計分!D317="","",計分!D317^2)</f>
        <v/>
      </c>
      <c r="E317">
        <f>IF(計分!E317="","",計分!E317^2)</f>
        <v/>
      </c>
      <c r="F317">
        <f>IF(計分!F317="","",計分!F317^2)</f>
        <v/>
      </c>
      <c r="G317">
        <f>IF(計分!G317="","",計分!G317^2)</f>
        <v/>
      </c>
      <c r="H317">
        <f>IF(計分!H317="","",計分!H317^2)</f>
        <v/>
      </c>
      <c r="I317">
        <f>IF(計分!I317="","",計分!I317^2)</f>
        <v/>
      </c>
      <c r="J317">
        <f>IF(計分!J317="","",計分!J317^2)</f>
        <v/>
      </c>
      <c r="K317">
        <f>IF(計分!K317="","",計分!K317^2)</f>
        <v/>
      </c>
      <c r="L317">
        <f>IF(計分!L317="","",計分!L317^2)</f>
        <v/>
      </c>
      <c r="M317">
        <f>IF(計分!M317="","",計分!M317^2)</f>
        <v/>
      </c>
      <c r="N317">
        <f>IF(計分!N317="","",計分!N317^2)</f>
        <v/>
      </c>
      <c r="O317">
        <f>IF(計分!O317="","",計分!O317^2)</f>
        <v/>
      </c>
      <c r="P317">
        <f>IF(計分!P317="","",計分!P317^2)</f>
        <v/>
      </c>
      <c r="Q317">
        <f>IF(計分!Q317="","",計分!Q317^2)</f>
        <v/>
      </c>
      <c r="R317">
        <f>IF(計分!R317="","",計分!R317^2)</f>
        <v/>
      </c>
      <c r="S317">
        <f>IF(計分!S317="","",計分!S317^2)</f>
        <v/>
      </c>
      <c r="T317">
        <f>IF(計分!T317="","",計分!T317^2)</f>
        <v/>
      </c>
      <c r="U317">
        <f>IF(計分!U317="","",計分!U317^2)</f>
        <v/>
      </c>
      <c r="V317">
        <f>IF(計分!V317="","",計分!V317^2)</f>
        <v/>
      </c>
      <c r="W317">
        <f>IF(計分!W317="","",計分!W317^2)</f>
        <v/>
      </c>
      <c r="X317">
        <f>IF(計分!X317="","",計分!X317^2)</f>
        <v/>
      </c>
      <c r="Y317">
        <f>IF(計分!Y317="","",計分!Y317^2)</f>
        <v/>
      </c>
      <c r="Z317">
        <f>IF(計分!Z317="","",計分!Z317^2)</f>
        <v/>
      </c>
      <c r="AA317">
        <f>IF(計分!AA317="","",計分!AA317^2)</f>
        <v/>
      </c>
      <c r="AB317">
        <f>IF(計分!AB317="","",計分!AB317^2)</f>
        <v/>
      </c>
      <c r="AC317">
        <f>IF(計分!AC317="","",計分!AC317^2)</f>
        <v/>
      </c>
      <c r="AD317">
        <f>IF(計分!AD317="","",計分!AD317^2)</f>
        <v/>
      </c>
      <c r="AE317">
        <f>IF(計分!AE317="","",計分!AE317^2)</f>
        <v/>
      </c>
      <c r="AF317">
        <f>IF(計分!AF317="","",計分!AF317^2)</f>
        <v/>
      </c>
      <c r="AG317">
        <f>IF(計分!AG317="","",計分!AG317^2)</f>
        <v/>
      </c>
      <c r="AH317">
        <f>IF(計分!AH317="","",計分!AH317^2)</f>
        <v/>
      </c>
      <c r="AI317">
        <f>IF(計分!AI317="","",計分!AI317^2)</f>
        <v/>
      </c>
      <c r="AJ317">
        <f>IF(計分!AJ317="","",計分!AJ317^2)</f>
        <v/>
      </c>
      <c r="AK317">
        <f>IF(計分!AK317="","",計分!AK317^2)</f>
        <v/>
      </c>
      <c r="AL317">
        <f>IF(計分!AL317="","",計分!AL317^2)</f>
        <v/>
      </c>
      <c r="AM317">
        <f>IF(計分!AM317="","",計分!AM317^2)</f>
        <v/>
      </c>
      <c r="AN317">
        <f>IF(計分!AN317="","",計分!AN317^2)</f>
        <v/>
      </c>
      <c r="AO317">
        <f>IF(計分!AO317="","",計分!AO317^2)</f>
        <v/>
      </c>
    </row>
    <row r="318">
      <c r="B318">
        <f>IF(計分!B318="","",計分!B318^2)</f>
        <v/>
      </c>
      <c r="C318">
        <f>IF(計分!C318="","",計分!C318^2)</f>
        <v/>
      </c>
      <c r="D318">
        <f>IF(計分!D318="","",計分!D318^2)</f>
        <v/>
      </c>
      <c r="E318">
        <f>IF(計分!E318="","",計分!E318^2)</f>
        <v/>
      </c>
      <c r="F318">
        <f>IF(計分!F318="","",計分!F318^2)</f>
        <v/>
      </c>
      <c r="G318">
        <f>IF(計分!G318="","",計分!G318^2)</f>
        <v/>
      </c>
      <c r="H318">
        <f>IF(計分!H318="","",計分!H318^2)</f>
        <v/>
      </c>
      <c r="I318">
        <f>IF(計分!I318="","",計分!I318^2)</f>
        <v/>
      </c>
      <c r="J318">
        <f>IF(計分!J318="","",計分!J318^2)</f>
        <v/>
      </c>
      <c r="K318">
        <f>IF(計分!K318="","",計分!K318^2)</f>
        <v/>
      </c>
      <c r="L318">
        <f>IF(計分!L318="","",計分!L318^2)</f>
        <v/>
      </c>
      <c r="M318">
        <f>IF(計分!M318="","",計分!M318^2)</f>
        <v/>
      </c>
      <c r="N318">
        <f>IF(計分!N318="","",計分!N318^2)</f>
        <v/>
      </c>
      <c r="O318">
        <f>IF(計分!O318="","",計分!O318^2)</f>
        <v/>
      </c>
      <c r="P318">
        <f>IF(計分!P318="","",計分!P318^2)</f>
        <v/>
      </c>
      <c r="Q318">
        <f>IF(計分!Q318="","",計分!Q318^2)</f>
        <v/>
      </c>
      <c r="R318">
        <f>IF(計分!R318="","",計分!R318^2)</f>
        <v/>
      </c>
      <c r="S318">
        <f>IF(計分!S318="","",計分!S318^2)</f>
        <v/>
      </c>
      <c r="T318">
        <f>IF(計分!T318="","",計分!T318^2)</f>
        <v/>
      </c>
      <c r="U318">
        <f>IF(計分!U318="","",計分!U318^2)</f>
        <v/>
      </c>
      <c r="V318">
        <f>IF(計分!V318="","",計分!V318^2)</f>
        <v/>
      </c>
      <c r="W318">
        <f>IF(計分!W318="","",計分!W318^2)</f>
        <v/>
      </c>
      <c r="X318">
        <f>IF(計分!X318="","",計分!X318^2)</f>
        <v/>
      </c>
      <c r="Y318">
        <f>IF(計分!Y318="","",計分!Y318^2)</f>
        <v/>
      </c>
      <c r="Z318">
        <f>IF(計分!Z318="","",計分!Z318^2)</f>
        <v/>
      </c>
      <c r="AA318">
        <f>IF(計分!AA318="","",計分!AA318^2)</f>
        <v/>
      </c>
      <c r="AB318">
        <f>IF(計分!AB318="","",計分!AB318^2)</f>
        <v/>
      </c>
      <c r="AC318">
        <f>IF(計分!AC318="","",計分!AC318^2)</f>
        <v/>
      </c>
      <c r="AD318">
        <f>IF(計分!AD318="","",計分!AD318^2)</f>
        <v/>
      </c>
      <c r="AE318">
        <f>IF(計分!AE318="","",計分!AE318^2)</f>
        <v/>
      </c>
      <c r="AF318">
        <f>IF(計分!AF318="","",計分!AF318^2)</f>
        <v/>
      </c>
      <c r="AG318">
        <f>IF(計分!AG318="","",計分!AG318^2)</f>
        <v/>
      </c>
      <c r="AH318">
        <f>IF(計分!AH318="","",計分!AH318^2)</f>
        <v/>
      </c>
      <c r="AI318">
        <f>IF(計分!AI318="","",計分!AI318^2)</f>
        <v/>
      </c>
      <c r="AJ318">
        <f>IF(計分!AJ318="","",計分!AJ318^2)</f>
        <v/>
      </c>
      <c r="AK318">
        <f>IF(計分!AK318="","",計分!AK318^2)</f>
        <v/>
      </c>
      <c r="AL318">
        <f>IF(計分!AL318="","",計分!AL318^2)</f>
        <v/>
      </c>
      <c r="AM318">
        <f>IF(計分!AM318="","",計分!AM318^2)</f>
        <v/>
      </c>
      <c r="AN318">
        <f>IF(計分!AN318="","",計分!AN318^2)</f>
        <v/>
      </c>
      <c r="AO318">
        <f>IF(計分!AO318="","",計分!AO318^2)</f>
        <v/>
      </c>
    </row>
    <row r="319">
      <c r="B319">
        <f>IF(計分!B319="","",計分!B319^2)</f>
        <v/>
      </c>
      <c r="C319">
        <f>IF(計分!C319="","",計分!C319^2)</f>
        <v/>
      </c>
      <c r="D319">
        <f>IF(計分!D319="","",計分!D319^2)</f>
        <v/>
      </c>
      <c r="E319">
        <f>IF(計分!E319="","",計分!E319^2)</f>
        <v/>
      </c>
      <c r="F319">
        <f>IF(計分!F319="","",計分!F319^2)</f>
        <v/>
      </c>
      <c r="G319">
        <f>IF(計分!G319="","",計分!G319^2)</f>
        <v/>
      </c>
      <c r="H319">
        <f>IF(計分!H319="","",計分!H319^2)</f>
        <v/>
      </c>
      <c r="I319">
        <f>IF(計分!I319="","",計分!I319^2)</f>
        <v/>
      </c>
      <c r="J319">
        <f>IF(計分!J319="","",計分!J319^2)</f>
        <v/>
      </c>
      <c r="K319">
        <f>IF(計分!K319="","",計分!K319^2)</f>
        <v/>
      </c>
      <c r="L319">
        <f>IF(計分!L319="","",計分!L319^2)</f>
        <v/>
      </c>
      <c r="M319">
        <f>IF(計分!M319="","",計分!M319^2)</f>
        <v/>
      </c>
      <c r="N319">
        <f>IF(計分!N319="","",計分!N319^2)</f>
        <v/>
      </c>
      <c r="O319">
        <f>IF(計分!O319="","",計分!O319^2)</f>
        <v/>
      </c>
      <c r="P319">
        <f>IF(計分!P319="","",計分!P319^2)</f>
        <v/>
      </c>
      <c r="Q319">
        <f>IF(計分!Q319="","",計分!Q319^2)</f>
        <v/>
      </c>
      <c r="R319">
        <f>IF(計分!R319="","",計分!R319^2)</f>
        <v/>
      </c>
      <c r="S319">
        <f>IF(計分!S319="","",計分!S319^2)</f>
        <v/>
      </c>
      <c r="T319">
        <f>IF(計分!T319="","",計分!T319^2)</f>
        <v/>
      </c>
      <c r="U319">
        <f>IF(計分!U319="","",計分!U319^2)</f>
        <v/>
      </c>
      <c r="V319">
        <f>IF(計分!V319="","",計分!V319^2)</f>
        <v/>
      </c>
      <c r="W319">
        <f>IF(計分!W319="","",計分!W319^2)</f>
        <v/>
      </c>
      <c r="X319">
        <f>IF(計分!X319="","",計分!X319^2)</f>
        <v/>
      </c>
      <c r="Y319">
        <f>IF(計分!Y319="","",計分!Y319^2)</f>
        <v/>
      </c>
      <c r="Z319">
        <f>IF(計分!Z319="","",計分!Z319^2)</f>
        <v/>
      </c>
      <c r="AA319">
        <f>IF(計分!AA319="","",計分!AA319^2)</f>
        <v/>
      </c>
      <c r="AB319">
        <f>IF(計分!AB319="","",計分!AB319^2)</f>
        <v/>
      </c>
      <c r="AC319">
        <f>IF(計分!AC319="","",計分!AC319^2)</f>
        <v/>
      </c>
      <c r="AD319">
        <f>IF(計分!AD319="","",計分!AD319^2)</f>
        <v/>
      </c>
      <c r="AE319">
        <f>IF(計分!AE319="","",計分!AE319^2)</f>
        <v/>
      </c>
      <c r="AF319">
        <f>IF(計分!AF319="","",計分!AF319^2)</f>
        <v/>
      </c>
      <c r="AG319">
        <f>IF(計分!AG319="","",計分!AG319^2)</f>
        <v/>
      </c>
      <c r="AH319">
        <f>IF(計分!AH319="","",計分!AH319^2)</f>
        <v/>
      </c>
      <c r="AI319">
        <f>IF(計分!AI319="","",計分!AI319^2)</f>
        <v/>
      </c>
      <c r="AJ319">
        <f>IF(計分!AJ319="","",計分!AJ319^2)</f>
        <v/>
      </c>
      <c r="AK319">
        <f>IF(計分!AK319="","",計分!AK319^2)</f>
        <v/>
      </c>
      <c r="AL319">
        <f>IF(計分!AL319="","",計分!AL319^2)</f>
        <v/>
      </c>
      <c r="AM319">
        <f>IF(計分!AM319="","",計分!AM319^2)</f>
        <v/>
      </c>
      <c r="AN319">
        <f>IF(計分!AN319="","",計分!AN319^2)</f>
        <v/>
      </c>
      <c r="AO319">
        <f>IF(計分!AO319="","",計分!AO319^2)</f>
        <v/>
      </c>
    </row>
    <row r="320">
      <c r="B320">
        <f>IF(計分!B320="","",計分!B320^2)</f>
        <v/>
      </c>
      <c r="C320">
        <f>IF(計分!C320="","",計分!C320^2)</f>
        <v/>
      </c>
      <c r="D320">
        <f>IF(計分!D320="","",計分!D320^2)</f>
        <v/>
      </c>
      <c r="E320">
        <f>IF(計分!E320="","",計分!E320^2)</f>
        <v/>
      </c>
      <c r="F320">
        <f>IF(計分!F320="","",計分!F320^2)</f>
        <v/>
      </c>
      <c r="G320">
        <f>IF(計分!G320="","",計分!G320^2)</f>
        <v/>
      </c>
      <c r="H320">
        <f>IF(計分!H320="","",計分!H320^2)</f>
        <v/>
      </c>
      <c r="I320">
        <f>IF(計分!I320="","",計分!I320^2)</f>
        <v/>
      </c>
      <c r="J320">
        <f>IF(計分!J320="","",計分!J320^2)</f>
        <v/>
      </c>
      <c r="K320">
        <f>IF(計分!K320="","",計分!K320^2)</f>
        <v/>
      </c>
      <c r="L320">
        <f>IF(計分!L320="","",計分!L320^2)</f>
        <v/>
      </c>
      <c r="M320">
        <f>IF(計分!M320="","",計分!M320^2)</f>
        <v/>
      </c>
      <c r="N320">
        <f>IF(計分!N320="","",計分!N320^2)</f>
        <v/>
      </c>
      <c r="O320">
        <f>IF(計分!O320="","",計分!O320^2)</f>
        <v/>
      </c>
      <c r="P320">
        <f>IF(計分!P320="","",計分!P320^2)</f>
        <v/>
      </c>
      <c r="Q320">
        <f>IF(計分!Q320="","",計分!Q320^2)</f>
        <v/>
      </c>
      <c r="R320">
        <f>IF(計分!R320="","",計分!R320^2)</f>
        <v/>
      </c>
      <c r="S320">
        <f>IF(計分!S320="","",計分!S320^2)</f>
        <v/>
      </c>
      <c r="T320">
        <f>IF(計分!T320="","",計分!T320^2)</f>
        <v/>
      </c>
      <c r="U320">
        <f>IF(計分!U320="","",計分!U320^2)</f>
        <v/>
      </c>
      <c r="V320">
        <f>IF(計分!V320="","",計分!V320^2)</f>
        <v/>
      </c>
      <c r="W320">
        <f>IF(計分!W320="","",計分!W320^2)</f>
        <v/>
      </c>
      <c r="X320">
        <f>IF(計分!X320="","",計分!X320^2)</f>
        <v/>
      </c>
      <c r="Y320">
        <f>IF(計分!Y320="","",計分!Y320^2)</f>
        <v/>
      </c>
      <c r="Z320">
        <f>IF(計分!Z320="","",計分!Z320^2)</f>
        <v/>
      </c>
      <c r="AA320">
        <f>IF(計分!AA320="","",計分!AA320^2)</f>
        <v/>
      </c>
      <c r="AB320">
        <f>IF(計分!AB320="","",計分!AB320^2)</f>
        <v/>
      </c>
      <c r="AC320">
        <f>IF(計分!AC320="","",計分!AC320^2)</f>
        <v/>
      </c>
      <c r="AD320">
        <f>IF(計分!AD320="","",計分!AD320^2)</f>
        <v/>
      </c>
      <c r="AE320">
        <f>IF(計分!AE320="","",計分!AE320^2)</f>
        <v/>
      </c>
      <c r="AF320">
        <f>IF(計分!AF320="","",計分!AF320^2)</f>
        <v/>
      </c>
      <c r="AG320">
        <f>IF(計分!AG320="","",計分!AG320^2)</f>
        <v/>
      </c>
      <c r="AH320">
        <f>IF(計分!AH320="","",計分!AH320^2)</f>
        <v/>
      </c>
      <c r="AI320">
        <f>IF(計分!AI320="","",計分!AI320^2)</f>
        <v/>
      </c>
      <c r="AJ320">
        <f>IF(計分!AJ320="","",計分!AJ320^2)</f>
        <v/>
      </c>
      <c r="AK320">
        <f>IF(計分!AK320="","",計分!AK320^2)</f>
        <v/>
      </c>
      <c r="AL320">
        <f>IF(計分!AL320="","",計分!AL320^2)</f>
        <v/>
      </c>
      <c r="AM320">
        <f>IF(計分!AM320="","",計分!AM320^2)</f>
        <v/>
      </c>
      <c r="AN320">
        <f>IF(計分!AN320="","",計分!AN320^2)</f>
        <v/>
      </c>
      <c r="AO320">
        <f>IF(計分!AO320="","",計分!AO320^2)</f>
        <v/>
      </c>
    </row>
    <row r="321">
      <c r="B321">
        <f>IF(計分!B321="","",計分!B321^2)</f>
        <v/>
      </c>
      <c r="C321">
        <f>IF(計分!C321="","",計分!C321^2)</f>
        <v/>
      </c>
      <c r="D321">
        <f>IF(計分!D321="","",計分!D321^2)</f>
        <v/>
      </c>
      <c r="E321">
        <f>IF(計分!E321="","",計分!E321^2)</f>
        <v/>
      </c>
      <c r="F321">
        <f>IF(計分!F321="","",計分!F321^2)</f>
        <v/>
      </c>
      <c r="G321">
        <f>IF(計分!G321="","",計分!G321^2)</f>
        <v/>
      </c>
      <c r="H321">
        <f>IF(計分!H321="","",計分!H321^2)</f>
        <v/>
      </c>
      <c r="I321">
        <f>IF(計分!I321="","",計分!I321^2)</f>
        <v/>
      </c>
      <c r="J321">
        <f>IF(計分!J321="","",計分!J321^2)</f>
        <v/>
      </c>
      <c r="K321">
        <f>IF(計分!K321="","",計分!K321^2)</f>
        <v/>
      </c>
      <c r="L321">
        <f>IF(計分!L321="","",計分!L321^2)</f>
        <v/>
      </c>
      <c r="M321">
        <f>IF(計分!M321="","",計分!M321^2)</f>
        <v/>
      </c>
      <c r="N321">
        <f>IF(計分!N321="","",計分!N321^2)</f>
        <v/>
      </c>
      <c r="O321">
        <f>IF(計分!O321="","",計分!O321^2)</f>
        <v/>
      </c>
      <c r="P321">
        <f>IF(計分!P321="","",計分!P321^2)</f>
        <v/>
      </c>
      <c r="Q321">
        <f>IF(計分!Q321="","",計分!Q321^2)</f>
        <v/>
      </c>
      <c r="R321">
        <f>IF(計分!R321="","",計分!R321^2)</f>
        <v/>
      </c>
      <c r="S321">
        <f>IF(計分!S321="","",計分!S321^2)</f>
        <v/>
      </c>
      <c r="T321">
        <f>IF(計分!T321="","",計分!T321^2)</f>
        <v/>
      </c>
      <c r="U321">
        <f>IF(計分!U321="","",計分!U321^2)</f>
        <v/>
      </c>
      <c r="V321">
        <f>IF(計分!V321="","",計分!V321^2)</f>
        <v/>
      </c>
      <c r="W321">
        <f>IF(計分!W321="","",計分!W321^2)</f>
        <v/>
      </c>
      <c r="X321">
        <f>IF(計分!X321="","",計分!X321^2)</f>
        <v/>
      </c>
      <c r="Y321">
        <f>IF(計分!Y321="","",計分!Y321^2)</f>
        <v/>
      </c>
      <c r="Z321">
        <f>IF(計分!Z321="","",計分!Z321^2)</f>
        <v/>
      </c>
      <c r="AA321">
        <f>IF(計分!AA321="","",計分!AA321^2)</f>
        <v/>
      </c>
      <c r="AB321">
        <f>IF(計分!AB321="","",計分!AB321^2)</f>
        <v/>
      </c>
      <c r="AC321">
        <f>IF(計分!AC321="","",計分!AC321^2)</f>
        <v/>
      </c>
      <c r="AD321">
        <f>IF(計分!AD321="","",計分!AD321^2)</f>
        <v/>
      </c>
      <c r="AE321">
        <f>IF(計分!AE321="","",計分!AE321^2)</f>
        <v/>
      </c>
      <c r="AF321">
        <f>IF(計分!AF321="","",計分!AF321^2)</f>
        <v/>
      </c>
      <c r="AG321">
        <f>IF(計分!AG321="","",計分!AG321^2)</f>
        <v/>
      </c>
      <c r="AH321">
        <f>IF(計分!AH321="","",計分!AH321^2)</f>
        <v/>
      </c>
      <c r="AI321">
        <f>IF(計分!AI321="","",計分!AI321^2)</f>
        <v/>
      </c>
      <c r="AJ321">
        <f>IF(計分!AJ321="","",計分!AJ321^2)</f>
        <v/>
      </c>
      <c r="AK321">
        <f>IF(計分!AK321="","",計分!AK321^2)</f>
        <v/>
      </c>
      <c r="AL321">
        <f>IF(計分!AL321="","",計分!AL321^2)</f>
        <v/>
      </c>
      <c r="AM321">
        <f>IF(計分!AM321="","",計分!AM321^2)</f>
        <v/>
      </c>
      <c r="AN321">
        <f>IF(計分!AN321="","",計分!AN321^2)</f>
        <v/>
      </c>
      <c r="AO321">
        <f>IF(計分!AO321="","",計分!AO321^2)</f>
        <v/>
      </c>
    </row>
    <row r="322">
      <c r="B322">
        <f>IF(計分!B322="","",計分!B322^2)</f>
        <v/>
      </c>
      <c r="C322">
        <f>IF(計分!C322="","",計分!C322^2)</f>
        <v/>
      </c>
      <c r="D322">
        <f>IF(計分!D322="","",計分!D322^2)</f>
        <v/>
      </c>
      <c r="E322">
        <f>IF(計分!E322="","",計分!E322^2)</f>
        <v/>
      </c>
      <c r="F322">
        <f>IF(計分!F322="","",計分!F322^2)</f>
        <v/>
      </c>
      <c r="G322">
        <f>IF(計分!G322="","",計分!G322^2)</f>
        <v/>
      </c>
      <c r="H322">
        <f>IF(計分!H322="","",計分!H322^2)</f>
        <v/>
      </c>
      <c r="I322">
        <f>IF(計分!I322="","",計分!I322^2)</f>
        <v/>
      </c>
      <c r="J322">
        <f>IF(計分!J322="","",計分!J322^2)</f>
        <v/>
      </c>
      <c r="K322">
        <f>IF(計分!K322="","",計分!K322^2)</f>
        <v/>
      </c>
      <c r="L322">
        <f>IF(計分!L322="","",計分!L322^2)</f>
        <v/>
      </c>
      <c r="M322">
        <f>IF(計分!M322="","",計分!M322^2)</f>
        <v/>
      </c>
      <c r="N322">
        <f>IF(計分!N322="","",計分!N322^2)</f>
        <v/>
      </c>
      <c r="O322">
        <f>IF(計分!O322="","",計分!O322^2)</f>
        <v/>
      </c>
      <c r="P322">
        <f>IF(計分!P322="","",計分!P322^2)</f>
        <v/>
      </c>
      <c r="Q322">
        <f>IF(計分!Q322="","",計分!Q322^2)</f>
        <v/>
      </c>
      <c r="R322">
        <f>IF(計分!R322="","",計分!R322^2)</f>
        <v/>
      </c>
      <c r="S322">
        <f>IF(計分!S322="","",計分!S322^2)</f>
        <v/>
      </c>
      <c r="T322">
        <f>IF(計分!T322="","",計分!T322^2)</f>
        <v/>
      </c>
      <c r="U322">
        <f>IF(計分!U322="","",計分!U322^2)</f>
        <v/>
      </c>
      <c r="V322">
        <f>IF(計分!V322="","",計分!V322^2)</f>
        <v/>
      </c>
      <c r="W322">
        <f>IF(計分!W322="","",計分!W322^2)</f>
        <v/>
      </c>
      <c r="X322">
        <f>IF(計分!X322="","",計分!X322^2)</f>
        <v/>
      </c>
      <c r="Y322">
        <f>IF(計分!Y322="","",計分!Y322^2)</f>
        <v/>
      </c>
      <c r="Z322">
        <f>IF(計分!Z322="","",計分!Z322^2)</f>
        <v/>
      </c>
      <c r="AA322">
        <f>IF(計分!AA322="","",計分!AA322^2)</f>
        <v/>
      </c>
      <c r="AB322">
        <f>IF(計分!AB322="","",計分!AB322^2)</f>
        <v/>
      </c>
      <c r="AC322">
        <f>IF(計分!AC322="","",計分!AC322^2)</f>
        <v/>
      </c>
      <c r="AD322">
        <f>IF(計分!AD322="","",計分!AD322^2)</f>
        <v/>
      </c>
      <c r="AE322">
        <f>IF(計分!AE322="","",計分!AE322^2)</f>
        <v/>
      </c>
      <c r="AF322">
        <f>IF(計分!AF322="","",計分!AF322^2)</f>
        <v/>
      </c>
      <c r="AG322">
        <f>IF(計分!AG322="","",計分!AG322^2)</f>
        <v/>
      </c>
      <c r="AH322">
        <f>IF(計分!AH322="","",計分!AH322^2)</f>
        <v/>
      </c>
      <c r="AI322">
        <f>IF(計分!AI322="","",計分!AI322^2)</f>
        <v/>
      </c>
      <c r="AJ322">
        <f>IF(計分!AJ322="","",計分!AJ322^2)</f>
        <v/>
      </c>
      <c r="AK322">
        <f>IF(計分!AK322="","",計分!AK322^2)</f>
        <v/>
      </c>
      <c r="AL322">
        <f>IF(計分!AL322="","",計分!AL322^2)</f>
        <v/>
      </c>
      <c r="AM322">
        <f>IF(計分!AM322="","",計分!AM322^2)</f>
        <v/>
      </c>
      <c r="AN322">
        <f>IF(計分!AN322="","",計分!AN322^2)</f>
        <v/>
      </c>
      <c r="AO322">
        <f>IF(計分!AO322="","",計分!AO322^2)</f>
        <v/>
      </c>
    </row>
    <row r="323">
      <c r="B323">
        <f>IF(計分!B323="","",計分!B323^2)</f>
        <v/>
      </c>
      <c r="C323">
        <f>IF(計分!C323="","",計分!C323^2)</f>
        <v/>
      </c>
      <c r="D323">
        <f>IF(計分!D323="","",計分!D323^2)</f>
        <v/>
      </c>
      <c r="E323">
        <f>IF(計分!E323="","",計分!E323^2)</f>
        <v/>
      </c>
      <c r="F323">
        <f>IF(計分!F323="","",計分!F323^2)</f>
        <v/>
      </c>
      <c r="G323">
        <f>IF(計分!G323="","",計分!G323^2)</f>
        <v/>
      </c>
      <c r="H323">
        <f>IF(計分!H323="","",計分!H323^2)</f>
        <v/>
      </c>
      <c r="I323">
        <f>IF(計分!I323="","",計分!I323^2)</f>
        <v/>
      </c>
      <c r="J323">
        <f>IF(計分!J323="","",計分!J323^2)</f>
        <v/>
      </c>
      <c r="K323">
        <f>IF(計分!K323="","",計分!K323^2)</f>
        <v/>
      </c>
      <c r="L323">
        <f>IF(計分!L323="","",計分!L323^2)</f>
        <v/>
      </c>
      <c r="M323">
        <f>IF(計分!M323="","",計分!M323^2)</f>
        <v/>
      </c>
      <c r="N323">
        <f>IF(計分!N323="","",計分!N323^2)</f>
        <v/>
      </c>
      <c r="O323">
        <f>IF(計分!O323="","",計分!O323^2)</f>
        <v/>
      </c>
      <c r="P323">
        <f>IF(計分!P323="","",計分!P323^2)</f>
        <v/>
      </c>
      <c r="Q323">
        <f>IF(計分!Q323="","",計分!Q323^2)</f>
        <v/>
      </c>
      <c r="R323">
        <f>IF(計分!R323="","",計分!R323^2)</f>
        <v/>
      </c>
      <c r="S323">
        <f>IF(計分!S323="","",計分!S323^2)</f>
        <v/>
      </c>
      <c r="T323">
        <f>IF(計分!T323="","",計分!T323^2)</f>
        <v/>
      </c>
      <c r="U323">
        <f>IF(計分!U323="","",計分!U323^2)</f>
        <v/>
      </c>
      <c r="V323">
        <f>IF(計分!V323="","",計分!V323^2)</f>
        <v/>
      </c>
      <c r="W323">
        <f>IF(計分!W323="","",計分!W323^2)</f>
        <v/>
      </c>
      <c r="X323">
        <f>IF(計分!X323="","",計分!X323^2)</f>
        <v/>
      </c>
      <c r="Y323">
        <f>IF(計分!Y323="","",計分!Y323^2)</f>
        <v/>
      </c>
      <c r="Z323">
        <f>IF(計分!Z323="","",計分!Z323^2)</f>
        <v/>
      </c>
      <c r="AA323">
        <f>IF(計分!AA323="","",計分!AA323^2)</f>
        <v/>
      </c>
      <c r="AB323">
        <f>IF(計分!AB323="","",計分!AB323^2)</f>
        <v/>
      </c>
      <c r="AC323">
        <f>IF(計分!AC323="","",計分!AC323^2)</f>
        <v/>
      </c>
      <c r="AD323">
        <f>IF(計分!AD323="","",計分!AD323^2)</f>
        <v/>
      </c>
      <c r="AE323">
        <f>IF(計分!AE323="","",計分!AE323^2)</f>
        <v/>
      </c>
      <c r="AF323">
        <f>IF(計分!AF323="","",計分!AF323^2)</f>
        <v/>
      </c>
      <c r="AG323">
        <f>IF(計分!AG323="","",計分!AG323^2)</f>
        <v/>
      </c>
      <c r="AH323">
        <f>IF(計分!AH323="","",計分!AH323^2)</f>
        <v/>
      </c>
      <c r="AI323">
        <f>IF(計分!AI323="","",計分!AI323^2)</f>
        <v/>
      </c>
      <c r="AJ323">
        <f>IF(計分!AJ323="","",計分!AJ323^2)</f>
        <v/>
      </c>
      <c r="AK323">
        <f>IF(計分!AK323="","",計分!AK323^2)</f>
        <v/>
      </c>
      <c r="AL323">
        <f>IF(計分!AL323="","",計分!AL323^2)</f>
        <v/>
      </c>
      <c r="AM323">
        <f>IF(計分!AM323="","",計分!AM323^2)</f>
        <v/>
      </c>
      <c r="AN323">
        <f>IF(計分!AN323="","",計分!AN323^2)</f>
        <v/>
      </c>
      <c r="AO323">
        <f>IF(計分!AO323="","",計分!AO323^2)</f>
        <v/>
      </c>
    </row>
    <row r="324">
      <c r="B324">
        <f>IF(計分!B324="","",計分!B324^2)</f>
        <v/>
      </c>
      <c r="C324">
        <f>IF(計分!C324="","",計分!C324^2)</f>
        <v/>
      </c>
      <c r="D324">
        <f>IF(計分!D324="","",計分!D324^2)</f>
        <v/>
      </c>
      <c r="E324">
        <f>IF(計分!E324="","",計分!E324^2)</f>
        <v/>
      </c>
      <c r="F324">
        <f>IF(計分!F324="","",計分!F324^2)</f>
        <v/>
      </c>
      <c r="G324">
        <f>IF(計分!G324="","",計分!G324^2)</f>
        <v/>
      </c>
      <c r="H324">
        <f>IF(計分!H324="","",計分!H324^2)</f>
        <v/>
      </c>
      <c r="I324">
        <f>IF(計分!I324="","",計分!I324^2)</f>
        <v/>
      </c>
      <c r="J324">
        <f>IF(計分!J324="","",計分!J324^2)</f>
        <v/>
      </c>
      <c r="K324">
        <f>IF(計分!K324="","",計分!K324^2)</f>
        <v/>
      </c>
      <c r="L324">
        <f>IF(計分!L324="","",計分!L324^2)</f>
        <v/>
      </c>
      <c r="M324">
        <f>IF(計分!M324="","",計分!M324^2)</f>
        <v/>
      </c>
      <c r="N324">
        <f>IF(計分!N324="","",計分!N324^2)</f>
        <v/>
      </c>
      <c r="O324">
        <f>IF(計分!O324="","",計分!O324^2)</f>
        <v/>
      </c>
      <c r="P324">
        <f>IF(計分!P324="","",計分!P324^2)</f>
        <v/>
      </c>
      <c r="Q324">
        <f>IF(計分!Q324="","",計分!Q324^2)</f>
        <v/>
      </c>
      <c r="R324">
        <f>IF(計分!R324="","",計分!R324^2)</f>
        <v/>
      </c>
      <c r="S324">
        <f>IF(計分!S324="","",計分!S324^2)</f>
        <v/>
      </c>
      <c r="T324">
        <f>IF(計分!T324="","",計分!T324^2)</f>
        <v/>
      </c>
      <c r="U324">
        <f>IF(計分!U324="","",計分!U324^2)</f>
        <v/>
      </c>
      <c r="V324">
        <f>IF(計分!V324="","",計分!V324^2)</f>
        <v/>
      </c>
      <c r="W324">
        <f>IF(計分!W324="","",計分!W324^2)</f>
        <v/>
      </c>
      <c r="X324">
        <f>IF(計分!X324="","",計分!X324^2)</f>
        <v/>
      </c>
      <c r="Y324">
        <f>IF(計分!Y324="","",計分!Y324^2)</f>
        <v/>
      </c>
      <c r="Z324">
        <f>IF(計分!Z324="","",計分!Z324^2)</f>
        <v/>
      </c>
      <c r="AA324">
        <f>IF(計分!AA324="","",計分!AA324^2)</f>
        <v/>
      </c>
      <c r="AB324">
        <f>IF(計分!AB324="","",計分!AB324^2)</f>
        <v/>
      </c>
      <c r="AC324">
        <f>IF(計分!AC324="","",計分!AC324^2)</f>
        <v/>
      </c>
      <c r="AD324">
        <f>IF(計分!AD324="","",計分!AD324^2)</f>
        <v/>
      </c>
      <c r="AE324">
        <f>IF(計分!AE324="","",計分!AE324^2)</f>
        <v/>
      </c>
      <c r="AF324">
        <f>IF(計分!AF324="","",計分!AF324^2)</f>
        <v/>
      </c>
      <c r="AG324">
        <f>IF(計分!AG324="","",計分!AG324^2)</f>
        <v/>
      </c>
      <c r="AH324">
        <f>IF(計分!AH324="","",計分!AH324^2)</f>
        <v/>
      </c>
      <c r="AI324">
        <f>IF(計分!AI324="","",計分!AI324^2)</f>
        <v/>
      </c>
      <c r="AJ324">
        <f>IF(計分!AJ324="","",計分!AJ324^2)</f>
        <v/>
      </c>
      <c r="AK324">
        <f>IF(計分!AK324="","",計分!AK324^2)</f>
        <v/>
      </c>
      <c r="AL324">
        <f>IF(計分!AL324="","",計分!AL324^2)</f>
        <v/>
      </c>
      <c r="AM324">
        <f>IF(計分!AM324="","",計分!AM324^2)</f>
        <v/>
      </c>
      <c r="AN324">
        <f>IF(計分!AN324="","",計分!AN324^2)</f>
        <v/>
      </c>
      <c r="AO324">
        <f>IF(計分!AO324="","",計分!AO324^2)</f>
        <v/>
      </c>
    </row>
    <row r="325">
      <c r="B325">
        <f>IF(計分!B325="","",計分!B325^2)</f>
        <v/>
      </c>
      <c r="C325">
        <f>IF(計分!C325="","",計分!C325^2)</f>
        <v/>
      </c>
      <c r="D325">
        <f>IF(計分!D325="","",計分!D325^2)</f>
        <v/>
      </c>
      <c r="E325">
        <f>IF(計分!E325="","",計分!E325^2)</f>
        <v/>
      </c>
      <c r="F325">
        <f>IF(計分!F325="","",計分!F325^2)</f>
        <v/>
      </c>
      <c r="G325">
        <f>IF(計分!G325="","",計分!G325^2)</f>
        <v/>
      </c>
      <c r="H325">
        <f>IF(計分!H325="","",計分!H325^2)</f>
        <v/>
      </c>
      <c r="I325">
        <f>IF(計分!I325="","",計分!I325^2)</f>
        <v/>
      </c>
      <c r="J325">
        <f>IF(計分!J325="","",計分!J325^2)</f>
        <v/>
      </c>
      <c r="K325">
        <f>IF(計分!K325="","",計分!K325^2)</f>
        <v/>
      </c>
      <c r="L325">
        <f>IF(計分!L325="","",計分!L325^2)</f>
        <v/>
      </c>
      <c r="M325">
        <f>IF(計分!M325="","",計分!M325^2)</f>
        <v/>
      </c>
      <c r="N325">
        <f>IF(計分!N325="","",計分!N325^2)</f>
        <v/>
      </c>
      <c r="O325">
        <f>IF(計分!O325="","",計分!O325^2)</f>
        <v/>
      </c>
      <c r="P325">
        <f>IF(計分!P325="","",計分!P325^2)</f>
        <v/>
      </c>
      <c r="Q325">
        <f>IF(計分!Q325="","",計分!Q325^2)</f>
        <v/>
      </c>
      <c r="R325">
        <f>IF(計分!R325="","",計分!R325^2)</f>
        <v/>
      </c>
      <c r="S325">
        <f>IF(計分!S325="","",計分!S325^2)</f>
        <v/>
      </c>
      <c r="T325">
        <f>IF(計分!T325="","",計分!T325^2)</f>
        <v/>
      </c>
      <c r="U325">
        <f>IF(計分!U325="","",計分!U325^2)</f>
        <v/>
      </c>
      <c r="V325">
        <f>IF(計分!V325="","",計分!V325^2)</f>
        <v/>
      </c>
      <c r="W325">
        <f>IF(計分!W325="","",計分!W325^2)</f>
        <v/>
      </c>
      <c r="X325">
        <f>IF(計分!X325="","",計分!X325^2)</f>
        <v/>
      </c>
      <c r="Y325">
        <f>IF(計分!Y325="","",計分!Y325^2)</f>
        <v/>
      </c>
      <c r="Z325">
        <f>IF(計分!Z325="","",計分!Z325^2)</f>
        <v/>
      </c>
      <c r="AA325">
        <f>IF(計分!AA325="","",計分!AA325^2)</f>
        <v/>
      </c>
      <c r="AB325">
        <f>IF(計分!AB325="","",計分!AB325^2)</f>
        <v/>
      </c>
      <c r="AC325">
        <f>IF(計分!AC325="","",計分!AC325^2)</f>
        <v/>
      </c>
      <c r="AD325">
        <f>IF(計分!AD325="","",計分!AD325^2)</f>
        <v/>
      </c>
      <c r="AE325">
        <f>IF(計分!AE325="","",計分!AE325^2)</f>
        <v/>
      </c>
      <c r="AF325">
        <f>IF(計分!AF325="","",計分!AF325^2)</f>
        <v/>
      </c>
      <c r="AG325">
        <f>IF(計分!AG325="","",計分!AG325^2)</f>
        <v/>
      </c>
      <c r="AH325">
        <f>IF(計分!AH325="","",計分!AH325^2)</f>
        <v/>
      </c>
      <c r="AI325">
        <f>IF(計分!AI325="","",計分!AI325^2)</f>
        <v/>
      </c>
      <c r="AJ325">
        <f>IF(計分!AJ325="","",計分!AJ325^2)</f>
        <v/>
      </c>
      <c r="AK325">
        <f>IF(計分!AK325="","",計分!AK325^2)</f>
        <v/>
      </c>
      <c r="AL325">
        <f>IF(計分!AL325="","",計分!AL325^2)</f>
        <v/>
      </c>
      <c r="AM325">
        <f>IF(計分!AM325="","",計分!AM325^2)</f>
        <v/>
      </c>
      <c r="AN325">
        <f>IF(計分!AN325="","",計分!AN325^2)</f>
        <v/>
      </c>
      <c r="AO325">
        <f>IF(計分!AO325="","",計分!AO325^2)</f>
        <v/>
      </c>
    </row>
    <row r="326">
      <c r="B326">
        <f>IF(計分!B326="","",計分!B326^2)</f>
        <v/>
      </c>
      <c r="C326">
        <f>IF(計分!C326="","",計分!C326^2)</f>
        <v/>
      </c>
      <c r="D326">
        <f>IF(計分!D326="","",計分!D326^2)</f>
        <v/>
      </c>
      <c r="E326">
        <f>IF(計分!E326="","",計分!E326^2)</f>
        <v/>
      </c>
      <c r="F326">
        <f>IF(計分!F326="","",計分!F326^2)</f>
        <v/>
      </c>
      <c r="G326">
        <f>IF(計分!G326="","",計分!G326^2)</f>
        <v/>
      </c>
      <c r="H326">
        <f>IF(計分!H326="","",計分!H326^2)</f>
        <v/>
      </c>
      <c r="I326">
        <f>IF(計分!I326="","",計分!I326^2)</f>
        <v/>
      </c>
      <c r="J326">
        <f>IF(計分!J326="","",計分!J326^2)</f>
        <v/>
      </c>
      <c r="K326">
        <f>IF(計分!K326="","",計分!K326^2)</f>
        <v/>
      </c>
      <c r="L326">
        <f>IF(計分!L326="","",計分!L326^2)</f>
        <v/>
      </c>
      <c r="M326">
        <f>IF(計分!M326="","",計分!M326^2)</f>
        <v/>
      </c>
      <c r="N326">
        <f>IF(計分!N326="","",計分!N326^2)</f>
        <v/>
      </c>
      <c r="O326">
        <f>IF(計分!O326="","",計分!O326^2)</f>
        <v/>
      </c>
      <c r="P326">
        <f>IF(計分!P326="","",計分!P326^2)</f>
        <v/>
      </c>
      <c r="Q326">
        <f>IF(計分!Q326="","",計分!Q326^2)</f>
        <v/>
      </c>
      <c r="R326">
        <f>IF(計分!R326="","",計分!R326^2)</f>
        <v/>
      </c>
      <c r="S326">
        <f>IF(計分!S326="","",計分!S326^2)</f>
        <v/>
      </c>
      <c r="T326">
        <f>IF(計分!T326="","",計分!T326^2)</f>
        <v/>
      </c>
      <c r="U326">
        <f>IF(計分!U326="","",計分!U326^2)</f>
        <v/>
      </c>
      <c r="V326">
        <f>IF(計分!V326="","",計分!V326^2)</f>
        <v/>
      </c>
      <c r="W326">
        <f>IF(計分!W326="","",計分!W326^2)</f>
        <v/>
      </c>
      <c r="X326">
        <f>IF(計分!X326="","",計分!X326^2)</f>
        <v/>
      </c>
      <c r="Y326">
        <f>IF(計分!Y326="","",計分!Y326^2)</f>
        <v/>
      </c>
      <c r="Z326">
        <f>IF(計分!Z326="","",計分!Z326^2)</f>
        <v/>
      </c>
      <c r="AA326">
        <f>IF(計分!AA326="","",計分!AA326^2)</f>
        <v/>
      </c>
      <c r="AB326">
        <f>IF(計分!AB326="","",計分!AB326^2)</f>
        <v/>
      </c>
      <c r="AC326">
        <f>IF(計分!AC326="","",計分!AC326^2)</f>
        <v/>
      </c>
      <c r="AD326">
        <f>IF(計分!AD326="","",計分!AD326^2)</f>
        <v/>
      </c>
      <c r="AE326">
        <f>IF(計分!AE326="","",計分!AE326^2)</f>
        <v/>
      </c>
      <c r="AF326">
        <f>IF(計分!AF326="","",計分!AF326^2)</f>
        <v/>
      </c>
      <c r="AG326">
        <f>IF(計分!AG326="","",計分!AG326^2)</f>
        <v/>
      </c>
      <c r="AH326">
        <f>IF(計分!AH326="","",計分!AH326^2)</f>
        <v/>
      </c>
      <c r="AI326">
        <f>IF(計分!AI326="","",計分!AI326^2)</f>
        <v/>
      </c>
      <c r="AJ326">
        <f>IF(計分!AJ326="","",計分!AJ326^2)</f>
        <v/>
      </c>
      <c r="AK326">
        <f>IF(計分!AK326="","",計分!AK326^2)</f>
        <v/>
      </c>
      <c r="AL326">
        <f>IF(計分!AL326="","",計分!AL326^2)</f>
        <v/>
      </c>
      <c r="AM326">
        <f>IF(計分!AM326="","",計分!AM326^2)</f>
        <v/>
      </c>
      <c r="AN326">
        <f>IF(計分!AN326="","",計分!AN326^2)</f>
        <v/>
      </c>
      <c r="AO326">
        <f>IF(計分!AO326="","",計分!AO326^2)</f>
        <v/>
      </c>
    </row>
    <row r="327">
      <c r="B327">
        <f>IF(計分!B327="","",計分!B327^2)</f>
        <v/>
      </c>
      <c r="C327">
        <f>IF(計分!C327="","",計分!C327^2)</f>
        <v/>
      </c>
      <c r="D327">
        <f>IF(計分!D327="","",計分!D327^2)</f>
        <v/>
      </c>
      <c r="E327">
        <f>IF(計分!E327="","",計分!E327^2)</f>
        <v/>
      </c>
      <c r="F327">
        <f>IF(計分!F327="","",計分!F327^2)</f>
        <v/>
      </c>
      <c r="G327">
        <f>IF(計分!G327="","",計分!G327^2)</f>
        <v/>
      </c>
      <c r="H327">
        <f>IF(計分!H327="","",計分!H327^2)</f>
        <v/>
      </c>
      <c r="I327">
        <f>IF(計分!I327="","",計分!I327^2)</f>
        <v/>
      </c>
      <c r="J327">
        <f>IF(計分!J327="","",計分!J327^2)</f>
        <v/>
      </c>
      <c r="K327">
        <f>IF(計分!K327="","",計分!K327^2)</f>
        <v/>
      </c>
      <c r="L327">
        <f>IF(計分!L327="","",計分!L327^2)</f>
        <v/>
      </c>
      <c r="M327">
        <f>IF(計分!M327="","",計分!M327^2)</f>
        <v/>
      </c>
      <c r="N327">
        <f>IF(計分!N327="","",計分!N327^2)</f>
        <v/>
      </c>
      <c r="O327">
        <f>IF(計分!O327="","",計分!O327^2)</f>
        <v/>
      </c>
      <c r="P327">
        <f>IF(計分!P327="","",計分!P327^2)</f>
        <v/>
      </c>
      <c r="Q327">
        <f>IF(計分!Q327="","",計分!Q327^2)</f>
        <v/>
      </c>
      <c r="R327">
        <f>IF(計分!R327="","",計分!R327^2)</f>
        <v/>
      </c>
      <c r="S327">
        <f>IF(計分!S327="","",計分!S327^2)</f>
        <v/>
      </c>
      <c r="T327">
        <f>IF(計分!T327="","",計分!T327^2)</f>
        <v/>
      </c>
      <c r="U327">
        <f>IF(計分!U327="","",計分!U327^2)</f>
        <v/>
      </c>
      <c r="V327">
        <f>IF(計分!V327="","",計分!V327^2)</f>
        <v/>
      </c>
      <c r="W327">
        <f>IF(計分!W327="","",計分!W327^2)</f>
        <v/>
      </c>
      <c r="X327">
        <f>IF(計分!X327="","",計分!X327^2)</f>
        <v/>
      </c>
      <c r="Y327">
        <f>IF(計分!Y327="","",計分!Y327^2)</f>
        <v/>
      </c>
      <c r="Z327">
        <f>IF(計分!Z327="","",計分!Z327^2)</f>
        <v/>
      </c>
      <c r="AA327">
        <f>IF(計分!AA327="","",計分!AA327^2)</f>
        <v/>
      </c>
      <c r="AB327">
        <f>IF(計分!AB327="","",計分!AB327^2)</f>
        <v/>
      </c>
      <c r="AC327">
        <f>IF(計分!AC327="","",計分!AC327^2)</f>
        <v/>
      </c>
      <c r="AD327">
        <f>IF(計分!AD327="","",計分!AD327^2)</f>
        <v/>
      </c>
      <c r="AE327">
        <f>IF(計分!AE327="","",計分!AE327^2)</f>
        <v/>
      </c>
      <c r="AF327">
        <f>IF(計分!AF327="","",計分!AF327^2)</f>
        <v/>
      </c>
      <c r="AG327">
        <f>IF(計分!AG327="","",計分!AG327^2)</f>
        <v/>
      </c>
      <c r="AH327">
        <f>IF(計分!AH327="","",計分!AH327^2)</f>
        <v/>
      </c>
      <c r="AI327">
        <f>IF(計分!AI327="","",計分!AI327^2)</f>
        <v/>
      </c>
      <c r="AJ327">
        <f>IF(計分!AJ327="","",計分!AJ327^2)</f>
        <v/>
      </c>
      <c r="AK327">
        <f>IF(計分!AK327="","",計分!AK327^2)</f>
        <v/>
      </c>
      <c r="AL327">
        <f>IF(計分!AL327="","",計分!AL327^2)</f>
        <v/>
      </c>
      <c r="AM327">
        <f>IF(計分!AM327="","",計分!AM327^2)</f>
        <v/>
      </c>
      <c r="AN327">
        <f>IF(計分!AN327="","",計分!AN327^2)</f>
        <v/>
      </c>
      <c r="AO327">
        <f>IF(計分!AO327="","",計分!AO327^2)</f>
        <v/>
      </c>
    </row>
    <row r="328">
      <c r="B328">
        <f>IF(計分!B328="","",計分!B328^2)</f>
        <v/>
      </c>
      <c r="C328">
        <f>IF(計分!C328="","",計分!C328^2)</f>
        <v/>
      </c>
      <c r="D328">
        <f>IF(計分!D328="","",計分!D328^2)</f>
        <v/>
      </c>
      <c r="E328">
        <f>IF(計分!E328="","",計分!E328^2)</f>
        <v/>
      </c>
      <c r="F328">
        <f>IF(計分!F328="","",計分!F328^2)</f>
        <v/>
      </c>
      <c r="G328">
        <f>IF(計分!G328="","",計分!G328^2)</f>
        <v/>
      </c>
      <c r="H328">
        <f>IF(計分!H328="","",計分!H328^2)</f>
        <v/>
      </c>
      <c r="I328">
        <f>IF(計分!I328="","",計分!I328^2)</f>
        <v/>
      </c>
      <c r="J328">
        <f>IF(計分!J328="","",計分!J328^2)</f>
        <v/>
      </c>
      <c r="K328">
        <f>IF(計分!K328="","",計分!K328^2)</f>
        <v/>
      </c>
      <c r="L328">
        <f>IF(計分!L328="","",計分!L328^2)</f>
        <v/>
      </c>
      <c r="M328">
        <f>IF(計分!M328="","",計分!M328^2)</f>
        <v/>
      </c>
      <c r="N328">
        <f>IF(計分!N328="","",計分!N328^2)</f>
        <v/>
      </c>
      <c r="O328">
        <f>IF(計分!O328="","",計分!O328^2)</f>
        <v/>
      </c>
      <c r="P328">
        <f>IF(計分!P328="","",計分!P328^2)</f>
        <v/>
      </c>
      <c r="Q328">
        <f>IF(計分!Q328="","",計分!Q328^2)</f>
        <v/>
      </c>
      <c r="R328">
        <f>IF(計分!R328="","",計分!R328^2)</f>
        <v/>
      </c>
      <c r="S328">
        <f>IF(計分!S328="","",計分!S328^2)</f>
        <v/>
      </c>
      <c r="T328">
        <f>IF(計分!T328="","",計分!T328^2)</f>
        <v/>
      </c>
      <c r="U328">
        <f>IF(計分!U328="","",計分!U328^2)</f>
        <v/>
      </c>
      <c r="V328">
        <f>IF(計分!V328="","",計分!V328^2)</f>
        <v/>
      </c>
      <c r="W328">
        <f>IF(計分!W328="","",計分!W328^2)</f>
        <v/>
      </c>
      <c r="X328">
        <f>IF(計分!X328="","",計分!X328^2)</f>
        <v/>
      </c>
      <c r="Y328">
        <f>IF(計分!Y328="","",計分!Y328^2)</f>
        <v/>
      </c>
      <c r="Z328">
        <f>IF(計分!Z328="","",計分!Z328^2)</f>
        <v/>
      </c>
      <c r="AA328">
        <f>IF(計分!AA328="","",計分!AA328^2)</f>
        <v/>
      </c>
      <c r="AB328">
        <f>IF(計分!AB328="","",計分!AB328^2)</f>
        <v/>
      </c>
      <c r="AC328">
        <f>IF(計分!AC328="","",計分!AC328^2)</f>
        <v/>
      </c>
      <c r="AD328">
        <f>IF(計分!AD328="","",計分!AD328^2)</f>
        <v/>
      </c>
      <c r="AE328">
        <f>IF(計分!AE328="","",計分!AE328^2)</f>
        <v/>
      </c>
      <c r="AF328">
        <f>IF(計分!AF328="","",計分!AF328^2)</f>
        <v/>
      </c>
      <c r="AG328">
        <f>IF(計分!AG328="","",計分!AG328^2)</f>
        <v/>
      </c>
      <c r="AH328">
        <f>IF(計分!AH328="","",計分!AH328^2)</f>
        <v/>
      </c>
      <c r="AI328">
        <f>IF(計分!AI328="","",計分!AI328^2)</f>
        <v/>
      </c>
      <c r="AJ328">
        <f>IF(計分!AJ328="","",計分!AJ328^2)</f>
        <v/>
      </c>
      <c r="AK328">
        <f>IF(計分!AK328="","",計分!AK328^2)</f>
        <v/>
      </c>
      <c r="AL328">
        <f>IF(計分!AL328="","",計分!AL328^2)</f>
        <v/>
      </c>
      <c r="AM328">
        <f>IF(計分!AM328="","",計分!AM328^2)</f>
        <v/>
      </c>
      <c r="AN328">
        <f>IF(計分!AN328="","",計分!AN328^2)</f>
        <v/>
      </c>
      <c r="AO328">
        <f>IF(計分!AO328="","",計分!AO328^2)</f>
        <v/>
      </c>
    </row>
    <row r="329">
      <c r="B329">
        <f>IF(計分!B329="","",計分!B329^2)</f>
        <v/>
      </c>
      <c r="C329">
        <f>IF(計分!C329="","",計分!C329^2)</f>
        <v/>
      </c>
      <c r="D329">
        <f>IF(計分!D329="","",計分!D329^2)</f>
        <v/>
      </c>
      <c r="E329">
        <f>IF(計分!E329="","",計分!E329^2)</f>
        <v/>
      </c>
      <c r="F329">
        <f>IF(計分!F329="","",計分!F329^2)</f>
        <v/>
      </c>
      <c r="G329">
        <f>IF(計分!G329="","",計分!G329^2)</f>
        <v/>
      </c>
      <c r="H329">
        <f>IF(計分!H329="","",計分!H329^2)</f>
        <v/>
      </c>
      <c r="I329">
        <f>IF(計分!I329="","",計分!I329^2)</f>
        <v/>
      </c>
      <c r="J329">
        <f>IF(計分!J329="","",計分!J329^2)</f>
        <v/>
      </c>
      <c r="K329">
        <f>IF(計分!K329="","",計分!K329^2)</f>
        <v/>
      </c>
      <c r="L329">
        <f>IF(計分!L329="","",計分!L329^2)</f>
        <v/>
      </c>
      <c r="M329">
        <f>IF(計分!M329="","",計分!M329^2)</f>
        <v/>
      </c>
      <c r="N329">
        <f>IF(計分!N329="","",計分!N329^2)</f>
        <v/>
      </c>
      <c r="O329">
        <f>IF(計分!O329="","",計分!O329^2)</f>
        <v/>
      </c>
      <c r="P329">
        <f>IF(計分!P329="","",計分!P329^2)</f>
        <v/>
      </c>
      <c r="Q329">
        <f>IF(計分!Q329="","",計分!Q329^2)</f>
        <v/>
      </c>
      <c r="R329">
        <f>IF(計分!R329="","",計分!R329^2)</f>
        <v/>
      </c>
      <c r="S329">
        <f>IF(計分!S329="","",計分!S329^2)</f>
        <v/>
      </c>
      <c r="T329">
        <f>IF(計分!T329="","",計分!T329^2)</f>
        <v/>
      </c>
      <c r="U329">
        <f>IF(計分!U329="","",計分!U329^2)</f>
        <v/>
      </c>
      <c r="V329">
        <f>IF(計分!V329="","",計分!V329^2)</f>
        <v/>
      </c>
      <c r="W329">
        <f>IF(計分!W329="","",計分!W329^2)</f>
        <v/>
      </c>
      <c r="X329">
        <f>IF(計分!X329="","",計分!X329^2)</f>
        <v/>
      </c>
      <c r="Y329">
        <f>IF(計分!Y329="","",計分!Y329^2)</f>
        <v/>
      </c>
      <c r="Z329">
        <f>IF(計分!Z329="","",計分!Z329^2)</f>
        <v/>
      </c>
      <c r="AA329">
        <f>IF(計分!AA329="","",計分!AA329^2)</f>
        <v/>
      </c>
      <c r="AB329">
        <f>IF(計分!AB329="","",計分!AB329^2)</f>
        <v/>
      </c>
      <c r="AC329">
        <f>IF(計分!AC329="","",計分!AC329^2)</f>
        <v/>
      </c>
      <c r="AD329">
        <f>IF(計分!AD329="","",計分!AD329^2)</f>
        <v/>
      </c>
      <c r="AE329">
        <f>IF(計分!AE329="","",計分!AE329^2)</f>
        <v/>
      </c>
      <c r="AF329">
        <f>IF(計分!AF329="","",計分!AF329^2)</f>
        <v/>
      </c>
      <c r="AG329">
        <f>IF(計分!AG329="","",計分!AG329^2)</f>
        <v/>
      </c>
      <c r="AH329">
        <f>IF(計分!AH329="","",計分!AH329^2)</f>
        <v/>
      </c>
      <c r="AI329">
        <f>IF(計分!AI329="","",計分!AI329^2)</f>
        <v/>
      </c>
      <c r="AJ329">
        <f>IF(計分!AJ329="","",計分!AJ329^2)</f>
        <v/>
      </c>
      <c r="AK329">
        <f>IF(計分!AK329="","",計分!AK329^2)</f>
        <v/>
      </c>
      <c r="AL329">
        <f>IF(計分!AL329="","",計分!AL329^2)</f>
        <v/>
      </c>
      <c r="AM329">
        <f>IF(計分!AM329="","",計分!AM329^2)</f>
        <v/>
      </c>
      <c r="AN329">
        <f>IF(計分!AN329="","",計分!AN329^2)</f>
        <v/>
      </c>
      <c r="AO329">
        <f>IF(計分!AO329="","",計分!AO329^2)</f>
        <v/>
      </c>
    </row>
    <row r="330">
      <c r="B330">
        <f>IF(計分!B330="","",計分!B330^2)</f>
        <v/>
      </c>
      <c r="C330">
        <f>IF(計分!C330="","",計分!C330^2)</f>
        <v/>
      </c>
      <c r="D330">
        <f>IF(計分!D330="","",計分!D330^2)</f>
        <v/>
      </c>
      <c r="E330">
        <f>IF(計分!E330="","",計分!E330^2)</f>
        <v/>
      </c>
      <c r="F330">
        <f>IF(計分!F330="","",計分!F330^2)</f>
        <v/>
      </c>
      <c r="G330">
        <f>IF(計分!G330="","",計分!G330^2)</f>
        <v/>
      </c>
      <c r="H330">
        <f>IF(計分!H330="","",計分!H330^2)</f>
        <v/>
      </c>
      <c r="I330">
        <f>IF(計分!I330="","",計分!I330^2)</f>
        <v/>
      </c>
      <c r="J330">
        <f>IF(計分!J330="","",計分!J330^2)</f>
        <v/>
      </c>
      <c r="K330">
        <f>IF(計分!K330="","",計分!K330^2)</f>
        <v/>
      </c>
      <c r="L330">
        <f>IF(計分!L330="","",計分!L330^2)</f>
        <v/>
      </c>
      <c r="M330">
        <f>IF(計分!M330="","",計分!M330^2)</f>
        <v/>
      </c>
      <c r="N330">
        <f>IF(計分!N330="","",計分!N330^2)</f>
        <v/>
      </c>
      <c r="O330">
        <f>IF(計分!O330="","",計分!O330^2)</f>
        <v/>
      </c>
      <c r="P330">
        <f>IF(計分!P330="","",計分!P330^2)</f>
        <v/>
      </c>
      <c r="Q330">
        <f>IF(計分!Q330="","",計分!Q330^2)</f>
        <v/>
      </c>
      <c r="R330">
        <f>IF(計分!R330="","",計分!R330^2)</f>
        <v/>
      </c>
      <c r="S330">
        <f>IF(計分!S330="","",計分!S330^2)</f>
        <v/>
      </c>
      <c r="T330">
        <f>IF(計分!T330="","",計分!T330^2)</f>
        <v/>
      </c>
      <c r="U330">
        <f>IF(計分!U330="","",計分!U330^2)</f>
        <v/>
      </c>
      <c r="V330">
        <f>IF(計分!V330="","",計分!V330^2)</f>
        <v/>
      </c>
      <c r="W330">
        <f>IF(計分!W330="","",計分!W330^2)</f>
        <v/>
      </c>
      <c r="X330">
        <f>IF(計分!X330="","",計分!X330^2)</f>
        <v/>
      </c>
      <c r="Y330">
        <f>IF(計分!Y330="","",計分!Y330^2)</f>
        <v/>
      </c>
      <c r="Z330">
        <f>IF(計分!Z330="","",計分!Z330^2)</f>
        <v/>
      </c>
      <c r="AA330">
        <f>IF(計分!AA330="","",計分!AA330^2)</f>
        <v/>
      </c>
      <c r="AB330">
        <f>IF(計分!AB330="","",計分!AB330^2)</f>
        <v/>
      </c>
      <c r="AC330">
        <f>IF(計分!AC330="","",計分!AC330^2)</f>
        <v/>
      </c>
      <c r="AD330">
        <f>IF(計分!AD330="","",計分!AD330^2)</f>
        <v/>
      </c>
      <c r="AE330">
        <f>IF(計分!AE330="","",計分!AE330^2)</f>
        <v/>
      </c>
      <c r="AF330">
        <f>IF(計分!AF330="","",計分!AF330^2)</f>
        <v/>
      </c>
      <c r="AG330">
        <f>IF(計分!AG330="","",計分!AG330^2)</f>
        <v/>
      </c>
      <c r="AH330">
        <f>IF(計分!AH330="","",計分!AH330^2)</f>
        <v/>
      </c>
      <c r="AI330">
        <f>IF(計分!AI330="","",計分!AI330^2)</f>
        <v/>
      </c>
      <c r="AJ330">
        <f>IF(計分!AJ330="","",計分!AJ330^2)</f>
        <v/>
      </c>
      <c r="AK330">
        <f>IF(計分!AK330="","",計分!AK330^2)</f>
        <v/>
      </c>
      <c r="AL330">
        <f>IF(計分!AL330="","",計分!AL330^2)</f>
        <v/>
      </c>
      <c r="AM330">
        <f>IF(計分!AM330="","",計分!AM330^2)</f>
        <v/>
      </c>
      <c r="AN330">
        <f>IF(計分!AN330="","",計分!AN330^2)</f>
        <v/>
      </c>
      <c r="AO330">
        <f>IF(計分!AO330="","",計分!AO330^2)</f>
        <v/>
      </c>
    </row>
    <row r="331">
      <c r="B331">
        <f>IF(計分!B331="","",計分!B331^2)</f>
        <v/>
      </c>
      <c r="C331">
        <f>IF(計分!C331="","",計分!C331^2)</f>
        <v/>
      </c>
      <c r="D331">
        <f>IF(計分!D331="","",計分!D331^2)</f>
        <v/>
      </c>
      <c r="E331">
        <f>IF(計分!E331="","",計分!E331^2)</f>
        <v/>
      </c>
      <c r="F331">
        <f>IF(計分!F331="","",計分!F331^2)</f>
        <v/>
      </c>
      <c r="G331">
        <f>IF(計分!G331="","",計分!G331^2)</f>
        <v/>
      </c>
      <c r="H331">
        <f>IF(計分!H331="","",計分!H331^2)</f>
        <v/>
      </c>
      <c r="I331">
        <f>IF(計分!I331="","",計分!I331^2)</f>
        <v/>
      </c>
      <c r="J331">
        <f>IF(計分!J331="","",計分!J331^2)</f>
        <v/>
      </c>
      <c r="K331">
        <f>IF(計分!K331="","",計分!K331^2)</f>
        <v/>
      </c>
      <c r="L331">
        <f>IF(計分!L331="","",計分!L331^2)</f>
        <v/>
      </c>
      <c r="M331">
        <f>IF(計分!M331="","",計分!M331^2)</f>
        <v/>
      </c>
      <c r="N331">
        <f>IF(計分!N331="","",計分!N331^2)</f>
        <v/>
      </c>
      <c r="O331">
        <f>IF(計分!O331="","",計分!O331^2)</f>
        <v/>
      </c>
      <c r="P331">
        <f>IF(計分!P331="","",計分!P331^2)</f>
        <v/>
      </c>
      <c r="Q331">
        <f>IF(計分!Q331="","",計分!Q331^2)</f>
        <v/>
      </c>
      <c r="R331">
        <f>IF(計分!R331="","",計分!R331^2)</f>
        <v/>
      </c>
      <c r="S331">
        <f>IF(計分!S331="","",計分!S331^2)</f>
        <v/>
      </c>
      <c r="T331">
        <f>IF(計分!T331="","",計分!T331^2)</f>
        <v/>
      </c>
      <c r="U331">
        <f>IF(計分!U331="","",計分!U331^2)</f>
        <v/>
      </c>
      <c r="V331">
        <f>IF(計分!V331="","",計分!V331^2)</f>
        <v/>
      </c>
      <c r="W331">
        <f>IF(計分!W331="","",計分!W331^2)</f>
        <v/>
      </c>
      <c r="X331">
        <f>IF(計分!X331="","",計分!X331^2)</f>
        <v/>
      </c>
      <c r="Y331">
        <f>IF(計分!Y331="","",計分!Y331^2)</f>
        <v/>
      </c>
      <c r="Z331">
        <f>IF(計分!Z331="","",計分!Z331^2)</f>
        <v/>
      </c>
      <c r="AA331">
        <f>IF(計分!AA331="","",計分!AA331^2)</f>
        <v/>
      </c>
      <c r="AB331">
        <f>IF(計分!AB331="","",計分!AB331^2)</f>
        <v/>
      </c>
      <c r="AC331">
        <f>IF(計分!AC331="","",計分!AC331^2)</f>
        <v/>
      </c>
      <c r="AD331">
        <f>IF(計分!AD331="","",計分!AD331^2)</f>
        <v/>
      </c>
      <c r="AE331">
        <f>IF(計分!AE331="","",計分!AE331^2)</f>
        <v/>
      </c>
      <c r="AF331">
        <f>IF(計分!AF331="","",計分!AF331^2)</f>
        <v/>
      </c>
      <c r="AG331">
        <f>IF(計分!AG331="","",計分!AG331^2)</f>
        <v/>
      </c>
      <c r="AH331">
        <f>IF(計分!AH331="","",計分!AH331^2)</f>
        <v/>
      </c>
      <c r="AI331">
        <f>IF(計分!AI331="","",計分!AI331^2)</f>
        <v/>
      </c>
      <c r="AJ331">
        <f>IF(計分!AJ331="","",計分!AJ331^2)</f>
        <v/>
      </c>
      <c r="AK331">
        <f>IF(計分!AK331="","",計分!AK331^2)</f>
        <v/>
      </c>
      <c r="AL331">
        <f>IF(計分!AL331="","",計分!AL331^2)</f>
        <v/>
      </c>
      <c r="AM331">
        <f>IF(計分!AM331="","",計分!AM331^2)</f>
        <v/>
      </c>
      <c r="AN331">
        <f>IF(計分!AN331="","",計分!AN331^2)</f>
        <v/>
      </c>
      <c r="AO331">
        <f>IF(計分!AO331="","",計分!AO331^2)</f>
        <v/>
      </c>
    </row>
    <row r="332">
      <c r="B332">
        <f>IF(計分!B332="","",計分!B332^2)</f>
        <v/>
      </c>
      <c r="C332">
        <f>IF(計分!C332="","",計分!C332^2)</f>
        <v/>
      </c>
      <c r="D332">
        <f>IF(計分!D332="","",計分!D332^2)</f>
        <v/>
      </c>
      <c r="E332">
        <f>IF(計分!E332="","",計分!E332^2)</f>
        <v/>
      </c>
      <c r="F332">
        <f>IF(計分!F332="","",計分!F332^2)</f>
        <v/>
      </c>
      <c r="G332">
        <f>IF(計分!G332="","",計分!G332^2)</f>
        <v/>
      </c>
      <c r="H332">
        <f>IF(計分!H332="","",計分!H332^2)</f>
        <v/>
      </c>
      <c r="I332">
        <f>IF(計分!I332="","",計分!I332^2)</f>
        <v/>
      </c>
      <c r="J332">
        <f>IF(計分!J332="","",計分!J332^2)</f>
        <v/>
      </c>
      <c r="K332">
        <f>IF(計分!K332="","",計分!K332^2)</f>
        <v/>
      </c>
      <c r="L332">
        <f>IF(計分!L332="","",計分!L332^2)</f>
        <v/>
      </c>
      <c r="M332">
        <f>IF(計分!M332="","",計分!M332^2)</f>
        <v/>
      </c>
      <c r="N332">
        <f>IF(計分!N332="","",計分!N332^2)</f>
        <v/>
      </c>
      <c r="O332">
        <f>IF(計分!O332="","",計分!O332^2)</f>
        <v/>
      </c>
      <c r="P332">
        <f>IF(計分!P332="","",計分!P332^2)</f>
        <v/>
      </c>
      <c r="Q332">
        <f>IF(計分!Q332="","",計分!Q332^2)</f>
        <v/>
      </c>
      <c r="R332">
        <f>IF(計分!R332="","",計分!R332^2)</f>
        <v/>
      </c>
      <c r="S332">
        <f>IF(計分!S332="","",計分!S332^2)</f>
        <v/>
      </c>
      <c r="T332">
        <f>IF(計分!T332="","",計分!T332^2)</f>
        <v/>
      </c>
      <c r="U332">
        <f>IF(計分!U332="","",計分!U332^2)</f>
        <v/>
      </c>
      <c r="V332">
        <f>IF(計分!V332="","",計分!V332^2)</f>
        <v/>
      </c>
      <c r="W332">
        <f>IF(計分!W332="","",計分!W332^2)</f>
        <v/>
      </c>
      <c r="X332">
        <f>IF(計分!X332="","",計分!X332^2)</f>
        <v/>
      </c>
      <c r="Y332">
        <f>IF(計分!Y332="","",計分!Y332^2)</f>
        <v/>
      </c>
      <c r="Z332">
        <f>IF(計分!Z332="","",計分!Z332^2)</f>
        <v/>
      </c>
      <c r="AA332">
        <f>IF(計分!AA332="","",計分!AA332^2)</f>
        <v/>
      </c>
      <c r="AB332">
        <f>IF(計分!AB332="","",計分!AB332^2)</f>
        <v/>
      </c>
      <c r="AC332">
        <f>IF(計分!AC332="","",計分!AC332^2)</f>
        <v/>
      </c>
      <c r="AD332">
        <f>IF(計分!AD332="","",計分!AD332^2)</f>
        <v/>
      </c>
      <c r="AE332">
        <f>IF(計分!AE332="","",計分!AE332^2)</f>
        <v/>
      </c>
      <c r="AF332">
        <f>IF(計分!AF332="","",計分!AF332^2)</f>
        <v/>
      </c>
      <c r="AG332">
        <f>IF(計分!AG332="","",計分!AG332^2)</f>
        <v/>
      </c>
      <c r="AH332">
        <f>IF(計分!AH332="","",計分!AH332^2)</f>
        <v/>
      </c>
      <c r="AI332">
        <f>IF(計分!AI332="","",計分!AI332^2)</f>
        <v/>
      </c>
      <c r="AJ332">
        <f>IF(計分!AJ332="","",計分!AJ332^2)</f>
        <v/>
      </c>
      <c r="AK332">
        <f>IF(計分!AK332="","",計分!AK332^2)</f>
        <v/>
      </c>
      <c r="AL332">
        <f>IF(計分!AL332="","",計分!AL332^2)</f>
        <v/>
      </c>
      <c r="AM332">
        <f>IF(計分!AM332="","",計分!AM332^2)</f>
        <v/>
      </c>
      <c r="AN332">
        <f>IF(計分!AN332="","",計分!AN332^2)</f>
        <v/>
      </c>
      <c r="AO332">
        <f>IF(計分!AO332="","",計分!AO332^2)</f>
        <v/>
      </c>
    </row>
    <row r="333">
      <c r="B333">
        <f>IF(計分!B333="","",計分!B333^2)</f>
        <v/>
      </c>
      <c r="C333">
        <f>IF(計分!C333="","",計分!C333^2)</f>
        <v/>
      </c>
      <c r="D333">
        <f>IF(計分!D333="","",計分!D333^2)</f>
        <v/>
      </c>
      <c r="E333">
        <f>IF(計分!E333="","",計分!E333^2)</f>
        <v/>
      </c>
      <c r="F333">
        <f>IF(計分!F333="","",計分!F333^2)</f>
        <v/>
      </c>
      <c r="G333">
        <f>IF(計分!G333="","",計分!G333^2)</f>
        <v/>
      </c>
      <c r="H333">
        <f>IF(計分!H333="","",計分!H333^2)</f>
        <v/>
      </c>
      <c r="I333">
        <f>IF(計分!I333="","",計分!I333^2)</f>
        <v/>
      </c>
      <c r="J333">
        <f>IF(計分!J333="","",計分!J333^2)</f>
        <v/>
      </c>
      <c r="K333">
        <f>IF(計分!K333="","",計分!K333^2)</f>
        <v/>
      </c>
      <c r="L333">
        <f>IF(計分!L333="","",計分!L333^2)</f>
        <v/>
      </c>
      <c r="M333">
        <f>IF(計分!M333="","",計分!M333^2)</f>
        <v/>
      </c>
      <c r="N333">
        <f>IF(計分!N333="","",計分!N333^2)</f>
        <v/>
      </c>
      <c r="O333">
        <f>IF(計分!O333="","",計分!O333^2)</f>
        <v/>
      </c>
      <c r="P333">
        <f>IF(計分!P333="","",計分!P333^2)</f>
        <v/>
      </c>
      <c r="Q333">
        <f>IF(計分!Q333="","",計分!Q333^2)</f>
        <v/>
      </c>
      <c r="R333">
        <f>IF(計分!R333="","",計分!R333^2)</f>
        <v/>
      </c>
      <c r="S333">
        <f>IF(計分!S333="","",計分!S333^2)</f>
        <v/>
      </c>
      <c r="T333">
        <f>IF(計分!T333="","",計分!T333^2)</f>
        <v/>
      </c>
      <c r="U333">
        <f>IF(計分!U333="","",計分!U333^2)</f>
        <v/>
      </c>
      <c r="V333">
        <f>IF(計分!V333="","",計分!V333^2)</f>
        <v/>
      </c>
      <c r="W333">
        <f>IF(計分!W333="","",計分!W333^2)</f>
        <v/>
      </c>
      <c r="X333">
        <f>IF(計分!X333="","",計分!X333^2)</f>
        <v/>
      </c>
      <c r="Y333">
        <f>IF(計分!Y333="","",計分!Y333^2)</f>
        <v/>
      </c>
      <c r="Z333">
        <f>IF(計分!Z333="","",計分!Z333^2)</f>
        <v/>
      </c>
      <c r="AA333">
        <f>IF(計分!AA333="","",計分!AA333^2)</f>
        <v/>
      </c>
      <c r="AB333">
        <f>IF(計分!AB333="","",計分!AB333^2)</f>
        <v/>
      </c>
      <c r="AC333">
        <f>IF(計分!AC333="","",計分!AC333^2)</f>
        <v/>
      </c>
      <c r="AD333">
        <f>IF(計分!AD333="","",計分!AD333^2)</f>
        <v/>
      </c>
      <c r="AE333">
        <f>IF(計分!AE333="","",計分!AE333^2)</f>
        <v/>
      </c>
      <c r="AF333">
        <f>IF(計分!AF333="","",計分!AF333^2)</f>
        <v/>
      </c>
      <c r="AG333">
        <f>IF(計分!AG333="","",計分!AG333^2)</f>
        <v/>
      </c>
      <c r="AH333">
        <f>IF(計分!AH333="","",計分!AH333^2)</f>
        <v/>
      </c>
      <c r="AI333">
        <f>IF(計分!AI333="","",計分!AI333^2)</f>
        <v/>
      </c>
      <c r="AJ333">
        <f>IF(計分!AJ333="","",計分!AJ333^2)</f>
        <v/>
      </c>
      <c r="AK333">
        <f>IF(計分!AK333="","",計分!AK333^2)</f>
        <v/>
      </c>
      <c r="AL333">
        <f>IF(計分!AL333="","",計分!AL333^2)</f>
        <v/>
      </c>
      <c r="AM333">
        <f>IF(計分!AM333="","",計分!AM333^2)</f>
        <v/>
      </c>
      <c r="AN333">
        <f>IF(計分!AN333="","",計分!AN333^2)</f>
        <v/>
      </c>
      <c r="AO333">
        <f>IF(計分!AO333="","",計分!AO333^2)</f>
        <v/>
      </c>
    </row>
    <row r="334">
      <c r="B334">
        <f>IF(計分!B334="","",計分!B334^2)</f>
        <v/>
      </c>
      <c r="C334">
        <f>IF(計分!C334="","",計分!C334^2)</f>
        <v/>
      </c>
      <c r="D334">
        <f>IF(計分!D334="","",計分!D334^2)</f>
        <v/>
      </c>
      <c r="E334">
        <f>IF(計分!E334="","",計分!E334^2)</f>
        <v/>
      </c>
      <c r="F334">
        <f>IF(計分!F334="","",計分!F334^2)</f>
        <v/>
      </c>
      <c r="G334">
        <f>IF(計分!G334="","",計分!G334^2)</f>
        <v/>
      </c>
      <c r="H334">
        <f>IF(計分!H334="","",計分!H334^2)</f>
        <v/>
      </c>
      <c r="I334">
        <f>IF(計分!I334="","",計分!I334^2)</f>
        <v/>
      </c>
      <c r="J334">
        <f>IF(計分!J334="","",計分!J334^2)</f>
        <v/>
      </c>
      <c r="K334">
        <f>IF(計分!K334="","",計分!K334^2)</f>
        <v/>
      </c>
      <c r="L334">
        <f>IF(計分!L334="","",計分!L334^2)</f>
        <v/>
      </c>
      <c r="M334">
        <f>IF(計分!M334="","",計分!M334^2)</f>
        <v/>
      </c>
      <c r="N334">
        <f>IF(計分!N334="","",計分!N334^2)</f>
        <v/>
      </c>
      <c r="O334">
        <f>IF(計分!O334="","",計分!O334^2)</f>
        <v/>
      </c>
      <c r="P334">
        <f>IF(計分!P334="","",計分!P334^2)</f>
        <v/>
      </c>
      <c r="Q334">
        <f>IF(計分!Q334="","",計分!Q334^2)</f>
        <v/>
      </c>
      <c r="R334">
        <f>IF(計分!R334="","",計分!R334^2)</f>
        <v/>
      </c>
      <c r="S334">
        <f>IF(計分!S334="","",計分!S334^2)</f>
        <v/>
      </c>
      <c r="T334">
        <f>IF(計分!T334="","",計分!T334^2)</f>
        <v/>
      </c>
      <c r="U334">
        <f>IF(計分!U334="","",計分!U334^2)</f>
        <v/>
      </c>
      <c r="V334">
        <f>IF(計分!V334="","",計分!V334^2)</f>
        <v/>
      </c>
      <c r="W334">
        <f>IF(計分!W334="","",計分!W334^2)</f>
        <v/>
      </c>
      <c r="X334">
        <f>IF(計分!X334="","",計分!X334^2)</f>
        <v/>
      </c>
      <c r="Y334">
        <f>IF(計分!Y334="","",計分!Y334^2)</f>
        <v/>
      </c>
      <c r="Z334">
        <f>IF(計分!Z334="","",計分!Z334^2)</f>
        <v/>
      </c>
      <c r="AA334">
        <f>IF(計分!AA334="","",計分!AA334^2)</f>
        <v/>
      </c>
      <c r="AB334">
        <f>IF(計分!AB334="","",計分!AB334^2)</f>
        <v/>
      </c>
      <c r="AC334">
        <f>IF(計分!AC334="","",計分!AC334^2)</f>
        <v/>
      </c>
      <c r="AD334">
        <f>IF(計分!AD334="","",計分!AD334^2)</f>
        <v/>
      </c>
      <c r="AE334">
        <f>IF(計分!AE334="","",計分!AE334^2)</f>
        <v/>
      </c>
      <c r="AF334">
        <f>IF(計分!AF334="","",計分!AF334^2)</f>
        <v/>
      </c>
      <c r="AG334">
        <f>IF(計分!AG334="","",計分!AG334^2)</f>
        <v/>
      </c>
      <c r="AH334">
        <f>IF(計分!AH334="","",計分!AH334^2)</f>
        <v/>
      </c>
      <c r="AI334">
        <f>IF(計分!AI334="","",計分!AI334^2)</f>
        <v/>
      </c>
      <c r="AJ334">
        <f>IF(計分!AJ334="","",計分!AJ334^2)</f>
        <v/>
      </c>
      <c r="AK334">
        <f>IF(計分!AK334="","",計分!AK334^2)</f>
        <v/>
      </c>
      <c r="AL334">
        <f>IF(計分!AL334="","",計分!AL334^2)</f>
        <v/>
      </c>
      <c r="AM334">
        <f>IF(計分!AM334="","",計分!AM334^2)</f>
        <v/>
      </c>
      <c r="AN334">
        <f>IF(計分!AN334="","",計分!AN334^2)</f>
        <v/>
      </c>
      <c r="AO334">
        <f>IF(計分!AO334="","",計分!AO334^2)</f>
        <v/>
      </c>
    </row>
    <row r="335">
      <c r="B335">
        <f>IF(計分!B335="","",計分!B335^2)</f>
        <v/>
      </c>
      <c r="C335">
        <f>IF(計分!C335="","",計分!C335^2)</f>
        <v/>
      </c>
      <c r="D335">
        <f>IF(計分!D335="","",計分!D335^2)</f>
        <v/>
      </c>
      <c r="E335">
        <f>IF(計分!E335="","",計分!E335^2)</f>
        <v/>
      </c>
      <c r="F335">
        <f>IF(計分!F335="","",計分!F335^2)</f>
        <v/>
      </c>
      <c r="G335">
        <f>IF(計分!G335="","",計分!G335^2)</f>
        <v/>
      </c>
      <c r="H335">
        <f>IF(計分!H335="","",計分!H335^2)</f>
        <v/>
      </c>
      <c r="I335">
        <f>IF(計分!I335="","",計分!I335^2)</f>
        <v/>
      </c>
      <c r="J335">
        <f>IF(計分!J335="","",計分!J335^2)</f>
        <v/>
      </c>
      <c r="K335">
        <f>IF(計分!K335="","",計分!K335^2)</f>
        <v/>
      </c>
      <c r="L335">
        <f>IF(計分!L335="","",計分!L335^2)</f>
        <v/>
      </c>
      <c r="M335">
        <f>IF(計分!M335="","",計分!M335^2)</f>
        <v/>
      </c>
      <c r="N335">
        <f>IF(計分!N335="","",計分!N335^2)</f>
        <v/>
      </c>
      <c r="O335">
        <f>IF(計分!O335="","",計分!O335^2)</f>
        <v/>
      </c>
      <c r="P335">
        <f>IF(計分!P335="","",計分!P335^2)</f>
        <v/>
      </c>
      <c r="Q335">
        <f>IF(計分!Q335="","",計分!Q335^2)</f>
        <v/>
      </c>
      <c r="R335">
        <f>IF(計分!R335="","",計分!R335^2)</f>
        <v/>
      </c>
      <c r="S335">
        <f>IF(計分!S335="","",計分!S335^2)</f>
        <v/>
      </c>
      <c r="T335">
        <f>IF(計分!T335="","",計分!T335^2)</f>
        <v/>
      </c>
      <c r="U335">
        <f>IF(計分!U335="","",計分!U335^2)</f>
        <v/>
      </c>
      <c r="V335">
        <f>IF(計分!V335="","",計分!V335^2)</f>
        <v/>
      </c>
      <c r="W335">
        <f>IF(計分!W335="","",計分!W335^2)</f>
        <v/>
      </c>
      <c r="X335">
        <f>IF(計分!X335="","",計分!X335^2)</f>
        <v/>
      </c>
      <c r="Y335">
        <f>IF(計分!Y335="","",計分!Y335^2)</f>
        <v/>
      </c>
      <c r="Z335">
        <f>IF(計分!Z335="","",計分!Z335^2)</f>
        <v/>
      </c>
      <c r="AA335">
        <f>IF(計分!AA335="","",計分!AA335^2)</f>
        <v/>
      </c>
      <c r="AB335">
        <f>IF(計分!AB335="","",計分!AB335^2)</f>
        <v/>
      </c>
      <c r="AC335">
        <f>IF(計分!AC335="","",計分!AC335^2)</f>
        <v/>
      </c>
      <c r="AD335">
        <f>IF(計分!AD335="","",計分!AD335^2)</f>
        <v/>
      </c>
      <c r="AE335">
        <f>IF(計分!AE335="","",計分!AE335^2)</f>
        <v/>
      </c>
      <c r="AF335">
        <f>IF(計分!AF335="","",計分!AF335^2)</f>
        <v/>
      </c>
      <c r="AG335">
        <f>IF(計分!AG335="","",計分!AG335^2)</f>
        <v/>
      </c>
      <c r="AH335">
        <f>IF(計分!AH335="","",計分!AH335^2)</f>
        <v/>
      </c>
      <c r="AI335">
        <f>IF(計分!AI335="","",計分!AI335^2)</f>
        <v/>
      </c>
      <c r="AJ335">
        <f>IF(計分!AJ335="","",計分!AJ335^2)</f>
        <v/>
      </c>
      <c r="AK335">
        <f>IF(計分!AK335="","",計分!AK335^2)</f>
        <v/>
      </c>
      <c r="AL335">
        <f>IF(計分!AL335="","",計分!AL335^2)</f>
        <v/>
      </c>
      <c r="AM335">
        <f>IF(計分!AM335="","",計分!AM335^2)</f>
        <v/>
      </c>
      <c r="AN335">
        <f>IF(計分!AN335="","",計分!AN335^2)</f>
        <v/>
      </c>
      <c r="AO335">
        <f>IF(計分!AO335="","",計分!AO335^2)</f>
        <v/>
      </c>
    </row>
    <row r="336">
      <c r="B336">
        <f>IF(計分!B336="","",計分!B336^2)</f>
        <v/>
      </c>
      <c r="C336">
        <f>IF(計分!C336="","",計分!C336^2)</f>
        <v/>
      </c>
      <c r="D336">
        <f>IF(計分!D336="","",計分!D336^2)</f>
        <v/>
      </c>
      <c r="E336">
        <f>IF(計分!E336="","",計分!E336^2)</f>
        <v/>
      </c>
      <c r="F336">
        <f>IF(計分!F336="","",計分!F336^2)</f>
        <v/>
      </c>
      <c r="G336">
        <f>IF(計分!G336="","",計分!G336^2)</f>
        <v/>
      </c>
      <c r="H336">
        <f>IF(計分!H336="","",計分!H336^2)</f>
        <v/>
      </c>
      <c r="I336">
        <f>IF(計分!I336="","",計分!I336^2)</f>
        <v/>
      </c>
      <c r="J336">
        <f>IF(計分!J336="","",計分!J336^2)</f>
        <v/>
      </c>
      <c r="K336">
        <f>IF(計分!K336="","",計分!K336^2)</f>
        <v/>
      </c>
      <c r="L336">
        <f>IF(計分!L336="","",計分!L336^2)</f>
        <v/>
      </c>
      <c r="M336">
        <f>IF(計分!M336="","",計分!M336^2)</f>
        <v/>
      </c>
      <c r="N336">
        <f>IF(計分!N336="","",計分!N336^2)</f>
        <v/>
      </c>
      <c r="O336">
        <f>IF(計分!O336="","",計分!O336^2)</f>
        <v/>
      </c>
      <c r="P336">
        <f>IF(計分!P336="","",計分!P336^2)</f>
        <v/>
      </c>
      <c r="Q336">
        <f>IF(計分!Q336="","",計分!Q336^2)</f>
        <v/>
      </c>
      <c r="R336">
        <f>IF(計分!R336="","",計分!R336^2)</f>
        <v/>
      </c>
      <c r="S336">
        <f>IF(計分!S336="","",計分!S336^2)</f>
        <v/>
      </c>
      <c r="T336">
        <f>IF(計分!T336="","",計分!T336^2)</f>
        <v/>
      </c>
      <c r="U336">
        <f>IF(計分!U336="","",計分!U336^2)</f>
        <v/>
      </c>
      <c r="V336">
        <f>IF(計分!V336="","",計分!V336^2)</f>
        <v/>
      </c>
      <c r="W336">
        <f>IF(計分!W336="","",計分!W336^2)</f>
        <v/>
      </c>
      <c r="X336">
        <f>IF(計分!X336="","",計分!X336^2)</f>
        <v/>
      </c>
      <c r="Y336">
        <f>IF(計分!Y336="","",計分!Y336^2)</f>
        <v/>
      </c>
      <c r="Z336">
        <f>IF(計分!Z336="","",計分!Z336^2)</f>
        <v/>
      </c>
      <c r="AA336">
        <f>IF(計分!AA336="","",計分!AA336^2)</f>
        <v/>
      </c>
      <c r="AB336">
        <f>IF(計分!AB336="","",計分!AB336^2)</f>
        <v/>
      </c>
      <c r="AC336">
        <f>IF(計分!AC336="","",計分!AC336^2)</f>
        <v/>
      </c>
      <c r="AD336">
        <f>IF(計分!AD336="","",計分!AD336^2)</f>
        <v/>
      </c>
      <c r="AE336">
        <f>IF(計分!AE336="","",計分!AE336^2)</f>
        <v/>
      </c>
      <c r="AF336">
        <f>IF(計分!AF336="","",計分!AF336^2)</f>
        <v/>
      </c>
      <c r="AG336">
        <f>IF(計分!AG336="","",計分!AG336^2)</f>
        <v/>
      </c>
      <c r="AH336">
        <f>IF(計分!AH336="","",計分!AH336^2)</f>
        <v/>
      </c>
      <c r="AI336">
        <f>IF(計分!AI336="","",計分!AI336^2)</f>
        <v/>
      </c>
      <c r="AJ336">
        <f>IF(計分!AJ336="","",計分!AJ336^2)</f>
        <v/>
      </c>
      <c r="AK336">
        <f>IF(計分!AK336="","",計分!AK336^2)</f>
        <v/>
      </c>
      <c r="AL336">
        <f>IF(計分!AL336="","",計分!AL336^2)</f>
        <v/>
      </c>
      <c r="AM336">
        <f>IF(計分!AM336="","",計分!AM336^2)</f>
        <v/>
      </c>
      <c r="AN336">
        <f>IF(計分!AN336="","",計分!AN336^2)</f>
        <v/>
      </c>
      <c r="AO336">
        <f>IF(計分!AO336="","",計分!AO336^2)</f>
        <v/>
      </c>
    </row>
    <row r="337">
      <c r="B337">
        <f>IF(計分!B337="","",計分!B337^2)</f>
        <v/>
      </c>
      <c r="C337">
        <f>IF(計分!C337="","",計分!C337^2)</f>
        <v/>
      </c>
      <c r="D337">
        <f>IF(計分!D337="","",計分!D337^2)</f>
        <v/>
      </c>
      <c r="E337">
        <f>IF(計分!E337="","",計分!E337^2)</f>
        <v/>
      </c>
      <c r="F337">
        <f>IF(計分!F337="","",計分!F337^2)</f>
        <v/>
      </c>
      <c r="G337">
        <f>IF(計分!G337="","",計分!G337^2)</f>
        <v/>
      </c>
      <c r="H337">
        <f>IF(計分!H337="","",計分!H337^2)</f>
        <v/>
      </c>
      <c r="I337">
        <f>IF(計分!I337="","",計分!I337^2)</f>
        <v/>
      </c>
      <c r="J337">
        <f>IF(計分!J337="","",計分!J337^2)</f>
        <v/>
      </c>
      <c r="K337">
        <f>IF(計分!K337="","",計分!K337^2)</f>
        <v/>
      </c>
      <c r="L337">
        <f>IF(計分!L337="","",計分!L337^2)</f>
        <v/>
      </c>
      <c r="M337">
        <f>IF(計分!M337="","",計分!M337^2)</f>
        <v/>
      </c>
      <c r="N337">
        <f>IF(計分!N337="","",計分!N337^2)</f>
        <v/>
      </c>
      <c r="O337">
        <f>IF(計分!O337="","",計分!O337^2)</f>
        <v/>
      </c>
      <c r="P337">
        <f>IF(計分!P337="","",計分!P337^2)</f>
        <v/>
      </c>
      <c r="Q337">
        <f>IF(計分!Q337="","",計分!Q337^2)</f>
        <v/>
      </c>
      <c r="R337">
        <f>IF(計分!R337="","",計分!R337^2)</f>
        <v/>
      </c>
      <c r="S337">
        <f>IF(計分!S337="","",計分!S337^2)</f>
        <v/>
      </c>
      <c r="T337">
        <f>IF(計分!T337="","",計分!T337^2)</f>
        <v/>
      </c>
      <c r="U337">
        <f>IF(計分!U337="","",計分!U337^2)</f>
        <v/>
      </c>
      <c r="V337">
        <f>IF(計分!V337="","",計分!V337^2)</f>
        <v/>
      </c>
      <c r="W337">
        <f>IF(計分!W337="","",計分!W337^2)</f>
        <v/>
      </c>
      <c r="X337">
        <f>IF(計分!X337="","",計分!X337^2)</f>
        <v/>
      </c>
      <c r="Y337">
        <f>IF(計分!Y337="","",計分!Y337^2)</f>
        <v/>
      </c>
      <c r="Z337">
        <f>IF(計分!Z337="","",計分!Z337^2)</f>
        <v/>
      </c>
      <c r="AA337">
        <f>IF(計分!AA337="","",計分!AA337^2)</f>
        <v/>
      </c>
      <c r="AB337">
        <f>IF(計分!AB337="","",計分!AB337^2)</f>
        <v/>
      </c>
      <c r="AC337">
        <f>IF(計分!AC337="","",計分!AC337^2)</f>
        <v/>
      </c>
      <c r="AD337">
        <f>IF(計分!AD337="","",計分!AD337^2)</f>
        <v/>
      </c>
      <c r="AE337">
        <f>IF(計分!AE337="","",計分!AE337^2)</f>
        <v/>
      </c>
      <c r="AF337">
        <f>IF(計分!AF337="","",計分!AF337^2)</f>
        <v/>
      </c>
      <c r="AG337">
        <f>IF(計分!AG337="","",計分!AG337^2)</f>
        <v/>
      </c>
      <c r="AH337">
        <f>IF(計分!AH337="","",計分!AH337^2)</f>
        <v/>
      </c>
      <c r="AI337">
        <f>IF(計分!AI337="","",計分!AI337^2)</f>
        <v/>
      </c>
      <c r="AJ337">
        <f>IF(計分!AJ337="","",計分!AJ337^2)</f>
        <v/>
      </c>
      <c r="AK337">
        <f>IF(計分!AK337="","",計分!AK337^2)</f>
        <v/>
      </c>
      <c r="AL337">
        <f>IF(計分!AL337="","",計分!AL337^2)</f>
        <v/>
      </c>
      <c r="AM337">
        <f>IF(計分!AM337="","",計分!AM337^2)</f>
        <v/>
      </c>
      <c r="AN337">
        <f>IF(計分!AN337="","",計分!AN337^2)</f>
        <v/>
      </c>
      <c r="AO337">
        <f>IF(計分!AO337="","",計分!AO337^2)</f>
        <v/>
      </c>
    </row>
    <row r="338">
      <c r="B338">
        <f>IF(計分!B338="","",計分!B338^2)</f>
        <v/>
      </c>
      <c r="C338">
        <f>IF(計分!C338="","",計分!C338^2)</f>
        <v/>
      </c>
      <c r="D338">
        <f>IF(計分!D338="","",計分!D338^2)</f>
        <v/>
      </c>
      <c r="E338">
        <f>IF(計分!E338="","",計分!E338^2)</f>
        <v/>
      </c>
      <c r="F338">
        <f>IF(計分!F338="","",計分!F338^2)</f>
        <v/>
      </c>
      <c r="G338">
        <f>IF(計分!G338="","",計分!G338^2)</f>
        <v/>
      </c>
      <c r="H338">
        <f>IF(計分!H338="","",計分!H338^2)</f>
        <v/>
      </c>
      <c r="I338">
        <f>IF(計分!I338="","",計分!I338^2)</f>
        <v/>
      </c>
      <c r="J338">
        <f>IF(計分!J338="","",計分!J338^2)</f>
        <v/>
      </c>
      <c r="K338">
        <f>IF(計分!K338="","",計分!K338^2)</f>
        <v/>
      </c>
      <c r="L338">
        <f>IF(計分!L338="","",計分!L338^2)</f>
        <v/>
      </c>
      <c r="M338">
        <f>IF(計分!M338="","",計分!M338^2)</f>
        <v/>
      </c>
      <c r="N338">
        <f>IF(計分!N338="","",計分!N338^2)</f>
        <v/>
      </c>
      <c r="O338">
        <f>IF(計分!O338="","",計分!O338^2)</f>
        <v/>
      </c>
      <c r="P338">
        <f>IF(計分!P338="","",計分!P338^2)</f>
        <v/>
      </c>
      <c r="Q338">
        <f>IF(計分!Q338="","",計分!Q338^2)</f>
        <v/>
      </c>
      <c r="R338">
        <f>IF(計分!R338="","",計分!R338^2)</f>
        <v/>
      </c>
      <c r="S338">
        <f>IF(計分!S338="","",計分!S338^2)</f>
        <v/>
      </c>
      <c r="T338">
        <f>IF(計分!T338="","",計分!T338^2)</f>
        <v/>
      </c>
      <c r="U338">
        <f>IF(計分!U338="","",計分!U338^2)</f>
        <v/>
      </c>
      <c r="V338">
        <f>IF(計分!V338="","",計分!V338^2)</f>
        <v/>
      </c>
      <c r="W338">
        <f>IF(計分!W338="","",計分!W338^2)</f>
        <v/>
      </c>
      <c r="X338">
        <f>IF(計分!X338="","",計分!X338^2)</f>
        <v/>
      </c>
      <c r="Y338">
        <f>IF(計分!Y338="","",計分!Y338^2)</f>
        <v/>
      </c>
      <c r="Z338">
        <f>IF(計分!Z338="","",計分!Z338^2)</f>
        <v/>
      </c>
      <c r="AA338">
        <f>IF(計分!AA338="","",計分!AA338^2)</f>
        <v/>
      </c>
      <c r="AB338">
        <f>IF(計分!AB338="","",計分!AB338^2)</f>
        <v/>
      </c>
      <c r="AC338">
        <f>IF(計分!AC338="","",計分!AC338^2)</f>
        <v/>
      </c>
      <c r="AD338">
        <f>IF(計分!AD338="","",計分!AD338^2)</f>
        <v/>
      </c>
      <c r="AE338">
        <f>IF(計分!AE338="","",計分!AE338^2)</f>
        <v/>
      </c>
      <c r="AF338">
        <f>IF(計分!AF338="","",計分!AF338^2)</f>
        <v/>
      </c>
      <c r="AG338">
        <f>IF(計分!AG338="","",計分!AG338^2)</f>
        <v/>
      </c>
      <c r="AH338">
        <f>IF(計分!AH338="","",計分!AH338^2)</f>
        <v/>
      </c>
      <c r="AI338">
        <f>IF(計分!AI338="","",計分!AI338^2)</f>
        <v/>
      </c>
      <c r="AJ338">
        <f>IF(計分!AJ338="","",計分!AJ338^2)</f>
        <v/>
      </c>
      <c r="AK338">
        <f>IF(計分!AK338="","",計分!AK338^2)</f>
        <v/>
      </c>
      <c r="AL338">
        <f>IF(計分!AL338="","",計分!AL338^2)</f>
        <v/>
      </c>
      <c r="AM338">
        <f>IF(計分!AM338="","",計分!AM338^2)</f>
        <v/>
      </c>
      <c r="AN338">
        <f>IF(計分!AN338="","",計分!AN338^2)</f>
        <v/>
      </c>
      <c r="AO338">
        <f>IF(計分!AO338="","",計分!AO338^2)</f>
        <v/>
      </c>
    </row>
    <row r="339">
      <c r="B339">
        <f>IF(計分!B339="","",計分!B339^2)</f>
        <v/>
      </c>
      <c r="C339">
        <f>IF(計分!C339="","",計分!C339^2)</f>
        <v/>
      </c>
      <c r="D339">
        <f>IF(計分!D339="","",計分!D339^2)</f>
        <v/>
      </c>
      <c r="E339">
        <f>IF(計分!E339="","",計分!E339^2)</f>
        <v/>
      </c>
      <c r="F339">
        <f>IF(計分!F339="","",計分!F339^2)</f>
        <v/>
      </c>
      <c r="G339">
        <f>IF(計分!G339="","",計分!G339^2)</f>
        <v/>
      </c>
      <c r="H339">
        <f>IF(計分!H339="","",計分!H339^2)</f>
        <v/>
      </c>
      <c r="I339">
        <f>IF(計分!I339="","",計分!I339^2)</f>
        <v/>
      </c>
      <c r="J339">
        <f>IF(計分!J339="","",計分!J339^2)</f>
        <v/>
      </c>
      <c r="K339">
        <f>IF(計分!K339="","",計分!K339^2)</f>
        <v/>
      </c>
      <c r="L339">
        <f>IF(計分!L339="","",計分!L339^2)</f>
        <v/>
      </c>
      <c r="M339">
        <f>IF(計分!M339="","",計分!M339^2)</f>
        <v/>
      </c>
      <c r="N339">
        <f>IF(計分!N339="","",計分!N339^2)</f>
        <v/>
      </c>
      <c r="O339">
        <f>IF(計分!O339="","",計分!O339^2)</f>
        <v/>
      </c>
      <c r="P339">
        <f>IF(計分!P339="","",計分!P339^2)</f>
        <v/>
      </c>
      <c r="Q339">
        <f>IF(計分!Q339="","",計分!Q339^2)</f>
        <v/>
      </c>
      <c r="R339">
        <f>IF(計分!R339="","",計分!R339^2)</f>
        <v/>
      </c>
      <c r="S339">
        <f>IF(計分!S339="","",計分!S339^2)</f>
        <v/>
      </c>
      <c r="T339">
        <f>IF(計分!T339="","",計分!T339^2)</f>
        <v/>
      </c>
      <c r="U339">
        <f>IF(計分!U339="","",計分!U339^2)</f>
        <v/>
      </c>
      <c r="V339">
        <f>IF(計分!V339="","",計分!V339^2)</f>
        <v/>
      </c>
      <c r="W339">
        <f>IF(計分!W339="","",計分!W339^2)</f>
        <v/>
      </c>
      <c r="X339">
        <f>IF(計分!X339="","",計分!X339^2)</f>
        <v/>
      </c>
      <c r="Y339">
        <f>IF(計分!Y339="","",計分!Y339^2)</f>
        <v/>
      </c>
      <c r="Z339">
        <f>IF(計分!Z339="","",計分!Z339^2)</f>
        <v/>
      </c>
      <c r="AA339">
        <f>IF(計分!AA339="","",計分!AA339^2)</f>
        <v/>
      </c>
      <c r="AB339">
        <f>IF(計分!AB339="","",計分!AB339^2)</f>
        <v/>
      </c>
      <c r="AC339">
        <f>IF(計分!AC339="","",計分!AC339^2)</f>
        <v/>
      </c>
      <c r="AD339">
        <f>IF(計分!AD339="","",計分!AD339^2)</f>
        <v/>
      </c>
      <c r="AE339">
        <f>IF(計分!AE339="","",計分!AE339^2)</f>
        <v/>
      </c>
      <c r="AF339">
        <f>IF(計分!AF339="","",計分!AF339^2)</f>
        <v/>
      </c>
      <c r="AG339">
        <f>IF(計分!AG339="","",計分!AG339^2)</f>
        <v/>
      </c>
      <c r="AH339">
        <f>IF(計分!AH339="","",計分!AH339^2)</f>
        <v/>
      </c>
      <c r="AI339">
        <f>IF(計分!AI339="","",計分!AI339^2)</f>
        <v/>
      </c>
      <c r="AJ339">
        <f>IF(計分!AJ339="","",計分!AJ339^2)</f>
        <v/>
      </c>
      <c r="AK339">
        <f>IF(計分!AK339="","",計分!AK339^2)</f>
        <v/>
      </c>
      <c r="AL339">
        <f>IF(計分!AL339="","",計分!AL339^2)</f>
        <v/>
      </c>
      <c r="AM339">
        <f>IF(計分!AM339="","",計分!AM339^2)</f>
        <v/>
      </c>
      <c r="AN339">
        <f>IF(計分!AN339="","",計分!AN339^2)</f>
        <v/>
      </c>
      <c r="AO339">
        <f>IF(計分!AO339="","",計分!AO339^2)</f>
        <v/>
      </c>
    </row>
    <row r="340">
      <c r="B340">
        <f>IF(計分!B340="","",計分!B340^2)</f>
        <v/>
      </c>
      <c r="C340">
        <f>IF(計分!C340="","",計分!C340^2)</f>
        <v/>
      </c>
      <c r="D340">
        <f>IF(計分!D340="","",計分!D340^2)</f>
        <v/>
      </c>
      <c r="E340">
        <f>IF(計分!E340="","",計分!E340^2)</f>
        <v/>
      </c>
      <c r="F340">
        <f>IF(計分!F340="","",計分!F340^2)</f>
        <v/>
      </c>
      <c r="G340">
        <f>IF(計分!G340="","",計分!G340^2)</f>
        <v/>
      </c>
      <c r="H340">
        <f>IF(計分!H340="","",計分!H340^2)</f>
        <v/>
      </c>
      <c r="I340">
        <f>IF(計分!I340="","",計分!I340^2)</f>
        <v/>
      </c>
      <c r="J340">
        <f>IF(計分!J340="","",計分!J340^2)</f>
        <v/>
      </c>
      <c r="K340">
        <f>IF(計分!K340="","",計分!K340^2)</f>
        <v/>
      </c>
      <c r="L340">
        <f>IF(計分!L340="","",計分!L340^2)</f>
        <v/>
      </c>
      <c r="M340">
        <f>IF(計分!M340="","",計分!M340^2)</f>
        <v/>
      </c>
      <c r="N340">
        <f>IF(計分!N340="","",計分!N340^2)</f>
        <v/>
      </c>
      <c r="O340">
        <f>IF(計分!O340="","",計分!O340^2)</f>
        <v/>
      </c>
      <c r="P340">
        <f>IF(計分!P340="","",計分!P340^2)</f>
        <v/>
      </c>
      <c r="Q340">
        <f>IF(計分!Q340="","",計分!Q340^2)</f>
        <v/>
      </c>
      <c r="R340">
        <f>IF(計分!R340="","",計分!R340^2)</f>
        <v/>
      </c>
      <c r="S340">
        <f>IF(計分!S340="","",計分!S340^2)</f>
        <v/>
      </c>
      <c r="T340">
        <f>IF(計分!T340="","",計分!T340^2)</f>
        <v/>
      </c>
      <c r="U340">
        <f>IF(計分!U340="","",計分!U340^2)</f>
        <v/>
      </c>
      <c r="V340">
        <f>IF(計分!V340="","",計分!V340^2)</f>
        <v/>
      </c>
      <c r="W340">
        <f>IF(計分!W340="","",計分!W340^2)</f>
        <v/>
      </c>
      <c r="X340">
        <f>IF(計分!X340="","",計分!X340^2)</f>
        <v/>
      </c>
      <c r="Y340">
        <f>IF(計分!Y340="","",計分!Y340^2)</f>
        <v/>
      </c>
      <c r="Z340">
        <f>IF(計分!Z340="","",計分!Z340^2)</f>
        <v/>
      </c>
      <c r="AA340">
        <f>IF(計分!AA340="","",計分!AA340^2)</f>
        <v/>
      </c>
      <c r="AB340">
        <f>IF(計分!AB340="","",計分!AB340^2)</f>
        <v/>
      </c>
      <c r="AC340">
        <f>IF(計分!AC340="","",計分!AC340^2)</f>
        <v/>
      </c>
      <c r="AD340">
        <f>IF(計分!AD340="","",計分!AD340^2)</f>
        <v/>
      </c>
      <c r="AE340">
        <f>IF(計分!AE340="","",計分!AE340^2)</f>
        <v/>
      </c>
      <c r="AF340">
        <f>IF(計分!AF340="","",計分!AF340^2)</f>
        <v/>
      </c>
      <c r="AG340">
        <f>IF(計分!AG340="","",計分!AG340^2)</f>
        <v/>
      </c>
      <c r="AH340">
        <f>IF(計分!AH340="","",計分!AH340^2)</f>
        <v/>
      </c>
      <c r="AI340">
        <f>IF(計分!AI340="","",計分!AI340^2)</f>
        <v/>
      </c>
      <c r="AJ340">
        <f>IF(計分!AJ340="","",計分!AJ340^2)</f>
        <v/>
      </c>
      <c r="AK340">
        <f>IF(計分!AK340="","",計分!AK340^2)</f>
        <v/>
      </c>
      <c r="AL340">
        <f>IF(計分!AL340="","",計分!AL340^2)</f>
        <v/>
      </c>
      <c r="AM340">
        <f>IF(計分!AM340="","",計分!AM340^2)</f>
        <v/>
      </c>
      <c r="AN340">
        <f>IF(計分!AN340="","",計分!AN340^2)</f>
        <v/>
      </c>
      <c r="AO340">
        <f>IF(計分!AO340="","",計分!AO340^2)</f>
        <v/>
      </c>
    </row>
    <row r="341">
      <c r="B341">
        <f>IF(計分!B341="","",計分!B341^2)</f>
        <v/>
      </c>
      <c r="C341">
        <f>IF(計分!C341="","",計分!C341^2)</f>
        <v/>
      </c>
      <c r="D341">
        <f>IF(計分!D341="","",計分!D341^2)</f>
        <v/>
      </c>
      <c r="E341">
        <f>IF(計分!E341="","",計分!E341^2)</f>
        <v/>
      </c>
      <c r="F341">
        <f>IF(計分!F341="","",計分!F341^2)</f>
        <v/>
      </c>
      <c r="G341">
        <f>IF(計分!G341="","",計分!G341^2)</f>
        <v/>
      </c>
      <c r="H341">
        <f>IF(計分!H341="","",計分!H341^2)</f>
        <v/>
      </c>
      <c r="I341">
        <f>IF(計分!I341="","",計分!I341^2)</f>
        <v/>
      </c>
      <c r="J341">
        <f>IF(計分!J341="","",計分!J341^2)</f>
        <v/>
      </c>
      <c r="K341">
        <f>IF(計分!K341="","",計分!K341^2)</f>
        <v/>
      </c>
      <c r="L341">
        <f>IF(計分!L341="","",計分!L341^2)</f>
        <v/>
      </c>
      <c r="M341">
        <f>IF(計分!M341="","",計分!M341^2)</f>
        <v/>
      </c>
      <c r="N341">
        <f>IF(計分!N341="","",計分!N341^2)</f>
        <v/>
      </c>
      <c r="O341">
        <f>IF(計分!O341="","",計分!O341^2)</f>
        <v/>
      </c>
      <c r="P341">
        <f>IF(計分!P341="","",計分!P341^2)</f>
        <v/>
      </c>
      <c r="Q341">
        <f>IF(計分!Q341="","",計分!Q341^2)</f>
        <v/>
      </c>
      <c r="R341">
        <f>IF(計分!R341="","",計分!R341^2)</f>
        <v/>
      </c>
      <c r="S341">
        <f>IF(計分!S341="","",計分!S341^2)</f>
        <v/>
      </c>
      <c r="T341">
        <f>IF(計分!T341="","",計分!T341^2)</f>
        <v/>
      </c>
      <c r="U341">
        <f>IF(計分!U341="","",計分!U341^2)</f>
        <v/>
      </c>
      <c r="V341">
        <f>IF(計分!V341="","",計分!V341^2)</f>
        <v/>
      </c>
      <c r="W341">
        <f>IF(計分!W341="","",計分!W341^2)</f>
        <v/>
      </c>
      <c r="X341">
        <f>IF(計分!X341="","",計分!X341^2)</f>
        <v/>
      </c>
      <c r="Y341">
        <f>IF(計分!Y341="","",計分!Y341^2)</f>
        <v/>
      </c>
      <c r="Z341">
        <f>IF(計分!Z341="","",計分!Z341^2)</f>
        <v/>
      </c>
      <c r="AA341">
        <f>IF(計分!AA341="","",計分!AA341^2)</f>
        <v/>
      </c>
      <c r="AB341">
        <f>IF(計分!AB341="","",計分!AB341^2)</f>
        <v/>
      </c>
      <c r="AC341">
        <f>IF(計分!AC341="","",計分!AC341^2)</f>
        <v/>
      </c>
      <c r="AD341">
        <f>IF(計分!AD341="","",計分!AD341^2)</f>
        <v/>
      </c>
      <c r="AE341">
        <f>IF(計分!AE341="","",計分!AE341^2)</f>
        <v/>
      </c>
      <c r="AF341">
        <f>IF(計分!AF341="","",計分!AF341^2)</f>
        <v/>
      </c>
      <c r="AG341">
        <f>IF(計分!AG341="","",計分!AG341^2)</f>
        <v/>
      </c>
      <c r="AH341">
        <f>IF(計分!AH341="","",計分!AH341^2)</f>
        <v/>
      </c>
      <c r="AI341">
        <f>IF(計分!AI341="","",計分!AI341^2)</f>
        <v/>
      </c>
      <c r="AJ341">
        <f>IF(計分!AJ341="","",計分!AJ341^2)</f>
        <v/>
      </c>
      <c r="AK341">
        <f>IF(計分!AK341="","",計分!AK341^2)</f>
        <v/>
      </c>
      <c r="AL341">
        <f>IF(計分!AL341="","",計分!AL341^2)</f>
        <v/>
      </c>
      <c r="AM341">
        <f>IF(計分!AM341="","",計分!AM341^2)</f>
        <v/>
      </c>
      <c r="AN341">
        <f>IF(計分!AN341="","",計分!AN341^2)</f>
        <v/>
      </c>
      <c r="AO341">
        <f>IF(計分!AO341="","",計分!AO341^2)</f>
        <v/>
      </c>
    </row>
    <row r="342">
      <c r="B342">
        <f>IF(計分!B342="","",計分!B342^2)</f>
        <v/>
      </c>
      <c r="C342">
        <f>IF(計分!C342="","",計分!C342^2)</f>
        <v/>
      </c>
      <c r="D342">
        <f>IF(計分!D342="","",計分!D342^2)</f>
        <v/>
      </c>
      <c r="E342">
        <f>IF(計分!E342="","",計分!E342^2)</f>
        <v/>
      </c>
      <c r="F342">
        <f>IF(計分!F342="","",計分!F342^2)</f>
        <v/>
      </c>
      <c r="G342">
        <f>IF(計分!G342="","",計分!G342^2)</f>
        <v/>
      </c>
      <c r="H342">
        <f>IF(計分!H342="","",計分!H342^2)</f>
        <v/>
      </c>
      <c r="I342">
        <f>IF(計分!I342="","",計分!I342^2)</f>
        <v/>
      </c>
      <c r="J342">
        <f>IF(計分!J342="","",計分!J342^2)</f>
        <v/>
      </c>
      <c r="K342">
        <f>IF(計分!K342="","",計分!K342^2)</f>
        <v/>
      </c>
      <c r="L342">
        <f>IF(計分!L342="","",計分!L342^2)</f>
        <v/>
      </c>
      <c r="M342">
        <f>IF(計分!M342="","",計分!M342^2)</f>
        <v/>
      </c>
      <c r="N342">
        <f>IF(計分!N342="","",計分!N342^2)</f>
        <v/>
      </c>
      <c r="O342">
        <f>IF(計分!O342="","",計分!O342^2)</f>
        <v/>
      </c>
      <c r="P342">
        <f>IF(計分!P342="","",計分!P342^2)</f>
        <v/>
      </c>
      <c r="Q342">
        <f>IF(計分!Q342="","",計分!Q342^2)</f>
        <v/>
      </c>
      <c r="R342">
        <f>IF(計分!R342="","",計分!R342^2)</f>
        <v/>
      </c>
      <c r="S342">
        <f>IF(計分!S342="","",計分!S342^2)</f>
        <v/>
      </c>
      <c r="T342">
        <f>IF(計分!T342="","",計分!T342^2)</f>
        <v/>
      </c>
      <c r="U342">
        <f>IF(計分!U342="","",計分!U342^2)</f>
        <v/>
      </c>
      <c r="V342">
        <f>IF(計分!V342="","",計分!V342^2)</f>
        <v/>
      </c>
      <c r="W342">
        <f>IF(計分!W342="","",計分!W342^2)</f>
        <v/>
      </c>
      <c r="X342">
        <f>IF(計分!X342="","",計分!X342^2)</f>
        <v/>
      </c>
      <c r="Y342">
        <f>IF(計分!Y342="","",計分!Y342^2)</f>
        <v/>
      </c>
      <c r="Z342">
        <f>IF(計分!Z342="","",計分!Z342^2)</f>
        <v/>
      </c>
      <c r="AA342">
        <f>IF(計分!AA342="","",計分!AA342^2)</f>
        <v/>
      </c>
      <c r="AB342">
        <f>IF(計分!AB342="","",計分!AB342^2)</f>
        <v/>
      </c>
      <c r="AC342">
        <f>IF(計分!AC342="","",計分!AC342^2)</f>
        <v/>
      </c>
      <c r="AD342">
        <f>IF(計分!AD342="","",計分!AD342^2)</f>
        <v/>
      </c>
      <c r="AE342">
        <f>IF(計分!AE342="","",計分!AE342^2)</f>
        <v/>
      </c>
      <c r="AF342">
        <f>IF(計分!AF342="","",計分!AF342^2)</f>
        <v/>
      </c>
      <c r="AG342">
        <f>IF(計分!AG342="","",計分!AG342^2)</f>
        <v/>
      </c>
      <c r="AH342">
        <f>IF(計分!AH342="","",計分!AH342^2)</f>
        <v/>
      </c>
      <c r="AI342">
        <f>IF(計分!AI342="","",計分!AI342^2)</f>
        <v/>
      </c>
      <c r="AJ342">
        <f>IF(計分!AJ342="","",計分!AJ342^2)</f>
        <v/>
      </c>
      <c r="AK342">
        <f>IF(計分!AK342="","",計分!AK342^2)</f>
        <v/>
      </c>
      <c r="AL342">
        <f>IF(計分!AL342="","",計分!AL342^2)</f>
        <v/>
      </c>
      <c r="AM342">
        <f>IF(計分!AM342="","",計分!AM342^2)</f>
        <v/>
      </c>
      <c r="AN342">
        <f>IF(計分!AN342="","",計分!AN342^2)</f>
        <v/>
      </c>
      <c r="AO342">
        <f>IF(計分!AO342="","",計分!AO342^2)</f>
        <v/>
      </c>
    </row>
    <row r="343">
      <c r="B343">
        <f>IF(計分!B343="","",計分!B343^2)</f>
        <v/>
      </c>
      <c r="C343">
        <f>IF(計分!C343="","",計分!C343^2)</f>
        <v/>
      </c>
      <c r="D343">
        <f>IF(計分!D343="","",計分!D343^2)</f>
        <v/>
      </c>
      <c r="E343">
        <f>IF(計分!E343="","",計分!E343^2)</f>
        <v/>
      </c>
      <c r="F343">
        <f>IF(計分!F343="","",計分!F343^2)</f>
        <v/>
      </c>
      <c r="G343">
        <f>IF(計分!G343="","",計分!G343^2)</f>
        <v/>
      </c>
      <c r="H343">
        <f>IF(計分!H343="","",計分!H343^2)</f>
        <v/>
      </c>
      <c r="I343">
        <f>IF(計分!I343="","",計分!I343^2)</f>
        <v/>
      </c>
      <c r="J343">
        <f>IF(計分!J343="","",計分!J343^2)</f>
        <v/>
      </c>
      <c r="K343">
        <f>IF(計分!K343="","",計分!K343^2)</f>
        <v/>
      </c>
      <c r="L343">
        <f>IF(計分!L343="","",計分!L343^2)</f>
        <v/>
      </c>
      <c r="M343">
        <f>IF(計分!M343="","",計分!M343^2)</f>
        <v/>
      </c>
      <c r="N343">
        <f>IF(計分!N343="","",計分!N343^2)</f>
        <v/>
      </c>
      <c r="O343">
        <f>IF(計分!O343="","",計分!O343^2)</f>
        <v/>
      </c>
      <c r="P343">
        <f>IF(計分!P343="","",計分!P343^2)</f>
        <v/>
      </c>
      <c r="Q343">
        <f>IF(計分!Q343="","",計分!Q343^2)</f>
        <v/>
      </c>
      <c r="R343">
        <f>IF(計分!R343="","",計分!R343^2)</f>
        <v/>
      </c>
      <c r="S343">
        <f>IF(計分!S343="","",計分!S343^2)</f>
        <v/>
      </c>
      <c r="T343">
        <f>IF(計分!T343="","",計分!T343^2)</f>
        <v/>
      </c>
      <c r="U343">
        <f>IF(計分!U343="","",計分!U343^2)</f>
        <v/>
      </c>
      <c r="V343">
        <f>IF(計分!V343="","",計分!V343^2)</f>
        <v/>
      </c>
      <c r="W343">
        <f>IF(計分!W343="","",計分!W343^2)</f>
        <v/>
      </c>
      <c r="X343">
        <f>IF(計分!X343="","",計分!X343^2)</f>
        <v/>
      </c>
      <c r="Y343">
        <f>IF(計分!Y343="","",計分!Y343^2)</f>
        <v/>
      </c>
      <c r="Z343">
        <f>IF(計分!Z343="","",計分!Z343^2)</f>
        <v/>
      </c>
      <c r="AA343">
        <f>IF(計分!AA343="","",計分!AA343^2)</f>
        <v/>
      </c>
      <c r="AB343">
        <f>IF(計分!AB343="","",計分!AB343^2)</f>
        <v/>
      </c>
      <c r="AC343">
        <f>IF(計分!AC343="","",計分!AC343^2)</f>
        <v/>
      </c>
      <c r="AD343">
        <f>IF(計分!AD343="","",計分!AD343^2)</f>
        <v/>
      </c>
      <c r="AE343">
        <f>IF(計分!AE343="","",計分!AE343^2)</f>
        <v/>
      </c>
      <c r="AF343">
        <f>IF(計分!AF343="","",計分!AF343^2)</f>
        <v/>
      </c>
      <c r="AG343">
        <f>IF(計分!AG343="","",計分!AG343^2)</f>
        <v/>
      </c>
      <c r="AH343">
        <f>IF(計分!AH343="","",計分!AH343^2)</f>
        <v/>
      </c>
      <c r="AI343">
        <f>IF(計分!AI343="","",計分!AI343^2)</f>
        <v/>
      </c>
      <c r="AJ343">
        <f>IF(計分!AJ343="","",計分!AJ343^2)</f>
        <v/>
      </c>
      <c r="AK343">
        <f>IF(計分!AK343="","",計分!AK343^2)</f>
        <v/>
      </c>
      <c r="AL343">
        <f>IF(計分!AL343="","",計分!AL343^2)</f>
        <v/>
      </c>
      <c r="AM343">
        <f>IF(計分!AM343="","",計分!AM343^2)</f>
        <v/>
      </c>
      <c r="AN343">
        <f>IF(計分!AN343="","",計分!AN343^2)</f>
        <v/>
      </c>
      <c r="AO343">
        <f>IF(計分!AO343="","",計分!AO343^2)</f>
        <v/>
      </c>
    </row>
    <row r="344">
      <c r="B344">
        <f>IF(計分!B344="","",計分!B344^2)</f>
        <v/>
      </c>
      <c r="C344">
        <f>IF(計分!C344="","",計分!C344^2)</f>
        <v/>
      </c>
      <c r="D344">
        <f>IF(計分!D344="","",計分!D344^2)</f>
        <v/>
      </c>
      <c r="E344">
        <f>IF(計分!E344="","",計分!E344^2)</f>
        <v/>
      </c>
      <c r="F344">
        <f>IF(計分!F344="","",計分!F344^2)</f>
        <v/>
      </c>
      <c r="G344">
        <f>IF(計分!G344="","",計分!G344^2)</f>
        <v/>
      </c>
      <c r="H344">
        <f>IF(計分!H344="","",計分!H344^2)</f>
        <v/>
      </c>
      <c r="I344">
        <f>IF(計分!I344="","",計分!I344^2)</f>
        <v/>
      </c>
      <c r="J344">
        <f>IF(計分!J344="","",計分!J344^2)</f>
        <v/>
      </c>
      <c r="K344">
        <f>IF(計分!K344="","",計分!K344^2)</f>
        <v/>
      </c>
      <c r="L344">
        <f>IF(計分!L344="","",計分!L344^2)</f>
        <v/>
      </c>
      <c r="M344">
        <f>IF(計分!M344="","",計分!M344^2)</f>
        <v/>
      </c>
      <c r="N344">
        <f>IF(計分!N344="","",計分!N344^2)</f>
        <v/>
      </c>
      <c r="O344">
        <f>IF(計分!O344="","",計分!O344^2)</f>
        <v/>
      </c>
      <c r="P344">
        <f>IF(計分!P344="","",計分!P344^2)</f>
        <v/>
      </c>
      <c r="Q344">
        <f>IF(計分!Q344="","",計分!Q344^2)</f>
        <v/>
      </c>
      <c r="R344">
        <f>IF(計分!R344="","",計分!R344^2)</f>
        <v/>
      </c>
      <c r="S344">
        <f>IF(計分!S344="","",計分!S344^2)</f>
        <v/>
      </c>
      <c r="T344">
        <f>IF(計分!T344="","",計分!T344^2)</f>
        <v/>
      </c>
      <c r="U344">
        <f>IF(計分!U344="","",計分!U344^2)</f>
        <v/>
      </c>
      <c r="V344">
        <f>IF(計分!V344="","",計分!V344^2)</f>
        <v/>
      </c>
      <c r="W344">
        <f>IF(計分!W344="","",計分!W344^2)</f>
        <v/>
      </c>
      <c r="X344">
        <f>IF(計分!X344="","",計分!X344^2)</f>
        <v/>
      </c>
      <c r="Y344">
        <f>IF(計分!Y344="","",計分!Y344^2)</f>
        <v/>
      </c>
      <c r="Z344">
        <f>IF(計分!Z344="","",計分!Z344^2)</f>
        <v/>
      </c>
      <c r="AA344">
        <f>IF(計分!AA344="","",計分!AA344^2)</f>
        <v/>
      </c>
      <c r="AB344">
        <f>IF(計分!AB344="","",計分!AB344^2)</f>
        <v/>
      </c>
      <c r="AC344">
        <f>IF(計分!AC344="","",計分!AC344^2)</f>
        <v/>
      </c>
      <c r="AD344">
        <f>IF(計分!AD344="","",計分!AD344^2)</f>
        <v/>
      </c>
      <c r="AE344">
        <f>IF(計分!AE344="","",計分!AE344^2)</f>
        <v/>
      </c>
      <c r="AF344">
        <f>IF(計分!AF344="","",計分!AF344^2)</f>
        <v/>
      </c>
      <c r="AG344">
        <f>IF(計分!AG344="","",計分!AG344^2)</f>
        <v/>
      </c>
      <c r="AH344">
        <f>IF(計分!AH344="","",計分!AH344^2)</f>
        <v/>
      </c>
      <c r="AI344">
        <f>IF(計分!AI344="","",計分!AI344^2)</f>
        <v/>
      </c>
      <c r="AJ344">
        <f>IF(計分!AJ344="","",計分!AJ344^2)</f>
        <v/>
      </c>
      <c r="AK344">
        <f>IF(計分!AK344="","",計分!AK344^2)</f>
        <v/>
      </c>
      <c r="AL344">
        <f>IF(計分!AL344="","",計分!AL344^2)</f>
        <v/>
      </c>
      <c r="AM344">
        <f>IF(計分!AM344="","",計分!AM344^2)</f>
        <v/>
      </c>
      <c r="AN344">
        <f>IF(計分!AN344="","",計分!AN344^2)</f>
        <v/>
      </c>
      <c r="AO344">
        <f>IF(計分!AO344="","",計分!AO344^2)</f>
        <v/>
      </c>
    </row>
    <row r="345">
      <c r="B345">
        <f>IF(計分!B345="","",計分!B345^2)</f>
        <v/>
      </c>
      <c r="C345">
        <f>IF(計分!C345="","",計分!C345^2)</f>
        <v/>
      </c>
      <c r="D345">
        <f>IF(計分!D345="","",計分!D345^2)</f>
        <v/>
      </c>
      <c r="E345">
        <f>IF(計分!E345="","",計分!E345^2)</f>
        <v/>
      </c>
      <c r="F345">
        <f>IF(計分!F345="","",計分!F345^2)</f>
        <v/>
      </c>
      <c r="G345">
        <f>IF(計分!G345="","",計分!G345^2)</f>
        <v/>
      </c>
      <c r="H345">
        <f>IF(計分!H345="","",計分!H345^2)</f>
        <v/>
      </c>
      <c r="I345">
        <f>IF(計分!I345="","",計分!I345^2)</f>
        <v/>
      </c>
      <c r="J345">
        <f>IF(計分!J345="","",計分!J345^2)</f>
        <v/>
      </c>
      <c r="K345">
        <f>IF(計分!K345="","",計分!K345^2)</f>
        <v/>
      </c>
      <c r="L345">
        <f>IF(計分!L345="","",計分!L345^2)</f>
        <v/>
      </c>
      <c r="M345">
        <f>IF(計分!M345="","",計分!M345^2)</f>
        <v/>
      </c>
      <c r="N345">
        <f>IF(計分!N345="","",計分!N345^2)</f>
        <v/>
      </c>
      <c r="O345">
        <f>IF(計分!O345="","",計分!O345^2)</f>
        <v/>
      </c>
      <c r="P345">
        <f>IF(計分!P345="","",計分!P345^2)</f>
        <v/>
      </c>
      <c r="Q345">
        <f>IF(計分!Q345="","",計分!Q345^2)</f>
        <v/>
      </c>
      <c r="R345">
        <f>IF(計分!R345="","",計分!R345^2)</f>
        <v/>
      </c>
      <c r="S345">
        <f>IF(計分!S345="","",計分!S345^2)</f>
        <v/>
      </c>
      <c r="T345">
        <f>IF(計分!T345="","",計分!T345^2)</f>
        <v/>
      </c>
      <c r="U345">
        <f>IF(計分!U345="","",計分!U345^2)</f>
        <v/>
      </c>
      <c r="V345">
        <f>IF(計分!V345="","",計分!V345^2)</f>
        <v/>
      </c>
      <c r="W345">
        <f>IF(計分!W345="","",計分!W345^2)</f>
        <v/>
      </c>
      <c r="X345">
        <f>IF(計分!X345="","",計分!X345^2)</f>
        <v/>
      </c>
      <c r="Y345">
        <f>IF(計分!Y345="","",計分!Y345^2)</f>
        <v/>
      </c>
      <c r="Z345">
        <f>IF(計分!Z345="","",計分!Z345^2)</f>
        <v/>
      </c>
      <c r="AA345">
        <f>IF(計分!AA345="","",計分!AA345^2)</f>
        <v/>
      </c>
      <c r="AB345">
        <f>IF(計分!AB345="","",計分!AB345^2)</f>
        <v/>
      </c>
      <c r="AC345">
        <f>IF(計分!AC345="","",計分!AC345^2)</f>
        <v/>
      </c>
      <c r="AD345">
        <f>IF(計分!AD345="","",計分!AD345^2)</f>
        <v/>
      </c>
      <c r="AE345">
        <f>IF(計分!AE345="","",計分!AE345^2)</f>
        <v/>
      </c>
      <c r="AF345">
        <f>IF(計分!AF345="","",計分!AF345^2)</f>
        <v/>
      </c>
      <c r="AG345">
        <f>IF(計分!AG345="","",計分!AG345^2)</f>
        <v/>
      </c>
      <c r="AH345">
        <f>IF(計分!AH345="","",計分!AH345^2)</f>
        <v/>
      </c>
      <c r="AI345">
        <f>IF(計分!AI345="","",計分!AI345^2)</f>
        <v/>
      </c>
      <c r="AJ345">
        <f>IF(計分!AJ345="","",計分!AJ345^2)</f>
        <v/>
      </c>
      <c r="AK345">
        <f>IF(計分!AK345="","",計分!AK345^2)</f>
        <v/>
      </c>
      <c r="AL345">
        <f>IF(計分!AL345="","",計分!AL345^2)</f>
        <v/>
      </c>
      <c r="AM345">
        <f>IF(計分!AM345="","",計分!AM345^2)</f>
        <v/>
      </c>
      <c r="AN345">
        <f>IF(計分!AN345="","",計分!AN345^2)</f>
        <v/>
      </c>
      <c r="AO345">
        <f>IF(計分!AO345="","",計分!AO345^2)</f>
        <v/>
      </c>
    </row>
    <row r="346">
      <c r="B346">
        <f>IF(計分!B346="","",計分!B346^2)</f>
        <v/>
      </c>
      <c r="C346">
        <f>IF(計分!C346="","",計分!C346^2)</f>
        <v/>
      </c>
      <c r="D346">
        <f>IF(計分!D346="","",計分!D346^2)</f>
        <v/>
      </c>
      <c r="E346">
        <f>IF(計分!E346="","",計分!E346^2)</f>
        <v/>
      </c>
      <c r="F346">
        <f>IF(計分!F346="","",計分!F346^2)</f>
        <v/>
      </c>
      <c r="G346">
        <f>IF(計分!G346="","",計分!G346^2)</f>
        <v/>
      </c>
      <c r="H346">
        <f>IF(計分!H346="","",計分!H346^2)</f>
        <v/>
      </c>
      <c r="I346">
        <f>IF(計分!I346="","",計分!I346^2)</f>
        <v/>
      </c>
      <c r="J346">
        <f>IF(計分!J346="","",計分!J346^2)</f>
        <v/>
      </c>
      <c r="K346">
        <f>IF(計分!K346="","",計分!K346^2)</f>
        <v/>
      </c>
      <c r="L346">
        <f>IF(計分!L346="","",計分!L346^2)</f>
        <v/>
      </c>
      <c r="M346">
        <f>IF(計分!M346="","",計分!M346^2)</f>
        <v/>
      </c>
      <c r="N346">
        <f>IF(計分!N346="","",計分!N346^2)</f>
        <v/>
      </c>
      <c r="O346">
        <f>IF(計分!O346="","",計分!O346^2)</f>
        <v/>
      </c>
      <c r="P346">
        <f>IF(計分!P346="","",計分!P346^2)</f>
        <v/>
      </c>
      <c r="Q346">
        <f>IF(計分!Q346="","",計分!Q346^2)</f>
        <v/>
      </c>
      <c r="R346">
        <f>IF(計分!R346="","",計分!R346^2)</f>
        <v/>
      </c>
      <c r="S346">
        <f>IF(計分!S346="","",計分!S346^2)</f>
        <v/>
      </c>
      <c r="T346">
        <f>IF(計分!T346="","",計分!T346^2)</f>
        <v/>
      </c>
      <c r="U346">
        <f>IF(計分!U346="","",計分!U346^2)</f>
        <v/>
      </c>
      <c r="V346">
        <f>IF(計分!V346="","",計分!V346^2)</f>
        <v/>
      </c>
      <c r="W346">
        <f>IF(計分!W346="","",計分!W346^2)</f>
        <v/>
      </c>
      <c r="X346">
        <f>IF(計分!X346="","",計分!X346^2)</f>
        <v/>
      </c>
      <c r="Y346">
        <f>IF(計分!Y346="","",計分!Y346^2)</f>
        <v/>
      </c>
      <c r="Z346">
        <f>IF(計分!Z346="","",計分!Z346^2)</f>
        <v/>
      </c>
      <c r="AA346">
        <f>IF(計分!AA346="","",計分!AA346^2)</f>
        <v/>
      </c>
      <c r="AB346">
        <f>IF(計分!AB346="","",計分!AB346^2)</f>
        <v/>
      </c>
      <c r="AC346">
        <f>IF(計分!AC346="","",計分!AC346^2)</f>
        <v/>
      </c>
      <c r="AD346">
        <f>IF(計分!AD346="","",計分!AD346^2)</f>
        <v/>
      </c>
      <c r="AE346">
        <f>IF(計分!AE346="","",計分!AE346^2)</f>
        <v/>
      </c>
      <c r="AF346">
        <f>IF(計分!AF346="","",計分!AF346^2)</f>
        <v/>
      </c>
      <c r="AG346">
        <f>IF(計分!AG346="","",計分!AG346^2)</f>
        <v/>
      </c>
      <c r="AH346">
        <f>IF(計分!AH346="","",計分!AH346^2)</f>
        <v/>
      </c>
      <c r="AI346">
        <f>IF(計分!AI346="","",計分!AI346^2)</f>
        <v/>
      </c>
      <c r="AJ346">
        <f>IF(計分!AJ346="","",計分!AJ346^2)</f>
        <v/>
      </c>
      <c r="AK346">
        <f>IF(計分!AK346="","",計分!AK346^2)</f>
        <v/>
      </c>
      <c r="AL346">
        <f>IF(計分!AL346="","",計分!AL346^2)</f>
        <v/>
      </c>
      <c r="AM346">
        <f>IF(計分!AM346="","",計分!AM346^2)</f>
        <v/>
      </c>
      <c r="AN346">
        <f>IF(計分!AN346="","",計分!AN346^2)</f>
        <v/>
      </c>
      <c r="AO346">
        <f>IF(計分!AO346="","",計分!AO346^2)</f>
        <v/>
      </c>
    </row>
    <row r="347">
      <c r="B347">
        <f>IF(計分!B347="","",計分!B347^2)</f>
        <v/>
      </c>
      <c r="C347">
        <f>IF(計分!C347="","",計分!C347^2)</f>
        <v/>
      </c>
      <c r="D347">
        <f>IF(計分!D347="","",計分!D347^2)</f>
        <v/>
      </c>
      <c r="E347">
        <f>IF(計分!E347="","",計分!E347^2)</f>
        <v/>
      </c>
      <c r="F347">
        <f>IF(計分!F347="","",計分!F347^2)</f>
        <v/>
      </c>
      <c r="G347">
        <f>IF(計分!G347="","",計分!G347^2)</f>
        <v/>
      </c>
      <c r="H347">
        <f>IF(計分!H347="","",計分!H347^2)</f>
        <v/>
      </c>
      <c r="I347">
        <f>IF(計分!I347="","",計分!I347^2)</f>
        <v/>
      </c>
      <c r="J347">
        <f>IF(計分!J347="","",計分!J347^2)</f>
        <v/>
      </c>
      <c r="K347">
        <f>IF(計分!K347="","",計分!K347^2)</f>
        <v/>
      </c>
      <c r="L347">
        <f>IF(計分!L347="","",計分!L347^2)</f>
        <v/>
      </c>
      <c r="M347">
        <f>IF(計分!M347="","",計分!M347^2)</f>
        <v/>
      </c>
      <c r="N347">
        <f>IF(計分!N347="","",計分!N347^2)</f>
        <v/>
      </c>
      <c r="O347">
        <f>IF(計分!O347="","",計分!O347^2)</f>
        <v/>
      </c>
      <c r="P347">
        <f>IF(計分!P347="","",計分!P347^2)</f>
        <v/>
      </c>
      <c r="Q347">
        <f>IF(計分!Q347="","",計分!Q347^2)</f>
        <v/>
      </c>
      <c r="R347">
        <f>IF(計分!R347="","",計分!R347^2)</f>
        <v/>
      </c>
      <c r="S347">
        <f>IF(計分!S347="","",計分!S347^2)</f>
        <v/>
      </c>
      <c r="T347">
        <f>IF(計分!T347="","",計分!T347^2)</f>
        <v/>
      </c>
      <c r="U347">
        <f>IF(計分!U347="","",計分!U347^2)</f>
        <v/>
      </c>
      <c r="V347">
        <f>IF(計分!V347="","",計分!V347^2)</f>
        <v/>
      </c>
      <c r="W347">
        <f>IF(計分!W347="","",計分!W347^2)</f>
        <v/>
      </c>
      <c r="X347">
        <f>IF(計分!X347="","",計分!X347^2)</f>
        <v/>
      </c>
      <c r="Y347">
        <f>IF(計分!Y347="","",計分!Y347^2)</f>
        <v/>
      </c>
      <c r="Z347">
        <f>IF(計分!Z347="","",計分!Z347^2)</f>
        <v/>
      </c>
      <c r="AA347">
        <f>IF(計分!AA347="","",計分!AA347^2)</f>
        <v/>
      </c>
      <c r="AB347">
        <f>IF(計分!AB347="","",計分!AB347^2)</f>
        <v/>
      </c>
      <c r="AC347">
        <f>IF(計分!AC347="","",計分!AC347^2)</f>
        <v/>
      </c>
      <c r="AD347">
        <f>IF(計分!AD347="","",計分!AD347^2)</f>
        <v/>
      </c>
      <c r="AE347">
        <f>IF(計分!AE347="","",計分!AE347^2)</f>
        <v/>
      </c>
      <c r="AF347">
        <f>IF(計分!AF347="","",計分!AF347^2)</f>
        <v/>
      </c>
      <c r="AG347">
        <f>IF(計分!AG347="","",計分!AG347^2)</f>
        <v/>
      </c>
      <c r="AH347">
        <f>IF(計分!AH347="","",計分!AH347^2)</f>
        <v/>
      </c>
      <c r="AI347">
        <f>IF(計分!AI347="","",計分!AI347^2)</f>
        <v/>
      </c>
      <c r="AJ347">
        <f>IF(計分!AJ347="","",計分!AJ347^2)</f>
        <v/>
      </c>
      <c r="AK347">
        <f>IF(計分!AK347="","",計分!AK347^2)</f>
        <v/>
      </c>
      <c r="AL347">
        <f>IF(計分!AL347="","",計分!AL347^2)</f>
        <v/>
      </c>
      <c r="AM347">
        <f>IF(計分!AM347="","",計分!AM347^2)</f>
        <v/>
      </c>
      <c r="AN347">
        <f>IF(計分!AN347="","",計分!AN347^2)</f>
        <v/>
      </c>
      <c r="AO347">
        <f>IF(計分!AO347="","",計分!AO347^2)</f>
        <v/>
      </c>
    </row>
    <row r="348">
      <c r="B348">
        <f>IF(計分!B348="","",計分!B348^2)</f>
        <v/>
      </c>
      <c r="C348">
        <f>IF(計分!C348="","",計分!C348^2)</f>
        <v/>
      </c>
      <c r="D348">
        <f>IF(計分!D348="","",計分!D348^2)</f>
        <v/>
      </c>
      <c r="E348">
        <f>IF(計分!E348="","",計分!E348^2)</f>
        <v/>
      </c>
      <c r="F348">
        <f>IF(計分!F348="","",計分!F348^2)</f>
        <v/>
      </c>
      <c r="G348">
        <f>IF(計分!G348="","",計分!G348^2)</f>
        <v/>
      </c>
      <c r="H348">
        <f>IF(計分!H348="","",計分!H348^2)</f>
        <v/>
      </c>
      <c r="I348">
        <f>IF(計分!I348="","",計分!I348^2)</f>
        <v/>
      </c>
      <c r="J348">
        <f>IF(計分!J348="","",計分!J348^2)</f>
        <v/>
      </c>
      <c r="K348">
        <f>IF(計分!K348="","",計分!K348^2)</f>
        <v/>
      </c>
      <c r="L348">
        <f>IF(計分!L348="","",計分!L348^2)</f>
        <v/>
      </c>
      <c r="M348">
        <f>IF(計分!M348="","",計分!M348^2)</f>
        <v/>
      </c>
      <c r="N348">
        <f>IF(計分!N348="","",計分!N348^2)</f>
        <v/>
      </c>
      <c r="O348">
        <f>IF(計分!O348="","",計分!O348^2)</f>
        <v/>
      </c>
      <c r="P348">
        <f>IF(計分!P348="","",計分!P348^2)</f>
        <v/>
      </c>
      <c r="Q348">
        <f>IF(計分!Q348="","",計分!Q348^2)</f>
        <v/>
      </c>
      <c r="R348">
        <f>IF(計分!R348="","",計分!R348^2)</f>
        <v/>
      </c>
      <c r="S348">
        <f>IF(計分!S348="","",計分!S348^2)</f>
        <v/>
      </c>
      <c r="T348">
        <f>IF(計分!T348="","",計分!T348^2)</f>
        <v/>
      </c>
      <c r="U348">
        <f>IF(計分!U348="","",計分!U348^2)</f>
        <v/>
      </c>
      <c r="V348">
        <f>IF(計分!V348="","",計分!V348^2)</f>
        <v/>
      </c>
      <c r="W348">
        <f>IF(計分!W348="","",計分!W348^2)</f>
        <v/>
      </c>
      <c r="X348">
        <f>IF(計分!X348="","",計分!X348^2)</f>
        <v/>
      </c>
      <c r="Y348">
        <f>IF(計分!Y348="","",計分!Y348^2)</f>
        <v/>
      </c>
      <c r="Z348">
        <f>IF(計分!Z348="","",計分!Z348^2)</f>
        <v/>
      </c>
      <c r="AA348">
        <f>IF(計分!AA348="","",計分!AA348^2)</f>
        <v/>
      </c>
      <c r="AB348">
        <f>IF(計分!AB348="","",計分!AB348^2)</f>
        <v/>
      </c>
      <c r="AC348">
        <f>IF(計分!AC348="","",計分!AC348^2)</f>
        <v/>
      </c>
      <c r="AD348">
        <f>IF(計分!AD348="","",計分!AD348^2)</f>
        <v/>
      </c>
      <c r="AE348">
        <f>IF(計分!AE348="","",計分!AE348^2)</f>
        <v/>
      </c>
      <c r="AF348">
        <f>IF(計分!AF348="","",計分!AF348^2)</f>
        <v/>
      </c>
      <c r="AG348">
        <f>IF(計分!AG348="","",計分!AG348^2)</f>
        <v/>
      </c>
      <c r="AH348">
        <f>IF(計分!AH348="","",計分!AH348^2)</f>
        <v/>
      </c>
      <c r="AI348">
        <f>IF(計分!AI348="","",計分!AI348^2)</f>
        <v/>
      </c>
      <c r="AJ348">
        <f>IF(計分!AJ348="","",計分!AJ348^2)</f>
        <v/>
      </c>
      <c r="AK348">
        <f>IF(計分!AK348="","",計分!AK348^2)</f>
        <v/>
      </c>
      <c r="AL348">
        <f>IF(計分!AL348="","",計分!AL348^2)</f>
        <v/>
      </c>
      <c r="AM348">
        <f>IF(計分!AM348="","",計分!AM348^2)</f>
        <v/>
      </c>
      <c r="AN348">
        <f>IF(計分!AN348="","",計分!AN348^2)</f>
        <v/>
      </c>
      <c r="AO348">
        <f>IF(計分!AO348="","",計分!AO348^2)</f>
        <v/>
      </c>
    </row>
    <row r="349">
      <c r="B349">
        <f>IF(計分!B349="","",計分!B349^2)</f>
        <v/>
      </c>
      <c r="C349">
        <f>IF(計分!C349="","",計分!C349^2)</f>
        <v/>
      </c>
      <c r="D349">
        <f>IF(計分!D349="","",計分!D349^2)</f>
        <v/>
      </c>
      <c r="E349">
        <f>IF(計分!E349="","",計分!E349^2)</f>
        <v/>
      </c>
      <c r="F349">
        <f>IF(計分!F349="","",計分!F349^2)</f>
        <v/>
      </c>
      <c r="G349">
        <f>IF(計分!G349="","",計分!G349^2)</f>
        <v/>
      </c>
      <c r="H349">
        <f>IF(計分!H349="","",計分!H349^2)</f>
        <v/>
      </c>
      <c r="I349">
        <f>IF(計分!I349="","",計分!I349^2)</f>
        <v/>
      </c>
      <c r="J349">
        <f>IF(計分!J349="","",計分!J349^2)</f>
        <v/>
      </c>
      <c r="K349">
        <f>IF(計分!K349="","",計分!K349^2)</f>
        <v/>
      </c>
      <c r="L349">
        <f>IF(計分!L349="","",計分!L349^2)</f>
        <v/>
      </c>
      <c r="M349">
        <f>IF(計分!M349="","",計分!M349^2)</f>
        <v/>
      </c>
      <c r="N349">
        <f>IF(計分!N349="","",計分!N349^2)</f>
        <v/>
      </c>
      <c r="O349">
        <f>IF(計分!O349="","",計分!O349^2)</f>
        <v/>
      </c>
      <c r="P349">
        <f>IF(計分!P349="","",計分!P349^2)</f>
        <v/>
      </c>
      <c r="Q349">
        <f>IF(計分!Q349="","",計分!Q349^2)</f>
        <v/>
      </c>
      <c r="R349">
        <f>IF(計分!R349="","",計分!R349^2)</f>
        <v/>
      </c>
      <c r="S349">
        <f>IF(計分!S349="","",計分!S349^2)</f>
        <v/>
      </c>
      <c r="T349">
        <f>IF(計分!T349="","",計分!T349^2)</f>
        <v/>
      </c>
      <c r="U349">
        <f>IF(計分!U349="","",計分!U349^2)</f>
        <v/>
      </c>
      <c r="V349">
        <f>IF(計分!V349="","",計分!V349^2)</f>
        <v/>
      </c>
      <c r="W349">
        <f>IF(計分!W349="","",計分!W349^2)</f>
        <v/>
      </c>
      <c r="X349">
        <f>IF(計分!X349="","",計分!X349^2)</f>
        <v/>
      </c>
      <c r="Y349">
        <f>IF(計分!Y349="","",計分!Y349^2)</f>
        <v/>
      </c>
      <c r="Z349">
        <f>IF(計分!Z349="","",計分!Z349^2)</f>
        <v/>
      </c>
      <c r="AA349">
        <f>IF(計分!AA349="","",計分!AA349^2)</f>
        <v/>
      </c>
      <c r="AB349">
        <f>IF(計分!AB349="","",計分!AB349^2)</f>
        <v/>
      </c>
      <c r="AC349">
        <f>IF(計分!AC349="","",計分!AC349^2)</f>
        <v/>
      </c>
      <c r="AD349">
        <f>IF(計分!AD349="","",計分!AD349^2)</f>
        <v/>
      </c>
      <c r="AE349">
        <f>IF(計分!AE349="","",計分!AE349^2)</f>
        <v/>
      </c>
      <c r="AF349">
        <f>IF(計分!AF349="","",計分!AF349^2)</f>
        <v/>
      </c>
      <c r="AG349">
        <f>IF(計分!AG349="","",計分!AG349^2)</f>
        <v/>
      </c>
      <c r="AH349">
        <f>IF(計分!AH349="","",計分!AH349^2)</f>
        <v/>
      </c>
      <c r="AI349">
        <f>IF(計分!AI349="","",計分!AI349^2)</f>
        <v/>
      </c>
      <c r="AJ349">
        <f>IF(計分!AJ349="","",計分!AJ349^2)</f>
        <v/>
      </c>
      <c r="AK349">
        <f>IF(計分!AK349="","",計分!AK349^2)</f>
        <v/>
      </c>
      <c r="AL349">
        <f>IF(計分!AL349="","",計分!AL349^2)</f>
        <v/>
      </c>
      <c r="AM349">
        <f>IF(計分!AM349="","",計分!AM349^2)</f>
        <v/>
      </c>
      <c r="AN349">
        <f>IF(計分!AN349="","",計分!AN349^2)</f>
        <v/>
      </c>
      <c r="AO349">
        <f>IF(計分!AO349="","",計分!AO349^2)</f>
        <v/>
      </c>
    </row>
    <row r="350">
      <c r="B350">
        <f>IF(計分!B350="","",計分!B350^2)</f>
        <v/>
      </c>
      <c r="C350">
        <f>IF(計分!C350="","",計分!C350^2)</f>
        <v/>
      </c>
      <c r="D350">
        <f>IF(計分!D350="","",計分!D350^2)</f>
        <v/>
      </c>
      <c r="E350">
        <f>IF(計分!E350="","",計分!E350^2)</f>
        <v/>
      </c>
      <c r="F350">
        <f>IF(計分!F350="","",計分!F350^2)</f>
        <v/>
      </c>
      <c r="G350">
        <f>IF(計分!G350="","",計分!G350^2)</f>
        <v/>
      </c>
      <c r="H350">
        <f>IF(計分!H350="","",計分!H350^2)</f>
        <v/>
      </c>
      <c r="I350">
        <f>IF(計分!I350="","",計分!I350^2)</f>
        <v/>
      </c>
      <c r="J350">
        <f>IF(計分!J350="","",計分!J350^2)</f>
        <v/>
      </c>
      <c r="K350">
        <f>IF(計分!K350="","",計分!K350^2)</f>
        <v/>
      </c>
      <c r="L350">
        <f>IF(計分!L350="","",計分!L350^2)</f>
        <v/>
      </c>
      <c r="M350">
        <f>IF(計分!M350="","",計分!M350^2)</f>
        <v/>
      </c>
      <c r="N350">
        <f>IF(計分!N350="","",計分!N350^2)</f>
        <v/>
      </c>
      <c r="O350">
        <f>IF(計分!O350="","",計分!O350^2)</f>
        <v/>
      </c>
      <c r="P350">
        <f>IF(計分!P350="","",計分!P350^2)</f>
        <v/>
      </c>
      <c r="Q350">
        <f>IF(計分!Q350="","",計分!Q350^2)</f>
        <v/>
      </c>
      <c r="R350">
        <f>IF(計分!R350="","",計分!R350^2)</f>
        <v/>
      </c>
      <c r="S350">
        <f>IF(計分!S350="","",計分!S350^2)</f>
        <v/>
      </c>
      <c r="T350">
        <f>IF(計分!T350="","",計分!T350^2)</f>
        <v/>
      </c>
      <c r="U350">
        <f>IF(計分!U350="","",計分!U350^2)</f>
        <v/>
      </c>
      <c r="V350">
        <f>IF(計分!V350="","",計分!V350^2)</f>
        <v/>
      </c>
      <c r="W350">
        <f>IF(計分!W350="","",計分!W350^2)</f>
        <v/>
      </c>
      <c r="X350">
        <f>IF(計分!X350="","",計分!X350^2)</f>
        <v/>
      </c>
      <c r="Y350">
        <f>IF(計分!Y350="","",計分!Y350^2)</f>
        <v/>
      </c>
      <c r="Z350">
        <f>IF(計分!Z350="","",計分!Z350^2)</f>
        <v/>
      </c>
      <c r="AA350">
        <f>IF(計分!AA350="","",計分!AA350^2)</f>
        <v/>
      </c>
      <c r="AB350">
        <f>IF(計分!AB350="","",計分!AB350^2)</f>
        <v/>
      </c>
      <c r="AC350">
        <f>IF(計分!AC350="","",計分!AC350^2)</f>
        <v/>
      </c>
      <c r="AD350">
        <f>IF(計分!AD350="","",計分!AD350^2)</f>
        <v/>
      </c>
      <c r="AE350">
        <f>IF(計分!AE350="","",計分!AE350^2)</f>
        <v/>
      </c>
      <c r="AF350">
        <f>IF(計分!AF350="","",計分!AF350^2)</f>
        <v/>
      </c>
      <c r="AG350">
        <f>IF(計分!AG350="","",計分!AG350^2)</f>
        <v/>
      </c>
      <c r="AH350">
        <f>IF(計分!AH350="","",計分!AH350^2)</f>
        <v/>
      </c>
      <c r="AI350">
        <f>IF(計分!AI350="","",計分!AI350^2)</f>
        <v/>
      </c>
      <c r="AJ350">
        <f>IF(計分!AJ350="","",計分!AJ350^2)</f>
        <v/>
      </c>
      <c r="AK350">
        <f>IF(計分!AK350="","",計分!AK350^2)</f>
        <v/>
      </c>
      <c r="AL350">
        <f>IF(計分!AL350="","",計分!AL350^2)</f>
        <v/>
      </c>
      <c r="AM350">
        <f>IF(計分!AM350="","",計分!AM350^2)</f>
        <v/>
      </c>
      <c r="AN350">
        <f>IF(計分!AN350="","",計分!AN350^2)</f>
        <v/>
      </c>
      <c r="AO350">
        <f>IF(計分!AO350="","",計分!AO350^2)</f>
        <v/>
      </c>
    </row>
    <row r="351">
      <c r="B351">
        <f>IF(計分!B351="","",計分!B351^2)</f>
        <v/>
      </c>
      <c r="C351">
        <f>IF(計分!C351="","",計分!C351^2)</f>
        <v/>
      </c>
      <c r="D351">
        <f>IF(計分!D351="","",計分!D351^2)</f>
        <v/>
      </c>
      <c r="E351">
        <f>IF(計分!E351="","",計分!E351^2)</f>
        <v/>
      </c>
      <c r="F351">
        <f>IF(計分!F351="","",計分!F351^2)</f>
        <v/>
      </c>
      <c r="G351">
        <f>IF(計分!G351="","",計分!G351^2)</f>
        <v/>
      </c>
      <c r="H351">
        <f>IF(計分!H351="","",計分!H351^2)</f>
        <v/>
      </c>
      <c r="I351">
        <f>IF(計分!I351="","",計分!I351^2)</f>
        <v/>
      </c>
      <c r="J351">
        <f>IF(計分!J351="","",計分!J351^2)</f>
        <v/>
      </c>
      <c r="K351">
        <f>IF(計分!K351="","",計分!K351^2)</f>
        <v/>
      </c>
      <c r="L351">
        <f>IF(計分!L351="","",計分!L351^2)</f>
        <v/>
      </c>
      <c r="M351">
        <f>IF(計分!M351="","",計分!M351^2)</f>
        <v/>
      </c>
      <c r="N351">
        <f>IF(計分!N351="","",計分!N351^2)</f>
        <v/>
      </c>
      <c r="O351">
        <f>IF(計分!O351="","",計分!O351^2)</f>
        <v/>
      </c>
      <c r="P351">
        <f>IF(計分!P351="","",計分!P351^2)</f>
        <v/>
      </c>
      <c r="Q351">
        <f>IF(計分!Q351="","",計分!Q351^2)</f>
        <v/>
      </c>
      <c r="R351">
        <f>IF(計分!R351="","",計分!R351^2)</f>
        <v/>
      </c>
      <c r="S351">
        <f>IF(計分!S351="","",計分!S351^2)</f>
        <v/>
      </c>
      <c r="T351">
        <f>IF(計分!T351="","",計分!T351^2)</f>
        <v/>
      </c>
      <c r="U351">
        <f>IF(計分!U351="","",計分!U351^2)</f>
        <v/>
      </c>
      <c r="V351">
        <f>IF(計分!V351="","",計分!V351^2)</f>
        <v/>
      </c>
      <c r="W351">
        <f>IF(計分!W351="","",計分!W351^2)</f>
        <v/>
      </c>
      <c r="X351">
        <f>IF(計分!X351="","",計分!X351^2)</f>
        <v/>
      </c>
      <c r="Y351">
        <f>IF(計分!Y351="","",計分!Y351^2)</f>
        <v/>
      </c>
      <c r="Z351">
        <f>IF(計分!Z351="","",計分!Z351^2)</f>
        <v/>
      </c>
      <c r="AA351">
        <f>IF(計分!AA351="","",計分!AA351^2)</f>
        <v/>
      </c>
      <c r="AB351">
        <f>IF(計分!AB351="","",計分!AB351^2)</f>
        <v/>
      </c>
      <c r="AC351">
        <f>IF(計分!AC351="","",計分!AC351^2)</f>
        <v/>
      </c>
      <c r="AD351">
        <f>IF(計分!AD351="","",計分!AD351^2)</f>
        <v/>
      </c>
      <c r="AE351">
        <f>IF(計分!AE351="","",計分!AE351^2)</f>
        <v/>
      </c>
      <c r="AF351">
        <f>IF(計分!AF351="","",計分!AF351^2)</f>
        <v/>
      </c>
      <c r="AG351">
        <f>IF(計分!AG351="","",計分!AG351^2)</f>
        <v/>
      </c>
      <c r="AH351">
        <f>IF(計分!AH351="","",計分!AH351^2)</f>
        <v/>
      </c>
      <c r="AI351">
        <f>IF(計分!AI351="","",計分!AI351^2)</f>
        <v/>
      </c>
      <c r="AJ351">
        <f>IF(計分!AJ351="","",計分!AJ351^2)</f>
        <v/>
      </c>
      <c r="AK351">
        <f>IF(計分!AK351="","",計分!AK351^2)</f>
        <v/>
      </c>
      <c r="AL351">
        <f>IF(計分!AL351="","",計分!AL351^2)</f>
        <v/>
      </c>
      <c r="AM351">
        <f>IF(計分!AM351="","",計分!AM351^2)</f>
        <v/>
      </c>
      <c r="AN351">
        <f>IF(計分!AN351="","",計分!AN351^2)</f>
        <v/>
      </c>
      <c r="AO351">
        <f>IF(計分!AO351="","",計分!AO351^2)</f>
        <v/>
      </c>
    </row>
    <row r="352">
      <c r="B352">
        <f>IF(計分!B352="","",計分!B352^2)</f>
        <v/>
      </c>
      <c r="C352">
        <f>IF(計分!C352="","",計分!C352^2)</f>
        <v/>
      </c>
      <c r="D352">
        <f>IF(計分!D352="","",計分!D352^2)</f>
        <v/>
      </c>
      <c r="E352">
        <f>IF(計分!E352="","",計分!E352^2)</f>
        <v/>
      </c>
      <c r="F352">
        <f>IF(計分!F352="","",計分!F352^2)</f>
        <v/>
      </c>
      <c r="G352">
        <f>IF(計分!G352="","",計分!G352^2)</f>
        <v/>
      </c>
      <c r="H352">
        <f>IF(計分!H352="","",計分!H352^2)</f>
        <v/>
      </c>
      <c r="I352">
        <f>IF(計分!I352="","",計分!I352^2)</f>
        <v/>
      </c>
      <c r="J352">
        <f>IF(計分!J352="","",計分!J352^2)</f>
        <v/>
      </c>
      <c r="K352">
        <f>IF(計分!K352="","",計分!K352^2)</f>
        <v/>
      </c>
      <c r="L352">
        <f>IF(計分!L352="","",計分!L352^2)</f>
        <v/>
      </c>
      <c r="M352">
        <f>IF(計分!M352="","",計分!M352^2)</f>
        <v/>
      </c>
      <c r="N352">
        <f>IF(計分!N352="","",計分!N352^2)</f>
        <v/>
      </c>
      <c r="O352">
        <f>IF(計分!O352="","",計分!O352^2)</f>
        <v/>
      </c>
      <c r="P352">
        <f>IF(計分!P352="","",計分!P352^2)</f>
        <v/>
      </c>
      <c r="Q352">
        <f>IF(計分!Q352="","",計分!Q352^2)</f>
        <v/>
      </c>
      <c r="R352">
        <f>IF(計分!R352="","",計分!R352^2)</f>
        <v/>
      </c>
      <c r="S352">
        <f>IF(計分!S352="","",計分!S352^2)</f>
        <v/>
      </c>
      <c r="T352">
        <f>IF(計分!T352="","",計分!T352^2)</f>
        <v/>
      </c>
      <c r="U352">
        <f>IF(計分!U352="","",計分!U352^2)</f>
        <v/>
      </c>
      <c r="V352">
        <f>IF(計分!V352="","",計分!V352^2)</f>
        <v/>
      </c>
      <c r="W352">
        <f>IF(計分!W352="","",計分!W352^2)</f>
        <v/>
      </c>
      <c r="X352">
        <f>IF(計分!X352="","",計分!X352^2)</f>
        <v/>
      </c>
      <c r="Y352">
        <f>IF(計分!Y352="","",計分!Y352^2)</f>
        <v/>
      </c>
      <c r="Z352">
        <f>IF(計分!Z352="","",計分!Z352^2)</f>
        <v/>
      </c>
      <c r="AA352">
        <f>IF(計分!AA352="","",計分!AA352^2)</f>
        <v/>
      </c>
      <c r="AB352">
        <f>IF(計分!AB352="","",計分!AB352^2)</f>
        <v/>
      </c>
      <c r="AC352">
        <f>IF(計分!AC352="","",計分!AC352^2)</f>
        <v/>
      </c>
      <c r="AD352">
        <f>IF(計分!AD352="","",計分!AD352^2)</f>
        <v/>
      </c>
      <c r="AE352">
        <f>IF(計分!AE352="","",計分!AE352^2)</f>
        <v/>
      </c>
      <c r="AF352">
        <f>IF(計分!AF352="","",計分!AF352^2)</f>
        <v/>
      </c>
      <c r="AG352">
        <f>IF(計分!AG352="","",計分!AG352^2)</f>
        <v/>
      </c>
      <c r="AH352">
        <f>IF(計分!AH352="","",計分!AH352^2)</f>
        <v/>
      </c>
      <c r="AI352">
        <f>IF(計分!AI352="","",計分!AI352^2)</f>
        <v/>
      </c>
      <c r="AJ352">
        <f>IF(計分!AJ352="","",計分!AJ352^2)</f>
        <v/>
      </c>
      <c r="AK352">
        <f>IF(計分!AK352="","",計分!AK352^2)</f>
        <v/>
      </c>
      <c r="AL352">
        <f>IF(計分!AL352="","",計分!AL352^2)</f>
        <v/>
      </c>
      <c r="AM352">
        <f>IF(計分!AM352="","",計分!AM352^2)</f>
        <v/>
      </c>
      <c r="AN352">
        <f>IF(計分!AN352="","",計分!AN352^2)</f>
        <v/>
      </c>
      <c r="AO352">
        <f>IF(計分!AO352="","",計分!AO352^2)</f>
        <v/>
      </c>
    </row>
    <row r="353">
      <c r="B353">
        <f>IF(計分!B353="","",計分!B353^2)</f>
        <v/>
      </c>
      <c r="C353">
        <f>IF(計分!C353="","",計分!C353^2)</f>
        <v/>
      </c>
      <c r="D353">
        <f>IF(計分!D353="","",計分!D353^2)</f>
        <v/>
      </c>
      <c r="E353">
        <f>IF(計分!E353="","",計分!E353^2)</f>
        <v/>
      </c>
      <c r="F353">
        <f>IF(計分!F353="","",計分!F353^2)</f>
        <v/>
      </c>
      <c r="G353">
        <f>IF(計分!G353="","",計分!G353^2)</f>
        <v/>
      </c>
      <c r="H353">
        <f>IF(計分!H353="","",計分!H353^2)</f>
        <v/>
      </c>
      <c r="I353">
        <f>IF(計分!I353="","",計分!I353^2)</f>
        <v/>
      </c>
      <c r="J353">
        <f>IF(計分!J353="","",計分!J353^2)</f>
        <v/>
      </c>
      <c r="K353">
        <f>IF(計分!K353="","",計分!K353^2)</f>
        <v/>
      </c>
      <c r="L353">
        <f>IF(計分!L353="","",計分!L353^2)</f>
        <v/>
      </c>
      <c r="M353">
        <f>IF(計分!M353="","",計分!M353^2)</f>
        <v/>
      </c>
      <c r="N353">
        <f>IF(計分!N353="","",計分!N353^2)</f>
        <v/>
      </c>
      <c r="O353">
        <f>IF(計分!O353="","",計分!O353^2)</f>
        <v/>
      </c>
      <c r="P353">
        <f>IF(計分!P353="","",計分!P353^2)</f>
        <v/>
      </c>
      <c r="Q353">
        <f>IF(計分!Q353="","",計分!Q353^2)</f>
        <v/>
      </c>
      <c r="R353">
        <f>IF(計分!R353="","",計分!R353^2)</f>
        <v/>
      </c>
      <c r="S353">
        <f>IF(計分!S353="","",計分!S353^2)</f>
        <v/>
      </c>
      <c r="T353">
        <f>IF(計分!T353="","",計分!T353^2)</f>
        <v/>
      </c>
      <c r="U353">
        <f>IF(計分!U353="","",計分!U353^2)</f>
        <v/>
      </c>
      <c r="V353">
        <f>IF(計分!V353="","",計分!V353^2)</f>
        <v/>
      </c>
      <c r="W353">
        <f>IF(計分!W353="","",計分!W353^2)</f>
        <v/>
      </c>
      <c r="X353">
        <f>IF(計分!X353="","",計分!X353^2)</f>
        <v/>
      </c>
      <c r="Y353">
        <f>IF(計分!Y353="","",計分!Y353^2)</f>
        <v/>
      </c>
      <c r="Z353">
        <f>IF(計分!Z353="","",計分!Z353^2)</f>
        <v/>
      </c>
      <c r="AA353">
        <f>IF(計分!AA353="","",計分!AA353^2)</f>
        <v/>
      </c>
      <c r="AB353">
        <f>IF(計分!AB353="","",計分!AB353^2)</f>
        <v/>
      </c>
      <c r="AC353">
        <f>IF(計分!AC353="","",計分!AC353^2)</f>
        <v/>
      </c>
      <c r="AD353">
        <f>IF(計分!AD353="","",計分!AD353^2)</f>
        <v/>
      </c>
      <c r="AE353">
        <f>IF(計分!AE353="","",計分!AE353^2)</f>
        <v/>
      </c>
      <c r="AF353">
        <f>IF(計分!AF353="","",計分!AF353^2)</f>
        <v/>
      </c>
      <c r="AG353">
        <f>IF(計分!AG353="","",計分!AG353^2)</f>
        <v/>
      </c>
      <c r="AH353">
        <f>IF(計分!AH353="","",計分!AH353^2)</f>
        <v/>
      </c>
      <c r="AI353">
        <f>IF(計分!AI353="","",計分!AI353^2)</f>
        <v/>
      </c>
      <c r="AJ353">
        <f>IF(計分!AJ353="","",計分!AJ353^2)</f>
        <v/>
      </c>
      <c r="AK353">
        <f>IF(計分!AK353="","",計分!AK353^2)</f>
        <v/>
      </c>
      <c r="AL353">
        <f>IF(計分!AL353="","",計分!AL353^2)</f>
        <v/>
      </c>
      <c r="AM353">
        <f>IF(計分!AM353="","",計分!AM353^2)</f>
        <v/>
      </c>
      <c r="AN353">
        <f>IF(計分!AN353="","",計分!AN353^2)</f>
        <v/>
      </c>
      <c r="AO353">
        <f>IF(計分!AO353="","",計分!AO353^2)</f>
        <v/>
      </c>
    </row>
    <row r="354">
      <c r="B354">
        <f>IF(計分!B354="","",計分!B354^2)</f>
        <v/>
      </c>
      <c r="C354">
        <f>IF(計分!C354="","",計分!C354^2)</f>
        <v/>
      </c>
      <c r="D354">
        <f>IF(計分!D354="","",計分!D354^2)</f>
        <v/>
      </c>
      <c r="E354">
        <f>IF(計分!E354="","",計分!E354^2)</f>
        <v/>
      </c>
      <c r="F354">
        <f>IF(計分!F354="","",計分!F354^2)</f>
        <v/>
      </c>
      <c r="G354">
        <f>IF(計分!G354="","",計分!G354^2)</f>
        <v/>
      </c>
      <c r="H354">
        <f>IF(計分!H354="","",計分!H354^2)</f>
        <v/>
      </c>
      <c r="I354">
        <f>IF(計分!I354="","",計分!I354^2)</f>
        <v/>
      </c>
      <c r="J354">
        <f>IF(計分!J354="","",計分!J354^2)</f>
        <v/>
      </c>
      <c r="K354">
        <f>IF(計分!K354="","",計分!K354^2)</f>
        <v/>
      </c>
      <c r="L354">
        <f>IF(計分!L354="","",計分!L354^2)</f>
        <v/>
      </c>
      <c r="M354">
        <f>IF(計分!M354="","",計分!M354^2)</f>
        <v/>
      </c>
      <c r="N354">
        <f>IF(計分!N354="","",計分!N354^2)</f>
        <v/>
      </c>
      <c r="O354">
        <f>IF(計分!O354="","",計分!O354^2)</f>
        <v/>
      </c>
      <c r="P354">
        <f>IF(計分!P354="","",計分!P354^2)</f>
        <v/>
      </c>
      <c r="Q354">
        <f>IF(計分!Q354="","",計分!Q354^2)</f>
        <v/>
      </c>
      <c r="R354">
        <f>IF(計分!R354="","",計分!R354^2)</f>
        <v/>
      </c>
      <c r="S354">
        <f>IF(計分!S354="","",計分!S354^2)</f>
        <v/>
      </c>
      <c r="T354">
        <f>IF(計分!T354="","",計分!T354^2)</f>
        <v/>
      </c>
      <c r="U354">
        <f>IF(計分!U354="","",計分!U354^2)</f>
        <v/>
      </c>
      <c r="V354">
        <f>IF(計分!V354="","",計分!V354^2)</f>
        <v/>
      </c>
      <c r="W354">
        <f>IF(計分!W354="","",計分!W354^2)</f>
        <v/>
      </c>
      <c r="X354">
        <f>IF(計分!X354="","",計分!X354^2)</f>
        <v/>
      </c>
      <c r="Y354">
        <f>IF(計分!Y354="","",計分!Y354^2)</f>
        <v/>
      </c>
      <c r="Z354">
        <f>IF(計分!Z354="","",計分!Z354^2)</f>
        <v/>
      </c>
      <c r="AA354">
        <f>IF(計分!AA354="","",計分!AA354^2)</f>
        <v/>
      </c>
      <c r="AB354">
        <f>IF(計分!AB354="","",計分!AB354^2)</f>
        <v/>
      </c>
      <c r="AC354">
        <f>IF(計分!AC354="","",計分!AC354^2)</f>
        <v/>
      </c>
      <c r="AD354">
        <f>IF(計分!AD354="","",計分!AD354^2)</f>
        <v/>
      </c>
      <c r="AE354">
        <f>IF(計分!AE354="","",計分!AE354^2)</f>
        <v/>
      </c>
      <c r="AF354">
        <f>IF(計分!AF354="","",計分!AF354^2)</f>
        <v/>
      </c>
      <c r="AG354">
        <f>IF(計分!AG354="","",計分!AG354^2)</f>
        <v/>
      </c>
      <c r="AH354">
        <f>IF(計分!AH354="","",計分!AH354^2)</f>
        <v/>
      </c>
      <c r="AI354">
        <f>IF(計分!AI354="","",計分!AI354^2)</f>
        <v/>
      </c>
      <c r="AJ354">
        <f>IF(計分!AJ354="","",計分!AJ354^2)</f>
        <v/>
      </c>
      <c r="AK354">
        <f>IF(計分!AK354="","",計分!AK354^2)</f>
        <v/>
      </c>
      <c r="AL354">
        <f>IF(計分!AL354="","",計分!AL354^2)</f>
        <v/>
      </c>
      <c r="AM354">
        <f>IF(計分!AM354="","",計分!AM354^2)</f>
        <v/>
      </c>
      <c r="AN354">
        <f>IF(計分!AN354="","",計分!AN354^2)</f>
        <v/>
      </c>
      <c r="AO354">
        <f>IF(計分!AO354="","",計分!AO354^2)</f>
        <v/>
      </c>
    </row>
    <row r="355">
      <c r="B355">
        <f>IF(計分!B355="","",計分!B355^2)</f>
        <v/>
      </c>
      <c r="C355">
        <f>IF(計分!C355="","",計分!C355^2)</f>
        <v/>
      </c>
      <c r="D355">
        <f>IF(計分!D355="","",計分!D355^2)</f>
        <v/>
      </c>
      <c r="E355">
        <f>IF(計分!E355="","",計分!E355^2)</f>
        <v/>
      </c>
      <c r="F355">
        <f>IF(計分!F355="","",計分!F355^2)</f>
        <v/>
      </c>
      <c r="G355">
        <f>IF(計分!G355="","",計分!G355^2)</f>
        <v/>
      </c>
      <c r="H355">
        <f>IF(計分!H355="","",計分!H355^2)</f>
        <v/>
      </c>
      <c r="I355">
        <f>IF(計分!I355="","",計分!I355^2)</f>
        <v/>
      </c>
      <c r="J355">
        <f>IF(計分!J355="","",計分!J355^2)</f>
        <v/>
      </c>
      <c r="K355">
        <f>IF(計分!K355="","",計分!K355^2)</f>
        <v/>
      </c>
      <c r="L355">
        <f>IF(計分!L355="","",計分!L355^2)</f>
        <v/>
      </c>
      <c r="M355">
        <f>IF(計分!M355="","",計分!M355^2)</f>
        <v/>
      </c>
      <c r="N355">
        <f>IF(計分!N355="","",計分!N355^2)</f>
        <v/>
      </c>
      <c r="O355">
        <f>IF(計分!O355="","",計分!O355^2)</f>
        <v/>
      </c>
      <c r="P355">
        <f>IF(計分!P355="","",計分!P355^2)</f>
        <v/>
      </c>
      <c r="Q355">
        <f>IF(計分!Q355="","",計分!Q355^2)</f>
        <v/>
      </c>
      <c r="R355">
        <f>IF(計分!R355="","",計分!R355^2)</f>
        <v/>
      </c>
      <c r="S355">
        <f>IF(計分!S355="","",計分!S355^2)</f>
        <v/>
      </c>
      <c r="T355">
        <f>IF(計分!T355="","",計分!T355^2)</f>
        <v/>
      </c>
      <c r="U355">
        <f>IF(計分!U355="","",計分!U355^2)</f>
        <v/>
      </c>
      <c r="V355">
        <f>IF(計分!V355="","",計分!V355^2)</f>
        <v/>
      </c>
      <c r="W355">
        <f>IF(計分!W355="","",計分!W355^2)</f>
        <v/>
      </c>
      <c r="X355">
        <f>IF(計分!X355="","",計分!X355^2)</f>
        <v/>
      </c>
      <c r="Y355">
        <f>IF(計分!Y355="","",計分!Y355^2)</f>
        <v/>
      </c>
      <c r="Z355">
        <f>IF(計分!Z355="","",計分!Z355^2)</f>
        <v/>
      </c>
      <c r="AA355">
        <f>IF(計分!AA355="","",計分!AA355^2)</f>
        <v/>
      </c>
      <c r="AB355">
        <f>IF(計分!AB355="","",計分!AB355^2)</f>
        <v/>
      </c>
      <c r="AC355">
        <f>IF(計分!AC355="","",計分!AC355^2)</f>
        <v/>
      </c>
      <c r="AD355">
        <f>IF(計分!AD355="","",計分!AD355^2)</f>
        <v/>
      </c>
      <c r="AE355">
        <f>IF(計分!AE355="","",計分!AE355^2)</f>
        <v/>
      </c>
      <c r="AF355">
        <f>IF(計分!AF355="","",計分!AF355^2)</f>
        <v/>
      </c>
      <c r="AG355">
        <f>IF(計分!AG355="","",計分!AG355^2)</f>
        <v/>
      </c>
      <c r="AH355">
        <f>IF(計分!AH355="","",計分!AH355^2)</f>
        <v/>
      </c>
      <c r="AI355">
        <f>IF(計分!AI355="","",計分!AI355^2)</f>
        <v/>
      </c>
      <c r="AJ355">
        <f>IF(計分!AJ355="","",計分!AJ355^2)</f>
        <v/>
      </c>
      <c r="AK355">
        <f>IF(計分!AK355="","",計分!AK355^2)</f>
        <v/>
      </c>
      <c r="AL355">
        <f>IF(計分!AL355="","",計分!AL355^2)</f>
        <v/>
      </c>
      <c r="AM355">
        <f>IF(計分!AM355="","",計分!AM355^2)</f>
        <v/>
      </c>
      <c r="AN355">
        <f>IF(計分!AN355="","",計分!AN355^2)</f>
        <v/>
      </c>
      <c r="AO355">
        <f>IF(計分!AO355="","",計分!AO355^2)</f>
        <v/>
      </c>
    </row>
    <row r="356">
      <c r="B356">
        <f>IF(計分!B356="","",計分!B356^2)</f>
        <v/>
      </c>
      <c r="C356">
        <f>IF(計分!C356="","",計分!C356^2)</f>
        <v/>
      </c>
      <c r="D356">
        <f>IF(計分!D356="","",計分!D356^2)</f>
        <v/>
      </c>
      <c r="E356">
        <f>IF(計分!E356="","",計分!E356^2)</f>
        <v/>
      </c>
      <c r="F356">
        <f>IF(計分!F356="","",計分!F356^2)</f>
        <v/>
      </c>
      <c r="G356">
        <f>IF(計分!G356="","",計分!G356^2)</f>
        <v/>
      </c>
      <c r="H356">
        <f>IF(計分!H356="","",計分!H356^2)</f>
        <v/>
      </c>
      <c r="I356">
        <f>IF(計分!I356="","",計分!I356^2)</f>
        <v/>
      </c>
      <c r="J356">
        <f>IF(計分!J356="","",計分!J356^2)</f>
        <v/>
      </c>
      <c r="K356">
        <f>IF(計分!K356="","",計分!K356^2)</f>
        <v/>
      </c>
      <c r="L356">
        <f>IF(計分!L356="","",計分!L356^2)</f>
        <v/>
      </c>
      <c r="M356">
        <f>IF(計分!M356="","",計分!M356^2)</f>
        <v/>
      </c>
      <c r="N356">
        <f>IF(計分!N356="","",計分!N356^2)</f>
        <v/>
      </c>
      <c r="O356">
        <f>IF(計分!O356="","",計分!O356^2)</f>
        <v/>
      </c>
      <c r="P356">
        <f>IF(計分!P356="","",計分!P356^2)</f>
        <v/>
      </c>
      <c r="Q356">
        <f>IF(計分!Q356="","",計分!Q356^2)</f>
        <v/>
      </c>
      <c r="R356">
        <f>IF(計分!R356="","",計分!R356^2)</f>
        <v/>
      </c>
      <c r="S356">
        <f>IF(計分!S356="","",計分!S356^2)</f>
        <v/>
      </c>
      <c r="T356">
        <f>IF(計分!T356="","",計分!T356^2)</f>
        <v/>
      </c>
      <c r="U356">
        <f>IF(計分!U356="","",計分!U356^2)</f>
        <v/>
      </c>
      <c r="V356">
        <f>IF(計分!V356="","",計分!V356^2)</f>
        <v/>
      </c>
      <c r="W356">
        <f>IF(計分!W356="","",計分!W356^2)</f>
        <v/>
      </c>
      <c r="X356">
        <f>IF(計分!X356="","",計分!X356^2)</f>
        <v/>
      </c>
      <c r="Y356">
        <f>IF(計分!Y356="","",計分!Y356^2)</f>
        <v/>
      </c>
      <c r="Z356">
        <f>IF(計分!Z356="","",計分!Z356^2)</f>
        <v/>
      </c>
      <c r="AA356">
        <f>IF(計分!AA356="","",計分!AA356^2)</f>
        <v/>
      </c>
      <c r="AB356">
        <f>IF(計分!AB356="","",計分!AB356^2)</f>
        <v/>
      </c>
      <c r="AC356">
        <f>IF(計分!AC356="","",計分!AC356^2)</f>
        <v/>
      </c>
      <c r="AD356">
        <f>IF(計分!AD356="","",計分!AD356^2)</f>
        <v/>
      </c>
      <c r="AE356">
        <f>IF(計分!AE356="","",計分!AE356^2)</f>
        <v/>
      </c>
      <c r="AF356">
        <f>IF(計分!AF356="","",計分!AF356^2)</f>
        <v/>
      </c>
      <c r="AG356">
        <f>IF(計分!AG356="","",計分!AG356^2)</f>
        <v/>
      </c>
      <c r="AH356">
        <f>IF(計分!AH356="","",計分!AH356^2)</f>
        <v/>
      </c>
      <c r="AI356">
        <f>IF(計分!AI356="","",計分!AI356^2)</f>
        <v/>
      </c>
      <c r="AJ356">
        <f>IF(計分!AJ356="","",計分!AJ356^2)</f>
        <v/>
      </c>
      <c r="AK356">
        <f>IF(計分!AK356="","",計分!AK356^2)</f>
        <v/>
      </c>
      <c r="AL356">
        <f>IF(計分!AL356="","",計分!AL356^2)</f>
        <v/>
      </c>
      <c r="AM356">
        <f>IF(計分!AM356="","",計分!AM356^2)</f>
        <v/>
      </c>
      <c r="AN356">
        <f>IF(計分!AN356="","",計分!AN356^2)</f>
        <v/>
      </c>
      <c r="AO356">
        <f>IF(計分!AO356="","",計分!AO356^2)</f>
        <v/>
      </c>
    </row>
    <row r="357">
      <c r="B357">
        <f>IF(計分!B357="","",計分!B357^2)</f>
        <v/>
      </c>
      <c r="C357">
        <f>IF(計分!C357="","",計分!C357^2)</f>
        <v/>
      </c>
      <c r="D357">
        <f>IF(計分!D357="","",計分!D357^2)</f>
        <v/>
      </c>
      <c r="E357">
        <f>IF(計分!E357="","",計分!E357^2)</f>
        <v/>
      </c>
      <c r="F357">
        <f>IF(計分!F357="","",計分!F357^2)</f>
        <v/>
      </c>
      <c r="G357">
        <f>IF(計分!G357="","",計分!G357^2)</f>
        <v/>
      </c>
      <c r="H357">
        <f>IF(計分!H357="","",計分!H357^2)</f>
        <v/>
      </c>
      <c r="I357">
        <f>IF(計分!I357="","",計分!I357^2)</f>
        <v/>
      </c>
      <c r="J357">
        <f>IF(計分!J357="","",計分!J357^2)</f>
        <v/>
      </c>
      <c r="K357">
        <f>IF(計分!K357="","",計分!K357^2)</f>
        <v/>
      </c>
      <c r="L357">
        <f>IF(計分!L357="","",計分!L357^2)</f>
        <v/>
      </c>
      <c r="M357">
        <f>IF(計分!M357="","",計分!M357^2)</f>
        <v/>
      </c>
      <c r="N357">
        <f>IF(計分!N357="","",計分!N357^2)</f>
        <v/>
      </c>
      <c r="O357">
        <f>IF(計分!O357="","",計分!O357^2)</f>
        <v/>
      </c>
      <c r="P357">
        <f>IF(計分!P357="","",計分!P357^2)</f>
        <v/>
      </c>
      <c r="Q357">
        <f>IF(計分!Q357="","",計分!Q357^2)</f>
        <v/>
      </c>
      <c r="R357">
        <f>IF(計分!R357="","",計分!R357^2)</f>
        <v/>
      </c>
      <c r="S357">
        <f>IF(計分!S357="","",計分!S357^2)</f>
        <v/>
      </c>
      <c r="T357">
        <f>IF(計分!T357="","",計分!T357^2)</f>
        <v/>
      </c>
      <c r="U357">
        <f>IF(計分!U357="","",計分!U357^2)</f>
        <v/>
      </c>
      <c r="V357">
        <f>IF(計分!V357="","",計分!V357^2)</f>
        <v/>
      </c>
      <c r="W357">
        <f>IF(計分!W357="","",計分!W357^2)</f>
        <v/>
      </c>
      <c r="X357">
        <f>IF(計分!X357="","",計分!X357^2)</f>
        <v/>
      </c>
      <c r="Y357">
        <f>IF(計分!Y357="","",計分!Y357^2)</f>
        <v/>
      </c>
      <c r="Z357">
        <f>IF(計分!Z357="","",計分!Z357^2)</f>
        <v/>
      </c>
      <c r="AA357">
        <f>IF(計分!AA357="","",計分!AA357^2)</f>
        <v/>
      </c>
      <c r="AB357">
        <f>IF(計分!AB357="","",計分!AB357^2)</f>
        <v/>
      </c>
      <c r="AC357">
        <f>IF(計分!AC357="","",計分!AC357^2)</f>
        <v/>
      </c>
      <c r="AD357">
        <f>IF(計分!AD357="","",計分!AD357^2)</f>
        <v/>
      </c>
      <c r="AE357">
        <f>IF(計分!AE357="","",計分!AE357^2)</f>
        <v/>
      </c>
      <c r="AF357">
        <f>IF(計分!AF357="","",計分!AF357^2)</f>
        <v/>
      </c>
      <c r="AG357">
        <f>IF(計分!AG357="","",計分!AG357^2)</f>
        <v/>
      </c>
      <c r="AH357">
        <f>IF(計分!AH357="","",計分!AH357^2)</f>
        <v/>
      </c>
      <c r="AI357">
        <f>IF(計分!AI357="","",計分!AI357^2)</f>
        <v/>
      </c>
      <c r="AJ357">
        <f>IF(計分!AJ357="","",計分!AJ357^2)</f>
        <v/>
      </c>
      <c r="AK357">
        <f>IF(計分!AK357="","",計分!AK357^2)</f>
        <v/>
      </c>
      <c r="AL357">
        <f>IF(計分!AL357="","",計分!AL357^2)</f>
        <v/>
      </c>
      <c r="AM357">
        <f>IF(計分!AM357="","",計分!AM357^2)</f>
        <v/>
      </c>
      <c r="AN357">
        <f>IF(計分!AN357="","",計分!AN357^2)</f>
        <v/>
      </c>
      <c r="AO357">
        <f>IF(計分!AO357="","",計分!AO357^2)</f>
        <v/>
      </c>
    </row>
    <row r="358">
      <c r="B358">
        <f>IF(計分!B358="","",計分!B358^2)</f>
        <v/>
      </c>
      <c r="C358">
        <f>IF(計分!C358="","",計分!C358^2)</f>
        <v/>
      </c>
      <c r="D358">
        <f>IF(計分!D358="","",計分!D358^2)</f>
        <v/>
      </c>
      <c r="E358">
        <f>IF(計分!E358="","",計分!E358^2)</f>
        <v/>
      </c>
      <c r="F358">
        <f>IF(計分!F358="","",計分!F358^2)</f>
        <v/>
      </c>
      <c r="G358">
        <f>IF(計分!G358="","",計分!G358^2)</f>
        <v/>
      </c>
      <c r="H358">
        <f>IF(計分!H358="","",計分!H358^2)</f>
        <v/>
      </c>
      <c r="I358">
        <f>IF(計分!I358="","",計分!I358^2)</f>
        <v/>
      </c>
      <c r="J358">
        <f>IF(計分!J358="","",計分!J358^2)</f>
        <v/>
      </c>
      <c r="K358">
        <f>IF(計分!K358="","",計分!K358^2)</f>
        <v/>
      </c>
      <c r="L358">
        <f>IF(計分!L358="","",計分!L358^2)</f>
        <v/>
      </c>
      <c r="M358">
        <f>IF(計分!M358="","",計分!M358^2)</f>
        <v/>
      </c>
      <c r="N358">
        <f>IF(計分!N358="","",計分!N358^2)</f>
        <v/>
      </c>
      <c r="O358">
        <f>IF(計分!O358="","",計分!O358^2)</f>
        <v/>
      </c>
      <c r="P358">
        <f>IF(計分!P358="","",計分!P358^2)</f>
        <v/>
      </c>
      <c r="Q358">
        <f>IF(計分!Q358="","",計分!Q358^2)</f>
        <v/>
      </c>
      <c r="R358">
        <f>IF(計分!R358="","",計分!R358^2)</f>
        <v/>
      </c>
      <c r="S358">
        <f>IF(計分!S358="","",計分!S358^2)</f>
        <v/>
      </c>
      <c r="T358">
        <f>IF(計分!T358="","",計分!T358^2)</f>
        <v/>
      </c>
      <c r="U358">
        <f>IF(計分!U358="","",計分!U358^2)</f>
        <v/>
      </c>
      <c r="V358">
        <f>IF(計分!V358="","",計分!V358^2)</f>
        <v/>
      </c>
      <c r="W358">
        <f>IF(計分!W358="","",計分!W358^2)</f>
        <v/>
      </c>
      <c r="X358">
        <f>IF(計分!X358="","",計分!X358^2)</f>
        <v/>
      </c>
      <c r="Y358">
        <f>IF(計分!Y358="","",計分!Y358^2)</f>
        <v/>
      </c>
      <c r="Z358">
        <f>IF(計分!Z358="","",計分!Z358^2)</f>
        <v/>
      </c>
      <c r="AA358">
        <f>IF(計分!AA358="","",計分!AA358^2)</f>
        <v/>
      </c>
      <c r="AB358">
        <f>IF(計分!AB358="","",計分!AB358^2)</f>
        <v/>
      </c>
      <c r="AC358">
        <f>IF(計分!AC358="","",計分!AC358^2)</f>
        <v/>
      </c>
      <c r="AD358">
        <f>IF(計分!AD358="","",計分!AD358^2)</f>
        <v/>
      </c>
      <c r="AE358">
        <f>IF(計分!AE358="","",計分!AE358^2)</f>
        <v/>
      </c>
      <c r="AF358">
        <f>IF(計分!AF358="","",計分!AF358^2)</f>
        <v/>
      </c>
      <c r="AG358">
        <f>IF(計分!AG358="","",計分!AG358^2)</f>
        <v/>
      </c>
      <c r="AH358">
        <f>IF(計分!AH358="","",計分!AH358^2)</f>
        <v/>
      </c>
      <c r="AI358">
        <f>IF(計分!AI358="","",計分!AI358^2)</f>
        <v/>
      </c>
      <c r="AJ358">
        <f>IF(計分!AJ358="","",計分!AJ358^2)</f>
        <v/>
      </c>
      <c r="AK358">
        <f>IF(計分!AK358="","",計分!AK358^2)</f>
        <v/>
      </c>
      <c r="AL358">
        <f>IF(計分!AL358="","",計分!AL358^2)</f>
        <v/>
      </c>
      <c r="AM358">
        <f>IF(計分!AM358="","",計分!AM358^2)</f>
        <v/>
      </c>
      <c r="AN358">
        <f>IF(計分!AN358="","",計分!AN358^2)</f>
        <v/>
      </c>
      <c r="AO358">
        <f>IF(計分!AO358="","",計分!AO358^2)</f>
        <v/>
      </c>
    </row>
    <row r="359">
      <c r="B359">
        <f>IF(計分!B359="","",計分!B359^2)</f>
        <v/>
      </c>
      <c r="C359">
        <f>IF(計分!C359="","",計分!C359^2)</f>
        <v/>
      </c>
      <c r="D359">
        <f>IF(計分!D359="","",計分!D359^2)</f>
        <v/>
      </c>
      <c r="E359">
        <f>IF(計分!E359="","",計分!E359^2)</f>
        <v/>
      </c>
      <c r="F359">
        <f>IF(計分!F359="","",計分!F359^2)</f>
        <v/>
      </c>
      <c r="G359">
        <f>IF(計分!G359="","",計分!G359^2)</f>
        <v/>
      </c>
      <c r="H359">
        <f>IF(計分!H359="","",計分!H359^2)</f>
        <v/>
      </c>
      <c r="I359">
        <f>IF(計分!I359="","",計分!I359^2)</f>
        <v/>
      </c>
      <c r="J359">
        <f>IF(計分!J359="","",計分!J359^2)</f>
        <v/>
      </c>
      <c r="K359">
        <f>IF(計分!K359="","",計分!K359^2)</f>
        <v/>
      </c>
      <c r="L359">
        <f>IF(計分!L359="","",計分!L359^2)</f>
        <v/>
      </c>
      <c r="M359">
        <f>IF(計分!M359="","",計分!M359^2)</f>
        <v/>
      </c>
      <c r="N359">
        <f>IF(計分!N359="","",計分!N359^2)</f>
        <v/>
      </c>
      <c r="O359">
        <f>IF(計分!O359="","",計分!O359^2)</f>
        <v/>
      </c>
      <c r="P359">
        <f>IF(計分!P359="","",計分!P359^2)</f>
        <v/>
      </c>
      <c r="Q359">
        <f>IF(計分!Q359="","",計分!Q359^2)</f>
        <v/>
      </c>
      <c r="R359">
        <f>IF(計分!R359="","",計分!R359^2)</f>
        <v/>
      </c>
      <c r="S359">
        <f>IF(計分!S359="","",計分!S359^2)</f>
        <v/>
      </c>
      <c r="T359">
        <f>IF(計分!T359="","",計分!T359^2)</f>
        <v/>
      </c>
      <c r="U359">
        <f>IF(計分!U359="","",計分!U359^2)</f>
        <v/>
      </c>
      <c r="V359">
        <f>IF(計分!V359="","",計分!V359^2)</f>
        <v/>
      </c>
      <c r="W359">
        <f>IF(計分!W359="","",計分!W359^2)</f>
        <v/>
      </c>
      <c r="X359">
        <f>IF(計分!X359="","",計分!X359^2)</f>
        <v/>
      </c>
      <c r="Y359">
        <f>IF(計分!Y359="","",計分!Y359^2)</f>
        <v/>
      </c>
      <c r="Z359">
        <f>IF(計分!Z359="","",計分!Z359^2)</f>
        <v/>
      </c>
      <c r="AA359">
        <f>IF(計分!AA359="","",計分!AA359^2)</f>
        <v/>
      </c>
      <c r="AB359">
        <f>IF(計分!AB359="","",計分!AB359^2)</f>
        <v/>
      </c>
      <c r="AC359">
        <f>IF(計分!AC359="","",計分!AC359^2)</f>
        <v/>
      </c>
      <c r="AD359">
        <f>IF(計分!AD359="","",計分!AD359^2)</f>
        <v/>
      </c>
      <c r="AE359">
        <f>IF(計分!AE359="","",計分!AE359^2)</f>
        <v/>
      </c>
      <c r="AF359">
        <f>IF(計分!AF359="","",計分!AF359^2)</f>
        <v/>
      </c>
      <c r="AG359">
        <f>IF(計分!AG359="","",計分!AG359^2)</f>
        <v/>
      </c>
      <c r="AH359">
        <f>IF(計分!AH359="","",計分!AH359^2)</f>
        <v/>
      </c>
      <c r="AI359">
        <f>IF(計分!AI359="","",計分!AI359^2)</f>
        <v/>
      </c>
      <c r="AJ359">
        <f>IF(計分!AJ359="","",計分!AJ359^2)</f>
        <v/>
      </c>
      <c r="AK359">
        <f>IF(計分!AK359="","",計分!AK359^2)</f>
        <v/>
      </c>
      <c r="AL359">
        <f>IF(計分!AL359="","",計分!AL359^2)</f>
        <v/>
      </c>
      <c r="AM359">
        <f>IF(計分!AM359="","",計分!AM359^2)</f>
        <v/>
      </c>
      <c r="AN359">
        <f>IF(計分!AN359="","",計分!AN359^2)</f>
        <v/>
      </c>
      <c r="AO359">
        <f>IF(計分!AO359="","",計分!AO359^2)</f>
        <v/>
      </c>
    </row>
    <row r="360">
      <c r="B360">
        <f>IF(計分!B360="","",計分!B360^2)</f>
        <v/>
      </c>
      <c r="C360">
        <f>IF(計分!C360="","",計分!C360^2)</f>
        <v/>
      </c>
      <c r="D360">
        <f>IF(計分!D360="","",計分!D360^2)</f>
        <v/>
      </c>
      <c r="E360">
        <f>IF(計分!E360="","",計分!E360^2)</f>
        <v/>
      </c>
      <c r="F360">
        <f>IF(計分!F360="","",計分!F360^2)</f>
        <v/>
      </c>
      <c r="G360">
        <f>IF(計分!G360="","",計分!G360^2)</f>
        <v/>
      </c>
      <c r="H360">
        <f>IF(計分!H360="","",計分!H360^2)</f>
        <v/>
      </c>
      <c r="I360">
        <f>IF(計分!I360="","",計分!I360^2)</f>
        <v/>
      </c>
      <c r="J360">
        <f>IF(計分!J360="","",計分!J360^2)</f>
        <v/>
      </c>
      <c r="K360">
        <f>IF(計分!K360="","",計分!K360^2)</f>
        <v/>
      </c>
      <c r="L360">
        <f>IF(計分!L360="","",計分!L360^2)</f>
        <v/>
      </c>
      <c r="M360">
        <f>IF(計分!M360="","",計分!M360^2)</f>
        <v/>
      </c>
      <c r="N360">
        <f>IF(計分!N360="","",計分!N360^2)</f>
        <v/>
      </c>
      <c r="O360">
        <f>IF(計分!O360="","",計分!O360^2)</f>
        <v/>
      </c>
      <c r="P360">
        <f>IF(計分!P360="","",計分!P360^2)</f>
        <v/>
      </c>
      <c r="Q360">
        <f>IF(計分!Q360="","",計分!Q360^2)</f>
        <v/>
      </c>
      <c r="R360">
        <f>IF(計分!R360="","",計分!R360^2)</f>
        <v/>
      </c>
      <c r="S360">
        <f>IF(計分!S360="","",計分!S360^2)</f>
        <v/>
      </c>
      <c r="T360">
        <f>IF(計分!T360="","",計分!T360^2)</f>
        <v/>
      </c>
      <c r="U360">
        <f>IF(計分!U360="","",計分!U360^2)</f>
        <v/>
      </c>
      <c r="V360">
        <f>IF(計分!V360="","",計分!V360^2)</f>
        <v/>
      </c>
      <c r="W360">
        <f>IF(計分!W360="","",計分!W360^2)</f>
        <v/>
      </c>
      <c r="X360">
        <f>IF(計分!X360="","",計分!X360^2)</f>
        <v/>
      </c>
      <c r="Y360">
        <f>IF(計分!Y360="","",計分!Y360^2)</f>
        <v/>
      </c>
      <c r="Z360">
        <f>IF(計分!Z360="","",計分!Z360^2)</f>
        <v/>
      </c>
      <c r="AA360">
        <f>IF(計分!AA360="","",計分!AA360^2)</f>
        <v/>
      </c>
      <c r="AB360">
        <f>IF(計分!AB360="","",計分!AB360^2)</f>
        <v/>
      </c>
      <c r="AC360">
        <f>IF(計分!AC360="","",計分!AC360^2)</f>
        <v/>
      </c>
      <c r="AD360">
        <f>IF(計分!AD360="","",計分!AD360^2)</f>
        <v/>
      </c>
      <c r="AE360">
        <f>IF(計分!AE360="","",計分!AE360^2)</f>
        <v/>
      </c>
      <c r="AF360">
        <f>IF(計分!AF360="","",計分!AF360^2)</f>
        <v/>
      </c>
      <c r="AG360">
        <f>IF(計分!AG360="","",計分!AG360^2)</f>
        <v/>
      </c>
      <c r="AH360">
        <f>IF(計分!AH360="","",計分!AH360^2)</f>
        <v/>
      </c>
      <c r="AI360">
        <f>IF(計分!AI360="","",計分!AI360^2)</f>
        <v/>
      </c>
      <c r="AJ360">
        <f>IF(計分!AJ360="","",計分!AJ360^2)</f>
        <v/>
      </c>
      <c r="AK360">
        <f>IF(計分!AK360="","",計分!AK360^2)</f>
        <v/>
      </c>
      <c r="AL360">
        <f>IF(計分!AL360="","",計分!AL360^2)</f>
        <v/>
      </c>
      <c r="AM360">
        <f>IF(計分!AM360="","",計分!AM360^2)</f>
        <v/>
      </c>
      <c r="AN360">
        <f>IF(計分!AN360="","",計分!AN360^2)</f>
        <v/>
      </c>
      <c r="AO360">
        <f>IF(計分!AO360="","",計分!AO360^2)</f>
        <v/>
      </c>
    </row>
    <row r="361">
      <c r="B361">
        <f>IF(計分!B361="","",計分!B361^2)</f>
        <v/>
      </c>
      <c r="C361">
        <f>IF(計分!C361="","",計分!C361^2)</f>
        <v/>
      </c>
      <c r="D361">
        <f>IF(計分!D361="","",計分!D361^2)</f>
        <v/>
      </c>
      <c r="E361">
        <f>IF(計分!E361="","",計分!E361^2)</f>
        <v/>
      </c>
      <c r="F361">
        <f>IF(計分!F361="","",計分!F361^2)</f>
        <v/>
      </c>
      <c r="G361">
        <f>IF(計分!G361="","",計分!G361^2)</f>
        <v/>
      </c>
      <c r="H361">
        <f>IF(計分!H361="","",計分!H361^2)</f>
        <v/>
      </c>
      <c r="I361">
        <f>IF(計分!I361="","",計分!I361^2)</f>
        <v/>
      </c>
      <c r="J361">
        <f>IF(計分!J361="","",計分!J361^2)</f>
        <v/>
      </c>
      <c r="K361">
        <f>IF(計分!K361="","",計分!K361^2)</f>
        <v/>
      </c>
      <c r="L361">
        <f>IF(計分!L361="","",計分!L361^2)</f>
        <v/>
      </c>
      <c r="M361">
        <f>IF(計分!M361="","",計分!M361^2)</f>
        <v/>
      </c>
      <c r="N361">
        <f>IF(計分!N361="","",計分!N361^2)</f>
        <v/>
      </c>
      <c r="O361">
        <f>IF(計分!O361="","",計分!O361^2)</f>
        <v/>
      </c>
      <c r="P361">
        <f>IF(計分!P361="","",計分!P361^2)</f>
        <v/>
      </c>
      <c r="Q361">
        <f>IF(計分!Q361="","",計分!Q361^2)</f>
        <v/>
      </c>
      <c r="R361">
        <f>IF(計分!R361="","",計分!R361^2)</f>
        <v/>
      </c>
      <c r="S361">
        <f>IF(計分!S361="","",計分!S361^2)</f>
        <v/>
      </c>
      <c r="T361">
        <f>IF(計分!T361="","",計分!T361^2)</f>
        <v/>
      </c>
      <c r="U361">
        <f>IF(計分!U361="","",計分!U361^2)</f>
        <v/>
      </c>
      <c r="V361">
        <f>IF(計分!V361="","",計分!V361^2)</f>
        <v/>
      </c>
      <c r="W361">
        <f>IF(計分!W361="","",計分!W361^2)</f>
        <v/>
      </c>
      <c r="X361">
        <f>IF(計分!X361="","",計分!X361^2)</f>
        <v/>
      </c>
      <c r="Y361">
        <f>IF(計分!Y361="","",計分!Y361^2)</f>
        <v/>
      </c>
      <c r="Z361">
        <f>IF(計分!Z361="","",計分!Z361^2)</f>
        <v/>
      </c>
      <c r="AA361">
        <f>IF(計分!AA361="","",計分!AA361^2)</f>
        <v/>
      </c>
      <c r="AB361">
        <f>IF(計分!AB361="","",計分!AB361^2)</f>
        <v/>
      </c>
      <c r="AC361">
        <f>IF(計分!AC361="","",計分!AC361^2)</f>
        <v/>
      </c>
      <c r="AD361">
        <f>IF(計分!AD361="","",計分!AD361^2)</f>
        <v/>
      </c>
      <c r="AE361">
        <f>IF(計分!AE361="","",計分!AE361^2)</f>
        <v/>
      </c>
      <c r="AF361">
        <f>IF(計分!AF361="","",計分!AF361^2)</f>
        <v/>
      </c>
      <c r="AG361">
        <f>IF(計分!AG361="","",計分!AG361^2)</f>
        <v/>
      </c>
      <c r="AH361">
        <f>IF(計分!AH361="","",計分!AH361^2)</f>
        <v/>
      </c>
      <c r="AI361">
        <f>IF(計分!AI361="","",計分!AI361^2)</f>
        <v/>
      </c>
      <c r="AJ361">
        <f>IF(計分!AJ361="","",計分!AJ361^2)</f>
        <v/>
      </c>
      <c r="AK361">
        <f>IF(計分!AK361="","",計分!AK361^2)</f>
        <v/>
      </c>
      <c r="AL361">
        <f>IF(計分!AL361="","",計分!AL361^2)</f>
        <v/>
      </c>
      <c r="AM361">
        <f>IF(計分!AM361="","",計分!AM361^2)</f>
        <v/>
      </c>
      <c r="AN361">
        <f>IF(計分!AN361="","",計分!AN361^2)</f>
        <v/>
      </c>
      <c r="AO361">
        <f>IF(計分!AO361="","",計分!AO361^2)</f>
        <v/>
      </c>
    </row>
    <row r="362">
      <c r="B362">
        <f>IF(計分!B362="","",計分!B362^2)</f>
        <v/>
      </c>
      <c r="C362">
        <f>IF(計分!C362="","",計分!C362^2)</f>
        <v/>
      </c>
      <c r="D362">
        <f>IF(計分!D362="","",計分!D362^2)</f>
        <v/>
      </c>
      <c r="E362">
        <f>IF(計分!E362="","",計分!E362^2)</f>
        <v/>
      </c>
      <c r="F362">
        <f>IF(計分!F362="","",計分!F362^2)</f>
        <v/>
      </c>
      <c r="G362">
        <f>IF(計分!G362="","",計分!G362^2)</f>
        <v/>
      </c>
      <c r="H362">
        <f>IF(計分!H362="","",計分!H362^2)</f>
        <v/>
      </c>
      <c r="I362">
        <f>IF(計分!I362="","",計分!I362^2)</f>
        <v/>
      </c>
      <c r="J362">
        <f>IF(計分!J362="","",計分!J362^2)</f>
        <v/>
      </c>
      <c r="K362">
        <f>IF(計分!K362="","",計分!K362^2)</f>
        <v/>
      </c>
      <c r="L362">
        <f>IF(計分!L362="","",計分!L362^2)</f>
        <v/>
      </c>
      <c r="M362">
        <f>IF(計分!M362="","",計分!M362^2)</f>
        <v/>
      </c>
      <c r="N362">
        <f>IF(計分!N362="","",計分!N362^2)</f>
        <v/>
      </c>
      <c r="O362">
        <f>IF(計分!O362="","",計分!O362^2)</f>
        <v/>
      </c>
      <c r="P362">
        <f>IF(計分!P362="","",計分!P362^2)</f>
        <v/>
      </c>
      <c r="Q362">
        <f>IF(計分!Q362="","",計分!Q362^2)</f>
        <v/>
      </c>
      <c r="R362">
        <f>IF(計分!R362="","",計分!R362^2)</f>
        <v/>
      </c>
      <c r="S362">
        <f>IF(計分!S362="","",計分!S362^2)</f>
        <v/>
      </c>
      <c r="T362">
        <f>IF(計分!T362="","",計分!T362^2)</f>
        <v/>
      </c>
      <c r="U362">
        <f>IF(計分!U362="","",計分!U362^2)</f>
        <v/>
      </c>
      <c r="V362">
        <f>IF(計分!V362="","",計分!V362^2)</f>
        <v/>
      </c>
      <c r="W362">
        <f>IF(計分!W362="","",計分!W362^2)</f>
        <v/>
      </c>
      <c r="X362">
        <f>IF(計分!X362="","",計分!X362^2)</f>
        <v/>
      </c>
      <c r="Y362">
        <f>IF(計分!Y362="","",計分!Y362^2)</f>
        <v/>
      </c>
      <c r="Z362">
        <f>IF(計分!Z362="","",計分!Z362^2)</f>
        <v/>
      </c>
      <c r="AA362">
        <f>IF(計分!AA362="","",計分!AA362^2)</f>
        <v/>
      </c>
      <c r="AB362">
        <f>IF(計分!AB362="","",計分!AB362^2)</f>
        <v/>
      </c>
      <c r="AC362">
        <f>IF(計分!AC362="","",計分!AC362^2)</f>
        <v/>
      </c>
      <c r="AD362">
        <f>IF(計分!AD362="","",計分!AD362^2)</f>
        <v/>
      </c>
      <c r="AE362">
        <f>IF(計分!AE362="","",計分!AE362^2)</f>
        <v/>
      </c>
      <c r="AF362">
        <f>IF(計分!AF362="","",計分!AF362^2)</f>
        <v/>
      </c>
      <c r="AG362">
        <f>IF(計分!AG362="","",計分!AG362^2)</f>
        <v/>
      </c>
      <c r="AH362">
        <f>IF(計分!AH362="","",計分!AH362^2)</f>
        <v/>
      </c>
      <c r="AI362">
        <f>IF(計分!AI362="","",計分!AI362^2)</f>
        <v/>
      </c>
      <c r="AJ362">
        <f>IF(計分!AJ362="","",計分!AJ362^2)</f>
        <v/>
      </c>
      <c r="AK362">
        <f>IF(計分!AK362="","",計分!AK362^2)</f>
        <v/>
      </c>
      <c r="AL362">
        <f>IF(計分!AL362="","",計分!AL362^2)</f>
        <v/>
      </c>
      <c r="AM362">
        <f>IF(計分!AM362="","",計分!AM362^2)</f>
        <v/>
      </c>
      <c r="AN362">
        <f>IF(計分!AN362="","",計分!AN362^2)</f>
        <v/>
      </c>
      <c r="AO362">
        <f>IF(計分!AO362="","",計分!AO362^2)</f>
        <v/>
      </c>
    </row>
    <row r="363">
      <c r="B363">
        <f>IF(計分!B363="","",計分!B363^2)</f>
        <v/>
      </c>
      <c r="C363">
        <f>IF(計分!C363="","",計分!C363^2)</f>
        <v/>
      </c>
      <c r="D363">
        <f>IF(計分!D363="","",計分!D363^2)</f>
        <v/>
      </c>
      <c r="E363">
        <f>IF(計分!E363="","",計分!E363^2)</f>
        <v/>
      </c>
      <c r="F363">
        <f>IF(計分!F363="","",計分!F363^2)</f>
        <v/>
      </c>
      <c r="G363">
        <f>IF(計分!G363="","",計分!G363^2)</f>
        <v/>
      </c>
      <c r="H363">
        <f>IF(計分!H363="","",計分!H363^2)</f>
        <v/>
      </c>
      <c r="I363">
        <f>IF(計分!I363="","",計分!I363^2)</f>
        <v/>
      </c>
      <c r="J363">
        <f>IF(計分!J363="","",計分!J363^2)</f>
        <v/>
      </c>
      <c r="K363">
        <f>IF(計分!K363="","",計分!K363^2)</f>
        <v/>
      </c>
      <c r="L363">
        <f>IF(計分!L363="","",計分!L363^2)</f>
        <v/>
      </c>
      <c r="M363">
        <f>IF(計分!M363="","",計分!M363^2)</f>
        <v/>
      </c>
      <c r="N363">
        <f>IF(計分!N363="","",計分!N363^2)</f>
        <v/>
      </c>
      <c r="O363">
        <f>IF(計分!O363="","",計分!O363^2)</f>
        <v/>
      </c>
      <c r="P363">
        <f>IF(計分!P363="","",計分!P363^2)</f>
        <v/>
      </c>
      <c r="Q363">
        <f>IF(計分!Q363="","",計分!Q363^2)</f>
        <v/>
      </c>
      <c r="R363">
        <f>IF(計分!R363="","",計分!R363^2)</f>
        <v/>
      </c>
      <c r="S363">
        <f>IF(計分!S363="","",計分!S363^2)</f>
        <v/>
      </c>
      <c r="T363">
        <f>IF(計分!T363="","",計分!T363^2)</f>
        <v/>
      </c>
      <c r="U363">
        <f>IF(計分!U363="","",計分!U363^2)</f>
        <v/>
      </c>
      <c r="V363">
        <f>IF(計分!V363="","",計分!V363^2)</f>
        <v/>
      </c>
      <c r="W363">
        <f>IF(計分!W363="","",計分!W363^2)</f>
        <v/>
      </c>
      <c r="X363">
        <f>IF(計分!X363="","",計分!X363^2)</f>
        <v/>
      </c>
      <c r="Y363">
        <f>IF(計分!Y363="","",計分!Y363^2)</f>
        <v/>
      </c>
      <c r="Z363">
        <f>IF(計分!Z363="","",計分!Z363^2)</f>
        <v/>
      </c>
      <c r="AA363">
        <f>IF(計分!AA363="","",計分!AA363^2)</f>
        <v/>
      </c>
      <c r="AB363">
        <f>IF(計分!AB363="","",計分!AB363^2)</f>
        <v/>
      </c>
      <c r="AC363">
        <f>IF(計分!AC363="","",計分!AC363^2)</f>
        <v/>
      </c>
      <c r="AD363">
        <f>IF(計分!AD363="","",計分!AD363^2)</f>
        <v/>
      </c>
      <c r="AE363">
        <f>IF(計分!AE363="","",計分!AE363^2)</f>
        <v/>
      </c>
      <c r="AF363">
        <f>IF(計分!AF363="","",計分!AF363^2)</f>
        <v/>
      </c>
      <c r="AG363">
        <f>IF(計分!AG363="","",計分!AG363^2)</f>
        <v/>
      </c>
      <c r="AH363">
        <f>IF(計分!AH363="","",計分!AH363^2)</f>
        <v/>
      </c>
      <c r="AI363">
        <f>IF(計分!AI363="","",計分!AI363^2)</f>
        <v/>
      </c>
      <c r="AJ363">
        <f>IF(計分!AJ363="","",計分!AJ363^2)</f>
        <v/>
      </c>
      <c r="AK363">
        <f>IF(計分!AK363="","",計分!AK363^2)</f>
        <v/>
      </c>
      <c r="AL363">
        <f>IF(計分!AL363="","",計分!AL363^2)</f>
        <v/>
      </c>
      <c r="AM363">
        <f>IF(計分!AM363="","",計分!AM363^2)</f>
        <v/>
      </c>
      <c r="AN363">
        <f>IF(計分!AN363="","",計分!AN363^2)</f>
        <v/>
      </c>
      <c r="AO363">
        <f>IF(計分!AO363="","",計分!AO363^2)</f>
        <v/>
      </c>
    </row>
    <row r="364">
      <c r="B364">
        <f>IF(計分!B364="","",計分!B364^2)</f>
        <v/>
      </c>
      <c r="C364">
        <f>IF(計分!C364="","",計分!C364^2)</f>
        <v/>
      </c>
      <c r="D364">
        <f>IF(計分!D364="","",計分!D364^2)</f>
        <v/>
      </c>
      <c r="E364">
        <f>IF(計分!E364="","",計分!E364^2)</f>
        <v/>
      </c>
      <c r="F364">
        <f>IF(計分!F364="","",計分!F364^2)</f>
        <v/>
      </c>
      <c r="G364">
        <f>IF(計分!G364="","",計分!G364^2)</f>
        <v/>
      </c>
      <c r="H364">
        <f>IF(計分!H364="","",計分!H364^2)</f>
        <v/>
      </c>
      <c r="I364">
        <f>IF(計分!I364="","",計分!I364^2)</f>
        <v/>
      </c>
      <c r="J364">
        <f>IF(計分!J364="","",計分!J364^2)</f>
        <v/>
      </c>
      <c r="K364">
        <f>IF(計分!K364="","",計分!K364^2)</f>
        <v/>
      </c>
      <c r="L364">
        <f>IF(計分!L364="","",計分!L364^2)</f>
        <v/>
      </c>
      <c r="M364">
        <f>IF(計分!M364="","",計分!M364^2)</f>
        <v/>
      </c>
      <c r="N364">
        <f>IF(計分!N364="","",計分!N364^2)</f>
        <v/>
      </c>
      <c r="O364">
        <f>IF(計分!O364="","",計分!O364^2)</f>
        <v/>
      </c>
      <c r="P364">
        <f>IF(計分!P364="","",計分!P364^2)</f>
        <v/>
      </c>
      <c r="Q364">
        <f>IF(計分!Q364="","",計分!Q364^2)</f>
        <v/>
      </c>
      <c r="R364">
        <f>IF(計分!R364="","",計分!R364^2)</f>
        <v/>
      </c>
      <c r="S364">
        <f>IF(計分!S364="","",計分!S364^2)</f>
        <v/>
      </c>
      <c r="T364">
        <f>IF(計分!T364="","",計分!T364^2)</f>
        <v/>
      </c>
      <c r="U364">
        <f>IF(計分!U364="","",計分!U364^2)</f>
        <v/>
      </c>
      <c r="V364">
        <f>IF(計分!V364="","",計分!V364^2)</f>
        <v/>
      </c>
      <c r="W364">
        <f>IF(計分!W364="","",計分!W364^2)</f>
        <v/>
      </c>
      <c r="X364">
        <f>IF(計分!X364="","",計分!X364^2)</f>
        <v/>
      </c>
      <c r="Y364">
        <f>IF(計分!Y364="","",計分!Y364^2)</f>
        <v/>
      </c>
      <c r="Z364">
        <f>IF(計分!Z364="","",計分!Z364^2)</f>
        <v/>
      </c>
      <c r="AA364">
        <f>IF(計分!AA364="","",計分!AA364^2)</f>
        <v/>
      </c>
      <c r="AB364">
        <f>IF(計分!AB364="","",計分!AB364^2)</f>
        <v/>
      </c>
      <c r="AC364">
        <f>IF(計分!AC364="","",計分!AC364^2)</f>
        <v/>
      </c>
      <c r="AD364">
        <f>IF(計分!AD364="","",計分!AD364^2)</f>
        <v/>
      </c>
      <c r="AE364">
        <f>IF(計分!AE364="","",計分!AE364^2)</f>
        <v/>
      </c>
      <c r="AF364">
        <f>IF(計分!AF364="","",計分!AF364^2)</f>
        <v/>
      </c>
      <c r="AG364">
        <f>IF(計分!AG364="","",計分!AG364^2)</f>
        <v/>
      </c>
      <c r="AH364">
        <f>IF(計分!AH364="","",計分!AH364^2)</f>
        <v/>
      </c>
      <c r="AI364">
        <f>IF(計分!AI364="","",計分!AI364^2)</f>
        <v/>
      </c>
      <c r="AJ364">
        <f>IF(計分!AJ364="","",計分!AJ364^2)</f>
        <v/>
      </c>
      <c r="AK364">
        <f>IF(計分!AK364="","",計分!AK364^2)</f>
        <v/>
      </c>
      <c r="AL364">
        <f>IF(計分!AL364="","",計分!AL364^2)</f>
        <v/>
      </c>
      <c r="AM364">
        <f>IF(計分!AM364="","",計分!AM364^2)</f>
        <v/>
      </c>
      <c r="AN364">
        <f>IF(計分!AN364="","",計分!AN364^2)</f>
        <v/>
      </c>
      <c r="AO364">
        <f>IF(計分!AO364="","",計分!AO364^2)</f>
        <v/>
      </c>
    </row>
    <row r="365">
      <c r="B365">
        <f>IF(計分!B365="","",計分!B365^2)</f>
        <v/>
      </c>
      <c r="C365">
        <f>IF(計分!C365="","",計分!C365^2)</f>
        <v/>
      </c>
      <c r="D365">
        <f>IF(計分!D365="","",計分!D365^2)</f>
        <v/>
      </c>
      <c r="E365">
        <f>IF(計分!E365="","",計分!E365^2)</f>
        <v/>
      </c>
      <c r="F365">
        <f>IF(計分!F365="","",計分!F365^2)</f>
        <v/>
      </c>
      <c r="G365">
        <f>IF(計分!G365="","",計分!G365^2)</f>
        <v/>
      </c>
      <c r="H365">
        <f>IF(計分!H365="","",計分!H365^2)</f>
        <v/>
      </c>
      <c r="I365">
        <f>IF(計分!I365="","",計分!I365^2)</f>
        <v/>
      </c>
      <c r="J365">
        <f>IF(計分!J365="","",計分!J365^2)</f>
        <v/>
      </c>
      <c r="K365">
        <f>IF(計分!K365="","",計分!K365^2)</f>
        <v/>
      </c>
      <c r="L365">
        <f>IF(計分!L365="","",計分!L365^2)</f>
        <v/>
      </c>
      <c r="M365">
        <f>IF(計分!M365="","",計分!M365^2)</f>
        <v/>
      </c>
      <c r="N365">
        <f>IF(計分!N365="","",計分!N365^2)</f>
        <v/>
      </c>
      <c r="O365">
        <f>IF(計分!O365="","",計分!O365^2)</f>
        <v/>
      </c>
      <c r="P365">
        <f>IF(計分!P365="","",計分!P365^2)</f>
        <v/>
      </c>
      <c r="Q365">
        <f>IF(計分!Q365="","",計分!Q365^2)</f>
        <v/>
      </c>
      <c r="R365">
        <f>IF(計分!R365="","",計分!R365^2)</f>
        <v/>
      </c>
      <c r="S365">
        <f>IF(計分!S365="","",計分!S365^2)</f>
        <v/>
      </c>
      <c r="T365">
        <f>IF(計分!T365="","",計分!T365^2)</f>
        <v/>
      </c>
      <c r="U365">
        <f>IF(計分!U365="","",計分!U365^2)</f>
        <v/>
      </c>
      <c r="V365">
        <f>IF(計分!V365="","",計分!V365^2)</f>
        <v/>
      </c>
      <c r="W365">
        <f>IF(計分!W365="","",計分!W365^2)</f>
        <v/>
      </c>
      <c r="X365">
        <f>IF(計分!X365="","",計分!X365^2)</f>
        <v/>
      </c>
      <c r="Y365">
        <f>IF(計分!Y365="","",計分!Y365^2)</f>
        <v/>
      </c>
      <c r="Z365">
        <f>IF(計分!Z365="","",計分!Z365^2)</f>
        <v/>
      </c>
      <c r="AA365">
        <f>IF(計分!AA365="","",計分!AA365^2)</f>
        <v/>
      </c>
      <c r="AB365">
        <f>IF(計分!AB365="","",計分!AB365^2)</f>
        <v/>
      </c>
      <c r="AC365">
        <f>IF(計分!AC365="","",計分!AC365^2)</f>
        <v/>
      </c>
      <c r="AD365">
        <f>IF(計分!AD365="","",計分!AD365^2)</f>
        <v/>
      </c>
      <c r="AE365">
        <f>IF(計分!AE365="","",計分!AE365^2)</f>
        <v/>
      </c>
      <c r="AF365">
        <f>IF(計分!AF365="","",計分!AF365^2)</f>
        <v/>
      </c>
      <c r="AG365">
        <f>IF(計分!AG365="","",計分!AG365^2)</f>
        <v/>
      </c>
      <c r="AH365">
        <f>IF(計分!AH365="","",計分!AH365^2)</f>
        <v/>
      </c>
      <c r="AI365">
        <f>IF(計分!AI365="","",計分!AI365^2)</f>
        <v/>
      </c>
      <c r="AJ365">
        <f>IF(計分!AJ365="","",計分!AJ365^2)</f>
        <v/>
      </c>
      <c r="AK365">
        <f>IF(計分!AK365="","",計分!AK365^2)</f>
        <v/>
      </c>
      <c r="AL365">
        <f>IF(計分!AL365="","",計分!AL365^2)</f>
        <v/>
      </c>
      <c r="AM365">
        <f>IF(計分!AM365="","",計分!AM365^2)</f>
        <v/>
      </c>
      <c r="AN365">
        <f>IF(計分!AN365="","",計分!AN365^2)</f>
        <v/>
      </c>
      <c r="AO365">
        <f>IF(計分!AO365="","",計分!AO365^2)</f>
        <v/>
      </c>
    </row>
    <row r="366">
      <c r="B366">
        <f>IF(計分!B366="","",計分!B366^2)</f>
        <v/>
      </c>
      <c r="C366">
        <f>IF(計分!C366="","",計分!C366^2)</f>
        <v/>
      </c>
      <c r="D366">
        <f>IF(計分!D366="","",計分!D366^2)</f>
        <v/>
      </c>
      <c r="E366">
        <f>IF(計分!E366="","",計分!E366^2)</f>
        <v/>
      </c>
      <c r="F366">
        <f>IF(計分!F366="","",計分!F366^2)</f>
        <v/>
      </c>
      <c r="G366">
        <f>IF(計分!G366="","",計分!G366^2)</f>
        <v/>
      </c>
      <c r="H366">
        <f>IF(計分!H366="","",計分!H366^2)</f>
        <v/>
      </c>
      <c r="I366">
        <f>IF(計分!I366="","",計分!I366^2)</f>
        <v/>
      </c>
      <c r="J366">
        <f>IF(計分!J366="","",計分!J366^2)</f>
        <v/>
      </c>
      <c r="K366">
        <f>IF(計分!K366="","",計分!K366^2)</f>
        <v/>
      </c>
      <c r="L366">
        <f>IF(計分!L366="","",計分!L366^2)</f>
        <v/>
      </c>
      <c r="M366">
        <f>IF(計分!M366="","",計分!M366^2)</f>
        <v/>
      </c>
      <c r="N366">
        <f>IF(計分!N366="","",計分!N366^2)</f>
        <v/>
      </c>
      <c r="O366">
        <f>IF(計分!O366="","",計分!O366^2)</f>
        <v/>
      </c>
      <c r="P366">
        <f>IF(計分!P366="","",計分!P366^2)</f>
        <v/>
      </c>
      <c r="Q366">
        <f>IF(計分!Q366="","",計分!Q366^2)</f>
        <v/>
      </c>
      <c r="R366">
        <f>IF(計分!R366="","",計分!R366^2)</f>
        <v/>
      </c>
      <c r="S366">
        <f>IF(計分!S366="","",計分!S366^2)</f>
        <v/>
      </c>
      <c r="T366">
        <f>IF(計分!T366="","",計分!T366^2)</f>
        <v/>
      </c>
      <c r="U366">
        <f>IF(計分!U366="","",計分!U366^2)</f>
        <v/>
      </c>
      <c r="V366">
        <f>IF(計分!V366="","",計分!V366^2)</f>
        <v/>
      </c>
      <c r="W366">
        <f>IF(計分!W366="","",計分!W366^2)</f>
        <v/>
      </c>
      <c r="X366">
        <f>IF(計分!X366="","",計分!X366^2)</f>
        <v/>
      </c>
      <c r="Y366">
        <f>IF(計分!Y366="","",計分!Y366^2)</f>
        <v/>
      </c>
      <c r="Z366">
        <f>IF(計分!Z366="","",計分!Z366^2)</f>
        <v/>
      </c>
      <c r="AA366">
        <f>IF(計分!AA366="","",計分!AA366^2)</f>
        <v/>
      </c>
      <c r="AB366">
        <f>IF(計分!AB366="","",計分!AB366^2)</f>
        <v/>
      </c>
      <c r="AC366">
        <f>IF(計分!AC366="","",計分!AC366^2)</f>
        <v/>
      </c>
      <c r="AD366">
        <f>IF(計分!AD366="","",計分!AD366^2)</f>
        <v/>
      </c>
      <c r="AE366">
        <f>IF(計分!AE366="","",計分!AE366^2)</f>
        <v/>
      </c>
      <c r="AF366">
        <f>IF(計分!AF366="","",計分!AF366^2)</f>
        <v/>
      </c>
      <c r="AG366">
        <f>IF(計分!AG366="","",計分!AG366^2)</f>
        <v/>
      </c>
      <c r="AH366">
        <f>IF(計分!AH366="","",計分!AH366^2)</f>
        <v/>
      </c>
      <c r="AI366">
        <f>IF(計分!AI366="","",計分!AI366^2)</f>
        <v/>
      </c>
      <c r="AJ366">
        <f>IF(計分!AJ366="","",計分!AJ366^2)</f>
        <v/>
      </c>
      <c r="AK366">
        <f>IF(計分!AK366="","",計分!AK366^2)</f>
        <v/>
      </c>
      <c r="AL366">
        <f>IF(計分!AL366="","",計分!AL366^2)</f>
        <v/>
      </c>
      <c r="AM366">
        <f>IF(計分!AM366="","",計分!AM366^2)</f>
        <v/>
      </c>
      <c r="AN366">
        <f>IF(計分!AN366="","",計分!AN366^2)</f>
        <v/>
      </c>
      <c r="AO366">
        <f>IF(計分!AO366="","",計分!AO366^2)</f>
        <v/>
      </c>
    </row>
    <row r="367">
      <c r="B367">
        <f>IF(計分!B367="","",計分!B367^2)</f>
        <v/>
      </c>
      <c r="C367">
        <f>IF(計分!C367="","",計分!C367^2)</f>
        <v/>
      </c>
      <c r="D367">
        <f>IF(計分!D367="","",計分!D367^2)</f>
        <v/>
      </c>
      <c r="E367">
        <f>IF(計分!E367="","",計分!E367^2)</f>
        <v/>
      </c>
      <c r="F367">
        <f>IF(計分!F367="","",計分!F367^2)</f>
        <v/>
      </c>
      <c r="G367">
        <f>IF(計分!G367="","",計分!G367^2)</f>
        <v/>
      </c>
      <c r="H367">
        <f>IF(計分!H367="","",計分!H367^2)</f>
        <v/>
      </c>
      <c r="I367">
        <f>IF(計分!I367="","",計分!I367^2)</f>
        <v/>
      </c>
      <c r="J367">
        <f>IF(計分!J367="","",計分!J367^2)</f>
        <v/>
      </c>
      <c r="K367">
        <f>IF(計分!K367="","",計分!K367^2)</f>
        <v/>
      </c>
      <c r="L367">
        <f>IF(計分!L367="","",計分!L367^2)</f>
        <v/>
      </c>
      <c r="M367">
        <f>IF(計分!M367="","",計分!M367^2)</f>
        <v/>
      </c>
      <c r="N367">
        <f>IF(計分!N367="","",計分!N367^2)</f>
        <v/>
      </c>
      <c r="O367">
        <f>IF(計分!O367="","",計分!O367^2)</f>
        <v/>
      </c>
      <c r="P367">
        <f>IF(計分!P367="","",計分!P367^2)</f>
        <v/>
      </c>
      <c r="Q367">
        <f>IF(計分!Q367="","",計分!Q367^2)</f>
        <v/>
      </c>
      <c r="R367">
        <f>IF(計分!R367="","",計分!R367^2)</f>
        <v/>
      </c>
      <c r="S367">
        <f>IF(計分!S367="","",計分!S367^2)</f>
        <v/>
      </c>
      <c r="T367">
        <f>IF(計分!T367="","",計分!T367^2)</f>
        <v/>
      </c>
      <c r="U367">
        <f>IF(計分!U367="","",計分!U367^2)</f>
        <v/>
      </c>
      <c r="V367">
        <f>IF(計分!V367="","",計分!V367^2)</f>
        <v/>
      </c>
      <c r="W367">
        <f>IF(計分!W367="","",計分!W367^2)</f>
        <v/>
      </c>
      <c r="X367">
        <f>IF(計分!X367="","",計分!X367^2)</f>
        <v/>
      </c>
      <c r="Y367">
        <f>IF(計分!Y367="","",計分!Y367^2)</f>
        <v/>
      </c>
      <c r="Z367">
        <f>IF(計分!Z367="","",計分!Z367^2)</f>
        <v/>
      </c>
      <c r="AA367">
        <f>IF(計分!AA367="","",計分!AA367^2)</f>
        <v/>
      </c>
      <c r="AB367">
        <f>IF(計分!AB367="","",計分!AB367^2)</f>
        <v/>
      </c>
      <c r="AC367">
        <f>IF(計分!AC367="","",計分!AC367^2)</f>
        <v/>
      </c>
      <c r="AD367">
        <f>IF(計分!AD367="","",計分!AD367^2)</f>
        <v/>
      </c>
      <c r="AE367">
        <f>IF(計分!AE367="","",計分!AE367^2)</f>
        <v/>
      </c>
      <c r="AF367">
        <f>IF(計分!AF367="","",計分!AF367^2)</f>
        <v/>
      </c>
      <c r="AG367">
        <f>IF(計分!AG367="","",計分!AG367^2)</f>
        <v/>
      </c>
      <c r="AH367">
        <f>IF(計分!AH367="","",計分!AH367^2)</f>
        <v/>
      </c>
      <c r="AI367">
        <f>IF(計分!AI367="","",計分!AI367^2)</f>
        <v/>
      </c>
      <c r="AJ367">
        <f>IF(計分!AJ367="","",計分!AJ367^2)</f>
        <v/>
      </c>
      <c r="AK367">
        <f>IF(計分!AK367="","",計分!AK367^2)</f>
        <v/>
      </c>
      <c r="AL367">
        <f>IF(計分!AL367="","",計分!AL367^2)</f>
        <v/>
      </c>
      <c r="AM367">
        <f>IF(計分!AM367="","",計分!AM367^2)</f>
        <v/>
      </c>
      <c r="AN367">
        <f>IF(計分!AN367="","",計分!AN367^2)</f>
        <v/>
      </c>
      <c r="AO367">
        <f>IF(計分!AO367="","",計分!AO367^2)</f>
        <v/>
      </c>
    </row>
    <row r="368">
      <c r="B368">
        <f>IF(計分!B368="","",計分!B368^2)</f>
        <v/>
      </c>
      <c r="C368">
        <f>IF(計分!C368="","",計分!C368^2)</f>
        <v/>
      </c>
      <c r="D368">
        <f>IF(計分!D368="","",計分!D368^2)</f>
        <v/>
      </c>
      <c r="E368">
        <f>IF(計分!E368="","",計分!E368^2)</f>
        <v/>
      </c>
      <c r="F368">
        <f>IF(計分!F368="","",計分!F368^2)</f>
        <v/>
      </c>
      <c r="G368">
        <f>IF(計分!G368="","",計分!G368^2)</f>
        <v/>
      </c>
      <c r="H368">
        <f>IF(計分!H368="","",計分!H368^2)</f>
        <v/>
      </c>
      <c r="I368">
        <f>IF(計分!I368="","",計分!I368^2)</f>
        <v/>
      </c>
      <c r="J368">
        <f>IF(計分!J368="","",計分!J368^2)</f>
        <v/>
      </c>
      <c r="K368">
        <f>IF(計分!K368="","",計分!K368^2)</f>
        <v/>
      </c>
      <c r="L368">
        <f>IF(計分!L368="","",計分!L368^2)</f>
        <v/>
      </c>
      <c r="M368">
        <f>IF(計分!M368="","",計分!M368^2)</f>
        <v/>
      </c>
      <c r="N368">
        <f>IF(計分!N368="","",計分!N368^2)</f>
        <v/>
      </c>
      <c r="O368">
        <f>IF(計分!O368="","",計分!O368^2)</f>
        <v/>
      </c>
      <c r="P368">
        <f>IF(計分!P368="","",計分!P368^2)</f>
        <v/>
      </c>
      <c r="Q368">
        <f>IF(計分!Q368="","",計分!Q368^2)</f>
        <v/>
      </c>
      <c r="R368">
        <f>IF(計分!R368="","",計分!R368^2)</f>
        <v/>
      </c>
      <c r="S368">
        <f>IF(計分!S368="","",計分!S368^2)</f>
        <v/>
      </c>
      <c r="T368">
        <f>IF(計分!T368="","",計分!T368^2)</f>
        <v/>
      </c>
      <c r="U368">
        <f>IF(計分!U368="","",計分!U368^2)</f>
        <v/>
      </c>
      <c r="V368">
        <f>IF(計分!V368="","",計分!V368^2)</f>
        <v/>
      </c>
      <c r="W368">
        <f>IF(計分!W368="","",計分!W368^2)</f>
        <v/>
      </c>
      <c r="X368">
        <f>IF(計分!X368="","",計分!X368^2)</f>
        <v/>
      </c>
      <c r="Y368">
        <f>IF(計分!Y368="","",計分!Y368^2)</f>
        <v/>
      </c>
      <c r="Z368">
        <f>IF(計分!Z368="","",計分!Z368^2)</f>
        <v/>
      </c>
      <c r="AA368">
        <f>IF(計分!AA368="","",計分!AA368^2)</f>
        <v/>
      </c>
      <c r="AB368">
        <f>IF(計分!AB368="","",計分!AB368^2)</f>
        <v/>
      </c>
      <c r="AC368">
        <f>IF(計分!AC368="","",計分!AC368^2)</f>
        <v/>
      </c>
      <c r="AD368">
        <f>IF(計分!AD368="","",計分!AD368^2)</f>
        <v/>
      </c>
      <c r="AE368">
        <f>IF(計分!AE368="","",計分!AE368^2)</f>
        <v/>
      </c>
      <c r="AF368">
        <f>IF(計分!AF368="","",計分!AF368^2)</f>
        <v/>
      </c>
      <c r="AG368">
        <f>IF(計分!AG368="","",計分!AG368^2)</f>
        <v/>
      </c>
      <c r="AH368">
        <f>IF(計分!AH368="","",計分!AH368^2)</f>
        <v/>
      </c>
      <c r="AI368">
        <f>IF(計分!AI368="","",計分!AI368^2)</f>
        <v/>
      </c>
      <c r="AJ368">
        <f>IF(計分!AJ368="","",計分!AJ368^2)</f>
        <v/>
      </c>
      <c r="AK368">
        <f>IF(計分!AK368="","",計分!AK368^2)</f>
        <v/>
      </c>
      <c r="AL368">
        <f>IF(計分!AL368="","",計分!AL368^2)</f>
        <v/>
      </c>
      <c r="AM368">
        <f>IF(計分!AM368="","",計分!AM368^2)</f>
        <v/>
      </c>
      <c r="AN368">
        <f>IF(計分!AN368="","",計分!AN368^2)</f>
        <v/>
      </c>
      <c r="AO368">
        <f>IF(計分!AO368="","",計分!AO368^2)</f>
        <v/>
      </c>
    </row>
    <row r="369">
      <c r="B369">
        <f>IF(計分!B369="","",計分!B369^2)</f>
        <v/>
      </c>
      <c r="C369">
        <f>IF(計分!C369="","",計分!C369^2)</f>
        <v/>
      </c>
      <c r="D369">
        <f>IF(計分!D369="","",計分!D369^2)</f>
        <v/>
      </c>
      <c r="E369">
        <f>IF(計分!E369="","",計分!E369^2)</f>
        <v/>
      </c>
      <c r="F369">
        <f>IF(計分!F369="","",計分!F369^2)</f>
        <v/>
      </c>
      <c r="G369">
        <f>IF(計分!G369="","",計分!G369^2)</f>
        <v/>
      </c>
      <c r="H369">
        <f>IF(計分!H369="","",計分!H369^2)</f>
        <v/>
      </c>
      <c r="I369">
        <f>IF(計分!I369="","",計分!I369^2)</f>
        <v/>
      </c>
      <c r="J369">
        <f>IF(計分!J369="","",計分!J369^2)</f>
        <v/>
      </c>
      <c r="K369">
        <f>IF(計分!K369="","",計分!K369^2)</f>
        <v/>
      </c>
      <c r="L369">
        <f>IF(計分!L369="","",計分!L369^2)</f>
        <v/>
      </c>
      <c r="M369">
        <f>IF(計分!M369="","",計分!M369^2)</f>
        <v/>
      </c>
      <c r="N369">
        <f>IF(計分!N369="","",計分!N369^2)</f>
        <v/>
      </c>
      <c r="O369">
        <f>IF(計分!O369="","",計分!O369^2)</f>
        <v/>
      </c>
      <c r="P369">
        <f>IF(計分!P369="","",計分!P369^2)</f>
        <v/>
      </c>
      <c r="Q369">
        <f>IF(計分!Q369="","",計分!Q369^2)</f>
        <v/>
      </c>
      <c r="R369">
        <f>IF(計分!R369="","",計分!R369^2)</f>
        <v/>
      </c>
      <c r="S369">
        <f>IF(計分!S369="","",計分!S369^2)</f>
        <v/>
      </c>
      <c r="T369">
        <f>IF(計分!T369="","",計分!T369^2)</f>
        <v/>
      </c>
      <c r="U369">
        <f>IF(計分!U369="","",計分!U369^2)</f>
        <v/>
      </c>
      <c r="V369">
        <f>IF(計分!V369="","",計分!V369^2)</f>
        <v/>
      </c>
      <c r="W369">
        <f>IF(計分!W369="","",計分!W369^2)</f>
        <v/>
      </c>
      <c r="X369">
        <f>IF(計分!X369="","",計分!X369^2)</f>
        <v/>
      </c>
      <c r="Y369">
        <f>IF(計分!Y369="","",計分!Y369^2)</f>
        <v/>
      </c>
      <c r="Z369">
        <f>IF(計分!Z369="","",計分!Z369^2)</f>
        <v/>
      </c>
      <c r="AA369">
        <f>IF(計分!AA369="","",計分!AA369^2)</f>
        <v/>
      </c>
      <c r="AB369">
        <f>IF(計分!AB369="","",計分!AB369^2)</f>
        <v/>
      </c>
      <c r="AC369">
        <f>IF(計分!AC369="","",計分!AC369^2)</f>
        <v/>
      </c>
      <c r="AD369">
        <f>IF(計分!AD369="","",計分!AD369^2)</f>
        <v/>
      </c>
      <c r="AE369">
        <f>IF(計分!AE369="","",計分!AE369^2)</f>
        <v/>
      </c>
      <c r="AF369">
        <f>IF(計分!AF369="","",計分!AF369^2)</f>
        <v/>
      </c>
      <c r="AG369">
        <f>IF(計分!AG369="","",計分!AG369^2)</f>
        <v/>
      </c>
      <c r="AH369">
        <f>IF(計分!AH369="","",計分!AH369^2)</f>
        <v/>
      </c>
      <c r="AI369">
        <f>IF(計分!AI369="","",計分!AI369^2)</f>
        <v/>
      </c>
      <c r="AJ369">
        <f>IF(計分!AJ369="","",計分!AJ369^2)</f>
        <v/>
      </c>
      <c r="AK369">
        <f>IF(計分!AK369="","",計分!AK369^2)</f>
        <v/>
      </c>
      <c r="AL369">
        <f>IF(計分!AL369="","",計分!AL369^2)</f>
        <v/>
      </c>
      <c r="AM369">
        <f>IF(計分!AM369="","",計分!AM369^2)</f>
        <v/>
      </c>
      <c r="AN369">
        <f>IF(計分!AN369="","",計分!AN369^2)</f>
        <v/>
      </c>
      <c r="AO369">
        <f>IF(計分!AO369="","",計分!AO369^2)</f>
        <v/>
      </c>
    </row>
    <row r="370">
      <c r="B370">
        <f>IF(計分!B370="","",計分!B370^2)</f>
        <v/>
      </c>
      <c r="C370">
        <f>IF(計分!C370="","",計分!C370^2)</f>
        <v/>
      </c>
      <c r="D370">
        <f>IF(計分!D370="","",計分!D370^2)</f>
        <v/>
      </c>
      <c r="E370">
        <f>IF(計分!E370="","",計分!E370^2)</f>
        <v/>
      </c>
      <c r="F370">
        <f>IF(計分!F370="","",計分!F370^2)</f>
        <v/>
      </c>
      <c r="G370">
        <f>IF(計分!G370="","",計分!G370^2)</f>
        <v/>
      </c>
      <c r="H370">
        <f>IF(計分!H370="","",計分!H370^2)</f>
        <v/>
      </c>
      <c r="I370">
        <f>IF(計分!I370="","",計分!I370^2)</f>
        <v/>
      </c>
      <c r="J370">
        <f>IF(計分!J370="","",計分!J370^2)</f>
        <v/>
      </c>
      <c r="K370">
        <f>IF(計分!K370="","",計分!K370^2)</f>
        <v/>
      </c>
      <c r="L370">
        <f>IF(計分!L370="","",計分!L370^2)</f>
        <v/>
      </c>
      <c r="M370">
        <f>IF(計分!M370="","",計分!M370^2)</f>
        <v/>
      </c>
      <c r="N370">
        <f>IF(計分!N370="","",計分!N370^2)</f>
        <v/>
      </c>
      <c r="O370">
        <f>IF(計分!O370="","",計分!O370^2)</f>
        <v/>
      </c>
      <c r="P370">
        <f>IF(計分!P370="","",計分!P370^2)</f>
        <v/>
      </c>
      <c r="Q370">
        <f>IF(計分!Q370="","",計分!Q370^2)</f>
        <v/>
      </c>
      <c r="R370">
        <f>IF(計分!R370="","",計分!R370^2)</f>
        <v/>
      </c>
      <c r="S370">
        <f>IF(計分!S370="","",計分!S370^2)</f>
        <v/>
      </c>
      <c r="T370">
        <f>IF(計分!T370="","",計分!T370^2)</f>
        <v/>
      </c>
      <c r="U370">
        <f>IF(計分!U370="","",計分!U370^2)</f>
        <v/>
      </c>
      <c r="V370">
        <f>IF(計分!V370="","",計分!V370^2)</f>
        <v/>
      </c>
      <c r="W370">
        <f>IF(計分!W370="","",計分!W370^2)</f>
        <v/>
      </c>
      <c r="X370">
        <f>IF(計分!X370="","",計分!X370^2)</f>
        <v/>
      </c>
      <c r="Y370">
        <f>IF(計分!Y370="","",計分!Y370^2)</f>
        <v/>
      </c>
      <c r="Z370">
        <f>IF(計分!Z370="","",計分!Z370^2)</f>
        <v/>
      </c>
      <c r="AA370">
        <f>IF(計分!AA370="","",計分!AA370^2)</f>
        <v/>
      </c>
      <c r="AB370">
        <f>IF(計分!AB370="","",計分!AB370^2)</f>
        <v/>
      </c>
      <c r="AC370">
        <f>IF(計分!AC370="","",計分!AC370^2)</f>
        <v/>
      </c>
      <c r="AD370">
        <f>IF(計分!AD370="","",計分!AD370^2)</f>
        <v/>
      </c>
      <c r="AE370">
        <f>IF(計分!AE370="","",計分!AE370^2)</f>
        <v/>
      </c>
      <c r="AF370">
        <f>IF(計分!AF370="","",計分!AF370^2)</f>
        <v/>
      </c>
      <c r="AG370">
        <f>IF(計分!AG370="","",計分!AG370^2)</f>
        <v/>
      </c>
      <c r="AH370">
        <f>IF(計分!AH370="","",計分!AH370^2)</f>
        <v/>
      </c>
      <c r="AI370">
        <f>IF(計分!AI370="","",計分!AI370^2)</f>
        <v/>
      </c>
      <c r="AJ370">
        <f>IF(計分!AJ370="","",計分!AJ370^2)</f>
        <v/>
      </c>
      <c r="AK370">
        <f>IF(計分!AK370="","",計分!AK370^2)</f>
        <v/>
      </c>
      <c r="AL370">
        <f>IF(計分!AL370="","",計分!AL370^2)</f>
        <v/>
      </c>
      <c r="AM370">
        <f>IF(計分!AM370="","",計分!AM370^2)</f>
        <v/>
      </c>
      <c r="AN370">
        <f>IF(計分!AN370="","",計分!AN370^2)</f>
        <v/>
      </c>
      <c r="AO370">
        <f>IF(計分!AO370="","",計分!AO370^2)</f>
        <v/>
      </c>
    </row>
    <row r="371">
      <c r="B371">
        <f>IF(計分!B371="","",計分!B371^2)</f>
        <v/>
      </c>
      <c r="C371">
        <f>IF(計分!C371="","",計分!C371^2)</f>
        <v/>
      </c>
      <c r="D371">
        <f>IF(計分!D371="","",計分!D371^2)</f>
        <v/>
      </c>
      <c r="E371">
        <f>IF(計分!E371="","",計分!E371^2)</f>
        <v/>
      </c>
      <c r="F371">
        <f>IF(計分!F371="","",計分!F371^2)</f>
        <v/>
      </c>
      <c r="G371">
        <f>IF(計分!G371="","",計分!G371^2)</f>
        <v/>
      </c>
      <c r="H371">
        <f>IF(計分!H371="","",計分!H371^2)</f>
        <v/>
      </c>
      <c r="I371">
        <f>IF(計分!I371="","",計分!I371^2)</f>
        <v/>
      </c>
      <c r="J371">
        <f>IF(計分!J371="","",計分!J371^2)</f>
        <v/>
      </c>
      <c r="K371">
        <f>IF(計分!K371="","",計分!K371^2)</f>
        <v/>
      </c>
      <c r="L371">
        <f>IF(計分!L371="","",計分!L371^2)</f>
        <v/>
      </c>
      <c r="M371">
        <f>IF(計分!M371="","",計分!M371^2)</f>
        <v/>
      </c>
      <c r="N371">
        <f>IF(計分!N371="","",計分!N371^2)</f>
        <v/>
      </c>
      <c r="O371">
        <f>IF(計分!O371="","",計分!O371^2)</f>
        <v/>
      </c>
      <c r="P371">
        <f>IF(計分!P371="","",計分!P371^2)</f>
        <v/>
      </c>
      <c r="Q371">
        <f>IF(計分!Q371="","",計分!Q371^2)</f>
        <v/>
      </c>
      <c r="R371">
        <f>IF(計分!R371="","",計分!R371^2)</f>
        <v/>
      </c>
      <c r="S371">
        <f>IF(計分!S371="","",計分!S371^2)</f>
        <v/>
      </c>
      <c r="T371">
        <f>IF(計分!T371="","",計分!T371^2)</f>
        <v/>
      </c>
      <c r="U371">
        <f>IF(計分!U371="","",計分!U371^2)</f>
        <v/>
      </c>
      <c r="V371">
        <f>IF(計分!V371="","",計分!V371^2)</f>
        <v/>
      </c>
      <c r="W371">
        <f>IF(計分!W371="","",計分!W371^2)</f>
        <v/>
      </c>
      <c r="X371">
        <f>IF(計分!X371="","",計分!X371^2)</f>
        <v/>
      </c>
      <c r="Y371">
        <f>IF(計分!Y371="","",計分!Y371^2)</f>
        <v/>
      </c>
      <c r="Z371">
        <f>IF(計分!Z371="","",計分!Z371^2)</f>
        <v/>
      </c>
      <c r="AA371">
        <f>IF(計分!AA371="","",計分!AA371^2)</f>
        <v/>
      </c>
      <c r="AB371">
        <f>IF(計分!AB371="","",計分!AB371^2)</f>
        <v/>
      </c>
      <c r="AC371">
        <f>IF(計分!AC371="","",計分!AC371^2)</f>
        <v/>
      </c>
      <c r="AD371">
        <f>IF(計分!AD371="","",計分!AD371^2)</f>
        <v/>
      </c>
      <c r="AE371">
        <f>IF(計分!AE371="","",計分!AE371^2)</f>
        <v/>
      </c>
      <c r="AF371">
        <f>IF(計分!AF371="","",計分!AF371^2)</f>
        <v/>
      </c>
      <c r="AG371">
        <f>IF(計分!AG371="","",計分!AG371^2)</f>
        <v/>
      </c>
      <c r="AH371">
        <f>IF(計分!AH371="","",計分!AH371^2)</f>
        <v/>
      </c>
      <c r="AI371">
        <f>IF(計分!AI371="","",計分!AI371^2)</f>
        <v/>
      </c>
      <c r="AJ371">
        <f>IF(計分!AJ371="","",計分!AJ371^2)</f>
        <v/>
      </c>
      <c r="AK371">
        <f>IF(計分!AK371="","",計分!AK371^2)</f>
        <v/>
      </c>
      <c r="AL371">
        <f>IF(計分!AL371="","",計分!AL371^2)</f>
        <v/>
      </c>
      <c r="AM371">
        <f>IF(計分!AM371="","",計分!AM371^2)</f>
        <v/>
      </c>
      <c r="AN371">
        <f>IF(計分!AN371="","",計分!AN371^2)</f>
        <v/>
      </c>
      <c r="AO371">
        <f>IF(計分!AO371="","",計分!AO371^2)</f>
        <v/>
      </c>
    </row>
    <row r="372">
      <c r="B372">
        <f>IF(計分!B372="","",計分!B372^2)</f>
        <v/>
      </c>
      <c r="C372">
        <f>IF(計分!C372="","",計分!C372^2)</f>
        <v/>
      </c>
      <c r="D372">
        <f>IF(計分!D372="","",計分!D372^2)</f>
        <v/>
      </c>
      <c r="E372">
        <f>IF(計分!E372="","",計分!E372^2)</f>
        <v/>
      </c>
      <c r="F372">
        <f>IF(計分!F372="","",計分!F372^2)</f>
        <v/>
      </c>
      <c r="G372">
        <f>IF(計分!G372="","",計分!G372^2)</f>
        <v/>
      </c>
      <c r="H372">
        <f>IF(計分!H372="","",計分!H372^2)</f>
        <v/>
      </c>
      <c r="I372">
        <f>IF(計分!I372="","",計分!I372^2)</f>
        <v/>
      </c>
      <c r="J372">
        <f>IF(計分!J372="","",計分!J372^2)</f>
        <v/>
      </c>
      <c r="K372">
        <f>IF(計分!K372="","",計分!K372^2)</f>
        <v/>
      </c>
      <c r="L372">
        <f>IF(計分!L372="","",計分!L372^2)</f>
        <v/>
      </c>
      <c r="M372">
        <f>IF(計分!M372="","",計分!M372^2)</f>
        <v/>
      </c>
      <c r="N372">
        <f>IF(計分!N372="","",計分!N372^2)</f>
        <v/>
      </c>
      <c r="O372">
        <f>IF(計分!O372="","",計分!O372^2)</f>
        <v/>
      </c>
      <c r="P372">
        <f>IF(計分!P372="","",計分!P372^2)</f>
        <v/>
      </c>
      <c r="Q372">
        <f>IF(計分!Q372="","",計分!Q372^2)</f>
        <v/>
      </c>
      <c r="R372">
        <f>IF(計分!R372="","",計分!R372^2)</f>
        <v/>
      </c>
      <c r="S372">
        <f>IF(計分!S372="","",計分!S372^2)</f>
        <v/>
      </c>
      <c r="T372">
        <f>IF(計分!T372="","",計分!T372^2)</f>
        <v/>
      </c>
      <c r="U372">
        <f>IF(計分!U372="","",計分!U372^2)</f>
        <v/>
      </c>
      <c r="V372">
        <f>IF(計分!V372="","",計分!V372^2)</f>
        <v/>
      </c>
      <c r="W372">
        <f>IF(計分!W372="","",計分!W372^2)</f>
        <v/>
      </c>
      <c r="X372">
        <f>IF(計分!X372="","",計分!X372^2)</f>
        <v/>
      </c>
      <c r="Y372">
        <f>IF(計分!Y372="","",計分!Y372^2)</f>
        <v/>
      </c>
      <c r="Z372">
        <f>IF(計分!Z372="","",計分!Z372^2)</f>
        <v/>
      </c>
      <c r="AA372">
        <f>IF(計分!AA372="","",計分!AA372^2)</f>
        <v/>
      </c>
      <c r="AB372">
        <f>IF(計分!AB372="","",計分!AB372^2)</f>
        <v/>
      </c>
      <c r="AC372">
        <f>IF(計分!AC372="","",計分!AC372^2)</f>
        <v/>
      </c>
      <c r="AD372">
        <f>IF(計分!AD372="","",計分!AD372^2)</f>
        <v/>
      </c>
      <c r="AE372">
        <f>IF(計分!AE372="","",計分!AE372^2)</f>
        <v/>
      </c>
      <c r="AF372">
        <f>IF(計分!AF372="","",計分!AF372^2)</f>
        <v/>
      </c>
      <c r="AG372">
        <f>IF(計分!AG372="","",計分!AG372^2)</f>
        <v/>
      </c>
      <c r="AH372">
        <f>IF(計分!AH372="","",計分!AH372^2)</f>
        <v/>
      </c>
      <c r="AI372">
        <f>IF(計分!AI372="","",計分!AI372^2)</f>
        <v/>
      </c>
      <c r="AJ372">
        <f>IF(計分!AJ372="","",計分!AJ372^2)</f>
        <v/>
      </c>
      <c r="AK372">
        <f>IF(計分!AK372="","",計分!AK372^2)</f>
        <v/>
      </c>
      <c r="AL372">
        <f>IF(計分!AL372="","",計分!AL372^2)</f>
        <v/>
      </c>
      <c r="AM372">
        <f>IF(計分!AM372="","",計分!AM372^2)</f>
        <v/>
      </c>
      <c r="AN372">
        <f>IF(計分!AN372="","",計分!AN372^2)</f>
        <v/>
      </c>
      <c r="AO372">
        <f>IF(計分!AO372="","",計分!AO372^2)</f>
        <v/>
      </c>
    </row>
    <row r="373">
      <c r="B373">
        <f>IF(計分!B373="","",計分!B373^2)</f>
        <v/>
      </c>
      <c r="C373">
        <f>IF(計分!C373="","",計分!C373^2)</f>
        <v/>
      </c>
      <c r="D373">
        <f>IF(計分!D373="","",計分!D373^2)</f>
        <v/>
      </c>
      <c r="E373">
        <f>IF(計分!E373="","",計分!E373^2)</f>
        <v/>
      </c>
      <c r="F373">
        <f>IF(計分!F373="","",計分!F373^2)</f>
        <v/>
      </c>
      <c r="G373">
        <f>IF(計分!G373="","",計分!G373^2)</f>
        <v/>
      </c>
      <c r="H373">
        <f>IF(計分!H373="","",計分!H373^2)</f>
        <v/>
      </c>
      <c r="I373">
        <f>IF(計分!I373="","",計分!I373^2)</f>
        <v/>
      </c>
      <c r="J373">
        <f>IF(計分!J373="","",計分!J373^2)</f>
        <v/>
      </c>
      <c r="K373">
        <f>IF(計分!K373="","",計分!K373^2)</f>
        <v/>
      </c>
      <c r="L373">
        <f>IF(計分!L373="","",計分!L373^2)</f>
        <v/>
      </c>
      <c r="M373">
        <f>IF(計分!M373="","",計分!M373^2)</f>
        <v/>
      </c>
      <c r="N373">
        <f>IF(計分!N373="","",計分!N373^2)</f>
        <v/>
      </c>
      <c r="O373">
        <f>IF(計分!O373="","",計分!O373^2)</f>
        <v/>
      </c>
      <c r="P373">
        <f>IF(計分!P373="","",計分!P373^2)</f>
        <v/>
      </c>
      <c r="Q373">
        <f>IF(計分!Q373="","",計分!Q373^2)</f>
        <v/>
      </c>
      <c r="R373">
        <f>IF(計分!R373="","",計分!R373^2)</f>
        <v/>
      </c>
      <c r="S373">
        <f>IF(計分!S373="","",計分!S373^2)</f>
        <v/>
      </c>
      <c r="T373">
        <f>IF(計分!T373="","",計分!T373^2)</f>
        <v/>
      </c>
      <c r="U373">
        <f>IF(計分!U373="","",計分!U373^2)</f>
        <v/>
      </c>
      <c r="V373">
        <f>IF(計分!V373="","",計分!V373^2)</f>
        <v/>
      </c>
      <c r="W373">
        <f>IF(計分!W373="","",計分!W373^2)</f>
        <v/>
      </c>
      <c r="X373">
        <f>IF(計分!X373="","",計分!X373^2)</f>
        <v/>
      </c>
      <c r="Y373">
        <f>IF(計分!Y373="","",計分!Y373^2)</f>
        <v/>
      </c>
      <c r="Z373">
        <f>IF(計分!Z373="","",計分!Z373^2)</f>
        <v/>
      </c>
      <c r="AA373">
        <f>IF(計分!AA373="","",計分!AA373^2)</f>
        <v/>
      </c>
      <c r="AB373">
        <f>IF(計分!AB373="","",計分!AB373^2)</f>
        <v/>
      </c>
      <c r="AC373">
        <f>IF(計分!AC373="","",計分!AC373^2)</f>
        <v/>
      </c>
      <c r="AD373">
        <f>IF(計分!AD373="","",計分!AD373^2)</f>
        <v/>
      </c>
      <c r="AE373">
        <f>IF(計分!AE373="","",計分!AE373^2)</f>
        <v/>
      </c>
      <c r="AF373">
        <f>IF(計分!AF373="","",計分!AF373^2)</f>
        <v/>
      </c>
      <c r="AG373">
        <f>IF(計分!AG373="","",計分!AG373^2)</f>
        <v/>
      </c>
      <c r="AH373">
        <f>IF(計分!AH373="","",計分!AH373^2)</f>
        <v/>
      </c>
      <c r="AI373">
        <f>IF(計分!AI373="","",計分!AI373^2)</f>
        <v/>
      </c>
      <c r="AJ373">
        <f>IF(計分!AJ373="","",計分!AJ373^2)</f>
        <v/>
      </c>
      <c r="AK373">
        <f>IF(計分!AK373="","",計分!AK373^2)</f>
        <v/>
      </c>
      <c r="AL373">
        <f>IF(計分!AL373="","",計分!AL373^2)</f>
        <v/>
      </c>
      <c r="AM373">
        <f>IF(計分!AM373="","",計分!AM373^2)</f>
        <v/>
      </c>
      <c r="AN373">
        <f>IF(計分!AN373="","",計分!AN373^2)</f>
        <v/>
      </c>
      <c r="AO373">
        <f>IF(計分!AO373="","",計分!AO373^2)</f>
        <v/>
      </c>
    </row>
    <row r="374">
      <c r="B374">
        <f>IF(計分!B374="","",計分!B374^2)</f>
        <v/>
      </c>
      <c r="C374">
        <f>IF(計分!C374="","",計分!C374^2)</f>
        <v/>
      </c>
      <c r="D374">
        <f>IF(計分!D374="","",計分!D374^2)</f>
        <v/>
      </c>
      <c r="E374">
        <f>IF(計分!E374="","",計分!E374^2)</f>
        <v/>
      </c>
      <c r="F374">
        <f>IF(計分!F374="","",計分!F374^2)</f>
        <v/>
      </c>
      <c r="G374">
        <f>IF(計分!G374="","",計分!G374^2)</f>
        <v/>
      </c>
      <c r="H374">
        <f>IF(計分!H374="","",計分!H374^2)</f>
        <v/>
      </c>
      <c r="I374">
        <f>IF(計分!I374="","",計分!I374^2)</f>
        <v/>
      </c>
      <c r="J374">
        <f>IF(計分!J374="","",計分!J374^2)</f>
        <v/>
      </c>
      <c r="K374">
        <f>IF(計分!K374="","",計分!K374^2)</f>
        <v/>
      </c>
      <c r="L374">
        <f>IF(計分!L374="","",計分!L374^2)</f>
        <v/>
      </c>
      <c r="M374">
        <f>IF(計分!M374="","",計分!M374^2)</f>
        <v/>
      </c>
      <c r="N374">
        <f>IF(計分!N374="","",計分!N374^2)</f>
        <v/>
      </c>
      <c r="O374">
        <f>IF(計分!O374="","",計分!O374^2)</f>
        <v/>
      </c>
      <c r="P374">
        <f>IF(計分!P374="","",計分!P374^2)</f>
        <v/>
      </c>
      <c r="Q374">
        <f>IF(計分!Q374="","",計分!Q374^2)</f>
        <v/>
      </c>
      <c r="R374">
        <f>IF(計分!R374="","",計分!R374^2)</f>
        <v/>
      </c>
      <c r="S374">
        <f>IF(計分!S374="","",計分!S374^2)</f>
        <v/>
      </c>
      <c r="T374">
        <f>IF(計分!T374="","",計分!T374^2)</f>
        <v/>
      </c>
      <c r="U374">
        <f>IF(計分!U374="","",計分!U374^2)</f>
        <v/>
      </c>
      <c r="V374">
        <f>IF(計分!V374="","",計分!V374^2)</f>
        <v/>
      </c>
      <c r="W374">
        <f>IF(計分!W374="","",計分!W374^2)</f>
        <v/>
      </c>
      <c r="X374">
        <f>IF(計分!X374="","",計分!X374^2)</f>
        <v/>
      </c>
      <c r="Y374">
        <f>IF(計分!Y374="","",計分!Y374^2)</f>
        <v/>
      </c>
      <c r="Z374">
        <f>IF(計分!Z374="","",計分!Z374^2)</f>
        <v/>
      </c>
      <c r="AA374">
        <f>IF(計分!AA374="","",計分!AA374^2)</f>
        <v/>
      </c>
      <c r="AB374">
        <f>IF(計分!AB374="","",計分!AB374^2)</f>
        <v/>
      </c>
      <c r="AC374">
        <f>IF(計分!AC374="","",計分!AC374^2)</f>
        <v/>
      </c>
      <c r="AD374">
        <f>IF(計分!AD374="","",計分!AD374^2)</f>
        <v/>
      </c>
      <c r="AE374">
        <f>IF(計分!AE374="","",計分!AE374^2)</f>
        <v/>
      </c>
      <c r="AF374">
        <f>IF(計分!AF374="","",計分!AF374^2)</f>
        <v/>
      </c>
      <c r="AG374">
        <f>IF(計分!AG374="","",計分!AG374^2)</f>
        <v/>
      </c>
      <c r="AH374">
        <f>IF(計分!AH374="","",計分!AH374^2)</f>
        <v/>
      </c>
      <c r="AI374">
        <f>IF(計分!AI374="","",計分!AI374^2)</f>
        <v/>
      </c>
      <c r="AJ374">
        <f>IF(計分!AJ374="","",計分!AJ374^2)</f>
        <v/>
      </c>
      <c r="AK374">
        <f>IF(計分!AK374="","",計分!AK374^2)</f>
        <v/>
      </c>
      <c r="AL374">
        <f>IF(計分!AL374="","",計分!AL374^2)</f>
        <v/>
      </c>
      <c r="AM374">
        <f>IF(計分!AM374="","",計分!AM374^2)</f>
        <v/>
      </c>
      <c r="AN374">
        <f>IF(計分!AN374="","",計分!AN374^2)</f>
        <v/>
      </c>
      <c r="AO374">
        <f>IF(計分!AO374="","",計分!AO374^2)</f>
        <v/>
      </c>
    </row>
    <row r="375">
      <c r="B375">
        <f>IF(計分!B375="","",計分!B375^2)</f>
        <v/>
      </c>
      <c r="C375">
        <f>IF(計分!C375="","",計分!C375^2)</f>
        <v/>
      </c>
      <c r="D375">
        <f>IF(計分!D375="","",計分!D375^2)</f>
        <v/>
      </c>
      <c r="E375">
        <f>IF(計分!E375="","",計分!E375^2)</f>
        <v/>
      </c>
      <c r="F375">
        <f>IF(計分!F375="","",計分!F375^2)</f>
        <v/>
      </c>
      <c r="G375">
        <f>IF(計分!G375="","",計分!G375^2)</f>
        <v/>
      </c>
      <c r="H375">
        <f>IF(計分!H375="","",計分!H375^2)</f>
        <v/>
      </c>
      <c r="I375">
        <f>IF(計分!I375="","",計分!I375^2)</f>
        <v/>
      </c>
      <c r="J375">
        <f>IF(計分!J375="","",計分!J375^2)</f>
        <v/>
      </c>
      <c r="K375">
        <f>IF(計分!K375="","",計分!K375^2)</f>
        <v/>
      </c>
      <c r="L375">
        <f>IF(計分!L375="","",計分!L375^2)</f>
        <v/>
      </c>
      <c r="M375">
        <f>IF(計分!M375="","",計分!M375^2)</f>
        <v/>
      </c>
      <c r="N375">
        <f>IF(計分!N375="","",計分!N375^2)</f>
        <v/>
      </c>
      <c r="O375">
        <f>IF(計分!O375="","",計分!O375^2)</f>
        <v/>
      </c>
      <c r="P375">
        <f>IF(計分!P375="","",計分!P375^2)</f>
        <v/>
      </c>
      <c r="Q375">
        <f>IF(計分!Q375="","",計分!Q375^2)</f>
        <v/>
      </c>
      <c r="R375">
        <f>IF(計分!R375="","",計分!R375^2)</f>
        <v/>
      </c>
      <c r="S375">
        <f>IF(計分!S375="","",計分!S375^2)</f>
        <v/>
      </c>
      <c r="T375">
        <f>IF(計分!T375="","",計分!T375^2)</f>
        <v/>
      </c>
      <c r="U375">
        <f>IF(計分!U375="","",計分!U375^2)</f>
        <v/>
      </c>
      <c r="V375">
        <f>IF(計分!V375="","",計分!V375^2)</f>
        <v/>
      </c>
      <c r="W375">
        <f>IF(計分!W375="","",計分!W375^2)</f>
        <v/>
      </c>
      <c r="X375">
        <f>IF(計分!X375="","",計分!X375^2)</f>
        <v/>
      </c>
      <c r="Y375">
        <f>IF(計分!Y375="","",計分!Y375^2)</f>
        <v/>
      </c>
      <c r="Z375">
        <f>IF(計分!Z375="","",計分!Z375^2)</f>
        <v/>
      </c>
      <c r="AA375">
        <f>IF(計分!AA375="","",計分!AA375^2)</f>
        <v/>
      </c>
      <c r="AB375">
        <f>IF(計分!AB375="","",計分!AB375^2)</f>
        <v/>
      </c>
      <c r="AC375">
        <f>IF(計分!AC375="","",計分!AC375^2)</f>
        <v/>
      </c>
      <c r="AD375">
        <f>IF(計分!AD375="","",計分!AD375^2)</f>
        <v/>
      </c>
      <c r="AE375">
        <f>IF(計分!AE375="","",計分!AE375^2)</f>
        <v/>
      </c>
      <c r="AF375">
        <f>IF(計分!AF375="","",計分!AF375^2)</f>
        <v/>
      </c>
      <c r="AG375">
        <f>IF(計分!AG375="","",計分!AG375^2)</f>
        <v/>
      </c>
      <c r="AH375">
        <f>IF(計分!AH375="","",計分!AH375^2)</f>
        <v/>
      </c>
      <c r="AI375">
        <f>IF(計分!AI375="","",計分!AI375^2)</f>
        <v/>
      </c>
      <c r="AJ375">
        <f>IF(計分!AJ375="","",計分!AJ375^2)</f>
        <v/>
      </c>
      <c r="AK375">
        <f>IF(計分!AK375="","",計分!AK375^2)</f>
        <v/>
      </c>
      <c r="AL375">
        <f>IF(計分!AL375="","",計分!AL375^2)</f>
        <v/>
      </c>
      <c r="AM375">
        <f>IF(計分!AM375="","",計分!AM375^2)</f>
        <v/>
      </c>
      <c r="AN375">
        <f>IF(計分!AN375="","",計分!AN375^2)</f>
        <v/>
      </c>
      <c r="AO375">
        <f>IF(計分!AO375="","",計分!AO375^2)</f>
        <v/>
      </c>
    </row>
    <row r="376">
      <c r="B376">
        <f>IF(計分!B376="","",計分!B376^2)</f>
        <v/>
      </c>
      <c r="C376">
        <f>IF(計分!C376="","",計分!C376^2)</f>
        <v/>
      </c>
      <c r="D376">
        <f>IF(計分!D376="","",計分!D376^2)</f>
        <v/>
      </c>
      <c r="E376">
        <f>IF(計分!E376="","",計分!E376^2)</f>
        <v/>
      </c>
      <c r="F376">
        <f>IF(計分!F376="","",計分!F376^2)</f>
        <v/>
      </c>
      <c r="G376">
        <f>IF(計分!G376="","",計分!G376^2)</f>
        <v/>
      </c>
      <c r="H376">
        <f>IF(計分!H376="","",計分!H376^2)</f>
        <v/>
      </c>
      <c r="I376">
        <f>IF(計分!I376="","",計分!I376^2)</f>
        <v/>
      </c>
      <c r="J376">
        <f>IF(計分!J376="","",計分!J376^2)</f>
        <v/>
      </c>
      <c r="K376">
        <f>IF(計分!K376="","",計分!K376^2)</f>
        <v/>
      </c>
      <c r="L376">
        <f>IF(計分!L376="","",計分!L376^2)</f>
        <v/>
      </c>
      <c r="M376">
        <f>IF(計分!M376="","",計分!M376^2)</f>
        <v/>
      </c>
      <c r="N376">
        <f>IF(計分!N376="","",計分!N376^2)</f>
        <v/>
      </c>
      <c r="O376">
        <f>IF(計分!O376="","",計分!O376^2)</f>
        <v/>
      </c>
      <c r="P376">
        <f>IF(計分!P376="","",計分!P376^2)</f>
        <v/>
      </c>
      <c r="Q376">
        <f>IF(計分!Q376="","",計分!Q376^2)</f>
        <v/>
      </c>
      <c r="R376">
        <f>IF(計分!R376="","",計分!R376^2)</f>
        <v/>
      </c>
      <c r="S376">
        <f>IF(計分!S376="","",計分!S376^2)</f>
        <v/>
      </c>
      <c r="T376">
        <f>IF(計分!T376="","",計分!T376^2)</f>
        <v/>
      </c>
      <c r="U376">
        <f>IF(計分!U376="","",計分!U376^2)</f>
        <v/>
      </c>
      <c r="V376">
        <f>IF(計分!V376="","",計分!V376^2)</f>
        <v/>
      </c>
      <c r="W376">
        <f>IF(計分!W376="","",計分!W376^2)</f>
        <v/>
      </c>
      <c r="X376">
        <f>IF(計分!X376="","",計分!X376^2)</f>
        <v/>
      </c>
      <c r="Y376">
        <f>IF(計分!Y376="","",計分!Y376^2)</f>
        <v/>
      </c>
      <c r="Z376">
        <f>IF(計分!Z376="","",計分!Z376^2)</f>
        <v/>
      </c>
      <c r="AA376">
        <f>IF(計分!AA376="","",計分!AA376^2)</f>
        <v/>
      </c>
      <c r="AB376">
        <f>IF(計分!AB376="","",計分!AB376^2)</f>
        <v/>
      </c>
      <c r="AC376">
        <f>IF(計分!AC376="","",計分!AC376^2)</f>
        <v/>
      </c>
      <c r="AD376">
        <f>IF(計分!AD376="","",計分!AD376^2)</f>
        <v/>
      </c>
      <c r="AE376">
        <f>IF(計分!AE376="","",計分!AE376^2)</f>
        <v/>
      </c>
      <c r="AF376">
        <f>IF(計分!AF376="","",計分!AF376^2)</f>
        <v/>
      </c>
      <c r="AG376">
        <f>IF(計分!AG376="","",計分!AG376^2)</f>
        <v/>
      </c>
      <c r="AH376">
        <f>IF(計分!AH376="","",計分!AH376^2)</f>
        <v/>
      </c>
      <c r="AI376">
        <f>IF(計分!AI376="","",計分!AI376^2)</f>
        <v/>
      </c>
      <c r="AJ376">
        <f>IF(計分!AJ376="","",計分!AJ376^2)</f>
        <v/>
      </c>
      <c r="AK376">
        <f>IF(計分!AK376="","",計分!AK376^2)</f>
        <v/>
      </c>
      <c r="AL376">
        <f>IF(計分!AL376="","",計分!AL376^2)</f>
        <v/>
      </c>
      <c r="AM376">
        <f>IF(計分!AM376="","",計分!AM376^2)</f>
        <v/>
      </c>
      <c r="AN376">
        <f>IF(計分!AN376="","",計分!AN376^2)</f>
        <v/>
      </c>
      <c r="AO376">
        <f>IF(計分!AO376="","",計分!AO376^2)</f>
        <v/>
      </c>
    </row>
    <row r="377">
      <c r="B377">
        <f>IF(計分!B377="","",計分!B377^2)</f>
        <v/>
      </c>
      <c r="C377">
        <f>IF(計分!C377="","",計分!C377^2)</f>
        <v/>
      </c>
      <c r="D377">
        <f>IF(計分!D377="","",計分!D377^2)</f>
        <v/>
      </c>
      <c r="E377">
        <f>IF(計分!E377="","",計分!E377^2)</f>
        <v/>
      </c>
      <c r="F377">
        <f>IF(計分!F377="","",計分!F377^2)</f>
        <v/>
      </c>
      <c r="G377">
        <f>IF(計分!G377="","",計分!G377^2)</f>
        <v/>
      </c>
      <c r="H377">
        <f>IF(計分!H377="","",計分!H377^2)</f>
        <v/>
      </c>
      <c r="I377">
        <f>IF(計分!I377="","",計分!I377^2)</f>
        <v/>
      </c>
      <c r="J377">
        <f>IF(計分!J377="","",計分!J377^2)</f>
        <v/>
      </c>
      <c r="K377">
        <f>IF(計分!K377="","",計分!K377^2)</f>
        <v/>
      </c>
      <c r="L377">
        <f>IF(計分!L377="","",計分!L377^2)</f>
        <v/>
      </c>
      <c r="M377">
        <f>IF(計分!M377="","",計分!M377^2)</f>
        <v/>
      </c>
      <c r="N377">
        <f>IF(計分!N377="","",計分!N377^2)</f>
        <v/>
      </c>
      <c r="O377">
        <f>IF(計分!O377="","",計分!O377^2)</f>
        <v/>
      </c>
      <c r="P377">
        <f>IF(計分!P377="","",計分!P377^2)</f>
        <v/>
      </c>
      <c r="Q377">
        <f>IF(計分!Q377="","",計分!Q377^2)</f>
        <v/>
      </c>
      <c r="R377">
        <f>IF(計分!R377="","",計分!R377^2)</f>
        <v/>
      </c>
      <c r="S377">
        <f>IF(計分!S377="","",計分!S377^2)</f>
        <v/>
      </c>
      <c r="T377">
        <f>IF(計分!T377="","",計分!T377^2)</f>
        <v/>
      </c>
      <c r="U377">
        <f>IF(計分!U377="","",計分!U377^2)</f>
        <v/>
      </c>
      <c r="V377">
        <f>IF(計分!V377="","",計分!V377^2)</f>
        <v/>
      </c>
      <c r="W377">
        <f>IF(計分!W377="","",計分!W377^2)</f>
        <v/>
      </c>
      <c r="X377">
        <f>IF(計分!X377="","",計分!X377^2)</f>
        <v/>
      </c>
      <c r="Y377">
        <f>IF(計分!Y377="","",計分!Y377^2)</f>
        <v/>
      </c>
      <c r="Z377">
        <f>IF(計分!Z377="","",計分!Z377^2)</f>
        <v/>
      </c>
      <c r="AA377">
        <f>IF(計分!AA377="","",計分!AA377^2)</f>
        <v/>
      </c>
      <c r="AB377">
        <f>IF(計分!AB377="","",計分!AB377^2)</f>
        <v/>
      </c>
      <c r="AC377">
        <f>IF(計分!AC377="","",計分!AC377^2)</f>
        <v/>
      </c>
      <c r="AD377">
        <f>IF(計分!AD377="","",計分!AD377^2)</f>
        <v/>
      </c>
      <c r="AE377">
        <f>IF(計分!AE377="","",計分!AE377^2)</f>
        <v/>
      </c>
      <c r="AF377">
        <f>IF(計分!AF377="","",計分!AF377^2)</f>
        <v/>
      </c>
      <c r="AG377">
        <f>IF(計分!AG377="","",計分!AG377^2)</f>
        <v/>
      </c>
      <c r="AH377">
        <f>IF(計分!AH377="","",計分!AH377^2)</f>
        <v/>
      </c>
      <c r="AI377">
        <f>IF(計分!AI377="","",計分!AI377^2)</f>
        <v/>
      </c>
      <c r="AJ377">
        <f>IF(計分!AJ377="","",計分!AJ377^2)</f>
        <v/>
      </c>
      <c r="AK377">
        <f>IF(計分!AK377="","",計分!AK377^2)</f>
        <v/>
      </c>
      <c r="AL377">
        <f>IF(計分!AL377="","",計分!AL377^2)</f>
        <v/>
      </c>
      <c r="AM377">
        <f>IF(計分!AM377="","",計分!AM377^2)</f>
        <v/>
      </c>
      <c r="AN377">
        <f>IF(計分!AN377="","",計分!AN377^2)</f>
        <v/>
      </c>
      <c r="AO377">
        <f>IF(計分!AO377="","",計分!AO377^2)</f>
        <v/>
      </c>
    </row>
    <row r="378">
      <c r="B378">
        <f>IF(計分!B378="","",計分!B378^2)</f>
        <v/>
      </c>
      <c r="C378">
        <f>IF(計分!C378="","",計分!C378^2)</f>
        <v/>
      </c>
      <c r="D378">
        <f>IF(計分!D378="","",計分!D378^2)</f>
        <v/>
      </c>
      <c r="E378">
        <f>IF(計分!E378="","",計分!E378^2)</f>
        <v/>
      </c>
      <c r="F378">
        <f>IF(計分!F378="","",計分!F378^2)</f>
        <v/>
      </c>
      <c r="G378">
        <f>IF(計分!G378="","",計分!G378^2)</f>
        <v/>
      </c>
      <c r="H378">
        <f>IF(計分!H378="","",計分!H378^2)</f>
        <v/>
      </c>
      <c r="I378">
        <f>IF(計分!I378="","",計分!I378^2)</f>
        <v/>
      </c>
      <c r="J378">
        <f>IF(計分!J378="","",計分!J378^2)</f>
        <v/>
      </c>
      <c r="K378">
        <f>IF(計分!K378="","",計分!K378^2)</f>
        <v/>
      </c>
      <c r="L378">
        <f>IF(計分!L378="","",計分!L378^2)</f>
        <v/>
      </c>
      <c r="M378">
        <f>IF(計分!M378="","",計分!M378^2)</f>
        <v/>
      </c>
      <c r="N378">
        <f>IF(計分!N378="","",計分!N378^2)</f>
        <v/>
      </c>
      <c r="O378">
        <f>IF(計分!O378="","",計分!O378^2)</f>
        <v/>
      </c>
      <c r="P378">
        <f>IF(計分!P378="","",計分!P378^2)</f>
        <v/>
      </c>
      <c r="Q378">
        <f>IF(計分!Q378="","",計分!Q378^2)</f>
        <v/>
      </c>
      <c r="R378">
        <f>IF(計分!R378="","",計分!R378^2)</f>
        <v/>
      </c>
      <c r="S378">
        <f>IF(計分!S378="","",計分!S378^2)</f>
        <v/>
      </c>
      <c r="T378">
        <f>IF(計分!T378="","",計分!T378^2)</f>
        <v/>
      </c>
      <c r="U378">
        <f>IF(計分!U378="","",計分!U378^2)</f>
        <v/>
      </c>
      <c r="V378">
        <f>IF(計分!V378="","",計分!V378^2)</f>
        <v/>
      </c>
      <c r="W378">
        <f>IF(計分!W378="","",計分!W378^2)</f>
        <v/>
      </c>
      <c r="X378">
        <f>IF(計分!X378="","",計分!X378^2)</f>
        <v/>
      </c>
      <c r="Y378">
        <f>IF(計分!Y378="","",計分!Y378^2)</f>
        <v/>
      </c>
      <c r="Z378">
        <f>IF(計分!Z378="","",計分!Z378^2)</f>
        <v/>
      </c>
      <c r="AA378">
        <f>IF(計分!AA378="","",計分!AA378^2)</f>
        <v/>
      </c>
      <c r="AB378">
        <f>IF(計分!AB378="","",計分!AB378^2)</f>
        <v/>
      </c>
      <c r="AC378">
        <f>IF(計分!AC378="","",計分!AC378^2)</f>
        <v/>
      </c>
      <c r="AD378">
        <f>IF(計分!AD378="","",計分!AD378^2)</f>
        <v/>
      </c>
      <c r="AE378">
        <f>IF(計分!AE378="","",計分!AE378^2)</f>
        <v/>
      </c>
      <c r="AF378">
        <f>IF(計分!AF378="","",計分!AF378^2)</f>
        <v/>
      </c>
      <c r="AG378">
        <f>IF(計分!AG378="","",計分!AG378^2)</f>
        <v/>
      </c>
      <c r="AH378">
        <f>IF(計分!AH378="","",計分!AH378^2)</f>
        <v/>
      </c>
      <c r="AI378">
        <f>IF(計分!AI378="","",計分!AI378^2)</f>
        <v/>
      </c>
      <c r="AJ378">
        <f>IF(計分!AJ378="","",計分!AJ378^2)</f>
        <v/>
      </c>
      <c r="AK378">
        <f>IF(計分!AK378="","",計分!AK378^2)</f>
        <v/>
      </c>
      <c r="AL378">
        <f>IF(計分!AL378="","",計分!AL378^2)</f>
        <v/>
      </c>
      <c r="AM378">
        <f>IF(計分!AM378="","",計分!AM378^2)</f>
        <v/>
      </c>
      <c r="AN378">
        <f>IF(計分!AN378="","",計分!AN378^2)</f>
        <v/>
      </c>
      <c r="AO378">
        <f>IF(計分!AO378="","",計分!AO378^2)</f>
        <v/>
      </c>
    </row>
    <row r="379">
      <c r="B379">
        <f>IF(計分!B379="","",計分!B379^2)</f>
        <v/>
      </c>
      <c r="C379">
        <f>IF(計分!C379="","",計分!C379^2)</f>
        <v/>
      </c>
      <c r="D379">
        <f>IF(計分!D379="","",計分!D379^2)</f>
        <v/>
      </c>
      <c r="E379">
        <f>IF(計分!E379="","",計分!E379^2)</f>
        <v/>
      </c>
      <c r="F379">
        <f>IF(計分!F379="","",計分!F379^2)</f>
        <v/>
      </c>
      <c r="G379">
        <f>IF(計分!G379="","",計分!G379^2)</f>
        <v/>
      </c>
      <c r="H379">
        <f>IF(計分!H379="","",計分!H379^2)</f>
        <v/>
      </c>
      <c r="I379">
        <f>IF(計分!I379="","",計分!I379^2)</f>
        <v/>
      </c>
      <c r="J379">
        <f>IF(計分!J379="","",計分!J379^2)</f>
        <v/>
      </c>
      <c r="K379">
        <f>IF(計分!K379="","",計分!K379^2)</f>
        <v/>
      </c>
      <c r="L379">
        <f>IF(計分!L379="","",計分!L379^2)</f>
        <v/>
      </c>
      <c r="M379">
        <f>IF(計分!M379="","",計分!M379^2)</f>
        <v/>
      </c>
      <c r="N379">
        <f>IF(計分!N379="","",計分!N379^2)</f>
        <v/>
      </c>
      <c r="O379">
        <f>IF(計分!O379="","",計分!O379^2)</f>
        <v/>
      </c>
      <c r="P379">
        <f>IF(計分!P379="","",計分!P379^2)</f>
        <v/>
      </c>
      <c r="Q379">
        <f>IF(計分!Q379="","",計分!Q379^2)</f>
        <v/>
      </c>
      <c r="R379">
        <f>IF(計分!R379="","",計分!R379^2)</f>
        <v/>
      </c>
      <c r="S379">
        <f>IF(計分!S379="","",計分!S379^2)</f>
        <v/>
      </c>
      <c r="T379">
        <f>IF(計分!T379="","",計分!T379^2)</f>
        <v/>
      </c>
      <c r="U379">
        <f>IF(計分!U379="","",計分!U379^2)</f>
        <v/>
      </c>
      <c r="V379">
        <f>IF(計分!V379="","",計分!V379^2)</f>
        <v/>
      </c>
      <c r="W379">
        <f>IF(計分!W379="","",計分!W379^2)</f>
        <v/>
      </c>
      <c r="X379">
        <f>IF(計分!X379="","",計分!X379^2)</f>
        <v/>
      </c>
      <c r="Y379">
        <f>IF(計分!Y379="","",計分!Y379^2)</f>
        <v/>
      </c>
      <c r="Z379">
        <f>IF(計分!Z379="","",計分!Z379^2)</f>
        <v/>
      </c>
      <c r="AA379">
        <f>IF(計分!AA379="","",計分!AA379^2)</f>
        <v/>
      </c>
      <c r="AB379">
        <f>IF(計分!AB379="","",計分!AB379^2)</f>
        <v/>
      </c>
      <c r="AC379">
        <f>IF(計分!AC379="","",計分!AC379^2)</f>
        <v/>
      </c>
      <c r="AD379">
        <f>IF(計分!AD379="","",計分!AD379^2)</f>
        <v/>
      </c>
      <c r="AE379">
        <f>IF(計分!AE379="","",計分!AE379^2)</f>
        <v/>
      </c>
      <c r="AF379">
        <f>IF(計分!AF379="","",計分!AF379^2)</f>
        <v/>
      </c>
      <c r="AG379">
        <f>IF(計分!AG379="","",計分!AG379^2)</f>
        <v/>
      </c>
      <c r="AH379">
        <f>IF(計分!AH379="","",計分!AH379^2)</f>
        <v/>
      </c>
      <c r="AI379">
        <f>IF(計分!AI379="","",計分!AI379^2)</f>
        <v/>
      </c>
      <c r="AJ379">
        <f>IF(計分!AJ379="","",計分!AJ379^2)</f>
        <v/>
      </c>
      <c r="AK379">
        <f>IF(計分!AK379="","",計分!AK379^2)</f>
        <v/>
      </c>
      <c r="AL379">
        <f>IF(計分!AL379="","",計分!AL379^2)</f>
        <v/>
      </c>
      <c r="AM379">
        <f>IF(計分!AM379="","",計分!AM379^2)</f>
        <v/>
      </c>
      <c r="AN379">
        <f>IF(計分!AN379="","",計分!AN379^2)</f>
        <v/>
      </c>
      <c r="AO379">
        <f>IF(計分!AO379="","",計分!AO379^2)</f>
        <v/>
      </c>
    </row>
    <row r="380">
      <c r="B380">
        <f>IF(計分!B380="","",計分!B380^2)</f>
        <v/>
      </c>
      <c r="C380">
        <f>IF(計分!C380="","",計分!C380^2)</f>
        <v/>
      </c>
      <c r="D380">
        <f>IF(計分!D380="","",計分!D380^2)</f>
        <v/>
      </c>
      <c r="E380">
        <f>IF(計分!E380="","",計分!E380^2)</f>
        <v/>
      </c>
      <c r="F380">
        <f>IF(計分!F380="","",計分!F380^2)</f>
        <v/>
      </c>
      <c r="G380">
        <f>IF(計分!G380="","",計分!G380^2)</f>
        <v/>
      </c>
      <c r="H380">
        <f>IF(計分!H380="","",計分!H380^2)</f>
        <v/>
      </c>
      <c r="I380">
        <f>IF(計分!I380="","",計分!I380^2)</f>
        <v/>
      </c>
      <c r="J380">
        <f>IF(計分!J380="","",計分!J380^2)</f>
        <v/>
      </c>
      <c r="K380">
        <f>IF(計分!K380="","",計分!K380^2)</f>
        <v/>
      </c>
      <c r="L380">
        <f>IF(計分!L380="","",計分!L380^2)</f>
        <v/>
      </c>
      <c r="M380">
        <f>IF(計分!M380="","",計分!M380^2)</f>
        <v/>
      </c>
      <c r="N380">
        <f>IF(計分!N380="","",計分!N380^2)</f>
        <v/>
      </c>
      <c r="O380">
        <f>IF(計分!O380="","",計分!O380^2)</f>
        <v/>
      </c>
      <c r="P380">
        <f>IF(計分!P380="","",計分!P380^2)</f>
        <v/>
      </c>
      <c r="Q380">
        <f>IF(計分!Q380="","",計分!Q380^2)</f>
        <v/>
      </c>
      <c r="R380">
        <f>IF(計分!R380="","",計分!R380^2)</f>
        <v/>
      </c>
      <c r="S380">
        <f>IF(計分!S380="","",計分!S380^2)</f>
        <v/>
      </c>
      <c r="T380">
        <f>IF(計分!T380="","",計分!T380^2)</f>
        <v/>
      </c>
      <c r="U380">
        <f>IF(計分!U380="","",計分!U380^2)</f>
        <v/>
      </c>
      <c r="V380">
        <f>IF(計分!V380="","",計分!V380^2)</f>
        <v/>
      </c>
      <c r="W380">
        <f>IF(計分!W380="","",計分!W380^2)</f>
        <v/>
      </c>
      <c r="X380">
        <f>IF(計分!X380="","",計分!X380^2)</f>
        <v/>
      </c>
      <c r="Y380">
        <f>IF(計分!Y380="","",計分!Y380^2)</f>
        <v/>
      </c>
      <c r="Z380">
        <f>IF(計分!Z380="","",計分!Z380^2)</f>
        <v/>
      </c>
      <c r="AA380">
        <f>IF(計分!AA380="","",計分!AA380^2)</f>
        <v/>
      </c>
      <c r="AB380">
        <f>IF(計分!AB380="","",計分!AB380^2)</f>
        <v/>
      </c>
      <c r="AC380">
        <f>IF(計分!AC380="","",計分!AC380^2)</f>
        <v/>
      </c>
      <c r="AD380">
        <f>IF(計分!AD380="","",計分!AD380^2)</f>
        <v/>
      </c>
      <c r="AE380">
        <f>IF(計分!AE380="","",計分!AE380^2)</f>
        <v/>
      </c>
      <c r="AF380">
        <f>IF(計分!AF380="","",計分!AF380^2)</f>
        <v/>
      </c>
      <c r="AG380">
        <f>IF(計分!AG380="","",計分!AG380^2)</f>
        <v/>
      </c>
      <c r="AH380">
        <f>IF(計分!AH380="","",計分!AH380^2)</f>
        <v/>
      </c>
      <c r="AI380">
        <f>IF(計分!AI380="","",計分!AI380^2)</f>
        <v/>
      </c>
      <c r="AJ380">
        <f>IF(計分!AJ380="","",計分!AJ380^2)</f>
        <v/>
      </c>
      <c r="AK380">
        <f>IF(計分!AK380="","",計分!AK380^2)</f>
        <v/>
      </c>
      <c r="AL380">
        <f>IF(計分!AL380="","",計分!AL380^2)</f>
        <v/>
      </c>
      <c r="AM380">
        <f>IF(計分!AM380="","",計分!AM380^2)</f>
        <v/>
      </c>
      <c r="AN380">
        <f>IF(計分!AN380="","",計分!AN380^2)</f>
        <v/>
      </c>
      <c r="AO380">
        <f>IF(計分!AO380="","",計分!AO380^2)</f>
        <v/>
      </c>
    </row>
    <row r="381">
      <c r="B381">
        <f>IF(計分!B381="","",計分!B381^2)</f>
        <v/>
      </c>
      <c r="C381">
        <f>IF(計分!C381="","",計分!C381^2)</f>
        <v/>
      </c>
      <c r="D381">
        <f>IF(計分!D381="","",計分!D381^2)</f>
        <v/>
      </c>
      <c r="E381">
        <f>IF(計分!E381="","",計分!E381^2)</f>
        <v/>
      </c>
      <c r="F381">
        <f>IF(計分!F381="","",計分!F381^2)</f>
        <v/>
      </c>
      <c r="G381">
        <f>IF(計分!G381="","",計分!G381^2)</f>
        <v/>
      </c>
      <c r="H381">
        <f>IF(計分!H381="","",計分!H381^2)</f>
        <v/>
      </c>
      <c r="I381">
        <f>IF(計分!I381="","",計分!I381^2)</f>
        <v/>
      </c>
      <c r="J381">
        <f>IF(計分!J381="","",計分!J381^2)</f>
        <v/>
      </c>
      <c r="K381">
        <f>IF(計分!K381="","",計分!K381^2)</f>
        <v/>
      </c>
      <c r="L381">
        <f>IF(計分!L381="","",計分!L381^2)</f>
        <v/>
      </c>
      <c r="M381">
        <f>IF(計分!M381="","",計分!M381^2)</f>
        <v/>
      </c>
      <c r="N381">
        <f>IF(計分!N381="","",計分!N381^2)</f>
        <v/>
      </c>
      <c r="O381">
        <f>IF(計分!O381="","",計分!O381^2)</f>
        <v/>
      </c>
      <c r="P381">
        <f>IF(計分!P381="","",計分!P381^2)</f>
        <v/>
      </c>
      <c r="Q381">
        <f>IF(計分!Q381="","",計分!Q381^2)</f>
        <v/>
      </c>
      <c r="R381">
        <f>IF(計分!R381="","",計分!R381^2)</f>
        <v/>
      </c>
      <c r="S381">
        <f>IF(計分!S381="","",計分!S381^2)</f>
        <v/>
      </c>
      <c r="T381">
        <f>IF(計分!T381="","",計分!T381^2)</f>
        <v/>
      </c>
      <c r="U381">
        <f>IF(計分!U381="","",計分!U381^2)</f>
        <v/>
      </c>
      <c r="V381">
        <f>IF(計分!V381="","",計分!V381^2)</f>
        <v/>
      </c>
      <c r="W381">
        <f>IF(計分!W381="","",計分!W381^2)</f>
        <v/>
      </c>
      <c r="X381">
        <f>IF(計分!X381="","",計分!X381^2)</f>
        <v/>
      </c>
      <c r="Y381">
        <f>IF(計分!Y381="","",計分!Y381^2)</f>
        <v/>
      </c>
      <c r="Z381">
        <f>IF(計分!Z381="","",計分!Z381^2)</f>
        <v/>
      </c>
      <c r="AA381">
        <f>IF(計分!AA381="","",計分!AA381^2)</f>
        <v/>
      </c>
      <c r="AB381">
        <f>IF(計分!AB381="","",計分!AB381^2)</f>
        <v/>
      </c>
      <c r="AC381">
        <f>IF(計分!AC381="","",計分!AC381^2)</f>
        <v/>
      </c>
      <c r="AD381">
        <f>IF(計分!AD381="","",計分!AD381^2)</f>
        <v/>
      </c>
      <c r="AE381">
        <f>IF(計分!AE381="","",計分!AE381^2)</f>
        <v/>
      </c>
      <c r="AF381">
        <f>IF(計分!AF381="","",計分!AF381^2)</f>
        <v/>
      </c>
      <c r="AG381">
        <f>IF(計分!AG381="","",計分!AG381^2)</f>
        <v/>
      </c>
      <c r="AH381">
        <f>IF(計分!AH381="","",計分!AH381^2)</f>
        <v/>
      </c>
      <c r="AI381">
        <f>IF(計分!AI381="","",計分!AI381^2)</f>
        <v/>
      </c>
      <c r="AJ381">
        <f>IF(計分!AJ381="","",計分!AJ381^2)</f>
        <v/>
      </c>
      <c r="AK381">
        <f>IF(計分!AK381="","",計分!AK381^2)</f>
        <v/>
      </c>
      <c r="AL381">
        <f>IF(計分!AL381="","",計分!AL381^2)</f>
        <v/>
      </c>
      <c r="AM381">
        <f>IF(計分!AM381="","",計分!AM381^2)</f>
        <v/>
      </c>
      <c r="AN381">
        <f>IF(計分!AN381="","",計分!AN381^2)</f>
        <v/>
      </c>
      <c r="AO381">
        <f>IF(計分!AO381="","",計分!AO381^2)</f>
        <v/>
      </c>
    </row>
    <row r="382">
      <c r="B382">
        <f>IF(計分!B382="","",計分!B382^2)</f>
        <v/>
      </c>
      <c r="C382">
        <f>IF(計分!C382="","",計分!C382^2)</f>
        <v/>
      </c>
      <c r="D382">
        <f>IF(計分!D382="","",計分!D382^2)</f>
        <v/>
      </c>
      <c r="E382">
        <f>IF(計分!E382="","",計分!E382^2)</f>
        <v/>
      </c>
      <c r="F382">
        <f>IF(計分!F382="","",計分!F382^2)</f>
        <v/>
      </c>
      <c r="G382">
        <f>IF(計分!G382="","",計分!G382^2)</f>
        <v/>
      </c>
      <c r="H382">
        <f>IF(計分!H382="","",計分!H382^2)</f>
        <v/>
      </c>
      <c r="I382">
        <f>IF(計分!I382="","",計分!I382^2)</f>
        <v/>
      </c>
      <c r="J382">
        <f>IF(計分!J382="","",計分!J382^2)</f>
        <v/>
      </c>
      <c r="K382">
        <f>IF(計分!K382="","",計分!K382^2)</f>
        <v/>
      </c>
      <c r="L382">
        <f>IF(計分!L382="","",計分!L382^2)</f>
        <v/>
      </c>
      <c r="M382">
        <f>IF(計分!M382="","",計分!M382^2)</f>
        <v/>
      </c>
      <c r="N382">
        <f>IF(計分!N382="","",計分!N382^2)</f>
        <v/>
      </c>
      <c r="O382">
        <f>IF(計分!O382="","",計分!O382^2)</f>
        <v/>
      </c>
      <c r="P382">
        <f>IF(計分!P382="","",計分!P382^2)</f>
        <v/>
      </c>
      <c r="Q382">
        <f>IF(計分!Q382="","",計分!Q382^2)</f>
        <v/>
      </c>
      <c r="R382">
        <f>IF(計分!R382="","",計分!R382^2)</f>
        <v/>
      </c>
      <c r="S382">
        <f>IF(計分!S382="","",計分!S382^2)</f>
        <v/>
      </c>
      <c r="T382">
        <f>IF(計分!T382="","",計分!T382^2)</f>
        <v/>
      </c>
      <c r="U382">
        <f>IF(計分!U382="","",計分!U382^2)</f>
        <v/>
      </c>
      <c r="V382">
        <f>IF(計分!V382="","",計分!V382^2)</f>
        <v/>
      </c>
      <c r="W382">
        <f>IF(計分!W382="","",計分!W382^2)</f>
        <v/>
      </c>
      <c r="X382">
        <f>IF(計分!X382="","",計分!X382^2)</f>
        <v/>
      </c>
      <c r="Y382">
        <f>IF(計分!Y382="","",計分!Y382^2)</f>
        <v/>
      </c>
      <c r="Z382">
        <f>IF(計分!Z382="","",計分!Z382^2)</f>
        <v/>
      </c>
      <c r="AA382">
        <f>IF(計分!AA382="","",計分!AA382^2)</f>
        <v/>
      </c>
      <c r="AB382">
        <f>IF(計分!AB382="","",計分!AB382^2)</f>
        <v/>
      </c>
      <c r="AC382">
        <f>IF(計分!AC382="","",計分!AC382^2)</f>
        <v/>
      </c>
      <c r="AD382">
        <f>IF(計分!AD382="","",計分!AD382^2)</f>
        <v/>
      </c>
      <c r="AE382">
        <f>IF(計分!AE382="","",計分!AE382^2)</f>
        <v/>
      </c>
      <c r="AF382">
        <f>IF(計分!AF382="","",計分!AF382^2)</f>
        <v/>
      </c>
      <c r="AG382">
        <f>IF(計分!AG382="","",計分!AG382^2)</f>
        <v/>
      </c>
      <c r="AH382">
        <f>IF(計分!AH382="","",計分!AH382^2)</f>
        <v/>
      </c>
      <c r="AI382">
        <f>IF(計分!AI382="","",計分!AI382^2)</f>
        <v/>
      </c>
      <c r="AJ382">
        <f>IF(計分!AJ382="","",計分!AJ382^2)</f>
        <v/>
      </c>
      <c r="AK382">
        <f>IF(計分!AK382="","",計分!AK382^2)</f>
        <v/>
      </c>
      <c r="AL382">
        <f>IF(計分!AL382="","",計分!AL382^2)</f>
        <v/>
      </c>
      <c r="AM382">
        <f>IF(計分!AM382="","",計分!AM382^2)</f>
        <v/>
      </c>
      <c r="AN382">
        <f>IF(計分!AN382="","",計分!AN382^2)</f>
        <v/>
      </c>
      <c r="AO382">
        <f>IF(計分!AO382="","",計分!AO382^2)</f>
        <v/>
      </c>
    </row>
    <row r="383">
      <c r="B383">
        <f>IF(計分!B383="","",計分!B383^2)</f>
        <v/>
      </c>
      <c r="C383">
        <f>IF(計分!C383="","",計分!C383^2)</f>
        <v/>
      </c>
      <c r="D383">
        <f>IF(計分!D383="","",計分!D383^2)</f>
        <v/>
      </c>
      <c r="E383">
        <f>IF(計分!E383="","",計分!E383^2)</f>
        <v/>
      </c>
      <c r="F383">
        <f>IF(計分!F383="","",計分!F383^2)</f>
        <v/>
      </c>
      <c r="G383">
        <f>IF(計分!G383="","",計分!G383^2)</f>
        <v/>
      </c>
      <c r="H383">
        <f>IF(計分!H383="","",計分!H383^2)</f>
        <v/>
      </c>
      <c r="I383">
        <f>IF(計分!I383="","",計分!I383^2)</f>
        <v/>
      </c>
      <c r="J383">
        <f>IF(計分!J383="","",計分!J383^2)</f>
        <v/>
      </c>
      <c r="K383">
        <f>IF(計分!K383="","",計分!K383^2)</f>
        <v/>
      </c>
      <c r="L383">
        <f>IF(計分!L383="","",計分!L383^2)</f>
        <v/>
      </c>
      <c r="M383">
        <f>IF(計分!M383="","",計分!M383^2)</f>
        <v/>
      </c>
      <c r="N383">
        <f>IF(計分!N383="","",計分!N383^2)</f>
        <v/>
      </c>
      <c r="O383">
        <f>IF(計分!O383="","",計分!O383^2)</f>
        <v/>
      </c>
      <c r="P383">
        <f>IF(計分!P383="","",計分!P383^2)</f>
        <v/>
      </c>
      <c r="Q383">
        <f>IF(計分!Q383="","",計分!Q383^2)</f>
        <v/>
      </c>
      <c r="R383">
        <f>IF(計分!R383="","",計分!R383^2)</f>
        <v/>
      </c>
      <c r="S383">
        <f>IF(計分!S383="","",計分!S383^2)</f>
        <v/>
      </c>
      <c r="T383">
        <f>IF(計分!T383="","",計分!T383^2)</f>
        <v/>
      </c>
      <c r="U383">
        <f>IF(計分!U383="","",計分!U383^2)</f>
        <v/>
      </c>
      <c r="V383">
        <f>IF(計分!V383="","",計分!V383^2)</f>
        <v/>
      </c>
      <c r="W383">
        <f>IF(計分!W383="","",計分!W383^2)</f>
        <v/>
      </c>
      <c r="X383">
        <f>IF(計分!X383="","",計分!X383^2)</f>
        <v/>
      </c>
      <c r="Y383">
        <f>IF(計分!Y383="","",計分!Y383^2)</f>
        <v/>
      </c>
      <c r="Z383">
        <f>IF(計分!Z383="","",計分!Z383^2)</f>
        <v/>
      </c>
      <c r="AA383">
        <f>IF(計分!AA383="","",計分!AA383^2)</f>
        <v/>
      </c>
      <c r="AB383">
        <f>IF(計分!AB383="","",計分!AB383^2)</f>
        <v/>
      </c>
      <c r="AC383">
        <f>IF(計分!AC383="","",計分!AC383^2)</f>
        <v/>
      </c>
      <c r="AD383">
        <f>IF(計分!AD383="","",計分!AD383^2)</f>
        <v/>
      </c>
      <c r="AE383">
        <f>IF(計分!AE383="","",計分!AE383^2)</f>
        <v/>
      </c>
      <c r="AF383">
        <f>IF(計分!AF383="","",計分!AF383^2)</f>
        <v/>
      </c>
      <c r="AG383">
        <f>IF(計分!AG383="","",計分!AG383^2)</f>
        <v/>
      </c>
      <c r="AH383">
        <f>IF(計分!AH383="","",計分!AH383^2)</f>
        <v/>
      </c>
      <c r="AI383">
        <f>IF(計分!AI383="","",計分!AI383^2)</f>
        <v/>
      </c>
      <c r="AJ383">
        <f>IF(計分!AJ383="","",計分!AJ383^2)</f>
        <v/>
      </c>
      <c r="AK383">
        <f>IF(計分!AK383="","",計分!AK383^2)</f>
        <v/>
      </c>
      <c r="AL383">
        <f>IF(計分!AL383="","",計分!AL383^2)</f>
        <v/>
      </c>
      <c r="AM383">
        <f>IF(計分!AM383="","",計分!AM383^2)</f>
        <v/>
      </c>
      <c r="AN383">
        <f>IF(計分!AN383="","",計分!AN383^2)</f>
        <v/>
      </c>
      <c r="AO383">
        <f>IF(計分!AO383="","",計分!AO383^2)</f>
        <v/>
      </c>
    </row>
    <row r="384">
      <c r="B384">
        <f>IF(計分!B384="","",計分!B384^2)</f>
        <v/>
      </c>
      <c r="C384">
        <f>IF(計分!C384="","",計分!C384^2)</f>
        <v/>
      </c>
      <c r="D384">
        <f>IF(計分!D384="","",計分!D384^2)</f>
        <v/>
      </c>
      <c r="E384">
        <f>IF(計分!E384="","",計分!E384^2)</f>
        <v/>
      </c>
      <c r="F384">
        <f>IF(計分!F384="","",計分!F384^2)</f>
        <v/>
      </c>
      <c r="G384">
        <f>IF(計分!G384="","",計分!G384^2)</f>
        <v/>
      </c>
      <c r="H384">
        <f>IF(計分!H384="","",計分!H384^2)</f>
        <v/>
      </c>
      <c r="I384">
        <f>IF(計分!I384="","",計分!I384^2)</f>
        <v/>
      </c>
      <c r="J384">
        <f>IF(計分!J384="","",計分!J384^2)</f>
        <v/>
      </c>
      <c r="K384">
        <f>IF(計分!K384="","",計分!K384^2)</f>
        <v/>
      </c>
      <c r="L384">
        <f>IF(計分!L384="","",計分!L384^2)</f>
        <v/>
      </c>
      <c r="M384">
        <f>IF(計分!M384="","",計分!M384^2)</f>
        <v/>
      </c>
      <c r="N384">
        <f>IF(計分!N384="","",計分!N384^2)</f>
        <v/>
      </c>
      <c r="O384">
        <f>IF(計分!O384="","",計分!O384^2)</f>
        <v/>
      </c>
      <c r="P384">
        <f>IF(計分!P384="","",計分!P384^2)</f>
        <v/>
      </c>
      <c r="Q384">
        <f>IF(計分!Q384="","",計分!Q384^2)</f>
        <v/>
      </c>
      <c r="R384">
        <f>IF(計分!R384="","",計分!R384^2)</f>
        <v/>
      </c>
      <c r="S384">
        <f>IF(計分!S384="","",計分!S384^2)</f>
        <v/>
      </c>
      <c r="T384">
        <f>IF(計分!T384="","",計分!T384^2)</f>
        <v/>
      </c>
      <c r="U384">
        <f>IF(計分!U384="","",計分!U384^2)</f>
        <v/>
      </c>
      <c r="V384">
        <f>IF(計分!V384="","",計分!V384^2)</f>
        <v/>
      </c>
      <c r="W384">
        <f>IF(計分!W384="","",計分!W384^2)</f>
        <v/>
      </c>
      <c r="X384">
        <f>IF(計分!X384="","",計分!X384^2)</f>
        <v/>
      </c>
      <c r="Y384">
        <f>IF(計分!Y384="","",計分!Y384^2)</f>
        <v/>
      </c>
      <c r="Z384">
        <f>IF(計分!Z384="","",計分!Z384^2)</f>
        <v/>
      </c>
      <c r="AA384">
        <f>IF(計分!AA384="","",計分!AA384^2)</f>
        <v/>
      </c>
      <c r="AB384">
        <f>IF(計分!AB384="","",計分!AB384^2)</f>
        <v/>
      </c>
      <c r="AC384">
        <f>IF(計分!AC384="","",計分!AC384^2)</f>
        <v/>
      </c>
      <c r="AD384">
        <f>IF(計分!AD384="","",計分!AD384^2)</f>
        <v/>
      </c>
      <c r="AE384">
        <f>IF(計分!AE384="","",計分!AE384^2)</f>
        <v/>
      </c>
      <c r="AF384">
        <f>IF(計分!AF384="","",計分!AF384^2)</f>
        <v/>
      </c>
      <c r="AG384">
        <f>IF(計分!AG384="","",計分!AG384^2)</f>
        <v/>
      </c>
      <c r="AH384">
        <f>IF(計分!AH384="","",計分!AH384^2)</f>
        <v/>
      </c>
      <c r="AI384">
        <f>IF(計分!AI384="","",計分!AI384^2)</f>
        <v/>
      </c>
      <c r="AJ384">
        <f>IF(計分!AJ384="","",計分!AJ384^2)</f>
        <v/>
      </c>
      <c r="AK384">
        <f>IF(計分!AK384="","",計分!AK384^2)</f>
        <v/>
      </c>
      <c r="AL384">
        <f>IF(計分!AL384="","",計分!AL384^2)</f>
        <v/>
      </c>
      <c r="AM384">
        <f>IF(計分!AM384="","",計分!AM384^2)</f>
        <v/>
      </c>
      <c r="AN384">
        <f>IF(計分!AN384="","",計分!AN384^2)</f>
        <v/>
      </c>
      <c r="AO384">
        <f>IF(計分!AO384="","",計分!AO384^2)</f>
        <v/>
      </c>
    </row>
    <row r="385">
      <c r="B385">
        <f>IF(計分!B385="","",計分!B385^2)</f>
        <v/>
      </c>
      <c r="C385">
        <f>IF(計分!C385="","",計分!C385^2)</f>
        <v/>
      </c>
      <c r="D385">
        <f>IF(計分!D385="","",計分!D385^2)</f>
        <v/>
      </c>
      <c r="E385">
        <f>IF(計分!E385="","",計分!E385^2)</f>
        <v/>
      </c>
      <c r="F385">
        <f>IF(計分!F385="","",計分!F385^2)</f>
        <v/>
      </c>
      <c r="G385">
        <f>IF(計分!G385="","",計分!G385^2)</f>
        <v/>
      </c>
      <c r="H385">
        <f>IF(計分!H385="","",計分!H385^2)</f>
        <v/>
      </c>
      <c r="I385">
        <f>IF(計分!I385="","",計分!I385^2)</f>
        <v/>
      </c>
      <c r="J385">
        <f>IF(計分!J385="","",計分!J385^2)</f>
        <v/>
      </c>
      <c r="K385">
        <f>IF(計分!K385="","",計分!K385^2)</f>
        <v/>
      </c>
      <c r="L385">
        <f>IF(計分!L385="","",計分!L385^2)</f>
        <v/>
      </c>
      <c r="M385">
        <f>IF(計分!M385="","",計分!M385^2)</f>
        <v/>
      </c>
      <c r="N385">
        <f>IF(計分!N385="","",計分!N385^2)</f>
        <v/>
      </c>
      <c r="O385">
        <f>IF(計分!O385="","",計分!O385^2)</f>
        <v/>
      </c>
      <c r="P385">
        <f>IF(計分!P385="","",計分!P385^2)</f>
        <v/>
      </c>
      <c r="Q385">
        <f>IF(計分!Q385="","",計分!Q385^2)</f>
        <v/>
      </c>
      <c r="R385">
        <f>IF(計分!R385="","",計分!R385^2)</f>
        <v/>
      </c>
      <c r="S385">
        <f>IF(計分!S385="","",計分!S385^2)</f>
        <v/>
      </c>
      <c r="T385">
        <f>IF(計分!T385="","",計分!T385^2)</f>
        <v/>
      </c>
      <c r="U385">
        <f>IF(計分!U385="","",計分!U385^2)</f>
        <v/>
      </c>
      <c r="V385">
        <f>IF(計分!V385="","",計分!V385^2)</f>
        <v/>
      </c>
      <c r="W385">
        <f>IF(計分!W385="","",計分!W385^2)</f>
        <v/>
      </c>
      <c r="X385">
        <f>IF(計分!X385="","",計分!X385^2)</f>
        <v/>
      </c>
      <c r="Y385">
        <f>IF(計分!Y385="","",計分!Y385^2)</f>
        <v/>
      </c>
      <c r="Z385">
        <f>IF(計分!Z385="","",計分!Z385^2)</f>
        <v/>
      </c>
      <c r="AA385">
        <f>IF(計分!AA385="","",計分!AA385^2)</f>
        <v/>
      </c>
      <c r="AB385">
        <f>IF(計分!AB385="","",計分!AB385^2)</f>
        <v/>
      </c>
      <c r="AC385">
        <f>IF(計分!AC385="","",計分!AC385^2)</f>
        <v/>
      </c>
      <c r="AD385">
        <f>IF(計分!AD385="","",計分!AD385^2)</f>
        <v/>
      </c>
      <c r="AE385">
        <f>IF(計分!AE385="","",計分!AE385^2)</f>
        <v/>
      </c>
      <c r="AF385">
        <f>IF(計分!AF385="","",計分!AF385^2)</f>
        <v/>
      </c>
      <c r="AG385">
        <f>IF(計分!AG385="","",計分!AG385^2)</f>
        <v/>
      </c>
      <c r="AH385">
        <f>IF(計分!AH385="","",計分!AH385^2)</f>
        <v/>
      </c>
      <c r="AI385">
        <f>IF(計分!AI385="","",計分!AI385^2)</f>
        <v/>
      </c>
      <c r="AJ385">
        <f>IF(計分!AJ385="","",計分!AJ385^2)</f>
        <v/>
      </c>
      <c r="AK385">
        <f>IF(計分!AK385="","",計分!AK385^2)</f>
        <v/>
      </c>
      <c r="AL385">
        <f>IF(計分!AL385="","",計分!AL385^2)</f>
        <v/>
      </c>
      <c r="AM385">
        <f>IF(計分!AM385="","",計分!AM385^2)</f>
        <v/>
      </c>
      <c r="AN385">
        <f>IF(計分!AN385="","",計分!AN385^2)</f>
        <v/>
      </c>
      <c r="AO385">
        <f>IF(計分!AO385="","",計分!AO385^2)</f>
        <v/>
      </c>
    </row>
    <row r="386">
      <c r="B386">
        <f>IF(計分!B386="","",計分!B386^2)</f>
        <v/>
      </c>
      <c r="C386">
        <f>IF(計分!C386="","",計分!C386^2)</f>
        <v/>
      </c>
      <c r="D386">
        <f>IF(計分!D386="","",計分!D386^2)</f>
        <v/>
      </c>
      <c r="E386">
        <f>IF(計分!E386="","",計分!E386^2)</f>
        <v/>
      </c>
      <c r="F386">
        <f>IF(計分!F386="","",計分!F386^2)</f>
        <v/>
      </c>
      <c r="G386">
        <f>IF(計分!G386="","",計分!G386^2)</f>
        <v/>
      </c>
      <c r="H386">
        <f>IF(計分!H386="","",計分!H386^2)</f>
        <v/>
      </c>
      <c r="I386">
        <f>IF(計分!I386="","",計分!I386^2)</f>
        <v/>
      </c>
      <c r="J386">
        <f>IF(計分!J386="","",計分!J386^2)</f>
        <v/>
      </c>
      <c r="K386">
        <f>IF(計分!K386="","",計分!K386^2)</f>
        <v/>
      </c>
      <c r="L386">
        <f>IF(計分!L386="","",計分!L386^2)</f>
        <v/>
      </c>
      <c r="M386">
        <f>IF(計分!M386="","",計分!M386^2)</f>
        <v/>
      </c>
      <c r="N386">
        <f>IF(計分!N386="","",計分!N386^2)</f>
        <v/>
      </c>
      <c r="O386">
        <f>IF(計分!O386="","",計分!O386^2)</f>
        <v/>
      </c>
      <c r="P386">
        <f>IF(計分!P386="","",計分!P386^2)</f>
        <v/>
      </c>
      <c r="Q386">
        <f>IF(計分!Q386="","",計分!Q386^2)</f>
        <v/>
      </c>
      <c r="R386">
        <f>IF(計分!R386="","",計分!R386^2)</f>
        <v/>
      </c>
      <c r="S386">
        <f>IF(計分!S386="","",計分!S386^2)</f>
        <v/>
      </c>
      <c r="T386">
        <f>IF(計分!T386="","",計分!T386^2)</f>
        <v/>
      </c>
      <c r="U386">
        <f>IF(計分!U386="","",計分!U386^2)</f>
        <v/>
      </c>
      <c r="V386">
        <f>IF(計分!V386="","",計分!V386^2)</f>
        <v/>
      </c>
      <c r="W386">
        <f>IF(計分!W386="","",計分!W386^2)</f>
        <v/>
      </c>
      <c r="X386">
        <f>IF(計分!X386="","",計分!X386^2)</f>
        <v/>
      </c>
      <c r="Y386">
        <f>IF(計分!Y386="","",計分!Y386^2)</f>
        <v/>
      </c>
      <c r="Z386">
        <f>IF(計分!Z386="","",計分!Z386^2)</f>
        <v/>
      </c>
      <c r="AA386">
        <f>IF(計分!AA386="","",計分!AA386^2)</f>
        <v/>
      </c>
      <c r="AB386">
        <f>IF(計分!AB386="","",計分!AB386^2)</f>
        <v/>
      </c>
      <c r="AC386">
        <f>IF(計分!AC386="","",計分!AC386^2)</f>
        <v/>
      </c>
      <c r="AD386">
        <f>IF(計分!AD386="","",計分!AD386^2)</f>
        <v/>
      </c>
      <c r="AE386">
        <f>IF(計分!AE386="","",計分!AE386^2)</f>
        <v/>
      </c>
      <c r="AF386">
        <f>IF(計分!AF386="","",計分!AF386^2)</f>
        <v/>
      </c>
      <c r="AG386">
        <f>IF(計分!AG386="","",計分!AG386^2)</f>
        <v/>
      </c>
      <c r="AH386">
        <f>IF(計分!AH386="","",計分!AH386^2)</f>
        <v/>
      </c>
      <c r="AI386">
        <f>IF(計分!AI386="","",計分!AI386^2)</f>
        <v/>
      </c>
      <c r="AJ386">
        <f>IF(計分!AJ386="","",計分!AJ386^2)</f>
        <v/>
      </c>
      <c r="AK386">
        <f>IF(計分!AK386="","",計分!AK386^2)</f>
        <v/>
      </c>
      <c r="AL386">
        <f>IF(計分!AL386="","",計分!AL386^2)</f>
        <v/>
      </c>
      <c r="AM386">
        <f>IF(計分!AM386="","",計分!AM386^2)</f>
        <v/>
      </c>
      <c r="AN386">
        <f>IF(計分!AN386="","",計分!AN386^2)</f>
        <v/>
      </c>
      <c r="AO386">
        <f>IF(計分!AO386="","",計分!AO386^2)</f>
        <v/>
      </c>
    </row>
    <row r="387">
      <c r="B387">
        <f>IF(計分!B387="","",計分!B387^2)</f>
        <v/>
      </c>
      <c r="C387">
        <f>IF(計分!C387="","",計分!C387^2)</f>
        <v/>
      </c>
      <c r="D387">
        <f>IF(計分!D387="","",計分!D387^2)</f>
        <v/>
      </c>
      <c r="E387">
        <f>IF(計分!E387="","",計分!E387^2)</f>
        <v/>
      </c>
      <c r="F387">
        <f>IF(計分!F387="","",計分!F387^2)</f>
        <v/>
      </c>
      <c r="G387">
        <f>IF(計分!G387="","",計分!G387^2)</f>
        <v/>
      </c>
      <c r="H387">
        <f>IF(計分!H387="","",計分!H387^2)</f>
        <v/>
      </c>
      <c r="I387">
        <f>IF(計分!I387="","",計分!I387^2)</f>
        <v/>
      </c>
      <c r="J387">
        <f>IF(計分!J387="","",計分!J387^2)</f>
        <v/>
      </c>
      <c r="K387">
        <f>IF(計分!K387="","",計分!K387^2)</f>
        <v/>
      </c>
      <c r="L387">
        <f>IF(計分!L387="","",計分!L387^2)</f>
        <v/>
      </c>
      <c r="M387">
        <f>IF(計分!M387="","",計分!M387^2)</f>
        <v/>
      </c>
      <c r="N387">
        <f>IF(計分!N387="","",計分!N387^2)</f>
        <v/>
      </c>
      <c r="O387">
        <f>IF(計分!O387="","",計分!O387^2)</f>
        <v/>
      </c>
      <c r="P387">
        <f>IF(計分!P387="","",計分!P387^2)</f>
        <v/>
      </c>
      <c r="Q387">
        <f>IF(計分!Q387="","",計分!Q387^2)</f>
        <v/>
      </c>
      <c r="R387">
        <f>IF(計分!R387="","",計分!R387^2)</f>
        <v/>
      </c>
      <c r="S387">
        <f>IF(計分!S387="","",計分!S387^2)</f>
        <v/>
      </c>
      <c r="T387">
        <f>IF(計分!T387="","",計分!T387^2)</f>
        <v/>
      </c>
      <c r="U387">
        <f>IF(計分!U387="","",計分!U387^2)</f>
        <v/>
      </c>
      <c r="V387">
        <f>IF(計分!V387="","",計分!V387^2)</f>
        <v/>
      </c>
      <c r="W387">
        <f>IF(計分!W387="","",計分!W387^2)</f>
        <v/>
      </c>
      <c r="X387">
        <f>IF(計分!X387="","",計分!X387^2)</f>
        <v/>
      </c>
      <c r="Y387">
        <f>IF(計分!Y387="","",計分!Y387^2)</f>
        <v/>
      </c>
      <c r="Z387">
        <f>IF(計分!Z387="","",計分!Z387^2)</f>
        <v/>
      </c>
      <c r="AA387">
        <f>IF(計分!AA387="","",計分!AA387^2)</f>
        <v/>
      </c>
      <c r="AB387">
        <f>IF(計分!AB387="","",計分!AB387^2)</f>
        <v/>
      </c>
      <c r="AC387">
        <f>IF(計分!AC387="","",計分!AC387^2)</f>
        <v/>
      </c>
      <c r="AD387">
        <f>IF(計分!AD387="","",計分!AD387^2)</f>
        <v/>
      </c>
      <c r="AE387">
        <f>IF(計分!AE387="","",計分!AE387^2)</f>
        <v/>
      </c>
      <c r="AF387">
        <f>IF(計分!AF387="","",計分!AF387^2)</f>
        <v/>
      </c>
      <c r="AG387">
        <f>IF(計分!AG387="","",計分!AG387^2)</f>
        <v/>
      </c>
      <c r="AH387">
        <f>IF(計分!AH387="","",計分!AH387^2)</f>
        <v/>
      </c>
      <c r="AI387">
        <f>IF(計分!AI387="","",計分!AI387^2)</f>
        <v/>
      </c>
      <c r="AJ387">
        <f>IF(計分!AJ387="","",計分!AJ387^2)</f>
        <v/>
      </c>
      <c r="AK387">
        <f>IF(計分!AK387="","",計分!AK387^2)</f>
        <v/>
      </c>
      <c r="AL387">
        <f>IF(計分!AL387="","",計分!AL387^2)</f>
        <v/>
      </c>
      <c r="AM387">
        <f>IF(計分!AM387="","",計分!AM387^2)</f>
        <v/>
      </c>
      <c r="AN387">
        <f>IF(計分!AN387="","",計分!AN387^2)</f>
        <v/>
      </c>
      <c r="AO387">
        <f>IF(計分!AO387="","",計分!AO387^2)</f>
        <v/>
      </c>
    </row>
    <row r="388">
      <c r="B388">
        <f>IF(計分!B388="","",計分!B388^2)</f>
        <v/>
      </c>
      <c r="C388">
        <f>IF(計分!C388="","",計分!C388^2)</f>
        <v/>
      </c>
      <c r="D388">
        <f>IF(計分!D388="","",計分!D388^2)</f>
        <v/>
      </c>
      <c r="E388">
        <f>IF(計分!E388="","",計分!E388^2)</f>
        <v/>
      </c>
      <c r="F388">
        <f>IF(計分!F388="","",計分!F388^2)</f>
        <v/>
      </c>
      <c r="G388">
        <f>IF(計分!G388="","",計分!G388^2)</f>
        <v/>
      </c>
      <c r="H388">
        <f>IF(計分!H388="","",計分!H388^2)</f>
        <v/>
      </c>
      <c r="I388">
        <f>IF(計分!I388="","",計分!I388^2)</f>
        <v/>
      </c>
      <c r="J388">
        <f>IF(計分!J388="","",計分!J388^2)</f>
        <v/>
      </c>
      <c r="K388">
        <f>IF(計分!K388="","",計分!K388^2)</f>
        <v/>
      </c>
      <c r="L388">
        <f>IF(計分!L388="","",計分!L388^2)</f>
        <v/>
      </c>
      <c r="M388">
        <f>IF(計分!M388="","",計分!M388^2)</f>
        <v/>
      </c>
      <c r="N388">
        <f>IF(計分!N388="","",計分!N388^2)</f>
        <v/>
      </c>
      <c r="O388">
        <f>IF(計分!O388="","",計分!O388^2)</f>
        <v/>
      </c>
      <c r="P388">
        <f>IF(計分!P388="","",計分!P388^2)</f>
        <v/>
      </c>
      <c r="Q388">
        <f>IF(計分!Q388="","",計分!Q388^2)</f>
        <v/>
      </c>
      <c r="R388">
        <f>IF(計分!R388="","",計分!R388^2)</f>
        <v/>
      </c>
      <c r="S388">
        <f>IF(計分!S388="","",計分!S388^2)</f>
        <v/>
      </c>
      <c r="T388">
        <f>IF(計分!T388="","",計分!T388^2)</f>
        <v/>
      </c>
      <c r="U388">
        <f>IF(計分!U388="","",計分!U388^2)</f>
        <v/>
      </c>
      <c r="V388">
        <f>IF(計分!V388="","",計分!V388^2)</f>
        <v/>
      </c>
      <c r="W388">
        <f>IF(計分!W388="","",計分!W388^2)</f>
        <v/>
      </c>
      <c r="X388">
        <f>IF(計分!X388="","",計分!X388^2)</f>
        <v/>
      </c>
      <c r="Y388">
        <f>IF(計分!Y388="","",計分!Y388^2)</f>
        <v/>
      </c>
      <c r="Z388">
        <f>IF(計分!Z388="","",計分!Z388^2)</f>
        <v/>
      </c>
      <c r="AA388">
        <f>IF(計分!AA388="","",計分!AA388^2)</f>
        <v/>
      </c>
      <c r="AB388">
        <f>IF(計分!AB388="","",計分!AB388^2)</f>
        <v/>
      </c>
      <c r="AC388">
        <f>IF(計分!AC388="","",計分!AC388^2)</f>
        <v/>
      </c>
      <c r="AD388">
        <f>IF(計分!AD388="","",計分!AD388^2)</f>
        <v/>
      </c>
      <c r="AE388">
        <f>IF(計分!AE388="","",計分!AE388^2)</f>
        <v/>
      </c>
      <c r="AF388">
        <f>IF(計分!AF388="","",計分!AF388^2)</f>
        <v/>
      </c>
      <c r="AG388">
        <f>IF(計分!AG388="","",計分!AG388^2)</f>
        <v/>
      </c>
      <c r="AH388">
        <f>IF(計分!AH388="","",計分!AH388^2)</f>
        <v/>
      </c>
      <c r="AI388">
        <f>IF(計分!AI388="","",計分!AI388^2)</f>
        <v/>
      </c>
      <c r="AJ388">
        <f>IF(計分!AJ388="","",計分!AJ388^2)</f>
        <v/>
      </c>
      <c r="AK388">
        <f>IF(計分!AK388="","",計分!AK388^2)</f>
        <v/>
      </c>
      <c r="AL388">
        <f>IF(計分!AL388="","",計分!AL388^2)</f>
        <v/>
      </c>
      <c r="AM388">
        <f>IF(計分!AM388="","",計分!AM388^2)</f>
        <v/>
      </c>
      <c r="AN388">
        <f>IF(計分!AN388="","",計分!AN388^2)</f>
        <v/>
      </c>
      <c r="AO388">
        <f>IF(計分!AO388="","",計分!AO388^2)</f>
        <v/>
      </c>
    </row>
    <row r="389">
      <c r="B389">
        <f>IF(計分!B389="","",計分!B389^2)</f>
        <v/>
      </c>
      <c r="C389">
        <f>IF(計分!C389="","",計分!C389^2)</f>
        <v/>
      </c>
      <c r="D389">
        <f>IF(計分!D389="","",計分!D389^2)</f>
        <v/>
      </c>
      <c r="E389">
        <f>IF(計分!E389="","",計分!E389^2)</f>
        <v/>
      </c>
      <c r="F389">
        <f>IF(計分!F389="","",計分!F389^2)</f>
        <v/>
      </c>
      <c r="G389">
        <f>IF(計分!G389="","",計分!G389^2)</f>
        <v/>
      </c>
      <c r="H389">
        <f>IF(計分!H389="","",計分!H389^2)</f>
        <v/>
      </c>
      <c r="I389">
        <f>IF(計分!I389="","",計分!I389^2)</f>
        <v/>
      </c>
      <c r="J389">
        <f>IF(計分!J389="","",計分!J389^2)</f>
        <v/>
      </c>
      <c r="K389">
        <f>IF(計分!K389="","",計分!K389^2)</f>
        <v/>
      </c>
      <c r="L389">
        <f>IF(計分!L389="","",計分!L389^2)</f>
        <v/>
      </c>
      <c r="M389">
        <f>IF(計分!M389="","",計分!M389^2)</f>
        <v/>
      </c>
      <c r="N389">
        <f>IF(計分!N389="","",計分!N389^2)</f>
        <v/>
      </c>
      <c r="O389">
        <f>IF(計分!O389="","",計分!O389^2)</f>
        <v/>
      </c>
      <c r="P389">
        <f>IF(計分!P389="","",計分!P389^2)</f>
        <v/>
      </c>
      <c r="Q389">
        <f>IF(計分!Q389="","",計分!Q389^2)</f>
        <v/>
      </c>
      <c r="R389">
        <f>IF(計分!R389="","",計分!R389^2)</f>
        <v/>
      </c>
      <c r="S389">
        <f>IF(計分!S389="","",計分!S389^2)</f>
        <v/>
      </c>
      <c r="T389">
        <f>IF(計分!T389="","",計分!T389^2)</f>
        <v/>
      </c>
      <c r="U389">
        <f>IF(計分!U389="","",計分!U389^2)</f>
        <v/>
      </c>
      <c r="V389">
        <f>IF(計分!V389="","",計分!V389^2)</f>
        <v/>
      </c>
      <c r="W389">
        <f>IF(計分!W389="","",計分!W389^2)</f>
        <v/>
      </c>
      <c r="X389">
        <f>IF(計分!X389="","",計分!X389^2)</f>
        <v/>
      </c>
      <c r="Y389">
        <f>IF(計分!Y389="","",計分!Y389^2)</f>
        <v/>
      </c>
      <c r="Z389">
        <f>IF(計分!Z389="","",計分!Z389^2)</f>
        <v/>
      </c>
      <c r="AA389">
        <f>IF(計分!AA389="","",計分!AA389^2)</f>
        <v/>
      </c>
      <c r="AB389">
        <f>IF(計分!AB389="","",計分!AB389^2)</f>
        <v/>
      </c>
      <c r="AC389">
        <f>IF(計分!AC389="","",計分!AC389^2)</f>
        <v/>
      </c>
      <c r="AD389">
        <f>IF(計分!AD389="","",計分!AD389^2)</f>
        <v/>
      </c>
      <c r="AE389">
        <f>IF(計分!AE389="","",計分!AE389^2)</f>
        <v/>
      </c>
      <c r="AF389">
        <f>IF(計分!AF389="","",計分!AF389^2)</f>
        <v/>
      </c>
      <c r="AG389">
        <f>IF(計分!AG389="","",計分!AG389^2)</f>
        <v/>
      </c>
      <c r="AH389">
        <f>IF(計分!AH389="","",計分!AH389^2)</f>
        <v/>
      </c>
      <c r="AI389">
        <f>IF(計分!AI389="","",計分!AI389^2)</f>
        <v/>
      </c>
      <c r="AJ389">
        <f>IF(計分!AJ389="","",計分!AJ389^2)</f>
        <v/>
      </c>
      <c r="AK389">
        <f>IF(計分!AK389="","",計分!AK389^2)</f>
        <v/>
      </c>
      <c r="AL389">
        <f>IF(計分!AL389="","",計分!AL389^2)</f>
        <v/>
      </c>
      <c r="AM389">
        <f>IF(計分!AM389="","",計分!AM389^2)</f>
        <v/>
      </c>
      <c r="AN389">
        <f>IF(計分!AN389="","",計分!AN389^2)</f>
        <v/>
      </c>
      <c r="AO389">
        <f>IF(計分!AO389="","",計分!AO389^2)</f>
        <v/>
      </c>
    </row>
    <row r="390">
      <c r="B390">
        <f>IF(計分!B390="","",計分!B390^2)</f>
        <v/>
      </c>
      <c r="C390">
        <f>IF(計分!C390="","",計分!C390^2)</f>
        <v/>
      </c>
      <c r="D390">
        <f>IF(計分!D390="","",計分!D390^2)</f>
        <v/>
      </c>
      <c r="E390">
        <f>IF(計分!E390="","",計分!E390^2)</f>
        <v/>
      </c>
      <c r="F390">
        <f>IF(計分!F390="","",計分!F390^2)</f>
        <v/>
      </c>
      <c r="G390">
        <f>IF(計分!G390="","",計分!G390^2)</f>
        <v/>
      </c>
      <c r="H390">
        <f>IF(計分!H390="","",計分!H390^2)</f>
        <v/>
      </c>
      <c r="I390">
        <f>IF(計分!I390="","",計分!I390^2)</f>
        <v/>
      </c>
      <c r="J390">
        <f>IF(計分!J390="","",計分!J390^2)</f>
        <v/>
      </c>
      <c r="K390">
        <f>IF(計分!K390="","",計分!K390^2)</f>
        <v/>
      </c>
      <c r="L390">
        <f>IF(計分!L390="","",計分!L390^2)</f>
        <v/>
      </c>
      <c r="M390">
        <f>IF(計分!M390="","",計分!M390^2)</f>
        <v/>
      </c>
      <c r="N390">
        <f>IF(計分!N390="","",計分!N390^2)</f>
        <v/>
      </c>
      <c r="O390">
        <f>IF(計分!O390="","",計分!O390^2)</f>
        <v/>
      </c>
      <c r="P390">
        <f>IF(計分!P390="","",計分!P390^2)</f>
        <v/>
      </c>
      <c r="Q390">
        <f>IF(計分!Q390="","",計分!Q390^2)</f>
        <v/>
      </c>
      <c r="R390">
        <f>IF(計分!R390="","",計分!R390^2)</f>
        <v/>
      </c>
      <c r="S390">
        <f>IF(計分!S390="","",計分!S390^2)</f>
        <v/>
      </c>
      <c r="T390">
        <f>IF(計分!T390="","",計分!T390^2)</f>
        <v/>
      </c>
      <c r="U390">
        <f>IF(計分!U390="","",計分!U390^2)</f>
        <v/>
      </c>
      <c r="V390">
        <f>IF(計分!V390="","",計分!V390^2)</f>
        <v/>
      </c>
      <c r="W390">
        <f>IF(計分!W390="","",計分!W390^2)</f>
        <v/>
      </c>
      <c r="X390">
        <f>IF(計分!X390="","",計分!X390^2)</f>
        <v/>
      </c>
      <c r="Y390">
        <f>IF(計分!Y390="","",計分!Y390^2)</f>
        <v/>
      </c>
      <c r="Z390">
        <f>IF(計分!Z390="","",計分!Z390^2)</f>
        <v/>
      </c>
      <c r="AA390">
        <f>IF(計分!AA390="","",計分!AA390^2)</f>
        <v/>
      </c>
      <c r="AB390">
        <f>IF(計分!AB390="","",計分!AB390^2)</f>
        <v/>
      </c>
      <c r="AC390">
        <f>IF(計分!AC390="","",計分!AC390^2)</f>
        <v/>
      </c>
      <c r="AD390">
        <f>IF(計分!AD390="","",計分!AD390^2)</f>
        <v/>
      </c>
      <c r="AE390">
        <f>IF(計分!AE390="","",計分!AE390^2)</f>
        <v/>
      </c>
      <c r="AF390">
        <f>IF(計分!AF390="","",計分!AF390^2)</f>
        <v/>
      </c>
      <c r="AG390">
        <f>IF(計分!AG390="","",計分!AG390^2)</f>
        <v/>
      </c>
      <c r="AH390">
        <f>IF(計分!AH390="","",計分!AH390^2)</f>
        <v/>
      </c>
      <c r="AI390">
        <f>IF(計分!AI390="","",計分!AI390^2)</f>
        <v/>
      </c>
      <c r="AJ390">
        <f>IF(計分!AJ390="","",計分!AJ390^2)</f>
        <v/>
      </c>
      <c r="AK390">
        <f>IF(計分!AK390="","",計分!AK390^2)</f>
        <v/>
      </c>
      <c r="AL390">
        <f>IF(計分!AL390="","",計分!AL390^2)</f>
        <v/>
      </c>
      <c r="AM390">
        <f>IF(計分!AM390="","",計分!AM390^2)</f>
        <v/>
      </c>
      <c r="AN390">
        <f>IF(計分!AN390="","",計分!AN390^2)</f>
        <v/>
      </c>
      <c r="AO390">
        <f>IF(計分!AO390="","",計分!AO390^2)</f>
        <v/>
      </c>
    </row>
    <row r="391">
      <c r="B391">
        <f>IF(計分!B391="","",計分!B391^2)</f>
        <v/>
      </c>
      <c r="C391">
        <f>IF(計分!C391="","",計分!C391^2)</f>
        <v/>
      </c>
      <c r="D391">
        <f>IF(計分!D391="","",計分!D391^2)</f>
        <v/>
      </c>
      <c r="E391">
        <f>IF(計分!E391="","",計分!E391^2)</f>
        <v/>
      </c>
      <c r="F391">
        <f>IF(計分!F391="","",計分!F391^2)</f>
        <v/>
      </c>
      <c r="G391">
        <f>IF(計分!G391="","",計分!G391^2)</f>
        <v/>
      </c>
      <c r="H391">
        <f>IF(計分!H391="","",計分!H391^2)</f>
        <v/>
      </c>
      <c r="I391">
        <f>IF(計分!I391="","",計分!I391^2)</f>
        <v/>
      </c>
      <c r="J391">
        <f>IF(計分!J391="","",計分!J391^2)</f>
        <v/>
      </c>
      <c r="K391">
        <f>IF(計分!K391="","",計分!K391^2)</f>
        <v/>
      </c>
      <c r="L391">
        <f>IF(計分!L391="","",計分!L391^2)</f>
        <v/>
      </c>
      <c r="M391">
        <f>IF(計分!M391="","",計分!M391^2)</f>
        <v/>
      </c>
      <c r="N391">
        <f>IF(計分!N391="","",計分!N391^2)</f>
        <v/>
      </c>
      <c r="O391">
        <f>IF(計分!O391="","",計分!O391^2)</f>
        <v/>
      </c>
      <c r="P391">
        <f>IF(計分!P391="","",計分!P391^2)</f>
        <v/>
      </c>
      <c r="Q391">
        <f>IF(計分!Q391="","",計分!Q391^2)</f>
        <v/>
      </c>
      <c r="R391">
        <f>IF(計分!R391="","",計分!R391^2)</f>
        <v/>
      </c>
      <c r="S391">
        <f>IF(計分!S391="","",計分!S391^2)</f>
        <v/>
      </c>
      <c r="T391">
        <f>IF(計分!T391="","",計分!T391^2)</f>
        <v/>
      </c>
      <c r="U391">
        <f>IF(計分!U391="","",計分!U391^2)</f>
        <v/>
      </c>
      <c r="V391">
        <f>IF(計分!V391="","",計分!V391^2)</f>
        <v/>
      </c>
      <c r="W391">
        <f>IF(計分!W391="","",計分!W391^2)</f>
        <v/>
      </c>
      <c r="X391">
        <f>IF(計分!X391="","",計分!X391^2)</f>
        <v/>
      </c>
      <c r="Y391">
        <f>IF(計分!Y391="","",計分!Y391^2)</f>
        <v/>
      </c>
      <c r="Z391">
        <f>IF(計分!Z391="","",計分!Z391^2)</f>
        <v/>
      </c>
      <c r="AA391">
        <f>IF(計分!AA391="","",計分!AA391^2)</f>
        <v/>
      </c>
      <c r="AB391">
        <f>IF(計分!AB391="","",計分!AB391^2)</f>
        <v/>
      </c>
      <c r="AC391">
        <f>IF(計分!AC391="","",計分!AC391^2)</f>
        <v/>
      </c>
      <c r="AD391">
        <f>IF(計分!AD391="","",計分!AD391^2)</f>
        <v/>
      </c>
      <c r="AE391">
        <f>IF(計分!AE391="","",計分!AE391^2)</f>
        <v/>
      </c>
      <c r="AF391">
        <f>IF(計分!AF391="","",計分!AF391^2)</f>
        <v/>
      </c>
      <c r="AG391">
        <f>IF(計分!AG391="","",計分!AG391^2)</f>
        <v/>
      </c>
      <c r="AH391">
        <f>IF(計分!AH391="","",計分!AH391^2)</f>
        <v/>
      </c>
      <c r="AI391">
        <f>IF(計分!AI391="","",計分!AI391^2)</f>
        <v/>
      </c>
      <c r="AJ391">
        <f>IF(計分!AJ391="","",計分!AJ391^2)</f>
        <v/>
      </c>
      <c r="AK391">
        <f>IF(計分!AK391="","",計分!AK391^2)</f>
        <v/>
      </c>
      <c r="AL391">
        <f>IF(計分!AL391="","",計分!AL391^2)</f>
        <v/>
      </c>
      <c r="AM391">
        <f>IF(計分!AM391="","",計分!AM391^2)</f>
        <v/>
      </c>
      <c r="AN391">
        <f>IF(計分!AN391="","",計分!AN391^2)</f>
        <v/>
      </c>
      <c r="AO391">
        <f>IF(計分!AO391="","",計分!AO391^2)</f>
        <v/>
      </c>
    </row>
    <row r="392">
      <c r="B392">
        <f>IF(計分!B392="","",計分!B392^2)</f>
        <v/>
      </c>
      <c r="C392">
        <f>IF(計分!C392="","",計分!C392^2)</f>
        <v/>
      </c>
      <c r="D392">
        <f>IF(計分!D392="","",計分!D392^2)</f>
        <v/>
      </c>
      <c r="E392">
        <f>IF(計分!E392="","",計分!E392^2)</f>
        <v/>
      </c>
      <c r="F392">
        <f>IF(計分!F392="","",計分!F392^2)</f>
        <v/>
      </c>
      <c r="G392">
        <f>IF(計分!G392="","",計分!G392^2)</f>
        <v/>
      </c>
      <c r="H392">
        <f>IF(計分!H392="","",計分!H392^2)</f>
        <v/>
      </c>
      <c r="I392">
        <f>IF(計分!I392="","",計分!I392^2)</f>
        <v/>
      </c>
      <c r="J392">
        <f>IF(計分!J392="","",計分!J392^2)</f>
        <v/>
      </c>
      <c r="K392">
        <f>IF(計分!K392="","",計分!K392^2)</f>
        <v/>
      </c>
      <c r="L392">
        <f>IF(計分!L392="","",計分!L392^2)</f>
        <v/>
      </c>
      <c r="M392">
        <f>IF(計分!M392="","",計分!M392^2)</f>
        <v/>
      </c>
      <c r="N392">
        <f>IF(計分!N392="","",計分!N392^2)</f>
        <v/>
      </c>
      <c r="O392">
        <f>IF(計分!O392="","",計分!O392^2)</f>
        <v/>
      </c>
      <c r="P392">
        <f>IF(計分!P392="","",計分!P392^2)</f>
        <v/>
      </c>
      <c r="Q392">
        <f>IF(計分!Q392="","",計分!Q392^2)</f>
        <v/>
      </c>
      <c r="R392">
        <f>IF(計分!R392="","",計分!R392^2)</f>
        <v/>
      </c>
      <c r="S392">
        <f>IF(計分!S392="","",計分!S392^2)</f>
        <v/>
      </c>
      <c r="T392">
        <f>IF(計分!T392="","",計分!T392^2)</f>
        <v/>
      </c>
      <c r="U392">
        <f>IF(計分!U392="","",計分!U392^2)</f>
        <v/>
      </c>
      <c r="V392">
        <f>IF(計分!V392="","",計分!V392^2)</f>
        <v/>
      </c>
      <c r="W392">
        <f>IF(計分!W392="","",計分!W392^2)</f>
        <v/>
      </c>
      <c r="X392">
        <f>IF(計分!X392="","",計分!X392^2)</f>
        <v/>
      </c>
      <c r="Y392">
        <f>IF(計分!Y392="","",計分!Y392^2)</f>
        <v/>
      </c>
      <c r="Z392">
        <f>IF(計分!Z392="","",計分!Z392^2)</f>
        <v/>
      </c>
      <c r="AA392">
        <f>IF(計分!AA392="","",計分!AA392^2)</f>
        <v/>
      </c>
      <c r="AB392">
        <f>IF(計分!AB392="","",計分!AB392^2)</f>
        <v/>
      </c>
      <c r="AC392">
        <f>IF(計分!AC392="","",計分!AC392^2)</f>
        <v/>
      </c>
      <c r="AD392">
        <f>IF(計分!AD392="","",計分!AD392^2)</f>
        <v/>
      </c>
      <c r="AE392">
        <f>IF(計分!AE392="","",計分!AE392^2)</f>
        <v/>
      </c>
      <c r="AF392">
        <f>IF(計分!AF392="","",計分!AF392^2)</f>
        <v/>
      </c>
      <c r="AG392">
        <f>IF(計分!AG392="","",計分!AG392^2)</f>
        <v/>
      </c>
      <c r="AH392">
        <f>IF(計分!AH392="","",計分!AH392^2)</f>
        <v/>
      </c>
      <c r="AI392">
        <f>IF(計分!AI392="","",計分!AI392^2)</f>
        <v/>
      </c>
      <c r="AJ392">
        <f>IF(計分!AJ392="","",計分!AJ392^2)</f>
        <v/>
      </c>
      <c r="AK392">
        <f>IF(計分!AK392="","",計分!AK392^2)</f>
        <v/>
      </c>
      <c r="AL392">
        <f>IF(計分!AL392="","",計分!AL392^2)</f>
        <v/>
      </c>
      <c r="AM392">
        <f>IF(計分!AM392="","",計分!AM392^2)</f>
        <v/>
      </c>
      <c r="AN392">
        <f>IF(計分!AN392="","",計分!AN392^2)</f>
        <v/>
      </c>
      <c r="AO392">
        <f>IF(計分!AO392="","",計分!AO392^2)</f>
        <v/>
      </c>
    </row>
    <row r="393">
      <c r="B393">
        <f>IF(計分!B393="","",計分!B393^2)</f>
        <v/>
      </c>
      <c r="C393">
        <f>IF(計分!C393="","",計分!C393^2)</f>
        <v/>
      </c>
      <c r="D393">
        <f>IF(計分!D393="","",計分!D393^2)</f>
        <v/>
      </c>
      <c r="E393">
        <f>IF(計分!E393="","",計分!E393^2)</f>
        <v/>
      </c>
      <c r="F393">
        <f>IF(計分!F393="","",計分!F393^2)</f>
        <v/>
      </c>
      <c r="G393">
        <f>IF(計分!G393="","",計分!G393^2)</f>
        <v/>
      </c>
      <c r="H393">
        <f>IF(計分!H393="","",計分!H393^2)</f>
        <v/>
      </c>
      <c r="I393">
        <f>IF(計分!I393="","",計分!I393^2)</f>
        <v/>
      </c>
      <c r="J393">
        <f>IF(計分!J393="","",計分!J393^2)</f>
        <v/>
      </c>
      <c r="K393">
        <f>IF(計分!K393="","",計分!K393^2)</f>
        <v/>
      </c>
      <c r="L393">
        <f>IF(計分!L393="","",計分!L393^2)</f>
        <v/>
      </c>
      <c r="M393">
        <f>IF(計分!M393="","",計分!M393^2)</f>
        <v/>
      </c>
      <c r="N393">
        <f>IF(計分!N393="","",計分!N393^2)</f>
        <v/>
      </c>
      <c r="O393">
        <f>IF(計分!O393="","",計分!O393^2)</f>
        <v/>
      </c>
      <c r="P393">
        <f>IF(計分!P393="","",計分!P393^2)</f>
        <v/>
      </c>
      <c r="Q393">
        <f>IF(計分!Q393="","",計分!Q393^2)</f>
        <v/>
      </c>
      <c r="R393">
        <f>IF(計分!R393="","",計分!R393^2)</f>
        <v/>
      </c>
      <c r="S393">
        <f>IF(計分!S393="","",計分!S393^2)</f>
        <v/>
      </c>
      <c r="T393">
        <f>IF(計分!T393="","",計分!T393^2)</f>
        <v/>
      </c>
      <c r="U393">
        <f>IF(計分!U393="","",計分!U393^2)</f>
        <v/>
      </c>
      <c r="V393">
        <f>IF(計分!V393="","",計分!V393^2)</f>
        <v/>
      </c>
      <c r="W393">
        <f>IF(計分!W393="","",計分!W393^2)</f>
        <v/>
      </c>
      <c r="X393">
        <f>IF(計分!X393="","",計分!X393^2)</f>
        <v/>
      </c>
      <c r="Y393">
        <f>IF(計分!Y393="","",計分!Y393^2)</f>
        <v/>
      </c>
      <c r="Z393">
        <f>IF(計分!Z393="","",計分!Z393^2)</f>
        <v/>
      </c>
      <c r="AA393">
        <f>IF(計分!AA393="","",計分!AA393^2)</f>
        <v/>
      </c>
      <c r="AB393">
        <f>IF(計分!AB393="","",計分!AB393^2)</f>
        <v/>
      </c>
      <c r="AC393">
        <f>IF(計分!AC393="","",計分!AC393^2)</f>
        <v/>
      </c>
      <c r="AD393">
        <f>IF(計分!AD393="","",計分!AD393^2)</f>
        <v/>
      </c>
      <c r="AE393">
        <f>IF(計分!AE393="","",計分!AE393^2)</f>
        <v/>
      </c>
      <c r="AF393">
        <f>IF(計分!AF393="","",計分!AF393^2)</f>
        <v/>
      </c>
      <c r="AG393">
        <f>IF(計分!AG393="","",計分!AG393^2)</f>
        <v/>
      </c>
      <c r="AH393">
        <f>IF(計分!AH393="","",計分!AH393^2)</f>
        <v/>
      </c>
      <c r="AI393">
        <f>IF(計分!AI393="","",計分!AI393^2)</f>
        <v/>
      </c>
      <c r="AJ393">
        <f>IF(計分!AJ393="","",計分!AJ393^2)</f>
        <v/>
      </c>
      <c r="AK393">
        <f>IF(計分!AK393="","",計分!AK393^2)</f>
        <v/>
      </c>
      <c r="AL393">
        <f>IF(計分!AL393="","",計分!AL393^2)</f>
        <v/>
      </c>
      <c r="AM393">
        <f>IF(計分!AM393="","",計分!AM393^2)</f>
        <v/>
      </c>
      <c r="AN393">
        <f>IF(計分!AN393="","",計分!AN393^2)</f>
        <v/>
      </c>
      <c r="AO393">
        <f>IF(計分!AO393="","",計分!AO393^2)</f>
        <v/>
      </c>
    </row>
    <row r="394">
      <c r="B394">
        <f>IF(計分!B394="","",計分!B394^2)</f>
        <v/>
      </c>
      <c r="C394">
        <f>IF(計分!C394="","",計分!C394^2)</f>
        <v/>
      </c>
      <c r="D394">
        <f>IF(計分!D394="","",計分!D394^2)</f>
        <v/>
      </c>
      <c r="E394">
        <f>IF(計分!E394="","",計分!E394^2)</f>
        <v/>
      </c>
      <c r="F394">
        <f>IF(計分!F394="","",計分!F394^2)</f>
        <v/>
      </c>
      <c r="G394">
        <f>IF(計分!G394="","",計分!G394^2)</f>
        <v/>
      </c>
      <c r="H394">
        <f>IF(計分!H394="","",計分!H394^2)</f>
        <v/>
      </c>
      <c r="I394">
        <f>IF(計分!I394="","",計分!I394^2)</f>
        <v/>
      </c>
      <c r="J394">
        <f>IF(計分!J394="","",計分!J394^2)</f>
        <v/>
      </c>
      <c r="K394">
        <f>IF(計分!K394="","",計分!K394^2)</f>
        <v/>
      </c>
      <c r="L394">
        <f>IF(計分!L394="","",計分!L394^2)</f>
        <v/>
      </c>
      <c r="M394">
        <f>IF(計分!M394="","",計分!M394^2)</f>
        <v/>
      </c>
      <c r="N394">
        <f>IF(計分!N394="","",計分!N394^2)</f>
        <v/>
      </c>
      <c r="O394">
        <f>IF(計分!O394="","",計分!O394^2)</f>
        <v/>
      </c>
      <c r="P394">
        <f>IF(計分!P394="","",計分!P394^2)</f>
        <v/>
      </c>
      <c r="Q394">
        <f>IF(計分!Q394="","",計分!Q394^2)</f>
        <v/>
      </c>
      <c r="R394">
        <f>IF(計分!R394="","",計分!R394^2)</f>
        <v/>
      </c>
      <c r="S394">
        <f>IF(計分!S394="","",計分!S394^2)</f>
        <v/>
      </c>
      <c r="T394">
        <f>IF(計分!T394="","",計分!T394^2)</f>
        <v/>
      </c>
      <c r="U394">
        <f>IF(計分!U394="","",計分!U394^2)</f>
        <v/>
      </c>
      <c r="V394">
        <f>IF(計分!V394="","",計分!V394^2)</f>
        <v/>
      </c>
      <c r="W394">
        <f>IF(計分!W394="","",計分!W394^2)</f>
        <v/>
      </c>
      <c r="X394">
        <f>IF(計分!X394="","",計分!X394^2)</f>
        <v/>
      </c>
      <c r="Y394">
        <f>IF(計分!Y394="","",計分!Y394^2)</f>
        <v/>
      </c>
      <c r="Z394">
        <f>IF(計分!Z394="","",計分!Z394^2)</f>
        <v/>
      </c>
      <c r="AA394">
        <f>IF(計分!AA394="","",計分!AA394^2)</f>
        <v/>
      </c>
      <c r="AB394">
        <f>IF(計分!AB394="","",計分!AB394^2)</f>
        <v/>
      </c>
      <c r="AC394">
        <f>IF(計分!AC394="","",計分!AC394^2)</f>
        <v/>
      </c>
      <c r="AD394">
        <f>IF(計分!AD394="","",計分!AD394^2)</f>
        <v/>
      </c>
      <c r="AE394">
        <f>IF(計分!AE394="","",計分!AE394^2)</f>
        <v/>
      </c>
      <c r="AF394">
        <f>IF(計分!AF394="","",計分!AF394^2)</f>
        <v/>
      </c>
      <c r="AG394">
        <f>IF(計分!AG394="","",計分!AG394^2)</f>
        <v/>
      </c>
      <c r="AH394">
        <f>IF(計分!AH394="","",計分!AH394^2)</f>
        <v/>
      </c>
      <c r="AI394">
        <f>IF(計分!AI394="","",計分!AI394^2)</f>
        <v/>
      </c>
      <c r="AJ394">
        <f>IF(計分!AJ394="","",計分!AJ394^2)</f>
        <v/>
      </c>
      <c r="AK394">
        <f>IF(計分!AK394="","",計分!AK394^2)</f>
        <v/>
      </c>
      <c r="AL394">
        <f>IF(計分!AL394="","",計分!AL394^2)</f>
        <v/>
      </c>
      <c r="AM394">
        <f>IF(計分!AM394="","",計分!AM394^2)</f>
        <v/>
      </c>
      <c r="AN394">
        <f>IF(計分!AN394="","",計分!AN394^2)</f>
        <v/>
      </c>
      <c r="AO394">
        <f>IF(計分!AO394="","",計分!AO394^2)</f>
        <v/>
      </c>
    </row>
    <row r="395">
      <c r="B395">
        <f>IF(計分!B395="","",計分!B395^2)</f>
        <v/>
      </c>
      <c r="C395">
        <f>IF(計分!C395="","",計分!C395^2)</f>
        <v/>
      </c>
      <c r="D395">
        <f>IF(計分!D395="","",計分!D395^2)</f>
        <v/>
      </c>
      <c r="E395">
        <f>IF(計分!E395="","",計分!E395^2)</f>
        <v/>
      </c>
      <c r="F395">
        <f>IF(計分!F395="","",計分!F395^2)</f>
        <v/>
      </c>
      <c r="G395">
        <f>IF(計分!G395="","",計分!G395^2)</f>
        <v/>
      </c>
      <c r="H395">
        <f>IF(計分!H395="","",計分!H395^2)</f>
        <v/>
      </c>
      <c r="I395">
        <f>IF(計分!I395="","",計分!I395^2)</f>
        <v/>
      </c>
      <c r="J395">
        <f>IF(計分!J395="","",計分!J395^2)</f>
        <v/>
      </c>
      <c r="K395">
        <f>IF(計分!K395="","",計分!K395^2)</f>
        <v/>
      </c>
      <c r="L395">
        <f>IF(計分!L395="","",計分!L395^2)</f>
        <v/>
      </c>
      <c r="M395">
        <f>IF(計分!M395="","",計分!M395^2)</f>
        <v/>
      </c>
      <c r="N395">
        <f>IF(計分!N395="","",計分!N395^2)</f>
        <v/>
      </c>
      <c r="O395">
        <f>IF(計分!O395="","",計分!O395^2)</f>
        <v/>
      </c>
      <c r="P395">
        <f>IF(計分!P395="","",計分!P395^2)</f>
        <v/>
      </c>
      <c r="Q395">
        <f>IF(計分!Q395="","",計分!Q395^2)</f>
        <v/>
      </c>
      <c r="R395">
        <f>IF(計分!R395="","",計分!R395^2)</f>
        <v/>
      </c>
      <c r="S395">
        <f>IF(計分!S395="","",計分!S395^2)</f>
        <v/>
      </c>
      <c r="T395">
        <f>IF(計分!T395="","",計分!T395^2)</f>
        <v/>
      </c>
      <c r="U395">
        <f>IF(計分!U395="","",計分!U395^2)</f>
        <v/>
      </c>
      <c r="V395">
        <f>IF(計分!V395="","",計分!V395^2)</f>
        <v/>
      </c>
      <c r="W395">
        <f>IF(計分!W395="","",計分!W395^2)</f>
        <v/>
      </c>
      <c r="X395">
        <f>IF(計分!X395="","",計分!X395^2)</f>
        <v/>
      </c>
      <c r="Y395">
        <f>IF(計分!Y395="","",計分!Y395^2)</f>
        <v/>
      </c>
      <c r="Z395">
        <f>IF(計分!Z395="","",計分!Z395^2)</f>
        <v/>
      </c>
      <c r="AA395">
        <f>IF(計分!AA395="","",計分!AA395^2)</f>
        <v/>
      </c>
      <c r="AB395">
        <f>IF(計分!AB395="","",計分!AB395^2)</f>
        <v/>
      </c>
      <c r="AC395">
        <f>IF(計分!AC395="","",計分!AC395^2)</f>
        <v/>
      </c>
      <c r="AD395">
        <f>IF(計分!AD395="","",計分!AD395^2)</f>
        <v/>
      </c>
      <c r="AE395">
        <f>IF(計分!AE395="","",計分!AE395^2)</f>
        <v/>
      </c>
      <c r="AF395">
        <f>IF(計分!AF395="","",計分!AF395^2)</f>
        <v/>
      </c>
      <c r="AG395">
        <f>IF(計分!AG395="","",計分!AG395^2)</f>
        <v/>
      </c>
      <c r="AH395">
        <f>IF(計分!AH395="","",計分!AH395^2)</f>
        <v/>
      </c>
      <c r="AI395">
        <f>IF(計分!AI395="","",計分!AI395^2)</f>
        <v/>
      </c>
      <c r="AJ395">
        <f>IF(計分!AJ395="","",計分!AJ395^2)</f>
        <v/>
      </c>
      <c r="AK395">
        <f>IF(計分!AK395="","",計分!AK395^2)</f>
        <v/>
      </c>
      <c r="AL395">
        <f>IF(計分!AL395="","",計分!AL395^2)</f>
        <v/>
      </c>
      <c r="AM395">
        <f>IF(計分!AM395="","",計分!AM395^2)</f>
        <v/>
      </c>
      <c r="AN395">
        <f>IF(計分!AN395="","",計分!AN395^2)</f>
        <v/>
      </c>
      <c r="AO395">
        <f>IF(計分!AO395="","",計分!AO395^2)</f>
        <v/>
      </c>
    </row>
    <row r="396">
      <c r="B396">
        <f>IF(計分!B396="","",計分!B396^2)</f>
        <v/>
      </c>
      <c r="C396">
        <f>IF(計分!C396="","",計分!C396^2)</f>
        <v/>
      </c>
      <c r="D396">
        <f>IF(計分!D396="","",計分!D396^2)</f>
        <v/>
      </c>
      <c r="E396">
        <f>IF(計分!E396="","",計分!E396^2)</f>
        <v/>
      </c>
      <c r="F396">
        <f>IF(計分!F396="","",計分!F396^2)</f>
        <v/>
      </c>
      <c r="G396">
        <f>IF(計分!G396="","",計分!G396^2)</f>
        <v/>
      </c>
      <c r="H396">
        <f>IF(計分!H396="","",計分!H396^2)</f>
        <v/>
      </c>
      <c r="I396">
        <f>IF(計分!I396="","",計分!I396^2)</f>
        <v/>
      </c>
      <c r="J396">
        <f>IF(計分!J396="","",計分!J396^2)</f>
        <v/>
      </c>
      <c r="K396">
        <f>IF(計分!K396="","",計分!K396^2)</f>
        <v/>
      </c>
      <c r="L396">
        <f>IF(計分!L396="","",計分!L396^2)</f>
        <v/>
      </c>
      <c r="M396">
        <f>IF(計分!M396="","",計分!M396^2)</f>
        <v/>
      </c>
      <c r="N396">
        <f>IF(計分!N396="","",計分!N396^2)</f>
        <v/>
      </c>
      <c r="O396">
        <f>IF(計分!O396="","",計分!O396^2)</f>
        <v/>
      </c>
      <c r="P396">
        <f>IF(計分!P396="","",計分!P396^2)</f>
        <v/>
      </c>
      <c r="Q396">
        <f>IF(計分!Q396="","",計分!Q396^2)</f>
        <v/>
      </c>
      <c r="R396">
        <f>IF(計分!R396="","",計分!R396^2)</f>
        <v/>
      </c>
      <c r="S396">
        <f>IF(計分!S396="","",計分!S396^2)</f>
        <v/>
      </c>
      <c r="T396">
        <f>IF(計分!T396="","",計分!T396^2)</f>
        <v/>
      </c>
      <c r="U396">
        <f>IF(計分!U396="","",計分!U396^2)</f>
        <v/>
      </c>
      <c r="V396">
        <f>IF(計分!V396="","",計分!V396^2)</f>
        <v/>
      </c>
      <c r="W396">
        <f>IF(計分!W396="","",計分!W396^2)</f>
        <v/>
      </c>
      <c r="X396">
        <f>IF(計分!X396="","",計分!X396^2)</f>
        <v/>
      </c>
      <c r="Y396">
        <f>IF(計分!Y396="","",計分!Y396^2)</f>
        <v/>
      </c>
      <c r="Z396">
        <f>IF(計分!Z396="","",計分!Z396^2)</f>
        <v/>
      </c>
      <c r="AA396">
        <f>IF(計分!AA396="","",計分!AA396^2)</f>
        <v/>
      </c>
      <c r="AB396">
        <f>IF(計分!AB396="","",計分!AB396^2)</f>
        <v/>
      </c>
      <c r="AC396">
        <f>IF(計分!AC396="","",計分!AC396^2)</f>
        <v/>
      </c>
      <c r="AD396">
        <f>IF(計分!AD396="","",計分!AD396^2)</f>
        <v/>
      </c>
      <c r="AE396">
        <f>IF(計分!AE396="","",計分!AE396^2)</f>
        <v/>
      </c>
      <c r="AF396">
        <f>IF(計分!AF396="","",計分!AF396^2)</f>
        <v/>
      </c>
      <c r="AG396">
        <f>IF(計分!AG396="","",計分!AG396^2)</f>
        <v/>
      </c>
      <c r="AH396">
        <f>IF(計分!AH396="","",計分!AH396^2)</f>
        <v/>
      </c>
      <c r="AI396">
        <f>IF(計分!AI396="","",計分!AI396^2)</f>
        <v/>
      </c>
      <c r="AJ396">
        <f>IF(計分!AJ396="","",計分!AJ396^2)</f>
        <v/>
      </c>
      <c r="AK396">
        <f>IF(計分!AK396="","",計分!AK396^2)</f>
        <v/>
      </c>
      <c r="AL396">
        <f>IF(計分!AL396="","",計分!AL396^2)</f>
        <v/>
      </c>
      <c r="AM396">
        <f>IF(計分!AM396="","",計分!AM396^2)</f>
        <v/>
      </c>
      <c r="AN396">
        <f>IF(計分!AN396="","",計分!AN396^2)</f>
        <v/>
      </c>
      <c r="AO396">
        <f>IF(計分!AO396="","",計分!AO396^2)</f>
        <v/>
      </c>
    </row>
    <row r="397">
      <c r="B397">
        <f>IF(計分!B397="","",計分!B397^2)</f>
        <v/>
      </c>
      <c r="C397">
        <f>IF(計分!C397="","",計分!C397^2)</f>
        <v/>
      </c>
      <c r="D397">
        <f>IF(計分!D397="","",計分!D397^2)</f>
        <v/>
      </c>
      <c r="E397">
        <f>IF(計分!E397="","",計分!E397^2)</f>
        <v/>
      </c>
      <c r="F397">
        <f>IF(計分!F397="","",計分!F397^2)</f>
        <v/>
      </c>
      <c r="G397">
        <f>IF(計分!G397="","",計分!G397^2)</f>
        <v/>
      </c>
      <c r="H397">
        <f>IF(計分!H397="","",計分!H397^2)</f>
        <v/>
      </c>
      <c r="I397">
        <f>IF(計分!I397="","",計分!I397^2)</f>
        <v/>
      </c>
      <c r="J397">
        <f>IF(計分!J397="","",計分!J397^2)</f>
        <v/>
      </c>
      <c r="K397">
        <f>IF(計分!K397="","",計分!K397^2)</f>
        <v/>
      </c>
      <c r="L397">
        <f>IF(計分!L397="","",計分!L397^2)</f>
        <v/>
      </c>
      <c r="M397">
        <f>IF(計分!M397="","",計分!M397^2)</f>
        <v/>
      </c>
      <c r="N397">
        <f>IF(計分!N397="","",計分!N397^2)</f>
        <v/>
      </c>
      <c r="O397">
        <f>IF(計分!O397="","",計分!O397^2)</f>
        <v/>
      </c>
      <c r="P397">
        <f>IF(計分!P397="","",計分!P397^2)</f>
        <v/>
      </c>
      <c r="Q397">
        <f>IF(計分!Q397="","",計分!Q397^2)</f>
        <v/>
      </c>
      <c r="R397">
        <f>IF(計分!R397="","",計分!R397^2)</f>
        <v/>
      </c>
      <c r="S397">
        <f>IF(計分!S397="","",計分!S397^2)</f>
        <v/>
      </c>
      <c r="T397">
        <f>IF(計分!T397="","",計分!T397^2)</f>
        <v/>
      </c>
      <c r="U397">
        <f>IF(計分!U397="","",計分!U397^2)</f>
        <v/>
      </c>
      <c r="V397">
        <f>IF(計分!V397="","",計分!V397^2)</f>
        <v/>
      </c>
      <c r="W397">
        <f>IF(計分!W397="","",計分!W397^2)</f>
        <v/>
      </c>
      <c r="X397">
        <f>IF(計分!X397="","",計分!X397^2)</f>
        <v/>
      </c>
      <c r="Y397">
        <f>IF(計分!Y397="","",計分!Y397^2)</f>
        <v/>
      </c>
      <c r="Z397">
        <f>IF(計分!Z397="","",計分!Z397^2)</f>
        <v/>
      </c>
      <c r="AA397">
        <f>IF(計分!AA397="","",計分!AA397^2)</f>
        <v/>
      </c>
      <c r="AB397">
        <f>IF(計分!AB397="","",計分!AB397^2)</f>
        <v/>
      </c>
      <c r="AC397">
        <f>IF(計分!AC397="","",計分!AC397^2)</f>
        <v/>
      </c>
      <c r="AD397">
        <f>IF(計分!AD397="","",計分!AD397^2)</f>
        <v/>
      </c>
      <c r="AE397">
        <f>IF(計分!AE397="","",計分!AE397^2)</f>
        <v/>
      </c>
      <c r="AF397">
        <f>IF(計分!AF397="","",計分!AF397^2)</f>
        <v/>
      </c>
      <c r="AG397">
        <f>IF(計分!AG397="","",計分!AG397^2)</f>
        <v/>
      </c>
      <c r="AH397">
        <f>IF(計分!AH397="","",計分!AH397^2)</f>
        <v/>
      </c>
      <c r="AI397">
        <f>IF(計分!AI397="","",計分!AI397^2)</f>
        <v/>
      </c>
      <c r="AJ397">
        <f>IF(計分!AJ397="","",計分!AJ397^2)</f>
        <v/>
      </c>
      <c r="AK397">
        <f>IF(計分!AK397="","",計分!AK397^2)</f>
        <v/>
      </c>
      <c r="AL397">
        <f>IF(計分!AL397="","",計分!AL397^2)</f>
        <v/>
      </c>
      <c r="AM397">
        <f>IF(計分!AM397="","",計分!AM397^2)</f>
        <v/>
      </c>
      <c r="AN397">
        <f>IF(計分!AN397="","",計分!AN397^2)</f>
        <v/>
      </c>
      <c r="AO397">
        <f>IF(計分!AO397="","",計分!AO397^2)</f>
        <v/>
      </c>
    </row>
    <row r="398">
      <c r="B398">
        <f>IF(計分!B398="","",計分!B398^2)</f>
        <v/>
      </c>
      <c r="C398">
        <f>IF(計分!C398="","",計分!C398^2)</f>
        <v/>
      </c>
      <c r="D398">
        <f>IF(計分!D398="","",計分!D398^2)</f>
        <v/>
      </c>
      <c r="E398">
        <f>IF(計分!E398="","",計分!E398^2)</f>
        <v/>
      </c>
      <c r="F398">
        <f>IF(計分!F398="","",計分!F398^2)</f>
        <v/>
      </c>
      <c r="G398">
        <f>IF(計分!G398="","",計分!G398^2)</f>
        <v/>
      </c>
      <c r="H398">
        <f>IF(計分!H398="","",計分!H398^2)</f>
        <v/>
      </c>
      <c r="I398">
        <f>IF(計分!I398="","",計分!I398^2)</f>
        <v/>
      </c>
      <c r="J398">
        <f>IF(計分!J398="","",計分!J398^2)</f>
        <v/>
      </c>
      <c r="K398">
        <f>IF(計分!K398="","",計分!K398^2)</f>
        <v/>
      </c>
      <c r="L398">
        <f>IF(計分!L398="","",計分!L398^2)</f>
        <v/>
      </c>
      <c r="M398">
        <f>IF(計分!M398="","",計分!M398^2)</f>
        <v/>
      </c>
      <c r="N398">
        <f>IF(計分!N398="","",計分!N398^2)</f>
        <v/>
      </c>
      <c r="O398">
        <f>IF(計分!O398="","",計分!O398^2)</f>
        <v/>
      </c>
      <c r="P398">
        <f>IF(計分!P398="","",計分!P398^2)</f>
        <v/>
      </c>
      <c r="Q398">
        <f>IF(計分!Q398="","",計分!Q398^2)</f>
        <v/>
      </c>
      <c r="R398">
        <f>IF(計分!R398="","",計分!R398^2)</f>
        <v/>
      </c>
      <c r="S398">
        <f>IF(計分!S398="","",計分!S398^2)</f>
        <v/>
      </c>
      <c r="T398">
        <f>IF(計分!T398="","",計分!T398^2)</f>
        <v/>
      </c>
      <c r="U398">
        <f>IF(計分!U398="","",計分!U398^2)</f>
        <v/>
      </c>
      <c r="V398">
        <f>IF(計分!V398="","",計分!V398^2)</f>
        <v/>
      </c>
      <c r="W398">
        <f>IF(計分!W398="","",計分!W398^2)</f>
        <v/>
      </c>
      <c r="X398">
        <f>IF(計分!X398="","",計分!X398^2)</f>
        <v/>
      </c>
      <c r="Y398">
        <f>IF(計分!Y398="","",計分!Y398^2)</f>
        <v/>
      </c>
      <c r="Z398">
        <f>IF(計分!Z398="","",計分!Z398^2)</f>
        <v/>
      </c>
      <c r="AA398">
        <f>IF(計分!AA398="","",計分!AA398^2)</f>
        <v/>
      </c>
      <c r="AB398">
        <f>IF(計分!AB398="","",計分!AB398^2)</f>
        <v/>
      </c>
      <c r="AC398">
        <f>IF(計分!AC398="","",計分!AC398^2)</f>
        <v/>
      </c>
      <c r="AD398">
        <f>IF(計分!AD398="","",計分!AD398^2)</f>
        <v/>
      </c>
      <c r="AE398">
        <f>IF(計分!AE398="","",計分!AE398^2)</f>
        <v/>
      </c>
      <c r="AF398">
        <f>IF(計分!AF398="","",計分!AF398^2)</f>
        <v/>
      </c>
      <c r="AG398">
        <f>IF(計分!AG398="","",計分!AG398^2)</f>
        <v/>
      </c>
      <c r="AH398">
        <f>IF(計分!AH398="","",計分!AH398^2)</f>
        <v/>
      </c>
      <c r="AI398">
        <f>IF(計分!AI398="","",計分!AI398^2)</f>
        <v/>
      </c>
      <c r="AJ398">
        <f>IF(計分!AJ398="","",計分!AJ398^2)</f>
        <v/>
      </c>
      <c r="AK398">
        <f>IF(計分!AK398="","",計分!AK398^2)</f>
        <v/>
      </c>
      <c r="AL398">
        <f>IF(計分!AL398="","",計分!AL398^2)</f>
        <v/>
      </c>
      <c r="AM398">
        <f>IF(計分!AM398="","",計分!AM398^2)</f>
        <v/>
      </c>
      <c r="AN398">
        <f>IF(計分!AN398="","",計分!AN398^2)</f>
        <v/>
      </c>
      <c r="AO398">
        <f>IF(計分!AO398="","",計分!AO398^2)</f>
        <v/>
      </c>
    </row>
    <row r="399">
      <c r="B399">
        <f>IF(計分!B399="","",計分!B399^2)</f>
        <v/>
      </c>
      <c r="C399">
        <f>IF(計分!C399="","",計分!C399^2)</f>
        <v/>
      </c>
      <c r="D399">
        <f>IF(計分!D399="","",計分!D399^2)</f>
        <v/>
      </c>
      <c r="E399">
        <f>IF(計分!E399="","",計分!E399^2)</f>
        <v/>
      </c>
      <c r="F399">
        <f>IF(計分!F399="","",計分!F399^2)</f>
        <v/>
      </c>
      <c r="G399">
        <f>IF(計分!G399="","",計分!G399^2)</f>
        <v/>
      </c>
      <c r="H399">
        <f>IF(計分!H399="","",計分!H399^2)</f>
        <v/>
      </c>
      <c r="I399">
        <f>IF(計分!I399="","",計分!I399^2)</f>
        <v/>
      </c>
      <c r="J399">
        <f>IF(計分!J399="","",計分!J399^2)</f>
        <v/>
      </c>
      <c r="K399">
        <f>IF(計分!K399="","",計分!K399^2)</f>
        <v/>
      </c>
      <c r="L399">
        <f>IF(計分!L399="","",計分!L399^2)</f>
        <v/>
      </c>
      <c r="M399">
        <f>IF(計分!M399="","",計分!M399^2)</f>
        <v/>
      </c>
      <c r="N399">
        <f>IF(計分!N399="","",計分!N399^2)</f>
        <v/>
      </c>
      <c r="O399">
        <f>IF(計分!O399="","",計分!O399^2)</f>
        <v/>
      </c>
      <c r="P399">
        <f>IF(計分!P399="","",計分!P399^2)</f>
        <v/>
      </c>
      <c r="Q399">
        <f>IF(計分!Q399="","",計分!Q399^2)</f>
        <v/>
      </c>
      <c r="R399">
        <f>IF(計分!R399="","",計分!R399^2)</f>
        <v/>
      </c>
      <c r="S399">
        <f>IF(計分!S399="","",計分!S399^2)</f>
        <v/>
      </c>
      <c r="T399">
        <f>IF(計分!T399="","",計分!T399^2)</f>
        <v/>
      </c>
      <c r="U399">
        <f>IF(計分!U399="","",計分!U399^2)</f>
        <v/>
      </c>
      <c r="V399">
        <f>IF(計分!V399="","",計分!V399^2)</f>
        <v/>
      </c>
      <c r="W399">
        <f>IF(計分!W399="","",計分!W399^2)</f>
        <v/>
      </c>
      <c r="X399">
        <f>IF(計分!X399="","",計分!X399^2)</f>
        <v/>
      </c>
      <c r="Y399">
        <f>IF(計分!Y399="","",計分!Y399^2)</f>
        <v/>
      </c>
      <c r="Z399">
        <f>IF(計分!Z399="","",計分!Z399^2)</f>
        <v/>
      </c>
      <c r="AA399">
        <f>IF(計分!AA399="","",計分!AA399^2)</f>
        <v/>
      </c>
      <c r="AB399">
        <f>IF(計分!AB399="","",計分!AB399^2)</f>
        <v/>
      </c>
      <c r="AC399">
        <f>IF(計分!AC399="","",計分!AC399^2)</f>
        <v/>
      </c>
      <c r="AD399">
        <f>IF(計分!AD399="","",計分!AD399^2)</f>
        <v/>
      </c>
      <c r="AE399">
        <f>IF(計分!AE399="","",計分!AE399^2)</f>
        <v/>
      </c>
      <c r="AF399">
        <f>IF(計分!AF399="","",計分!AF399^2)</f>
        <v/>
      </c>
      <c r="AG399">
        <f>IF(計分!AG399="","",計分!AG399^2)</f>
        <v/>
      </c>
      <c r="AH399">
        <f>IF(計分!AH399="","",計分!AH399^2)</f>
        <v/>
      </c>
      <c r="AI399">
        <f>IF(計分!AI399="","",計分!AI399^2)</f>
        <v/>
      </c>
      <c r="AJ399">
        <f>IF(計分!AJ399="","",計分!AJ399^2)</f>
        <v/>
      </c>
      <c r="AK399">
        <f>IF(計分!AK399="","",計分!AK399^2)</f>
        <v/>
      </c>
      <c r="AL399">
        <f>IF(計分!AL399="","",計分!AL399^2)</f>
        <v/>
      </c>
      <c r="AM399">
        <f>IF(計分!AM399="","",計分!AM399^2)</f>
        <v/>
      </c>
      <c r="AN399">
        <f>IF(計分!AN399="","",計分!AN399^2)</f>
        <v/>
      </c>
      <c r="AO399">
        <f>IF(計分!AO399="","",計分!AO399^2)</f>
        <v/>
      </c>
    </row>
    <row r="400">
      <c r="B400">
        <f>IF(計分!B400="","",計分!B400^2)</f>
        <v/>
      </c>
      <c r="C400">
        <f>IF(計分!C400="","",計分!C400^2)</f>
        <v/>
      </c>
      <c r="D400">
        <f>IF(計分!D400="","",計分!D400^2)</f>
        <v/>
      </c>
      <c r="E400">
        <f>IF(計分!E400="","",計分!E400^2)</f>
        <v/>
      </c>
      <c r="F400">
        <f>IF(計分!F400="","",計分!F400^2)</f>
        <v/>
      </c>
      <c r="G400">
        <f>IF(計分!G400="","",計分!G400^2)</f>
        <v/>
      </c>
      <c r="H400">
        <f>IF(計分!H400="","",計分!H400^2)</f>
        <v/>
      </c>
      <c r="I400">
        <f>IF(計分!I400="","",計分!I400^2)</f>
        <v/>
      </c>
      <c r="J400">
        <f>IF(計分!J400="","",計分!J400^2)</f>
        <v/>
      </c>
      <c r="K400">
        <f>IF(計分!K400="","",計分!K400^2)</f>
        <v/>
      </c>
      <c r="L400">
        <f>IF(計分!L400="","",計分!L400^2)</f>
        <v/>
      </c>
      <c r="M400">
        <f>IF(計分!M400="","",計分!M400^2)</f>
        <v/>
      </c>
      <c r="N400">
        <f>IF(計分!N400="","",計分!N400^2)</f>
        <v/>
      </c>
      <c r="O400">
        <f>IF(計分!O400="","",計分!O400^2)</f>
        <v/>
      </c>
      <c r="P400">
        <f>IF(計分!P400="","",計分!P400^2)</f>
        <v/>
      </c>
      <c r="Q400">
        <f>IF(計分!Q400="","",計分!Q400^2)</f>
        <v/>
      </c>
      <c r="R400">
        <f>IF(計分!R400="","",計分!R400^2)</f>
        <v/>
      </c>
      <c r="S400">
        <f>IF(計分!S400="","",計分!S400^2)</f>
        <v/>
      </c>
      <c r="T400">
        <f>IF(計分!T400="","",計分!T400^2)</f>
        <v/>
      </c>
      <c r="U400">
        <f>IF(計分!U400="","",計分!U400^2)</f>
        <v/>
      </c>
      <c r="V400">
        <f>IF(計分!V400="","",計分!V400^2)</f>
        <v/>
      </c>
      <c r="W400">
        <f>IF(計分!W400="","",計分!W400^2)</f>
        <v/>
      </c>
      <c r="X400">
        <f>IF(計分!X400="","",計分!X400^2)</f>
        <v/>
      </c>
      <c r="Y400">
        <f>IF(計分!Y400="","",計分!Y400^2)</f>
        <v/>
      </c>
      <c r="Z400">
        <f>IF(計分!Z400="","",計分!Z400^2)</f>
        <v/>
      </c>
      <c r="AA400">
        <f>IF(計分!AA400="","",計分!AA400^2)</f>
        <v/>
      </c>
      <c r="AB400">
        <f>IF(計分!AB400="","",計分!AB400^2)</f>
        <v/>
      </c>
      <c r="AC400">
        <f>IF(計分!AC400="","",計分!AC400^2)</f>
        <v/>
      </c>
      <c r="AD400">
        <f>IF(計分!AD400="","",計分!AD400^2)</f>
        <v/>
      </c>
      <c r="AE400">
        <f>IF(計分!AE400="","",計分!AE400^2)</f>
        <v/>
      </c>
      <c r="AF400">
        <f>IF(計分!AF400="","",計分!AF400^2)</f>
        <v/>
      </c>
      <c r="AG400">
        <f>IF(計分!AG400="","",計分!AG400^2)</f>
        <v/>
      </c>
      <c r="AH400">
        <f>IF(計分!AH400="","",計分!AH400^2)</f>
        <v/>
      </c>
      <c r="AI400">
        <f>IF(計分!AI400="","",計分!AI400^2)</f>
        <v/>
      </c>
      <c r="AJ400">
        <f>IF(計分!AJ400="","",計分!AJ400^2)</f>
        <v/>
      </c>
      <c r="AK400">
        <f>IF(計分!AK400="","",計分!AK400^2)</f>
        <v/>
      </c>
      <c r="AL400">
        <f>IF(計分!AL400="","",計分!AL400^2)</f>
        <v/>
      </c>
      <c r="AM400">
        <f>IF(計分!AM400="","",計分!AM400^2)</f>
        <v/>
      </c>
      <c r="AN400">
        <f>IF(計分!AN400="","",計分!AN400^2)</f>
        <v/>
      </c>
      <c r="AO400">
        <f>IF(計分!AO400="","",計分!AO400^2)</f>
        <v/>
      </c>
    </row>
    <row r="401">
      <c r="B401">
        <f>IF(計分!B401="","",計分!B401^2)</f>
        <v/>
      </c>
      <c r="C401">
        <f>IF(計分!C401="","",計分!C401^2)</f>
        <v/>
      </c>
      <c r="D401">
        <f>IF(計分!D401="","",計分!D401^2)</f>
        <v/>
      </c>
      <c r="E401">
        <f>IF(計分!E401="","",計分!E401^2)</f>
        <v/>
      </c>
      <c r="F401">
        <f>IF(計分!F401="","",計分!F401^2)</f>
        <v/>
      </c>
      <c r="G401">
        <f>IF(計分!G401="","",計分!G401^2)</f>
        <v/>
      </c>
      <c r="H401">
        <f>IF(計分!H401="","",計分!H401^2)</f>
        <v/>
      </c>
      <c r="I401">
        <f>IF(計分!I401="","",計分!I401^2)</f>
        <v/>
      </c>
      <c r="J401">
        <f>IF(計分!J401="","",計分!J401^2)</f>
        <v/>
      </c>
      <c r="K401">
        <f>IF(計分!K401="","",計分!K401^2)</f>
        <v/>
      </c>
      <c r="L401">
        <f>IF(計分!L401="","",計分!L401^2)</f>
        <v/>
      </c>
      <c r="M401">
        <f>IF(計分!M401="","",計分!M401^2)</f>
        <v/>
      </c>
      <c r="N401">
        <f>IF(計分!N401="","",計分!N401^2)</f>
        <v/>
      </c>
      <c r="O401">
        <f>IF(計分!O401="","",計分!O401^2)</f>
        <v/>
      </c>
      <c r="P401">
        <f>IF(計分!P401="","",計分!P401^2)</f>
        <v/>
      </c>
      <c r="Q401">
        <f>IF(計分!Q401="","",計分!Q401^2)</f>
        <v/>
      </c>
      <c r="R401">
        <f>IF(計分!R401="","",計分!R401^2)</f>
        <v/>
      </c>
      <c r="S401">
        <f>IF(計分!S401="","",計分!S401^2)</f>
        <v/>
      </c>
      <c r="T401">
        <f>IF(計分!T401="","",計分!T401^2)</f>
        <v/>
      </c>
      <c r="U401">
        <f>IF(計分!U401="","",計分!U401^2)</f>
        <v/>
      </c>
      <c r="V401">
        <f>IF(計分!V401="","",計分!V401^2)</f>
        <v/>
      </c>
      <c r="W401">
        <f>IF(計分!W401="","",計分!W401^2)</f>
        <v/>
      </c>
      <c r="X401">
        <f>IF(計分!X401="","",計分!X401^2)</f>
        <v/>
      </c>
      <c r="Y401">
        <f>IF(計分!Y401="","",計分!Y401^2)</f>
        <v/>
      </c>
      <c r="Z401">
        <f>IF(計分!Z401="","",計分!Z401^2)</f>
        <v/>
      </c>
      <c r="AA401">
        <f>IF(計分!AA401="","",計分!AA401^2)</f>
        <v/>
      </c>
      <c r="AB401">
        <f>IF(計分!AB401="","",計分!AB401^2)</f>
        <v/>
      </c>
      <c r="AC401">
        <f>IF(計分!AC401="","",計分!AC401^2)</f>
        <v/>
      </c>
      <c r="AD401">
        <f>IF(計分!AD401="","",計分!AD401^2)</f>
        <v/>
      </c>
      <c r="AE401">
        <f>IF(計分!AE401="","",計分!AE401^2)</f>
        <v/>
      </c>
      <c r="AF401">
        <f>IF(計分!AF401="","",計分!AF401^2)</f>
        <v/>
      </c>
      <c r="AG401">
        <f>IF(計分!AG401="","",計分!AG401^2)</f>
        <v/>
      </c>
      <c r="AH401">
        <f>IF(計分!AH401="","",計分!AH401^2)</f>
        <v/>
      </c>
      <c r="AI401">
        <f>IF(計分!AI401="","",計分!AI401^2)</f>
        <v/>
      </c>
      <c r="AJ401">
        <f>IF(計分!AJ401="","",計分!AJ401^2)</f>
        <v/>
      </c>
      <c r="AK401">
        <f>IF(計分!AK401="","",計分!AK401^2)</f>
        <v/>
      </c>
      <c r="AL401">
        <f>IF(計分!AL401="","",計分!AL401^2)</f>
        <v/>
      </c>
      <c r="AM401">
        <f>IF(計分!AM401="","",計分!AM401^2)</f>
        <v/>
      </c>
      <c r="AN401">
        <f>IF(計分!AN401="","",計分!AN401^2)</f>
        <v/>
      </c>
      <c r="AO401">
        <f>IF(計分!AO401="","",計分!AO401^2)</f>
        <v/>
      </c>
    </row>
    <row r="402">
      <c r="B402">
        <f>IF(計分!B402="","",計分!B402^2)</f>
        <v/>
      </c>
      <c r="C402">
        <f>IF(計分!C402="","",計分!C402^2)</f>
        <v/>
      </c>
      <c r="D402">
        <f>IF(計分!D402="","",計分!D402^2)</f>
        <v/>
      </c>
      <c r="E402">
        <f>IF(計分!E402="","",計分!E402^2)</f>
        <v/>
      </c>
      <c r="F402">
        <f>IF(計分!F402="","",計分!F402^2)</f>
        <v/>
      </c>
      <c r="G402">
        <f>IF(計分!G402="","",計分!G402^2)</f>
        <v/>
      </c>
      <c r="H402">
        <f>IF(計分!H402="","",計分!H402^2)</f>
        <v/>
      </c>
      <c r="I402">
        <f>IF(計分!I402="","",計分!I402^2)</f>
        <v/>
      </c>
      <c r="J402">
        <f>IF(計分!J402="","",計分!J402^2)</f>
        <v/>
      </c>
      <c r="K402">
        <f>IF(計分!K402="","",計分!K402^2)</f>
        <v/>
      </c>
      <c r="L402">
        <f>IF(計分!L402="","",計分!L402^2)</f>
        <v/>
      </c>
      <c r="M402">
        <f>IF(計分!M402="","",計分!M402^2)</f>
        <v/>
      </c>
      <c r="N402">
        <f>IF(計分!N402="","",計分!N402^2)</f>
        <v/>
      </c>
      <c r="O402">
        <f>IF(計分!O402="","",計分!O402^2)</f>
        <v/>
      </c>
      <c r="P402">
        <f>IF(計分!P402="","",計分!P402^2)</f>
        <v/>
      </c>
      <c r="Q402">
        <f>IF(計分!Q402="","",計分!Q402^2)</f>
        <v/>
      </c>
      <c r="R402">
        <f>IF(計分!R402="","",計分!R402^2)</f>
        <v/>
      </c>
      <c r="S402">
        <f>IF(計分!S402="","",計分!S402^2)</f>
        <v/>
      </c>
      <c r="T402">
        <f>IF(計分!T402="","",計分!T402^2)</f>
        <v/>
      </c>
      <c r="U402">
        <f>IF(計分!U402="","",計分!U402^2)</f>
        <v/>
      </c>
      <c r="V402">
        <f>IF(計分!V402="","",計分!V402^2)</f>
        <v/>
      </c>
      <c r="W402">
        <f>IF(計分!W402="","",計分!W402^2)</f>
        <v/>
      </c>
      <c r="X402">
        <f>IF(計分!X402="","",計分!X402^2)</f>
        <v/>
      </c>
      <c r="Y402">
        <f>IF(計分!Y402="","",計分!Y402^2)</f>
        <v/>
      </c>
      <c r="Z402">
        <f>IF(計分!Z402="","",計分!Z402^2)</f>
        <v/>
      </c>
      <c r="AA402">
        <f>IF(計分!AA402="","",計分!AA402^2)</f>
        <v/>
      </c>
      <c r="AB402">
        <f>IF(計分!AB402="","",計分!AB402^2)</f>
        <v/>
      </c>
      <c r="AC402">
        <f>IF(計分!AC402="","",計分!AC402^2)</f>
        <v/>
      </c>
      <c r="AD402">
        <f>IF(計分!AD402="","",計分!AD402^2)</f>
        <v/>
      </c>
      <c r="AE402">
        <f>IF(計分!AE402="","",計分!AE402^2)</f>
        <v/>
      </c>
      <c r="AF402">
        <f>IF(計分!AF402="","",計分!AF402^2)</f>
        <v/>
      </c>
      <c r="AG402">
        <f>IF(計分!AG402="","",計分!AG402^2)</f>
        <v/>
      </c>
      <c r="AH402">
        <f>IF(計分!AH402="","",計分!AH402^2)</f>
        <v/>
      </c>
      <c r="AI402">
        <f>IF(計分!AI402="","",計分!AI402^2)</f>
        <v/>
      </c>
      <c r="AJ402">
        <f>IF(計分!AJ402="","",計分!AJ402^2)</f>
        <v/>
      </c>
      <c r="AK402">
        <f>IF(計分!AK402="","",計分!AK402^2)</f>
        <v/>
      </c>
      <c r="AL402">
        <f>IF(計分!AL402="","",計分!AL402^2)</f>
        <v/>
      </c>
      <c r="AM402">
        <f>IF(計分!AM402="","",計分!AM402^2)</f>
        <v/>
      </c>
      <c r="AN402">
        <f>IF(計分!AN402="","",計分!AN402^2)</f>
        <v/>
      </c>
      <c r="AO402">
        <f>IF(計分!AO402="","",計分!AO402^2)</f>
        <v/>
      </c>
    </row>
    <row r="403">
      <c r="B403">
        <f>IF(計分!B403="","",計分!B403^2)</f>
        <v/>
      </c>
      <c r="C403">
        <f>IF(計分!C403="","",計分!C403^2)</f>
        <v/>
      </c>
      <c r="D403">
        <f>IF(計分!D403="","",計分!D403^2)</f>
        <v/>
      </c>
      <c r="E403">
        <f>IF(計分!E403="","",計分!E403^2)</f>
        <v/>
      </c>
      <c r="F403">
        <f>IF(計分!F403="","",計分!F403^2)</f>
        <v/>
      </c>
      <c r="G403">
        <f>IF(計分!G403="","",計分!G403^2)</f>
        <v/>
      </c>
      <c r="H403">
        <f>IF(計分!H403="","",計分!H403^2)</f>
        <v/>
      </c>
      <c r="I403">
        <f>IF(計分!I403="","",計分!I403^2)</f>
        <v/>
      </c>
      <c r="J403">
        <f>IF(計分!J403="","",計分!J403^2)</f>
        <v/>
      </c>
      <c r="K403">
        <f>IF(計分!K403="","",計分!K403^2)</f>
        <v/>
      </c>
      <c r="L403">
        <f>IF(計分!L403="","",計分!L403^2)</f>
        <v/>
      </c>
      <c r="M403">
        <f>IF(計分!M403="","",計分!M403^2)</f>
        <v/>
      </c>
      <c r="N403">
        <f>IF(計分!N403="","",計分!N403^2)</f>
        <v/>
      </c>
      <c r="O403">
        <f>IF(計分!O403="","",計分!O403^2)</f>
        <v/>
      </c>
      <c r="P403">
        <f>IF(計分!P403="","",計分!P403^2)</f>
        <v/>
      </c>
      <c r="Q403">
        <f>IF(計分!Q403="","",計分!Q403^2)</f>
        <v/>
      </c>
      <c r="R403">
        <f>IF(計分!R403="","",計分!R403^2)</f>
        <v/>
      </c>
      <c r="S403">
        <f>IF(計分!S403="","",計分!S403^2)</f>
        <v/>
      </c>
      <c r="T403">
        <f>IF(計分!T403="","",計分!T403^2)</f>
        <v/>
      </c>
      <c r="U403">
        <f>IF(計分!U403="","",計分!U403^2)</f>
        <v/>
      </c>
      <c r="V403">
        <f>IF(計分!V403="","",計分!V403^2)</f>
        <v/>
      </c>
      <c r="W403">
        <f>IF(計分!W403="","",計分!W403^2)</f>
        <v/>
      </c>
      <c r="X403">
        <f>IF(計分!X403="","",計分!X403^2)</f>
        <v/>
      </c>
      <c r="Y403">
        <f>IF(計分!Y403="","",計分!Y403^2)</f>
        <v/>
      </c>
      <c r="Z403">
        <f>IF(計分!Z403="","",計分!Z403^2)</f>
        <v/>
      </c>
      <c r="AA403">
        <f>IF(計分!AA403="","",計分!AA403^2)</f>
        <v/>
      </c>
      <c r="AB403">
        <f>IF(計分!AB403="","",計分!AB403^2)</f>
        <v/>
      </c>
      <c r="AC403">
        <f>IF(計分!AC403="","",計分!AC403^2)</f>
        <v/>
      </c>
      <c r="AD403">
        <f>IF(計分!AD403="","",計分!AD403^2)</f>
        <v/>
      </c>
      <c r="AE403">
        <f>IF(計分!AE403="","",計分!AE403^2)</f>
        <v/>
      </c>
      <c r="AF403">
        <f>IF(計分!AF403="","",計分!AF403^2)</f>
        <v/>
      </c>
      <c r="AG403">
        <f>IF(計分!AG403="","",計分!AG403^2)</f>
        <v/>
      </c>
      <c r="AH403">
        <f>IF(計分!AH403="","",計分!AH403^2)</f>
        <v/>
      </c>
      <c r="AI403">
        <f>IF(計分!AI403="","",計分!AI403^2)</f>
        <v/>
      </c>
      <c r="AJ403">
        <f>IF(計分!AJ403="","",計分!AJ403^2)</f>
        <v/>
      </c>
      <c r="AK403">
        <f>IF(計分!AK403="","",計分!AK403^2)</f>
        <v/>
      </c>
      <c r="AL403">
        <f>IF(計分!AL403="","",計分!AL403^2)</f>
        <v/>
      </c>
      <c r="AM403">
        <f>IF(計分!AM403="","",計分!AM403^2)</f>
        <v/>
      </c>
      <c r="AN403">
        <f>IF(計分!AN403="","",計分!AN403^2)</f>
        <v/>
      </c>
      <c r="AO403">
        <f>IF(計分!AO403="","",計分!AO403^2)</f>
        <v/>
      </c>
    </row>
    <row r="404">
      <c r="B404">
        <f>IF(計分!B404="","",計分!B404^2)</f>
        <v/>
      </c>
      <c r="C404">
        <f>IF(計分!C404="","",計分!C404^2)</f>
        <v/>
      </c>
      <c r="D404">
        <f>IF(計分!D404="","",計分!D404^2)</f>
        <v/>
      </c>
      <c r="E404">
        <f>IF(計分!E404="","",計分!E404^2)</f>
        <v/>
      </c>
      <c r="F404">
        <f>IF(計分!F404="","",計分!F404^2)</f>
        <v/>
      </c>
      <c r="G404">
        <f>IF(計分!G404="","",計分!G404^2)</f>
        <v/>
      </c>
      <c r="H404">
        <f>IF(計分!H404="","",計分!H404^2)</f>
        <v/>
      </c>
      <c r="I404">
        <f>IF(計分!I404="","",計分!I404^2)</f>
        <v/>
      </c>
      <c r="J404">
        <f>IF(計分!J404="","",計分!J404^2)</f>
        <v/>
      </c>
      <c r="K404">
        <f>IF(計分!K404="","",計分!K404^2)</f>
        <v/>
      </c>
      <c r="L404">
        <f>IF(計分!L404="","",計分!L404^2)</f>
        <v/>
      </c>
      <c r="M404">
        <f>IF(計分!M404="","",計分!M404^2)</f>
        <v/>
      </c>
      <c r="N404">
        <f>IF(計分!N404="","",計分!N404^2)</f>
        <v/>
      </c>
      <c r="O404">
        <f>IF(計分!O404="","",計分!O404^2)</f>
        <v/>
      </c>
      <c r="P404">
        <f>IF(計分!P404="","",計分!P404^2)</f>
        <v/>
      </c>
      <c r="Q404">
        <f>IF(計分!Q404="","",計分!Q404^2)</f>
        <v/>
      </c>
      <c r="R404">
        <f>IF(計分!R404="","",計分!R404^2)</f>
        <v/>
      </c>
      <c r="S404">
        <f>IF(計分!S404="","",計分!S404^2)</f>
        <v/>
      </c>
      <c r="T404">
        <f>IF(計分!T404="","",計分!T404^2)</f>
        <v/>
      </c>
      <c r="U404">
        <f>IF(計分!U404="","",計分!U404^2)</f>
        <v/>
      </c>
      <c r="V404">
        <f>IF(計分!V404="","",計分!V404^2)</f>
        <v/>
      </c>
      <c r="W404">
        <f>IF(計分!W404="","",計分!W404^2)</f>
        <v/>
      </c>
      <c r="X404">
        <f>IF(計分!X404="","",計分!X404^2)</f>
        <v/>
      </c>
      <c r="Y404">
        <f>IF(計分!Y404="","",計分!Y404^2)</f>
        <v/>
      </c>
      <c r="Z404">
        <f>IF(計分!Z404="","",計分!Z404^2)</f>
        <v/>
      </c>
      <c r="AA404">
        <f>IF(計分!AA404="","",計分!AA404^2)</f>
        <v/>
      </c>
      <c r="AB404">
        <f>IF(計分!AB404="","",計分!AB404^2)</f>
        <v/>
      </c>
      <c r="AC404">
        <f>IF(計分!AC404="","",計分!AC404^2)</f>
        <v/>
      </c>
      <c r="AD404">
        <f>IF(計分!AD404="","",計分!AD404^2)</f>
        <v/>
      </c>
      <c r="AE404">
        <f>IF(計分!AE404="","",計分!AE404^2)</f>
        <v/>
      </c>
      <c r="AF404">
        <f>IF(計分!AF404="","",計分!AF404^2)</f>
        <v/>
      </c>
      <c r="AG404">
        <f>IF(計分!AG404="","",計分!AG404^2)</f>
        <v/>
      </c>
      <c r="AH404">
        <f>IF(計分!AH404="","",計分!AH404^2)</f>
        <v/>
      </c>
      <c r="AI404">
        <f>IF(計分!AI404="","",計分!AI404^2)</f>
        <v/>
      </c>
      <c r="AJ404">
        <f>IF(計分!AJ404="","",計分!AJ404^2)</f>
        <v/>
      </c>
      <c r="AK404">
        <f>IF(計分!AK404="","",計分!AK404^2)</f>
        <v/>
      </c>
      <c r="AL404">
        <f>IF(計分!AL404="","",計分!AL404^2)</f>
        <v/>
      </c>
      <c r="AM404">
        <f>IF(計分!AM404="","",計分!AM404^2)</f>
        <v/>
      </c>
      <c r="AN404">
        <f>IF(計分!AN404="","",計分!AN404^2)</f>
        <v/>
      </c>
      <c r="AO404">
        <f>IF(計分!AO404="","",計分!AO404^2)</f>
        <v/>
      </c>
    </row>
    <row r="405">
      <c r="B405">
        <f>IF(計分!B405="","",計分!B405^2)</f>
        <v/>
      </c>
      <c r="C405">
        <f>IF(計分!C405="","",計分!C405^2)</f>
        <v/>
      </c>
      <c r="D405">
        <f>IF(計分!D405="","",計分!D405^2)</f>
        <v/>
      </c>
      <c r="E405">
        <f>IF(計分!E405="","",計分!E405^2)</f>
        <v/>
      </c>
      <c r="F405">
        <f>IF(計分!F405="","",計分!F405^2)</f>
        <v/>
      </c>
      <c r="G405">
        <f>IF(計分!G405="","",計分!G405^2)</f>
        <v/>
      </c>
      <c r="H405">
        <f>IF(計分!H405="","",計分!H405^2)</f>
        <v/>
      </c>
      <c r="I405">
        <f>IF(計分!I405="","",計分!I405^2)</f>
        <v/>
      </c>
      <c r="J405">
        <f>IF(計分!J405="","",計分!J405^2)</f>
        <v/>
      </c>
      <c r="K405">
        <f>IF(計分!K405="","",計分!K405^2)</f>
        <v/>
      </c>
      <c r="L405">
        <f>IF(計分!L405="","",計分!L405^2)</f>
        <v/>
      </c>
      <c r="M405">
        <f>IF(計分!M405="","",計分!M405^2)</f>
        <v/>
      </c>
      <c r="N405">
        <f>IF(計分!N405="","",計分!N405^2)</f>
        <v/>
      </c>
      <c r="O405">
        <f>IF(計分!O405="","",計分!O405^2)</f>
        <v/>
      </c>
      <c r="P405">
        <f>IF(計分!P405="","",計分!P405^2)</f>
        <v/>
      </c>
      <c r="Q405">
        <f>IF(計分!Q405="","",計分!Q405^2)</f>
        <v/>
      </c>
      <c r="R405">
        <f>IF(計分!R405="","",計分!R405^2)</f>
        <v/>
      </c>
      <c r="S405">
        <f>IF(計分!S405="","",計分!S405^2)</f>
        <v/>
      </c>
      <c r="T405">
        <f>IF(計分!T405="","",計分!T405^2)</f>
        <v/>
      </c>
      <c r="U405">
        <f>IF(計分!U405="","",計分!U405^2)</f>
        <v/>
      </c>
      <c r="V405">
        <f>IF(計分!V405="","",計分!V405^2)</f>
        <v/>
      </c>
      <c r="W405">
        <f>IF(計分!W405="","",計分!W405^2)</f>
        <v/>
      </c>
      <c r="X405">
        <f>IF(計分!X405="","",計分!X405^2)</f>
        <v/>
      </c>
      <c r="Y405">
        <f>IF(計分!Y405="","",計分!Y405^2)</f>
        <v/>
      </c>
      <c r="Z405">
        <f>IF(計分!Z405="","",計分!Z405^2)</f>
        <v/>
      </c>
      <c r="AA405">
        <f>IF(計分!AA405="","",計分!AA405^2)</f>
        <v/>
      </c>
      <c r="AB405">
        <f>IF(計分!AB405="","",計分!AB405^2)</f>
        <v/>
      </c>
      <c r="AC405">
        <f>IF(計分!AC405="","",計分!AC405^2)</f>
        <v/>
      </c>
      <c r="AD405">
        <f>IF(計分!AD405="","",計分!AD405^2)</f>
        <v/>
      </c>
      <c r="AE405">
        <f>IF(計分!AE405="","",計分!AE405^2)</f>
        <v/>
      </c>
      <c r="AF405">
        <f>IF(計分!AF405="","",計分!AF405^2)</f>
        <v/>
      </c>
      <c r="AG405">
        <f>IF(計分!AG405="","",計分!AG405^2)</f>
        <v/>
      </c>
      <c r="AH405">
        <f>IF(計分!AH405="","",計分!AH405^2)</f>
        <v/>
      </c>
      <c r="AI405">
        <f>IF(計分!AI405="","",計分!AI405^2)</f>
        <v/>
      </c>
      <c r="AJ405">
        <f>IF(計分!AJ405="","",計分!AJ405^2)</f>
        <v/>
      </c>
      <c r="AK405">
        <f>IF(計分!AK405="","",計分!AK405^2)</f>
        <v/>
      </c>
      <c r="AL405">
        <f>IF(計分!AL405="","",計分!AL405^2)</f>
        <v/>
      </c>
      <c r="AM405">
        <f>IF(計分!AM405="","",計分!AM405^2)</f>
        <v/>
      </c>
      <c r="AN405">
        <f>IF(計分!AN405="","",計分!AN405^2)</f>
        <v/>
      </c>
      <c r="AO405">
        <f>IF(計分!AO405="","",計分!AO405^2)</f>
        <v/>
      </c>
    </row>
    <row r="406">
      <c r="B406">
        <f>IF(計分!B406="","",計分!B406^2)</f>
        <v/>
      </c>
      <c r="C406">
        <f>IF(計分!C406="","",計分!C406^2)</f>
        <v/>
      </c>
      <c r="D406">
        <f>IF(計分!D406="","",計分!D406^2)</f>
        <v/>
      </c>
      <c r="E406">
        <f>IF(計分!E406="","",計分!E406^2)</f>
        <v/>
      </c>
      <c r="F406">
        <f>IF(計分!F406="","",計分!F406^2)</f>
        <v/>
      </c>
      <c r="G406">
        <f>IF(計分!G406="","",計分!G406^2)</f>
        <v/>
      </c>
      <c r="H406">
        <f>IF(計分!H406="","",計分!H406^2)</f>
        <v/>
      </c>
      <c r="I406">
        <f>IF(計分!I406="","",計分!I406^2)</f>
        <v/>
      </c>
      <c r="J406">
        <f>IF(計分!J406="","",計分!J406^2)</f>
        <v/>
      </c>
      <c r="K406">
        <f>IF(計分!K406="","",計分!K406^2)</f>
        <v/>
      </c>
      <c r="L406">
        <f>IF(計分!L406="","",計分!L406^2)</f>
        <v/>
      </c>
      <c r="M406">
        <f>IF(計分!M406="","",計分!M406^2)</f>
        <v/>
      </c>
      <c r="N406">
        <f>IF(計分!N406="","",計分!N406^2)</f>
        <v/>
      </c>
      <c r="O406">
        <f>IF(計分!O406="","",計分!O406^2)</f>
        <v/>
      </c>
      <c r="P406">
        <f>IF(計分!P406="","",計分!P406^2)</f>
        <v/>
      </c>
      <c r="Q406">
        <f>IF(計分!Q406="","",計分!Q406^2)</f>
        <v/>
      </c>
      <c r="R406">
        <f>IF(計分!R406="","",計分!R406^2)</f>
        <v/>
      </c>
      <c r="S406">
        <f>IF(計分!S406="","",計分!S406^2)</f>
        <v/>
      </c>
      <c r="T406">
        <f>IF(計分!T406="","",計分!T406^2)</f>
        <v/>
      </c>
      <c r="U406">
        <f>IF(計分!U406="","",計分!U406^2)</f>
        <v/>
      </c>
      <c r="V406">
        <f>IF(計分!V406="","",計分!V406^2)</f>
        <v/>
      </c>
      <c r="W406">
        <f>IF(計分!W406="","",計分!W406^2)</f>
        <v/>
      </c>
      <c r="X406">
        <f>IF(計分!X406="","",計分!X406^2)</f>
        <v/>
      </c>
      <c r="Y406">
        <f>IF(計分!Y406="","",計分!Y406^2)</f>
        <v/>
      </c>
      <c r="Z406">
        <f>IF(計分!Z406="","",計分!Z406^2)</f>
        <v/>
      </c>
      <c r="AA406">
        <f>IF(計分!AA406="","",計分!AA406^2)</f>
        <v/>
      </c>
      <c r="AB406">
        <f>IF(計分!AB406="","",計分!AB406^2)</f>
        <v/>
      </c>
      <c r="AC406">
        <f>IF(計分!AC406="","",計分!AC406^2)</f>
        <v/>
      </c>
      <c r="AD406">
        <f>IF(計分!AD406="","",計分!AD406^2)</f>
        <v/>
      </c>
      <c r="AE406">
        <f>IF(計分!AE406="","",計分!AE406^2)</f>
        <v/>
      </c>
      <c r="AF406">
        <f>IF(計分!AF406="","",計分!AF406^2)</f>
        <v/>
      </c>
      <c r="AG406">
        <f>IF(計分!AG406="","",計分!AG406^2)</f>
        <v/>
      </c>
      <c r="AH406">
        <f>IF(計分!AH406="","",計分!AH406^2)</f>
        <v/>
      </c>
      <c r="AI406">
        <f>IF(計分!AI406="","",計分!AI406^2)</f>
        <v/>
      </c>
      <c r="AJ406">
        <f>IF(計分!AJ406="","",計分!AJ406^2)</f>
        <v/>
      </c>
      <c r="AK406">
        <f>IF(計分!AK406="","",計分!AK406^2)</f>
        <v/>
      </c>
      <c r="AL406">
        <f>IF(計分!AL406="","",計分!AL406^2)</f>
        <v/>
      </c>
      <c r="AM406">
        <f>IF(計分!AM406="","",計分!AM406^2)</f>
        <v/>
      </c>
      <c r="AN406">
        <f>IF(計分!AN406="","",計分!AN406^2)</f>
        <v/>
      </c>
      <c r="AO406">
        <f>IF(計分!AO406="","",計分!AO406^2)</f>
        <v/>
      </c>
    </row>
    <row r="407">
      <c r="B407">
        <f>IF(計分!B407="","",計分!B407^2)</f>
        <v/>
      </c>
      <c r="C407">
        <f>IF(計分!C407="","",計分!C407^2)</f>
        <v/>
      </c>
      <c r="D407">
        <f>IF(計分!D407="","",計分!D407^2)</f>
        <v/>
      </c>
      <c r="E407">
        <f>IF(計分!E407="","",計分!E407^2)</f>
        <v/>
      </c>
      <c r="F407">
        <f>IF(計分!F407="","",計分!F407^2)</f>
        <v/>
      </c>
      <c r="G407">
        <f>IF(計分!G407="","",計分!G407^2)</f>
        <v/>
      </c>
      <c r="H407">
        <f>IF(計分!H407="","",計分!H407^2)</f>
        <v/>
      </c>
      <c r="I407">
        <f>IF(計分!I407="","",計分!I407^2)</f>
        <v/>
      </c>
      <c r="J407">
        <f>IF(計分!J407="","",計分!J407^2)</f>
        <v/>
      </c>
      <c r="K407">
        <f>IF(計分!K407="","",計分!K407^2)</f>
        <v/>
      </c>
      <c r="L407">
        <f>IF(計分!L407="","",計分!L407^2)</f>
        <v/>
      </c>
      <c r="M407">
        <f>IF(計分!M407="","",計分!M407^2)</f>
        <v/>
      </c>
      <c r="N407">
        <f>IF(計分!N407="","",計分!N407^2)</f>
        <v/>
      </c>
      <c r="O407">
        <f>IF(計分!O407="","",計分!O407^2)</f>
        <v/>
      </c>
      <c r="P407">
        <f>IF(計分!P407="","",計分!P407^2)</f>
        <v/>
      </c>
      <c r="Q407">
        <f>IF(計分!Q407="","",計分!Q407^2)</f>
        <v/>
      </c>
      <c r="R407">
        <f>IF(計分!R407="","",計分!R407^2)</f>
        <v/>
      </c>
      <c r="S407">
        <f>IF(計分!S407="","",計分!S407^2)</f>
        <v/>
      </c>
      <c r="T407">
        <f>IF(計分!T407="","",計分!T407^2)</f>
        <v/>
      </c>
      <c r="U407">
        <f>IF(計分!U407="","",計分!U407^2)</f>
        <v/>
      </c>
      <c r="V407">
        <f>IF(計分!V407="","",計分!V407^2)</f>
        <v/>
      </c>
      <c r="W407">
        <f>IF(計分!W407="","",計分!W407^2)</f>
        <v/>
      </c>
      <c r="X407">
        <f>IF(計分!X407="","",計分!X407^2)</f>
        <v/>
      </c>
      <c r="Y407">
        <f>IF(計分!Y407="","",計分!Y407^2)</f>
        <v/>
      </c>
      <c r="Z407">
        <f>IF(計分!Z407="","",計分!Z407^2)</f>
        <v/>
      </c>
      <c r="AA407">
        <f>IF(計分!AA407="","",計分!AA407^2)</f>
        <v/>
      </c>
      <c r="AB407">
        <f>IF(計分!AB407="","",計分!AB407^2)</f>
        <v/>
      </c>
      <c r="AC407">
        <f>IF(計分!AC407="","",計分!AC407^2)</f>
        <v/>
      </c>
      <c r="AD407">
        <f>IF(計分!AD407="","",計分!AD407^2)</f>
        <v/>
      </c>
      <c r="AE407">
        <f>IF(計分!AE407="","",計分!AE407^2)</f>
        <v/>
      </c>
      <c r="AF407">
        <f>IF(計分!AF407="","",計分!AF407^2)</f>
        <v/>
      </c>
      <c r="AG407">
        <f>IF(計分!AG407="","",計分!AG407^2)</f>
        <v/>
      </c>
      <c r="AH407">
        <f>IF(計分!AH407="","",計分!AH407^2)</f>
        <v/>
      </c>
      <c r="AI407">
        <f>IF(計分!AI407="","",計分!AI407^2)</f>
        <v/>
      </c>
      <c r="AJ407">
        <f>IF(計分!AJ407="","",計分!AJ407^2)</f>
        <v/>
      </c>
      <c r="AK407">
        <f>IF(計分!AK407="","",計分!AK407^2)</f>
        <v/>
      </c>
      <c r="AL407">
        <f>IF(計分!AL407="","",計分!AL407^2)</f>
        <v/>
      </c>
      <c r="AM407">
        <f>IF(計分!AM407="","",計分!AM407^2)</f>
        <v/>
      </c>
      <c r="AN407">
        <f>IF(計分!AN407="","",計分!AN407^2)</f>
        <v/>
      </c>
      <c r="AO407">
        <f>IF(計分!AO407="","",計分!AO407^2)</f>
        <v/>
      </c>
    </row>
    <row r="408">
      <c r="B408">
        <f>IF(計分!B408="","",計分!B408^2)</f>
        <v/>
      </c>
      <c r="C408">
        <f>IF(計分!C408="","",計分!C408^2)</f>
        <v/>
      </c>
      <c r="D408">
        <f>IF(計分!D408="","",計分!D408^2)</f>
        <v/>
      </c>
      <c r="E408">
        <f>IF(計分!E408="","",計分!E408^2)</f>
        <v/>
      </c>
      <c r="F408">
        <f>IF(計分!F408="","",計分!F408^2)</f>
        <v/>
      </c>
      <c r="G408">
        <f>IF(計分!G408="","",計分!G408^2)</f>
        <v/>
      </c>
      <c r="H408">
        <f>IF(計分!H408="","",計分!H408^2)</f>
        <v/>
      </c>
      <c r="I408">
        <f>IF(計分!I408="","",計分!I408^2)</f>
        <v/>
      </c>
      <c r="J408">
        <f>IF(計分!J408="","",計分!J408^2)</f>
        <v/>
      </c>
      <c r="K408">
        <f>IF(計分!K408="","",計分!K408^2)</f>
        <v/>
      </c>
      <c r="L408">
        <f>IF(計分!L408="","",計分!L408^2)</f>
        <v/>
      </c>
      <c r="M408">
        <f>IF(計分!M408="","",計分!M408^2)</f>
        <v/>
      </c>
      <c r="N408">
        <f>IF(計分!N408="","",計分!N408^2)</f>
        <v/>
      </c>
      <c r="O408">
        <f>IF(計分!O408="","",計分!O408^2)</f>
        <v/>
      </c>
      <c r="P408">
        <f>IF(計分!P408="","",計分!P408^2)</f>
        <v/>
      </c>
      <c r="Q408">
        <f>IF(計分!Q408="","",計分!Q408^2)</f>
        <v/>
      </c>
      <c r="R408">
        <f>IF(計分!R408="","",計分!R408^2)</f>
        <v/>
      </c>
      <c r="S408">
        <f>IF(計分!S408="","",計分!S408^2)</f>
        <v/>
      </c>
      <c r="T408">
        <f>IF(計分!T408="","",計分!T408^2)</f>
        <v/>
      </c>
      <c r="U408">
        <f>IF(計分!U408="","",計分!U408^2)</f>
        <v/>
      </c>
      <c r="V408">
        <f>IF(計分!V408="","",計分!V408^2)</f>
        <v/>
      </c>
      <c r="W408">
        <f>IF(計分!W408="","",計分!W408^2)</f>
        <v/>
      </c>
      <c r="X408">
        <f>IF(計分!X408="","",計分!X408^2)</f>
        <v/>
      </c>
      <c r="Y408">
        <f>IF(計分!Y408="","",計分!Y408^2)</f>
        <v/>
      </c>
      <c r="Z408">
        <f>IF(計分!Z408="","",計分!Z408^2)</f>
        <v/>
      </c>
      <c r="AA408">
        <f>IF(計分!AA408="","",計分!AA408^2)</f>
        <v/>
      </c>
      <c r="AB408">
        <f>IF(計分!AB408="","",計分!AB408^2)</f>
        <v/>
      </c>
      <c r="AC408">
        <f>IF(計分!AC408="","",計分!AC408^2)</f>
        <v/>
      </c>
      <c r="AD408">
        <f>IF(計分!AD408="","",計分!AD408^2)</f>
        <v/>
      </c>
      <c r="AE408">
        <f>IF(計分!AE408="","",計分!AE408^2)</f>
        <v/>
      </c>
      <c r="AF408">
        <f>IF(計分!AF408="","",計分!AF408^2)</f>
        <v/>
      </c>
      <c r="AG408">
        <f>IF(計分!AG408="","",計分!AG408^2)</f>
        <v/>
      </c>
      <c r="AH408">
        <f>IF(計分!AH408="","",計分!AH408^2)</f>
        <v/>
      </c>
      <c r="AI408">
        <f>IF(計分!AI408="","",計分!AI408^2)</f>
        <v/>
      </c>
      <c r="AJ408">
        <f>IF(計分!AJ408="","",計分!AJ408^2)</f>
        <v/>
      </c>
      <c r="AK408">
        <f>IF(計分!AK408="","",計分!AK408^2)</f>
        <v/>
      </c>
      <c r="AL408">
        <f>IF(計分!AL408="","",計分!AL408^2)</f>
        <v/>
      </c>
      <c r="AM408">
        <f>IF(計分!AM408="","",計分!AM408^2)</f>
        <v/>
      </c>
      <c r="AN408">
        <f>IF(計分!AN408="","",計分!AN408^2)</f>
        <v/>
      </c>
      <c r="AO408">
        <f>IF(計分!AO408="","",計分!AO408^2)</f>
        <v/>
      </c>
    </row>
    <row r="409">
      <c r="B409">
        <f>IF(計分!B409="","",計分!B409^2)</f>
        <v/>
      </c>
      <c r="C409">
        <f>IF(計分!C409="","",計分!C409^2)</f>
        <v/>
      </c>
      <c r="D409">
        <f>IF(計分!D409="","",計分!D409^2)</f>
        <v/>
      </c>
      <c r="E409">
        <f>IF(計分!E409="","",計分!E409^2)</f>
        <v/>
      </c>
      <c r="F409">
        <f>IF(計分!F409="","",計分!F409^2)</f>
        <v/>
      </c>
      <c r="G409">
        <f>IF(計分!G409="","",計分!G409^2)</f>
        <v/>
      </c>
      <c r="H409">
        <f>IF(計分!H409="","",計分!H409^2)</f>
        <v/>
      </c>
      <c r="I409">
        <f>IF(計分!I409="","",計分!I409^2)</f>
        <v/>
      </c>
      <c r="J409">
        <f>IF(計分!J409="","",計分!J409^2)</f>
        <v/>
      </c>
      <c r="K409">
        <f>IF(計分!K409="","",計分!K409^2)</f>
        <v/>
      </c>
      <c r="L409">
        <f>IF(計分!L409="","",計分!L409^2)</f>
        <v/>
      </c>
      <c r="M409">
        <f>IF(計分!M409="","",計分!M409^2)</f>
        <v/>
      </c>
      <c r="N409">
        <f>IF(計分!N409="","",計分!N409^2)</f>
        <v/>
      </c>
      <c r="O409">
        <f>IF(計分!O409="","",計分!O409^2)</f>
        <v/>
      </c>
      <c r="P409">
        <f>IF(計分!P409="","",計分!P409^2)</f>
        <v/>
      </c>
      <c r="Q409">
        <f>IF(計分!Q409="","",計分!Q409^2)</f>
        <v/>
      </c>
      <c r="R409">
        <f>IF(計分!R409="","",計分!R409^2)</f>
        <v/>
      </c>
      <c r="S409">
        <f>IF(計分!S409="","",計分!S409^2)</f>
        <v/>
      </c>
      <c r="T409">
        <f>IF(計分!T409="","",計分!T409^2)</f>
        <v/>
      </c>
      <c r="U409">
        <f>IF(計分!U409="","",計分!U409^2)</f>
        <v/>
      </c>
      <c r="V409">
        <f>IF(計分!V409="","",計分!V409^2)</f>
        <v/>
      </c>
      <c r="W409">
        <f>IF(計分!W409="","",計分!W409^2)</f>
        <v/>
      </c>
      <c r="X409">
        <f>IF(計分!X409="","",計分!X409^2)</f>
        <v/>
      </c>
      <c r="Y409">
        <f>IF(計分!Y409="","",計分!Y409^2)</f>
        <v/>
      </c>
      <c r="Z409">
        <f>IF(計分!Z409="","",計分!Z409^2)</f>
        <v/>
      </c>
      <c r="AA409">
        <f>IF(計分!AA409="","",計分!AA409^2)</f>
        <v/>
      </c>
      <c r="AB409">
        <f>IF(計分!AB409="","",計分!AB409^2)</f>
        <v/>
      </c>
      <c r="AC409">
        <f>IF(計分!AC409="","",計分!AC409^2)</f>
        <v/>
      </c>
      <c r="AD409">
        <f>IF(計分!AD409="","",計分!AD409^2)</f>
        <v/>
      </c>
      <c r="AE409">
        <f>IF(計分!AE409="","",計分!AE409^2)</f>
        <v/>
      </c>
      <c r="AF409">
        <f>IF(計分!AF409="","",計分!AF409^2)</f>
        <v/>
      </c>
      <c r="AG409">
        <f>IF(計分!AG409="","",計分!AG409^2)</f>
        <v/>
      </c>
      <c r="AH409">
        <f>IF(計分!AH409="","",計分!AH409^2)</f>
        <v/>
      </c>
      <c r="AI409">
        <f>IF(計分!AI409="","",計分!AI409^2)</f>
        <v/>
      </c>
      <c r="AJ409">
        <f>IF(計分!AJ409="","",計分!AJ409^2)</f>
        <v/>
      </c>
      <c r="AK409">
        <f>IF(計分!AK409="","",計分!AK409^2)</f>
        <v/>
      </c>
      <c r="AL409">
        <f>IF(計分!AL409="","",計分!AL409^2)</f>
        <v/>
      </c>
      <c r="AM409">
        <f>IF(計分!AM409="","",計分!AM409^2)</f>
        <v/>
      </c>
      <c r="AN409">
        <f>IF(計分!AN409="","",計分!AN409^2)</f>
        <v/>
      </c>
      <c r="AO409">
        <f>IF(計分!AO409="","",計分!AO409^2)</f>
        <v/>
      </c>
    </row>
    <row r="410">
      <c r="B410">
        <f>IF(計分!B410="","",計分!B410^2)</f>
        <v/>
      </c>
      <c r="C410">
        <f>IF(計分!C410="","",計分!C410^2)</f>
        <v/>
      </c>
      <c r="D410">
        <f>IF(計分!D410="","",計分!D410^2)</f>
        <v/>
      </c>
      <c r="E410">
        <f>IF(計分!E410="","",計分!E410^2)</f>
        <v/>
      </c>
      <c r="F410">
        <f>IF(計分!F410="","",計分!F410^2)</f>
        <v/>
      </c>
      <c r="G410">
        <f>IF(計分!G410="","",計分!G410^2)</f>
        <v/>
      </c>
      <c r="H410">
        <f>IF(計分!H410="","",計分!H410^2)</f>
        <v/>
      </c>
      <c r="I410">
        <f>IF(計分!I410="","",計分!I410^2)</f>
        <v/>
      </c>
      <c r="J410">
        <f>IF(計分!J410="","",計分!J410^2)</f>
        <v/>
      </c>
      <c r="K410">
        <f>IF(計分!K410="","",計分!K410^2)</f>
        <v/>
      </c>
      <c r="L410">
        <f>IF(計分!L410="","",計分!L410^2)</f>
        <v/>
      </c>
      <c r="M410">
        <f>IF(計分!M410="","",計分!M410^2)</f>
        <v/>
      </c>
      <c r="N410">
        <f>IF(計分!N410="","",計分!N410^2)</f>
        <v/>
      </c>
      <c r="O410">
        <f>IF(計分!O410="","",計分!O410^2)</f>
        <v/>
      </c>
      <c r="P410">
        <f>IF(計分!P410="","",計分!P410^2)</f>
        <v/>
      </c>
      <c r="Q410">
        <f>IF(計分!Q410="","",計分!Q410^2)</f>
        <v/>
      </c>
      <c r="R410">
        <f>IF(計分!R410="","",計分!R410^2)</f>
        <v/>
      </c>
      <c r="S410">
        <f>IF(計分!S410="","",計分!S410^2)</f>
        <v/>
      </c>
      <c r="T410">
        <f>IF(計分!T410="","",計分!T410^2)</f>
        <v/>
      </c>
      <c r="U410">
        <f>IF(計分!U410="","",計分!U410^2)</f>
        <v/>
      </c>
      <c r="V410">
        <f>IF(計分!V410="","",計分!V410^2)</f>
        <v/>
      </c>
      <c r="W410">
        <f>IF(計分!W410="","",計分!W410^2)</f>
        <v/>
      </c>
      <c r="X410">
        <f>IF(計分!X410="","",計分!X410^2)</f>
        <v/>
      </c>
      <c r="Y410">
        <f>IF(計分!Y410="","",計分!Y410^2)</f>
        <v/>
      </c>
      <c r="Z410">
        <f>IF(計分!Z410="","",計分!Z410^2)</f>
        <v/>
      </c>
      <c r="AA410">
        <f>IF(計分!AA410="","",計分!AA410^2)</f>
        <v/>
      </c>
      <c r="AB410">
        <f>IF(計分!AB410="","",計分!AB410^2)</f>
        <v/>
      </c>
      <c r="AC410">
        <f>IF(計分!AC410="","",計分!AC410^2)</f>
        <v/>
      </c>
      <c r="AD410">
        <f>IF(計分!AD410="","",計分!AD410^2)</f>
        <v/>
      </c>
      <c r="AE410">
        <f>IF(計分!AE410="","",計分!AE410^2)</f>
        <v/>
      </c>
      <c r="AF410">
        <f>IF(計分!AF410="","",計分!AF410^2)</f>
        <v/>
      </c>
      <c r="AG410">
        <f>IF(計分!AG410="","",計分!AG410^2)</f>
        <v/>
      </c>
      <c r="AH410">
        <f>IF(計分!AH410="","",計分!AH410^2)</f>
        <v/>
      </c>
      <c r="AI410">
        <f>IF(計分!AI410="","",計分!AI410^2)</f>
        <v/>
      </c>
      <c r="AJ410">
        <f>IF(計分!AJ410="","",計分!AJ410^2)</f>
        <v/>
      </c>
      <c r="AK410">
        <f>IF(計分!AK410="","",計分!AK410^2)</f>
        <v/>
      </c>
      <c r="AL410">
        <f>IF(計分!AL410="","",計分!AL410^2)</f>
        <v/>
      </c>
      <c r="AM410">
        <f>IF(計分!AM410="","",計分!AM410^2)</f>
        <v/>
      </c>
      <c r="AN410">
        <f>IF(計分!AN410="","",計分!AN410^2)</f>
        <v/>
      </c>
      <c r="AO410">
        <f>IF(計分!AO410="","",計分!AO410^2)</f>
        <v/>
      </c>
    </row>
    <row r="411">
      <c r="B411">
        <f>IF(計分!B411="","",計分!B411^2)</f>
        <v/>
      </c>
      <c r="C411">
        <f>IF(計分!C411="","",計分!C411^2)</f>
        <v/>
      </c>
      <c r="D411">
        <f>IF(計分!D411="","",計分!D411^2)</f>
        <v/>
      </c>
      <c r="E411">
        <f>IF(計分!E411="","",計分!E411^2)</f>
        <v/>
      </c>
      <c r="F411">
        <f>IF(計分!F411="","",計分!F411^2)</f>
        <v/>
      </c>
      <c r="G411">
        <f>IF(計分!G411="","",計分!G411^2)</f>
        <v/>
      </c>
      <c r="H411">
        <f>IF(計分!H411="","",計分!H411^2)</f>
        <v/>
      </c>
      <c r="I411">
        <f>IF(計分!I411="","",計分!I411^2)</f>
        <v/>
      </c>
      <c r="J411">
        <f>IF(計分!J411="","",計分!J411^2)</f>
        <v/>
      </c>
      <c r="K411">
        <f>IF(計分!K411="","",計分!K411^2)</f>
        <v/>
      </c>
      <c r="L411">
        <f>IF(計分!L411="","",計分!L411^2)</f>
        <v/>
      </c>
      <c r="M411">
        <f>IF(計分!M411="","",計分!M411^2)</f>
        <v/>
      </c>
      <c r="N411">
        <f>IF(計分!N411="","",計分!N411^2)</f>
        <v/>
      </c>
      <c r="O411">
        <f>IF(計分!O411="","",計分!O411^2)</f>
        <v/>
      </c>
      <c r="P411">
        <f>IF(計分!P411="","",計分!P411^2)</f>
        <v/>
      </c>
      <c r="Q411">
        <f>IF(計分!Q411="","",計分!Q411^2)</f>
        <v/>
      </c>
      <c r="R411">
        <f>IF(計分!R411="","",計分!R411^2)</f>
        <v/>
      </c>
      <c r="S411">
        <f>IF(計分!S411="","",計分!S411^2)</f>
        <v/>
      </c>
      <c r="T411">
        <f>IF(計分!T411="","",計分!T411^2)</f>
        <v/>
      </c>
      <c r="U411">
        <f>IF(計分!U411="","",計分!U411^2)</f>
        <v/>
      </c>
      <c r="V411">
        <f>IF(計分!V411="","",計分!V411^2)</f>
        <v/>
      </c>
      <c r="W411">
        <f>IF(計分!W411="","",計分!W411^2)</f>
        <v/>
      </c>
      <c r="X411">
        <f>IF(計分!X411="","",計分!X411^2)</f>
        <v/>
      </c>
      <c r="Y411">
        <f>IF(計分!Y411="","",計分!Y411^2)</f>
        <v/>
      </c>
      <c r="Z411">
        <f>IF(計分!Z411="","",計分!Z411^2)</f>
        <v/>
      </c>
      <c r="AA411">
        <f>IF(計分!AA411="","",計分!AA411^2)</f>
        <v/>
      </c>
      <c r="AB411">
        <f>IF(計分!AB411="","",計分!AB411^2)</f>
        <v/>
      </c>
      <c r="AC411">
        <f>IF(計分!AC411="","",計分!AC411^2)</f>
        <v/>
      </c>
      <c r="AD411">
        <f>IF(計分!AD411="","",計分!AD411^2)</f>
        <v/>
      </c>
      <c r="AE411">
        <f>IF(計分!AE411="","",計分!AE411^2)</f>
        <v/>
      </c>
      <c r="AF411">
        <f>IF(計分!AF411="","",計分!AF411^2)</f>
        <v/>
      </c>
      <c r="AG411">
        <f>IF(計分!AG411="","",計分!AG411^2)</f>
        <v/>
      </c>
      <c r="AH411">
        <f>IF(計分!AH411="","",計分!AH411^2)</f>
        <v/>
      </c>
      <c r="AI411">
        <f>IF(計分!AI411="","",計分!AI411^2)</f>
        <v/>
      </c>
      <c r="AJ411">
        <f>IF(計分!AJ411="","",計分!AJ411^2)</f>
        <v/>
      </c>
      <c r="AK411">
        <f>IF(計分!AK411="","",計分!AK411^2)</f>
        <v/>
      </c>
      <c r="AL411">
        <f>IF(計分!AL411="","",計分!AL411^2)</f>
        <v/>
      </c>
      <c r="AM411">
        <f>IF(計分!AM411="","",計分!AM411^2)</f>
        <v/>
      </c>
      <c r="AN411">
        <f>IF(計分!AN411="","",計分!AN411^2)</f>
        <v/>
      </c>
      <c r="AO411">
        <f>IF(計分!AO411="","",計分!AO411^2)</f>
        <v/>
      </c>
    </row>
    <row r="412">
      <c r="B412">
        <f>IF(計分!B412="","",計分!B412^2)</f>
        <v/>
      </c>
      <c r="C412">
        <f>IF(計分!C412="","",計分!C412^2)</f>
        <v/>
      </c>
      <c r="D412">
        <f>IF(計分!D412="","",計分!D412^2)</f>
        <v/>
      </c>
      <c r="E412">
        <f>IF(計分!E412="","",計分!E412^2)</f>
        <v/>
      </c>
      <c r="F412">
        <f>IF(計分!F412="","",計分!F412^2)</f>
        <v/>
      </c>
      <c r="G412">
        <f>IF(計分!G412="","",計分!G412^2)</f>
        <v/>
      </c>
      <c r="H412">
        <f>IF(計分!H412="","",計分!H412^2)</f>
        <v/>
      </c>
      <c r="I412">
        <f>IF(計分!I412="","",計分!I412^2)</f>
        <v/>
      </c>
      <c r="J412">
        <f>IF(計分!J412="","",計分!J412^2)</f>
        <v/>
      </c>
      <c r="K412">
        <f>IF(計分!K412="","",計分!K412^2)</f>
        <v/>
      </c>
      <c r="L412">
        <f>IF(計分!L412="","",計分!L412^2)</f>
        <v/>
      </c>
      <c r="M412">
        <f>IF(計分!M412="","",計分!M412^2)</f>
        <v/>
      </c>
      <c r="N412">
        <f>IF(計分!N412="","",計分!N412^2)</f>
        <v/>
      </c>
      <c r="O412">
        <f>IF(計分!O412="","",計分!O412^2)</f>
        <v/>
      </c>
      <c r="P412">
        <f>IF(計分!P412="","",計分!P412^2)</f>
        <v/>
      </c>
      <c r="Q412">
        <f>IF(計分!Q412="","",計分!Q412^2)</f>
        <v/>
      </c>
      <c r="R412">
        <f>IF(計分!R412="","",計分!R412^2)</f>
        <v/>
      </c>
      <c r="S412">
        <f>IF(計分!S412="","",計分!S412^2)</f>
        <v/>
      </c>
      <c r="T412">
        <f>IF(計分!T412="","",計分!T412^2)</f>
        <v/>
      </c>
      <c r="U412">
        <f>IF(計分!U412="","",計分!U412^2)</f>
        <v/>
      </c>
      <c r="V412">
        <f>IF(計分!V412="","",計分!V412^2)</f>
        <v/>
      </c>
      <c r="W412">
        <f>IF(計分!W412="","",計分!W412^2)</f>
        <v/>
      </c>
      <c r="X412">
        <f>IF(計分!X412="","",計分!X412^2)</f>
        <v/>
      </c>
      <c r="Y412">
        <f>IF(計分!Y412="","",計分!Y412^2)</f>
        <v/>
      </c>
      <c r="Z412">
        <f>IF(計分!Z412="","",計分!Z412^2)</f>
        <v/>
      </c>
      <c r="AA412">
        <f>IF(計分!AA412="","",計分!AA412^2)</f>
        <v/>
      </c>
      <c r="AB412">
        <f>IF(計分!AB412="","",計分!AB412^2)</f>
        <v/>
      </c>
      <c r="AC412">
        <f>IF(計分!AC412="","",計分!AC412^2)</f>
        <v/>
      </c>
      <c r="AD412">
        <f>IF(計分!AD412="","",計分!AD412^2)</f>
        <v/>
      </c>
      <c r="AE412">
        <f>IF(計分!AE412="","",計分!AE412^2)</f>
        <v/>
      </c>
      <c r="AF412">
        <f>IF(計分!AF412="","",計分!AF412^2)</f>
        <v/>
      </c>
      <c r="AG412">
        <f>IF(計分!AG412="","",計分!AG412^2)</f>
        <v/>
      </c>
      <c r="AH412">
        <f>IF(計分!AH412="","",計分!AH412^2)</f>
        <v/>
      </c>
      <c r="AI412">
        <f>IF(計分!AI412="","",計分!AI412^2)</f>
        <v/>
      </c>
      <c r="AJ412">
        <f>IF(計分!AJ412="","",計分!AJ412^2)</f>
        <v/>
      </c>
      <c r="AK412">
        <f>IF(計分!AK412="","",計分!AK412^2)</f>
        <v/>
      </c>
      <c r="AL412">
        <f>IF(計分!AL412="","",計分!AL412^2)</f>
        <v/>
      </c>
      <c r="AM412">
        <f>IF(計分!AM412="","",計分!AM412^2)</f>
        <v/>
      </c>
      <c r="AN412">
        <f>IF(計分!AN412="","",計分!AN412^2)</f>
        <v/>
      </c>
      <c r="AO412">
        <f>IF(計分!AO412="","",計分!AO412^2)</f>
        <v/>
      </c>
    </row>
    <row r="413">
      <c r="B413">
        <f>IF(計分!B413="","",計分!B413^2)</f>
        <v/>
      </c>
      <c r="C413">
        <f>IF(計分!C413="","",計分!C413^2)</f>
        <v/>
      </c>
      <c r="D413">
        <f>IF(計分!D413="","",計分!D413^2)</f>
        <v/>
      </c>
      <c r="E413">
        <f>IF(計分!E413="","",計分!E413^2)</f>
        <v/>
      </c>
      <c r="F413">
        <f>IF(計分!F413="","",計分!F413^2)</f>
        <v/>
      </c>
      <c r="G413">
        <f>IF(計分!G413="","",計分!G413^2)</f>
        <v/>
      </c>
      <c r="H413">
        <f>IF(計分!H413="","",計分!H413^2)</f>
        <v/>
      </c>
      <c r="I413">
        <f>IF(計分!I413="","",計分!I413^2)</f>
        <v/>
      </c>
      <c r="J413">
        <f>IF(計分!J413="","",計分!J413^2)</f>
        <v/>
      </c>
      <c r="K413">
        <f>IF(計分!K413="","",計分!K413^2)</f>
        <v/>
      </c>
      <c r="L413">
        <f>IF(計分!L413="","",計分!L413^2)</f>
        <v/>
      </c>
      <c r="M413">
        <f>IF(計分!M413="","",計分!M413^2)</f>
        <v/>
      </c>
      <c r="N413">
        <f>IF(計分!N413="","",計分!N413^2)</f>
        <v/>
      </c>
      <c r="O413">
        <f>IF(計分!O413="","",計分!O413^2)</f>
        <v/>
      </c>
      <c r="P413">
        <f>IF(計分!P413="","",計分!P413^2)</f>
        <v/>
      </c>
      <c r="Q413">
        <f>IF(計分!Q413="","",計分!Q413^2)</f>
        <v/>
      </c>
      <c r="R413">
        <f>IF(計分!R413="","",計分!R413^2)</f>
        <v/>
      </c>
      <c r="S413">
        <f>IF(計分!S413="","",計分!S413^2)</f>
        <v/>
      </c>
      <c r="T413">
        <f>IF(計分!T413="","",計分!T413^2)</f>
        <v/>
      </c>
      <c r="U413">
        <f>IF(計分!U413="","",計分!U413^2)</f>
        <v/>
      </c>
      <c r="V413">
        <f>IF(計分!V413="","",計分!V413^2)</f>
        <v/>
      </c>
      <c r="W413">
        <f>IF(計分!W413="","",計分!W413^2)</f>
        <v/>
      </c>
      <c r="X413">
        <f>IF(計分!X413="","",計分!X413^2)</f>
        <v/>
      </c>
      <c r="Y413">
        <f>IF(計分!Y413="","",計分!Y413^2)</f>
        <v/>
      </c>
      <c r="Z413">
        <f>IF(計分!Z413="","",計分!Z413^2)</f>
        <v/>
      </c>
      <c r="AA413">
        <f>IF(計分!AA413="","",計分!AA413^2)</f>
        <v/>
      </c>
      <c r="AB413">
        <f>IF(計分!AB413="","",計分!AB413^2)</f>
        <v/>
      </c>
      <c r="AC413">
        <f>IF(計分!AC413="","",計分!AC413^2)</f>
        <v/>
      </c>
      <c r="AD413">
        <f>IF(計分!AD413="","",計分!AD413^2)</f>
        <v/>
      </c>
      <c r="AE413">
        <f>IF(計分!AE413="","",計分!AE413^2)</f>
        <v/>
      </c>
      <c r="AF413">
        <f>IF(計分!AF413="","",計分!AF413^2)</f>
        <v/>
      </c>
      <c r="AG413">
        <f>IF(計分!AG413="","",計分!AG413^2)</f>
        <v/>
      </c>
      <c r="AH413">
        <f>IF(計分!AH413="","",計分!AH413^2)</f>
        <v/>
      </c>
      <c r="AI413">
        <f>IF(計分!AI413="","",計分!AI413^2)</f>
        <v/>
      </c>
      <c r="AJ413">
        <f>IF(計分!AJ413="","",計分!AJ413^2)</f>
        <v/>
      </c>
      <c r="AK413">
        <f>IF(計分!AK413="","",計分!AK413^2)</f>
        <v/>
      </c>
      <c r="AL413">
        <f>IF(計分!AL413="","",計分!AL413^2)</f>
        <v/>
      </c>
      <c r="AM413">
        <f>IF(計分!AM413="","",計分!AM413^2)</f>
        <v/>
      </c>
      <c r="AN413">
        <f>IF(計分!AN413="","",計分!AN413^2)</f>
        <v/>
      </c>
      <c r="AO413">
        <f>IF(計分!AO413="","",計分!AO413^2)</f>
        <v/>
      </c>
    </row>
    <row r="414">
      <c r="B414">
        <f>IF(計分!B414="","",計分!B414^2)</f>
        <v/>
      </c>
      <c r="C414">
        <f>IF(計分!C414="","",計分!C414^2)</f>
        <v/>
      </c>
      <c r="D414">
        <f>IF(計分!D414="","",計分!D414^2)</f>
        <v/>
      </c>
      <c r="E414">
        <f>IF(計分!E414="","",計分!E414^2)</f>
        <v/>
      </c>
      <c r="F414">
        <f>IF(計分!F414="","",計分!F414^2)</f>
        <v/>
      </c>
      <c r="G414">
        <f>IF(計分!G414="","",計分!G414^2)</f>
        <v/>
      </c>
      <c r="H414">
        <f>IF(計分!H414="","",計分!H414^2)</f>
        <v/>
      </c>
      <c r="I414">
        <f>IF(計分!I414="","",計分!I414^2)</f>
        <v/>
      </c>
      <c r="J414">
        <f>IF(計分!J414="","",計分!J414^2)</f>
        <v/>
      </c>
      <c r="K414">
        <f>IF(計分!K414="","",計分!K414^2)</f>
        <v/>
      </c>
      <c r="L414">
        <f>IF(計分!L414="","",計分!L414^2)</f>
        <v/>
      </c>
      <c r="M414">
        <f>IF(計分!M414="","",計分!M414^2)</f>
        <v/>
      </c>
      <c r="N414">
        <f>IF(計分!N414="","",計分!N414^2)</f>
        <v/>
      </c>
      <c r="O414">
        <f>IF(計分!O414="","",計分!O414^2)</f>
        <v/>
      </c>
      <c r="P414">
        <f>IF(計分!P414="","",計分!P414^2)</f>
        <v/>
      </c>
      <c r="Q414">
        <f>IF(計分!Q414="","",計分!Q414^2)</f>
        <v/>
      </c>
      <c r="R414">
        <f>IF(計分!R414="","",計分!R414^2)</f>
        <v/>
      </c>
      <c r="S414">
        <f>IF(計分!S414="","",計分!S414^2)</f>
        <v/>
      </c>
      <c r="T414">
        <f>IF(計分!T414="","",計分!T414^2)</f>
        <v/>
      </c>
      <c r="U414">
        <f>IF(計分!U414="","",計分!U414^2)</f>
        <v/>
      </c>
      <c r="V414">
        <f>IF(計分!V414="","",計分!V414^2)</f>
        <v/>
      </c>
      <c r="W414">
        <f>IF(計分!W414="","",計分!W414^2)</f>
        <v/>
      </c>
      <c r="X414">
        <f>IF(計分!X414="","",計分!X414^2)</f>
        <v/>
      </c>
      <c r="Y414">
        <f>IF(計分!Y414="","",計分!Y414^2)</f>
        <v/>
      </c>
      <c r="Z414">
        <f>IF(計分!Z414="","",計分!Z414^2)</f>
        <v/>
      </c>
      <c r="AA414">
        <f>IF(計分!AA414="","",計分!AA414^2)</f>
        <v/>
      </c>
      <c r="AB414">
        <f>IF(計分!AB414="","",計分!AB414^2)</f>
        <v/>
      </c>
      <c r="AC414">
        <f>IF(計分!AC414="","",計分!AC414^2)</f>
        <v/>
      </c>
      <c r="AD414">
        <f>IF(計分!AD414="","",計分!AD414^2)</f>
        <v/>
      </c>
      <c r="AE414">
        <f>IF(計分!AE414="","",計分!AE414^2)</f>
        <v/>
      </c>
      <c r="AF414">
        <f>IF(計分!AF414="","",計分!AF414^2)</f>
        <v/>
      </c>
      <c r="AG414">
        <f>IF(計分!AG414="","",計分!AG414^2)</f>
        <v/>
      </c>
      <c r="AH414">
        <f>IF(計分!AH414="","",計分!AH414^2)</f>
        <v/>
      </c>
      <c r="AI414">
        <f>IF(計分!AI414="","",計分!AI414^2)</f>
        <v/>
      </c>
      <c r="AJ414">
        <f>IF(計分!AJ414="","",計分!AJ414^2)</f>
        <v/>
      </c>
      <c r="AK414">
        <f>IF(計分!AK414="","",計分!AK414^2)</f>
        <v/>
      </c>
      <c r="AL414">
        <f>IF(計分!AL414="","",計分!AL414^2)</f>
        <v/>
      </c>
      <c r="AM414">
        <f>IF(計分!AM414="","",計分!AM414^2)</f>
        <v/>
      </c>
      <c r="AN414">
        <f>IF(計分!AN414="","",計分!AN414^2)</f>
        <v/>
      </c>
      <c r="AO414">
        <f>IF(計分!AO414="","",計分!AO414^2)</f>
        <v/>
      </c>
    </row>
    <row r="415">
      <c r="B415">
        <f>IF(計分!B415="","",計分!B415^2)</f>
        <v/>
      </c>
      <c r="C415">
        <f>IF(計分!C415="","",計分!C415^2)</f>
        <v/>
      </c>
      <c r="D415">
        <f>IF(計分!D415="","",計分!D415^2)</f>
        <v/>
      </c>
      <c r="E415">
        <f>IF(計分!E415="","",計分!E415^2)</f>
        <v/>
      </c>
      <c r="F415">
        <f>IF(計分!F415="","",計分!F415^2)</f>
        <v/>
      </c>
      <c r="G415">
        <f>IF(計分!G415="","",計分!G415^2)</f>
        <v/>
      </c>
      <c r="H415">
        <f>IF(計分!H415="","",計分!H415^2)</f>
        <v/>
      </c>
      <c r="I415">
        <f>IF(計分!I415="","",計分!I415^2)</f>
        <v/>
      </c>
      <c r="J415">
        <f>IF(計分!J415="","",計分!J415^2)</f>
        <v/>
      </c>
      <c r="K415">
        <f>IF(計分!K415="","",計分!K415^2)</f>
        <v/>
      </c>
      <c r="L415">
        <f>IF(計分!L415="","",計分!L415^2)</f>
        <v/>
      </c>
      <c r="M415">
        <f>IF(計分!M415="","",計分!M415^2)</f>
        <v/>
      </c>
      <c r="N415">
        <f>IF(計分!N415="","",計分!N415^2)</f>
        <v/>
      </c>
      <c r="O415">
        <f>IF(計分!O415="","",計分!O415^2)</f>
        <v/>
      </c>
      <c r="P415">
        <f>IF(計分!P415="","",計分!P415^2)</f>
        <v/>
      </c>
      <c r="Q415">
        <f>IF(計分!Q415="","",計分!Q415^2)</f>
        <v/>
      </c>
      <c r="R415">
        <f>IF(計分!R415="","",計分!R415^2)</f>
        <v/>
      </c>
      <c r="S415">
        <f>IF(計分!S415="","",計分!S415^2)</f>
        <v/>
      </c>
      <c r="T415">
        <f>IF(計分!T415="","",計分!T415^2)</f>
        <v/>
      </c>
      <c r="U415">
        <f>IF(計分!U415="","",計分!U415^2)</f>
        <v/>
      </c>
      <c r="V415">
        <f>IF(計分!V415="","",計分!V415^2)</f>
        <v/>
      </c>
      <c r="W415">
        <f>IF(計分!W415="","",計分!W415^2)</f>
        <v/>
      </c>
      <c r="X415">
        <f>IF(計分!X415="","",計分!X415^2)</f>
        <v/>
      </c>
      <c r="Y415">
        <f>IF(計分!Y415="","",計分!Y415^2)</f>
        <v/>
      </c>
      <c r="Z415">
        <f>IF(計分!Z415="","",計分!Z415^2)</f>
        <v/>
      </c>
      <c r="AA415">
        <f>IF(計分!AA415="","",計分!AA415^2)</f>
        <v/>
      </c>
      <c r="AB415">
        <f>IF(計分!AB415="","",計分!AB415^2)</f>
        <v/>
      </c>
      <c r="AC415">
        <f>IF(計分!AC415="","",計分!AC415^2)</f>
        <v/>
      </c>
      <c r="AD415">
        <f>IF(計分!AD415="","",計分!AD415^2)</f>
        <v/>
      </c>
      <c r="AE415">
        <f>IF(計分!AE415="","",計分!AE415^2)</f>
        <v/>
      </c>
      <c r="AF415">
        <f>IF(計分!AF415="","",計分!AF415^2)</f>
        <v/>
      </c>
      <c r="AG415">
        <f>IF(計分!AG415="","",計分!AG415^2)</f>
        <v/>
      </c>
      <c r="AH415">
        <f>IF(計分!AH415="","",計分!AH415^2)</f>
        <v/>
      </c>
      <c r="AI415">
        <f>IF(計分!AI415="","",計分!AI415^2)</f>
        <v/>
      </c>
      <c r="AJ415">
        <f>IF(計分!AJ415="","",計分!AJ415^2)</f>
        <v/>
      </c>
      <c r="AK415">
        <f>IF(計分!AK415="","",計分!AK415^2)</f>
        <v/>
      </c>
      <c r="AL415">
        <f>IF(計分!AL415="","",計分!AL415^2)</f>
        <v/>
      </c>
      <c r="AM415">
        <f>IF(計分!AM415="","",計分!AM415^2)</f>
        <v/>
      </c>
      <c r="AN415">
        <f>IF(計分!AN415="","",計分!AN415^2)</f>
        <v/>
      </c>
      <c r="AO415">
        <f>IF(計分!AO415="","",計分!AO415^2)</f>
        <v/>
      </c>
    </row>
    <row r="416">
      <c r="B416">
        <f>IF(計分!B416="","",計分!B416^2)</f>
        <v/>
      </c>
      <c r="C416">
        <f>IF(計分!C416="","",計分!C416^2)</f>
        <v/>
      </c>
      <c r="D416">
        <f>IF(計分!D416="","",計分!D416^2)</f>
        <v/>
      </c>
      <c r="E416">
        <f>IF(計分!E416="","",計分!E416^2)</f>
        <v/>
      </c>
      <c r="F416">
        <f>IF(計分!F416="","",計分!F416^2)</f>
        <v/>
      </c>
      <c r="G416">
        <f>IF(計分!G416="","",計分!G416^2)</f>
        <v/>
      </c>
      <c r="H416">
        <f>IF(計分!H416="","",計分!H416^2)</f>
        <v/>
      </c>
      <c r="I416">
        <f>IF(計分!I416="","",計分!I416^2)</f>
        <v/>
      </c>
      <c r="J416">
        <f>IF(計分!J416="","",計分!J416^2)</f>
        <v/>
      </c>
      <c r="K416">
        <f>IF(計分!K416="","",計分!K416^2)</f>
        <v/>
      </c>
      <c r="L416">
        <f>IF(計分!L416="","",計分!L416^2)</f>
        <v/>
      </c>
      <c r="M416">
        <f>IF(計分!M416="","",計分!M416^2)</f>
        <v/>
      </c>
      <c r="N416">
        <f>IF(計分!N416="","",計分!N416^2)</f>
        <v/>
      </c>
      <c r="O416">
        <f>IF(計分!O416="","",計分!O416^2)</f>
        <v/>
      </c>
      <c r="P416">
        <f>IF(計分!P416="","",計分!P416^2)</f>
        <v/>
      </c>
      <c r="Q416">
        <f>IF(計分!Q416="","",計分!Q416^2)</f>
        <v/>
      </c>
      <c r="R416">
        <f>IF(計分!R416="","",計分!R416^2)</f>
        <v/>
      </c>
      <c r="S416">
        <f>IF(計分!S416="","",計分!S416^2)</f>
        <v/>
      </c>
      <c r="T416">
        <f>IF(計分!T416="","",計分!T416^2)</f>
        <v/>
      </c>
      <c r="U416">
        <f>IF(計分!U416="","",計分!U416^2)</f>
        <v/>
      </c>
      <c r="V416">
        <f>IF(計分!V416="","",計分!V416^2)</f>
        <v/>
      </c>
      <c r="W416">
        <f>IF(計分!W416="","",計分!W416^2)</f>
        <v/>
      </c>
      <c r="X416">
        <f>IF(計分!X416="","",計分!X416^2)</f>
        <v/>
      </c>
      <c r="Y416">
        <f>IF(計分!Y416="","",計分!Y416^2)</f>
        <v/>
      </c>
      <c r="Z416">
        <f>IF(計分!Z416="","",計分!Z416^2)</f>
        <v/>
      </c>
      <c r="AA416">
        <f>IF(計分!AA416="","",計分!AA416^2)</f>
        <v/>
      </c>
      <c r="AB416">
        <f>IF(計分!AB416="","",計分!AB416^2)</f>
        <v/>
      </c>
      <c r="AC416">
        <f>IF(計分!AC416="","",計分!AC416^2)</f>
        <v/>
      </c>
      <c r="AD416">
        <f>IF(計分!AD416="","",計分!AD416^2)</f>
        <v/>
      </c>
      <c r="AE416">
        <f>IF(計分!AE416="","",計分!AE416^2)</f>
        <v/>
      </c>
      <c r="AF416">
        <f>IF(計分!AF416="","",計分!AF416^2)</f>
        <v/>
      </c>
      <c r="AG416">
        <f>IF(計分!AG416="","",計分!AG416^2)</f>
        <v/>
      </c>
      <c r="AH416">
        <f>IF(計分!AH416="","",計分!AH416^2)</f>
        <v/>
      </c>
      <c r="AI416">
        <f>IF(計分!AI416="","",計分!AI416^2)</f>
        <v/>
      </c>
      <c r="AJ416">
        <f>IF(計分!AJ416="","",計分!AJ416^2)</f>
        <v/>
      </c>
      <c r="AK416">
        <f>IF(計分!AK416="","",計分!AK416^2)</f>
        <v/>
      </c>
      <c r="AL416">
        <f>IF(計分!AL416="","",計分!AL416^2)</f>
        <v/>
      </c>
      <c r="AM416">
        <f>IF(計分!AM416="","",計分!AM416^2)</f>
        <v/>
      </c>
      <c r="AN416">
        <f>IF(計分!AN416="","",計分!AN416^2)</f>
        <v/>
      </c>
      <c r="AO416">
        <f>IF(計分!AO416="","",計分!AO416^2)</f>
        <v/>
      </c>
    </row>
    <row r="417">
      <c r="B417">
        <f>IF(計分!B417="","",計分!B417^2)</f>
        <v/>
      </c>
      <c r="C417">
        <f>IF(計分!C417="","",計分!C417^2)</f>
        <v/>
      </c>
      <c r="D417">
        <f>IF(計分!D417="","",計分!D417^2)</f>
        <v/>
      </c>
      <c r="E417">
        <f>IF(計分!E417="","",計分!E417^2)</f>
        <v/>
      </c>
      <c r="F417">
        <f>IF(計分!F417="","",計分!F417^2)</f>
        <v/>
      </c>
      <c r="G417">
        <f>IF(計分!G417="","",計分!G417^2)</f>
        <v/>
      </c>
      <c r="H417">
        <f>IF(計分!H417="","",計分!H417^2)</f>
        <v/>
      </c>
      <c r="I417">
        <f>IF(計分!I417="","",計分!I417^2)</f>
        <v/>
      </c>
      <c r="J417">
        <f>IF(計分!J417="","",計分!J417^2)</f>
        <v/>
      </c>
      <c r="K417">
        <f>IF(計分!K417="","",計分!K417^2)</f>
        <v/>
      </c>
      <c r="L417">
        <f>IF(計分!L417="","",計分!L417^2)</f>
        <v/>
      </c>
      <c r="M417">
        <f>IF(計分!M417="","",計分!M417^2)</f>
        <v/>
      </c>
      <c r="N417">
        <f>IF(計分!N417="","",計分!N417^2)</f>
        <v/>
      </c>
      <c r="O417">
        <f>IF(計分!O417="","",計分!O417^2)</f>
        <v/>
      </c>
      <c r="P417">
        <f>IF(計分!P417="","",計分!P417^2)</f>
        <v/>
      </c>
      <c r="Q417">
        <f>IF(計分!Q417="","",計分!Q417^2)</f>
        <v/>
      </c>
      <c r="R417">
        <f>IF(計分!R417="","",計分!R417^2)</f>
        <v/>
      </c>
      <c r="S417">
        <f>IF(計分!S417="","",計分!S417^2)</f>
        <v/>
      </c>
      <c r="T417">
        <f>IF(計分!T417="","",計分!T417^2)</f>
        <v/>
      </c>
      <c r="U417">
        <f>IF(計分!U417="","",計分!U417^2)</f>
        <v/>
      </c>
      <c r="V417">
        <f>IF(計分!V417="","",計分!V417^2)</f>
        <v/>
      </c>
      <c r="W417">
        <f>IF(計分!W417="","",計分!W417^2)</f>
        <v/>
      </c>
      <c r="X417">
        <f>IF(計分!X417="","",計分!X417^2)</f>
        <v/>
      </c>
      <c r="Y417">
        <f>IF(計分!Y417="","",計分!Y417^2)</f>
        <v/>
      </c>
      <c r="Z417">
        <f>IF(計分!Z417="","",計分!Z417^2)</f>
        <v/>
      </c>
      <c r="AA417">
        <f>IF(計分!AA417="","",計分!AA417^2)</f>
        <v/>
      </c>
      <c r="AB417">
        <f>IF(計分!AB417="","",計分!AB417^2)</f>
        <v/>
      </c>
      <c r="AC417">
        <f>IF(計分!AC417="","",計分!AC417^2)</f>
        <v/>
      </c>
      <c r="AD417">
        <f>IF(計分!AD417="","",計分!AD417^2)</f>
        <v/>
      </c>
      <c r="AE417">
        <f>IF(計分!AE417="","",計分!AE417^2)</f>
        <v/>
      </c>
      <c r="AF417">
        <f>IF(計分!AF417="","",計分!AF417^2)</f>
        <v/>
      </c>
      <c r="AG417">
        <f>IF(計分!AG417="","",計分!AG417^2)</f>
        <v/>
      </c>
      <c r="AH417">
        <f>IF(計分!AH417="","",計分!AH417^2)</f>
        <v/>
      </c>
      <c r="AI417">
        <f>IF(計分!AI417="","",計分!AI417^2)</f>
        <v/>
      </c>
      <c r="AJ417">
        <f>IF(計分!AJ417="","",計分!AJ417^2)</f>
        <v/>
      </c>
      <c r="AK417">
        <f>IF(計分!AK417="","",計分!AK417^2)</f>
        <v/>
      </c>
      <c r="AL417">
        <f>IF(計分!AL417="","",計分!AL417^2)</f>
        <v/>
      </c>
      <c r="AM417">
        <f>IF(計分!AM417="","",計分!AM417^2)</f>
        <v/>
      </c>
      <c r="AN417">
        <f>IF(計分!AN417="","",計分!AN417^2)</f>
        <v/>
      </c>
      <c r="AO417">
        <f>IF(計分!AO417="","",計分!AO417^2)</f>
        <v/>
      </c>
    </row>
    <row r="418">
      <c r="B418">
        <f>IF(計分!B418="","",計分!B418^2)</f>
        <v/>
      </c>
      <c r="C418">
        <f>IF(計分!C418="","",計分!C418^2)</f>
        <v/>
      </c>
      <c r="D418">
        <f>IF(計分!D418="","",計分!D418^2)</f>
        <v/>
      </c>
      <c r="E418">
        <f>IF(計分!E418="","",計分!E418^2)</f>
        <v/>
      </c>
      <c r="F418">
        <f>IF(計分!F418="","",計分!F418^2)</f>
        <v/>
      </c>
      <c r="G418">
        <f>IF(計分!G418="","",計分!G418^2)</f>
        <v/>
      </c>
      <c r="H418">
        <f>IF(計分!H418="","",計分!H418^2)</f>
        <v/>
      </c>
      <c r="I418">
        <f>IF(計分!I418="","",計分!I418^2)</f>
        <v/>
      </c>
      <c r="J418">
        <f>IF(計分!J418="","",計分!J418^2)</f>
        <v/>
      </c>
      <c r="K418">
        <f>IF(計分!K418="","",計分!K418^2)</f>
        <v/>
      </c>
      <c r="L418">
        <f>IF(計分!L418="","",計分!L418^2)</f>
        <v/>
      </c>
      <c r="M418">
        <f>IF(計分!M418="","",計分!M418^2)</f>
        <v/>
      </c>
      <c r="N418">
        <f>IF(計分!N418="","",計分!N418^2)</f>
        <v/>
      </c>
      <c r="O418">
        <f>IF(計分!O418="","",計分!O418^2)</f>
        <v/>
      </c>
      <c r="P418">
        <f>IF(計分!P418="","",計分!P418^2)</f>
        <v/>
      </c>
      <c r="Q418">
        <f>IF(計分!Q418="","",計分!Q418^2)</f>
        <v/>
      </c>
      <c r="R418">
        <f>IF(計分!R418="","",計分!R418^2)</f>
        <v/>
      </c>
      <c r="S418">
        <f>IF(計分!S418="","",計分!S418^2)</f>
        <v/>
      </c>
      <c r="T418">
        <f>IF(計分!T418="","",計分!T418^2)</f>
        <v/>
      </c>
      <c r="U418">
        <f>IF(計分!U418="","",計分!U418^2)</f>
        <v/>
      </c>
      <c r="V418">
        <f>IF(計分!V418="","",計分!V418^2)</f>
        <v/>
      </c>
      <c r="W418">
        <f>IF(計分!W418="","",計分!W418^2)</f>
        <v/>
      </c>
      <c r="X418">
        <f>IF(計分!X418="","",計分!X418^2)</f>
        <v/>
      </c>
      <c r="Y418">
        <f>IF(計分!Y418="","",計分!Y418^2)</f>
        <v/>
      </c>
      <c r="Z418">
        <f>IF(計分!Z418="","",計分!Z418^2)</f>
        <v/>
      </c>
      <c r="AA418">
        <f>IF(計分!AA418="","",計分!AA418^2)</f>
        <v/>
      </c>
      <c r="AB418">
        <f>IF(計分!AB418="","",計分!AB418^2)</f>
        <v/>
      </c>
      <c r="AC418">
        <f>IF(計分!AC418="","",計分!AC418^2)</f>
        <v/>
      </c>
      <c r="AD418">
        <f>IF(計分!AD418="","",計分!AD418^2)</f>
        <v/>
      </c>
      <c r="AE418">
        <f>IF(計分!AE418="","",計分!AE418^2)</f>
        <v/>
      </c>
      <c r="AF418">
        <f>IF(計分!AF418="","",計分!AF418^2)</f>
        <v/>
      </c>
      <c r="AG418">
        <f>IF(計分!AG418="","",計分!AG418^2)</f>
        <v/>
      </c>
      <c r="AH418">
        <f>IF(計分!AH418="","",計分!AH418^2)</f>
        <v/>
      </c>
      <c r="AI418">
        <f>IF(計分!AI418="","",計分!AI418^2)</f>
        <v/>
      </c>
      <c r="AJ418">
        <f>IF(計分!AJ418="","",計分!AJ418^2)</f>
        <v/>
      </c>
      <c r="AK418">
        <f>IF(計分!AK418="","",計分!AK418^2)</f>
        <v/>
      </c>
      <c r="AL418">
        <f>IF(計分!AL418="","",計分!AL418^2)</f>
        <v/>
      </c>
      <c r="AM418">
        <f>IF(計分!AM418="","",計分!AM418^2)</f>
        <v/>
      </c>
      <c r="AN418">
        <f>IF(計分!AN418="","",計分!AN418^2)</f>
        <v/>
      </c>
      <c r="AO418">
        <f>IF(計分!AO418="","",計分!AO418^2)</f>
        <v/>
      </c>
    </row>
    <row r="419">
      <c r="B419">
        <f>IF(計分!B419="","",計分!B419^2)</f>
        <v/>
      </c>
      <c r="C419">
        <f>IF(計分!C419="","",計分!C419^2)</f>
        <v/>
      </c>
      <c r="D419">
        <f>IF(計分!D419="","",計分!D419^2)</f>
        <v/>
      </c>
      <c r="E419">
        <f>IF(計分!E419="","",計分!E419^2)</f>
        <v/>
      </c>
      <c r="F419">
        <f>IF(計分!F419="","",計分!F419^2)</f>
        <v/>
      </c>
      <c r="G419">
        <f>IF(計分!G419="","",計分!G419^2)</f>
        <v/>
      </c>
      <c r="H419">
        <f>IF(計分!H419="","",計分!H419^2)</f>
        <v/>
      </c>
      <c r="I419">
        <f>IF(計分!I419="","",計分!I419^2)</f>
        <v/>
      </c>
      <c r="J419">
        <f>IF(計分!J419="","",計分!J419^2)</f>
        <v/>
      </c>
      <c r="K419">
        <f>IF(計分!K419="","",計分!K419^2)</f>
        <v/>
      </c>
      <c r="L419">
        <f>IF(計分!L419="","",計分!L419^2)</f>
        <v/>
      </c>
      <c r="M419">
        <f>IF(計分!M419="","",計分!M419^2)</f>
        <v/>
      </c>
      <c r="N419">
        <f>IF(計分!N419="","",計分!N419^2)</f>
        <v/>
      </c>
      <c r="O419">
        <f>IF(計分!O419="","",計分!O419^2)</f>
        <v/>
      </c>
      <c r="P419">
        <f>IF(計分!P419="","",計分!P419^2)</f>
        <v/>
      </c>
      <c r="Q419">
        <f>IF(計分!Q419="","",計分!Q419^2)</f>
        <v/>
      </c>
      <c r="R419">
        <f>IF(計分!R419="","",計分!R419^2)</f>
        <v/>
      </c>
      <c r="S419">
        <f>IF(計分!S419="","",計分!S419^2)</f>
        <v/>
      </c>
      <c r="T419">
        <f>IF(計分!T419="","",計分!T419^2)</f>
        <v/>
      </c>
      <c r="U419">
        <f>IF(計分!U419="","",計分!U419^2)</f>
        <v/>
      </c>
      <c r="V419">
        <f>IF(計分!V419="","",計分!V419^2)</f>
        <v/>
      </c>
      <c r="W419">
        <f>IF(計分!W419="","",計分!W419^2)</f>
        <v/>
      </c>
      <c r="X419">
        <f>IF(計分!X419="","",計分!X419^2)</f>
        <v/>
      </c>
      <c r="Y419">
        <f>IF(計分!Y419="","",計分!Y419^2)</f>
        <v/>
      </c>
      <c r="Z419">
        <f>IF(計分!Z419="","",計分!Z419^2)</f>
        <v/>
      </c>
      <c r="AA419">
        <f>IF(計分!AA419="","",計分!AA419^2)</f>
        <v/>
      </c>
      <c r="AB419">
        <f>IF(計分!AB419="","",計分!AB419^2)</f>
        <v/>
      </c>
      <c r="AC419">
        <f>IF(計分!AC419="","",計分!AC419^2)</f>
        <v/>
      </c>
      <c r="AD419">
        <f>IF(計分!AD419="","",計分!AD419^2)</f>
        <v/>
      </c>
      <c r="AE419">
        <f>IF(計分!AE419="","",計分!AE419^2)</f>
        <v/>
      </c>
      <c r="AF419">
        <f>IF(計分!AF419="","",計分!AF419^2)</f>
        <v/>
      </c>
      <c r="AG419">
        <f>IF(計分!AG419="","",計分!AG419^2)</f>
        <v/>
      </c>
      <c r="AH419">
        <f>IF(計分!AH419="","",計分!AH419^2)</f>
        <v/>
      </c>
      <c r="AI419">
        <f>IF(計分!AI419="","",計分!AI419^2)</f>
        <v/>
      </c>
      <c r="AJ419">
        <f>IF(計分!AJ419="","",計分!AJ419^2)</f>
        <v/>
      </c>
      <c r="AK419">
        <f>IF(計分!AK419="","",計分!AK419^2)</f>
        <v/>
      </c>
      <c r="AL419">
        <f>IF(計分!AL419="","",計分!AL419^2)</f>
        <v/>
      </c>
      <c r="AM419">
        <f>IF(計分!AM419="","",計分!AM419^2)</f>
        <v/>
      </c>
      <c r="AN419">
        <f>IF(計分!AN419="","",計分!AN419^2)</f>
        <v/>
      </c>
      <c r="AO419">
        <f>IF(計分!AO419="","",計分!AO419^2)</f>
        <v/>
      </c>
    </row>
    <row r="420">
      <c r="B420">
        <f>IF(計分!B420="","",計分!B420^2)</f>
        <v/>
      </c>
      <c r="C420">
        <f>IF(計分!C420="","",計分!C420^2)</f>
        <v/>
      </c>
      <c r="D420">
        <f>IF(計分!D420="","",計分!D420^2)</f>
        <v/>
      </c>
      <c r="E420">
        <f>IF(計分!E420="","",計分!E420^2)</f>
        <v/>
      </c>
      <c r="F420">
        <f>IF(計分!F420="","",計分!F420^2)</f>
        <v/>
      </c>
      <c r="G420">
        <f>IF(計分!G420="","",計分!G420^2)</f>
        <v/>
      </c>
      <c r="H420">
        <f>IF(計分!H420="","",計分!H420^2)</f>
        <v/>
      </c>
      <c r="I420">
        <f>IF(計分!I420="","",計分!I420^2)</f>
        <v/>
      </c>
      <c r="J420">
        <f>IF(計分!J420="","",計分!J420^2)</f>
        <v/>
      </c>
      <c r="K420">
        <f>IF(計分!K420="","",計分!K420^2)</f>
        <v/>
      </c>
      <c r="L420">
        <f>IF(計分!L420="","",計分!L420^2)</f>
        <v/>
      </c>
      <c r="M420">
        <f>IF(計分!M420="","",計分!M420^2)</f>
        <v/>
      </c>
      <c r="N420">
        <f>IF(計分!N420="","",計分!N420^2)</f>
        <v/>
      </c>
      <c r="O420">
        <f>IF(計分!O420="","",計分!O420^2)</f>
        <v/>
      </c>
      <c r="P420">
        <f>IF(計分!P420="","",計分!P420^2)</f>
        <v/>
      </c>
      <c r="Q420">
        <f>IF(計分!Q420="","",計分!Q420^2)</f>
        <v/>
      </c>
      <c r="R420">
        <f>IF(計分!R420="","",計分!R420^2)</f>
        <v/>
      </c>
      <c r="S420">
        <f>IF(計分!S420="","",計分!S420^2)</f>
        <v/>
      </c>
      <c r="T420">
        <f>IF(計分!T420="","",計分!T420^2)</f>
        <v/>
      </c>
      <c r="U420">
        <f>IF(計分!U420="","",計分!U420^2)</f>
        <v/>
      </c>
      <c r="V420">
        <f>IF(計分!V420="","",計分!V420^2)</f>
        <v/>
      </c>
      <c r="W420">
        <f>IF(計分!W420="","",計分!W420^2)</f>
        <v/>
      </c>
      <c r="X420">
        <f>IF(計分!X420="","",計分!X420^2)</f>
        <v/>
      </c>
      <c r="Y420">
        <f>IF(計分!Y420="","",計分!Y420^2)</f>
        <v/>
      </c>
      <c r="Z420">
        <f>IF(計分!Z420="","",計分!Z420^2)</f>
        <v/>
      </c>
      <c r="AA420">
        <f>IF(計分!AA420="","",計分!AA420^2)</f>
        <v/>
      </c>
      <c r="AB420">
        <f>IF(計分!AB420="","",計分!AB420^2)</f>
        <v/>
      </c>
      <c r="AC420">
        <f>IF(計分!AC420="","",計分!AC420^2)</f>
        <v/>
      </c>
      <c r="AD420">
        <f>IF(計分!AD420="","",計分!AD420^2)</f>
        <v/>
      </c>
      <c r="AE420">
        <f>IF(計分!AE420="","",計分!AE420^2)</f>
        <v/>
      </c>
      <c r="AF420">
        <f>IF(計分!AF420="","",計分!AF420^2)</f>
        <v/>
      </c>
      <c r="AG420">
        <f>IF(計分!AG420="","",計分!AG420^2)</f>
        <v/>
      </c>
      <c r="AH420">
        <f>IF(計分!AH420="","",計分!AH420^2)</f>
        <v/>
      </c>
      <c r="AI420">
        <f>IF(計分!AI420="","",計分!AI420^2)</f>
        <v/>
      </c>
      <c r="AJ420">
        <f>IF(計分!AJ420="","",計分!AJ420^2)</f>
        <v/>
      </c>
      <c r="AK420">
        <f>IF(計分!AK420="","",計分!AK420^2)</f>
        <v/>
      </c>
      <c r="AL420">
        <f>IF(計分!AL420="","",計分!AL420^2)</f>
        <v/>
      </c>
      <c r="AM420">
        <f>IF(計分!AM420="","",計分!AM420^2)</f>
        <v/>
      </c>
      <c r="AN420">
        <f>IF(計分!AN420="","",計分!AN420^2)</f>
        <v/>
      </c>
      <c r="AO420">
        <f>IF(計分!AO420="","",計分!AO420^2)</f>
        <v/>
      </c>
    </row>
    <row r="421">
      <c r="B421">
        <f>IF(計分!B421="","",計分!B421^2)</f>
        <v/>
      </c>
      <c r="C421">
        <f>IF(計分!C421="","",計分!C421^2)</f>
        <v/>
      </c>
      <c r="D421">
        <f>IF(計分!D421="","",計分!D421^2)</f>
        <v/>
      </c>
      <c r="E421">
        <f>IF(計分!E421="","",計分!E421^2)</f>
        <v/>
      </c>
      <c r="F421">
        <f>IF(計分!F421="","",計分!F421^2)</f>
        <v/>
      </c>
      <c r="G421">
        <f>IF(計分!G421="","",計分!G421^2)</f>
        <v/>
      </c>
      <c r="H421">
        <f>IF(計分!H421="","",計分!H421^2)</f>
        <v/>
      </c>
      <c r="I421">
        <f>IF(計分!I421="","",計分!I421^2)</f>
        <v/>
      </c>
      <c r="J421">
        <f>IF(計分!J421="","",計分!J421^2)</f>
        <v/>
      </c>
      <c r="K421">
        <f>IF(計分!K421="","",計分!K421^2)</f>
        <v/>
      </c>
      <c r="L421">
        <f>IF(計分!L421="","",計分!L421^2)</f>
        <v/>
      </c>
      <c r="M421">
        <f>IF(計分!M421="","",計分!M421^2)</f>
        <v/>
      </c>
      <c r="N421">
        <f>IF(計分!N421="","",計分!N421^2)</f>
        <v/>
      </c>
      <c r="O421">
        <f>IF(計分!O421="","",計分!O421^2)</f>
        <v/>
      </c>
      <c r="P421">
        <f>IF(計分!P421="","",計分!P421^2)</f>
        <v/>
      </c>
      <c r="Q421">
        <f>IF(計分!Q421="","",計分!Q421^2)</f>
        <v/>
      </c>
      <c r="R421">
        <f>IF(計分!R421="","",計分!R421^2)</f>
        <v/>
      </c>
      <c r="S421">
        <f>IF(計分!S421="","",計分!S421^2)</f>
        <v/>
      </c>
      <c r="T421">
        <f>IF(計分!T421="","",計分!T421^2)</f>
        <v/>
      </c>
      <c r="U421">
        <f>IF(計分!U421="","",計分!U421^2)</f>
        <v/>
      </c>
      <c r="V421">
        <f>IF(計分!V421="","",計分!V421^2)</f>
        <v/>
      </c>
      <c r="W421">
        <f>IF(計分!W421="","",計分!W421^2)</f>
        <v/>
      </c>
      <c r="X421">
        <f>IF(計分!X421="","",計分!X421^2)</f>
        <v/>
      </c>
      <c r="Y421">
        <f>IF(計分!Y421="","",計分!Y421^2)</f>
        <v/>
      </c>
      <c r="Z421">
        <f>IF(計分!Z421="","",計分!Z421^2)</f>
        <v/>
      </c>
      <c r="AA421">
        <f>IF(計分!AA421="","",計分!AA421^2)</f>
        <v/>
      </c>
      <c r="AB421">
        <f>IF(計分!AB421="","",計分!AB421^2)</f>
        <v/>
      </c>
      <c r="AC421">
        <f>IF(計分!AC421="","",計分!AC421^2)</f>
        <v/>
      </c>
      <c r="AD421">
        <f>IF(計分!AD421="","",計分!AD421^2)</f>
        <v/>
      </c>
      <c r="AE421">
        <f>IF(計分!AE421="","",計分!AE421^2)</f>
        <v/>
      </c>
      <c r="AF421">
        <f>IF(計分!AF421="","",計分!AF421^2)</f>
        <v/>
      </c>
      <c r="AG421">
        <f>IF(計分!AG421="","",計分!AG421^2)</f>
        <v/>
      </c>
      <c r="AH421">
        <f>IF(計分!AH421="","",計分!AH421^2)</f>
        <v/>
      </c>
      <c r="AI421">
        <f>IF(計分!AI421="","",計分!AI421^2)</f>
        <v/>
      </c>
      <c r="AJ421">
        <f>IF(計分!AJ421="","",計分!AJ421^2)</f>
        <v/>
      </c>
      <c r="AK421">
        <f>IF(計分!AK421="","",計分!AK421^2)</f>
        <v/>
      </c>
      <c r="AL421">
        <f>IF(計分!AL421="","",計分!AL421^2)</f>
        <v/>
      </c>
      <c r="AM421">
        <f>IF(計分!AM421="","",計分!AM421^2)</f>
        <v/>
      </c>
      <c r="AN421">
        <f>IF(計分!AN421="","",計分!AN421^2)</f>
        <v/>
      </c>
      <c r="AO421">
        <f>IF(計分!AO421="","",計分!AO421^2)</f>
        <v/>
      </c>
    </row>
    <row r="422">
      <c r="B422">
        <f>IF(計分!B422="","",計分!B422^2)</f>
        <v/>
      </c>
      <c r="C422">
        <f>IF(計分!C422="","",計分!C422^2)</f>
        <v/>
      </c>
      <c r="D422">
        <f>IF(計分!D422="","",計分!D422^2)</f>
        <v/>
      </c>
      <c r="E422">
        <f>IF(計分!E422="","",計分!E422^2)</f>
        <v/>
      </c>
      <c r="F422">
        <f>IF(計分!F422="","",計分!F422^2)</f>
        <v/>
      </c>
      <c r="G422">
        <f>IF(計分!G422="","",計分!G422^2)</f>
        <v/>
      </c>
      <c r="H422">
        <f>IF(計分!H422="","",計分!H422^2)</f>
        <v/>
      </c>
      <c r="I422">
        <f>IF(計分!I422="","",計分!I422^2)</f>
        <v/>
      </c>
      <c r="J422">
        <f>IF(計分!J422="","",計分!J422^2)</f>
        <v/>
      </c>
      <c r="K422">
        <f>IF(計分!K422="","",計分!K422^2)</f>
        <v/>
      </c>
      <c r="L422">
        <f>IF(計分!L422="","",計分!L422^2)</f>
        <v/>
      </c>
      <c r="M422">
        <f>IF(計分!M422="","",計分!M422^2)</f>
        <v/>
      </c>
      <c r="N422">
        <f>IF(計分!N422="","",計分!N422^2)</f>
        <v/>
      </c>
      <c r="O422">
        <f>IF(計分!O422="","",計分!O422^2)</f>
        <v/>
      </c>
      <c r="P422">
        <f>IF(計分!P422="","",計分!P422^2)</f>
        <v/>
      </c>
      <c r="Q422">
        <f>IF(計分!Q422="","",計分!Q422^2)</f>
        <v/>
      </c>
      <c r="R422">
        <f>IF(計分!R422="","",計分!R422^2)</f>
        <v/>
      </c>
      <c r="S422">
        <f>IF(計分!S422="","",計分!S422^2)</f>
        <v/>
      </c>
      <c r="T422">
        <f>IF(計分!T422="","",計分!T422^2)</f>
        <v/>
      </c>
      <c r="U422">
        <f>IF(計分!U422="","",計分!U422^2)</f>
        <v/>
      </c>
      <c r="V422">
        <f>IF(計分!V422="","",計分!V422^2)</f>
        <v/>
      </c>
      <c r="W422">
        <f>IF(計分!W422="","",計分!W422^2)</f>
        <v/>
      </c>
      <c r="X422">
        <f>IF(計分!X422="","",計分!X422^2)</f>
        <v/>
      </c>
      <c r="Y422">
        <f>IF(計分!Y422="","",計分!Y422^2)</f>
        <v/>
      </c>
      <c r="Z422">
        <f>IF(計分!Z422="","",計分!Z422^2)</f>
        <v/>
      </c>
      <c r="AA422">
        <f>IF(計分!AA422="","",計分!AA422^2)</f>
        <v/>
      </c>
      <c r="AB422">
        <f>IF(計分!AB422="","",計分!AB422^2)</f>
        <v/>
      </c>
      <c r="AC422">
        <f>IF(計分!AC422="","",計分!AC422^2)</f>
        <v/>
      </c>
      <c r="AD422">
        <f>IF(計分!AD422="","",計分!AD422^2)</f>
        <v/>
      </c>
      <c r="AE422">
        <f>IF(計分!AE422="","",計分!AE422^2)</f>
        <v/>
      </c>
      <c r="AF422">
        <f>IF(計分!AF422="","",計分!AF422^2)</f>
        <v/>
      </c>
      <c r="AG422">
        <f>IF(計分!AG422="","",計分!AG422^2)</f>
        <v/>
      </c>
      <c r="AH422">
        <f>IF(計分!AH422="","",計分!AH422^2)</f>
        <v/>
      </c>
      <c r="AI422">
        <f>IF(計分!AI422="","",計分!AI422^2)</f>
        <v/>
      </c>
      <c r="AJ422">
        <f>IF(計分!AJ422="","",計分!AJ422^2)</f>
        <v/>
      </c>
      <c r="AK422">
        <f>IF(計分!AK422="","",計分!AK422^2)</f>
        <v/>
      </c>
      <c r="AL422">
        <f>IF(計分!AL422="","",計分!AL422^2)</f>
        <v/>
      </c>
      <c r="AM422">
        <f>IF(計分!AM422="","",計分!AM422^2)</f>
        <v/>
      </c>
      <c r="AN422">
        <f>IF(計分!AN422="","",計分!AN422^2)</f>
        <v/>
      </c>
      <c r="AO422">
        <f>IF(計分!AO422="","",計分!AO422^2)</f>
        <v/>
      </c>
    </row>
    <row r="423">
      <c r="B423">
        <f>IF(計分!B423="","",計分!B423^2)</f>
        <v/>
      </c>
      <c r="C423">
        <f>IF(計分!C423="","",計分!C423^2)</f>
        <v/>
      </c>
      <c r="D423">
        <f>IF(計分!D423="","",計分!D423^2)</f>
        <v/>
      </c>
      <c r="E423">
        <f>IF(計分!E423="","",計分!E423^2)</f>
        <v/>
      </c>
      <c r="F423">
        <f>IF(計分!F423="","",計分!F423^2)</f>
        <v/>
      </c>
      <c r="G423">
        <f>IF(計分!G423="","",計分!G423^2)</f>
        <v/>
      </c>
      <c r="H423">
        <f>IF(計分!H423="","",計分!H423^2)</f>
        <v/>
      </c>
      <c r="I423">
        <f>IF(計分!I423="","",計分!I423^2)</f>
        <v/>
      </c>
      <c r="J423">
        <f>IF(計分!J423="","",計分!J423^2)</f>
        <v/>
      </c>
      <c r="K423">
        <f>IF(計分!K423="","",計分!K423^2)</f>
        <v/>
      </c>
      <c r="L423">
        <f>IF(計分!L423="","",計分!L423^2)</f>
        <v/>
      </c>
      <c r="M423">
        <f>IF(計分!M423="","",計分!M423^2)</f>
        <v/>
      </c>
      <c r="N423">
        <f>IF(計分!N423="","",計分!N423^2)</f>
        <v/>
      </c>
      <c r="O423">
        <f>IF(計分!O423="","",計分!O423^2)</f>
        <v/>
      </c>
      <c r="P423">
        <f>IF(計分!P423="","",計分!P423^2)</f>
        <v/>
      </c>
      <c r="Q423">
        <f>IF(計分!Q423="","",計分!Q423^2)</f>
        <v/>
      </c>
      <c r="R423">
        <f>IF(計分!R423="","",計分!R423^2)</f>
        <v/>
      </c>
      <c r="S423">
        <f>IF(計分!S423="","",計分!S423^2)</f>
        <v/>
      </c>
      <c r="T423">
        <f>IF(計分!T423="","",計分!T423^2)</f>
        <v/>
      </c>
      <c r="U423">
        <f>IF(計分!U423="","",計分!U423^2)</f>
        <v/>
      </c>
      <c r="V423">
        <f>IF(計分!V423="","",計分!V423^2)</f>
        <v/>
      </c>
      <c r="W423">
        <f>IF(計分!W423="","",計分!W423^2)</f>
        <v/>
      </c>
      <c r="X423">
        <f>IF(計分!X423="","",計分!X423^2)</f>
        <v/>
      </c>
      <c r="Y423">
        <f>IF(計分!Y423="","",計分!Y423^2)</f>
        <v/>
      </c>
      <c r="Z423">
        <f>IF(計分!Z423="","",計分!Z423^2)</f>
        <v/>
      </c>
      <c r="AA423">
        <f>IF(計分!AA423="","",計分!AA423^2)</f>
        <v/>
      </c>
      <c r="AB423">
        <f>IF(計分!AB423="","",計分!AB423^2)</f>
        <v/>
      </c>
      <c r="AC423">
        <f>IF(計分!AC423="","",計分!AC423^2)</f>
        <v/>
      </c>
      <c r="AD423">
        <f>IF(計分!AD423="","",計分!AD423^2)</f>
        <v/>
      </c>
      <c r="AE423">
        <f>IF(計分!AE423="","",計分!AE423^2)</f>
        <v/>
      </c>
      <c r="AF423">
        <f>IF(計分!AF423="","",計分!AF423^2)</f>
        <v/>
      </c>
      <c r="AG423">
        <f>IF(計分!AG423="","",計分!AG423^2)</f>
        <v/>
      </c>
      <c r="AH423">
        <f>IF(計分!AH423="","",計分!AH423^2)</f>
        <v/>
      </c>
      <c r="AI423">
        <f>IF(計分!AI423="","",計分!AI423^2)</f>
        <v/>
      </c>
      <c r="AJ423">
        <f>IF(計分!AJ423="","",計分!AJ423^2)</f>
        <v/>
      </c>
      <c r="AK423">
        <f>IF(計分!AK423="","",計分!AK423^2)</f>
        <v/>
      </c>
      <c r="AL423">
        <f>IF(計分!AL423="","",計分!AL423^2)</f>
        <v/>
      </c>
      <c r="AM423">
        <f>IF(計分!AM423="","",計分!AM423^2)</f>
        <v/>
      </c>
      <c r="AN423">
        <f>IF(計分!AN423="","",計分!AN423^2)</f>
        <v/>
      </c>
      <c r="AO423">
        <f>IF(計分!AO423="","",計分!AO423^2)</f>
        <v/>
      </c>
    </row>
    <row r="424">
      <c r="B424">
        <f>IF(計分!B424="","",計分!B424^2)</f>
        <v/>
      </c>
      <c r="C424">
        <f>IF(計分!C424="","",計分!C424^2)</f>
        <v/>
      </c>
      <c r="D424">
        <f>IF(計分!D424="","",計分!D424^2)</f>
        <v/>
      </c>
      <c r="E424">
        <f>IF(計分!E424="","",計分!E424^2)</f>
        <v/>
      </c>
      <c r="F424">
        <f>IF(計分!F424="","",計分!F424^2)</f>
        <v/>
      </c>
      <c r="G424">
        <f>IF(計分!G424="","",計分!G424^2)</f>
        <v/>
      </c>
      <c r="H424">
        <f>IF(計分!H424="","",計分!H424^2)</f>
        <v/>
      </c>
      <c r="I424">
        <f>IF(計分!I424="","",計分!I424^2)</f>
        <v/>
      </c>
      <c r="J424">
        <f>IF(計分!J424="","",計分!J424^2)</f>
        <v/>
      </c>
      <c r="K424">
        <f>IF(計分!K424="","",計分!K424^2)</f>
        <v/>
      </c>
      <c r="L424">
        <f>IF(計分!L424="","",計分!L424^2)</f>
        <v/>
      </c>
      <c r="M424">
        <f>IF(計分!M424="","",計分!M424^2)</f>
        <v/>
      </c>
      <c r="N424">
        <f>IF(計分!N424="","",計分!N424^2)</f>
        <v/>
      </c>
      <c r="O424">
        <f>IF(計分!O424="","",計分!O424^2)</f>
        <v/>
      </c>
      <c r="P424">
        <f>IF(計分!P424="","",計分!P424^2)</f>
        <v/>
      </c>
      <c r="Q424">
        <f>IF(計分!Q424="","",計分!Q424^2)</f>
        <v/>
      </c>
      <c r="R424">
        <f>IF(計分!R424="","",計分!R424^2)</f>
        <v/>
      </c>
      <c r="S424">
        <f>IF(計分!S424="","",計分!S424^2)</f>
        <v/>
      </c>
      <c r="T424">
        <f>IF(計分!T424="","",計分!T424^2)</f>
        <v/>
      </c>
      <c r="U424">
        <f>IF(計分!U424="","",計分!U424^2)</f>
        <v/>
      </c>
      <c r="V424">
        <f>IF(計分!V424="","",計分!V424^2)</f>
        <v/>
      </c>
      <c r="W424">
        <f>IF(計分!W424="","",計分!W424^2)</f>
        <v/>
      </c>
      <c r="X424">
        <f>IF(計分!X424="","",計分!X424^2)</f>
        <v/>
      </c>
      <c r="Y424">
        <f>IF(計分!Y424="","",計分!Y424^2)</f>
        <v/>
      </c>
      <c r="Z424">
        <f>IF(計分!Z424="","",計分!Z424^2)</f>
        <v/>
      </c>
      <c r="AA424">
        <f>IF(計分!AA424="","",計分!AA424^2)</f>
        <v/>
      </c>
      <c r="AB424">
        <f>IF(計分!AB424="","",計分!AB424^2)</f>
        <v/>
      </c>
      <c r="AC424">
        <f>IF(計分!AC424="","",計分!AC424^2)</f>
        <v/>
      </c>
      <c r="AD424">
        <f>IF(計分!AD424="","",計分!AD424^2)</f>
        <v/>
      </c>
      <c r="AE424">
        <f>IF(計分!AE424="","",計分!AE424^2)</f>
        <v/>
      </c>
      <c r="AF424">
        <f>IF(計分!AF424="","",計分!AF424^2)</f>
        <v/>
      </c>
      <c r="AG424">
        <f>IF(計分!AG424="","",計分!AG424^2)</f>
        <v/>
      </c>
      <c r="AH424">
        <f>IF(計分!AH424="","",計分!AH424^2)</f>
        <v/>
      </c>
      <c r="AI424">
        <f>IF(計分!AI424="","",計分!AI424^2)</f>
        <v/>
      </c>
      <c r="AJ424">
        <f>IF(計分!AJ424="","",計分!AJ424^2)</f>
        <v/>
      </c>
      <c r="AK424">
        <f>IF(計分!AK424="","",計分!AK424^2)</f>
        <v/>
      </c>
      <c r="AL424">
        <f>IF(計分!AL424="","",計分!AL424^2)</f>
        <v/>
      </c>
      <c r="AM424">
        <f>IF(計分!AM424="","",計分!AM424^2)</f>
        <v/>
      </c>
      <c r="AN424">
        <f>IF(計分!AN424="","",計分!AN424^2)</f>
        <v/>
      </c>
      <c r="AO424">
        <f>IF(計分!AO424="","",計分!AO424^2)</f>
        <v/>
      </c>
    </row>
    <row r="425">
      <c r="B425">
        <f>IF(計分!B425="","",計分!B425^2)</f>
        <v/>
      </c>
      <c r="C425">
        <f>IF(計分!C425="","",計分!C425^2)</f>
        <v/>
      </c>
      <c r="D425">
        <f>IF(計分!D425="","",計分!D425^2)</f>
        <v/>
      </c>
      <c r="E425">
        <f>IF(計分!E425="","",計分!E425^2)</f>
        <v/>
      </c>
      <c r="F425">
        <f>IF(計分!F425="","",計分!F425^2)</f>
        <v/>
      </c>
      <c r="G425">
        <f>IF(計分!G425="","",計分!G425^2)</f>
        <v/>
      </c>
      <c r="H425">
        <f>IF(計分!H425="","",計分!H425^2)</f>
        <v/>
      </c>
      <c r="I425">
        <f>IF(計分!I425="","",計分!I425^2)</f>
        <v/>
      </c>
      <c r="J425">
        <f>IF(計分!J425="","",計分!J425^2)</f>
        <v/>
      </c>
      <c r="K425">
        <f>IF(計分!K425="","",計分!K425^2)</f>
        <v/>
      </c>
      <c r="L425">
        <f>IF(計分!L425="","",計分!L425^2)</f>
        <v/>
      </c>
      <c r="M425">
        <f>IF(計分!M425="","",計分!M425^2)</f>
        <v/>
      </c>
      <c r="N425">
        <f>IF(計分!N425="","",計分!N425^2)</f>
        <v/>
      </c>
      <c r="O425">
        <f>IF(計分!O425="","",計分!O425^2)</f>
        <v/>
      </c>
      <c r="P425">
        <f>IF(計分!P425="","",計分!P425^2)</f>
        <v/>
      </c>
      <c r="Q425">
        <f>IF(計分!Q425="","",計分!Q425^2)</f>
        <v/>
      </c>
      <c r="R425">
        <f>IF(計分!R425="","",計分!R425^2)</f>
        <v/>
      </c>
      <c r="S425">
        <f>IF(計分!S425="","",計分!S425^2)</f>
        <v/>
      </c>
      <c r="T425">
        <f>IF(計分!T425="","",計分!T425^2)</f>
        <v/>
      </c>
      <c r="U425">
        <f>IF(計分!U425="","",計分!U425^2)</f>
        <v/>
      </c>
      <c r="V425">
        <f>IF(計分!V425="","",計分!V425^2)</f>
        <v/>
      </c>
      <c r="W425">
        <f>IF(計分!W425="","",計分!W425^2)</f>
        <v/>
      </c>
      <c r="X425">
        <f>IF(計分!X425="","",計分!X425^2)</f>
        <v/>
      </c>
      <c r="Y425">
        <f>IF(計分!Y425="","",計分!Y425^2)</f>
        <v/>
      </c>
      <c r="Z425">
        <f>IF(計分!Z425="","",計分!Z425^2)</f>
        <v/>
      </c>
      <c r="AA425">
        <f>IF(計分!AA425="","",計分!AA425^2)</f>
        <v/>
      </c>
      <c r="AB425">
        <f>IF(計分!AB425="","",計分!AB425^2)</f>
        <v/>
      </c>
      <c r="AC425">
        <f>IF(計分!AC425="","",計分!AC425^2)</f>
        <v/>
      </c>
      <c r="AD425">
        <f>IF(計分!AD425="","",計分!AD425^2)</f>
        <v/>
      </c>
      <c r="AE425">
        <f>IF(計分!AE425="","",計分!AE425^2)</f>
        <v/>
      </c>
      <c r="AF425">
        <f>IF(計分!AF425="","",計分!AF425^2)</f>
        <v/>
      </c>
      <c r="AG425">
        <f>IF(計分!AG425="","",計分!AG425^2)</f>
        <v/>
      </c>
      <c r="AH425">
        <f>IF(計分!AH425="","",計分!AH425^2)</f>
        <v/>
      </c>
      <c r="AI425">
        <f>IF(計分!AI425="","",計分!AI425^2)</f>
        <v/>
      </c>
      <c r="AJ425">
        <f>IF(計分!AJ425="","",計分!AJ425^2)</f>
        <v/>
      </c>
      <c r="AK425">
        <f>IF(計分!AK425="","",計分!AK425^2)</f>
        <v/>
      </c>
      <c r="AL425">
        <f>IF(計分!AL425="","",計分!AL425^2)</f>
        <v/>
      </c>
      <c r="AM425">
        <f>IF(計分!AM425="","",計分!AM425^2)</f>
        <v/>
      </c>
      <c r="AN425">
        <f>IF(計分!AN425="","",計分!AN425^2)</f>
        <v/>
      </c>
      <c r="AO425">
        <f>IF(計分!AO425="","",計分!AO425^2)</f>
        <v/>
      </c>
    </row>
    <row r="426">
      <c r="B426">
        <f>IF(計分!B426="","",計分!B426^2)</f>
        <v/>
      </c>
      <c r="C426">
        <f>IF(計分!C426="","",計分!C426^2)</f>
        <v/>
      </c>
      <c r="D426">
        <f>IF(計分!D426="","",計分!D426^2)</f>
        <v/>
      </c>
      <c r="E426">
        <f>IF(計分!E426="","",計分!E426^2)</f>
        <v/>
      </c>
      <c r="F426">
        <f>IF(計分!F426="","",計分!F426^2)</f>
        <v/>
      </c>
      <c r="G426">
        <f>IF(計分!G426="","",計分!G426^2)</f>
        <v/>
      </c>
      <c r="H426">
        <f>IF(計分!H426="","",計分!H426^2)</f>
        <v/>
      </c>
      <c r="I426">
        <f>IF(計分!I426="","",計分!I426^2)</f>
        <v/>
      </c>
      <c r="J426">
        <f>IF(計分!J426="","",計分!J426^2)</f>
        <v/>
      </c>
      <c r="K426">
        <f>IF(計分!K426="","",計分!K426^2)</f>
        <v/>
      </c>
      <c r="L426">
        <f>IF(計分!L426="","",計分!L426^2)</f>
        <v/>
      </c>
      <c r="M426">
        <f>IF(計分!M426="","",計分!M426^2)</f>
        <v/>
      </c>
      <c r="N426">
        <f>IF(計分!N426="","",計分!N426^2)</f>
        <v/>
      </c>
      <c r="O426">
        <f>IF(計分!O426="","",計分!O426^2)</f>
        <v/>
      </c>
      <c r="P426">
        <f>IF(計分!P426="","",計分!P426^2)</f>
        <v/>
      </c>
      <c r="Q426">
        <f>IF(計分!Q426="","",計分!Q426^2)</f>
        <v/>
      </c>
      <c r="R426">
        <f>IF(計分!R426="","",計分!R426^2)</f>
        <v/>
      </c>
      <c r="S426">
        <f>IF(計分!S426="","",計分!S426^2)</f>
        <v/>
      </c>
      <c r="T426">
        <f>IF(計分!T426="","",計分!T426^2)</f>
        <v/>
      </c>
      <c r="U426">
        <f>IF(計分!U426="","",計分!U426^2)</f>
        <v/>
      </c>
      <c r="V426">
        <f>IF(計分!V426="","",計分!V426^2)</f>
        <v/>
      </c>
      <c r="W426">
        <f>IF(計分!W426="","",計分!W426^2)</f>
        <v/>
      </c>
      <c r="X426">
        <f>IF(計分!X426="","",計分!X426^2)</f>
        <v/>
      </c>
      <c r="Y426">
        <f>IF(計分!Y426="","",計分!Y426^2)</f>
        <v/>
      </c>
      <c r="Z426">
        <f>IF(計分!Z426="","",計分!Z426^2)</f>
        <v/>
      </c>
      <c r="AA426">
        <f>IF(計分!AA426="","",計分!AA426^2)</f>
        <v/>
      </c>
      <c r="AB426">
        <f>IF(計分!AB426="","",計分!AB426^2)</f>
        <v/>
      </c>
      <c r="AC426">
        <f>IF(計分!AC426="","",計分!AC426^2)</f>
        <v/>
      </c>
      <c r="AD426">
        <f>IF(計分!AD426="","",計分!AD426^2)</f>
        <v/>
      </c>
      <c r="AE426">
        <f>IF(計分!AE426="","",計分!AE426^2)</f>
        <v/>
      </c>
      <c r="AF426">
        <f>IF(計分!AF426="","",計分!AF426^2)</f>
        <v/>
      </c>
      <c r="AG426">
        <f>IF(計分!AG426="","",計分!AG426^2)</f>
        <v/>
      </c>
      <c r="AH426">
        <f>IF(計分!AH426="","",計分!AH426^2)</f>
        <v/>
      </c>
      <c r="AI426">
        <f>IF(計分!AI426="","",計分!AI426^2)</f>
        <v/>
      </c>
      <c r="AJ426">
        <f>IF(計分!AJ426="","",計分!AJ426^2)</f>
        <v/>
      </c>
      <c r="AK426">
        <f>IF(計分!AK426="","",計分!AK426^2)</f>
        <v/>
      </c>
      <c r="AL426">
        <f>IF(計分!AL426="","",計分!AL426^2)</f>
        <v/>
      </c>
      <c r="AM426">
        <f>IF(計分!AM426="","",計分!AM426^2)</f>
        <v/>
      </c>
      <c r="AN426">
        <f>IF(計分!AN426="","",計分!AN426^2)</f>
        <v/>
      </c>
      <c r="AO426">
        <f>IF(計分!AO426="","",計分!AO426^2)</f>
        <v/>
      </c>
    </row>
    <row r="427">
      <c r="B427">
        <f>IF(計分!B427="","",計分!B427^2)</f>
        <v/>
      </c>
      <c r="C427">
        <f>IF(計分!C427="","",計分!C427^2)</f>
        <v/>
      </c>
      <c r="D427">
        <f>IF(計分!D427="","",計分!D427^2)</f>
        <v/>
      </c>
      <c r="E427">
        <f>IF(計分!E427="","",計分!E427^2)</f>
        <v/>
      </c>
      <c r="F427">
        <f>IF(計分!F427="","",計分!F427^2)</f>
        <v/>
      </c>
      <c r="G427">
        <f>IF(計分!G427="","",計分!G427^2)</f>
        <v/>
      </c>
      <c r="H427">
        <f>IF(計分!H427="","",計分!H427^2)</f>
        <v/>
      </c>
      <c r="I427">
        <f>IF(計分!I427="","",計分!I427^2)</f>
        <v/>
      </c>
      <c r="J427">
        <f>IF(計分!J427="","",計分!J427^2)</f>
        <v/>
      </c>
      <c r="K427">
        <f>IF(計分!K427="","",計分!K427^2)</f>
        <v/>
      </c>
      <c r="L427">
        <f>IF(計分!L427="","",計分!L427^2)</f>
        <v/>
      </c>
      <c r="M427">
        <f>IF(計分!M427="","",計分!M427^2)</f>
        <v/>
      </c>
      <c r="N427">
        <f>IF(計分!N427="","",計分!N427^2)</f>
        <v/>
      </c>
      <c r="O427">
        <f>IF(計分!O427="","",計分!O427^2)</f>
        <v/>
      </c>
      <c r="P427">
        <f>IF(計分!P427="","",計分!P427^2)</f>
        <v/>
      </c>
      <c r="Q427">
        <f>IF(計分!Q427="","",計分!Q427^2)</f>
        <v/>
      </c>
      <c r="R427">
        <f>IF(計分!R427="","",計分!R427^2)</f>
        <v/>
      </c>
      <c r="S427">
        <f>IF(計分!S427="","",計分!S427^2)</f>
        <v/>
      </c>
      <c r="T427">
        <f>IF(計分!T427="","",計分!T427^2)</f>
        <v/>
      </c>
      <c r="U427">
        <f>IF(計分!U427="","",計分!U427^2)</f>
        <v/>
      </c>
      <c r="V427">
        <f>IF(計分!V427="","",計分!V427^2)</f>
        <v/>
      </c>
      <c r="W427">
        <f>IF(計分!W427="","",計分!W427^2)</f>
        <v/>
      </c>
      <c r="X427">
        <f>IF(計分!X427="","",計分!X427^2)</f>
        <v/>
      </c>
      <c r="Y427">
        <f>IF(計分!Y427="","",計分!Y427^2)</f>
        <v/>
      </c>
      <c r="Z427">
        <f>IF(計分!Z427="","",計分!Z427^2)</f>
        <v/>
      </c>
      <c r="AA427">
        <f>IF(計分!AA427="","",計分!AA427^2)</f>
        <v/>
      </c>
      <c r="AB427">
        <f>IF(計分!AB427="","",計分!AB427^2)</f>
        <v/>
      </c>
      <c r="AC427">
        <f>IF(計分!AC427="","",計分!AC427^2)</f>
        <v/>
      </c>
      <c r="AD427">
        <f>IF(計分!AD427="","",計分!AD427^2)</f>
        <v/>
      </c>
      <c r="AE427">
        <f>IF(計分!AE427="","",計分!AE427^2)</f>
        <v/>
      </c>
      <c r="AF427">
        <f>IF(計分!AF427="","",計分!AF427^2)</f>
        <v/>
      </c>
      <c r="AG427">
        <f>IF(計分!AG427="","",計分!AG427^2)</f>
        <v/>
      </c>
      <c r="AH427">
        <f>IF(計分!AH427="","",計分!AH427^2)</f>
        <v/>
      </c>
      <c r="AI427">
        <f>IF(計分!AI427="","",計分!AI427^2)</f>
        <v/>
      </c>
      <c r="AJ427">
        <f>IF(計分!AJ427="","",計分!AJ427^2)</f>
        <v/>
      </c>
      <c r="AK427">
        <f>IF(計分!AK427="","",計分!AK427^2)</f>
        <v/>
      </c>
      <c r="AL427">
        <f>IF(計分!AL427="","",計分!AL427^2)</f>
        <v/>
      </c>
      <c r="AM427">
        <f>IF(計分!AM427="","",計分!AM427^2)</f>
        <v/>
      </c>
      <c r="AN427">
        <f>IF(計分!AN427="","",計分!AN427^2)</f>
        <v/>
      </c>
      <c r="AO427">
        <f>IF(計分!AO427="","",計分!AO427^2)</f>
        <v/>
      </c>
    </row>
    <row r="428">
      <c r="B428">
        <f>IF(計分!B428="","",計分!B428^2)</f>
        <v/>
      </c>
      <c r="C428">
        <f>IF(計分!C428="","",計分!C428^2)</f>
        <v/>
      </c>
      <c r="D428">
        <f>IF(計分!D428="","",計分!D428^2)</f>
        <v/>
      </c>
      <c r="E428">
        <f>IF(計分!E428="","",計分!E428^2)</f>
        <v/>
      </c>
      <c r="F428">
        <f>IF(計分!F428="","",計分!F428^2)</f>
        <v/>
      </c>
      <c r="G428">
        <f>IF(計分!G428="","",計分!G428^2)</f>
        <v/>
      </c>
      <c r="H428">
        <f>IF(計分!H428="","",計分!H428^2)</f>
        <v/>
      </c>
      <c r="I428">
        <f>IF(計分!I428="","",計分!I428^2)</f>
        <v/>
      </c>
      <c r="J428">
        <f>IF(計分!J428="","",計分!J428^2)</f>
        <v/>
      </c>
      <c r="K428">
        <f>IF(計分!K428="","",計分!K428^2)</f>
        <v/>
      </c>
      <c r="L428">
        <f>IF(計分!L428="","",計分!L428^2)</f>
        <v/>
      </c>
      <c r="M428">
        <f>IF(計分!M428="","",計分!M428^2)</f>
        <v/>
      </c>
      <c r="N428">
        <f>IF(計分!N428="","",計分!N428^2)</f>
        <v/>
      </c>
      <c r="O428">
        <f>IF(計分!O428="","",計分!O428^2)</f>
        <v/>
      </c>
      <c r="P428">
        <f>IF(計分!P428="","",計分!P428^2)</f>
        <v/>
      </c>
      <c r="Q428">
        <f>IF(計分!Q428="","",計分!Q428^2)</f>
        <v/>
      </c>
      <c r="R428">
        <f>IF(計分!R428="","",計分!R428^2)</f>
        <v/>
      </c>
      <c r="S428">
        <f>IF(計分!S428="","",計分!S428^2)</f>
        <v/>
      </c>
      <c r="T428">
        <f>IF(計分!T428="","",計分!T428^2)</f>
        <v/>
      </c>
      <c r="U428">
        <f>IF(計分!U428="","",計分!U428^2)</f>
        <v/>
      </c>
      <c r="V428">
        <f>IF(計分!V428="","",計分!V428^2)</f>
        <v/>
      </c>
      <c r="W428">
        <f>IF(計分!W428="","",計分!W428^2)</f>
        <v/>
      </c>
      <c r="X428">
        <f>IF(計分!X428="","",計分!X428^2)</f>
        <v/>
      </c>
      <c r="Y428">
        <f>IF(計分!Y428="","",計分!Y428^2)</f>
        <v/>
      </c>
      <c r="Z428">
        <f>IF(計分!Z428="","",計分!Z428^2)</f>
        <v/>
      </c>
      <c r="AA428">
        <f>IF(計分!AA428="","",計分!AA428^2)</f>
        <v/>
      </c>
      <c r="AB428">
        <f>IF(計分!AB428="","",計分!AB428^2)</f>
        <v/>
      </c>
      <c r="AC428">
        <f>IF(計分!AC428="","",計分!AC428^2)</f>
        <v/>
      </c>
      <c r="AD428">
        <f>IF(計分!AD428="","",計分!AD428^2)</f>
        <v/>
      </c>
      <c r="AE428">
        <f>IF(計分!AE428="","",計分!AE428^2)</f>
        <v/>
      </c>
      <c r="AF428">
        <f>IF(計分!AF428="","",計分!AF428^2)</f>
        <v/>
      </c>
      <c r="AG428">
        <f>IF(計分!AG428="","",計分!AG428^2)</f>
        <v/>
      </c>
      <c r="AH428">
        <f>IF(計分!AH428="","",計分!AH428^2)</f>
        <v/>
      </c>
      <c r="AI428">
        <f>IF(計分!AI428="","",計分!AI428^2)</f>
        <v/>
      </c>
      <c r="AJ428">
        <f>IF(計分!AJ428="","",計分!AJ428^2)</f>
        <v/>
      </c>
      <c r="AK428">
        <f>IF(計分!AK428="","",計分!AK428^2)</f>
        <v/>
      </c>
      <c r="AL428">
        <f>IF(計分!AL428="","",計分!AL428^2)</f>
        <v/>
      </c>
      <c r="AM428">
        <f>IF(計分!AM428="","",計分!AM428^2)</f>
        <v/>
      </c>
      <c r="AN428">
        <f>IF(計分!AN428="","",計分!AN428^2)</f>
        <v/>
      </c>
      <c r="AO428">
        <f>IF(計分!AO428="","",計分!AO428^2)</f>
        <v/>
      </c>
    </row>
    <row r="429">
      <c r="B429">
        <f>IF(計分!B429="","",計分!B429^2)</f>
        <v/>
      </c>
      <c r="C429">
        <f>IF(計分!C429="","",計分!C429^2)</f>
        <v/>
      </c>
      <c r="D429">
        <f>IF(計分!D429="","",計分!D429^2)</f>
        <v/>
      </c>
      <c r="E429">
        <f>IF(計分!E429="","",計分!E429^2)</f>
        <v/>
      </c>
      <c r="F429">
        <f>IF(計分!F429="","",計分!F429^2)</f>
        <v/>
      </c>
      <c r="G429">
        <f>IF(計分!G429="","",計分!G429^2)</f>
        <v/>
      </c>
      <c r="H429">
        <f>IF(計分!H429="","",計分!H429^2)</f>
        <v/>
      </c>
      <c r="I429">
        <f>IF(計分!I429="","",計分!I429^2)</f>
        <v/>
      </c>
      <c r="J429">
        <f>IF(計分!J429="","",計分!J429^2)</f>
        <v/>
      </c>
      <c r="K429">
        <f>IF(計分!K429="","",計分!K429^2)</f>
        <v/>
      </c>
      <c r="L429">
        <f>IF(計分!L429="","",計分!L429^2)</f>
        <v/>
      </c>
      <c r="M429">
        <f>IF(計分!M429="","",計分!M429^2)</f>
        <v/>
      </c>
      <c r="N429">
        <f>IF(計分!N429="","",計分!N429^2)</f>
        <v/>
      </c>
      <c r="O429">
        <f>IF(計分!O429="","",計分!O429^2)</f>
        <v/>
      </c>
      <c r="P429">
        <f>IF(計分!P429="","",計分!P429^2)</f>
        <v/>
      </c>
      <c r="Q429">
        <f>IF(計分!Q429="","",計分!Q429^2)</f>
        <v/>
      </c>
      <c r="R429">
        <f>IF(計分!R429="","",計分!R429^2)</f>
        <v/>
      </c>
      <c r="S429">
        <f>IF(計分!S429="","",計分!S429^2)</f>
        <v/>
      </c>
      <c r="T429">
        <f>IF(計分!T429="","",計分!T429^2)</f>
        <v/>
      </c>
      <c r="U429">
        <f>IF(計分!U429="","",計分!U429^2)</f>
        <v/>
      </c>
      <c r="V429">
        <f>IF(計分!V429="","",計分!V429^2)</f>
        <v/>
      </c>
      <c r="W429">
        <f>IF(計分!W429="","",計分!W429^2)</f>
        <v/>
      </c>
      <c r="X429">
        <f>IF(計分!X429="","",計分!X429^2)</f>
        <v/>
      </c>
      <c r="Y429">
        <f>IF(計分!Y429="","",計分!Y429^2)</f>
        <v/>
      </c>
      <c r="Z429">
        <f>IF(計分!Z429="","",計分!Z429^2)</f>
        <v/>
      </c>
      <c r="AA429">
        <f>IF(計分!AA429="","",計分!AA429^2)</f>
        <v/>
      </c>
      <c r="AB429">
        <f>IF(計分!AB429="","",計分!AB429^2)</f>
        <v/>
      </c>
      <c r="AC429">
        <f>IF(計分!AC429="","",計分!AC429^2)</f>
        <v/>
      </c>
      <c r="AD429">
        <f>IF(計分!AD429="","",計分!AD429^2)</f>
        <v/>
      </c>
      <c r="AE429">
        <f>IF(計分!AE429="","",計分!AE429^2)</f>
        <v/>
      </c>
      <c r="AF429">
        <f>IF(計分!AF429="","",計分!AF429^2)</f>
        <v/>
      </c>
      <c r="AG429">
        <f>IF(計分!AG429="","",計分!AG429^2)</f>
        <v/>
      </c>
      <c r="AH429">
        <f>IF(計分!AH429="","",計分!AH429^2)</f>
        <v/>
      </c>
      <c r="AI429">
        <f>IF(計分!AI429="","",計分!AI429^2)</f>
        <v/>
      </c>
      <c r="AJ429">
        <f>IF(計分!AJ429="","",計分!AJ429^2)</f>
        <v/>
      </c>
      <c r="AK429">
        <f>IF(計分!AK429="","",計分!AK429^2)</f>
        <v/>
      </c>
      <c r="AL429">
        <f>IF(計分!AL429="","",計分!AL429^2)</f>
        <v/>
      </c>
      <c r="AM429">
        <f>IF(計分!AM429="","",計分!AM429^2)</f>
        <v/>
      </c>
      <c r="AN429">
        <f>IF(計分!AN429="","",計分!AN429^2)</f>
        <v/>
      </c>
      <c r="AO429">
        <f>IF(計分!AO429="","",計分!AO429^2)</f>
        <v/>
      </c>
    </row>
    <row r="430">
      <c r="B430">
        <f>IF(計分!B430="","",計分!B430^2)</f>
        <v/>
      </c>
      <c r="C430">
        <f>IF(計分!C430="","",計分!C430^2)</f>
        <v/>
      </c>
      <c r="D430">
        <f>IF(計分!D430="","",計分!D430^2)</f>
        <v/>
      </c>
      <c r="E430">
        <f>IF(計分!E430="","",計分!E430^2)</f>
        <v/>
      </c>
      <c r="F430">
        <f>IF(計分!F430="","",計分!F430^2)</f>
        <v/>
      </c>
      <c r="G430">
        <f>IF(計分!G430="","",計分!G430^2)</f>
        <v/>
      </c>
      <c r="H430">
        <f>IF(計分!H430="","",計分!H430^2)</f>
        <v/>
      </c>
      <c r="I430">
        <f>IF(計分!I430="","",計分!I430^2)</f>
        <v/>
      </c>
      <c r="J430">
        <f>IF(計分!J430="","",計分!J430^2)</f>
        <v/>
      </c>
      <c r="K430">
        <f>IF(計分!K430="","",計分!K430^2)</f>
        <v/>
      </c>
      <c r="L430">
        <f>IF(計分!L430="","",計分!L430^2)</f>
        <v/>
      </c>
      <c r="M430">
        <f>IF(計分!M430="","",計分!M430^2)</f>
        <v/>
      </c>
      <c r="N430">
        <f>IF(計分!N430="","",計分!N430^2)</f>
        <v/>
      </c>
      <c r="O430">
        <f>IF(計分!O430="","",計分!O430^2)</f>
        <v/>
      </c>
      <c r="P430">
        <f>IF(計分!P430="","",計分!P430^2)</f>
        <v/>
      </c>
      <c r="Q430">
        <f>IF(計分!Q430="","",計分!Q430^2)</f>
        <v/>
      </c>
      <c r="R430">
        <f>IF(計分!R430="","",計分!R430^2)</f>
        <v/>
      </c>
      <c r="S430">
        <f>IF(計分!S430="","",計分!S430^2)</f>
        <v/>
      </c>
      <c r="T430">
        <f>IF(計分!T430="","",計分!T430^2)</f>
        <v/>
      </c>
      <c r="U430">
        <f>IF(計分!U430="","",計分!U430^2)</f>
        <v/>
      </c>
      <c r="V430">
        <f>IF(計分!V430="","",計分!V430^2)</f>
        <v/>
      </c>
      <c r="W430">
        <f>IF(計分!W430="","",計分!W430^2)</f>
        <v/>
      </c>
      <c r="X430">
        <f>IF(計分!X430="","",計分!X430^2)</f>
        <v/>
      </c>
      <c r="Y430">
        <f>IF(計分!Y430="","",計分!Y430^2)</f>
        <v/>
      </c>
      <c r="Z430">
        <f>IF(計分!Z430="","",計分!Z430^2)</f>
        <v/>
      </c>
      <c r="AA430">
        <f>IF(計分!AA430="","",計分!AA430^2)</f>
        <v/>
      </c>
      <c r="AB430">
        <f>IF(計分!AB430="","",計分!AB430^2)</f>
        <v/>
      </c>
      <c r="AC430">
        <f>IF(計分!AC430="","",計分!AC430^2)</f>
        <v/>
      </c>
      <c r="AD430">
        <f>IF(計分!AD430="","",計分!AD430^2)</f>
        <v/>
      </c>
      <c r="AE430">
        <f>IF(計分!AE430="","",計分!AE430^2)</f>
        <v/>
      </c>
      <c r="AF430">
        <f>IF(計分!AF430="","",計分!AF430^2)</f>
        <v/>
      </c>
      <c r="AG430">
        <f>IF(計分!AG430="","",計分!AG430^2)</f>
        <v/>
      </c>
      <c r="AH430">
        <f>IF(計分!AH430="","",計分!AH430^2)</f>
        <v/>
      </c>
      <c r="AI430">
        <f>IF(計分!AI430="","",計分!AI430^2)</f>
        <v/>
      </c>
      <c r="AJ430">
        <f>IF(計分!AJ430="","",計分!AJ430^2)</f>
        <v/>
      </c>
      <c r="AK430">
        <f>IF(計分!AK430="","",計分!AK430^2)</f>
        <v/>
      </c>
      <c r="AL430">
        <f>IF(計分!AL430="","",計分!AL430^2)</f>
        <v/>
      </c>
      <c r="AM430">
        <f>IF(計分!AM430="","",計分!AM430^2)</f>
        <v/>
      </c>
      <c r="AN430">
        <f>IF(計分!AN430="","",計分!AN430^2)</f>
        <v/>
      </c>
      <c r="AO430">
        <f>IF(計分!AO430="","",計分!AO430^2)</f>
        <v/>
      </c>
    </row>
    <row r="431">
      <c r="B431">
        <f>IF(計分!B431="","",計分!B431^2)</f>
        <v/>
      </c>
      <c r="C431">
        <f>IF(計分!C431="","",計分!C431^2)</f>
        <v/>
      </c>
      <c r="D431">
        <f>IF(計分!D431="","",計分!D431^2)</f>
        <v/>
      </c>
      <c r="E431">
        <f>IF(計分!E431="","",計分!E431^2)</f>
        <v/>
      </c>
      <c r="F431">
        <f>IF(計分!F431="","",計分!F431^2)</f>
        <v/>
      </c>
      <c r="G431">
        <f>IF(計分!G431="","",計分!G431^2)</f>
        <v/>
      </c>
      <c r="H431">
        <f>IF(計分!H431="","",計分!H431^2)</f>
        <v/>
      </c>
      <c r="I431">
        <f>IF(計分!I431="","",計分!I431^2)</f>
        <v/>
      </c>
      <c r="J431">
        <f>IF(計分!J431="","",計分!J431^2)</f>
        <v/>
      </c>
      <c r="K431">
        <f>IF(計分!K431="","",計分!K431^2)</f>
        <v/>
      </c>
      <c r="L431">
        <f>IF(計分!L431="","",計分!L431^2)</f>
        <v/>
      </c>
      <c r="M431">
        <f>IF(計分!M431="","",計分!M431^2)</f>
        <v/>
      </c>
      <c r="N431">
        <f>IF(計分!N431="","",計分!N431^2)</f>
        <v/>
      </c>
      <c r="O431">
        <f>IF(計分!O431="","",計分!O431^2)</f>
        <v/>
      </c>
      <c r="P431">
        <f>IF(計分!P431="","",計分!P431^2)</f>
        <v/>
      </c>
      <c r="Q431">
        <f>IF(計分!Q431="","",計分!Q431^2)</f>
        <v/>
      </c>
      <c r="R431">
        <f>IF(計分!R431="","",計分!R431^2)</f>
        <v/>
      </c>
      <c r="S431">
        <f>IF(計分!S431="","",計分!S431^2)</f>
        <v/>
      </c>
      <c r="T431">
        <f>IF(計分!T431="","",計分!T431^2)</f>
        <v/>
      </c>
      <c r="U431">
        <f>IF(計分!U431="","",計分!U431^2)</f>
        <v/>
      </c>
      <c r="V431">
        <f>IF(計分!V431="","",計分!V431^2)</f>
        <v/>
      </c>
      <c r="W431">
        <f>IF(計分!W431="","",計分!W431^2)</f>
        <v/>
      </c>
      <c r="X431">
        <f>IF(計分!X431="","",計分!X431^2)</f>
        <v/>
      </c>
      <c r="Y431">
        <f>IF(計分!Y431="","",計分!Y431^2)</f>
        <v/>
      </c>
      <c r="Z431">
        <f>IF(計分!Z431="","",計分!Z431^2)</f>
        <v/>
      </c>
      <c r="AA431">
        <f>IF(計分!AA431="","",計分!AA431^2)</f>
        <v/>
      </c>
      <c r="AB431">
        <f>IF(計分!AB431="","",計分!AB431^2)</f>
        <v/>
      </c>
      <c r="AC431">
        <f>IF(計分!AC431="","",計分!AC431^2)</f>
        <v/>
      </c>
      <c r="AD431">
        <f>IF(計分!AD431="","",計分!AD431^2)</f>
        <v/>
      </c>
      <c r="AE431">
        <f>IF(計分!AE431="","",計分!AE431^2)</f>
        <v/>
      </c>
      <c r="AF431">
        <f>IF(計分!AF431="","",計分!AF431^2)</f>
        <v/>
      </c>
      <c r="AG431">
        <f>IF(計分!AG431="","",計分!AG431^2)</f>
        <v/>
      </c>
      <c r="AH431">
        <f>IF(計分!AH431="","",計分!AH431^2)</f>
        <v/>
      </c>
      <c r="AI431">
        <f>IF(計分!AI431="","",計分!AI431^2)</f>
        <v/>
      </c>
      <c r="AJ431">
        <f>IF(計分!AJ431="","",計分!AJ431^2)</f>
        <v/>
      </c>
      <c r="AK431">
        <f>IF(計分!AK431="","",計分!AK431^2)</f>
        <v/>
      </c>
      <c r="AL431">
        <f>IF(計分!AL431="","",計分!AL431^2)</f>
        <v/>
      </c>
      <c r="AM431">
        <f>IF(計分!AM431="","",計分!AM431^2)</f>
        <v/>
      </c>
      <c r="AN431">
        <f>IF(計分!AN431="","",計分!AN431^2)</f>
        <v/>
      </c>
      <c r="AO431">
        <f>IF(計分!AO431="","",計分!AO431^2)</f>
        <v/>
      </c>
    </row>
    <row r="432">
      <c r="B432">
        <f>IF(計分!B432="","",計分!B432^2)</f>
        <v/>
      </c>
      <c r="C432">
        <f>IF(計分!C432="","",計分!C432^2)</f>
        <v/>
      </c>
      <c r="D432">
        <f>IF(計分!D432="","",計分!D432^2)</f>
        <v/>
      </c>
      <c r="E432">
        <f>IF(計分!E432="","",計分!E432^2)</f>
        <v/>
      </c>
      <c r="F432">
        <f>IF(計分!F432="","",計分!F432^2)</f>
        <v/>
      </c>
      <c r="G432">
        <f>IF(計分!G432="","",計分!G432^2)</f>
        <v/>
      </c>
      <c r="H432">
        <f>IF(計分!H432="","",計分!H432^2)</f>
        <v/>
      </c>
      <c r="I432">
        <f>IF(計分!I432="","",計分!I432^2)</f>
        <v/>
      </c>
      <c r="J432">
        <f>IF(計分!J432="","",計分!J432^2)</f>
        <v/>
      </c>
      <c r="K432">
        <f>IF(計分!K432="","",計分!K432^2)</f>
        <v/>
      </c>
      <c r="L432">
        <f>IF(計分!L432="","",計分!L432^2)</f>
        <v/>
      </c>
      <c r="M432">
        <f>IF(計分!M432="","",計分!M432^2)</f>
        <v/>
      </c>
      <c r="N432">
        <f>IF(計分!N432="","",計分!N432^2)</f>
        <v/>
      </c>
      <c r="O432">
        <f>IF(計分!O432="","",計分!O432^2)</f>
        <v/>
      </c>
      <c r="P432">
        <f>IF(計分!P432="","",計分!P432^2)</f>
        <v/>
      </c>
      <c r="Q432">
        <f>IF(計分!Q432="","",計分!Q432^2)</f>
        <v/>
      </c>
      <c r="R432">
        <f>IF(計分!R432="","",計分!R432^2)</f>
        <v/>
      </c>
      <c r="S432">
        <f>IF(計分!S432="","",計分!S432^2)</f>
        <v/>
      </c>
      <c r="T432">
        <f>IF(計分!T432="","",計分!T432^2)</f>
        <v/>
      </c>
      <c r="U432">
        <f>IF(計分!U432="","",計分!U432^2)</f>
        <v/>
      </c>
      <c r="V432">
        <f>IF(計分!V432="","",計分!V432^2)</f>
        <v/>
      </c>
      <c r="W432">
        <f>IF(計分!W432="","",計分!W432^2)</f>
        <v/>
      </c>
      <c r="X432">
        <f>IF(計分!X432="","",計分!X432^2)</f>
        <v/>
      </c>
      <c r="Y432">
        <f>IF(計分!Y432="","",計分!Y432^2)</f>
        <v/>
      </c>
      <c r="Z432">
        <f>IF(計分!Z432="","",計分!Z432^2)</f>
        <v/>
      </c>
      <c r="AA432">
        <f>IF(計分!AA432="","",計分!AA432^2)</f>
        <v/>
      </c>
      <c r="AB432">
        <f>IF(計分!AB432="","",計分!AB432^2)</f>
        <v/>
      </c>
      <c r="AC432">
        <f>IF(計分!AC432="","",計分!AC432^2)</f>
        <v/>
      </c>
      <c r="AD432">
        <f>IF(計分!AD432="","",計分!AD432^2)</f>
        <v/>
      </c>
      <c r="AE432">
        <f>IF(計分!AE432="","",計分!AE432^2)</f>
        <v/>
      </c>
      <c r="AF432">
        <f>IF(計分!AF432="","",計分!AF432^2)</f>
        <v/>
      </c>
      <c r="AG432">
        <f>IF(計分!AG432="","",計分!AG432^2)</f>
        <v/>
      </c>
      <c r="AH432">
        <f>IF(計分!AH432="","",計分!AH432^2)</f>
        <v/>
      </c>
      <c r="AI432">
        <f>IF(計分!AI432="","",計分!AI432^2)</f>
        <v/>
      </c>
      <c r="AJ432">
        <f>IF(計分!AJ432="","",計分!AJ432^2)</f>
        <v/>
      </c>
      <c r="AK432">
        <f>IF(計分!AK432="","",計分!AK432^2)</f>
        <v/>
      </c>
      <c r="AL432">
        <f>IF(計分!AL432="","",計分!AL432^2)</f>
        <v/>
      </c>
      <c r="AM432">
        <f>IF(計分!AM432="","",計分!AM432^2)</f>
        <v/>
      </c>
      <c r="AN432">
        <f>IF(計分!AN432="","",計分!AN432^2)</f>
        <v/>
      </c>
      <c r="AO432">
        <f>IF(計分!AO432="","",計分!AO432^2)</f>
        <v/>
      </c>
    </row>
    <row r="433">
      <c r="B433">
        <f>IF(計分!B433="","",計分!B433^2)</f>
        <v/>
      </c>
      <c r="C433">
        <f>IF(計分!C433="","",計分!C433^2)</f>
        <v/>
      </c>
      <c r="D433">
        <f>IF(計分!D433="","",計分!D433^2)</f>
        <v/>
      </c>
      <c r="E433">
        <f>IF(計分!E433="","",計分!E433^2)</f>
        <v/>
      </c>
      <c r="F433">
        <f>IF(計分!F433="","",計分!F433^2)</f>
        <v/>
      </c>
      <c r="G433">
        <f>IF(計分!G433="","",計分!G433^2)</f>
        <v/>
      </c>
      <c r="H433">
        <f>IF(計分!H433="","",計分!H433^2)</f>
        <v/>
      </c>
      <c r="I433">
        <f>IF(計分!I433="","",計分!I433^2)</f>
        <v/>
      </c>
      <c r="J433">
        <f>IF(計分!J433="","",計分!J433^2)</f>
        <v/>
      </c>
      <c r="K433">
        <f>IF(計分!K433="","",計分!K433^2)</f>
        <v/>
      </c>
      <c r="L433">
        <f>IF(計分!L433="","",計分!L433^2)</f>
        <v/>
      </c>
      <c r="M433">
        <f>IF(計分!M433="","",計分!M433^2)</f>
        <v/>
      </c>
      <c r="N433">
        <f>IF(計分!N433="","",計分!N433^2)</f>
        <v/>
      </c>
      <c r="O433">
        <f>IF(計分!O433="","",計分!O433^2)</f>
        <v/>
      </c>
      <c r="P433">
        <f>IF(計分!P433="","",計分!P433^2)</f>
        <v/>
      </c>
      <c r="Q433">
        <f>IF(計分!Q433="","",計分!Q433^2)</f>
        <v/>
      </c>
      <c r="R433">
        <f>IF(計分!R433="","",計分!R433^2)</f>
        <v/>
      </c>
      <c r="S433">
        <f>IF(計分!S433="","",計分!S433^2)</f>
        <v/>
      </c>
      <c r="T433">
        <f>IF(計分!T433="","",計分!T433^2)</f>
        <v/>
      </c>
      <c r="U433">
        <f>IF(計分!U433="","",計分!U433^2)</f>
        <v/>
      </c>
      <c r="V433">
        <f>IF(計分!V433="","",計分!V433^2)</f>
        <v/>
      </c>
      <c r="W433">
        <f>IF(計分!W433="","",計分!W433^2)</f>
        <v/>
      </c>
      <c r="X433">
        <f>IF(計分!X433="","",計分!X433^2)</f>
        <v/>
      </c>
      <c r="Y433">
        <f>IF(計分!Y433="","",計分!Y433^2)</f>
        <v/>
      </c>
      <c r="Z433">
        <f>IF(計分!Z433="","",計分!Z433^2)</f>
        <v/>
      </c>
      <c r="AA433">
        <f>IF(計分!AA433="","",計分!AA433^2)</f>
        <v/>
      </c>
      <c r="AB433">
        <f>IF(計分!AB433="","",計分!AB433^2)</f>
        <v/>
      </c>
      <c r="AC433">
        <f>IF(計分!AC433="","",計分!AC433^2)</f>
        <v/>
      </c>
      <c r="AD433">
        <f>IF(計分!AD433="","",計分!AD433^2)</f>
        <v/>
      </c>
      <c r="AE433">
        <f>IF(計分!AE433="","",計分!AE433^2)</f>
        <v/>
      </c>
      <c r="AF433">
        <f>IF(計分!AF433="","",計分!AF433^2)</f>
        <v/>
      </c>
      <c r="AG433">
        <f>IF(計分!AG433="","",計分!AG433^2)</f>
        <v/>
      </c>
      <c r="AH433">
        <f>IF(計分!AH433="","",計分!AH433^2)</f>
        <v/>
      </c>
      <c r="AI433">
        <f>IF(計分!AI433="","",計分!AI433^2)</f>
        <v/>
      </c>
      <c r="AJ433">
        <f>IF(計分!AJ433="","",計分!AJ433^2)</f>
        <v/>
      </c>
      <c r="AK433">
        <f>IF(計分!AK433="","",計分!AK433^2)</f>
        <v/>
      </c>
      <c r="AL433">
        <f>IF(計分!AL433="","",計分!AL433^2)</f>
        <v/>
      </c>
      <c r="AM433">
        <f>IF(計分!AM433="","",計分!AM433^2)</f>
        <v/>
      </c>
      <c r="AN433">
        <f>IF(計分!AN433="","",計分!AN433^2)</f>
        <v/>
      </c>
      <c r="AO433">
        <f>IF(計分!AO433="","",計分!AO433^2)</f>
        <v/>
      </c>
    </row>
    <row r="434">
      <c r="B434">
        <f>IF(計分!B434="","",計分!B434^2)</f>
        <v/>
      </c>
      <c r="C434">
        <f>IF(計分!C434="","",計分!C434^2)</f>
        <v/>
      </c>
      <c r="D434">
        <f>IF(計分!D434="","",計分!D434^2)</f>
        <v/>
      </c>
      <c r="E434">
        <f>IF(計分!E434="","",計分!E434^2)</f>
        <v/>
      </c>
      <c r="F434">
        <f>IF(計分!F434="","",計分!F434^2)</f>
        <v/>
      </c>
      <c r="G434">
        <f>IF(計分!G434="","",計分!G434^2)</f>
        <v/>
      </c>
      <c r="H434">
        <f>IF(計分!H434="","",計分!H434^2)</f>
        <v/>
      </c>
      <c r="I434">
        <f>IF(計分!I434="","",計分!I434^2)</f>
        <v/>
      </c>
      <c r="J434">
        <f>IF(計分!J434="","",計分!J434^2)</f>
        <v/>
      </c>
      <c r="K434">
        <f>IF(計分!K434="","",計分!K434^2)</f>
        <v/>
      </c>
      <c r="L434">
        <f>IF(計分!L434="","",計分!L434^2)</f>
        <v/>
      </c>
      <c r="M434">
        <f>IF(計分!M434="","",計分!M434^2)</f>
        <v/>
      </c>
      <c r="N434">
        <f>IF(計分!N434="","",計分!N434^2)</f>
        <v/>
      </c>
      <c r="O434">
        <f>IF(計分!O434="","",計分!O434^2)</f>
        <v/>
      </c>
      <c r="P434">
        <f>IF(計分!P434="","",計分!P434^2)</f>
        <v/>
      </c>
      <c r="Q434">
        <f>IF(計分!Q434="","",計分!Q434^2)</f>
        <v/>
      </c>
      <c r="R434">
        <f>IF(計分!R434="","",計分!R434^2)</f>
        <v/>
      </c>
      <c r="S434">
        <f>IF(計分!S434="","",計分!S434^2)</f>
        <v/>
      </c>
      <c r="T434">
        <f>IF(計分!T434="","",計分!T434^2)</f>
        <v/>
      </c>
      <c r="U434">
        <f>IF(計分!U434="","",計分!U434^2)</f>
        <v/>
      </c>
      <c r="V434">
        <f>IF(計分!V434="","",計分!V434^2)</f>
        <v/>
      </c>
      <c r="W434">
        <f>IF(計分!W434="","",計分!W434^2)</f>
        <v/>
      </c>
      <c r="X434">
        <f>IF(計分!X434="","",計分!X434^2)</f>
        <v/>
      </c>
      <c r="Y434">
        <f>IF(計分!Y434="","",計分!Y434^2)</f>
        <v/>
      </c>
      <c r="Z434">
        <f>IF(計分!Z434="","",計分!Z434^2)</f>
        <v/>
      </c>
      <c r="AA434">
        <f>IF(計分!AA434="","",計分!AA434^2)</f>
        <v/>
      </c>
      <c r="AB434">
        <f>IF(計分!AB434="","",計分!AB434^2)</f>
        <v/>
      </c>
      <c r="AC434">
        <f>IF(計分!AC434="","",計分!AC434^2)</f>
        <v/>
      </c>
      <c r="AD434">
        <f>IF(計分!AD434="","",計分!AD434^2)</f>
        <v/>
      </c>
      <c r="AE434">
        <f>IF(計分!AE434="","",計分!AE434^2)</f>
        <v/>
      </c>
      <c r="AF434">
        <f>IF(計分!AF434="","",計分!AF434^2)</f>
        <v/>
      </c>
      <c r="AG434">
        <f>IF(計分!AG434="","",計分!AG434^2)</f>
        <v/>
      </c>
      <c r="AH434">
        <f>IF(計分!AH434="","",計分!AH434^2)</f>
        <v/>
      </c>
      <c r="AI434">
        <f>IF(計分!AI434="","",計分!AI434^2)</f>
        <v/>
      </c>
      <c r="AJ434">
        <f>IF(計分!AJ434="","",計分!AJ434^2)</f>
        <v/>
      </c>
      <c r="AK434">
        <f>IF(計分!AK434="","",計分!AK434^2)</f>
        <v/>
      </c>
      <c r="AL434">
        <f>IF(計分!AL434="","",計分!AL434^2)</f>
        <v/>
      </c>
      <c r="AM434">
        <f>IF(計分!AM434="","",計分!AM434^2)</f>
        <v/>
      </c>
      <c r="AN434">
        <f>IF(計分!AN434="","",計分!AN434^2)</f>
        <v/>
      </c>
      <c r="AO434">
        <f>IF(計分!AO434="","",計分!AO434^2)</f>
        <v/>
      </c>
    </row>
    <row r="435">
      <c r="B435">
        <f>IF(計分!B435="","",計分!B435^2)</f>
        <v/>
      </c>
      <c r="C435">
        <f>IF(計分!C435="","",計分!C435^2)</f>
        <v/>
      </c>
      <c r="D435">
        <f>IF(計分!D435="","",計分!D435^2)</f>
        <v/>
      </c>
      <c r="E435">
        <f>IF(計分!E435="","",計分!E435^2)</f>
        <v/>
      </c>
      <c r="F435">
        <f>IF(計分!F435="","",計分!F435^2)</f>
        <v/>
      </c>
      <c r="G435">
        <f>IF(計分!G435="","",計分!G435^2)</f>
        <v/>
      </c>
      <c r="H435">
        <f>IF(計分!H435="","",計分!H435^2)</f>
        <v/>
      </c>
      <c r="I435">
        <f>IF(計分!I435="","",計分!I435^2)</f>
        <v/>
      </c>
      <c r="J435">
        <f>IF(計分!J435="","",計分!J435^2)</f>
        <v/>
      </c>
      <c r="K435">
        <f>IF(計分!K435="","",計分!K435^2)</f>
        <v/>
      </c>
      <c r="L435">
        <f>IF(計分!L435="","",計分!L435^2)</f>
        <v/>
      </c>
      <c r="M435">
        <f>IF(計分!M435="","",計分!M435^2)</f>
        <v/>
      </c>
      <c r="N435">
        <f>IF(計分!N435="","",計分!N435^2)</f>
        <v/>
      </c>
      <c r="O435">
        <f>IF(計分!O435="","",計分!O435^2)</f>
        <v/>
      </c>
      <c r="P435">
        <f>IF(計分!P435="","",計分!P435^2)</f>
        <v/>
      </c>
      <c r="Q435">
        <f>IF(計分!Q435="","",計分!Q435^2)</f>
        <v/>
      </c>
      <c r="R435">
        <f>IF(計分!R435="","",計分!R435^2)</f>
        <v/>
      </c>
      <c r="S435">
        <f>IF(計分!S435="","",計分!S435^2)</f>
        <v/>
      </c>
      <c r="T435">
        <f>IF(計分!T435="","",計分!T435^2)</f>
        <v/>
      </c>
      <c r="U435">
        <f>IF(計分!U435="","",計分!U435^2)</f>
        <v/>
      </c>
      <c r="V435">
        <f>IF(計分!V435="","",計分!V435^2)</f>
        <v/>
      </c>
      <c r="W435">
        <f>IF(計分!W435="","",計分!W435^2)</f>
        <v/>
      </c>
      <c r="X435">
        <f>IF(計分!X435="","",計分!X435^2)</f>
        <v/>
      </c>
      <c r="Y435">
        <f>IF(計分!Y435="","",計分!Y435^2)</f>
        <v/>
      </c>
      <c r="Z435">
        <f>IF(計分!Z435="","",計分!Z435^2)</f>
        <v/>
      </c>
      <c r="AA435">
        <f>IF(計分!AA435="","",計分!AA435^2)</f>
        <v/>
      </c>
      <c r="AB435">
        <f>IF(計分!AB435="","",計分!AB435^2)</f>
        <v/>
      </c>
      <c r="AC435">
        <f>IF(計分!AC435="","",計分!AC435^2)</f>
        <v/>
      </c>
      <c r="AD435">
        <f>IF(計分!AD435="","",計分!AD435^2)</f>
        <v/>
      </c>
      <c r="AE435">
        <f>IF(計分!AE435="","",計分!AE435^2)</f>
        <v/>
      </c>
      <c r="AF435">
        <f>IF(計分!AF435="","",計分!AF435^2)</f>
        <v/>
      </c>
      <c r="AG435">
        <f>IF(計分!AG435="","",計分!AG435^2)</f>
        <v/>
      </c>
      <c r="AH435">
        <f>IF(計分!AH435="","",計分!AH435^2)</f>
        <v/>
      </c>
      <c r="AI435">
        <f>IF(計分!AI435="","",計分!AI435^2)</f>
        <v/>
      </c>
      <c r="AJ435">
        <f>IF(計分!AJ435="","",計分!AJ435^2)</f>
        <v/>
      </c>
      <c r="AK435">
        <f>IF(計分!AK435="","",計分!AK435^2)</f>
        <v/>
      </c>
      <c r="AL435">
        <f>IF(計分!AL435="","",計分!AL435^2)</f>
        <v/>
      </c>
      <c r="AM435">
        <f>IF(計分!AM435="","",計分!AM435^2)</f>
        <v/>
      </c>
      <c r="AN435">
        <f>IF(計分!AN435="","",計分!AN435^2)</f>
        <v/>
      </c>
      <c r="AO435">
        <f>IF(計分!AO435="","",計分!AO435^2)</f>
        <v/>
      </c>
    </row>
    <row r="436">
      <c r="B436">
        <f>IF(計分!B436="","",計分!B436^2)</f>
        <v/>
      </c>
      <c r="C436">
        <f>IF(計分!C436="","",計分!C436^2)</f>
        <v/>
      </c>
      <c r="D436">
        <f>IF(計分!D436="","",計分!D436^2)</f>
        <v/>
      </c>
      <c r="E436">
        <f>IF(計分!E436="","",計分!E436^2)</f>
        <v/>
      </c>
      <c r="F436">
        <f>IF(計分!F436="","",計分!F436^2)</f>
        <v/>
      </c>
      <c r="G436">
        <f>IF(計分!G436="","",計分!G436^2)</f>
        <v/>
      </c>
      <c r="H436">
        <f>IF(計分!H436="","",計分!H436^2)</f>
        <v/>
      </c>
      <c r="I436">
        <f>IF(計分!I436="","",計分!I436^2)</f>
        <v/>
      </c>
      <c r="J436">
        <f>IF(計分!J436="","",計分!J436^2)</f>
        <v/>
      </c>
      <c r="K436">
        <f>IF(計分!K436="","",計分!K436^2)</f>
        <v/>
      </c>
      <c r="L436">
        <f>IF(計分!L436="","",計分!L436^2)</f>
        <v/>
      </c>
      <c r="M436">
        <f>IF(計分!M436="","",計分!M436^2)</f>
        <v/>
      </c>
      <c r="N436">
        <f>IF(計分!N436="","",計分!N436^2)</f>
        <v/>
      </c>
      <c r="O436">
        <f>IF(計分!O436="","",計分!O436^2)</f>
        <v/>
      </c>
      <c r="P436">
        <f>IF(計分!P436="","",計分!P436^2)</f>
        <v/>
      </c>
      <c r="Q436">
        <f>IF(計分!Q436="","",計分!Q436^2)</f>
        <v/>
      </c>
      <c r="R436">
        <f>IF(計分!R436="","",計分!R436^2)</f>
        <v/>
      </c>
      <c r="S436">
        <f>IF(計分!S436="","",計分!S436^2)</f>
        <v/>
      </c>
      <c r="T436">
        <f>IF(計分!T436="","",計分!T436^2)</f>
        <v/>
      </c>
      <c r="U436">
        <f>IF(計分!U436="","",計分!U436^2)</f>
        <v/>
      </c>
      <c r="V436">
        <f>IF(計分!V436="","",計分!V436^2)</f>
        <v/>
      </c>
      <c r="W436">
        <f>IF(計分!W436="","",計分!W436^2)</f>
        <v/>
      </c>
      <c r="X436">
        <f>IF(計分!X436="","",計分!X436^2)</f>
        <v/>
      </c>
      <c r="Y436">
        <f>IF(計分!Y436="","",計分!Y436^2)</f>
        <v/>
      </c>
      <c r="Z436">
        <f>IF(計分!Z436="","",計分!Z436^2)</f>
        <v/>
      </c>
      <c r="AA436">
        <f>IF(計分!AA436="","",計分!AA436^2)</f>
        <v/>
      </c>
      <c r="AB436">
        <f>IF(計分!AB436="","",計分!AB436^2)</f>
        <v/>
      </c>
      <c r="AC436">
        <f>IF(計分!AC436="","",計分!AC436^2)</f>
        <v/>
      </c>
      <c r="AD436">
        <f>IF(計分!AD436="","",計分!AD436^2)</f>
        <v/>
      </c>
      <c r="AE436">
        <f>IF(計分!AE436="","",計分!AE436^2)</f>
        <v/>
      </c>
      <c r="AF436">
        <f>IF(計分!AF436="","",計分!AF436^2)</f>
        <v/>
      </c>
      <c r="AG436">
        <f>IF(計分!AG436="","",計分!AG436^2)</f>
        <v/>
      </c>
      <c r="AH436">
        <f>IF(計分!AH436="","",計分!AH436^2)</f>
        <v/>
      </c>
      <c r="AI436">
        <f>IF(計分!AI436="","",計分!AI436^2)</f>
        <v/>
      </c>
      <c r="AJ436">
        <f>IF(計分!AJ436="","",計分!AJ436^2)</f>
        <v/>
      </c>
      <c r="AK436">
        <f>IF(計分!AK436="","",計分!AK436^2)</f>
        <v/>
      </c>
      <c r="AL436">
        <f>IF(計分!AL436="","",計分!AL436^2)</f>
        <v/>
      </c>
      <c r="AM436">
        <f>IF(計分!AM436="","",計分!AM436^2)</f>
        <v/>
      </c>
      <c r="AN436">
        <f>IF(計分!AN436="","",計分!AN436^2)</f>
        <v/>
      </c>
      <c r="AO436">
        <f>IF(計分!AO436="","",計分!AO436^2)</f>
        <v/>
      </c>
    </row>
    <row r="437">
      <c r="B437">
        <f>IF(計分!B437="","",計分!B437^2)</f>
        <v/>
      </c>
      <c r="C437">
        <f>IF(計分!C437="","",計分!C437^2)</f>
        <v/>
      </c>
      <c r="D437">
        <f>IF(計分!D437="","",計分!D437^2)</f>
        <v/>
      </c>
      <c r="E437">
        <f>IF(計分!E437="","",計分!E437^2)</f>
        <v/>
      </c>
      <c r="F437">
        <f>IF(計分!F437="","",計分!F437^2)</f>
        <v/>
      </c>
      <c r="G437">
        <f>IF(計分!G437="","",計分!G437^2)</f>
        <v/>
      </c>
      <c r="H437">
        <f>IF(計分!H437="","",計分!H437^2)</f>
        <v/>
      </c>
      <c r="I437">
        <f>IF(計分!I437="","",計分!I437^2)</f>
        <v/>
      </c>
      <c r="J437">
        <f>IF(計分!J437="","",計分!J437^2)</f>
        <v/>
      </c>
      <c r="K437">
        <f>IF(計分!K437="","",計分!K437^2)</f>
        <v/>
      </c>
      <c r="L437">
        <f>IF(計分!L437="","",計分!L437^2)</f>
        <v/>
      </c>
      <c r="M437">
        <f>IF(計分!M437="","",計分!M437^2)</f>
        <v/>
      </c>
      <c r="N437">
        <f>IF(計分!N437="","",計分!N437^2)</f>
        <v/>
      </c>
      <c r="O437">
        <f>IF(計分!O437="","",計分!O437^2)</f>
        <v/>
      </c>
      <c r="P437">
        <f>IF(計分!P437="","",計分!P437^2)</f>
        <v/>
      </c>
      <c r="Q437">
        <f>IF(計分!Q437="","",計分!Q437^2)</f>
        <v/>
      </c>
      <c r="R437">
        <f>IF(計分!R437="","",計分!R437^2)</f>
        <v/>
      </c>
      <c r="S437">
        <f>IF(計分!S437="","",計分!S437^2)</f>
        <v/>
      </c>
      <c r="T437">
        <f>IF(計分!T437="","",計分!T437^2)</f>
        <v/>
      </c>
      <c r="U437">
        <f>IF(計分!U437="","",計分!U437^2)</f>
        <v/>
      </c>
      <c r="V437">
        <f>IF(計分!V437="","",計分!V437^2)</f>
        <v/>
      </c>
      <c r="W437">
        <f>IF(計分!W437="","",計分!W437^2)</f>
        <v/>
      </c>
      <c r="X437">
        <f>IF(計分!X437="","",計分!X437^2)</f>
        <v/>
      </c>
      <c r="Y437">
        <f>IF(計分!Y437="","",計分!Y437^2)</f>
        <v/>
      </c>
      <c r="Z437">
        <f>IF(計分!Z437="","",計分!Z437^2)</f>
        <v/>
      </c>
      <c r="AA437">
        <f>IF(計分!AA437="","",計分!AA437^2)</f>
        <v/>
      </c>
      <c r="AB437">
        <f>IF(計分!AB437="","",計分!AB437^2)</f>
        <v/>
      </c>
      <c r="AC437">
        <f>IF(計分!AC437="","",計分!AC437^2)</f>
        <v/>
      </c>
      <c r="AD437">
        <f>IF(計分!AD437="","",計分!AD437^2)</f>
        <v/>
      </c>
      <c r="AE437">
        <f>IF(計分!AE437="","",計分!AE437^2)</f>
        <v/>
      </c>
      <c r="AF437">
        <f>IF(計分!AF437="","",計分!AF437^2)</f>
        <v/>
      </c>
      <c r="AG437">
        <f>IF(計分!AG437="","",計分!AG437^2)</f>
        <v/>
      </c>
      <c r="AH437">
        <f>IF(計分!AH437="","",計分!AH437^2)</f>
        <v/>
      </c>
      <c r="AI437">
        <f>IF(計分!AI437="","",計分!AI437^2)</f>
        <v/>
      </c>
      <c r="AJ437">
        <f>IF(計分!AJ437="","",計分!AJ437^2)</f>
        <v/>
      </c>
      <c r="AK437">
        <f>IF(計分!AK437="","",計分!AK437^2)</f>
        <v/>
      </c>
      <c r="AL437">
        <f>IF(計分!AL437="","",計分!AL437^2)</f>
        <v/>
      </c>
      <c r="AM437">
        <f>IF(計分!AM437="","",計分!AM437^2)</f>
        <v/>
      </c>
      <c r="AN437">
        <f>IF(計分!AN437="","",計分!AN437^2)</f>
        <v/>
      </c>
      <c r="AO437">
        <f>IF(計分!AO437="","",計分!AO437^2)</f>
        <v/>
      </c>
    </row>
    <row r="438">
      <c r="B438">
        <f>IF(計分!B438="","",計分!B438^2)</f>
        <v/>
      </c>
      <c r="C438">
        <f>IF(計分!C438="","",計分!C438^2)</f>
        <v/>
      </c>
      <c r="D438">
        <f>IF(計分!D438="","",計分!D438^2)</f>
        <v/>
      </c>
      <c r="E438">
        <f>IF(計分!E438="","",計分!E438^2)</f>
        <v/>
      </c>
      <c r="F438">
        <f>IF(計分!F438="","",計分!F438^2)</f>
        <v/>
      </c>
      <c r="G438">
        <f>IF(計分!G438="","",計分!G438^2)</f>
        <v/>
      </c>
      <c r="H438">
        <f>IF(計分!H438="","",計分!H438^2)</f>
        <v/>
      </c>
      <c r="I438">
        <f>IF(計分!I438="","",計分!I438^2)</f>
        <v/>
      </c>
      <c r="J438">
        <f>IF(計分!J438="","",計分!J438^2)</f>
        <v/>
      </c>
      <c r="K438">
        <f>IF(計分!K438="","",計分!K438^2)</f>
        <v/>
      </c>
      <c r="L438">
        <f>IF(計分!L438="","",計分!L438^2)</f>
        <v/>
      </c>
      <c r="M438">
        <f>IF(計分!M438="","",計分!M438^2)</f>
        <v/>
      </c>
      <c r="N438">
        <f>IF(計分!N438="","",計分!N438^2)</f>
        <v/>
      </c>
      <c r="O438">
        <f>IF(計分!O438="","",計分!O438^2)</f>
        <v/>
      </c>
      <c r="P438">
        <f>IF(計分!P438="","",計分!P438^2)</f>
        <v/>
      </c>
      <c r="Q438">
        <f>IF(計分!Q438="","",計分!Q438^2)</f>
        <v/>
      </c>
      <c r="R438">
        <f>IF(計分!R438="","",計分!R438^2)</f>
        <v/>
      </c>
      <c r="S438">
        <f>IF(計分!S438="","",計分!S438^2)</f>
        <v/>
      </c>
      <c r="T438">
        <f>IF(計分!T438="","",計分!T438^2)</f>
        <v/>
      </c>
      <c r="U438">
        <f>IF(計分!U438="","",計分!U438^2)</f>
        <v/>
      </c>
      <c r="V438">
        <f>IF(計分!V438="","",計分!V438^2)</f>
        <v/>
      </c>
      <c r="W438">
        <f>IF(計分!W438="","",計分!W438^2)</f>
        <v/>
      </c>
      <c r="X438">
        <f>IF(計分!X438="","",計分!X438^2)</f>
        <v/>
      </c>
      <c r="Y438">
        <f>IF(計分!Y438="","",計分!Y438^2)</f>
        <v/>
      </c>
      <c r="Z438">
        <f>IF(計分!Z438="","",計分!Z438^2)</f>
        <v/>
      </c>
      <c r="AA438">
        <f>IF(計分!AA438="","",計分!AA438^2)</f>
        <v/>
      </c>
      <c r="AB438">
        <f>IF(計分!AB438="","",計分!AB438^2)</f>
        <v/>
      </c>
      <c r="AC438">
        <f>IF(計分!AC438="","",計分!AC438^2)</f>
        <v/>
      </c>
      <c r="AD438">
        <f>IF(計分!AD438="","",計分!AD438^2)</f>
        <v/>
      </c>
      <c r="AE438">
        <f>IF(計分!AE438="","",計分!AE438^2)</f>
        <v/>
      </c>
      <c r="AF438">
        <f>IF(計分!AF438="","",計分!AF438^2)</f>
        <v/>
      </c>
      <c r="AG438">
        <f>IF(計分!AG438="","",計分!AG438^2)</f>
        <v/>
      </c>
      <c r="AH438">
        <f>IF(計分!AH438="","",計分!AH438^2)</f>
        <v/>
      </c>
      <c r="AI438">
        <f>IF(計分!AI438="","",計分!AI438^2)</f>
        <v/>
      </c>
      <c r="AJ438">
        <f>IF(計分!AJ438="","",計分!AJ438^2)</f>
        <v/>
      </c>
      <c r="AK438">
        <f>IF(計分!AK438="","",計分!AK438^2)</f>
        <v/>
      </c>
      <c r="AL438">
        <f>IF(計分!AL438="","",計分!AL438^2)</f>
        <v/>
      </c>
      <c r="AM438">
        <f>IF(計分!AM438="","",計分!AM438^2)</f>
        <v/>
      </c>
      <c r="AN438">
        <f>IF(計分!AN438="","",計分!AN438^2)</f>
        <v/>
      </c>
      <c r="AO438">
        <f>IF(計分!AO438="","",計分!AO438^2)</f>
        <v/>
      </c>
    </row>
    <row r="439">
      <c r="B439">
        <f>IF(計分!B439="","",計分!B439^2)</f>
        <v/>
      </c>
      <c r="C439">
        <f>IF(計分!C439="","",計分!C439^2)</f>
        <v/>
      </c>
      <c r="D439">
        <f>IF(計分!D439="","",計分!D439^2)</f>
        <v/>
      </c>
      <c r="E439">
        <f>IF(計分!E439="","",計分!E439^2)</f>
        <v/>
      </c>
      <c r="F439">
        <f>IF(計分!F439="","",計分!F439^2)</f>
        <v/>
      </c>
      <c r="G439">
        <f>IF(計分!G439="","",計分!G439^2)</f>
        <v/>
      </c>
      <c r="H439">
        <f>IF(計分!H439="","",計分!H439^2)</f>
        <v/>
      </c>
      <c r="I439">
        <f>IF(計分!I439="","",計分!I439^2)</f>
        <v/>
      </c>
      <c r="J439">
        <f>IF(計分!J439="","",計分!J439^2)</f>
        <v/>
      </c>
      <c r="K439">
        <f>IF(計分!K439="","",計分!K439^2)</f>
        <v/>
      </c>
      <c r="L439">
        <f>IF(計分!L439="","",計分!L439^2)</f>
        <v/>
      </c>
      <c r="M439">
        <f>IF(計分!M439="","",計分!M439^2)</f>
        <v/>
      </c>
      <c r="N439">
        <f>IF(計分!N439="","",計分!N439^2)</f>
        <v/>
      </c>
      <c r="O439">
        <f>IF(計分!O439="","",計分!O439^2)</f>
        <v/>
      </c>
      <c r="P439">
        <f>IF(計分!P439="","",計分!P439^2)</f>
        <v/>
      </c>
      <c r="Q439">
        <f>IF(計分!Q439="","",計分!Q439^2)</f>
        <v/>
      </c>
      <c r="R439">
        <f>IF(計分!R439="","",計分!R439^2)</f>
        <v/>
      </c>
      <c r="S439">
        <f>IF(計分!S439="","",計分!S439^2)</f>
        <v/>
      </c>
      <c r="T439">
        <f>IF(計分!T439="","",計分!T439^2)</f>
        <v/>
      </c>
      <c r="U439">
        <f>IF(計分!U439="","",計分!U439^2)</f>
        <v/>
      </c>
      <c r="V439">
        <f>IF(計分!V439="","",計分!V439^2)</f>
        <v/>
      </c>
      <c r="W439">
        <f>IF(計分!W439="","",計分!W439^2)</f>
        <v/>
      </c>
      <c r="X439">
        <f>IF(計分!X439="","",計分!X439^2)</f>
        <v/>
      </c>
      <c r="Y439">
        <f>IF(計分!Y439="","",計分!Y439^2)</f>
        <v/>
      </c>
      <c r="Z439">
        <f>IF(計分!Z439="","",計分!Z439^2)</f>
        <v/>
      </c>
      <c r="AA439">
        <f>IF(計分!AA439="","",計分!AA439^2)</f>
        <v/>
      </c>
      <c r="AB439">
        <f>IF(計分!AB439="","",計分!AB439^2)</f>
        <v/>
      </c>
      <c r="AC439">
        <f>IF(計分!AC439="","",計分!AC439^2)</f>
        <v/>
      </c>
      <c r="AD439">
        <f>IF(計分!AD439="","",計分!AD439^2)</f>
        <v/>
      </c>
      <c r="AE439">
        <f>IF(計分!AE439="","",計分!AE439^2)</f>
        <v/>
      </c>
      <c r="AF439">
        <f>IF(計分!AF439="","",計分!AF439^2)</f>
        <v/>
      </c>
      <c r="AG439">
        <f>IF(計分!AG439="","",計分!AG439^2)</f>
        <v/>
      </c>
      <c r="AH439">
        <f>IF(計分!AH439="","",計分!AH439^2)</f>
        <v/>
      </c>
      <c r="AI439">
        <f>IF(計分!AI439="","",計分!AI439^2)</f>
        <v/>
      </c>
      <c r="AJ439">
        <f>IF(計分!AJ439="","",計分!AJ439^2)</f>
        <v/>
      </c>
      <c r="AK439">
        <f>IF(計分!AK439="","",計分!AK439^2)</f>
        <v/>
      </c>
      <c r="AL439">
        <f>IF(計分!AL439="","",計分!AL439^2)</f>
        <v/>
      </c>
      <c r="AM439">
        <f>IF(計分!AM439="","",計分!AM439^2)</f>
        <v/>
      </c>
      <c r="AN439">
        <f>IF(計分!AN439="","",計分!AN439^2)</f>
        <v/>
      </c>
      <c r="AO439">
        <f>IF(計分!AO439="","",計分!AO439^2)</f>
        <v/>
      </c>
    </row>
    <row r="440">
      <c r="B440">
        <f>IF(計分!B440="","",計分!B440^2)</f>
        <v/>
      </c>
      <c r="C440">
        <f>IF(計分!C440="","",計分!C440^2)</f>
        <v/>
      </c>
      <c r="D440">
        <f>IF(計分!D440="","",計分!D440^2)</f>
        <v/>
      </c>
      <c r="E440">
        <f>IF(計分!E440="","",計分!E440^2)</f>
        <v/>
      </c>
      <c r="F440">
        <f>IF(計分!F440="","",計分!F440^2)</f>
        <v/>
      </c>
      <c r="G440">
        <f>IF(計分!G440="","",計分!G440^2)</f>
        <v/>
      </c>
      <c r="H440">
        <f>IF(計分!H440="","",計分!H440^2)</f>
        <v/>
      </c>
      <c r="I440">
        <f>IF(計分!I440="","",計分!I440^2)</f>
        <v/>
      </c>
      <c r="J440">
        <f>IF(計分!J440="","",計分!J440^2)</f>
        <v/>
      </c>
      <c r="K440">
        <f>IF(計分!K440="","",計分!K440^2)</f>
        <v/>
      </c>
      <c r="L440">
        <f>IF(計分!L440="","",計分!L440^2)</f>
        <v/>
      </c>
      <c r="M440">
        <f>IF(計分!M440="","",計分!M440^2)</f>
        <v/>
      </c>
      <c r="N440">
        <f>IF(計分!N440="","",計分!N440^2)</f>
        <v/>
      </c>
      <c r="O440">
        <f>IF(計分!O440="","",計分!O440^2)</f>
        <v/>
      </c>
      <c r="P440">
        <f>IF(計分!P440="","",計分!P440^2)</f>
        <v/>
      </c>
      <c r="Q440">
        <f>IF(計分!Q440="","",計分!Q440^2)</f>
        <v/>
      </c>
      <c r="R440">
        <f>IF(計分!R440="","",計分!R440^2)</f>
        <v/>
      </c>
      <c r="S440">
        <f>IF(計分!S440="","",計分!S440^2)</f>
        <v/>
      </c>
      <c r="T440">
        <f>IF(計分!T440="","",計分!T440^2)</f>
        <v/>
      </c>
      <c r="U440">
        <f>IF(計分!U440="","",計分!U440^2)</f>
        <v/>
      </c>
      <c r="V440">
        <f>IF(計分!V440="","",計分!V440^2)</f>
        <v/>
      </c>
      <c r="W440">
        <f>IF(計分!W440="","",計分!W440^2)</f>
        <v/>
      </c>
      <c r="X440">
        <f>IF(計分!X440="","",計分!X440^2)</f>
        <v/>
      </c>
      <c r="Y440">
        <f>IF(計分!Y440="","",計分!Y440^2)</f>
        <v/>
      </c>
      <c r="Z440">
        <f>IF(計分!Z440="","",計分!Z440^2)</f>
        <v/>
      </c>
      <c r="AA440">
        <f>IF(計分!AA440="","",計分!AA440^2)</f>
        <v/>
      </c>
      <c r="AB440">
        <f>IF(計分!AB440="","",計分!AB440^2)</f>
        <v/>
      </c>
      <c r="AC440">
        <f>IF(計分!AC440="","",計分!AC440^2)</f>
        <v/>
      </c>
      <c r="AD440">
        <f>IF(計分!AD440="","",計分!AD440^2)</f>
        <v/>
      </c>
      <c r="AE440">
        <f>IF(計分!AE440="","",計分!AE440^2)</f>
        <v/>
      </c>
      <c r="AF440">
        <f>IF(計分!AF440="","",計分!AF440^2)</f>
        <v/>
      </c>
      <c r="AG440">
        <f>IF(計分!AG440="","",計分!AG440^2)</f>
        <v/>
      </c>
      <c r="AH440">
        <f>IF(計分!AH440="","",計分!AH440^2)</f>
        <v/>
      </c>
      <c r="AI440">
        <f>IF(計分!AI440="","",計分!AI440^2)</f>
        <v/>
      </c>
      <c r="AJ440">
        <f>IF(計分!AJ440="","",計分!AJ440^2)</f>
        <v/>
      </c>
      <c r="AK440">
        <f>IF(計分!AK440="","",計分!AK440^2)</f>
        <v/>
      </c>
      <c r="AL440">
        <f>IF(計分!AL440="","",計分!AL440^2)</f>
        <v/>
      </c>
      <c r="AM440">
        <f>IF(計分!AM440="","",計分!AM440^2)</f>
        <v/>
      </c>
      <c r="AN440">
        <f>IF(計分!AN440="","",計分!AN440^2)</f>
        <v/>
      </c>
      <c r="AO440">
        <f>IF(計分!AO440="","",計分!AO440^2)</f>
        <v/>
      </c>
    </row>
    <row r="441">
      <c r="B441">
        <f>IF(計分!B441="","",計分!B441^2)</f>
        <v/>
      </c>
      <c r="C441">
        <f>IF(計分!C441="","",計分!C441^2)</f>
        <v/>
      </c>
      <c r="D441">
        <f>IF(計分!D441="","",計分!D441^2)</f>
        <v/>
      </c>
      <c r="E441">
        <f>IF(計分!E441="","",計分!E441^2)</f>
        <v/>
      </c>
      <c r="F441">
        <f>IF(計分!F441="","",計分!F441^2)</f>
        <v/>
      </c>
      <c r="G441">
        <f>IF(計分!G441="","",計分!G441^2)</f>
        <v/>
      </c>
      <c r="H441">
        <f>IF(計分!H441="","",計分!H441^2)</f>
        <v/>
      </c>
      <c r="I441">
        <f>IF(計分!I441="","",計分!I441^2)</f>
        <v/>
      </c>
      <c r="J441">
        <f>IF(計分!J441="","",計分!J441^2)</f>
        <v/>
      </c>
      <c r="K441">
        <f>IF(計分!K441="","",計分!K441^2)</f>
        <v/>
      </c>
      <c r="L441">
        <f>IF(計分!L441="","",計分!L441^2)</f>
        <v/>
      </c>
      <c r="M441">
        <f>IF(計分!M441="","",計分!M441^2)</f>
        <v/>
      </c>
      <c r="N441">
        <f>IF(計分!N441="","",計分!N441^2)</f>
        <v/>
      </c>
      <c r="O441">
        <f>IF(計分!O441="","",計分!O441^2)</f>
        <v/>
      </c>
      <c r="P441">
        <f>IF(計分!P441="","",計分!P441^2)</f>
        <v/>
      </c>
      <c r="Q441">
        <f>IF(計分!Q441="","",計分!Q441^2)</f>
        <v/>
      </c>
      <c r="R441">
        <f>IF(計分!R441="","",計分!R441^2)</f>
        <v/>
      </c>
      <c r="S441">
        <f>IF(計分!S441="","",計分!S441^2)</f>
        <v/>
      </c>
      <c r="T441">
        <f>IF(計分!T441="","",計分!T441^2)</f>
        <v/>
      </c>
      <c r="U441">
        <f>IF(計分!U441="","",計分!U441^2)</f>
        <v/>
      </c>
      <c r="V441">
        <f>IF(計分!V441="","",計分!V441^2)</f>
        <v/>
      </c>
      <c r="W441">
        <f>IF(計分!W441="","",計分!W441^2)</f>
        <v/>
      </c>
      <c r="X441">
        <f>IF(計分!X441="","",計分!X441^2)</f>
        <v/>
      </c>
      <c r="Y441">
        <f>IF(計分!Y441="","",計分!Y441^2)</f>
        <v/>
      </c>
      <c r="Z441">
        <f>IF(計分!Z441="","",計分!Z441^2)</f>
        <v/>
      </c>
      <c r="AA441">
        <f>IF(計分!AA441="","",計分!AA441^2)</f>
        <v/>
      </c>
      <c r="AB441">
        <f>IF(計分!AB441="","",計分!AB441^2)</f>
        <v/>
      </c>
      <c r="AC441">
        <f>IF(計分!AC441="","",計分!AC441^2)</f>
        <v/>
      </c>
      <c r="AD441">
        <f>IF(計分!AD441="","",計分!AD441^2)</f>
        <v/>
      </c>
      <c r="AE441">
        <f>IF(計分!AE441="","",計分!AE441^2)</f>
        <v/>
      </c>
      <c r="AF441">
        <f>IF(計分!AF441="","",計分!AF441^2)</f>
        <v/>
      </c>
      <c r="AG441">
        <f>IF(計分!AG441="","",計分!AG441^2)</f>
        <v/>
      </c>
      <c r="AH441">
        <f>IF(計分!AH441="","",計分!AH441^2)</f>
        <v/>
      </c>
      <c r="AI441">
        <f>IF(計分!AI441="","",計分!AI441^2)</f>
        <v/>
      </c>
      <c r="AJ441">
        <f>IF(計分!AJ441="","",計分!AJ441^2)</f>
        <v/>
      </c>
      <c r="AK441">
        <f>IF(計分!AK441="","",計分!AK441^2)</f>
        <v/>
      </c>
      <c r="AL441">
        <f>IF(計分!AL441="","",計分!AL441^2)</f>
        <v/>
      </c>
      <c r="AM441">
        <f>IF(計分!AM441="","",計分!AM441^2)</f>
        <v/>
      </c>
      <c r="AN441">
        <f>IF(計分!AN441="","",計分!AN441^2)</f>
        <v/>
      </c>
      <c r="AO441">
        <f>IF(計分!AO441="","",計分!AO441^2)</f>
        <v/>
      </c>
    </row>
    <row r="442">
      <c r="B442">
        <f>IF(計分!B442="","",計分!B442^2)</f>
        <v/>
      </c>
      <c r="C442">
        <f>IF(計分!C442="","",計分!C442^2)</f>
        <v/>
      </c>
      <c r="D442">
        <f>IF(計分!D442="","",計分!D442^2)</f>
        <v/>
      </c>
      <c r="E442">
        <f>IF(計分!E442="","",計分!E442^2)</f>
        <v/>
      </c>
      <c r="F442">
        <f>IF(計分!F442="","",計分!F442^2)</f>
        <v/>
      </c>
      <c r="G442">
        <f>IF(計分!G442="","",計分!G442^2)</f>
        <v/>
      </c>
      <c r="H442">
        <f>IF(計分!H442="","",計分!H442^2)</f>
        <v/>
      </c>
      <c r="I442">
        <f>IF(計分!I442="","",計分!I442^2)</f>
        <v/>
      </c>
      <c r="J442">
        <f>IF(計分!J442="","",計分!J442^2)</f>
        <v/>
      </c>
      <c r="K442">
        <f>IF(計分!K442="","",計分!K442^2)</f>
        <v/>
      </c>
      <c r="L442">
        <f>IF(計分!L442="","",計分!L442^2)</f>
        <v/>
      </c>
      <c r="M442">
        <f>IF(計分!M442="","",計分!M442^2)</f>
        <v/>
      </c>
      <c r="N442">
        <f>IF(計分!N442="","",計分!N442^2)</f>
        <v/>
      </c>
      <c r="O442">
        <f>IF(計分!O442="","",計分!O442^2)</f>
        <v/>
      </c>
      <c r="P442">
        <f>IF(計分!P442="","",計分!P442^2)</f>
        <v/>
      </c>
      <c r="Q442">
        <f>IF(計分!Q442="","",計分!Q442^2)</f>
        <v/>
      </c>
      <c r="R442">
        <f>IF(計分!R442="","",計分!R442^2)</f>
        <v/>
      </c>
      <c r="S442">
        <f>IF(計分!S442="","",計分!S442^2)</f>
        <v/>
      </c>
      <c r="T442">
        <f>IF(計分!T442="","",計分!T442^2)</f>
        <v/>
      </c>
      <c r="U442">
        <f>IF(計分!U442="","",計分!U442^2)</f>
        <v/>
      </c>
      <c r="V442">
        <f>IF(計分!V442="","",計分!V442^2)</f>
        <v/>
      </c>
      <c r="W442">
        <f>IF(計分!W442="","",計分!W442^2)</f>
        <v/>
      </c>
      <c r="X442">
        <f>IF(計分!X442="","",計分!X442^2)</f>
        <v/>
      </c>
      <c r="Y442">
        <f>IF(計分!Y442="","",計分!Y442^2)</f>
        <v/>
      </c>
      <c r="Z442">
        <f>IF(計分!Z442="","",計分!Z442^2)</f>
        <v/>
      </c>
      <c r="AA442">
        <f>IF(計分!AA442="","",計分!AA442^2)</f>
        <v/>
      </c>
      <c r="AB442">
        <f>IF(計分!AB442="","",計分!AB442^2)</f>
        <v/>
      </c>
      <c r="AC442">
        <f>IF(計分!AC442="","",計分!AC442^2)</f>
        <v/>
      </c>
      <c r="AD442">
        <f>IF(計分!AD442="","",計分!AD442^2)</f>
        <v/>
      </c>
      <c r="AE442">
        <f>IF(計分!AE442="","",計分!AE442^2)</f>
        <v/>
      </c>
      <c r="AF442">
        <f>IF(計分!AF442="","",計分!AF442^2)</f>
        <v/>
      </c>
      <c r="AG442">
        <f>IF(計分!AG442="","",計分!AG442^2)</f>
        <v/>
      </c>
      <c r="AH442">
        <f>IF(計分!AH442="","",計分!AH442^2)</f>
        <v/>
      </c>
      <c r="AI442">
        <f>IF(計分!AI442="","",計分!AI442^2)</f>
        <v/>
      </c>
      <c r="AJ442">
        <f>IF(計分!AJ442="","",計分!AJ442^2)</f>
        <v/>
      </c>
      <c r="AK442">
        <f>IF(計分!AK442="","",計分!AK442^2)</f>
        <v/>
      </c>
      <c r="AL442">
        <f>IF(計分!AL442="","",計分!AL442^2)</f>
        <v/>
      </c>
      <c r="AM442">
        <f>IF(計分!AM442="","",計分!AM442^2)</f>
        <v/>
      </c>
      <c r="AN442">
        <f>IF(計分!AN442="","",計分!AN442^2)</f>
        <v/>
      </c>
      <c r="AO442">
        <f>IF(計分!AO442="","",計分!AO442^2)</f>
        <v/>
      </c>
    </row>
    <row r="443">
      <c r="B443">
        <f>IF(計分!B443="","",計分!B443^2)</f>
        <v/>
      </c>
      <c r="C443">
        <f>IF(計分!C443="","",計分!C443^2)</f>
        <v/>
      </c>
      <c r="D443">
        <f>IF(計分!D443="","",計分!D443^2)</f>
        <v/>
      </c>
      <c r="E443">
        <f>IF(計分!E443="","",計分!E443^2)</f>
        <v/>
      </c>
      <c r="F443">
        <f>IF(計分!F443="","",計分!F443^2)</f>
        <v/>
      </c>
      <c r="G443">
        <f>IF(計分!G443="","",計分!G443^2)</f>
        <v/>
      </c>
      <c r="H443">
        <f>IF(計分!H443="","",計分!H443^2)</f>
        <v/>
      </c>
      <c r="I443">
        <f>IF(計分!I443="","",計分!I443^2)</f>
        <v/>
      </c>
      <c r="J443">
        <f>IF(計分!J443="","",計分!J443^2)</f>
        <v/>
      </c>
      <c r="K443">
        <f>IF(計分!K443="","",計分!K443^2)</f>
        <v/>
      </c>
      <c r="L443">
        <f>IF(計分!L443="","",計分!L443^2)</f>
        <v/>
      </c>
      <c r="M443">
        <f>IF(計分!M443="","",計分!M443^2)</f>
        <v/>
      </c>
      <c r="N443">
        <f>IF(計分!N443="","",計分!N443^2)</f>
        <v/>
      </c>
      <c r="O443">
        <f>IF(計分!O443="","",計分!O443^2)</f>
        <v/>
      </c>
      <c r="P443">
        <f>IF(計分!P443="","",計分!P443^2)</f>
        <v/>
      </c>
      <c r="Q443">
        <f>IF(計分!Q443="","",計分!Q443^2)</f>
        <v/>
      </c>
      <c r="R443">
        <f>IF(計分!R443="","",計分!R443^2)</f>
        <v/>
      </c>
      <c r="S443">
        <f>IF(計分!S443="","",計分!S443^2)</f>
        <v/>
      </c>
      <c r="T443">
        <f>IF(計分!T443="","",計分!T443^2)</f>
        <v/>
      </c>
      <c r="U443">
        <f>IF(計分!U443="","",計分!U443^2)</f>
        <v/>
      </c>
      <c r="V443">
        <f>IF(計分!V443="","",計分!V443^2)</f>
        <v/>
      </c>
      <c r="W443">
        <f>IF(計分!W443="","",計分!W443^2)</f>
        <v/>
      </c>
      <c r="X443">
        <f>IF(計分!X443="","",計分!X443^2)</f>
        <v/>
      </c>
      <c r="Y443">
        <f>IF(計分!Y443="","",計分!Y443^2)</f>
        <v/>
      </c>
      <c r="Z443">
        <f>IF(計分!Z443="","",計分!Z443^2)</f>
        <v/>
      </c>
      <c r="AA443">
        <f>IF(計分!AA443="","",計分!AA443^2)</f>
        <v/>
      </c>
      <c r="AB443">
        <f>IF(計分!AB443="","",計分!AB443^2)</f>
        <v/>
      </c>
      <c r="AC443">
        <f>IF(計分!AC443="","",計分!AC443^2)</f>
        <v/>
      </c>
      <c r="AD443">
        <f>IF(計分!AD443="","",計分!AD443^2)</f>
        <v/>
      </c>
      <c r="AE443">
        <f>IF(計分!AE443="","",計分!AE443^2)</f>
        <v/>
      </c>
      <c r="AF443">
        <f>IF(計分!AF443="","",計分!AF443^2)</f>
        <v/>
      </c>
      <c r="AG443">
        <f>IF(計分!AG443="","",計分!AG443^2)</f>
        <v/>
      </c>
      <c r="AH443">
        <f>IF(計分!AH443="","",計分!AH443^2)</f>
        <v/>
      </c>
      <c r="AI443">
        <f>IF(計分!AI443="","",計分!AI443^2)</f>
        <v/>
      </c>
      <c r="AJ443">
        <f>IF(計分!AJ443="","",計分!AJ443^2)</f>
        <v/>
      </c>
      <c r="AK443">
        <f>IF(計分!AK443="","",計分!AK443^2)</f>
        <v/>
      </c>
      <c r="AL443">
        <f>IF(計分!AL443="","",計分!AL443^2)</f>
        <v/>
      </c>
      <c r="AM443">
        <f>IF(計分!AM443="","",計分!AM443^2)</f>
        <v/>
      </c>
      <c r="AN443">
        <f>IF(計分!AN443="","",計分!AN443^2)</f>
        <v/>
      </c>
      <c r="AO443">
        <f>IF(計分!AO443="","",計分!AO443^2)</f>
        <v/>
      </c>
    </row>
    <row r="444">
      <c r="B444">
        <f>IF(計分!B444="","",計分!B444^2)</f>
        <v/>
      </c>
      <c r="C444">
        <f>IF(計分!C444="","",計分!C444^2)</f>
        <v/>
      </c>
      <c r="D444">
        <f>IF(計分!D444="","",計分!D444^2)</f>
        <v/>
      </c>
      <c r="E444">
        <f>IF(計分!E444="","",計分!E444^2)</f>
        <v/>
      </c>
      <c r="F444">
        <f>IF(計分!F444="","",計分!F444^2)</f>
        <v/>
      </c>
      <c r="G444">
        <f>IF(計分!G444="","",計分!G444^2)</f>
        <v/>
      </c>
      <c r="H444">
        <f>IF(計分!H444="","",計分!H444^2)</f>
        <v/>
      </c>
      <c r="I444">
        <f>IF(計分!I444="","",計分!I444^2)</f>
        <v/>
      </c>
      <c r="J444">
        <f>IF(計分!J444="","",計分!J444^2)</f>
        <v/>
      </c>
      <c r="K444">
        <f>IF(計分!K444="","",計分!K444^2)</f>
        <v/>
      </c>
      <c r="L444">
        <f>IF(計分!L444="","",計分!L444^2)</f>
        <v/>
      </c>
      <c r="M444">
        <f>IF(計分!M444="","",計分!M444^2)</f>
        <v/>
      </c>
      <c r="N444">
        <f>IF(計分!N444="","",計分!N444^2)</f>
        <v/>
      </c>
      <c r="O444">
        <f>IF(計分!O444="","",計分!O444^2)</f>
        <v/>
      </c>
      <c r="P444">
        <f>IF(計分!P444="","",計分!P444^2)</f>
        <v/>
      </c>
      <c r="Q444">
        <f>IF(計分!Q444="","",計分!Q444^2)</f>
        <v/>
      </c>
      <c r="R444">
        <f>IF(計分!R444="","",計分!R444^2)</f>
        <v/>
      </c>
      <c r="S444">
        <f>IF(計分!S444="","",計分!S444^2)</f>
        <v/>
      </c>
      <c r="T444">
        <f>IF(計分!T444="","",計分!T444^2)</f>
        <v/>
      </c>
      <c r="U444">
        <f>IF(計分!U444="","",計分!U444^2)</f>
        <v/>
      </c>
      <c r="V444">
        <f>IF(計分!V444="","",計分!V444^2)</f>
        <v/>
      </c>
      <c r="W444">
        <f>IF(計分!W444="","",計分!W444^2)</f>
        <v/>
      </c>
      <c r="X444">
        <f>IF(計分!X444="","",計分!X444^2)</f>
        <v/>
      </c>
      <c r="Y444">
        <f>IF(計分!Y444="","",計分!Y444^2)</f>
        <v/>
      </c>
      <c r="Z444">
        <f>IF(計分!Z444="","",計分!Z444^2)</f>
        <v/>
      </c>
      <c r="AA444">
        <f>IF(計分!AA444="","",計分!AA444^2)</f>
        <v/>
      </c>
      <c r="AB444">
        <f>IF(計分!AB444="","",計分!AB444^2)</f>
        <v/>
      </c>
      <c r="AC444">
        <f>IF(計分!AC444="","",計分!AC444^2)</f>
        <v/>
      </c>
      <c r="AD444">
        <f>IF(計分!AD444="","",計分!AD444^2)</f>
        <v/>
      </c>
      <c r="AE444">
        <f>IF(計分!AE444="","",計分!AE444^2)</f>
        <v/>
      </c>
      <c r="AF444">
        <f>IF(計分!AF444="","",計分!AF444^2)</f>
        <v/>
      </c>
      <c r="AG444">
        <f>IF(計分!AG444="","",計分!AG444^2)</f>
        <v/>
      </c>
      <c r="AH444">
        <f>IF(計分!AH444="","",計分!AH444^2)</f>
        <v/>
      </c>
      <c r="AI444">
        <f>IF(計分!AI444="","",計分!AI444^2)</f>
        <v/>
      </c>
      <c r="AJ444">
        <f>IF(計分!AJ444="","",計分!AJ444^2)</f>
        <v/>
      </c>
      <c r="AK444">
        <f>IF(計分!AK444="","",計分!AK444^2)</f>
        <v/>
      </c>
      <c r="AL444">
        <f>IF(計分!AL444="","",計分!AL444^2)</f>
        <v/>
      </c>
      <c r="AM444">
        <f>IF(計分!AM444="","",計分!AM444^2)</f>
        <v/>
      </c>
      <c r="AN444">
        <f>IF(計分!AN444="","",計分!AN444^2)</f>
        <v/>
      </c>
      <c r="AO444">
        <f>IF(計分!AO444="","",計分!AO444^2)</f>
        <v/>
      </c>
    </row>
    <row r="445">
      <c r="B445">
        <f>IF(計分!B445="","",計分!B445^2)</f>
        <v/>
      </c>
      <c r="C445">
        <f>IF(計分!C445="","",計分!C445^2)</f>
        <v/>
      </c>
      <c r="D445">
        <f>IF(計分!D445="","",計分!D445^2)</f>
        <v/>
      </c>
      <c r="E445">
        <f>IF(計分!E445="","",計分!E445^2)</f>
        <v/>
      </c>
      <c r="F445">
        <f>IF(計分!F445="","",計分!F445^2)</f>
        <v/>
      </c>
      <c r="G445">
        <f>IF(計分!G445="","",計分!G445^2)</f>
        <v/>
      </c>
      <c r="H445">
        <f>IF(計分!H445="","",計分!H445^2)</f>
        <v/>
      </c>
      <c r="I445">
        <f>IF(計分!I445="","",計分!I445^2)</f>
        <v/>
      </c>
      <c r="J445">
        <f>IF(計分!J445="","",計分!J445^2)</f>
        <v/>
      </c>
      <c r="K445">
        <f>IF(計分!K445="","",計分!K445^2)</f>
        <v/>
      </c>
      <c r="L445">
        <f>IF(計分!L445="","",計分!L445^2)</f>
        <v/>
      </c>
      <c r="M445">
        <f>IF(計分!M445="","",計分!M445^2)</f>
        <v/>
      </c>
      <c r="N445">
        <f>IF(計分!N445="","",計分!N445^2)</f>
        <v/>
      </c>
      <c r="O445">
        <f>IF(計分!O445="","",計分!O445^2)</f>
        <v/>
      </c>
      <c r="P445">
        <f>IF(計分!P445="","",計分!P445^2)</f>
        <v/>
      </c>
      <c r="Q445">
        <f>IF(計分!Q445="","",計分!Q445^2)</f>
        <v/>
      </c>
      <c r="R445">
        <f>IF(計分!R445="","",計分!R445^2)</f>
        <v/>
      </c>
      <c r="S445">
        <f>IF(計分!S445="","",計分!S445^2)</f>
        <v/>
      </c>
      <c r="T445">
        <f>IF(計分!T445="","",計分!T445^2)</f>
        <v/>
      </c>
      <c r="U445">
        <f>IF(計分!U445="","",計分!U445^2)</f>
        <v/>
      </c>
      <c r="V445">
        <f>IF(計分!V445="","",計分!V445^2)</f>
        <v/>
      </c>
      <c r="W445">
        <f>IF(計分!W445="","",計分!W445^2)</f>
        <v/>
      </c>
      <c r="X445">
        <f>IF(計分!X445="","",計分!X445^2)</f>
        <v/>
      </c>
      <c r="Y445">
        <f>IF(計分!Y445="","",計分!Y445^2)</f>
        <v/>
      </c>
      <c r="Z445">
        <f>IF(計分!Z445="","",計分!Z445^2)</f>
        <v/>
      </c>
      <c r="AA445">
        <f>IF(計分!AA445="","",計分!AA445^2)</f>
        <v/>
      </c>
      <c r="AB445">
        <f>IF(計分!AB445="","",計分!AB445^2)</f>
        <v/>
      </c>
      <c r="AC445">
        <f>IF(計分!AC445="","",計分!AC445^2)</f>
        <v/>
      </c>
      <c r="AD445">
        <f>IF(計分!AD445="","",計分!AD445^2)</f>
        <v/>
      </c>
      <c r="AE445">
        <f>IF(計分!AE445="","",計分!AE445^2)</f>
        <v/>
      </c>
      <c r="AF445">
        <f>IF(計分!AF445="","",計分!AF445^2)</f>
        <v/>
      </c>
      <c r="AG445">
        <f>IF(計分!AG445="","",計分!AG445^2)</f>
        <v/>
      </c>
      <c r="AH445">
        <f>IF(計分!AH445="","",計分!AH445^2)</f>
        <v/>
      </c>
      <c r="AI445">
        <f>IF(計分!AI445="","",計分!AI445^2)</f>
        <v/>
      </c>
      <c r="AJ445">
        <f>IF(計分!AJ445="","",計分!AJ445^2)</f>
        <v/>
      </c>
      <c r="AK445">
        <f>IF(計分!AK445="","",計分!AK445^2)</f>
        <v/>
      </c>
      <c r="AL445">
        <f>IF(計分!AL445="","",計分!AL445^2)</f>
        <v/>
      </c>
      <c r="AM445">
        <f>IF(計分!AM445="","",計分!AM445^2)</f>
        <v/>
      </c>
      <c r="AN445">
        <f>IF(計分!AN445="","",計分!AN445^2)</f>
        <v/>
      </c>
      <c r="AO445">
        <f>IF(計分!AO445="","",計分!AO445^2)</f>
        <v/>
      </c>
    </row>
    <row r="446">
      <c r="B446">
        <f>IF(計分!B446="","",計分!B446^2)</f>
        <v/>
      </c>
      <c r="C446">
        <f>IF(計分!C446="","",計分!C446^2)</f>
        <v/>
      </c>
      <c r="D446">
        <f>IF(計分!D446="","",計分!D446^2)</f>
        <v/>
      </c>
      <c r="E446">
        <f>IF(計分!E446="","",計分!E446^2)</f>
        <v/>
      </c>
      <c r="F446">
        <f>IF(計分!F446="","",計分!F446^2)</f>
        <v/>
      </c>
      <c r="G446">
        <f>IF(計分!G446="","",計分!G446^2)</f>
        <v/>
      </c>
      <c r="H446">
        <f>IF(計分!H446="","",計分!H446^2)</f>
        <v/>
      </c>
      <c r="I446">
        <f>IF(計分!I446="","",計分!I446^2)</f>
        <v/>
      </c>
      <c r="J446">
        <f>IF(計分!J446="","",計分!J446^2)</f>
        <v/>
      </c>
      <c r="K446">
        <f>IF(計分!K446="","",計分!K446^2)</f>
        <v/>
      </c>
      <c r="L446">
        <f>IF(計分!L446="","",計分!L446^2)</f>
        <v/>
      </c>
      <c r="M446">
        <f>IF(計分!M446="","",計分!M446^2)</f>
        <v/>
      </c>
      <c r="N446">
        <f>IF(計分!N446="","",計分!N446^2)</f>
        <v/>
      </c>
      <c r="O446">
        <f>IF(計分!O446="","",計分!O446^2)</f>
        <v/>
      </c>
      <c r="P446">
        <f>IF(計分!P446="","",計分!P446^2)</f>
        <v/>
      </c>
      <c r="Q446">
        <f>IF(計分!Q446="","",計分!Q446^2)</f>
        <v/>
      </c>
      <c r="R446">
        <f>IF(計分!R446="","",計分!R446^2)</f>
        <v/>
      </c>
      <c r="S446">
        <f>IF(計分!S446="","",計分!S446^2)</f>
        <v/>
      </c>
      <c r="T446">
        <f>IF(計分!T446="","",計分!T446^2)</f>
        <v/>
      </c>
      <c r="U446">
        <f>IF(計分!U446="","",計分!U446^2)</f>
        <v/>
      </c>
      <c r="V446">
        <f>IF(計分!V446="","",計分!V446^2)</f>
        <v/>
      </c>
      <c r="W446">
        <f>IF(計分!W446="","",計分!W446^2)</f>
        <v/>
      </c>
      <c r="X446">
        <f>IF(計分!X446="","",計分!X446^2)</f>
        <v/>
      </c>
      <c r="Y446">
        <f>IF(計分!Y446="","",計分!Y446^2)</f>
        <v/>
      </c>
      <c r="Z446">
        <f>IF(計分!Z446="","",計分!Z446^2)</f>
        <v/>
      </c>
      <c r="AA446">
        <f>IF(計分!AA446="","",計分!AA446^2)</f>
        <v/>
      </c>
      <c r="AB446">
        <f>IF(計分!AB446="","",計分!AB446^2)</f>
        <v/>
      </c>
      <c r="AC446">
        <f>IF(計分!AC446="","",計分!AC446^2)</f>
        <v/>
      </c>
      <c r="AD446">
        <f>IF(計分!AD446="","",計分!AD446^2)</f>
        <v/>
      </c>
      <c r="AE446">
        <f>IF(計分!AE446="","",計分!AE446^2)</f>
        <v/>
      </c>
      <c r="AF446">
        <f>IF(計分!AF446="","",計分!AF446^2)</f>
        <v/>
      </c>
      <c r="AG446">
        <f>IF(計分!AG446="","",計分!AG446^2)</f>
        <v/>
      </c>
      <c r="AH446">
        <f>IF(計分!AH446="","",計分!AH446^2)</f>
        <v/>
      </c>
      <c r="AI446">
        <f>IF(計分!AI446="","",計分!AI446^2)</f>
        <v/>
      </c>
      <c r="AJ446">
        <f>IF(計分!AJ446="","",計分!AJ446^2)</f>
        <v/>
      </c>
      <c r="AK446">
        <f>IF(計分!AK446="","",計分!AK446^2)</f>
        <v/>
      </c>
      <c r="AL446">
        <f>IF(計分!AL446="","",計分!AL446^2)</f>
        <v/>
      </c>
      <c r="AM446">
        <f>IF(計分!AM446="","",計分!AM446^2)</f>
        <v/>
      </c>
      <c r="AN446">
        <f>IF(計分!AN446="","",計分!AN446^2)</f>
        <v/>
      </c>
      <c r="AO446">
        <f>IF(計分!AO446="","",計分!AO446^2)</f>
        <v/>
      </c>
    </row>
    <row r="447">
      <c r="B447">
        <f>IF(計分!B447="","",計分!B447^2)</f>
        <v/>
      </c>
      <c r="C447">
        <f>IF(計分!C447="","",計分!C447^2)</f>
        <v/>
      </c>
      <c r="D447">
        <f>IF(計分!D447="","",計分!D447^2)</f>
        <v/>
      </c>
      <c r="E447">
        <f>IF(計分!E447="","",計分!E447^2)</f>
        <v/>
      </c>
      <c r="F447">
        <f>IF(計分!F447="","",計分!F447^2)</f>
        <v/>
      </c>
      <c r="G447">
        <f>IF(計分!G447="","",計分!G447^2)</f>
        <v/>
      </c>
      <c r="H447">
        <f>IF(計分!H447="","",計分!H447^2)</f>
        <v/>
      </c>
      <c r="I447">
        <f>IF(計分!I447="","",計分!I447^2)</f>
        <v/>
      </c>
      <c r="J447">
        <f>IF(計分!J447="","",計分!J447^2)</f>
        <v/>
      </c>
      <c r="K447">
        <f>IF(計分!K447="","",計分!K447^2)</f>
        <v/>
      </c>
      <c r="L447">
        <f>IF(計分!L447="","",計分!L447^2)</f>
        <v/>
      </c>
      <c r="M447">
        <f>IF(計分!M447="","",計分!M447^2)</f>
        <v/>
      </c>
      <c r="N447">
        <f>IF(計分!N447="","",計分!N447^2)</f>
        <v/>
      </c>
      <c r="O447">
        <f>IF(計分!O447="","",計分!O447^2)</f>
        <v/>
      </c>
      <c r="P447">
        <f>IF(計分!P447="","",計分!P447^2)</f>
        <v/>
      </c>
      <c r="Q447">
        <f>IF(計分!Q447="","",計分!Q447^2)</f>
        <v/>
      </c>
      <c r="R447">
        <f>IF(計分!R447="","",計分!R447^2)</f>
        <v/>
      </c>
      <c r="S447">
        <f>IF(計分!S447="","",計分!S447^2)</f>
        <v/>
      </c>
      <c r="T447">
        <f>IF(計分!T447="","",計分!T447^2)</f>
        <v/>
      </c>
      <c r="U447">
        <f>IF(計分!U447="","",計分!U447^2)</f>
        <v/>
      </c>
      <c r="V447">
        <f>IF(計分!V447="","",計分!V447^2)</f>
        <v/>
      </c>
      <c r="W447">
        <f>IF(計分!W447="","",計分!W447^2)</f>
        <v/>
      </c>
      <c r="X447">
        <f>IF(計分!X447="","",計分!X447^2)</f>
        <v/>
      </c>
      <c r="Y447">
        <f>IF(計分!Y447="","",計分!Y447^2)</f>
        <v/>
      </c>
      <c r="Z447">
        <f>IF(計分!Z447="","",計分!Z447^2)</f>
        <v/>
      </c>
      <c r="AA447">
        <f>IF(計分!AA447="","",計分!AA447^2)</f>
        <v/>
      </c>
      <c r="AB447">
        <f>IF(計分!AB447="","",計分!AB447^2)</f>
        <v/>
      </c>
      <c r="AC447">
        <f>IF(計分!AC447="","",計分!AC447^2)</f>
        <v/>
      </c>
      <c r="AD447">
        <f>IF(計分!AD447="","",計分!AD447^2)</f>
        <v/>
      </c>
      <c r="AE447">
        <f>IF(計分!AE447="","",計分!AE447^2)</f>
        <v/>
      </c>
      <c r="AF447">
        <f>IF(計分!AF447="","",計分!AF447^2)</f>
        <v/>
      </c>
      <c r="AG447">
        <f>IF(計分!AG447="","",計分!AG447^2)</f>
        <v/>
      </c>
      <c r="AH447">
        <f>IF(計分!AH447="","",計分!AH447^2)</f>
        <v/>
      </c>
      <c r="AI447">
        <f>IF(計分!AI447="","",計分!AI447^2)</f>
        <v/>
      </c>
      <c r="AJ447">
        <f>IF(計分!AJ447="","",計分!AJ447^2)</f>
        <v/>
      </c>
      <c r="AK447">
        <f>IF(計分!AK447="","",計分!AK447^2)</f>
        <v/>
      </c>
      <c r="AL447">
        <f>IF(計分!AL447="","",計分!AL447^2)</f>
        <v/>
      </c>
      <c r="AM447">
        <f>IF(計分!AM447="","",計分!AM447^2)</f>
        <v/>
      </c>
      <c r="AN447">
        <f>IF(計分!AN447="","",計分!AN447^2)</f>
        <v/>
      </c>
      <c r="AO447">
        <f>IF(計分!AO447="","",計分!AO447^2)</f>
        <v/>
      </c>
    </row>
    <row r="448">
      <c r="B448">
        <f>IF(計分!B448="","",計分!B448^2)</f>
        <v/>
      </c>
      <c r="C448">
        <f>IF(計分!C448="","",計分!C448^2)</f>
        <v/>
      </c>
      <c r="D448">
        <f>IF(計分!D448="","",計分!D448^2)</f>
        <v/>
      </c>
      <c r="E448">
        <f>IF(計分!E448="","",計分!E448^2)</f>
        <v/>
      </c>
      <c r="F448">
        <f>IF(計分!F448="","",計分!F448^2)</f>
        <v/>
      </c>
      <c r="G448">
        <f>IF(計分!G448="","",計分!G448^2)</f>
        <v/>
      </c>
      <c r="H448">
        <f>IF(計分!H448="","",計分!H448^2)</f>
        <v/>
      </c>
      <c r="I448">
        <f>IF(計分!I448="","",計分!I448^2)</f>
        <v/>
      </c>
      <c r="J448">
        <f>IF(計分!J448="","",計分!J448^2)</f>
        <v/>
      </c>
      <c r="K448">
        <f>IF(計分!K448="","",計分!K448^2)</f>
        <v/>
      </c>
      <c r="L448">
        <f>IF(計分!L448="","",計分!L448^2)</f>
        <v/>
      </c>
      <c r="M448">
        <f>IF(計分!M448="","",計分!M448^2)</f>
        <v/>
      </c>
      <c r="N448">
        <f>IF(計分!N448="","",計分!N448^2)</f>
        <v/>
      </c>
      <c r="O448">
        <f>IF(計分!O448="","",計分!O448^2)</f>
        <v/>
      </c>
      <c r="P448">
        <f>IF(計分!P448="","",計分!P448^2)</f>
        <v/>
      </c>
      <c r="Q448">
        <f>IF(計分!Q448="","",計分!Q448^2)</f>
        <v/>
      </c>
      <c r="R448">
        <f>IF(計分!R448="","",計分!R448^2)</f>
        <v/>
      </c>
      <c r="S448">
        <f>IF(計分!S448="","",計分!S448^2)</f>
        <v/>
      </c>
      <c r="T448">
        <f>IF(計分!T448="","",計分!T448^2)</f>
        <v/>
      </c>
      <c r="U448">
        <f>IF(計分!U448="","",計分!U448^2)</f>
        <v/>
      </c>
      <c r="V448">
        <f>IF(計分!V448="","",計分!V448^2)</f>
        <v/>
      </c>
      <c r="W448">
        <f>IF(計分!W448="","",計分!W448^2)</f>
        <v/>
      </c>
      <c r="X448">
        <f>IF(計分!X448="","",計分!X448^2)</f>
        <v/>
      </c>
      <c r="Y448">
        <f>IF(計分!Y448="","",計分!Y448^2)</f>
        <v/>
      </c>
      <c r="Z448">
        <f>IF(計分!Z448="","",計分!Z448^2)</f>
        <v/>
      </c>
      <c r="AA448">
        <f>IF(計分!AA448="","",計分!AA448^2)</f>
        <v/>
      </c>
      <c r="AB448">
        <f>IF(計分!AB448="","",計分!AB448^2)</f>
        <v/>
      </c>
      <c r="AC448">
        <f>IF(計分!AC448="","",計分!AC448^2)</f>
        <v/>
      </c>
      <c r="AD448">
        <f>IF(計分!AD448="","",計分!AD448^2)</f>
        <v/>
      </c>
      <c r="AE448">
        <f>IF(計分!AE448="","",計分!AE448^2)</f>
        <v/>
      </c>
      <c r="AF448">
        <f>IF(計分!AF448="","",計分!AF448^2)</f>
        <v/>
      </c>
      <c r="AG448">
        <f>IF(計分!AG448="","",計分!AG448^2)</f>
        <v/>
      </c>
      <c r="AH448">
        <f>IF(計分!AH448="","",計分!AH448^2)</f>
        <v/>
      </c>
      <c r="AI448">
        <f>IF(計分!AI448="","",計分!AI448^2)</f>
        <v/>
      </c>
      <c r="AJ448">
        <f>IF(計分!AJ448="","",計分!AJ448^2)</f>
        <v/>
      </c>
      <c r="AK448">
        <f>IF(計分!AK448="","",計分!AK448^2)</f>
        <v/>
      </c>
      <c r="AL448">
        <f>IF(計分!AL448="","",計分!AL448^2)</f>
        <v/>
      </c>
      <c r="AM448">
        <f>IF(計分!AM448="","",計分!AM448^2)</f>
        <v/>
      </c>
      <c r="AN448">
        <f>IF(計分!AN448="","",計分!AN448^2)</f>
        <v/>
      </c>
      <c r="AO448">
        <f>IF(計分!AO448="","",計分!AO448^2)</f>
        <v/>
      </c>
    </row>
    <row r="449">
      <c r="B449">
        <f>IF(計分!B449="","",計分!B449^2)</f>
        <v/>
      </c>
      <c r="C449">
        <f>IF(計分!C449="","",計分!C449^2)</f>
        <v/>
      </c>
      <c r="D449">
        <f>IF(計分!D449="","",計分!D449^2)</f>
        <v/>
      </c>
      <c r="E449">
        <f>IF(計分!E449="","",計分!E449^2)</f>
        <v/>
      </c>
      <c r="F449">
        <f>IF(計分!F449="","",計分!F449^2)</f>
        <v/>
      </c>
      <c r="G449">
        <f>IF(計分!G449="","",計分!G449^2)</f>
        <v/>
      </c>
      <c r="H449">
        <f>IF(計分!H449="","",計分!H449^2)</f>
        <v/>
      </c>
      <c r="I449">
        <f>IF(計分!I449="","",計分!I449^2)</f>
        <v/>
      </c>
      <c r="J449">
        <f>IF(計分!J449="","",計分!J449^2)</f>
        <v/>
      </c>
      <c r="K449">
        <f>IF(計分!K449="","",計分!K449^2)</f>
        <v/>
      </c>
      <c r="L449">
        <f>IF(計分!L449="","",計分!L449^2)</f>
        <v/>
      </c>
      <c r="M449">
        <f>IF(計分!M449="","",計分!M449^2)</f>
        <v/>
      </c>
      <c r="N449">
        <f>IF(計分!N449="","",計分!N449^2)</f>
        <v/>
      </c>
      <c r="O449">
        <f>IF(計分!O449="","",計分!O449^2)</f>
        <v/>
      </c>
      <c r="P449">
        <f>IF(計分!P449="","",計分!P449^2)</f>
        <v/>
      </c>
      <c r="Q449">
        <f>IF(計分!Q449="","",計分!Q449^2)</f>
        <v/>
      </c>
      <c r="R449">
        <f>IF(計分!R449="","",計分!R449^2)</f>
        <v/>
      </c>
      <c r="S449">
        <f>IF(計分!S449="","",計分!S449^2)</f>
        <v/>
      </c>
      <c r="T449">
        <f>IF(計分!T449="","",計分!T449^2)</f>
        <v/>
      </c>
      <c r="U449">
        <f>IF(計分!U449="","",計分!U449^2)</f>
        <v/>
      </c>
      <c r="V449">
        <f>IF(計分!V449="","",計分!V449^2)</f>
        <v/>
      </c>
      <c r="W449">
        <f>IF(計分!W449="","",計分!W449^2)</f>
        <v/>
      </c>
      <c r="X449">
        <f>IF(計分!X449="","",計分!X449^2)</f>
        <v/>
      </c>
      <c r="Y449">
        <f>IF(計分!Y449="","",計分!Y449^2)</f>
        <v/>
      </c>
      <c r="Z449">
        <f>IF(計分!Z449="","",計分!Z449^2)</f>
        <v/>
      </c>
      <c r="AA449">
        <f>IF(計分!AA449="","",計分!AA449^2)</f>
        <v/>
      </c>
      <c r="AB449">
        <f>IF(計分!AB449="","",計分!AB449^2)</f>
        <v/>
      </c>
      <c r="AC449">
        <f>IF(計分!AC449="","",計分!AC449^2)</f>
        <v/>
      </c>
      <c r="AD449">
        <f>IF(計分!AD449="","",計分!AD449^2)</f>
        <v/>
      </c>
      <c r="AE449">
        <f>IF(計分!AE449="","",計分!AE449^2)</f>
        <v/>
      </c>
      <c r="AF449">
        <f>IF(計分!AF449="","",計分!AF449^2)</f>
        <v/>
      </c>
      <c r="AG449">
        <f>IF(計分!AG449="","",計分!AG449^2)</f>
        <v/>
      </c>
      <c r="AH449">
        <f>IF(計分!AH449="","",計分!AH449^2)</f>
        <v/>
      </c>
      <c r="AI449">
        <f>IF(計分!AI449="","",計分!AI449^2)</f>
        <v/>
      </c>
      <c r="AJ449">
        <f>IF(計分!AJ449="","",計分!AJ449^2)</f>
        <v/>
      </c>
      <c r="AK449">
        <f>IF(計分!AK449="","",計分!AK449^2)</f>
        <v/>
      </c>
      <c r="AL449">
        <f>IF(計分!AL449="","",計分!AL449^2)</f>
        <v/>
      </c>
      <c r="AM449">
        <f>IF(計分!AM449="","",計分!AM449^2)</f>
        <v/>
      </c>
      <c r="AN449">
        <f>IF(計分!AN449="","",計分!AN449^2)</f>
        <v/>
      </c>
      <c r="AO449">
        <f>IF(計分!AO449="","",計分!AO449^2)</f>
        <v/>
      </c>
    </row>
    <row r="450">
      <c r="B450">
        <f>IF(計分!B450="","",計分!B450^2)</f>
        <v/>
      </c>
      <c r="C450">
        <f>IF(計分!C450="","",計分!C450^2)</f>
        <v/>
      </c>
      <c r="D450">
        <f>IF(計分!D450="","",計分!D450^2)</f>
        <v/>
      </c>
      <c r="E450">
        <f>IF(計分!E450="","",計分!E450^2)</f>
        <v/>
      </c>
      <c r="F450">
        <f>IF(計分!F450="","",計分!F450^2)</f>
        <v/>
      </c>
      <c r="G450">
        <f>IF(計分!G450="","",計分!G450^2)</f>
        <v/>
      </c>
      <c r="H450">
        <f>IF(計分!H450="","",計分!H450^2)</f>
        <v/>
      </c>
      <c r="I450">
        <f>IF(計分!I450="","",計分!I450^2)</f>
        <v/>
      </c>
      <c r="J450">
        <f>IF(計分!J450="","",計分!J450^2)</f>
        <v/>
      </c>
      <c r="K450">
        <f>IF(計分!K450="","",計分!K450^2)</f>
        <v/>
      </c>
      <c r="L450">
        <f>IF(計分!L450="","",計分!L450^2)</f>
        <v/>
      </c>
      <c r="M450">
        <f>IF(計分!M450="","",計分!M450^2)</f>
        <v/>
      </c>
      <c r="N450">
        <f>IF(計分!N450="","",計分!N450^2)</f>
        <v/>
      </c>
      <c r="O450">
        <f>IF(計分!O450="","",計分!O450^2)</f>
        <v/>
      </c>
      <c r="P450">
        <f>IF(計分!P450="","",計分!P450^2)</f>
        <v/>
      </c>
      <c r="Q450">
        <f>IF(計分!Q450="","",計分!Q450^2)</f>
        <v/>
      </c>
      <c r="R450">
        <f>IF(計分!R450="","",計分!R450^2)</f>
        <v/>
      </c>
      <c r="S450">
        <f>IF(計分!S450="","",計分!S450^2)</f>
        <v/>
      </c>
      <c r="T450">
        <f>IF(計分!T450="","",計分!T450^2)</f>
        <v/>
      </c>
      <c r="U450">
        <f>IF(計分!U450="","",計分!U450^2)</f>
        <v/>
      </c>
      <c r="V450">
        <f>IF(計分!V450="","",計分!V450^2)</f>
        <v/>
      </c>
      <c r="W450">
        <f>IF(計分!W450="","",計分!W450^2)</f>
        <v/>
      </c>
      <c r="X450">
        <f>IF(計分!X450="","",計分!X450^2)</f>
        <v/>
      </c>
      <c r="Y450">
        <f>IF(計分!Y450="","",計分!Y450^2)</f>
        <v/>
      </c>
      <c r="Z450">
        <f>IF(計分!Z450="","",計分!Z450^2)</f>
        <v/>
      </c>
      <c r="AA450">
        <f>IF(計分!AA450="","",計分!AA450^2)</f>
        <v/>
      </c>
      <c r="AB450">
        <f>IF(計分!AB450="","",計分!AB450^2)</f>
        <v/>
      </c>
      <c r="AC450">
        <f>IF(計分!AC450="","",計分!AC450^2)</f>
        <v/>
      </c>
      <c r="AD450">
        <f>IF(計分!AD450="","",計分!AD450^2)</f>
        <v/>
      </c>
      <c r="AE450">
        <f>IF(計分!AE450="","",計分!AE450^2)</f>
        <v/>
      </c>
      <c r="AF450">
        <f>IF(計分!AF450="","",計分!AF450^2)</f>
        <v/>
      </c>
      <c r="AG450">
        <f>IF(計分!AG450="","",計分!AG450^2)</f>
        <v/>
      </c>
      <c r="AH450">
        <f>IF(計分!AH450="","",計分!AH450^2)</f>
        <v/>
      </c>
      <c r="AI450">
        <f>IF(計分!AI450="","",計分!AI450^2)</f>
        <v/>
      </c>
      <c r="AJ450">
        <f>IF(計分!AJ450="","",計分!AJ450^2)</f>
        <v/>
      </c>
      <c r="AK450">
        <f>IF(計分!AK450="","",計分!AK450^2)</f>
        <v/>
      </c>
      <c r="AL450">
        <f>IF(計分!AL450="","",計分!AL450^2)</f>
        <v/>
      </c>
      <c r="AM450">
        <f>IF(計分!AM450="","",計分!AM450^2)</f>
        <v/>
      </c>
      <c r="AN450">
        <f>IF(計分!AN450="","",計分!AN450^2)</f>
        <v/>
      </c>
      <c r="AO450">
        <f>IF(計分!AO450="","",計分!AO450^2)</f>
        <v/>
      </c>
    </row>
    <row r="451">
      <c r="B451">
        <f>IF(計分!B451="","",計分!B451^2)</f>
        <v/>
      </c>
      <c r="C451">
        <f>IF(計分!C451="","",計分!C451^2)</f>
        <v/>
      </c>
      <c r="D451">
        <f>IF(計分!D451="","",計分!D451^2)</f>
        <v/>
      </c>
      <c r="E451">
        <f>IF(計分!E451="","",計分!E451^2)</f>
        <v/>
      </c>
      <c r="F451">
        <f>IF(計分!F451="","",計分!F451^2)</f>
        <v/>
      </c>
      <c r="G451">
        <f>IF(計分!G451="","",計分!G451^2)</f>
        <v/>
      </c>
      <c r="H451">
        <f>IF(計分!H451="","",計分!H451^2)</f>
        <v/>
      </c>
      <c r="I451">
        <f>IF(計分!I451="","",計分!I451^2)</f>
        <v/>
      </c>
      <c r="J451">
        <f>IF(計分!J451="","",計分!J451^2)</f>
        <v/>
      </c>
      <c r="K451">
        <f>IF(計分!K451="","",計分!K451^2)</f>
        <v/>
      </c>
      <c r="L451">
        <f>IF(計分!L451="","",計分!L451^2)</f>
        <v/>
      </c>
      <c r="M451">
        <f>IF(計分!M451="","",計分!M451^2)</f>
        <v/>
      </c>
      <c r="N451">
        <f>IF(計分!N451="","",計分!N451^2)</f>
        <v/>
      </c>
      <c r="O451">
        <f>IF(計分!O451="","",計分!O451^2)</f>
        <v/>
      </c>
      <c r="P451">
        <f>IF(計分!P451="","",計分!P451^2)</f>
        <v/>
      </c>
      <c r="Q451">
        <f>IF(計分!Q451="","",計分!Q451^2)</f>
        <v/>
      </c>
      <c r="R451">
        <f>IF(計分!R451="","",計分!R451^2)</f>
        <v/>
      </c>
      <c r="S451">
        <f>IF(計分!S451="","",計分!S451^2)</f>
        <v/>
      </c>
      <c r="T451">
        <f>IF(計分!T451="","",計分!T451^2)</f>
        <v/>
      </c>
      <c r="U451">
        <f>IF(計分!U451="","",計分!U451^2)</f>
        <v/>
      </c>
      <c r="V451">
        <f>IF(計分!V451="","",計分!V451^2)</f>
        <v/>
      </c>
      <c r="W451">
        <f>IF(計分!W451="","",計分!W451^2)</f>
        <v/>
      </c>
      <c r="X451">
        <f>IF(計分!X451="","",計分!X451^2)</f>
        <v/>
      </c>
      <c r="Y451">
        <f>IF(計分!Y451="","",計分!Y451^2)</f>
        <v/>
      </c>
      <c r="Z451">
        <f>IF(計分!Z451="","",計分!Z451^2)</f>
        <v/>
      </c>
      <c r="AA451">
        <f>IF(計分!AA451="","",計分!AA451^2)</f>
        <v/>
      </c>
      <c r="AB451">
        <f>IF(計分!AB451="","",計分!AB451^2)</f>
        <v/>
      </c>
      <c r="AC451">
        <f>IF(計分!AC451="","",計分!AC451^2)</f>
        <v/>
      </c>
      <c r="AD451">
        <f>IF(計分!AD451="","",計分!AD451^2)</f>
        <v/>
      </c>
      <c r="AE451">
        <f>IF(計分!AE451="","",計分!AE451^2)</f>
        <v/>
      </c>
      <c r="AF451">
        <f>IF(計分!AF451="","",計分!AF451^2)</f>
        <v/>
      </c>
      <c r="AG451">
        <f>IF(計分!AG451="","",計分!AG451^2)</f>
        <v/>
      </c>
      <c r="AH451">
        <f>IF(計分!AH451="","",計分!AH451^2)</f>
        <v/>
      </c>
      <c r="AI451">
        <f>IF(計分!AI451="","",計分!AI451^2)</f>
        <v/>
      </c>
      <c r="AJ451">
        <f>IF(計分!AJ451="","",計分!AJ451^2)</f>
        <v/>
      </c>
      <c r="AK451">
        <f>IF(計分!AK451="","",計分!AK451^2)</f>
        <v/>
      </c>
      <c r="AL451">
        <f>IF(計分!AL451="","",計分!AL451^2)</f>
        <v/>
      </c>
      <c r="AM451">
        <f>IF(計分!AM451="","",計分!AM451^2)</f>
        <v/>
      </c>
      <c r="AN451">
        <f>IF(計分!AN451="","",計分!AN451^2)</f>
        <v/>
      </c>
      <c r="AO451">
        <f>IF(計分!AO451="","",計分!AO451^2)</f>
        <v/>
      </c>
    </row>
    <row r="452">
      <c r="B452">
        <f>IF(計分!B452="","",計分!B452^2)</f>
        <v/>
      </c>
      <c r="C452">
        <f>IF(計分!C452="","",計分!C452^2)</f>
        <v/>
      </c>
      <c r="D452">
        <f>IF(計分!D452="","",計分!D452^2)</f>
        <v/>
      </c>
      <c r="E452">
        <f>IF(計分!E452="","",計分!E452^2)</f>
        <v/>
      </c>
      <c r="F452">
        <f>IF(計分!F452="","",計分!F452^2)</f>
        <v/>
      </c>
      <c r="G452">
        <f>IF(計分!G452="","",計分!G452^2)</f>
        <v/>
      </c>
      <c r="H452">
        <f>IF(計分!H452="","",計分!H452^2)</f>
        <v/>
      </c>
      <c r="I452">
        <f>IF(計分!I452="","",計分!I452^2)</f>
        <v/>
      </c>
      <c r="J452">
        <f>IF(計分!J452="","",計分!J452^2)</f>
        <v/>
      </c>
      <c r="K452">
        <f>IF(計分!K452="","",計分!K452^2)</f>
        <v/>
      </c>
      <c r="L452">
        <f>IF(計分!L452="","",計分!L452^2)</f>
        <v/>
      </c>
      <c r="M452">
        <f>IF(計分!M452="","",計分!M452^2)</f>
        <v/>
      </c>
      <c r="N452">
        <f>IF(計分!N452="","",計分!N452^2)</f>
        <v/>
      </c>
      <c r="O452">
        <f>IF(計分!O452="","",計分!O452^2)</f>
        <v/>
      </c>
      <c r="P452">
        <f>IF(計分!P452="","",計分!P452^2)</f>
        <v/>
      </c>
      <c r="Q452">
        <f>IF(計分!Q452="","",計分!Q452^2)</f>
        <v/>
      </c>
      <c r="R452">
        <f>IF(計分!R452="","",計分!R452^2)</f>
        <v/>
      </c>
      <c r="S452">
        <f>IF(計分!S452="","",計分!S452^2)</f>
        <v/>
      </c>
      <c r="T452">
        <f>IF(計分!T452="","",計分!T452^2)</f>
        <v/>
      </c>
      <c r="U452">
        <f>IF(計分!U452="","",計分!U452^2)</f>
        <v/>
      </c>
      <c r="V452">
        <f>IF(計分!V452="","",計分!V452^2)</f>
        <v/>
      </c>
      <c r="W452">
        <f>IF(計分!W452="","",計分!W452^2)</f>
        <v/>
      </c>
      <c r="X452">
        <f>IF(計分!X452="","",計分!X452^2)</f>
        <v/>
      </c>
      <c r="Y452">
        <f>IF(計分!Y452="","",計分!Y452^2)</f>
        <v/>
      </c>
      <c r="Z452">
        <f>IF(計分!Z452="","",計分!Z452^2)</f>
        <v/>
      </c>
      <c r="AA452">
        <f>IF(計分!AA452="","",計分!AA452^2)</f>
        <v/>
      </c>
      <c r="AB452">
        <f>IF(計分!AB452="","",計分!AB452^2)</f>
        <v/>
      </c>
      <c r="AC452">
        <f>IF(計分!AC452="","",計分!AC452^2)</f>
        <v/>
      </c>
      <c r="AD452">
        <f>IF(計分!AD452="","",計分!AD452^2)</f>
        <v/>
      </c>
      <c r="AE452">
        <f>IF(計分!AE452="","",計分!AE452^2)</f>
        <v/>
      </c>
      <c r="AF452">
        <f>IF(計分!AF452="","",計分!AF452^2)</f>
        <v/>
      </c>
      <c r="AG452">
        <f>IF(計分!AG452="","",計分!AG452^2)</f>
        <v/>
      </c>
      <c r="AH452">
        <f>IF(計分!AH452="","",計分!AH452^2)</f>
        <v/>
      </c>
      <c r="AI452">
        <f>IF(計分!AI452="","",計分!AI452^2)</f>
        <v/>
      </c>
      <c r="AJ452">
        <f>IF(計分!AJ452="","",計分!AJ452^2)</f>
        <v/>
      </c>
      <c r="AK452">
        <f>IF(計分!AK452="","",計分!AK452^2)</f>
        <v/>
      </c>
      <c r="AL452">
        <f>IF(計分!AL452="","",計分!AL452^2)</f>
        <v/>
      </c>
      <c r="AM452">
        <f>IF(計分!AM452="","",計分!AM452^2)</f>
        <v/>
      </c>
      <c r="AN452">
        <f>IF(計分!AN452="","",計分!AN452^2)</f>
        <v/>
      </c>
      <c r="AO452">
        <f>IF(計分!AO452="","",計分!AO452^2)</f>
        <v/>
      </c>
    </row>
    <row r="453">
      <c r="B453">
        <f>IF(計分!B453="","",計分!B453^2)</f>
        <v/>
      </c>
      <c r="C453">
        <f>IF(計分!C453="","",計分!C453^2)</f>
        <v/>
      </c>
      <c r="D453">
        <f>IF(計分!D453="","",計分!D453^2)</f>
        <v/>
      </c>
      <c r="E453">
        <f>IF(計分!E453="","",計分!E453^2)</f>
        <v/>
      </c>
      <c r="F453">
        <f>IF(計分!F453="","",計分!F453^2)</f>
        <v/>
      </c>
      <c r="G453">
        <f>IF(計分!G453="","",計分!G453^2)</f>
        <v/>
      </c>
      <c r="H453">
        <f>IF(計分!H453="","",計分!H453^2)</f>
        <v/>
      </c>
      <c r="I453">
        <f>IF(計分!I453="","",計分!I453^2)</f>
        <v/>
      </c>
      <c r="J453">
        <f>IF(計分!J453="","",計分!J453^2)</f>
        <v/>
      </c>
      <c r="K453">
        <f>IF(計分!K453="","",計分!K453^2)</f>
        <v/>
      </c>
      <c r="L453">
        <f>IF(計分!L453="","",計分!L453^2)</f>
        <v/>
      </c>
      <c r="M453">
        <f>IF(計分!M453="","",計分!M453^2)</f>
        <v/>
      </c>
      <c r="N453">
        <f>IF(計分!N453="","",計分!N453^2)</f>
        <v/>
      </c>
      <c r="O453">
        <f>IF(計分!O453="","",計分!O453^2)</f>
        <v/>
      </c>
      <c r="P453">
        <f>IF(計分!P453="","",計分!P453^2)</f>
        <v/>
      </c>
      <c r="Q453">
        <f>IF(計分!Q453="","",計分!Q453^2)</f>
        <v/>
      </c>
      <c r="R453">
        <f>IF(計分!R453="","",計分!R453^2)</f>
        <v/>
      </c>
      <c r="S453">
        <f>IF(計分!S453="","",計分!S453^2)</f>
        <v/>
      </c>
      <c r="T453">
        <f>IF(計分!T453="","",計分!T453^2)</f>
        <v/>
      </c>
      <c r="U453">
        <f>IF(計分!U453="","",計分!U453^2)</f>
        <v/>
      </c>
      <c r="V453">
        <f>IF(計分!V453="","",計分!V453^2)</f>
        <v/>
      </c>
      <c r="W453">
        <f>IF(計分!W453="","",計分!W453^2)</f>
        <v/>
      </c>
      <c r="X453">
        <f>IF(計分!X453="","",計分!X453^2)</f>
        <v/>
      </c>
      <c r="Y453">
        <f>IF(計分!Y453="","",計分!Y453^2)</f>
        <v/>
      </c>
      <c r="Z453">
        <f>IF(計分!Z453="","",計分!Z453^2)</f>
        <v/>
      </c>
      <c r="AA453">
        <f>IF(計分!AA453="","",計分!AA453^2)</f>
        <v/>
      </c>
      <c r="AB453">
        <f>IF(計分!AB453="","",計分!AB453^2)</f>
        <v/>
      </c>
      <c r="AC453">
        <f>IF(計分!AC453="","",計分!AC453^2)</f>
        <v/>
      </c>
      <c r="AD453">
        <f>IF(計分!AD453="","",計分!AD453^2)</f>
        <v/>
      </c>
      <c r="AE453">
        <f>IF(計分!AE453="","",計分!AE453^2)</f>
        <v/>
      </c>
      <c r="AF453">
        <f>IF(計分!AF453="","",計分!AF453^2)</f>
        <v/>
      </c>
      <c r="AG453">
        <f>IF(計分!AG453="","",計分!AG453^2)</f>
        <v/>
      </c>
      <c r="AH453">
        <f>IF(計分!AH453="","",計分!AH453^2)</f>
        <v/>
      </c>
      <c r="AI453">
        <f>IF(計分!AI453="","",計分!AI453^2)</f>
        <v/>
      </c>
      <c r="AJ453">
        <f>IF(計分!AJ453="","",計分!AJ453^2)</f>
        <v/>
      </c>
      <c r="AK453">
        <f>IF(計分!AK453="","",計分!AK453^2)</f>
        <v/>
      </c>
      <c r="AL453">
        <f>IF(計分!AL453="","",計分!AL453^2)</f>
        <v/>
      </c>
      <c r="AM453">
        <f>IF(計分!AM453="","",計分!AM453^2)</f>
        <v/>
      </c>
      <c r="AN453">
        <f>IF(計分!AN453="","",計分!AN453^2)</f>
        <v/>
      </c>
      <c r="AO453">
        <f>IF(計分!AO453="","",計分!AO453^2)</f>
        <v/>
      </c>
    </row>
    <row r="454">
      <c r="B454">
        <f>IF(計分!B454="","",計分!B454^2)</f>
        <v/>
      </c>
      <c r="C454">
        <f>IF(計分!C454="","",計分!C454^2)</f>
        <v/>
      </c>
      <c r="D454">
        <f>IF(計分!D454="","",計分!D454^2)</f>
        <v/>
      </c>
      <c r="E454">
        <f>IF(計分!E454="","",計分!E454^2)</f>
        <v/>
      </c>
      <c r="F454">
        <f>IF(計分!F454="","",計分!F454^2)</f>
        <v/>
      </c>
      <c r="G454">
        <f>IF(計分!G454="","",計分!G454^2)</f>
        <v/>
      </c>
      <c r="H454">
        <f>IF(計分!H454="","",計分!H454^2)</f>
        <v/>
      </c>
      <c r="I454">
        <f>IF(計分!I454="","",計分!I454^2)</f>
        <v/>
      </c>
      <c r="J454">
        <f>IF(計分!J454="","",計分!J454^2)</f>
        <v/>
      </c>
      <c r="K454">
        <f>IF(計分!K454="","",計分!K454^2)</f>
        <v/>
      </c>
      <c r="L454">
        <f>IF(計分!L454="","",計分!L454^2)</f>
        <v/>
      </c>
      <c r="M454">
        <f>IF(計分!M454="","",計分!M454^2)</f>
        <v/>
      </c>
      <c r="N454">
        <f>IF(計分!N454="","",計分!N454^2)</f>
        <v/>
      </c>
      <c r="O454">
        <f>IF(計分!O454="","",計分!O454^2)</f>
        <v/>
      </c>
      <c r="P454">
        <f>IF(計分!P454="","",計分!P454^2)</f>
        <v/>
      </c>
      <c r="Q454">
        <f>IF(計分!Q454="","",計分!Q454^2)</f>
        <v/>
      </c>
      <c r="R454">
        <f>IF(計分!R454="","",計分!R454^2)</f>
        <v/>
      </c>
      <c r="S454">
        <f>IF(計分!S454="","",計分!S454^2)</f>
        <v/>
      </c>
      <c r="T454">
        <f>IF(計分!T454="","",計分!T454^2)</f>
        <v/>
      </c>
      <c r="U454">
        <f>IF(計分!U454="","",計分!U454^2)</f>
        <v/>
      </c>
      <c r="V454">
        <f>IF(計分!V454="","",計分!V454^2)</f>
        <v/>
      </c>
      <c r="W454">
        <f>IF(計分!W454="","",計分!W454^2)</f>
        <v/>
      </c>
      <c r="X454">
        <f>IF(計分!X454="","",計分!X454^2)</f>
        <v/>
      </c>
      <c r="Y454">
        <f>IF(計分!Y454="","",計分!Y454^2)</f>
        <v/>
      </c>
      <c r="Z454">
        <f>IF(計分!Z454="","",計分!Z454^2)</f>
        <v/>
      </c>
      <c r="AA454">
        <f>IF(計分!AA454="","",計分!AA454^2)</f>
        <v/>
      </c>
      <c r="AB454">
        <f>IF(計分!AB454="","",計分!AB454^2)</f>
        <v/>
      </c>
      <c r="AC454">
        <f>IF(計分!AC454="","",計分!AC454^2)</f>
        <v/>
      </c>
      <c r="AD454">
        <f>IF(計分!AD454="","",計分!AD454^2)</f>
        <v/>
      </c>
      <c r="AE454">
        <f>IF(計分!AE454="","",計分!AE454^2)</f>
        <v/>
      </c>
      <c r="AF454">
        <f>IF(計分!AF454="","",計分!AF454^2)</f>
        <v/>
      </c>
      <c r="AG454">
        <f>IF(計分!AG454="","",計分!AG454^2)</f>
        <v/>
      </c>
      <c r="AH454">
        <f>IF(計分!AH454="","",計分!AH454^2)</f>
        <v/>
      </c>
      <c r="AI454">
        <f>IF(計分!AI454="","",計分!AI454^2)</f>
        <v/>
      </c>
      <c r="AJ454">
        <f>IF(計分!AJ454="","",計分!AJ454^2)</f>
        <v/>
      </c>
      <c r="AK454">
        <f>IF(計分!AK454="","",計分!AK454^2)</f>
        <v/>
      </c>
      <c r="AL454">
        <f>IF(計分!AL454="","",計分!AL454^2)</f>
        <v/>
      </c>
      <c r="AM454">
        <f>IF(計分!AM454="","",計分!AM454^2)</f>
        <v/>
      </c>
      <c r="AN454">
        <f>IF(計分!AN454="","",計分!AN454^2)</f>
        <v/>
      </c>
      <c r="AO454">
        <f>IF(計分!AO454="","",計分!AO454^2)</f>
        <v/>
      </c>
    </row>
    <row r="455">
      <c r="B455">
        <f>IF(計分!B455="","",計分!B455^2)</f>
        <v/>
      </c>
      <c r="C455">
        <f>IF(計分!C455="","",計分!C455^2)</f>
        <v/>
      </c>
      <c r="D455">
        <f>IF(計分!D455="","",計分!D455^2)</f>
        <v/>
      </c>
      <c r="E455">
        <f>IF(計分!E455="","",計分!E455^2)</f>
        <v/>
      </c>
      <c r="F455">
        <f>IF(計分!F455="","",計分!F455^2)</f>
        <v/>
      </c>
      <c r="G455">
        <f>IF(計分!G455="","",計分!G455^2)</f>
        <v/>
      </c>
      <c r="H455">
        <f>IF(計分!H455="","",計分!H455^2)</f>
        <v/>
      </c>
      <c r="I455">
        <f>IF(計分!I455="","",計分!I455^2)</f>
        <v/>
      </c>
      <c r="J455">
        <f>IF(計分!J455="","",計分!J455^2)</f>
        <v/>
      </c>
      <c r="K455">
        <f>IF(計分!K455="","",計分!K455^2)</f>
        <v/>
      </c>
      <c r="L455">
        <f>IF(計分!L455="","",計分!L455^2)</f>
        <v/>
      </c>
      <c r="M455">
        <f>IF(計分!M455="","",計分!M455^2)</f>
        <v/>
      </c>
      <c r="N455">
        <f>IF(計分!N455="","",計分!N455^2)</f>
        <v/>
      </c>
      <c r="O455">
        <f>IF(計分!O455="","",計分!O455^2)</f>
        <v/>
      </c>
      <c r="P455">
        <f>IF(計分!P455="","",計分!P455^2)</f>
        <v/>
      </c>
      <c r="Q455">
        <f>IF(計分!Q455="","",計分!Q455^2)</f>
        <v/>
      </c>
      <c r="R455">
        <f>IF(計分!R455="","",計分!R455^2)</f>
        <v/>
      </c>
      <c r="S455">
        <f>IF(計分!S455="","",計分!S455^2)</f>
        <v/>
      </c>
      <c r="T455">
        <f>IF(計分!T455="","",計分!T455^2)</f>
        <v/>
      </c>
      <c r="U455">
        <f>IF(計分!U455="","",計分!U455^2)</f>
        <v/>
      </c>
      <c r="V455">
        <f>IF(計分!V455="","",計分!V455^2)</f>
        <v/>
      </c>
      <c r="W455">
        <f>IF(計分!W455="","",計分!W455^2)</f>
        <v/>
      </c>
      <c r="X455">
        <f>IF(計分!X455="","",計分!X455^2)</f>
        <v/>
      </c>
      <c r="Y455">
        <f>IF(計分!Y455="","",計分!Y455^2)</f>
        <v/>
      </c>
      <c r="Z455">
        <f>IF(計分!Z455="","",計分!Z455^2)</f>
        <v/>
      </c>
      <c r="AA455">
        <f>IF(計分!AA455="","",計分!AA455^2)</f>
        <v/>
      </c>
      <c r="AB455">
        <f>IF(計分!AB455="","",計分!AB455^2)</f>
        <v/>
      </c>
      <c r="AC455">
        <f>IF(計分!AC455="","",計分!AC455^2)</f>
        <v/>
      </c>
      <c r="AD455">
        <f>IF(計分!AD455="","",計分!AD455^2)</f>
        <v/>
      </c>
      <c r="AE455">
        <f>IF(計分!AE455="","",計分!AE455^2)</f>
        <v/>
      </c>
      <c r="AF455">
        <f>IF(計分!AF455="","",計分!AF455^2)</f>
        <v/>
      </c>
      <c r="AG455">
        <f>IF(計分!AG455="","",計分!AG455^2)</f>
        <v/>
      </c>
      <c r="AH455">
        <f>IF(計分!AH455="","",計分!AH455^2)</f>
        <v/>
      </c>
      <c r="AI455">
        <f>IF(計分!AI455="","",計分!AI455^2)</f>
        <v/>
      </c>
      <c r="AJ455">
        <f>IF(計分!AJ455="","",計分!AJ455^2)</f>
        <v/>
      </c>
      <c r="AK455">
        <f>IF(計分!AK455="","",計分!AK455^2)</f>
        <v/>
      </c>
      <c r="AL455">
        <f>IF(計分!AL455="","",計分!AL455^2)</f>
        <v/>
      </c>
      <c r="AM455">
        <f>IF(計分!AM455="","",計分!AM455^2)</f>
        <v/>
      </c>
      <c r="AN455">
        <f>IF(計分!AN455="","",計分!AN455^2)</f>
        <v/>
      </c>
      <c r="AO455">
        <f>IF(計分!AO455="","",計分!AO455^2)</f>
        <v/>
      </c>
    </row>
    <row r="456">
      <c r="B456">
        <f>IF(計分!B456="","",計分!B456^2)</f>
        <v/>
      </c>
      <c r="C456">
        <f>IF(計分!C456="","",計分!C456^2)</f>
        <v/>
      </c>
      <c r="D456">
        <f>IF(計分!D456="","",計分!D456^2)</f>
        <v/>
      </c>
      <c r="E456">
        <f>IF(計分!E456="","",計分!E456^2)</f>
        <v/>
      </c>
      <c r="F456">
        <f>IF(計分!F456="","",計分!F456^2)</f>
        <v/>
      </c>
      <c r="G456">
        <f>IF(計分!G456="","",計分!G456^2)</f>
        <v/>
      </c>
      <c r="H456">
        <f>IF(計分!H456="","",計分!H456^2)</f>
        <v/>
      </c>
      <c r="I456">
        <f>IF(計分!I456="","",計分!I456^2)</f>
        <v/>
      </c>
      <c r="J456">
        <f>IF(計分!J456="","",計分!J456^2)</f>
        <v/>
      </c>
      <c r="K456">
        <f>IF(計分!K456="","",計分!K456^2)</f>
        <v/>
      </c>
      <c r="L456">
        <f>IF(計分!L456="","",計分!L456^2)</f>
        <v/>
      </c>
      <c r="M456">
        <f>IF(計分!M456="","",計分!M456^2)</f>
        <v/>
      </c>
      <c r="N456">
        <f>IF(計分!N456="","",計分!N456^2)</f>
        <v/>
      </c>
      <c r="O456">
        <f>IF(計分!O456="","",計分!O456^2)</f>
        <v/>
      </c>
      <c r="P456">
        <f>IF(計分!P456="","",計分!P456^2)</f>
        <v/>
      </c>
      <c r="Q456">
        <f>IF(計分!Q456="","",計分!Q456^2)</f>
        <v/>
      </c>
      <c r="R456">
        <f>IF(計分!R456="","",計分!R456^2)</f>
        <v/>
      </c>
      <c r="S456">
        <f>IF(計分!S456="","",計分!S456^2)</f>
        <v/>
      </c>
      <c r="T456">
        <f>IF(計分!T456="","",計分!T456^2)</f>
        <v/>
      </c>
      <c r="U456">
        <f>IF(計分!U456="","",計分!U456^2)</f>
        <v/>
      </c>
      <c r="V456">
        <f>IF(計分!V456="","",計分!V456^2)</f>
        <v/>
      </c>
      <c r="W456">
        <f>IF(計分!W456="","",計分!W456^2)</f>
        <v/>
      </c>
      <c r="X456">
        <f>IF(計分!X456="","",計分!X456^2)</f>
        <v/>
      </c>
      <c r="Y456">
        <f>IF(計分!Y456="","",計分!Y456^2)</f>
        <v/>
      </c>
      <c r="Z456">
        <f>IF(計分!Z456="","",計分!Z456^2)</f>
        <v/>
      </c>
      <c r="AA456">
        <f>IF(計分!AA456="","",計分!AA456^2)</f>
        <v/>
      </c>
      <c r="AB456">
        <f>IF(計分!AB456="","",計分!AB456^2)</f>
        <v/>
      </c>
      <c r="AC456">
        <f>IF(計分!AC456="","",計分!AC456^2)</f>
        <v/>
      </c>
      <c r="AD456">
        <f>IF(計分!AD456="","",計分!AD456^2)</f>
        <v/>
      </c>
      <c r="AE456">
        <f>IF(計分!AE456="","",計分!AE456^2)</f>
        <v/>
      </c>
      <c r="AF456">
        <f>IF(計分!AF456="","",計分!AF456^2)</f>
        <v/>
      </c>
      <c r="AG456">
        <f>IF(計分!AG456="","",計分!AG456^2)</f>
        <v/>
      </c>
      <c r="AH456">
        <f>IF(計分!AH456="","",計分!AH456^2)</f>
        <v/>
      </c>
      <c r="AI456">
        <f>IF(計分!AI456="","",計分!AI456^2)</f>
        <v/>
      </c>
      <c r="AJ456">
        <f>IF(計分!AJ456="","",計分!AJ456^2)</f>
        <v/>
      </c>
      <c r="AK456">
        <f>IF(計分!AK456="","",計分!AK456^2)</f>
        <v/>
      </c>
      <c r="AL456">
        <f>IF(計分!AL456="","",計分!AL456^2)</f>
        <v/>
      </c>
      <c r="AM456">
        <f>IF(計分!AM456="","",計分!AM456^2)</f>
        <v/>
      </c>
      <c r="AN456">
        <f>IF(計分!AN456="","",計分!AN456^2)</f>
        <v/>
      </c>
      <c r="AO456">
        <f>IF(計分!AO456="","",計分!AO456^2)</f>
        <v/>
      </c>
    </row>
    <row r="457">
      <c r="B457">
        <f>IF(計分!B457="","",計分!B457^2)</f>
        <v/>
      </c>
      <c r="C457">
        <f>IF(計分!C457="","",計分!C457^2)</f>
        <v/>
      </c>
      <c r="D457">
        <f>IF(計分!D457="","",計分!D457^2)</f>
        <v/>
      </c>
      <c r="E457">
        <f>IF(計分!E457="","",計分!E457^2)</f>
        <v/>
      </c>
      <c r="F457">
        <f>IF(計分!F457="","",計分!F457^2)</f>
        <v/>
      </c>
      <c r="G457">
        <f>IF(計分!G457="","",計分!G457^2)</f>
        <v/>
      </c>
      <c r="H457">
        <f>IF(計分!H457="","",計分!H457^2)</f>
        <v/>
      </c>
      <c r="I457">
        <f>IF(計分!I457="","",計分!I457^2)</f>
        <v/>
      </c>
      <c r="J457">
        <f>IF(計分!J457="","",計分!J457^2)</f>
        <v/>
      </c>
      <c r="K457">
        <f>IF(計分!K457="","",計分!K457^2)</f>
        <v/>
      </c>
      <c r="L457">
        <f>IF(計分!L457="","",計分!L457^2)</f>
        <v/>
      </c>
      <c r="M457">
        <f>IF(計分!M457="","",計分!M457^2)</f>
        <v/>
      </c>
      <c r="N457">
        <f>IF(計分!N457="","",計分!N457^2)</f>
        <v/>
      </c>
      <c r="O457">
        <f>IF(計分!O457="","",計分!O457^2)</f>
        <v/>
      </c>
      <c r="P457">
        <f>IF(計分!P457="","",計分!P457^2)</f>
        <v/>
      </c>
      <c r="Q457">
        <f>IF(計分!Q457="","",計分!Q457^2)</f>
        <v/>
      </c>
      <c r="R457">
        <f>IF(計分!R457="","",計分!R457^2)</f>
        <v/>
      </c>
      <c r="S457">
        <f>IF(計分!S457="","",計分!S457^2)</f>
        <v/>
      </c>
      <c r="T457">
        <f>IF(計分!T457="","",計分!T457^2)</f>
        <v/>
      </c>
      <c r="U457">
        <f>IF(計分!U457="","",計分!U457^2)</f>
        <v/>
      </c>
      <c r="V457">
        <f>IF(計分!V457="","",計分!V457^2)</f>
        <v/>
      </c>
      <c r="W457">
        <f>IF(計分!W457="","",計分!W457^2)</f>
        <v/>
      </c>
      <c r="X457">
        <f>IF(計分!X457="","",計分!X457^2)</f>
        <v/>
      </c>
      <c r="Y457">
        <f>IF(計分!Y457="","",計分!Y457^2)</f>
        <v/>
      </c>
      <c r="Z457">
        <f>IF(計分!Z457="","",計分!Z457^2)</f>
        <v/>
      </c>
      <c r="AA457">
        <f>IF(計分!AA457="","",計分!AA457^2)</f>
        <v/>
      </c>
      <c r="AB457">
        <f>IF(計分!AB457="","",計分!AB457^2)</f>
        <v/>
      </c>
      <c r="AC457">
        <f>IF(計分!AC457="","",計分!AC457^2)</f>
        <v/>
      </c>
      <c r="AD457">
        <f>IF(計分!AD457="","",計分!AD457^2)</f>
        <v/>
      </c>
      <c r="AE457">
        <f>IF(計分!AE457="","",計分!AE457^2)</f>
        <v/>
      </c>
      <c r="AF457">
        <f>IF(計分!AF457="","",計分!AF457^2)</f>
        <v/>
      </c>
      <c r="AG457">
        <f>IF(計分!AG457="","",計分!AG457^2)</f>
        <v/>
      </c>
      <c r="AH457">
        <f>IF(計分!AH457="","",計分!AH457^2)</f>
        <v/>
      </c>
      <c r="AI457">
        <f>IF(計分!AI457="","",計分!AI457^2)</f>
        <v/>
      </c>
      <c r="AJ457">
        <f>IF(計分!AJ457="","",計分!AJ457^2)</f>
        <v/>
      </c>
      <c r="AK457">
        <f>IF(計分!AK457="","",計分!AK457^2)</f>
        <v/>
      </c>
      <c r="AL457">
        <f>IF(計分!AL457="","",計分!AL457^2)</f>
        <v/>
      </c>
      <c r="AM457">
        <f>IF(計分!AM457="","",計分!AM457^2)</f>
        <v/>
      </c>
      <c r="AN457">
        <f>IF(計分!AN457="","",計分!AN457^2)</f>
        <v/>
      </c>
      <c r="AO457">
        <f>IF(計分!AO457="","",計分!AO457^2)</f>
        <v/>
      </c>
    </row>
    <row r="458">
      <c r="B458">
        <f>IF(計分!B458="","",計分!B458^2)</f>
        <v/>
      </c>
      <c r="C458">
        <f>IF(計分!C458="","",計分!C458^2)</f>
        <v/>
      </c>
      <c r="D458">
        <f>IF(計分!D458="","",計分!D458^2)</f>
        <v/>
      </c>
      <c r="E458">
        <f>IF(計分!E458="","",計分!E458^2)</f>
        <v/>
      </c>
      <c r="F458">
        <f>IF(計分!F458="","",計分!F458^2)</f>
        <v/>
      </c>
      <c r="G458">
        <f>IF(計分!G458="","",計分!G458^2)</f>
        <v/>
      </c>
      <c r="H458">
        <f>IF(計分!H458="","",計分!H458^2)</f>
        <v/>
      </c>
      <c r="I458">
        <f>IF(計分!I458="","",計分!I458^2)</f>
        <v/>
      </c>
      <c r="J458">
        <f>IF(計分!J458="","",計分!J458^2)</f>
        <v/>
      </c>
      <c r="K458">
        <f>IF(計分!K458="","",計分!K458^2)</f>
        <v/>
      </c>
      <c r="L458">
        <f>IF(計分!L458="","",計分!L458^2)</f>
        <v/>
      </c>
      <c r="M458">
        <f>IF(計分!M458="","",計分!M458^2)</f>
        <v/>
      </c>
      <c r="N458">
        <f>IF(計分!N458="","",計分!N458^2)</f>
        <v/>
      </c>
      <c r="O458">
        <f>IF(計分!O458="","",計分!O458^2)</f>
        <v/>
      </c>
      <c r="P458">
        <f>IF(計分!P458="","",計分!P458^2)</f>
        <v/>
      </c>
      <c r="Q458">
        <f>IF(計分!Q458="","",計分!Q458^2)</f>
        <v/>
      </c>
      <c r="R458">
        <f>IF(計分!R458="","",計分!R458^2)</f>
        <v/>
      </c>
      <c r="S458">
        <f>IF(計分!S458="","",計分!S458^2)</f>
        <v/>
      </c>
      <c r="T458">
        <f>IF(計分!T458="","",計分!T458^2)</f>
        <v/>
      </c>
      <c r="U458">
        <f>IF(計分!U458="","",計分!U458^2)</f>
        <v/>
      </c>
      <c r="V458">
        <f>IF(計分!V458="","",計分!V458^2)</f>
        <v/>
      </c>
      <c r="W458">
        <f>IF(計分!W458="","",計分!W458^2)</f>
        <v/>
      </c>
      <c r="X458">
        <f>IF(計分!X458="","",計分!X458^2)</f>
        <v/>
      </c>
      <c r="Y458">
        <f>IF(計分!Y458="","",計分!Y458^2)</f>
        <v/>
      </c>
      <c r="Z458">
        <f>IF(計分!Z458="","",計分!Z458^2)</f>
        <v/>
      </c>
      <c r="AA458">
        <f>IF(計分!AA458="","",計分!AA458^2)</f>
        <v/>
      </c>
      <c r="AB458">
        <f>IF(計分!AB458="","",計分!AB458^2)</f>
        <v/>
      </c>
      <c r="AC458">
        <f>IF(計分!AC458="","",計分!AC458^2)</f>
        <v/>
      </c>
      <c r="AD458">
        <f>IF(計分!AD458="","",計分!AD458^2)</f>
        <v/>
      </c>
      <c r="AE458">
        <f>IF(計分!AE458="","",計分!AE458^2)</f>
        <v/>
      </c>
      <c r="AF458">
        <f>IF(計分!AF458="","",計分!AF458^2)</f>
        <v/>
      </c>
      <c r="AG458">
        <f>IF(計分!AG458="","",計分!AG458^2)</f>
        <v/>
      </c>
      <c r="AH458">
        <f>IF(計分!AH458="","",計分!AH458^2)</f>
        <v/>
      </c>
      <c r="AI458">
        <f>IF(計分!AI458="","",計分!AI458^2)</f>
        <v/>
      </c>
      <c r="AJ458">
        <f>IF(計分!AJ458="","",計分!AJ458^2)</f>
        <v/>
      </c>
      <c r="AK458">
        <f>IF(計分!AK458="","",計分!AK458^2)</f>
        <v/>
      </c>
      <c r="AL458">
        <f>IF(計分!AL458="","",計分!AL458^2)</f>
        <v/>
      </c>
      <c r="AM458">
        <f>IF(計分!AM458="","",計分!AM458^2)</f>
        <v/>
      </c>
      <c r="AN458">
        <f>IF(計分!AN458="","",計分!AN458^2)</f>
        <v/>
      </c>
      <c r="AO458">
        <f>IF(計分!AO458="","",計分!AO458^2)</f>
        <v/>
      </c>
    </row>
    <row r="459">
      <c r="B459">
        <f>IF(計分!B459="","",計分!B459^2)</f>
        <v/>
      </c>
      <c r="C459">
        <f>IF(計分!C459="","",計分!C459^2)</f>
        <v/>
      </c>
      <c r="D459">
        <f>IF(計分!D459="","",計分!D459^2)</f>
        <v/>
      </c>
      <c r="E459">
        <f>IF(計分!E459="","",計分!E459^2)</f>
        <v/>
      </c>
      <c r="F459">
        <f>IF(計分!F459="","",計分!F459^2)</f>
        <v/>
      </c>
      <c r="G459">
        <f>IF(計分!G459="","",計分!G459^2)</f>
        <v/>
      </c>
      <c r="H459">
        <f>IF(計分!H459="","",計分!H459^2)</f>
        <v/>
      </c>
      <c r="I459">
        <f>IF(計分!I459="","",計分!I459^2)</f>
        <v/>
      </c>
      <c r="J459">
        <f>IF(計分!J459="","",計分!J459^2)</f>
        <v/>
      </c>
      <c r="K459">
        <f>IF(計分!K459="","",計分!K459^2)</f>
        <v/>
      </c>
      <c r="L459">
        <f>IF(計分!L459="","",計分!L459^2)</f>
        <v/>
      </c>
      <c r="M459">
        <f>IF(計分!M459="","",計分!M459^2)</f>
        <v/>
      </c>
      <c r="N459">
        <f>IF(計分!N459="","",計分!N459^2)</f>
        <v/>
      </c>
      <c r="O459">
        <f>IF(計分!O459="","",計分!O459^2)</f>
        <v/>
      </c>
      <c r="P459">
        <f>IF(計分!P459="","",計分!P459^2)</f>
        <v/>
      </c>
      <c r="Q459">
        <f>IF(計分!Q459="","",計分!Q459^2)</f>
        <v/>
      </c>
      <c r="R459">
        <f>IF(計分!R459="","",計分!R459^2)</f>
        <v/>
      </c>
      <c r="S459">
        <f>IF(計分!S459="","",計分!S459^2)</f>
        <v/>
      </c>
      <c r="T459">
        <f>IF(計分!T459="","",計分!T459^2)</f>
        <v/>
      </c>
      <c r="U459">
        <f>IF(計分!U459="","",計分!U459^2)</f>
        <v/>
      </c>
      <c r="V459">
        <f>IF(計分!V459="","",計分!V459^2)</f>
        <v/>
      </c>
      <c r="W459">
        <f>IF(計分!W459="","",計分!W459^2)</f>
        <v/>
      </c>
      <c r="X459">
        <f>IF(計分!X459="","",計分!X459^2)</f>
        <v/>
      </c>
      <c r="Y459">
        <f>IF(計分!Y459="","",計分!Y459^2)</f>
        <v/>
      </c>
      <c r="Z459">
        <f>IF(計分!Z459="","",計分!Z459^2)</f>
        <v/>
      </c>
      <c r="AA459">
        <f>IF(計分!AA459="","",計分!AA459^2)</f>
        <v/>
      </c>
      <c r="AB459">
        <f>IF(計分!AB459="","",計分!AB459^2)</f>
        <v/>
      </c>
      <c r="AC459">
        <f>IF(計分!AC459="","",計分!AC459^2)</f>
        <v/>
      </c>
      <c r="AD459">
        <f>IF(計分!AD459="","",計分!AD459^2)</f>
        <v/>
      </c>
      <c r="AE459">
        <f>IF(計分!AE459="","",計分!AE459^2)</f>
        <v/>
      </c>
      <c r="AF459">
        <f>IF(計分!AF459="","",計分!AF459^2)</f>
        <v/>
      </c>
      <c r="AG459">
        <f>IF(計分!AG459="","",計分!AG459^2)</f>
        <v/>
      </c>
      <c r="AH459">
        <f>IF(計分!AH459="","",計分!AH459^2)</f>
        <v/>
      </c>
      <c r="AI459">
        <f>IF(計分!AI459="","",計分!AI459^2)</f>
        <v/>
      </c>
      <c r="AJ459">
        <f>IF(計分!AJ459="","",計分!AJ459^2)</f>
        <v/>
      </c>
      <c r="AK459">
        <f>IF(計分!AK459="","",計分!AK459^2)</f>
        <v/>
      </c>
      <c r="AL459">
        <f>IF(計分!AL459="","",計分!AL459^2)</f>
        <v/>
      </c>
      <c r="AM459">
        <f>IF(計分!AM459="","",計分!AM459^2)</f>
        <v/>
      </c>
      <c r="AN459">
        <f>IF(計分!AN459="","",計分!AN459^2)</f>
        <v/>
      </c>
      <c r="AO459">
        <f>IF(計分!AO459="","",計分!AO459^2)</f>
        <v/>
      </c>
    </row>
    <row r="460">
      <c r="B460">
        <f>IF(計分!B460="","",計分!B460^2)</f>
        <v/>
      </c>
      <c r="C460">
        <f>IF(計分!C460="","",計分!C460^2)</f>
        <v/>
      </c>
      <c r="D460">
        <f>IF(計分!D460="","",計分!D460^2)</f>
        <v/>
      </c>
      <c r="E460">
        <f>IF(計分!E460="","",計分!E460^2)</f>
        <v/>
      </c>
      <c r="F460">
        <f>IF(計分!F460="","",計分!F460^2)</f>
        <v/>
      </c>
      <c r="G460">
        <f>IF(計分!G460="","",計分!G460^2)</f>
        <v/>
      </c>
      <c r="H460">
        <f>IF(計分!H460="","",計分!H460^2)</f>
        <v/>
      </c>
      <c r="I460">
        <f>IF(計分!I460="","",計分!I460^2)</f>
        <v/>
      </c>
      <c r="J460">
        <f>IF(計分!J460="","",計分!J460^2)</f>
        <v/>
      </c>
      <c r="K460">
        <f>IF(計分!K460="","",計分!K460^2)</f>
        <v/>
      </c>
      <c r="L460">
        <f>IF(計分!L460="","",計分!L460^2)</f>
        <v/>
      </c>
      <c r="M460">
        <f>IF(計分!M460="","",計分!M460^2)</f>
        <v/>
      </c>
      <c r="N460">
        <f>IF(計分!N460="","",計分!N460^2)</f>
        <v/>
      </c>
      <c r="O460">
        <f>IF(計分!O460="","",計分!O460^2)</f>
        <v/>
      </c>
      <c r="P460">
        <f>IF(計分!P460="","",計分!P460^2)</f>
        <v/>
      </c>
      <c r="Q460">
        <f>IF(計分!Q460="","",計分!Q460^2)</f>
        <v/>
      </c>
      <c r="R460">
        <f>IF(計分!R460="","",計分!R460^2)</f>
        <v/>
      </c>
      <c r="S460">
        <f>IF(計分!S460="","",計分!S460^2)</f>
        <v/>
      </c>
      <c r="T460">
        <f>IF(計分!T460="","",計分!T460^2)</f>
        <v/>
      </c>
      <c r="U460">
        <f>IF(計分!U460="","",計分!U460^2)</f>
        <v/>
      </c>
      <c r="V460">
        <f>IF(計分!V460="","",計分!V460^2)</f>
        <v/>
      </c>
      <c r="W460">
        <f>IF(計分!W460="","",計分!W460^2)</f>
        <v/>
      </c>
      <c r="X460">
        <f>IF(計分!X460="","",計分!X460^2)</f>
        <v/>
      </c>
      <c r="Y460">
        <f>IF(計分!Y460="","",計分!Y460^2)</f>
        <v/>
      </c>
      <c r="Z460">
        <f>IF(計分!Z460="","",計分!Z460^2)</f>
        <v/>
      </c>
      <c r="AA460">
        <f>IF(計分!AA460="","",計分!AA460^2)</f>
        <v/>
      </c>
      <c r="AB460">
        <f>IF(計分!AB460="","",計分!AB460^2)</f>
        <v/>
      </c>
      <c r="AC460">
        <f>IF(計分!AC460="","",計分!AC460^2)</f>
        <v/>
      </c>
      <c r="AD460">
        <f>IF(計分!AD460="","",計分!AD460^2)</f>
        <v/>
      </c>
      <c r="AE460">
        <f>IF(計分!AE460="","",計分!AE460^2)</f>
        <v/>
      </c>
      <c r="AF460">
        <f>IF(計分!AF460="","",計分!AF460^2)</f>
        <v/>
      </c>
      <c r="AG460">
        <f>IF(計分!AG460="","",計分!AG460^2)</f>
        <v/>
      </c>
      <c r="AH460">
        <f>IF(計分!AH460="","",計分!AH460^2)</f>
        <v/>
      </c>
      <c r="AI460">
        <f>IF(計分!AI460="","",計分!AI460^2)</f>
        <v/>
      </c>
      <c r="AJ460">
        <f>IF(計分!AJ460="","",計分!AJ460^2)</f>
        <v/>
      </c>
      <c r="AK460">
        <f>IF(計分!AK460="","",計分!AK460^2)</f>
        <v/>
      </c>
      <c r="AL460">
        <f>IF(計分!AL460="","",計分!AL460^2)</f>
        <v/>
      </c>
      <c r="AM460">
        <f>IF(計分!AM460="","",計分!AM460^2)</f>
        <v/>
      </c>
      <c r="AN460">
        <f>IF(計分!AN460="","",計分!AN460^2)</f>
        <v/>
      </c>
      <c r="AO460">
        <f>IF(計分!AO460="","",計分!AO460^2)</f>
        <v/>
      </c>
    </row>
    <row r="461">
      <c r="B461">
        <f>IF(計分!B461="","",計分!B461^2)</f>
        <v/>
      </c>
      <c r="C461">
        <f>IF(計分!C461="","",計分!C461^2)</f>
        <v/>
      </c>
      <c r="D461">
        <f>IF(計分!D461="","",計分!D461^2)</f>
        <v/>
      </c>
      <c r="E461">
        <f>IF(計分!E461="","",計分!E461^2)</f>
        <v/>
      </c>
      <c r="F461">
        <f>IF(計分!F461="","",計分!F461^2)</f>
        <v/>
      </c>
      <c r="G461">
        <f>IF(計分!G461="","",計分!G461^2)</f>
        <v/>
      </c>
      <c r="H461">
        <f>IF(計分!H461="","",計分!H461^2)</f>
        <v/>
      </c>
      <c r="I461">
        <f>IF(計分!I461="","",計分!I461^2)</f>
        <v/>
      </c>
      <c r="J461">
        <f>IF(計分!J461="","",計分!J461^2)</f>
        <v/>
      </c>
      <c r="K461">
        <f>IF(計分!K461="","",計分!K461^2)</f>
        <v/>
      </c>
      <c r="L461">
        <f>IF(計分!L461="","",計分!L461^2)</f>
        <v/>
      </c>
      <c r="M461">
        <f>IF(計分!M461="","",計分!M461^2)</f>
        <v/>
      </c>
      <c r="N461">
        <f>IF(計分!N461="","",計分!N461^2)</f>
        <v/>
      </c>
      <c r="O461">
        <f>IF(計分!O461="","",計分!O461^2)</f>
        <v/>
      </c>
      <c r="P461">
        <f>IF(計分!P461="","",計分!P461^2)</f>
        <v/>
      </c>
      <c r="Q461">
        <f>IF(計分!Q461="","",計分!Q461^2)</f>
        <v/>
      </c>
      <c r="R461">
        <f>IF(計分!R461="","",計分!R461^2)</f>
        <v/>
      </c>
      <c r="S461">
        <f>IF(計分!S461="","",計分!S461^2)</f>
        <v/>
      </c>
      <c r="T461">
        <f>IF(計分!T461="","",計分!T461^2)</f>
        <v/>
      </c>
      <c r="U461">
        <f>IF(計分!U461="","",計分!U461^2)</f>
        <v/>
      </c>
      <c r="V461">
        <f>IF(計分!V461="","",計分!V461^2)</f>
        <v/>
      </c>
      <c r="W461">
        <f>IF(計分!W461="","",計分!W461^2)</f>
        <v/>
      </c>
      <c r="X461">
        <f>IF(計分!X461="","",計分!X461^2)</f>
        <v/>
      </c>
      <c r="Y461">
        <f>IF(計分!Y461="","",計分!Y461^2)</f>
        <v/>
      </c>
      <c r="Z461">
        <f>IF(計分!Z461="","",計分!Z461^2)</f>
        <v/>
      </c>
      <c r="AA461">
        <f>IF(計分!AA461="","",計分!AA461^2)</f>
        <v/>
      </c>
      <c r="AB461">
        <f>IF(計分!AB461="","",計分!AB461^2)</f>
        <v/>
      </c>
      <c r="AC461">
        <f>IF(計分!AC461="","",計分!AC461^2)</f>
        <v/>
      </c>
      <c r="AD461">
        <f>IF(計分!AD461="","",計分!AD461^2)</f>
        <v/>
      </c>
      <c r="AE461">
        <f>IF(計分!AE461="","",計分!AE461^2)</f>
        <v/>
      </c>
      <c r="AF461">
        <f>IF(計分!AF461="","",計分!AF461^2)</f>
        <v/>
      </c>
      <c r="AG461">
        <f>IF(計分!AG461="","",計分!AG461^2)</f>
        <v/>
      </c>
      <c r="AH461">
        <f>IF(計分!AH461="","",計分!AH461^2)</f>
        <v/>
      </c>
      <c r="AI461">
        <f>IF(計分!AI461="","",計分!AI461^2)</f>
        <v/>
      </c>
      <c r="AJ461">
        <f>IF(計分!AJ461="","",計分!AJ461^2)</f>
        <v/>
      </c>
      <c r="AK461">
        <f>IF(計分!AK461="","",計分!AK461^2)</f>
        <v/>
      </c>
      <c r="AL461">
        <f>IF(計分!AL461="","",計分!AL461^2)</f>
        <v/>
      </c>
      <c r="AM461">
        <f>IF(計分!AM461="","",計分!AM461^2)</f>
        <v/>
      </c>
      <c r="AN461">
        <f>IF(計分!AN461="","",計分!AN461^2)</f>
        <v/>
      </c>
      <c r="AO461">
        <f>IF(計分!AO461="","",計分!AO461^2)</f>
        <v/>
      </c>
    </row>
    <row r="462">
      <c r="B462">
        <f>IF(計分!B462="","",計分!B462^2)</f>
        <v/>
      </c>
      <c r="C462">
        <f>IF(計分!C462="","",計分!C462^2)</f>
        <v/>
      </c>
      <c r="D462">
        <f>IF(計分!D462="","",計分!D462^2)</f>
        <v/>
      </c>
      <c r="E462">
        <f>IF(計分!E462="","",計分!E462^2)</f>
        <v/>
      </c>
      <c r="F462">
        <f>IF(計分!F462="","",計分!F462^2)</f>
        <v/>
      </c>
      <c r="G462">
        <f>IF(計分!G462="","",計分!G462^2)</f>
        <v/>
      </c>
      <c r="H462">
        <f>IF(計分!H462="","",計分!H462^2)</f>
        <v/>
      </c>
      <c r="I462">
        <f>IF(計分!I462="","",計分!I462^2)</f>
        <v/>
      </c>
      <c r="J462">
        <f>IF(計分!J462="","",計分!J462^2)</f>
        <v/>
      </c>
      <c r="K462">
        <f>IF(計分!K462="","",計分!K462^2)</f>
        <v/>
      </c>
      <c r="L462">
        <f>IF(計分!L462="","",計分!L462^2)</f>
        <v/>
      </c>
      <c r="M462">
        <f>IF(計分!M462="","",計分!M462^2)</f>
        <v/>
      </c>
      <c r="N462">
        <f>IF(計分!N462="","",計分!N462^2)</f>
        <v/>
      </c>
      <c r="O462">
        <f>IF(計分!O462="","",計分!O462^2)</f>
        <v/>
      </c>
      <c r="P462">
        <f>IF(計分!P462="","",計分!P462^2)</f>
        <v/>
      </c>
      <c r="Q462">
        <f>IF(計分!Q462="","",計分!Q462^2)</f>
        <v/>
      </c>
      <c r="R462">
        <f>IF(計分!R462="","",計分!R462^2)</f>
        <v/>
      </c>
      <c r="S462">
        <f>IF(計分!S462="","",計分!S462^2)</f>
        <v/>
      </c>
      <c r="T462">
        <f>IF(計分!T462="","",計分!T462^2)</f>
        <v/>
      </c>
      <c r="U462">
        <f>IF(計分!U462="","",計分!U462^2)</f>
        <v/>
      </c>
      <c r="V462">
        <f>IF(計分!V462="","",計分!V462^2)</f>
        <v/>
      </c>
      <c r="W462">
        <f>IF(計分!W462="","",計分!W462^2)</f>
        <v/>
      </c>
      <c r="X462">
        <f>IF(計分!X462="","",計分!X462^2)</f>
        <v/>
      </c>
      <c r="Y462">
        <f>IF(計分!Y462="","",計分!Y462^2)</f>
        <v/>
      </c>
      <c r="Z462">
        <f>IF(計分!Z462="","",計分!Z462^2)</f>
        <v/>
      </c>
      <c r="AA462">
        <f>IF(計分!AA462="","",計分!AA462^2)</f>
        <v/>
      </c>
      <c r="AB462">
        <f>IF(計分!AB462="","",計分!AB462^2)</f>
        <v/>
      </c>
      <c r="AC462">
        <f>IF(計分!AC462="","",計分!AC462^2)</f>
        <v/>
      </c>
      <c r="AD462">
        <f>IF(計分!AD462="","",計分!AD462^2)</f>
        <v/>
      </c>
      <c r="AE462">
        <f>IF(計分!AE462="","",計分!AE462^2)</f>
        <v/>
      </c>
      <c r="AF462">
        <f>IF(計分!AF462="","",計分!AF462^2)</f>
        <v/>
      </c>
      <c r="AG462">
        <f>IF(計分!AG462="","",計分!AG462^2)</f>
        <v/>
      </c>
      <c r="AH462">
        <f>IF(計分!AH462="","",計分!AH462^2)</f>
        <v/>
      </c>
      <c r="AI462">
        <f>IF(計分!AI462="","",計分!AI462^2)</f>
        <v/>
      </c>
      <c r="AJ462">
        <f>IF(計分!AJ462="","",計分!AJ462^2)</f>
        <v/>
      </c>
      <c r="AK462">
        <f>IF(計分!AK462="","",計分!AK462^2)</f>
        <v/>
      </c>
      <c r="AL462">
        <f>IF(計分!AL462="","",計分!AL462^2)</f>
        <v/>
      </c>
      <c r="AM462">
        <f>IF(計分!AM462="","",計分!AM462^2)</f>
        <v/>
      </c>
      <c r="AN462">
        <f>IF(計分!AN462="","",計分!AN462^2)</f>
        <v/>
      </c>
      <c r="AO462">
        <f>IF(計分!AO462="","",計分!AO462^2)</f>
        <v/>
      </c>
    </row>
    <row r="463">
      <c r="B463">
        <f>IF(計分!B463="","",計分!B463^2)</f>
        <v/>
      </c>
      <c r="C463">
        <f>IF(計分!C463="","",計分!C463^2)</f>
        <v/>
      </c>
      <c r="D463">
        <f>IF(計分!D463="","",計分!D463^2)</f>
        <v/>
      </c>
      <c r="E463">
        <f>IF(計分!E463="","",計分!E463^2)</f>
        <v/>
      </c>
      <c r="F463">
        <f>IF(計分!F463="","",計分!F463^2)</f>
        <v/>
      </c>
      <c r="G463">
        <f>IF(計分!G463="","",計分!G463^2)</f>
        <v/>
      </c>
      <c r="H463">
        <f>IF(計分!H463="","",計分!H463^2)</f>
        <v/>
      </c>
      <c r="I463">
        <f>IF(計分!I463="","",計分!I463^2)</f>
        <v/>
      </c>
      <c r="J463">
        <f>IF(計分!J463="","",計分!J463^2)</f>
        <v/>
      </c>
      <c r="K463">
        <f>IF(計分!K463="","",計分!K463^2)</f>
        <v/>
      </c>
      <c r="L463">
        <f>IF(計分!L463="","",計分!L463^2)</f>
        <v/>
      </c>
      <c r="M463">
        <f>IF(計分!M463="","",計分!M463^2)</f>
        <v/>
      </c>
      <c r="N463">
        <f>IF(計分!N463="","",計分!N463^2)</f>
        <v/>
      </c>
      <c r="O463">
        <f>IF(計分!O463="","",計分!O463^2)</f>
        <v/>
      </c>
      <c r="P463">
        <f>IF(計分!P463="","",計分!P463^2)</f>
        <v/>
      </c>
      <c r="Q463">
        <f>IF(計分!Q463="","",計分!Q463^2)</f>
        <v/>
      </c>
      <c r="R463">
        <f>IF(計分!R463="","",計分!R463^2)</f>
        <v/>
      </c>
      <c r="S463">
        <f>IF(計分!S463="","",計分!S463^2)</f>
        <v/>
      </c>
      <c r="T463">
        <f>IF(計分!T463="","",計分!T463^2)</f>
        <v/>
      </c>
      <c r="U463">
        <f>IF(計分!U463="","",計分!U463^2)</f>
        <v/>
      </c>
      <c r="V463">
        <f>IF(計分!V463="","",計分!V463^2)</f>
        <v/>
      </c>
      <c r="W463">
        <f>IF(計分!W463="","",計分!W463^2)</f>
        <v/>
      </c>
      <c r="X463">
        <f>IF(計分!X463="","",計分!X463^2)</f>
        <v/>
      </c>
      <c r="Y463">
        <f>IF(計分!Y463="","",計分!Y463^2)</f>
        <v/>
      </c>
      <c r="Z463">
        <f>IF(計分!Z463="","",計分!Z463^2)</f>
        <v/>
      </c>
      <c r="AA463">
        <f>IF(計分!AA463="","",計分!AA463^2)</f>
        <v/>
      </c>
      <c r="AB463">
        <f>IF(計分!AB463="","",計分!AB463^2)</f>
        <v/>
      </c>
      <c r="AC463">
        <f>IF(計分!AC463="","",計分!AC463^2)</f>
        <v/>
      </c>
      <c r="AD463">
        <f>IF(計分!AD463="","",計分!AD463^2)</f>
        <v/>
      </c>
      <c r="AE463">
        <f>IF(計分!AE463="","",計分!AE463^2)</f>
        <v/>
      </c>
      <c r="AF463">
        <f>IF(計分!AF463="","",計分!AF463^2)</f>
        <v/>
      </c>
      <c r="AG463">
        <f>IF(計分!AG463="","",計分!AG463^2)</f>
        <v/>
      </c>
      <c r="AH463">
        <f>IF(計分!AH463="","",計分!AH463^2)</f>
        <v/>
      </c>
      <c r="AI463">
        <f>IF(計分!AI463="","",計分!AI463^2)</f>
        <v/>
      </c>
      <c r="AJ463">
        <f>IF(計分!AJ463="","",計分!AJ463^2)</f>
        <v/>
      </c>
      <c r="AK463">
        <f>IF(計分!AK463="","",計分!AK463^2)</f>
        <v/>
      </c>
      <c r="AL463">
        <f>IF(計分!AL463="","",計分!AL463^2)</f>
        <v/>
      </c>
      <c r="AM463">
        <f>IF(計分!AM463="","",計分!AM463^2)</f>
        <v/>
      </c>
      <c r="AN463">
        <f>IF(計分!AN463="","",計分!AN463^2)</f>
        <v/>
      </c>
      <c r="AO463">
        <f>IF(計分!AO463="","",計分!AO463^2)</f>
        <v/>
      </c>
    </row>
    <row r="464">
      <c r="B464">
        <f>IF(計分!B464="","",計分!B464^2)</f>
        <v/>
      </c>
      <c r="C464">
        <f>IF(計分!C464="","",計分!C464^2)</f>
        <v/>
      </c>
      <c r="D464">
        <f>IF(計分!D464="","",計分!D464^2)</f>
        <v/>
      </c>
      <c r="E464">
        <f>IF(計分!E464="","",計分!E464^2)</f>
        <v/>
      </c>
      <c r="F464">
        <f>IF(計分!F464="","",計分!F464^2)</f>
        <v/>
      </c>
      <c r="G464">
        <f>IF(計分!G464="","",計分!G464^2)</f>
        <v/>
      </c>
      <c r="H464">
        <f>IF(計分!H464="","",計分!H464^2)</f>
        <v/>
      </c>
      <c r="I464">
        <f>IF(計分!I464="","",計分!I464^2)</f>
        <v/>
      </c>
      <c r="J464">
        <f>IF(計分!J464="","",計分!J464^2)</f>
        <v/>
      </c>
      <c r="K464">
        <f>IF(計分!K464="","",計分!K464^2)</f>
        <v/>
      </c>
      <c r="L464">
        <f>IF(計分!L464="","",計分!L464^2)</f>
        <v/>
      </c>
      <c r="M464">
        <f>IF(計分!M464="","",計分!M464^2)</f>
        <v/>
      </c>
      <c r="N464">
        <f>IF(計分!N464="","",計分!N464^2)</f>
        <v/>
      </c>
      <c r="O464">
        <f>IF(計分!O464="","",計分!O464^2)</f>
        <v/>
      </c>
      <c r="P464">
        <f>IF(計分!P464="","",計分!P464^2)</f>
        <v/>
      </c>
      <c r="Q464">
        <f>IF(計分!Q464="","",計分!Q464^2)</f>
        <v/>
      </c>
      <c r="R464">
        <f>IF(計分!R464="","",計分!R464^2)</f>
        <v/>
      </c>
      <c r="S464">
        <f>IF(計分!S464="","",計分!S464^2)</f>
        <v/>
      </c>
      <c r="T464">
        <f>IF(計分!T464="","",計分!T464^2)</f>
        <v/>
      </c>
      <c r="U464">
        <f>IF(計分!U464="","",計分!U464^2)</f>
        <v/>
      </c>
      <c r="V464">
        <f>IF(計分!V464="","",計分!V464^2)</f>
        <v/>
      </c>
      <c r="W464">
        <f>IF(計分!W464="","",計分!W464^2)</f>
        <v/>
      </c>
      <c r="X464">
        <f>IF(計分!X464="","",計分!X464^2)</f>
        <v/>
      </c>
      <c r="Y464">
        <f>IF(計分!Y464="","",計分!Y464^2)</f>
        <v/>
      </c>
      <c r="Z464">
        <f>IF(計分!Z464="","",計分!Z464^2)</f>
        <v/>
      </c>
      <c r="AA464">
        <f>IF(計分!AA464="","",計分!AA464^2)</f>
        <v/>
      </c>
      <c r="AB464">
        <f>IF(計分!AB464="","",計分!AB464^2)</f>
        <v/>
      </c>
      <c r="AC464">
        <f>IF(計分!AC464="","",計分!AC464^2)</f>
        <v/>
      </c>
      <c r="AD464">
        <f>IF(計分!AD464="","",計分!AD464^2)</f>
        <v/>
      </c>
      <c r="AE464">
        <f>IF(計分!AE464="","",計分!AE464^2)</f>
        <v/>
      </c>
      <c r="AF464">
        <f>IF(計分!AF464="","",計分!AF464^2)</f>
        <v/>
      </c>
      <c r="AG464">
        <f>IF(計分!AG464="","",計分!AG464^2)</f>
        <v/>
      </c>
      <c r="AH464">
        <f>IF(計分!AH464="","",計分!AH464^2)</f>
        <v/>
      </c>
      <c r="AI464">
        <f>IF(計分!AI464="","",計分!AI464^2)</f>
        <v/>
      </c>
      <c r="AJ464">
        <f>IF(計分!AJ464="","",計分!AJ464^2)</f>
        <v/>
      </c>
      <c r="AK464">
        <f>IF(計分!AK464="","",計分!AK464^2)</f>
        <v/>
      </c>
      <c r="AL464">
        <f>IF(計分!AL464="","",計分!AL464^2)</f>
        <v/>
      </c>
      <c r="AM464">
        <f>IF(計分!AM464="","",計分!AM464^2)</f>
        <v/>
      </c>
      <c r="AN464">
        <f>IF(計分!AN464="","",計分!AN464^2)</f>
        <v/>
      </c>
      <c r="AO464">
        <f>IF(計分!AO464="","",計分!AO464^2)</f>
        <v/>
      </c>
    </row>
    <row r="465">
      <c r="B465">
        <f>IF(計分!B465="","",計分!B465^2)</f>
        <v/>
      </c>
      <c r="C465">
        <f>IF(計分!C465="","",計分!C465^2)</f>
        <v/>
      </c>
      <c r="D465">
        <f>IF(計分!D465="","",計分!D465^2)</f>
        <v/>
      </c>
      <c r="E465">
        <f>IF(計分!E465="","",計分!E465^2)</f>
        <v/>
      </c>
      <c r="F465">
        <f>IF(計分!F465="","",計分!F465^2)</f>
        <v/>
      </c>
      <c r="G465">
        <f>IF(計分!G465="","",計分!G465^2)</f>
        <v/>
      </c>
      <c r="H465">
        <f>IF(計分!H465="","",計分!H465^2)</f>
        <v/>
      </c>
      <c r="I465">
        <f>IF(計分!I465="","",計分!I465^2)</f>
        <v/>
      </c>
      <c r="J465">
        <f>IF(計分!J465="","",計分!J465^2)</f>
        <v/>
      </c>
      <c r="K465">
        <f>IF(計分!K465="","",計分!K465^2)</f>
        <v/>
      </c>
      <c r="L465">
        <f>IF(計分!L465="","",計分!L465^2)</f>
        <v/>
      </c>
      <c r="M465">
        <f>IF(計分!M465="","",計分!M465^2)</f>
        <v/>
      </c>
      <c r="N465">
        <f>IF(計分!N465="","",計分!N465^2)</f>
        <v/>
      </c>
      <c r="O465">
        <f>IF(計分!O465="","",計分!O465^2)</f>
        <v/>
      </c>
      <c r="P465">
        <f>IF(計分!P465="","",計分!P465^2)</f>
        <v/>
      </c>
      <c r="Q465">
        <f>IF(計分!Q465="","",計分!Q465^2)</f>
        <v/>
      </c>
      <c r="R465">
        <f>IF(計分!R465="","",計分!R465^2)</f>
        <v/>
      </c>
      <c r="S465">
        <f>IF(計分!S465="","",計分!S465^2)</f>
        <v/>
      </c>
      <c r="T465">
        <f>IF(計分!T465="","",計分!T465^2)</f>
        <v/>
      </c>
      <c r="U465">
        <f>IF(計分!U465="","",計分!U465^2)</f>
        <v/>
      </c>
      <c r="V465">
        <f>IF(計分!V465="","",計分!V465^2)</f>
        <v/>
      </c>
      <c r="W465">
        <f>IF(計分!W465="","",計分!W465^2)</f>
        <v/>
      </c>
      <c r="X465">
        <f>IF(計分!X465="","",計分!X465^2)</f>
        <v/>
      </c>
      <c r="Y465">
        <f>IF(計分!Y465="","",計分!Y465^2)</f>
        <v/>
      </c>
      <c r="Z465">
        <f>IF(計分!Z465="","",計分!Z465^2)</f>
        <v/>
      </c>
      <c r="AA465">
        <f>IF(計分!AA465="","",計分!AA465^2)</f>
        <v/>
      </c>
      <c r="AB465">
        <f>IF(計分!AB465="","",計分!AB465^2)</f>
        <v/>
      </c>
      <c r="AC465">
        <f>IF(計分!AC465="","",計分!AC465^2)</f>
        <v/>
      </c>
      <c r="AD465">
        <f>IF(計分!AD465="","",計分!AD465^2)</f>
        <v/>
      </c>
      <c r="AE465">
        <f>IF(計分!AE465="","",計分!AE465^2)</f>
        <v/>
      </c>
      <c r="AF465">
        <f>IF(計分!AF465="","",計分!AF465^2)</f>
        <v/>
      </c>
      <c r="AG465">
        <f>IF(計分!AG465="","",計分!AG465^2)</f>
        <v/>
      </c>
      <c r="AH465">
        <f>IF(計分!AH465="","",計分!AH465^2)</f>
        <v/>
      </c>
      <c r="AI465">
        <f>IF(計分!AI465="","",計分!AI465^2)</f>
        <v/>
      </c>
      <c r="AJ465">
        <f>IF(計分!AJ465="","",計分!AJ465^2)</f>
        <v/>
      </c>
      <c r="AK465">
        <f>IF(計分!AK465="","",計分!AK465^2)</f>
        <v/>
      </c>
      <c r="AL465">
        <f>IF(計分!AL465="","",計分!AL465^2)</f>
        <v/>
      </c>
      <c r="AM465">
        <f>IF(計分!AM465="","",計分!AM465^2)</f>
        <v/>
      </c>
      <c r="AN465">
        <f>IF(計分!AN465="","",計分!AN465^2)</f>
        <v/>
      </c>
      <c r="AO465">
        <f>IF(計分!AO465="","",計分!AO465^2)</f>
        <v/>
      </c>
    </row>
    <row r="466">
      <c r="B466">
        <f>IF(計分!B466="","",計分!B466^2)</f>
        <v/>
      </c>
      <c r="C466">
        <f>IF(計分!C466="","",計分!C466^2)</f>
        <v/>
      </c>
      <c r="D466">
        <f>IF(計分!D466="","",計分!D466^2)</f>
        <v/>
      </c>
      <c r="E466">
        <f>IF(計分!E466="","",計分!E466^2)</f>
        <v/>
      </c>
      <c r="F466">
        <f>IF(計分!F466="","",計分!F466^2)</f>
        <v/>
      </c>
      <c r="G466">
        <f>IF(計分!G466="","",計分!G466^2)</f>
        <v/>
      </c>
      <c r="H466">
        <f>IF(計分!H466="","",計分!H466^2)</f>
        <v/>
      </c>
      <c r="I466">
        <f>IF(計分!I466="","",計分!I466^2)</f>
        <v/>
      </c>
      <c r="J466">
        <f>IF(計分!J466="","",計分!J466^2)</f>
        <v/>
      </c>
      <c r="K466">
        <f>IF(計分!K466="","",計分!K466^2)</f>
        <v/>
      </c>
      <c r="L466">
        <f>IF(計分!L466="","",計分!L466^2)</f>
        <v/>
      </c>
      <c r="M466">
        <f>IF(計分!M466="","",計分!M466^2)</f>
        <v/>
      </c>
      <c r="N466">
        <f>IF(計分!N466="","",計分!N466^2)</f>
        <v/>
      </c>
      <c r="O466">
        <f>IF(計分!O466="","",計分!O466^2)</f>
        <v/>
      </c>
      <c r="P466">
        <f>IF(計分!P466="","",計分!P466^2)</f>
        <v/>
      </c>
      <c r="Q466">
        <f>IF(計分!Q466="","",計分!Q466^2)</f>
        <v/>
      </c>
      <c r="R466">
        <f>IF(計分!R466="","",計分!R466^2)</f>
        <v/>
      </c>
      <c r="S466">
        <f>IF(計分!S466="","",計分!S466^2)</f>
        <v/>
      </c>
      <c r="T466">
        <f>IF(計分!T466="","",計分!T466^2)</f>
        <v/>
      </c>
      <c r="U466">
        <f>IF(計分!U466="","",計分!U466^2)</f>
        <v/>
      </c>
      <c r="V466">
        <f>IF(計分!V466="","",計分!V466^2)</f>
        <v/>
      </c>
      <c r="W466">
        <f>IF(計分!W466="","",計分!W466^2)</f>
        <v/>
      </c>
      <c r="X466">
        <f>IF(計分!X466="","",計分!X466^2)</f>
        <v/>
      </c>
      <c r="Y466">
        <f>IF(計分!Y466="","",計分!Y466^2)</f>
        <v/>
      </c>
      <c r="Z466">
        <f>IF(計分!Z466="","",計分!Z466^2)</f>
        <v/>
      </c>
      <c r="AA466">
        <f>IF(計分!AA466="","",計分!AA466^2)</f>
        <v/>
      </c>
      <c r="AB466">
        <f>IF(計分!AB466="","",計分!AB466^2)</f>
        <v/>
      </c>
      <c r="AC466">
        <f>IF(計分!AC466="","",計分!AC466^2)</f>
        <v/>
      </c>
      <c r="AD466">
        <f>IF(計分!AD466="","",計分!AD466^2)</f>
        <v/>
      </c>
      <c r="AE466">
        <f>IF(計分!AE466="","",計分!AE466^2)</f>
        <v/>
      </c>
      <c r="AF466">
        <f>IF(計分!AF466="","",計分!AF466^2)</f>
        <v/>
      </c>
      <c r="AG466">
        <f>IF(計分!AG466="","",計分!AG466^2)</f>
        <v/>
      </c>
      <c r="AH466">
        <f>IF(計分!AH466="","",計分!AH466^2)</f>
        <v/>
      </c>
      <c r="AI466">
        <f>IF(計分!AI466="","",計分!AI466^2)</f>
        <v/>
      </c>
      <c r="AJ466">
        <f>IF(計分!AJ466="","",計分!AJ466^2)</f>
        <v/>
      </c>
      <c r="AK466">
        <f>IF(計分!AK466="","",計分!AK466^2)</f>
        <v/>
      </c>
      <c r="AL466">
        <f>IF(計分!AL466="","",計分!AL466^2)</f>
        <v/>
      </c>
      <c r="AM466">
        <f>IF(計分!AM466="","",計分!AM466^2)</f>
        <v/>
      </c>
      <c r="AN466">
        <f>IF(計分!AN466="","",計分!AN466^2)</f>
        <v/>
      </c>
      <c r="AO466">
        <f>IF(計分!AO466="","",計分!AO466^2)</f>
        <v/>
      </c>
    </row>
    <row r="467">
      <c r="B467">
        <f>IF(計分!B467="","",計分!B467^2)</f>
        <v/>
      </c>
      <c r="C467">
        <f>IF(計分!C467="","",計分!C467^2)</f>
        <v/>
      </c>
      <c r="D467">
        <f>IF(計分!D467="","",計分!D467^2)</f>
        <v/>
      </c>
      <c r="E467">
        <f>IF(計分!E467="","",計分!E467^2)</f>
        <v/>
      </c>
      <c r="F467">
        <f>IF(計分!F467="","",計分!F467^2)</f>
        <v/>
      </c>
      <c r="G467">
        <f>IF(計分!G467="","",計分!G467^2)</f>
        <v/>
      </c>
      <c r="H467">
        <f>IF(計分!H467="","",計分!H467^2)</f>
        <v/>
      </c>
      <c r="I467">
        <f>IF(計分!I467="","",計分!I467^2)</f>
        <v/>
      </c>
      <c r="J467">
        <f>IF(計分!J467="","",計分!J467^2)</f>
        <v/>
      </c>
      <c r="K467">
        <f>IF(計分!K467="","",計分!K467^2)</f>
        <v/>
      </c>
      <c r="L467">
        <f>IF(計分!L467="","",計分!L467^2)</f>
        <v/>
      </c>
      <c r="M467">
        <f>IF(計分!M467="","",計分!M467^2)</f>
        <v/>
      </c>
      <c r="N467">
        <f>IF(計分!N467="","",計分!N467^2)</f>
        <v/>
      </c>
      <c r="O467">
        <f>IF(計分!O467="","",計分!O467^2)</f>
        <v/>
      </c>
      <c r="P467">
        <f>IF(計分!P467="","",計分!P467^2)</f>
        <v/>
      </c>
      <c r="Q467">
        <f>IF(計分!Q467="","",計分!Q467^2)</f>
        <v/>
      </c>
      <c r="R467">
        <f>IF(計分!R467="","",計分!R467^2)</f>
        <v/>
      </c>
      <c r="S467">
        <f>IF(計分!S467="","",計分!S467^2)</f>
        <v/>
      </c>
      <c r="T467">
        <f>IF(計分!T467="","",計分!T467^2)</f>
        <v/>
      </c>
      <c r="U467">
        <f>IF(計分!U467="","",計分!U467^2)</f>
        <v/>
      </c>
      <c r="V467">
        <f>IF(計分!V467="","",計分!V467^2)</f>
        <v/>
      </c>
      <c r="W467">
        <f>IF(計分!W467="","",計分!W467^2)</f>
        <v/>
      </c>
      <c r="X467">
        <f>IF(計分!X467="","",計分!X467^2)</f>
        <v/>
      </c>
      <c r="Y467">
        <f>IF(計分!Y467="","",計分!Y467^2)</f>
        <v/>
      </c>
      <c r="Z467">
        <f>IF(計分!Z467="","",計分!Z467^2)</f>
        <v/>
      </c>
      <c r="AA467">
        <f>IF(計分!AA467="","",計分!AA467^2)</f>
        <v/>
      </c>
      <c r="AB467">
        <f>IF(計分!AB467="","",計分!AB467^2)</f>
        <v/>
      </c>
      <c r="AC467">
        <f>IF(計分!AC467="","",計分!AC467^2)</f>
        <v/>
      </c>
      <c r="AD467">
        <f>IF(計分!AD467="","",計分!AD467^2)</f>
        <v/>
      </c>
      <c r="AE467">
        <f>IF(計分!AE467="","",計分!AE467^2)</f>
        <v/>
      </c>
      <c r="AF467">
        <f>IF(計分!AF467="","",計分!AF467^2)</f>
        <v/>
      </c>
      <c r="AG467">
        <f>IF(計分!AG467="","",計分!AG467^2)</f>
        <v/>
      </c>
      <c r="AH467">
        <f>IF(計分!AH467="","",計分!AH467^2)</f>
        <v/>
      </c>
      <c r="AI467">
        <f>IF(計分!AI467="","",計分!AI467^2)</f>
        <v/>
      </c>
      <c r="AJ467">
        <f>IF(計分!AJ467="","",計分!AJ467^2)</f>
        <v/>
      </c>
      <c r="AK467">
        <f>IF(計分!AK467="","",計分!AK467^2)</f>
        <v/>
      </c>
      <c r="AL467">
        <f>IF(計分!AL467="","",計分!AL467^2)</f>
        <v/>
      </c>
      <c r="AM467">
        <f>IF(計分!AM467="","",計分!AM467^2)</f>
        <v/>
      </c>
      <c r="AN467">
        <f>IF(計分!AN467="","",計分!AN467^2)</f>
        <v/>
      </c>
      <c r="AO467">
        <f>IF(計分!AO467="","",計分!AO467^2)</f>
        <v/>
      </c>
    </row>
    <row r="468">
      <c r="B468">
        <f>IF(計分!B468="","",計分!B468^2)</f>
        <v/>
      </c>
      <c r="C468">
        <f>IF(計分!C468="","",計分!C468^2)</f>
        <v/>
      </c>
      <c r="D468">
        <f>IF(計分!D468="","",計分!D468^2)</f>
        <v/>
      </c>
      <c r="E468">
        <f>IF(計分!E468="","",計分!E468^2)</f>
        <v/>
      </c>
      <c r="F468">
        <f>IF(計分!F468="","",計分!F468^2)</f>
        <v/>
      </c>
      <c r="G468">
        <f>IF(計分!G468="","",計分!G468^2)</f>
        <v/>
      </c>
      <c r="H468">
        <f>IF(計分!H468="","",計分!H468^2)</f>
        <v/>
      </c>
      <c r="I468">
        <f>IF(計分!I468="","",計分!I468^2)</f>
        <v/>
      </c>
      <c r="J468">
        <f>IF(計分!J468="","",計分!J468^2)</f>
        <v/>
      </c>
      <c r="K468">
        <f>IF(計分!K468="","",計分!K468^2)</f>
        <v/>
      </c>
      <c r="L468">
        <f>IF(計分!L468="","",計分!L468^2)</f>
        <v/>
      </c>
      <c r="M468">
        <f>IF(計分!M468="","",計分!M468^2)</f>
        <v/>
      </c>
      <c r="N468">
        <f>IF(計分!N468="","",計分!N468^2)</f>
        <v/>
      </c>
      <c r="O468">
        <f>IF(計分!O468="","",計分!O468^2)</f>
        <v/>
      </c>
      <c r="P468">
        <f>IF(計分!P468="","",計分!P468^2)</f>
        <v/>
      </c>
      <c r="Q468">
        <f>IF(計分!Q468="","",計分!Q468^2)</f>
        <v/>
      </c>
      <c r="R468">
        <f>IF(計分!R468="","",計分!R468^2)</f>
        <v/>
      </c>
      <c r="S468">
        <f>IF(計分!S468="","",計分!S468^2)</f>
        <v/>
      </c>
      <c r="T468">
        <f>IF(計分!T468="","",計分!T468^2)</f>
        <v/>
      </c>
      <c r="U468">
        <f>IF(計分!U468="","",計分!U468^2)</f>
        <v/>
      </c>
      <c r="V468">
        <f>IF(計分!V468="","",計分!V468^2)</f>
        <v/>
      </c>
      <c r="W468">
        <f>IF(計分!W468="","",計分!W468^2)</f>
        <v/>
      </c>
      <c r="X468">
        <f>IF(計分!X468="","",計分!X468^2)</f>
        <v/>
      </c>
      <c r="Y468">
        <f>IF(計分!Y468="","",計分!Y468^2)</f>
        <v/>
      </c>
      <c r="Z468">
        <f>IF(計分!Z468="","",計分!Z468^2)</f>
        <v/>
      </c>
      <c r="AA468">
        <f>IF(計分!AA468="","",計分!AA468^2)</f>
        <v/>
      </c>
      <c r="AB468">
        <f>IF(計分!AB468="","",計分!AB468^2)</f>
        <v/>
      </c>
      <c r="AC468">
        <f>IF(計分!AC468="","",計分!AC468^2)</f>
        <v/>
      </c>
      <c r="AD468">
        <f>IF(計分!AD468="","",計分!AD468^2)</f>
        <v/>
      </c>
      <c r="AE468">
        <f>IF(計分!AE468="","",計分!AE468^2)</f>
        <v/>
      </c>
      <c r="AF468">
        <f>IF(計分!AF468="","",計分!AF468^2)</f>
        <v/>
      </c>
      <c r="AG468">
        <f>IF(計分!AG468="","",計分!AG468^2)</f>
        <v/>
      </c>
      <c r="AH468">
        <f>IF(計分!AH468="","",計分!AH468^2)</f>
        <v/>
      </c>
      <c r="AI468">
        <f>IF(計分!AI468="","",計分!AI468^2)</f>
        <v/>
      </c>
      <c r="AJ468">
        <f>IF(計分!AJ468="","",計分!AJ468^2)</f>
        <v/>
      </c>
      <c r="AK468">
        <f>IF(計分!AK468="","",計分!AK468^2)</f>
        <v/>
      </c>
      <c r="AL468">
        <f>IF(計分!AL468="","",計分!AL468^2)</f>
        <v/>
      </c>
      <c r="AM468">
        <f>IF(計分!AM468="","",計分!AM468^2)</f>
        <v/>
      </c>
      <c r="AN468">
        <f>IF(計分!AN468="","",計分!AN468^2)</f>
        <v/>
      </c>
      <c r="AO468">
        <f>IF(計分!AO468="","",計分!AO468^2)</f>
        <v/>
      </c>
    </row>
    <row r="469">
      <c r="B469">
        <f>IF(計分!B469="","",計分!B469^2)</f>
        <v/>
      </c>
      <c r="C469">
        <f>IF(計分!C469="","",計分!C469^2)</f>
        <v/>
      </c>
      <c r="D469">
        <f>IF(計分!D469="","",計分!D469^2)</f>
        <v/>
      </c>
      <c r="E469">
        <f>IF(計分!E469="","",計分!E469^2)</f>
        <v/>
      </c>
      <c r="F469">
        <f>IF(計分!F469="","",計分!F469^2)</f>
        <v/>
      </c>
      <c r="G469">
        <f>IF(計分!G469="","",計分!G469^2)</f>
        <v/>
      </c>
      <c r="H469">
        <f>IF(計分!H469="","",計分!H469^2)</f>
        <v/>
      </c>
      <c r="I469">
        <f>IF(計分!I469="","",計分!I469^2)</f>
        <v/>
      </c>
      <c r="J469">
        <f>IF(計分!J469="","",計分!J469^2)</f>
        <v/>
      </c>
      <c r="K469">
        <f>IF(計分!K469="","",計分!K469^2)</f>
        <v/>
      </c>
      <c r="L469">
        <f>IF(計分!L469="","",計分!L469^2)</f>
        <v/>
      </c>
      <c r="M469">
        <f>IF(計分!M469="","",計分!M469^2)</f>
        <v/>
      </c>
      <c r="N469">
        <f>IF(計分!N469="","",計分!N469^2)</f>
        <v/>
      </c>
      <c r="O469">
        <f>IF(計分!O469="","",計分!O469^2)</f>
        <v/>
      </c>
      <c r="P469">
        <f>IF(計分!P469="","",計分!P469^2)</f>
        <v/>
      </c>
      <c r="Q469">
        <f>IF(計分!Q469="","",計分!Q469^2)</f>
        <v/>
      </c>
      <c r="R469">
        <f>IF(計分!R469="","",計分!R469^2)</f>
        <v/>
      </c>
      <c r="S469">
        <f>IF(計分!S469="","",計分!S469^2)</f>
        <v/>
      </c>
      <c r="T469">
        <f>IF(計分!T469="","",計分!T469^2)</f>
        <v/>
      </c>
      <c r="U469">
        <f>IF(計分!U469="","",計分!U469^2)</f>
        <v/>
      </c>
      <c r="V469">
        <f>IF(計分!V469="","",計分!V469^2)</f>
        <v/>
      </c>
      <c r="W469">
        <f>IF(計分!W469="","",計分!W469^2)</f>
        <v/>
      </c>
      <c r="X469">
        <f>IF(計分!X469="","",計分!X469^2)</f>
        <v/>
      </c>
      <c r="Y469">
        <f>IF(計分!Y469="","",計分!Y469^2)</f>
        <v/>
      </c>
      <c r="Z469">
        <f>IF(計分!Z469="","",計分!Z469^2)</f>
        <v/>
      </c>
      <c r="AA469">
        <f>IF(計分!AA469="","",計分!AA469^2)</f>
        <v/>
      </c>
      <c r="AB469">
        <f>IF(計分!AB469="","",計分!AB469^2)</f>
        <v/>
      </c>
      <c r="AC469">
        <f>IF(計分!AC469="","",計分!AC469^2)</f>
        <v/>
      </c>
      <c r="AD469">
        <f>IF(計分!AD469="","",計分!AD469^2)</f>
        <v/>
      </c>
      <c r="AE469">
        <f>IF(計分!AE469="","",計分!AE469^2)</f>
        <v/>
      </c>
      <c r="AF469">
        <f>IF(計分!AF469="","",計分!AF469^2)</f>
        <v/>
      </c>
      <c r="AG469">
        <f>IF(計分!AG469="","",計分!AG469^2)</f>
        <v/>
      </c>
      <c r="AH469">
        <f>IF(計分!AH469="","",計分!AH469^2)</f>
        <v/>
      </c>
      <c r="AI469">
        <f>IF(計分!AI469="","",計分!AI469^2)</f>
        <v/>
      </c>
      <c r="AJ469">
        <f>IF(計分!AJ469="","",計分!AJ469^2)</f>
        <v/>
      </c>
      <c r="AK469">
        <f>IF(計分!AK469="","",計分!AK469^2)</f>
        <v/>
      </c>
      <c r="AL469">
        <f>IF(計分!AL469="","",計分!AL469^2)</f>
        <v/>
      </c>
      <c r="AM469">
        <f>IF(計分!AM469="","",計分!AM469^2)</f>
        <v/>
      </c>
      <c r="AN469">
        <f>IF(計分!AN469="","",計分!AN469^2)</f>
        <v/>
      </c>
      <c r="AO469">
        <f>IF(計分!AO469="","",計分!AO469^2)</f>
        <v/>
      </c>
    </row>
    <row r="470">
      <c r="B470">
        <f>IF(計分!B470="","",計分!B470^2)</f>
        <v/>
      </c>
      <c r="C470">
        <f>IF(計分!C470="","",計分!C470^2)</f>
        <v/>
      </c>
      <c r="D470">
        <f>IF(計分!D470="","",計分!D470^2)</f>
        <v/>
      </c>
      <c r="E470">
        <f>IF(計分!E470="","",計分!E470^2)</f>
        <v/>
      </c>
      <c r="F470">
        <f>IF(計分!F470="","",計分!F470^2)</f>
        <v/>
      </c>
      <c r="G470">
        <f>IF(計分!G470="","",計分!G470^2)</f>
        <v/>
      </c>
      <c r="H470">
        <f>IF(計分!H470="","",計分!H470^2)</f>
        <v/>
      </c>
      <c r="I470">
        <f>IF(計分!I470="","",計分!I470^2)</f>
        <v/>
      </c>
      <c r="J470">
        <f>IF(計分!J470="","",計分!J470^2)</f>
        <v/>
      </c>
      <c r="K470">
        <f>IF(計分!K470="","",計分!K470^2)</f>
        <v/>
      </c>
      <c r="L470">
        <f>IF(計分!L470="","",計分!L470^2)</f>
        <v/>
      </c>
      <c r="M470">
        <f>IF(計分!M470="","",計分!M470^2)</f>
        <v/>
      </c>
      <c r="N470">
        <f>IF(計分!N470="","",計分!N470^2)</f>
        <v/>
      </c>
      <c r="O470">
        <f>IF(計分!O470="","",計分!O470^2)</f>
        <v/>
      </c>
      <c r="P470">
        <f>IF(計分!P470="","",計分!P470^2)</f>
        <v/>
      </c>
      <c r="Q470">
        <f>IF(計分!Q470="","",計分!Q470^2)</f>
        <v/>
      </c>
      <c r="R470">
        <f>IF(計分!R470="","",計分!R470^2)</f>
        <v/>
      </c>
      <c r="S470">
        <f>IF(計分!S470="","",計分!S470^2)</f>
        <v/>
      </c>
      <c r="T470">
        <f>IF(計分!T470="","",計分!T470^2)</f>
        <v/>
      </c>
      <c r="U470">
        <f>IF(計分!U470="","",計分!U470^2)</f>
        <v/>
      </c>
      <c r="V470">
        <f>IF(計分!V470="","",計分!V470^2)</f>
        <v/>
      </c>
      <c r="W470">
        <f>IF(計分!W470="","",計分!W470^2)</f>
        <v/>
      </c>
      <c r="X470">
        <f>IF(計分!X470="","",計分!X470^2)</f>
        <v/>
      </c>
      <c r="Y470">
        <f>IF(計分!Y470="","",計分!Y470^2)</f>
        <v/>
      </c>
      <c r="Z470">
        <f>IF(計分!Z470="","",計分!Z470^2)</f>
        <v/>
      </c>
      <c r="AA470">
        <f>IF(計分!AA470="","",計分!AA470^2)</f>
        <v/>
      </c>
      <c r="AB470">
        <f>IF(計分!AB470="","",計分!AB470^2)</f>
        <v/>
      </c>
      <c r="AC470">
        <f>IF(計分!AC470="","",計分!AC470^2)</f>
        <v/>
      </c>
      <c r="AD470">
        <f>IF(計分!AD470="","",計分!AD470^2)</f>
        <v/>
      </c>
      <c r="AE470">
        <f>IF(計分!AE470="","",計分!AE470^2)</f>
        <v/>
      </c>
      <c r="AF470">
        <f>IF(計分!AF470="","",計分!AF470^2)</f>
        <v/>
      </c>
      <c r="AG470">
        <f>IF(計分!AG470="","",計分!AG470^2)</f>
        <v/>
      </c>
      <c r="AH470">
        <f>IF(計分!AH470="","",計分!AH470^2)</f>
        <v/>
      </c>
      <c r="AI470">
        <f>IF(計分!AI470="","",計分!AI470^2)</f>
        <v/>
      </c>
      <c r="AJ470">
        <f>IF(計分!AJ470="","",計分!AJ470^2)</f>
        <v/>
      </c>
      <c r="AK470">
        <f>IF(計分!AK470="","",計分!AK470^2)</f>
        <v/>
      </c>
      <c r="AL470">
        <f>IF(計分!AL470="","",計分!AL470^2)</f>
        <v/>
      </c>
      <c r="AM470">
        <f>IF(計分!AM470="","",計分!AM470^2)</f>
        <v/>
      </c>
      <c r="AN470">
        <f>IF(計分!AN470="","",計分!AN470^2)</f>
        <v/>
      </c>
      <c r="AO470">
        <f>IF(計分!AO470="","",計分!AO470^2)</f>
        <v/>
      </c>
    </row>
    <row r="471">
      <c r="B471">
        <f>IF(計分!B471="","",計分!B471^2)</f>
        <v/>
      </c>
      <c r="C471">
        <f>IF(計分!C471="","",計分!C471^2)</f>
        <v/>
      </c>
      <c r="D471">
        <f>IF(計分!D471="","",計分!D471^2)</f>
        <v/>
      </c>
      <c r="E471">
        <f>IF(計分!E471="","",計分!E471^2)</f>
        <v/>
      </c>
      <c r="F471">
        <f>IF(計分!F471="","",計分!F471^2)</f>
        <v/>
      </c>
      <c r="G471">
        <f>IF(計分!G471="","",計分!G471^2)</f>
        <v/>
      </c>
      <c r="H471">
        <f>IF(計分!H471="","",計分!H471^2)</f>
        <v/>
      </c>
      <c r="I471">
        <f>IF(計分!I471="","",計分!I471^2)</f>
        <v/>
      </c>
      <c r="J471">
        <f>IF(計分!J471="","",計分!J471^2)</f>
        <v/>
      </c>
      <c r="K471">
        <f>IF(計分!K471="","",計分!K471^2)</f>
        <v/>
      </c>
      <c r="L471">
        <f>IF(計分!L471="","",計分!L471^2)</f>
        <v/>
      </c>
      <c r="M471">
        <f>IF(計分!M471="","",計分!M471^2)</f>
        <v/>
      </c>
      <c r="N471">
        <f>IF(計分!N471="","",計分!N471^2)</f>
        <v/>
      </c>
      <c r="O471">
        <f>IF(計分!O471="","",計分!O471^2)</f>
        <v/>
      </c>
      <c r="P471">
        <f>IF(計分!P471="","",計分!P471^2)</f>
        <v/>
      </c>
      <c r="Q471">
        <f>IF(計分!Q471="","",計分!Q471^2)</f>
        <v/>
      </c>
      <c r="R471">
        <f>IF(計分!R471="","",計分!R471^2)</f>
        <v/>
      </c>
      <c r="S471">
        <f>IF(計分!S471="","",計分!S471^2)</f>
        <v/>
      </c>
      <c r="T471">
        <f>IF(計分!T471="","",計分!T471^2)</f>
        <v/>
      </c>
      <c r="U471">
        <f>IF(計分!U471="","",計分!U471^2)</f>
        <v/>
      </c>
      <c r="V471">
        <f>IF(計分!V471="","",計分!V471^2)</f>
        <v/>
      </c>
      <c r="W471">
        <f>IF(計分!W471="","",計分!W471^2)</f>
        <v/>
      </c>
      <c r="X471">
        <f>IF(計分!X471="","",計分!X471^2)</f>
        <v/>
      </c>
      <c r="Y471">
        <f>IF(計分!Y471="","",計分!Y471^2)</f>
        <v/>
      </c>
      <c r="Z471">
        <f>IF(計分!Z471="","",計分!Z471^2)</f>
        <v/>
      </c>
      <c r="AA471">
        <f>IF(計分!AA471="","",計分!AA471^2)</f>
        <v/>
      </c>
      <c r="AB471">
        <f>IF(計分!AB471="","",計分!AB471^2)</f>
        <v/>
      </c>
      <c r="AC471">
        <f>IF(計分!AC471="","",計分!AC471^2)</f>
        <v/>
      </c>
      <c r="AD471">
        <f>IF(計分!AD471="","",計分!AD471^2)</f>
        <v/>
      </c>
      <c r="AE471">
        <f>IF(計分!AE471="","",計分!AE471^2)</f>
        <v/>
      </c>
      <c r="AF471">
        <f>IF(計分!AF471="","",計分!AF471^2)</f>
        <v/>
      </c>
      <c r="AG471">
        <f>IF(計分!AG471="","",計分!AG471^2)</f>
        <v/>
      </c>
      <c r="AH471">
        <f>IF(計分!AH471="","",計分!AH471^2)</f>
        <v/>
      </c>
      <c r="AI471">
        <f>IF(計分!AI471="","",計分!AI471^2)</f>
        <v/>
      </c>
      <c r="AJ471">
        <f>IF(計分!AJ471="","",計分!AJ471^2)</f>
        <v/>
      </c>
      <c r="AK471">
        <f>IF(計分!AK471="","",計分!AK471^2)</f>
        <v/>
      </c>
      <c r="AL471">
        <f>IF(計分!AL471="","",計分!AL471^2)</f>
        <v/>
      </c>
      <c r="AM471">
        <f>IF(計分!AM471="","",計分!AM471^2)</f>
        <v/>
      </c>
      <c r="AN471">
        <f>IF(計分!AN471="","",計分!AN471^2)</f>
        <v/>
      </c>
      <c r="AO471">
        <f>IF(計分!AO471="","",計分!AO471^2)</f>
        <v/>
      </c>
    </row>
    <row r="472">
      <c r="B472">
        <f>IF(計分!B472="","",計分!B472^2)</f>
        <v/>
      </c>
      <c r="C472">
        <f>IF(計分!C472="","",計分!C472^2)</f>
        <v/>
      </c>
      <c r="D472">
        <f>IF(計分!D472="","",計分!D472^2)</f>
        <v/>
      </c>
      <c r="E472">
        <f>IF(計分!E472="","",計分!E472^2)</f>
        <v/>
      </c>
      <c r="F472">
        <f>IF(計分!F472="","",計分!F472^2)</f>
        <v/>
      </c>
      <c r="G472">
        <f>IF(計分!G472="","",計分!G472^2)</f>
        <v/>
      </c>
      <c r="H472">
        <f>IF(計分!H472="","",計分!H472^2)</f>
        <v/>
      </c>
      <c r="I472">
        <f>IF(計分!I472="","",計分!I472^2)</f>
        <v/>
      </c>
      <c r="J472">
        <f>IF(計分!J472="","",計分!J472^2)</f>
        <v/>
      </c>
      <c r="K472">
        <f>IF(計分!K472="","",計分!K472^2)</f>
        <v/>
      </c>
      <c r="L472">
        <f>IF(計分!L472="","",計分!L472^2)</f>
        <v/>
      </c>
      <c r="M472">
        <f>IF(計分!M472="","",計分!M472^2)</f>
        <v/>
      </c>
      <c r="N472">
        <f>IF(計分!N472="","",計分!N472^2)</f>
        <v/>
      </c>
      <c r="O472">
        <f>IF(計分!O472="","",計分!O472^2)</f>
        <v/>
      </c>
      <c r="P472">
        <f>IF(計分!P472="","",計分!P472^2)</f>
        <v/>
      </c>
      <c r="Q472">
        <f>IF(計分!Q472="","",計分!Q472^2)</f>
        <v/>
      </c>
      <c r="R472">
        <f>IF(計分!R472="","",計分!R472^2)</f>
        <v/>
      </c>
      <c r="S472">
        <f>IF(計分!S472="","",計分!S472^2)</f>
        <v/>
      </c>
      <c r="T472">
        <f>IF(計分!T472="","",計分!T472^2)</f>
        <v/>
      </c>
      <c r="U472">
        <f>IF(計分!U472="","",計分!U472^2)</f>
        <v/>
      </c>
      <c r="V472">
        <f>IF(計分!V472="","",計分!V472^2)</f>
        <v/>
      </c>
      <c r="W472">
        <f>IF(計分!W472="","",計分!W472^2)</f>
        <v/>
      </c>
      <c r="X472">
        <f>IF(計分!X472="","",計分!X472^2)</f>
        <v/>
      </c>
      <c r="Y472">
        <f>IF(計分!Y472="","",計分!Y472^2)</f>
        <v/>
      </c>
      <c r="Z472">
        <f>IF(計分!Z472="","",計分!Z472^2)</f>
        <v/>
      </c>
      <c r="AA472">
        <f>IF(計分!AA472="","",計分!AA472^2)</f>
        <v/>
      </c>
      <c r="AB472">
        <f>IF(計分!AB472="","",計分!AB472^2)</f>
        <v/>
      </c>
      <c r="AC472">
        <f>IF(計分!AC472="","",計分!AC472^2)</f>
        <v/>
      </c>
      <c r="AD472">
        <f>IF(計分!AD472="","",計分!AD472^2)</f>
        <v/>
      </c>
      <c r="AE472">
        <f>IF(計分!AE472="","",計分!AE472^2)</f>
        <v/>
      </c>
      <c r="AF472">
        <f>IF(計分!AF472="","",計分!AF472^2)</f>
        <v/>
      </c>
      <c r="AG472">
        <f>IF(計分!AG472="","",計分!AG472^2)</f>
        <v/>
      </c>
      <c r="AH472">
        <f>IF(計分!AH472="","",計分!AH472^2)</f>
        <v/>
      </c>
      <c r="AI472">
        <f>IF(計分!AI472="","",計分!AI472^2)</f>
        <v/>
      </c>
      <c r="AJ472">
        <f>IF(計分!AJ472="","",計分!AJ472^2)</f>
        <v/>
      </c>
      <c r="AK472">
        <f>IF(計分!AK472="","",計分!AK472^2)</f>
        <v/>
      </c>
      <c r="AL472">
        <f>IF(計分!AL472="","",計分!AL472^2)</f>
        <v/>
      </c>
      <c r="AM472">
        <f>IF(計分!AM472="","",計分!AM472^2)</f>
        <v/>
      </c>
      <c r="AN472">
        <f>IF(計分!AN472="","",計分!AN472^2)</f>
        <v/>
      </c>
      <c r="AO472">
        <f>IF(計分!AO472="","",計分!AO472^2)</f>
        <v/>
      </c>
    </row>
    <row r="473">
      <c r="B473">
        <f>IF(計分!B473="","",計分!B473^2)</f>
        <v/>
      </c>
      <c r="C473">
        <f>IF(計分!C473="","",計分!C473^2)</f>
        <v/>
      </c>
      <c r="D473">
        <f>IF(計分!D473="","",計分!D473^2)</f>
        <v/>
      </c>
      <c r="E473">
        <f>IF(計分!E473="","",計分!E473^2)</f>
        <v/>
      </c>
      <c r="F473">
        <f>IF(計分!F473="","",計分!F473^2)</f>
        <v/>
      </c>
      <c r="G473">
        <f>IF(計分!G473="","",計分!G473^2)</f>
        <v/>
      </c>
      <c r="H473">
        <f>IF(計分!H473="","",計分!H473^2)</f>
        <v/>
      </c>
      <c r="I473">
        <f>IF(計分!I473="","",計分!I473^2)</f>
        <v/>
      </c>
      <c r="J473">
        <f>IF(計分!J473="","",計分!J473^2)</f>
        <v/>
      </c>
      <c r="K473">
        <f>IF(計分!K473="","",計分!K473^2)</f>
        <v/>
      </c>
      <c r="L473">
        <f>IF(計分!L473="","",計分!L473^2)</f>
        <v/>
      </c>
      <c r="M473">
        <f>IF(計分!M473="","",計分!M473^2)</f>
        <v/>
      </c>
      <c r="N473">
        <f>IF(計分!N473="","",計分!N473^2)</f>
        <v/>
      </c>
      <c r="O473">
        <f>IF(計分!O473="","",計分!O473^2)</f>
        <v/>
      </c>
      <c r="P473">
        <f>IF(計分!P473="","",計分!P473^2)</f>
        <v/>
      </c>
      <c r="Q473">
        <f>IF(計分!Q473="","",計分!Q473^2)</f>
        <v/>
      </c>
      <c r="R473">
        <f>IF(計分!R473="","",計分!R473^2)</f>
        <v/>
      </c>
      <c r="S473">
        <f>IF(計分!S473="","",計分!S473^2)</f>
        <v/>
      </c>
      <c r="T473">
        <f>IF(計分!T473="","",計分!T473^2)</f>
        <v/>
      </c>
      <c r="U473">
        <f>IF(計分!U473="","",計分!U473^2)</f>
        <v/>
      </c>
      <c r="V473">
        <f>IF(計分!V473="","",計分!V473^2)</f>
        <v/>
      </c>
      <c r="W473">
        <f>IF(計分!W473="","",計分!W473^2)</f>
        <v/>
      </c>
      <c r="X473">
        <f>IF(計分!X473="","",計分!X473^2)</f>
        <v/>
      </c>
      <c r="Y473">
        <f>IF(計分!Y473="","",計分!Y473^2)</f>
        <v/>
      </c>
      <c r="Z473">
        <f>IF(計分!Z473="","",計分!Z473^2)</f>
        <v/>
      </c>
      <c r="AA473">
        <f>IF(計分!AA473="","",計分!AA473^2)</f>
        <v/>
      </c>
      <c r="AB473">
        <f>IF(計分!AB473="","",計分!AB473^2)</f>
        <v/>
      </c>
      <c r="AC473">
        <f>IF(計分!AC473="","",計分!AC473^2)</f>
        <v/>
      </c>
      <c r="AD473">
        <f>IF(計分!AD473="","",計分!AD473^2)</f>
        <v/>
      </c>
      <c r="AE473">
        <f>IF(計分!AE473="","",計分!AE473^2)</f>
        <v/>
      </c>
      <c r="AF473">
        <f>IF(計分!AF473="","",計分!AF473^2)</f>
        <v/>
      </c>
      <c r="AG473">
        <f>IF(計分!AG473="","",計分!AG473^2)</f>
        <v/>
      </c>
      <c r="AH473">
        <f>IF(計分!AH473="","",計分!AH473^2)</f>
        <v/>
      </c>
      <c r="AI473">
        <f>IF(計分!AI473="","",計分!AI473^2)</f>
        <v/>
      </c>
      <c r="AJ473">
        <f>IF(計分!AJ473="","",計分!AJ473^2)</f>
        <v/>
      </c>
      <c r="AK473">
        <f>IF(計分!AK473="","",計分!AK473^2)</f>
        <v/>
      </c>
      <c r="AL473">
        <f>IF(計分!AL473="","",計分!AL473^2)</f>
        <v/>
      </c>
      <c r="AM473">
        <f>IF(計分!AM473="","",計分!AM473^2)</f>
        <v/>
      </c>
      <c r="AN473">
        <f>IF(計分!AN473="","",計分!AN473^2)</f>
        <v/>
      </c>
      <c r="AO473">
        <f>IF(計分!AO473="","",計分!AO473^2)</f>
        <v/>
      </c>
    </row>
    <row r="474">
      <c r="B474">
        <f>IF(計分!B474="","",計分!B474^2)</f>
        <v/>
      </c>
      <c r="C474">
        <f>IF(計分!C474="","",計分!C474^2)</f>
        <v/>
      </c>
      <c r="D474">
        <f>IF(計分!D474="","",計分!D474^2)</f>
        <v/>
      </c>
      <c r="E474">
        <f>IF(計分!E474="","",計分!E474^2)</f>
        <v/>
      </c>
      <c r="F474">
        <f>IF(計分!F474="","",計分!F474^2)</f>
        <v/>
      </c>
      <c r="G474">
        <f>IF(計分!G474="","",計分!G474^2)</f>
        <v/>
      </c>
      <c r="H474">
        <f>IF(計分!H474="","",計分!H474^2)</f>
        <v/>
      </c>
      <c r="I474">
        <f>IF(計分!I474="","",計分!I474^2)</f>
        <v/>
      </c>
      <c r="J474">
        <f>IF(計分!J474="","",計分!J474^2)</f>
        <v/>
      </c>
      <c r="K474">
        <f>IF(計分!K474="","",計分!K474^2)</f>
        <v/>
      </c>
      <c r="L474">
        <f>IF(計分!L474="","",計分!L474^2)</f>
        <v/>
      </c>
      <c r="M474">
        <f>IF(計分!M474="","",計分!M474^2)</f>
        <v/>
      </c>
      <c r="N474">
        <f>IF(計分!N474="","",計分!N474^2)</f>
        <v/>
      </c>
      <c r="O474">
        <f>IF(計分!O474="","",計分!O474^2)</f>
        <v/>
      </c>
      <c r="P474">
        <f>IF(計分!P474="","",計分!P474^2)</f>
        <v/>
      </c>
      <c r="Q474">
        <f>IF(計分!Q474="","",計分!Q474^2)</f>
        <v/>
      </c>
      <c r="R474">
        <f>IF(計分!R474="","",計分!R474^2)</f>
        <v/>
      </c>
      <c r="S474">
        <f>IF(計分!S474="","",計分!S474^2)</f>
        <v/>
      </c>
      <c r="T474">
        <f>IF(計分!T474="","",計分!T474^2)</f>
        <v/>
      </c>
      <c r="U474">
        <f>IF(計分!U474="","",計分!U474^2)</f>
        <v/>
      </c>
      <c r="V474">
        <f>IF(計分!V474="","",計分!V474^2)</f>
        <v/>
      </c>
      <c r="W474">
        <f>IF(計分!W474="","",計分!W474^2)</f>
        <v/>
      </c>
      <c r="X474">
        <f>IF(計分!X474="","",計分!X474^2)</f>
        <v/>
      </c>
      <c r="Y474">
        <f>IF(計分!Y474="","",計分!Y474^2)</f>
        <v/>
      </c>
      <c r="Z474">
        <f>IF(計分!Z474="","",計分!Z474^2)</f>
        <v/>
      </c>
      <c r="AA474">
        <f>IF(計分!AA474="","",計分!AA474^2)</f>
        <v/>
      </c>
      <c r="AB474">
        <f>IF(計分!AB474="","",計分!AB474^2)</f>
        <v/>
      </c>
      <c r="AC474">
        <f>IF(計分!AC474="","",計分!AC474^2)</f>
        <v/>
      </c>
      <c r="AD474">
        <f>IF(計分!AD474="","",計分!AD474^2)</f>
        <v/>
      </c>
      <c r="AE474">
        <f>IF(計分!AE474="","",計分!AE474^2)</f>
        <v/>
      </c>
      <c r="AF474">
        <f>IF(計分!AF474="","",計分!AF474^2)</f>
        <v/>
      </c>
      <c r="AG474">
        <f>IF(計分!AG474="","",計分!AG474^2)</f>
        <v/>
      </c>
      <c r="AH474">
        <f>IF(計分!AH474="","",計分!AH474^2)</f>
        <v/>
      </c>
      <c r="AI474">
        <f>IF(計分!AI474="","",計分!AI474^2)</f>
        <v/>
      </c>
      <c r="AJ474">
        <f>IF(計分!AJ474="","",計分!AJ474^2)</f>
        <v/>
      </c>
      <c r="AK474">
        <f>IF(計分!AK474="","",計分!AK474^2)</f>
        <v/>
      </c>
      <c r="AL474">
        <f>IF(計分!AL474="","",計分!AL474^2)</f>
        <v/>
      </c>
      <c r="AM474">
        <f>IF(計分!AM474="","",計分!AM474^2)</f>
        <v/>
      </c>
      <c r="AN474">
        <f>IF(計分!AN474="","",計分!AN474^2)</f>
        <v/>
      </c>
      <c r="AO474">
        <f>IF(計分!AO474="","",計分!AO474^2)</f>
        <v/>
      </c>
    </row>
    <row r="475">
      <c r="B475">
        <f>IF(計分!B475="","",計分!B475^2)</f>
        <v/>
      </c>
      <c r="C475">
        <f>IF(計分!C475="","",計分!C475^2)</f>
        <v/>
      </c>
      <c r="D475">
        <f>IF(計分!D475="","",計分!D475^2)</f>
        <v/>
      </c>
      <c r="E475">
        <f>IF(計分!E475="","",計分!E475^2)</f>
        <v/>
      </c>
      <c r="F475">
        <f>IF(計分!F475="","",計分!F475^2)</f>
        <v/>
      </c>
      <c r="G475">
        <f>IF(計分!G475="","",計分!G475^2)</f>
        <v/>
      </c>
      <c r="H475">
        <f>IF(計分!H475="","",計分!H475^2)</f>
        <v/>
      </c>
      <c r="I475">
        <f>IF(計分!I475="","",計分!I475^2)</f>
        <v/>
      </c>
      <c r="J475">
        <f>IF(計分!J475="","",計分!J475^2)</f>
        <v/>
      </c>
      <c r="K475">
        <f>IF(計分!K475="","",計分!K475^2)</f>
        <v/>
      </c>
      <c r="L475">
        <f>IF(計分!L475="","",計分!L475^2)</f>
        <v/>
      </c>
      <c r="M475">
        <f>IF(計分!M475="","",計分!M475^2)</f>
        <v/>
      </c>
      <c r="N475">
        <f>IF(計分!N475="","",計分!N475^2)</f>
        <v/>
      </c>
      <c r="O475">
        <f>IF(計分!O475="","",計分!O475^2)</f>
        <v/>
      </c>
      <c r="P475">
        <f>IF(計分!P475="","",計分!P475^2)</f>
        <v/>
      </c>
      <c r="Q475">
        <f>IF(計分!Q475="","",計分!Q475^2)</f>
        <v/>
      </c>
      <c r="R475">
        <f>IF(計分!R475="","",計分!R475^2)</f>
        <v/>
      </c>
      <c r="S475">
        <f>IF(計分!S475="","",計分!S475^2)</f>
        <v/>
      </c>
      <c r="T475">
        <f>IF(計分!T475="","",計分!T475^2)</f>
        <v/>
      </c>
      <c r="U475">
        <f>IF(計分!U475="","",計分!U475^2)</f>
        <v/>
      </c>
      <c r="V475">
        <f>IF(計分!V475="","",計分!V475^2)</f>
        <v/>
      </c>
      <c r="W475">
        <f>IF(計分!W475="","",計分!W475^2)</f>
        <v/>
      </c>
      <c r="X475">
        <f>IF(計分!X475="","",計分!X475^2)</f>
        <v/>
      </c>
      <c r="Y475">
        <f>IF(計分!Y475="","",計分!Y475^2)</f>
        <v/>
      </c>
      <c r="Z475">
        <f>IF(計分!Z475="","",計分!Z475^2)</f>
        <v/>
      </c>
      <c r="AA475">
        <f>IF(計分!AA475="","",計分!AA475^2)</f>
        <v/>
      </c>
      <c r="AB475">
        <f>IF(計分!AB475="","",計分!AB475^2)</f>
        <v/>
      </c>
      <c r="AC475">
        <f>IF(計分!AC475="","",計分!AC475^2)</f>
        <v/>
      </c>
      <c r="AD475">
        <f>IF(計分!AD475="","",計分!AD475^2)</f>
        <v/>
      </c>
      <c r="AE475">
        <f>IF(計分!AE475="","",計分!AE475^2)</f>
        <v/>
      </c>
      <c r="AF475">
        <f>IF(計分!AF475="","",計分!AF475^2)</f>
        <v/>
      </c>
      <c r="AG475">
        <f>IF(計分!AG475="","",計分!AG475^2)</f>
        <v/>
      </c>
      <c r="AH475">
        <f>IF(計分!AH475="","",計分!AH475^2)</f>
        <v/>
      </c>
      <c r="AI475">
        <f>IF(計分!AI475="","",計分!AI475^2)</f>
        <v/>
      </c>
      <c r="AJ475">
        <f>IF(計分!AJ475="","",計分!AJ475^2)</f>
        <v/>
      </c>
      <c r="AK475">
        <f>IF(計分!AK475="","",計分!AK475^2)</f>
        <v/>
      </c>
      <c r="AL475">
        <f>IF(計分!AL475="","",計分!AL475^2)</f>
        <v/>
      </c>
      <c r="AM475">
        <f>IF(計分!AM475="","",計分!AM475^2)</f>
        <v/>
      </c>
      <c r="AN475">
        <f>IF(計分!AN475="","",計分!AN475^2)</f>
        <v/>
      </c>
      <c r="AO475">
        <f>IF(計分!AO475="","",計分!AO475^2)</f>
        <v/>
      </c>
    </row>
    <row r="476">
      <c r="B476">
        <f>IF(計分!B476="","",計分!B476^2)</f>
        <v/>
      </c>
      <c r="C476">
        <f>IF(計分!C476="","",計分!C476^2)</f>
        <v/>
      </c>
      <c r="D476">
        <f>IF(計分!D476="","",計分!D476^2)</f>
        <v/>
      </c>
      <c r="E476">
        <f>IF(計分!E476="","",計分!E476^2)</f>
        <v/>
      </c>
      <c r="F476">
        <f>IF(計分!F476="","",計分!F476^2)</f>
        <v/>
      </c>
      <c r="G476">
        <f>IF(計分!G476="","",計分!G476^2)</f>
        <v/>
      </c>
      <c r="H476">
        <f>IF(計分!H476="","",計分!H476^2)</f>
        <v/>
      </c>
      <c r="I476">
        <f>IF(計分!I476="","",計分!I476^2)</f>
        <v/>
      </c>
      <c r="J476">
        <f>IF(計分!J476="","",計分!J476^2)</f>
        <v/>
      </c>
      <c r="K476">
        <f>IF(計分!K476="","",計分!K476^2)</f>
        <v/>
      </c>
      <c r="L476">
        <f>IF(計分!L476="","",計分!L476^2)</f>
        <v/>
      </c>
      <c r="M476">
        <f>IF(計分!M476="","",計分!M476^2)</f>
        <v/>
      </c>
      <c r="N476">
        <f>IF(計分!N476="","",計分!N476^2)</f>
        <v/>
      </c>
      <c r="O476">
        <f>IF(計分!O476="","",計分!O476^2)</f>
        <v/>
      </c>
      <c r="P476">
        <f>IF(計分!P476="","",計分!P476^2)</f>
        <v/>
      </c>
      <c r="Q476">
        <f>IF(計分!Q476="","",計分!Q476^2)</f>
        <v/>
      </c>
      <c r="R476">
        <f>IF(計分!R476="","",計分!R476^2)</f>
        <v/>
      </c>
      <c r="S476">
        <f>IF(計分!S476="","",計分!S476^2)</f>
        <v/>
      </c>
      <c r="T476">
        <f>IF(計分!T476="","",計分!T476^2)</f>
        <v/>
      </c>
      <c r="U476">
        <f>IF(計分!U476="","",計分!U476^2)</f>
        <v/>
      </c>
      <c r="V476">
        <f>IF(計分!V476="","",計分!V476^2)</f>
        <v/>
      </c>
      <c r="W476">
        <f>IF(計分!W476="","",計分!W476^2)</f>
        <v/>
      </c>
      <c r="X476">
        <f>IF(計分!X476="","",計分!X476^2)</f>
        <v/>
      </c>
      <c r="Y476">
        <f>IF(計分!Y476="","",計分!Y476^2)</f>
        <v/>
      </c>
      <c r="Z476">
        <f>IF(計分!Z476="","",計分!Z476^2)</f>
        <v/>
      </c>
      <c r="AA476">
        <f>IF(計分!AA476="","",計分!AA476^2)</f>
        <v/>
      </c>
      <c r="AB476">
        <f>IF(計分!AB476="","",計分!AB476^2)</f>
        <v/>
      </c>
      <c r="AC476">
        <f>IF(計分!AC476="","",計分!AC476^2)</f>
        <v/>
      </c>
      <c r="AD476">
        <f>IF(計分!AD476="","",計分!AD476^2)</f>
        <v/>
      </c>
      <c r="AE476">
        <f>IF(計分!AE476="","",計分!AE476^2)</f>
        <v/>
      </c>
      <c r="AF476">
        <f>IF(計分!AF476="","",計分!AF476^2)</f>
        <v/>
      </c>
      <c r="AG476">
        <f>IF(計分!AG476="","",計分!AG476^2)</f>
        <v/>
      </c>
      <c r="AH476">
        <f>IF(計分!AH476="","",計分!AH476^2)</f>
        <v/>
      </c>
      <c r="AI476">
        <f>IF(計分!AI476="","",計分!AI476^2)</f>
        <v/>
      </c>
      <c r="AJ476">
        <f>IF(計分!AJ476="","",計分!AJ476^2)</f>
        <v/>
      </c>
      <c r="AK476">
        <f>IF(計分!AK476="","",計分!AK476^2)</f>
        <v/>
      </c>
      <c r="AL476">
        <f>IF(計分!AL476="","",計分!AL476^2)</f>
        <v/>
      </c>
      <c r="AM476">
        <f>IF(計分!AM476="","",計分!AM476^2)</f>
        <v/>
      </c>
      <c r="AN476">
        <f>IF(計分!AN476="","",計分!AN476^2)</f>
        <v/>
      </c>
      <c r="AO476">
        <f>IF(計分!AO476="","",計分!AO476^2)</f>
        <v/>
      </c>
    </row>
    <row r="477">
      <c r="B477">
        <f>IF(計分!B477="","",計分!B477^2)</f>
        <v/>
      </c>
      <c r="C477">
        <f>IF(計分!C477="","",計分!C477^2)</f>
        <v/>
      </c>
      <c r="D477">
        <f>IF(計分!D477="","",計分!D477^2)</f>
        <v/>
      </c>
      <c r="E477">
        <f>IF(計分!E477="","",計分!E477^2)</f>
        <v/>
      </c>
      <c r="F477">
        <f>IF(計分!F477="","",計分!F477^2)</f>
        <v/>
      </c>
      <c r="G477">
        <f>IF(計分!G477="","",計分!G477^2)</f>
        <v/>
      </c>
      <c r="H477">
        <f>IF(計分!H477="","",計分!H477^2)</f>
        <v/>
      </c>
      <c r="I477">
        <f>IF(計分!I477="","",計分!I477^2)</f>
        <v/>
      </c>
      <c r="J477">
        <f>IF(計分!J477="","",計分!J477^2)</f>
        <v/>
      </c>
      <c r="K477">
        <f>IF(計分!K477="","",計分!K477^2)</f>
        <v/>
      </c>
      <c r="L477">
        <f>IF(計分!L477="","",計分!L477^2)</f>
        <v/>
      </c>
      <c r="M477">
        <f>IF(計分!M477="","",計分!M477^2)</f>
        <v/>
      </c>
      <c r="N477">
        <f>IF(計分!N477="","",計分!N477^2)</f>
        <v/>
      </c>
      <c r="O477">
        <f>IF(計分!O477="","",計分!O477^2)</f>
        <v/>
      </c>
      <c r="P477">
        <f>IF(計分!P477="","",計分!P477^2)</f>
        <v/>
      </c>
      <c r="Q477">
        <f>IF(計分!Q477="","",計分!Q477^2)</f>
        <v/>
      </c>
      <c r="R477">
        <f>IF(計分!R477="","",計分!R477^2)</f>
        <v/>
      </c>
      <c r="S477">
        <f>IF(計分!S477="","",計分!S477^2)</f>
        <v/>
      </c>
      <c r="T477">
        <f>IF(計分!T477="","",計分!T477^2)</f>
        <v/>
      </c>
      <c r="U477">
        <f>IF(計分!U477="","",計分!U477^2)</f>
        <v/>
      </c>
      <c r="V477">
        <f>IF(計分!V477="","",計分!V477^2)</f>
        <v/>
      </c>
      <c r="W477">
        <f>IF(計分!W477="","",計分!W477^2)</f>
        <v/>
      </c>
      <c r="X477">
        <f>IF(計分!X477="","",計分!X477^2)</f>
        <v/>
      </c>
      <c r="Y477">
        <f>IF(計分!Y477="","",計分!Y477^2)</f>
        <v/>
      </c>
      <c r="Z477">
        <f>IF(計分!Z477="","",計分!Z477^2)</f>
        <v/>
      </c>
      <c r="AA477">
        <f>IF(計分!AA477="","",計分!AA477^2)</f>
        <v/>
      </c>
      <c r="AB477">
        <f>IF(計分!AB477="","",計分!AB477^2)</f>
        <v/>
      </c>
      <c r="AC477">
        <f>IF(計分!AC477="","",計分!AC477^2)</f>
        <v/>
      </c>
      <c r="AD477">
        <f>IF(計分!AD477="","",計分!AD477^2)</f>
        <v/>
      </c>
      <c r="AE477">
        <f>IF(計分!AE477="","",計分!AE477^2)</f>
        <v/>
      </c>
      <c r="AF477">
        <f>IF(計分!AF477="","",計分!AF477^2)</f>
        <v/>
      </c>
      <c r="AG477">
        <f>IF(計分!AG477="","",計分!AG477^2)</f>
        <v/>
      </c>
      <c r="AH477">
        <f>IF(計分!AH477="","",計分!AH477^2)</f>
        <v/>
      </c>
      <c r="AI477">
        <f>IF(計分!AI477="","",計分!AI477^2)</f>
        <v/>
      </c>
      <c r="AJ477">
        <f>IF(計分!AJ477="","",計分!AJ477^2)</f>
        <v/>
      </c>
      <c r="AK477">
        <f>IF(計分!AK477="","",計分!AK477^2)</f>
        <v/>
      </c>
      <c r="AL477">
        <f>IF(計分!AL477="","",計分!AL477^2)</f>
        <v/>
      </c>
      <c r="AM477">
        <f>IF(計分!AM477="","",計分!AM477^2)</f>
        <v/>
      </c>
      <c r="AN477">
        <f>IF(計分!AN477="","",計分!AN477^2)</f>
        <v/>
      </c>
      <c r="AO477">
        <f>IF(計分!AO477="","",計分!AO477^2)</f>
        <v/>
      </c>
    </row>
    <row r="478">
      <c r="B478">
        <f>IF(計分!B478="","",計分!B478^2)</f>
        <v/>
      </c>
      <c r="C478">
        <f>IF(計分!C478="","",計分!C478^2)</f>
        <v/>
      </c>
      <c r="D478">
        <f>IF(計分!D478="","",計分!D478^2)</f>
        <v/>
      </c>
      <c r="E478">
        <f>IF(計分!E478="","",計分!E478^2)</f>
        <v/>
      </c>
      <c r="F478">
        <f>IF(計分!F478="","",計分!F478^2)</f>
        <v/>
      </c>
      <c r="G478">
        <f>IF(計分!G478="","",計分!G478^2)</f>
        <v/>
      </c>
      <c r="H478">
        <f>IF(計分!H478="","",計分!H478^2)</f>
        <v/>
      </c>
      <c r="I478">
        <f>IF(計分!I478="","",計分!I478^2)</f>
        <v/>
      </c>
      <c r="J478">
        <f>IF(計分!J478="","",計分!J478^2)</f>
        <v/>
      </c>
      <c r="K478">
        <f>IF(計分!K478="","",計分!K478^2)</f>
        <v/>
      </c>
      <c r="L478">
        <f>IF(計分!L478="","",計分!L478^2)</f>
        <v/>
      </c>
      <c r="M478">
        <f>IF(計分!M478="","",計分!M478^2)</f>
        <v/>
      </c>
      <c r="N478">
        <f>IF(計分!N478="","",計分!N478^2)</f>
        <v/>
      </c>
      <c r="O478">
        <f>IF(計分!O478="","",計分!O478^2)</f>
        <v/>
      </c>
      <c r="P478">
        <f>IF(計分!P478="","",計分!P478^2)</f>
        <v/>
      </c>
      <c r="Q478">
        <f>IF(計分!Q478="","",計分!Q478^2)</f>
        <v/>
      </c>
      <c r="R478">
        <f>IF(計分!R478="","",計分!R478^2)</f>
        <v/>
      </c>
      <c r="S478">
        <f>IF(計分!S478="","",計分!S478^2)</f>
        <v/>
      </c>
      <c r="T478">
        <f>IF(計分!T478="","",計分!T478^2)</f>
        <v/>
      </c>
      <c r="U478">
        <f>IF(計分!U478="","",計分!U478^2)</f>
        <v/>
      </c>
      <c r="V478">
        <f>IF(計分!V478="","",計分!V478^2)</f>
        <v/>
      </c>
      <c r="W478">
        <f>IF(計分!W478="","",計分!W478^2)</f>
        <v/>
      </c>
      <c r="X478">
        <f>IF(計分!X478="","",計分!X478^2)</f>
        <v/>
      </c>
      <c r="Y478">
        <f>IF(計分!Y478="","",計分!Y478^2)</f>
        <v/>
      </c>
      <c r="Z478">
        <f>IF(計分!Z478="","",計分!Z478^2)</f>
        <v/>
      </c>
      <c r="AA478">
        <f>IF(計分!AA478="","",計分!AA478^2)</f>
        <v/>
      </c>
      <c r="AB478">
        <f>IF(計分!AB478="","",計分!AB478^2)</f>
        <v/>
      </c>
      <c r="AC478">
        <f>IF(計分!AC478="","",計分!AC478^2)</f>
        <v/>
      </c>
      <c r="AD478">
        <f>IF(計分!AD478="","",計分!AD478^2)</f>
        <v/>
      </c>
      <c r="AE478">
        <f>IF(計分!AE478="","",計分!AE478^2)</f>
        <v/>
      </c>
      <c r="AF478">
        <f>IF(計分!AF478="","",計分!AF478^2)</f>
        <v/>
      </c>
      <c r="AG478">
        <f>IF(計分!AG478="","",計分!AG478^2)</f>
        <v/>
      </c>
      <c r="AH478">
        <f>IF(計分!AH478="","",計分!AH478^2)</f>
        <v/>
      </c>
      <c r="AI478">
        <f>IF(計分!AI478="","",計分!AI478^2)</f>
        <v/>
      </c>
      <c r="AJ478">
        <f>IF(計分!AJ478="","",計分!AJ478^2)</f>
        <v/>
      </c>
      <c r="AK478">
        <f>IF(計分!AK478="","",計分!AK478^2)</f>
        <v/>
      </c>
      <c r="AL478">
        <f>IF(計分!AL478="","",計分!AL478^2)</f>
        <v/>
      </c>
      <c r="AM478">
        <f>IF(計分!AM478="","",計分!AM478^2)</f>
        <v/>
      </c>
      <c r="AN478">
        <f>IF(計分!AN478="","",計分!AN478^2)</f>
        <v/>
      </c>
      <c r="AO478">
        <f>IF(計分!AO478="","",計分!AO478^2)</f>
        <v/>
      </c>
    </row>
    <row r="479">
      <c r="B479">
        <f>IF(計分!B479="","",計分!B479^2)</f>
        <v/>
      </c>
      <c r="C479">
        <f>IF(計分!C479="","",計分!C479^2)</f>
        <v/>
      </c>
      <c r="D479">
        <f>IF(計分!D479="","",計分!D479^2)</f>
        <v/>
      </c>
      <c r="E479">
        <f>IF(計分!E479="","",計分!E479^2)</f>
        <v/>
      </c>
      <c r="F479">
        <f>IF(計分!F479="","",計分!F479^2)</f>
        <v/>
      </c>
      <c r="G479">
        <f>IF(計分!G479="","",計分!G479^2)</f>
        <v/>
      </c>
      <c r="H479">
        <f>IF(計分!H479="","",計分!H479^2)</f>
        <v/>
      </c>
      <c r="I479">
        <f>IF(計分!I479="","",計分!I479^2)</f>
        <v/>
      </c>
      <c r="J479">
        <f>IF(計分!J479="","",計分!J479^2)</f>
        <v/>
      </c>
      <c r="K479">
        <f>IF(計分!K479="","",計分!K479^2)</f>
        <v/>
      </c>
      <c r="L479">
        <f>IF(計分!L479="","",計分!L479^2)</f>
        <v/>
      </c>
      <c r="M479">
        <f>IF(計分!M479="","",計分!M479^2)</f>
        <v/>
      </c>
      <c r="N479">
        <f>IF(計分!N479="","",計分!N479^2)</f>
        <v/>
      </c>
      <c r="O479">
        <f>IF(計分!O479="","",計分!O479^2)</f>
        <v/>
      </c>
      <c r="P479">
        <f>IF(計分!P479="","",計分!P479^2)</f>
        <v/>
      </c>
      <c r="Q479">
        <f>IF(計分!Q479="","",計分!Q479^2)</f>
        <v/>
      </c>
      <c r="R479">
        <f>IF(計分!R479="","",計分!R479^2)</f>
        <v/>
      </c>
      <c r="S479">
        <f>IF(計分!S479="","",計分!S479^2)</f>
        <v/>
      </c>
      <c r="T479">
        <f>IF(計分!T479="","",計分!T479^2)</f>
        <v/>
      </c>
      <c r="U479">
        <f>IF(計分!U479="","",計分!U479^2)</f>
        <v/>
      </c>
      <c r="V479">
        <f>IF(計分!V479="","",計分!V479^2)</f>
        <v/>
      </c>
      <c r="W479">
        <f>IF(計分!W479="","",計分!W479^2)</f>
        <v/>
      </c>
      <c r="X479">
        <f>IF(計分!X479="","",計分!X479^2)</f>
        <v/>
      </c>
      <c r="Y479">
        <f>IF(計分!Y479="","",計分!Y479^2)</f>
        <v/>
      </c>
      <c r="Z479">
        <f>IF(計分!Z479="","",計分!Z479^2)</f>
        <v/>
      </c>
      <c r="AA479">
        <f>IF(計分!AA479="","",計分!AA479^2)</f>
        <v/>
      </c>
      <c r="AB479">
        <f>IF(計分!AB479="","",計分!AB479^2)</f>
        <v/>
      </c>
      <c r="AC479">
        <f>IF(計分!AC479="","",計分!AC479^2)</f>
        <v/>
      </c>
      <c r="AD479">
        <f>IF(計分!AD479="","",計分!AD479^2)</f>
        <v/>
      </c>
      <c r="AE479">
        <f>IF(計分!AE479="","",計分!AE479^2)</f>
        <v/>
      </c>
      <c r="AF479">
        <f>IF(計分!AF479="","",計分!AF479^2)</f>
        <v/>
      </c>
      <c r="AG479">
        <f>IF(計分!AG479="","",計分!AG479^2)</f>
        <v/>
      </c>
      <c r="AH479">
        <f>IF(計分!AH479="","",計分!AH479^2)</f>
        <v/>
      </c>
      <c r="AI479">
        <f>IF(計分!AI479="","",計分!AI479^2)</f>
        <v/>
      </c>
      <c r="AJ479">
        <f>IF(計分!AJ479="","",計分!AJ479^2)</f>
        <v/>
      </c>
      <c r="AK479">
        <f>IF(計分!AK479="","",計分!AK479^2)</f>
        <v/>
      </c>
      <c r="AL479">
        <f>IF(計分!AL479="","",計分!AL479^2)</f>
        <v/>
      </c>
      <c r="AM479">
        <f>IF(計分!AM479="","",計分!AM479^2)</f>
        <v/>
      </c>
      <c r="AN479">
        <f>IF(計分!AN479="","",計分!AN479^2)</f>
        <v/>
      </c>
      <c r="AO479">
        <f>IF(計分!AO479="","",計分!AO479^2)</f>
        <v/>
      </c>
    </row>
    <row r="480">
      <c r="B480">
        <f>IF(計分!B480="","",計分!B480^2)</f>
        <v/>
      </c>
      <c r="C480">
        <f>IF(計分!C480="","",計分!C480^2)</f>
        <v/>
      </c>
      <c r="D480">
        <f>IF(計分!D480="","",計分!D480^2)</f>
        <v/>
      </c>
      <c r="E480">
        <f>IF(計分!E480="","",計分!E480^2)</f>
        <v/>
      </c>
      <c r="F480">
        <f>IF(計分!F480="","",計分!F480^2)</f>
        <v/>
      </c>
      <c r="G480">
        <f>IF(計分!G480="","",計分!G480^2)</f>
        <v/>
      </c>
      <c r="H480">
        <f>IF(計分!H480="","",計分!H480^2)</f>
        <v/>
      </c>
      <c r="I480">
        <f>IF(計分!I480="","",計分!I480^2)</f>
        <v/>
      </c>
      <c r="J480">
        <f>IF(計分!J480="","",計分!J480^2)</f>
        <v/>
      </c>
      <c r="K480">
        <f>IF(計分!K480="","",計分!K480^2)</f>
        <v/>
      </c>
      <c r="L480">
        <f>IF(計分!L480="","",計分!L480^2)</f>
        <v/>
      </c>
      <c r="M480">
        <f>IF(計分!M480="","",計分!M480^2)</f>
        <v/>
      </c>
      <c r="N480">
        <f>IF(計分!N480="","",計分!N480^2)</f>
        <v/>
      </c>
      <c r="O480">
        <f>IF(計分!O480="","",計分!O480^2)</f>
        <v/>
      </c>
      <c r="P480">
        <f>IF(計分!P480="","",計分!P480^2)</f>
        <v/>
      </c>
      <c r="Q480">
        <f>IF(計分!Q480="","",計分!Q480^2)</f>
        <v/>
      </c>
      <c r="R480">
        <f>IF(計分!R480="","",計分!R480^2)</f>
        <v/>
      </c>
      <c r="S480">
        <f>IF(計分!S480="","",計分!S480^2)</f>
        <v/>
      </c>
      <c r="T480">
        <f>IF(計分!T480="","",計分!T480^2)</f>
        <v/>
      </c>
      <c r="U480">
        <f>IF(計分!U480="","",計分!U480^2)</f>
        <v/>
      </c>
      <c r="V480">
        <f>IF(計分!V480="","",計分!V480^2)</f>
        <v/>
      </c>
      <c r="W480">
        <f>IF(計分!W480="","",計分!W480^2)</f>
        <v/>
      </c>
      <c r="X480">
        <f>IF(計分!X480="","",計分!X480^2)</f>
        <v/>
      </c>
      <c r="Y480">
        <f>IF(計分!Y480="","",計分!Y480^2)</f>
        <v/>
      </c>
      <c r="Z480">
        <f>IF(計分!Z480="","",計分!Z480^2)</f>
        <v/>
      </c>
      <c r="AA480">
        <f>IF(計分!AA480="","",計分!AA480^2)</f>
        <v/>
      </c>
      <c r="AB480">
        <f>IF(計分!AB480="","",計分!AB480^2)</f>
        <v/>
      </c>
      <c r="AC480">
        <f>IF(計分!AC480="","",計分!AC480^2)</f>
        <v/>
      </c>
      <c r="AD480">
        <f>IF(計分!AD480="","",計分!AD480^2)</f>
        <v/>
      </c>
      <c r="AE480">
        <f>IF(計分!AE480="","",計分!AE480^2)</f>
        <v/>
      </c>
      <c r="AF480">
        <f>IF(計分!AF480="","",計分!AF480^2)</f>
        <v/>
      </c>
      <c r="AG480">
        <f>IF(計分!AG480="","",計分!AG480^2)</f>
        <v/>
      </c>
      <c r="AH480">
        <f>IF(計分!AH480="","",計分!AH480^2)</f>
        <v/>
      </c>
      <c r="AI480">
        <f>IF(計分!AI480="","",計分!AI480^2)</f>
        <v/>
      </c>
      <c r="AJ480">
        <f>IF(計分!AJ480="","",計分!AJ480^2)</f>
        <v/>
      </c>
      <c r="AK480">
        <f>IF(計分!AK480="","",計分!AK480^2)</f>
        <v/>
      </c>
      <c r="AL480">
        <f>IF(計分!AL480="","",計分!AL480^2)</f>
        <v/>
      </c>
      <c r="AM480">
        <f>IF(計分!AM480="","",計分!AM480^2)</f>
        <v/>
      </c>
      <c r="AN480">
        <f>IF(計分!AN480="","",計分!AN480^2)</f>
        <v/>
      </c>
      <c r="AO480">
        <f>IF(計分!AO480="","",計分!AO480^2)</f>
        <v/>
      </c>
    </row>
    <row r="481">
      <c r="B481">
        <f>IF(計分!B481="","",計分!B481^2)</f>
        <v/>
      </c>
      <c r="C481">
        <f>IF(計分!C481="","",計分!C481^2)</f>
        <v/>
      </c>
      <c r="D481">
        <f>IF(計分!D481="","",計分!D481^2)</f>
        <v/>
      </c>
      <c r="E481">
        <f>IF(計分!E481="","",計分!E481^2)</f>
        <v/>
      </c>
      <c r="F481">
        <f>IF(計分!F481="","",計分!F481^2)</f>
        <v/>
      </c>
      <c r="G481">
        <f>IF(計分!G481="","",計分!G481^2)</f>
        <v/>
      </c>
      <c r="H481">
        <f>IF(計分!H481="","",計分!H481^2)</f>
        <v/>
      </c>
      <c r="I481">
        <f>IF(計分!I481="","",計分!I481^2)</f>
        <v/>
      </c>
      <c r="J481">
        <f>IF(計分!J481="","",計分!J481^2)</f>
        <v/>
      </c>
      <c r="K481">
        <f>IF(計分!K481="","",計分!K481^2)</f>
        <v/>
      </c>
      <c r="L481">
        <f>IF(計分!L481="","",計分!L481^2)</f>
        <v/>
      </c>
      <c r="M481">
        <f>IF(計分!M481="","",計分!M481^2)</f>
        <v/>
      </c>
      <c r="N481">
        <f>IF(計分!N481="","",計分!N481^2)</f>
        <v/>
      </c>
      <c r="O481">
        <f>IF(計分!O481="","",計分!O481^2)</f>
        <v/>
      </c>
      <c r="P481">
        <f>IF(計分!P481="","",計分!P481^2)</f>
        <v/>
      </c>
      <c r="Q481">
        <f>IF(計分!Q481="","",計分!Q481^2)</f>
        <v/>
      </c>
      <c r="R481">
        <f>IF(計分!R481="","",計分!R481^2)</f>
        <v/>
      </c>
      <c r="S481">
        <f>IF(計分!S481="","",計分!S481^2)</f>
        <v/>
      </c>
      <c r="T481">
        <f>IF(計分!T481="","",計分!T481^2)</f>
        <v/>
      </c>
      <c r="U481">
        <f>IF(計分!U481="","",計分!U481^2)</f>
        <v/>
      </c>
      <c r="V481">
        <f>IF(計分!V481="","",計分!V481^2)</f>
        <v/>
      </c>
      <c r="W481">
        <f>IF(計分!W481="","",計分!W481^2)</f>
        <v/>
      </c>
      <c r="X481">
        <f>IF(計分!X481="","",計分!X481^2)</f>
        <v/>
      </c>
      <c r="Y481">
        <f>IF(計分!Y481="","",計分!Y481^2)</f>
        <v/>
      </c>
      <c r="Z481">
        <f>IF(計分!Z481="","",計分!Z481^2)</f>
        <v/>
      </c>
      <c r="AA481">
        <f>IF(計分!AA481="","",計分!AA481^2)</f>
        <v/>
      </c>
      <c r="AB481">
        <f>IF(計分!AB481="","",計分!AB481^2)</f>
        <v/>
      </c>
      <c r="AC481">
        <f>IF(計分!AC481="","",計分!AC481^2)</f>
        <v/>
      </c>
      <c r="AD481">
        <f>IF(計分!AD481="","",計分!AD481^2)</f>
        <v/>
      </c>
      <c r="AE481">
        <f>IF(計分!AE481="","",計分!AE481^2)</f>
        <v/>
      </c>
      <c r="AF481">
        <f>IF(計分!AF481="","",計分!AF481^2)</f>
        <v/>
      </c>
      <c r="AG481">
        <f>IF(計分!AG481="","",計分!AG481^2)</f>
        <v/>
      </c>
      <c r="AH481">
        <f>IF(計分!AH481="","",計分!AH481^2)</f>
        <v/>
      </c>
      <c r="AI481">
        <f>IF(計分!AI481="","",計分!AI481^2)</f>
        <v/>
      </c>
      <c r="AJ481">
        <f>IF(計分!AJ481="","",計分!AJ481^2)</f>
        <v/>
      </c>
      <c r="AK481">
        <f>IF(計分!AK481="","",計分!AK481^2)</f>
        <v/>
      </c>
      <c r="AL481">
        <f>IF(計分!AL481="","",計分!AL481^2)</f>
        <v/>
      </c>
      <c r="AM481">
        <f>IF(計分!AM481="","",計分!AM481^2)</f>
        <v/>
      </c>
      <c r="AN481">
        <f>IF(計分!AN481="","",計分!AN481^2)</f>
        <v/>
      </c>
      <c r="AO481">
        <f>IF(計分!AO481="","",計分!AO481^2)</f>
        <v/>
      </c>
    </row>
    <row r="482">
      <c r="B482">
        <f>IF(計分!B482="","",計分!B482^2)</f>
        <v/>
      </c>
      <c r="C482">
        <f>IF(計分!C482="","",計分!C482^2)</f>
        <v/>
      </c>
      <c r="D482">
        <f>IF(計分!D482="","",計分!D482^2)</f>
        <v/>
      </c>
      <c r="E482">
        <f>IF(計分!E482="","",計分!E482^2)</f>
        <v/>
      </c>
      <c r="F482">
        <f>IF(計分!F482="","",計分!F482^2)</f>
        <v/>
      </c>
      <c r="G482">
        <f>IF(計分!G482="","",計分!G482^2)</f>
        <v/>
      </c>
      <c r="H482">
        <f>IF(計分!H482="","",計分!H482^2)</f>
        <v/>
      </c>
      <c r="I482">
        <f>IF(計分!I482="","",計分!I482^2)</f>
        <v/>
      </c>
      <c r="J482">
        <f>IF(計分!J482="","",計分!J482^2)</f>
        <v/>
      </c>
      <c r="K482">
        <f>IF(計分!K482="","",計分!K482^2)</f>
        <v/>
      </c>
      <c r="L482">
        <f>IF(計分!L482="","",計分!L482^2)</f>
        <v/>
      </c>
      <c r="M482">
        <f>IF(計分!M482="","",計分!M482^2)</f>
        <v/>
      </c>
      <c r="N482">
        <f>IF(計分!N482="","",計分!N482^2)</f>
        <v/>
      </c>
      <c r="O482">
        <f>IF(計分!O482="","",計分!O482^2)</f>
        <v/>
      </c>
      <c r="P482">
        <f>IF(計分!P482="","",計分!P482^2)</f>
        <v/>
      </c>
      <c r="Q482">
        <f>IF(計分!Q482="","",計分!Q482^2)</f>
        <v/>
      </c>
      <c r="R482">
        <f>IF(計分!R482="","",計分!R482^2)</f>
        <v/>
      </c>
      <c r="S482">
        <f>IF(計分!S482="","",計分!S482^2)</f>
        <v/>
      </c>
      <c r="T482">
        <f>IF(計分!T482="","",計分!T482^2)</f>
        <v/>
      </c>
      <c r="U482">
        <f>IF(計分!U482="","",計分!U482^2)</f>
        <v/>
      </c>
      <c r="V482">
        <f>IF(計分!V482="","",計分!V482^2)</f>
        <v/>
      </c>
      <c r="W482">
        <f>IF(計分!W482="","",計分!W482^2)</f>
        <v/>
      </c>
      <c r="X482">
        <f>IF(計分!X482="","",計分!X482^2)</f>
        <v/>
      </c>
      <c r="Y482">
        <f>IF(計分!Y482="","",計分!Y482^2)</f>
        <v/>
      </c>
      <c r="Z482">
        <f>IF(計分!Z482="","",計分!Z482^2)</f>
        <v/>
      </c>
      <c r="AA482">
        <f>IF(計分!AA482="","",計分!AA482^2)</f>
        <v/>
      </c>
      <c r="AB482">
        <f>IF(計分!AB482="","",計分!AB482^2)</f>
        <v/>
      </c>
      <c r="AC482">
        <f>IF(計分!AC482="","",計分!AC482^2)</f>
        <v/>
      </c>
      <c r="AD482">
        <f>IF(計分!AD482="","",計分!AD482^2)</f>
        <v/>
      </c>
      <c r="AE482">
        <f>IF(計分!AE482="","",計分!AE482^2)</f>
        <v/>
      </c>
      <c r="AF482">
        <f>IF(計分!AF482="","",計分!AF482^2)</f>
        <v/>
      </c>
      <c r="AG482">
        <f>IF(計分!AG482="","",計分!AG482^2)</f>
        <v/>
      </c>
      <c r="AH482">
        <f>IF(計分!AH482="","",計分!AH482^2)</f>
        <v/>
      </c>
      <c r="AI482">
        <f>IF(計分!AI482="","",計分!AI482^2)</f>
        <v/>
      </c>
      <c r="AJ482">
        <f>IF(計分!AJ482="","",計分!AJ482^2)</f>
        <v/>
      </c>
      <c r="AK482">
        <f>IF(計分!AK482="","",計分!AK482^2)</f>
        <v/>
      </c>
      <c r="AL482">
        <f>IF(計分!AL482="","",計分!AL482^2)</f>
        <v/>
      </c>
      <c r="AM482">
        <f>IF(計分!AM482="","",計分!AM482^2)</f>
        <v/>
      </c>
      <c r="AN482">
        <f>IF(計分!AN482="","",計分!AN482^2)</f>
        <v/>
      </c>
      <c r="AO482">
        <f>IF(計分!AO482="","",計分!AO482^2)</f>
        <v/>
      </c>
    </row>
    <row r="483">
      <c r="B483">
        <f>IF(計分!B483="","",計分!B483^2)</f>
        <v/>
      </c>
      <c r="C483">
        <f>IF(計分!C483="","",計分!C483^2)</f>
        <v/>
      </c>
      <c r="D483">
        <f>IF(計分!D483="","",計分!D483^2)</f>
        <v/>
      </c>
      <c r="E483">
        <f>IF(計分!E483="","",計分!E483^2)</f>
        <v/>
      </c>
      <c r="F483">
        <f>IF(計分!F483="","",計分!F483^2)</f>
        <v/>
      </c>
      <c r="G483">
        <f>IF(計分!G483="","",計分!G483^2)</f>
        <v/>
      </c>
      <c r="H483">
        <f>IF(計分!H483="","",計分!H483^2)</f>
        <v/>
      </c>
      <c r="I483">
        <f>IF(計分!I483="","",計分!I483^2)</f>
        <v/>
      </c>
      <c r="J483">
        <f>IF(計分!J483="","",計分!J483^2)</f>
        <v/>
      </c>
      <c r="K483">
        <f>IF(計分!K483="","",計分!K483^2)</f>
        <v/>
      </c>
      <c r="L483">
        <f>IF(計分!L483="","",計分!L483^2)</f>
        <v/>
      </c>
      <c r="M483">
        <f>IF(計分!M483="","",計分!M483^2)</f>
        <v/>
      </c>
      <c r="N483">
        <f>IF(計分!N483="","",計分!N483^2)</f>
        <v/>
      </c>
      <c r="O483">
        <f>IF(計分!O483="","",計分!O483^2)</f>
        <v/>
      </c>
      <c r="P483">
        <f>IF(計分!P483="","",計分!P483^2)</f>
        <v/>
      </c>
      <c r="Q483">
        <f>IF(計分!Q483="","",計分!Q483^2)</f>
        <v/>
      </c>
      <c r="R483">
        <f>IF(計分!R483="","",計分!R483^2)</f>
        <v/>
      </c>
      <c r="S483">
        <f>IF(計分!S483="","",計分!S483^2)</f>
        <v/>
      </c>
      <c r="T483">
        <f>IF(計分!T483="","",計分!T483^2)</f>
        <v/>
      </c>
      <c r="U483">
        <f>IF(計分!U483="","",計分!U483^2)</f>
        <v/>
      </c>
      <c r="V483">
        <f>IF(計分!V483="","",計分!V483^2)</f>
        <v/>
      </c>
      <c r="W483">
        <f>IF(計分!W483="","",計分!W483^2)</f>
        <v/>
      </c>
      <c r="X483">
        <f>IF(計分!X483="","",計分!X483^2)</f>
        <v/>
      </c>
      <c r="Y483">
        <f>IF(計分!Y483="","",計分!Y483^2)</f>
        <v/>
      </c>
      <c r="Z483">
        <f>IF(計分!Z483="","",計分!Z483^2)</f>
        <v/>
      </c>
      <c r="AA483">
        <f>IF(計分!AA483="","",計分!AA483^2)</f>
        <v/>
      </c>
      <c r="AB483">
        <f>IF(計分!AB483="","",計分!AB483^2)</f>
        <v/>
      </c>
      <c r="AC483">
        <f>IF(計分!AC483="","",計分!AC483^2)</f>
        <v/>
      </c>
      <c r="AD483">
        <f>IF(計分!AD483="","",計分!AD483^2)</f>
        <v/>
      </c>
      <c r="AE483">
        <f>IF(計分!AE483="","",計分!AE483^2)</f>
        <v/>
      </c>
      <c r="AF483">
        <f>IF(計分!AF483="","",計分!AF483^2)</f>
        <v/>
      </c>
      <c r="AG483">
        <f>IF(計分!AG483="","",計分!AG483^2)</f>
        <v/>
      </c>
      <c r="AH483">
        <f>IF(計分!AH483="","",計分!AH483^2)</f>
        <v/>
      </c>
      <c r="AI483">
        <f>IF(計分!AI483="","",計分!AI483^2)</f>
        <v/>
      </c>
      <c r="AJ483">
        <f>IF(計分!AJ483="","",計分!AJ483^2)</f>
        <v/>
      </c>
      <c r="AK483">
        <f>IF(計分!AK483="","",計分!AK483^2)</f>
        <v/>
      </c>
      <c r="AL483">
        <f>IF(計分!AL483="","",計分!AL483^2)</f>
        <v/>
      </c>
      <c r="AM483">
        <f>IF(計分!AM483="","",計分!AM483^2)</f>
        <v/>
      </c>
      <c r="AN483">
        <f>IF(計分!AN483="","",計分!AN483^2)</f>
        <v/>
      </c>
      <c r="AO483">
        <f>IF(計分!AO483="","",計分!AO483^2)</f>
        <v/>
      </c>
    </row>
    <row r="484">
      <c r="B484">
        <f>IF(計分!B484="","",計分!B484^2)</f>
        <v/>
      </c>
      <c r="C484">
        <f>IF(計分!C484="","",計分!C484^2)</f>
        <v/>
      </c>
      <c r="D484">
        <f>IF(計分!D484="","",計分!D484^2)</f>
        <v/>
      </c>
      <c r="E484">
        <f>IF(計分!E484="","",計分!E484^2)</f>
        <v/>
      </c>
      <c r="F484">
        <f>IF(計分!F484="","",計分!F484^2)</f>
        <v/>
      </c>
      <c r="G484">
        <f>IF(計分!G484="","",計分!G484^2)</f>
        <v/>
      </c>
      <c r="H484">
        <f>IF(計分!H484="","",計分!H484^2)</f>
        <v/>
      </c>
      <c r="I484">
        <f>IF(計分!I484="","",計分!I484^2)</f>
        <v/>
      </c>
      <c r="J484">
        <f>IF(計分!J484="","",計分!J484^2)</f>
        <v/>
      </c>
      <c r="K484">
        <f>IF(計分!K484="","",計分!K484^2)</f>
        <v/>
      </c>
      <c r="L484">
        <f>IF(計分!L484="","",計分!L484^2)</f>
        <v/>
      </c>
      <c r="M484">
        <f>IF(計分!M484="","",計分!M484^2)</f>
        <v/>
      </c>
      <c r="N484">
        <f>IF(計分!N484="","",計分!N484^2)</f>
        <v/>
      </c>
      <c r="O484">
        <f>IF(計分!O484="","",計分!O484^2)</f>
        <v/>
      </c>
      <c r="P484">
        <f>IF(計分!P484="","",計分!P484^2)</f>
        <v/>
      </c>
      <c r="Q484">
        <f>IF(計分!Q484="","",計分!Q484^2)</f>
        <v/>
      </c>
      <c r="R484">
        <f>IF(計分!R484="","",計分!R484^2)</f>
        <v/>
      </c>
      <c r="S484">
        <f>IF(計分!S484="","",計分!S484^2)</f>
        <v/>
      </c>
      <c r="T484">
        <f>IF(計分!T484="","",計分!T484^2)</f>
        <v/>
      </c>
      <c r="U484">
        <f>IF(計分!U484="","",計分!U484^2)</f>
        <v/>
      </c>
      <c r="V484">
        <f>IF(計分!V484="","",計分!V484^2)</f>
        <v/>
      </c>
      <c r="W484">
        <f>IF(計分!W484="","",計分!W484^2)</f>
        <v/>
      </c>
      <c r="X484">
        <f>IF(計分!X484="","",計分!X484^2)</f>
        <v/>
      </c>
      <c r="Y484">
        <f>IF(計分!Y484="","",計分!Y484^2)</f>
        <v/>
      </c>
      <c r="Z484">
        <f>IF(計分!Z484="","",計分!Z484^2)</f>
        <v/>
      </c>
      <c r="AA484">
        <f>IF(計分!AA484="","",計分!AA484^2)</f>
        <v/>
      </c>
      <c r="AB484">
        <f>IF(計分!AB484="","",計分!AB484^2)</f>
        <v/>
      </c>
      <c r="AC484">
        <f>IF(計分!AC484="","",計分!AC484^2)</f>
        <v/>
      </c>
      <c r="AD484">
        <f>IF(計分!AD484="","",計分!AD484^2)</f>
        <v/>
      </c>
      <c r="AE484">
        <f>IF(計分!AE484="","",計分!AE484^2)</f>
        <v/>
      </c>
      <c r="AF484">
        <f>IF(計分!AF484="","",計分!AF484^2)</f>
        <v/>
      </c>
      <c r="AG484">
        <f>IF(計分!AG484="","",計分!AG484^2)</f>
        <v/>
      </c>
      <c r="AH484">
        <f>IF(計分!AH484="","",計分!AH484^2)</f>
        <v/>
      </c>
      <c r="AI484">
        <f>IF(計分!AI484="","",計分!AI484^2)</f>
        <v/>
      </c>
      <c r="AJ484">
        <f>IF(計分!AJ484="","",計分!AJ484^2)</f>
        <v/>
      </c>
      <c r="AK484">
        <f>IF(計分!AK484="","",計分!AK484^2)</f>
        <v/>
      </c>
      <c r="AL484">
        <f>IF(計分!AL484="","",計分!AL484^2)</f>
        <v/>
      </c>
      <c r="AM484">
        <f>IF(計分!AM484="","",計分!AM484^2)</f>
        <v/>
      </c>
      <c r="AN484">
        <f>IF(計分!AN484="","",計分!AN484^2)</f>
        <v/>
      </c>
      <c r="AO484">
        <f>IF(計分!AO484="","",計分!AO484^2)</f>
        <v/>
      </c>
    </row>
    <row r="485">
      <c r="B485">
        <f>IF(計分!B485="","",計分!B485^2)</f>
        <v/>
      </c>
      <c r="C485">
        <f>IF(計分!C485="","",計分!C485^2)</f>
        <v/>
      </c>
      <c r="D485">
        <f>IF(計分!D485="","",計分!D485^2)</f>
        <v/>
      </c>
      <c r="E485">
        <f>IF(計分!E485="","",計分!E485^2)</f>
        <v/>
      </c>
      <c r="F485">
        <f>IF(計分!F485="","",計分!F485^2)</f>
        <v/>
      </c>
      <c r="G485">
        <f>IF(計分!G485="","",計分!G485^2)</f>
        <v/>
      </c>
      <c r="H485">
        <f>IF(計分!H485="","",計分!H485^2)</f>
        <v/>
      </c>
      <c r="I485">
        <f>IF(計分!I485="","",計分!I485^2)</f>
        <v/>
      </c>
      <c r="J485">
        <f>IF(計分!J485="","",計分!J485^2)</f>
        <v/>
      </c>
      <c r="K485">
        <f>IF(計分!K485="","",計分!K485^2)</f>
        <v/>
      </c>
      <c r="L485">
        <f>IF(計分!L485="","",計分!L485^2)</f>
        <v/>
      </c>
      <c r="M485">
        <f>IF(計分!M485="","",計分!M485^2)</f>
        <v/>
      </c>
      <c r="N485">
        <f>IF(計分!N485="","",計分!N485^2)</f>
        <v/>
      </c>
      <c r="O485">
        <f>IF(計分!O485="","",計分!O485^2)</f>
        <v/>
      </c>
      <c r="P485">
        <f>IF(計分!P485="","",計分!P485^2)</f>
        <v/>
      </c>
      <c r="Q485">
        <f>IF(計分!Q485="","",計分!Q485^2)</f>
        <v/>
      </c>
      <c r="R485">
        <f>IF(計分!R485="","",計分!R485^2)</f>
        <v/>
      </c>
      <c r="S485">
        <f>IF(計分!S485="","",計分!S485^2)</f>
        <v/>
      </c>
      <c r="T485">
        <f>IF(計分!T485="","",計分!T485^2)</f>
        <v/>
      </c>
      <c r="U485">
        <f>IF(計分!U485="","",計分!U485^2)</f>
        <v/>
      </c>
      <c r="V485">
        <f>IF(計分!V485="","",計分!V485^2)</f>
        <v/>
      </c>
      <c r="W485">
        <f>IF(計分!W485="","",計分!W485^2)</f>
        <v/>
      </c>
      <c r="X485">
        <f>IF(計分!X485="","",計分!X485^2)</f>
        <v/>
      </c>
      <c r="Y485">
        <f>IF(計分!Y485="","",計分!Y485^2)</f>
        <v/>
      </c>
      <c r="Z485">
        <f>IF(計分!Z485="","",計分!Z485^2)</f>
        <v/>
      </c>
      <c r="AA485">
        <f>IF(計分!AA485="","",計分!AA485^2)</f>
        <v/>
      </c>
      <c r="AB485">
        <f>IF(計分!AB485="","",計分!AB485^2)</f>
        <v/>
      </c>
      <c r="AC485">
        <f>IF(計分!AC485="","",計分!AC485^2)</f>
        <v/>
      </c>
      <c r="AD485">
        <f>IF(計分!AD485="","",計分!AD485^2)</f>
        <v/>
      </c>
      <c r="AE485">
        <f>IF(計分!AE485="","",計分!AE485^2)</f>
        <v/>
      </c>
      <c r="AF485">
        <f>IF(計分!AF485="","",計分!AF485^2)</f>
        <v/>
      </c>
      <c r="AG485">
        <f>IF(計分!AG485="","",計分!AG485^2)</f>
        <v/>
      </c>
      <c r="AH485">
        <f>IF(計分!AH485="","",計分!AH485^2)</f>
        <v/>
      </c>
      <c r="AI485">
        <f>IF(計分!AI485="","",計分!AI485^2)</f>
        <v/>
      </c>
      <c r="AJ485">
        <f>IF(計分!AJ485="","",計分!AJ485^2)</f>
        <v/>
      </c>
      <c r="AK485">
        <f>IF(計分!AK485="","",計分!AK485^2)</f>
        <v/>
      </c>
      <c r="AL485">
        <f>IF(計分!AL485="","",計分!AL485^2)</f>
        <v/>
      </c>
      <c r="AM485">
        <f>IF(計分!AM485="","",計分!AM485^2)</f>
        <v/>
      </c>
      <c r="AN485">
        <f>IF(計分!AN485="","",計分!AN485^2)</f>
        <v/>
      </c>
      <c r="AO485">
        <f>IF(計分!AO485="","",計分!AO485^2)</f>
        <v/>
      </c>
    </row>
    <row r="486">
      <c r="B486">
        <f>IF(計分!B486="","",計分!B486^2)</f>
        <v/>
      </c>
      <c r="C486">
        <f>IF(計分!C486="","",計分!C486^2)</f>
        <v/>
      </c>
      <c r="D486">
        <f>IF(計分!D486="","",計分!D486^2)</f>
        <v/>
      </c>
      <c r="E486">
        <f>IF(計分!E486="","",計分!E486^2)</f>
        <v/>
      </c>
      <c r="F486">
        <f>IF(計分!F486="","",計分!F486^2)</f>
        <v/>
      </c>
      <c r="G486">
        <f>IF(計分!G486="","",計分!G486^2)</f>
        <v/>
      </c>
      <c r="H486">
        <f>IF(計分!H486="","",計分!H486^2)</f>
        <v/>
      </c>
      <c r="I486">
        <f>IF(計分!I486="","",計分!I486^2)</f>
        <v/>
      </c>
      <c r="J486">
        <f>IF(計分!J486="","",計分!J486^2)</f>
        <v/>
      </c>
      <c r="K486">
        <f>IF(計分!K486="","",計分!K486^2)</f>
        <v/>
      </c>
      <c r="L486">
        <f>IF(計分!L486="","",計分!L486^2)</f>
        <v/>
      </c>
      <c r="M486">
        <f>IF(計分!M486="","",計分!M486^2)</f>
        <v/>
      </c>
      <c r="N486">
        <f>IF(計分!N486="","",計分!N486^2)</f>
        <v/>
      </c>
      <c r="O486">
        <f>IF(計分!O486="","",計分!O486^2)</f>
        <v/>
      </c>
      <c r="P486">
        <f>IF(計分!P486="","",計分!P486^2)</f>
        <v/>
      </c>
      <c r="Q486">
        <f>IF(計分!Q486="","",計分!Q486^2)</f>
        <v/>
      </c>
      <c r="R486">
        <f>IF(計分!R486="","",計分!R486^2)</f>
        <v/>
      </c>
      <c r="S486">
        <f>IF(計分!S486="","",計分!S486^2)</f>
        <v/>
      </c>
      <c r="T486">
        <f>IF(計分!T486="","",計分!T486^2)</f>
        <v/>
      </c>
      <c r="U486">
        <f>IF(計分!U486="","",計分!U486^2)</f>
        <v/>
      </c>
      <c r="V486">
        <f>IF(計分!V486="","",計分!V486^2)</f>
        <v/>
      </c>
      <c r="W486">
        <f>IF(計分!W486="","",計分!W486^2)</f>
        <v/>
      </c>
      <c r="X486">
        <f>IF(計分!X486="","",計分!X486^2)</f>
        <v/>
      </c>
      <c r="Y486">
        <f>IF(計分!Y486="","",計分!Y486^2)</f>
        <v/>
      </c>
      <c r="Z486">
        <f>IF(計分!Z486="","",計分!Z486^2)</f>
        <v/>
      </c>
      <c r="AA486">
        <f>IF(計分!AA486="","",計分!AA486^2)</f>
        <v/>
      </c>
      <c r="AB486">
        <f>IF(計分!AB486="","",計分!AB486^2)</f>
        <v/>
      </c>
      <c r="AC486">
        <f>IF(計分!AC486="","",計分!AC486^2)</f>
        <v/>
      </c>
      <c r="AD486">
        <f>IF(計分!AD486="","",計分!AD486^2)</f>
        <v/>
      </c>
      <c r="AE486">
        <f>IF(計分!AE486="","",計分!AE486^2)</f>
        <v/>
      </c>
      <c r="AF486">
        <f>IF(計分!AF486="","",計分!AF486^2)</f>
        <v/>
      </c>
      <c r="AG486">
        <f>IF(計分!AG486="","",計分!AG486^2)</f>
        <v/>
      </c>
      <c r="AH486">
        <f>IF(計分!AH486="","",計分!AH486^2)</f>
        <v/>
      </c>
      <c r="AI486">
        <f>IF(計分!AI486="","",計分!AI486^2)</f>
        <v/>
      </c>
      <c r="AJ486">
        <f>IF(計分!AJ486="","",計分!AJ486^2)</f>
        <v/>
      </c>
      <c r="AK486">
        <f>IF(計分!AK486="","",計分!AK486^2)</f>
        <v/>
      </c>
      <c r="AL486">
        <f>IF(計分!AL486="","",計分!AL486^2)</f>
        <v/>
      </c>
      <c r="AM486">
        <f>IF(計分!AM486="","",計分!AM486^2)</f>
        <v/>
      </c>
      <c r="AN486">
        <f>IF(計分!AN486="","",計分!AN486^2)</f>
        <v/>
      </c>
      <c r="AO486">
        <f>IF(計分!AO486="","",計分!AO486^2)</f>
        <v/>
      </c>
    </row>
    <row r="487">
      <c r="B487">
        <f>IF(計分!B487="","",計分!B487^2)</f>
        <v/>
      </c>
      <c r="C487">
        <f>IF(計分!C487="","",計分!C487^2)</f>
        <v/>
      </c>
      <c r="D487">
        <f>IF(計分!D487="","",計分!D487^2)</f>
        <v/>
      </c>
      <c r="E487">
        <f>IF(計分!E487="","",計分!E487^2)</f>
        <v/>
      </c>
      <c r="F487">
        <f>IF(計分!F487="","",計分!F487^2)</f>
        <v/>
      </c>
      <c r="G487">
        <f>IF(計分!G487="","",計分!G487^2)</f>
        <v/>
      </c>
      <c r="H487">
        <f>IF(計分!H487="","",計分!H487^2)</f>
        <v/>
      </c>
      <c r="I487">
        <f>IF(計分!I487="","",計分!I487^2)</f>
        <v/>
      </c>
      <c r="J487">
        <f>IF(計分!J487="","",計分!J487^2)</f>
        <v/>
      </c>
      <c r="K487">
        <f>IF(計分!K487="","",計分!K487^2)</f>
        <v/>
      </c>
      <c r="L487">
        <f>IF(計分!L487="","",計分!L487^2)</f>
        <v/>
      </c>
      <c r="M487">
        <f>IF(計分!M487="","",計分!M487^2)</f>
        <v/>
      </c>
      <c r="N487">
        <f>IF(計分!N487="","",計分!N487^2)</f>
        <v/>
      </c>
      <c r="O487">
        <f>IF(計分!O487="","",計分!O487^2)</f>
        <v/>
      </c>
      <c r="P487">
        <f>IF(計分!P487="","",計分!P487^2)</f>
        <v/>
      </c>
      <c r="Q487">
        <f>IF(計分!Q487="","",計分!Q487^2)</f>
        <v/>
      </c>
      <c r="R487">
        <f>IF(計分!R487="","",計分!R487^2)</f>
        <v/>
      </c>
      <c r="S487">
        <f>IF(計分!S487="","",計分!S487^2)</f>
        <v/>
      </c>
      <c r="T487">
        <f>IF(計分!T487="","",計分!T487^2)</f>
        <v/>
      </c>
      <c r="U487">
        <f>IF(計分!U487="","",計分!U487^2)</f>
        <v/>
      </c>
      <c r="V487">
        <f>IF(計分!V487="","",計分!V487^2)</f>
        <v/>
      </c>
      <c r="W487">
        <f>IF(計分!W487="","",計分!W487^2)</f>
        <v/>
      </c>
      <c r="X487">
        <f>IF(計分!X487="","",計分!X487^2)</f>
        <v/>
      </c>
      <c r="Y487">
        <f>IF(計分!Y487="","",計分!Y487^2)</f>
        <v/>
      </c>
      <c r="Z487">
        <f>IF(計分!Z487="","",計分!Z487^2)</f>
        <v/>
      </c>
      <c r="AA487">
        <f>IF(計分!AA487="","",計分!AA487^2)</f>
        <v/>
      </c>
      <c r="AB487">
        <f>IF(計分!AB487="","",計分!AB487^2)</f>
        <v/>
      </c>
      <c r="AC487">
        <f>IF(計分!AC487="","",計分!AC487^2)</f>
        <v/>
      </c>
      <c r="AD487">
        <f>IF(計分!AD487="","",計分!AD487^2)</f>
        <v/>
      </c>
      <c r="AE487">
        <f>IF(計分!AE487="","",計分!AE487^2)</f>
        <v/>
      </c>
      <c r="AF487">
        <f>IF(計分!AF487="","",計分!AF487^2)</f>
        <v/>
      </c>
      <c r="AG487">
        <f>IF(計分!AG487="","",計分!AG487^2)</f>
        <v/>
      </c>
      <c r="AH487">
        <f>IF(計分!AH487="","",計分!AH487^2)</f>
        <v/>
      </c>
      <c r="AI487">
        <f>IF(計分!AI487="","",計分!AI487^2)</f>
        <v/>
      </c>
      <c r="AJ487">
        <f>IF(計分!AJ487="","",計分!AJ487^2)</f>
        <v/>
      </c>
      <c r="AK487">
        <f>IF(計分!AK487="","",計分!AK487^2)</f>
        <v/>
      </c>
      <c r="AL487">
        <f>IF(計分!AL487="","",計分!AL487^2)</f>
        <v/>
      </c>
      <c r="AM487">
        <f>IF(計分!AM487="","",計分!AM487^2)</f>
        <v/>
      </c>
      <c r="AN487">
        <f>IF(計分!AN487="","",計分!AN487^2)</f>
        <v/>
      </c>
      <c r="AO487">
        <f>IF(計分!AO487="","",計分!AO487^2)</f>
        <v/>
      </c>
    </row>
    <row r="488">
      <c r="B488">
        <f>IF(計分!B488="","",計分!B488^2)</f>
        <v/>
      </c>
      <c r="C488">
        <f>IF(計分!C488="","",計分!C488^2)</f>
        <v/>
      </c>
      <c r="D488">
        <f>IF(計分!D488="","",計分!D488^2)</f>
        <v/>
      </c>
      <c r="E488">
        <f>IF(計分!E488="","",計分!E488^2)</f>
        <v/>
      </c>
      <c r="F488">
        <f>IF(計分!F488="","",計分!F488^2)</f>
        <v/>
      </c>
      <c r="G488">
        <f>IF(計分!G488="","",計分!G488^2)</f>
        <v/>
      </c>
      <c r="H488">
        <f>IF(計分!H488="","",計分!H488^2)</f>
        <v/>
      </c>
      <c r="I488">
        <f>IF(計分!I488="","",計分!I488^2)</f>
        <v/>
      </c>
      <c r="J488">
        <f>IF(計分!J488="","",計分!J488^2)</f>
        <v/>
      </c>
      <c r="K488">
        <f>IF(計分!K488="","",計分!K488^2)</f>
        <v/>
      </c>
      <c r="L488">
        <f>IF(計分!L488="","",計分!L488^2)</f>
        <v/>
      </c>
      <c r="M488">
        <f>IF(計分!M488="","",計分!M488^2)</f>
        <v/>
      </c>
      <c r="N488">
        <f>IF(計分!N488="","",計分!N488^2)</f>
        <v/>
      </c>
      <c r="O488">
        <f>IF(計分!O488="","",計分!O488^2)</f>
        <v/>
      </c>
      <c r="P488">
        <f>IF(計分!P488="","",計分!P488^2)</f>
        <v/>
      </c>
      <c r="Q488">
        <f>IF(計分!Q488="","",計分!Q488^2)</f>
        <v/>
      </c>
      <c r="R488">
        <f>IF(計分!R488="","",計分!R488^2)</f>
        <v/>
      </c>
      <c r="S488">
        <f>IF(計分!S488="","",計分!S488^2)</f>
        <v/>
      </c>
      <c r="T488">
        <f>IF(計分!T488="","",計分!T488^2)</f>
        <v/>
      </c>
      <c r="U488">
        <f>IF(計分!U488="","",計分!U488^2)</f>
        <v/>
      </c>
      <c r="V488">
        <f>IF(計分!V488="","",計分!V488^2)</f>
        <v/>
      </c>
      <c r="W488">
        <f>IF(計分!W488="","",計分!W488^2)</f>
        <v/>
      </c>
      <c r="X488">
        <f>IF(計分!X488="","",計分!X488^2)</f>
        <v/>
      </c>
      <c r="Y488">
        <f>IF(計分!Y488="","",計分!Y488^2)</f>
        <v/>
      </c>
      <c r="Z488">
        <f>IF(計分!Z488="","",計分!Z488^2)</f>
        <v/>
      </c>
      <c r="AA488">
        <f>IF(計分!AA488="","",計分!AA488^2)</f>
        <v/>
      </c>
      <c r="AB488">
        <f>IF(計分!AB488="","",計分!AB488^2)</f>
        <v/>
      </c>
      <c r="AC488">
        <f>IF(計分!AC488="","",計分!AC488^2)</f>
        <v/>
      </c>
      <c r="AD488">
        <f>IF(計分!AD488="","",計分!AD488^2)</f>
        <v/>
      </c>
      <c r="AE488">
        <f>IF(計分!AE488="","",計分!AE488^2)</f>
        <v/>
      </c>
      <c r="AF488">
        <f>IF(計分!AF488="","",計分!AF488^2)</f>
        <v/>
      </c>
      <c r="AG488">
        <f>IF(計分!AG488="","",計分!AG488^2)</f>
        <v/>
      </c>
      <c r="AH488">
        <f>IF(計分!AH488="","",計分!AH488^2)</f>
        <v/>
      </c>
      <c r="AI488">
        <f>IF(計分!AI488="","",計分!AI488^2)</f>
        <v/>
      </c>
      <c r="AJ488">
        <f>IF(計分!AJ488="","",計分!AJ488^2)</f>
        <v/>
      </c>
      <c r="AK488">
        <f>IF(計分!AK488="","",計分!AK488^2)</f>
        <v/>
      </c>
      <c r="AL488">
        <f>IF(計分!AL488="","",計分!AL488^2)</f>
        <v/>
      </c>
      <c r="AM488">
        <f>IF(計分!AM488="","",計分!AM488^2)</f>
        <v/>
      </c>
      <c r="AN488">
        <f>IF(計分!AN488="","",計分!AN488^2)</f>
        <v/>
      </c>
      <c r="AO488">
        <f>IF(計分!AO488="","",計分!AO488^2)</f>
        <v/>
      </c>
    </row>
    <row r="489">
      <c r="B489">
        <f>IF(計分!B489="","",計分!B489^2)</f>
        <v/>
      </c>
      <c r="C489">
        <f>IF(計分!C489="","",計分!C489^2)</f>
        <v/>
      </c>
      <c r="D489">
        <f>IF(計分!D489="","",計分!D489^2)</f>
        <v/>
      </c>
      <c r="E489">
        <f>IF(計分!E489="","",計分!E489^2)</f>
        <v/>
      </c>
      <c r="F489">
        <f>IF(計分!F489="","",計分!F489^2)</f>
        <v/>
      </c>
      <c r="G489">
        <f>IF(計分!G489="","",計分!G489^2)</f>
        <v/>
      </c>
      <c r="H489">
        <f>IF(計分!H489="","",計分!H489^2)</f>
        <v/>
      </c>
      <c r="I489">
        <f>IF(計分!I489="","",計分!I489^2)</f>
        <v/>
      </c>
      <c r="J489">
        <f>IF(計分!J489="","",計分!J489^2)</f>
        <v/>
      </c>
      <c r="K489">
        <f>IF(計分!K489="","",計分!K489^2)</f>
        <v/>
      </c>
      <c r="L489">
        <f>IF(計分!L489="","",計分!L489^2)</f>
        <v/>
      </c>
      <c r="M489">
        <f>IF(計分!M489="","",計分!M489^2)</f>
        <v/>
      </c>
      <c r="N489">
        <f>IF(計分!N489="","",計分!N489^2)</f>
        <v/>
      </c>
      <c r="O489">
        <f>IF(計分!O489="","",計分!O489^2)</f>
        <v/>
      </c>
      <c r="P489">
        <f>IF(計分!P489="","",計分!P489^2)</f>
        <v/>
      </c>
      <c r="Q489">
        <f>IF(計分!Q489="","",計分!Q489^2)</f>
        <v/>
      </c>
      <c r="R489">
        <f>IF(計分!R489="","",計分!R489^2)</f>
        <v/>
      </c>
      <c r="S489">
        <f>IF(計分!S489="","",計分!S489^2)</f>
        <v/>
      </c>
      <c r="T489">
        <f>IF(計分!T489="","",計分!T489^2)</f>
        <v/>
      </c>
      <c r="U489">
        <f>IF(計分!U489="","",計分!U489^2)</f>
        <v/>
      </c>
      <c r="V489">
        <f>IF(計分!V489="","",計分!V489^2)</f>
        <v/>
      </c>
      <c r="W489">
        <f>IF(計分!W489="","",計分!W489^2)</f>
        <v/>
      </c>
      <c r="X489">
        <f>IF(計分!X489="","",計分!X489^2)</f>
        <v/>
      </c>
      <c r="Y489">
        <f>IF(計分!Y489="","",計分!Y489^2)</f>
        <v/>
      </c>
      <c r="Z489">
        <f>IF(計分!Z489="","",計分!Z489^2)</f>
        <v/>
      </c>
      <c r="AA489">
        <f>IF(計分!AA489="","",計分!AA489^2)</f>
        <v/>
      </c>
      <c r="AB489">
        <f>IF(計分!AB489="","",計分!AB489^2)</f>
        <v/>
      </c>
      <c r="AC489">
        <f>IF(計分!AC489="","",計分!AC489^2)</f>
        <v/>
      </c>
      <c r="AD489">
        <f>IF(計分!AD489="","",計分!AD489^2)</f>
        <v/>
      </c>
      <c r="AE489">
        <f>IF(計分!AE489="","",計分!AE489^2)</f>
        <v/>
      </c>
      <c r="AF489">
        <f>IF(計分!AF489="","",計分!AF489^2)</f>
        <v/>
      </c>
      <c r="AG489">
        <f>IF(計分!AG489="","",計分!AG489^2)</f>
        <v/>
      </c>
      <c r="AH489">
        <f>IF(計分!AH489="","",計分!AH489^2)</f>
        <v/>
      </c>
      <c r="AI489">
        <f>IF(計分!AI489="","",計分!AI489^2)</f>
        <v/>
      </c>
      <c r="AJ489">
        <f>IF(計分!AJ489="","",計分!AJ489^2)</f>
        <v/>
      </c>
      <c r="AK489">
        <f>IF(計分!AK489="","",計分!AK489^2)</f>
        <v/>
      </c>
      <c r="AL489">
        <f>IF(計分!AL489="","",計分!AL489^2)</f>
        <v/>
      </c>
      <c r="AM489">
        <f>IF(計分!AM489="","",計分!AM489^2)</f>
        <v/>
      </c>
      <c r="AN489">
        <f>IF(計分!AN489="","",計分!AN489^2)</f>
        <v/>
      </c>
      <c r="AO489">
        <f>IF(計分!AO489="","",計分!AO489^2)</f>
        <v/>
      </c>
    </row>
    <row r="490">
      <c r="B490">
        <f>IF(計分!B490="","",計分!B490^2)</f>
        <v/>
      </c>
      <c r="C490">
        <f>IF(計分!C490="","",計分!C490^2)</f>
        <v/>
      </c>
      <c r="D490">
        <f>IF(計分!D490="","",計分!D490^2)</f>
        <v/>
      </c>
      <c r="E490">
        <f>IF(計分!E490="","",計分!E490^2)</f>
        <v/>
      </c>
      <c r="F490">
        <f>IF(計分!F490="","",計分!F490^2)</f>
        <v/>
      </c>
      <c r="G490">
        <f>IF(計分!G490="","",計分!G490^2)</f>
        <v/>
      </c>
      <c r="H490">
        <f>IF(計分!H490="","",計分!H490^2)</f>
        <v/>
      </c>
      <c r="I490">
        <f>IF(計分!I490="","",計分!I490^2)</f>
        <v/>
      </c>
      <c r="J490">
        <f>IF(計分!J490="","",計分!J490^2)</f>
        <v/>
      </c>
      <c r="K490">
        <f>IF(計分!K490="","",計分!K490^2)</f>
        <v/>
      </c>
      <c r="L490">
        <f>IF(計分!L490="","",計分!L490^2)</f>
        <v/>
      </c>
      <c r="M490">
        <f>IF(計分!M490="","",計分!M490^2)</f>
        <v/>
      </c>
      <c r="N490">
        <f>IF(計分!N490="","",計分!N490^2)</f>
        <v/>
      </c>
      <c r="O490">
        <f>IF(計分!O490="","",計分!O490^2)</f>
        <v/>
      </c>
      <c r="P490">
        <f>IF(計分!P490="","",計分!P490^2)</f>
        <v/>
      </c>
      <c r="Q490">
        <f>IF(計分!Q490="","",計分!Q490^2)</f>
        <v/>
      </c>
      <c r="R490">
        <f>IF(計分!R490="","",計分!R490^2)</f>
        <v/>
      </c>
      <c r="S490">
        <f>IF(計分!S490="","",計分!S490^2)</f>
        <v/>
      </c>
      <c r="T490">
        <f>IF(計分!T490="","",計分!T490^2)</f>
        <v/>
      </c>
      <c r="U490">
        <f>IF(計分!U490="","",計分!U490^2)</f>
        <v/>
      </c>
      <c r="V490">
        <f>IF(計分!V490="","",計分!V490^2)</f>
        <v/>
      </c>
      <c r="W490">
        <f>IF(計分!W490="","",計分!W490^2)</f>
        <v/>
      </c>
      <c r="X490">
        <f>IF(計分!X490="","",計分!X490^2)</f>
        <v/>
      </c>
      <c r="Y490">
        <f>IF(計分!Y490="","",計分!Y490^2)</f>
        <v/>
      </c>
      <c r="Z490">
        <f>IF(計分!Z490="","",計分!Z490^2)</f>
        <v/>
      </c>
      <c r="AA490">
        <f>IF(計分!AA490="","",計分!AA490^2)</f>
        <v/>
      </c>
      <c r="AB490">
        <f>IF(計分!AB490="","",計分!AB490^2)</f>
        <v/>
      </c>
      <c r="AC490">
        <f>IF(計分!AC490="","",計分!AC490^2)</f>
        <v/>
      </c>
      <c r="AD490">
        <f>IF(計分!AD490="","",計分!AD490^2)</f>
        <v/>
      </c>
      <c r="AE490">
        <f>IF(計分!AE490="","",計分!AE490^2)</f>
        <v/>
      </c>
      <c r="AF490">
        <f>IF(計分!AF490="","",計分!AF490^2)</f>
        <v/>
      </c>
      <c r="AG490">
        <f>IF(計分!AG490="","",計分!AG490^2)</f>
        <v/>
      </c>
      <c r="AH490">
        <f>IF(計分!AH490="","",計分!AH490^2)</f>
        <v/>
      </c>
      <c r="AI490">
        <f>IF(計分!AI490="","",計分!AI490^2)</f>
        <v/>
      </c>
      <c r="AJ490">
        <f>IF(計分!AJ490="","",計分!AJ490^2)</f>
        <v/>
      </c>
      <c r="AK490">
        <f>IF(計分!AK490="","",計分!AK490^2)</f>
        <v/>
      </c>
      <c r="AL490">
        <f>IF(計分!AL490="","",計分!AL490^2)</f>
        <v/>
      </c>
      <c r="AM490">
        <f>IF(計分!AM490="","",計分!AM490^2)</f>
        <v/>
      </c>
      <c r="AN490">
        <f>IF(計分!AN490="","",計分!AN490^2)</f>
        <v/>
      </c>
      <c r="AO490">
        <f>IF(計分!AO490="","",計分!AO490^2)</f>
        <v/>
      </c>
    </row>
    <row r="491">
      <c r="B491">
        <f>IF(計分!B491="","",計分!B491^2)</f>
        <v/>
      </c>
      <c r="C491">
        <f>IF(計分!C491="","",計分!C491^2)</f>
        <v/>
      </c>
      <c r="D491">
        <f>IF(計分!D491="","",計分!D491^2)</f>
        <v/>
      </c>
      <c r="E491">
        <f>IF(計分!E491="","",計分!E491^2)</f>
        <v/>
      </c>
      <c r="F491">
        <f>IF(計分!F491="","",計分!F491^2)</f>
        <v/>
      </c>
      <c r="G491">
        <f>IF(計分!G491="","",計分!G491^2)</f>
        <v/>
      </c>
      <c r="H491">
        <f>IF(計分!H491="","",計分!H491^2)</f>
        <v/>
      </c>
      <c r="I491">
        <f>IF(計分!I491="","",計分!I491^2)</f>
        <v/>
      </c>
      <c r="J491">
        <f>IF(計分!J491="","",計分!J491^2)</f>
        <v/>
      </c>
      <c r="K491">
        <f>IF(計分!K491="","",計分!K491^2)</f>
        <v/>
      </c>
      <c r="L491">
        <f>IF(計分!L491="","",計分!L491^2)</f>
        <v/>
      </c>
      <c r="M491">
        <f>IF(計分!M491="","",計分!M491^2)</f>
        <v/>
      </c>
      <c r="N491">
        <f>IF(計分!N491="","",計分!N491^2)</f>
        <v/>
      </c>
      <c r="O491">
        <f>IF(計分!O491="","",計分!O491^2)</f>
        <v/>
      </c>
      <c r="P491">
        <f>IF(計分!P491="","",計分!P491^2)</f>
        <v/>
      </c>
      <c r="Q491">
        <f>IF(計分!Q491="","",計分!Q491^2)</f>
        <v/>
      </c>
      <c r="R491">
        <f>IF(計分!R491="","",計分!R491^2)</f>
        <v/>
      </c>
      <c r="S491">
        <f>IF(計分!S491="","",計分!S491^2)</f>
        <v/>
      </c>
      <c r="T491">
        <f>IF(計分!T491="","",計分!T491^2)</f>
        <v/>
      </c>
      <c r="U491">
        <f>IF(計分!U491="","",計分!U491^2)</f>
        <v/>
      </c>
      <c r="V491">
        <f>IF(計分!V491="","",計分!V491^2)</f>
        <v/>
      </c>
      <c r="W491">
        <f>IF(計分!W491="","",計分!W491^2)</f>
        <v/>
      </c>
      <c r="X491">
        <f>IF(計分!X491="","",計分!X491^2)</f>
        <v/>
      </c>
      <c r="Y491">
        <f>IF(計分!Y491="","",計分!Y491^2)</f>
        <v/>
      </c>
      <c r="Z491">
        <f>IF(計分!Z491="","",計分!Z491^2)</f>
        <v/>
      </c>
      <c r="AA491">
        <f>IF(計分!AA491="","",計分!AA491^2)</f>
        <v/>
      </c>
      <c r="AB491">
        <f>IF(計分!AB491="","",計分!AB491^2)</f>
        <v/>
      </c>
      <c r="AC491">
        <f>IF(計分!AC491="","",計分!AC491^2)</f>
        <v/>
      </c>
      <c r="AD491">
        <f>IF(計分!AD491="","",計分!AD491^2)</f>
        <v/>
      </c>
      <c r="AE491">
        <f>IF(計分!AE491="","",計分!AE491^2)</f>
        <v/>
      </c>
      <c r="AF491">
        <f>IF(計分!AF491="","",計分!AF491^2)</f>
        <v/>
      </c>
      <c r="AG491">
        <f>IF(計分!AG491="","",計分!AG491^2)</f>
        <v/>
      </c>
      <c r="AH491">
        <f>IF(計分!AH491="","",計分!AH491^2)</f>
        <v/>
      </c>
      <c r="AI491">
        <f>IF(計分!AI491="","",計分!AI491^2)</f>
        <v/>
      </c>
      <c r="AJ491">
        <f>IF(計分!AJ491="","",計分!AJ491^2)</f>
        <v/>
      </c>
      <c r="AK491">
        <f>IF(計分!AK491="","",計分!AK491^2)</f>
        <v/>
      </c>
      <c r="AL491">
        <f>IF(計分!AL491="","",計分!AL491^2)</f>
        <v/>
      </c>
      <c r="AM491">
        <f>IF(計分!AM491="","",計分!AM491^2)</f>
        <v/>
      </c>
      <c r="AN491">
        <f>IF(計分!AN491="","",計分!AN491^2)</f>
        <v/>
      </c>
      <c r="AO491">
        <f>IF(計分!AO491="","",計分!AO491^2)</f>
        <v/>
      </c>
    </row>
    <row r="492">
      <c r="B492">
        <f>IF(計分!B492="","",計分!B492^2)</f>
        <v/>
      </c>
      <c r="C492">
        <f>IF(計分!C492="","",計分!C492^2)</f>
        <v/>
      </c>
      <c r="D492">
        <f>IF(計分!D492="","",計分!D492^2)</f>
        <v/>
      </c>
      <c r="E492">
        <f>IF(計分!E492="","",計分!E492^2)</f>
        <v/>
      </c>
      <c r="F492">
        <f>IF(計分!F492="","",計分!F492^2)</f>
        <v/>
      </c>
      <c r="G492">
        <f>IF(計分!G492="","",計分!G492^2)</f>
        <v/>
      </c>
      <c r="H492">
        <f>IF(計分!H492="","",計分!H492^2)</f>
        <v/>
      </c>
      <c r="I492">
        <f>IF(計分!I492="","",計分!I492^2)</f>
        <v/>
      </c>
      <c r="J492">
        <f>IF(計分!J492="","",計分!J492^2)</f>
        <v/>
      </c>
      <c r="K492">
        <f>IF(計分!K492="","",計分!K492^2)</f>
        <v/>
      </c>
      <c r="L492">
        <f>IF(計分!L492="","",計分!L492^2)</f>
        <v/>
      </c>
      <c r="M492">
        <f>IF(計分!M492="","",計分!M492^2)</f>
        <v/>
      </c>
      <c r="N492">
        <f>IF(計分!N492="","",計分!N492^2)</f>
        <v/>
      </c>
      <c r="O492">
        <f>IF(計分!O492="","",計分!O492^2)</f>
        <v/>
      </c>
      <c r="P492">
        <f>IF(計分!P492="","",計分!P492^2)</f>
        <v/>
      </c>
      <c r="Q492">
        <f>IF(計分!Q492="","",計分!Q492^2)</f>
        <v/>
      </c>
      <c r="R492">
        <f>IF(計分!R492="","",計分!R492^2)</f>
        <v/>
      </c>
      <c r="S492">
        <f>IF(計分!S492="","",計分!S492^2)</f>
        <v/>
      </c>
      <c r="T492">
        <f>IF(計分!T492="","",計分!T492^2)</f>
        <v/>
      </c>
      <c r="U492">
        <f>IF(計分!U492="","",計分!U492^2)</f>
        <v/>
      </c>
      <c r="V492">
        <f>IF(計分!V492="","",計分!V492^2)</f>
        <v/>
      </c>
      <c r="W492">
        <f>IF(計分!W492="","",計分!W492^2)</f>
        <v/>
      </c>
      <c r="X492">
        <f>IF(計分!X492="","",計分!X492^2)</f>
        <v/>
      </c>
      <c r="Y492">
        <f>IF(計分!Y492="","",計分!Y492^2)</f>
        <v/>
      </c>
      <c r="Z492">
        <f>IF(計分!Z492="","",計分!Z492^2)</f>
        <v/>
      </c>
      <c r="AA492">
        <f>IF(計分!AA492="","",計分!AA492^2)</f>
        <v/>
      </c>
      <c r="AB492">
        <f>IF(計分!AB492="","",計分!AB492^2)</f>
        <v/>
      </c>
      <c r="AC492">
        <f>IF(計分!AC492="","",計分!AC492^2)</f>
        <v/>
      </c>
      <c r="AD492">
        <f>IF(計分!AD492="","",計分!AD492^2)</f>
        <v/>
      </c>
      <c r="AE492">
        <f>IF(計分!AE492="","",計分!AE492^2)</f>
        <v/>
      </c>
      <c r="AF492">
        <f>IF(計分!AF492="","",計分!AF492^2)</f>
        <v/>
      </c>
      <c r="AG492">
        <f>IF(計分!AG492="","",計分!AG492^2)</f>
        <v/>
      </c>
      <c r="AH492">
        <f>IF(計分!AH492="","",計分!AH492^2)</f>
        <v/>
      </c>
      <c r="AI492">
        <f>IF(計分!AI492="","",計分!AI492^2)</f>
        <v/>
      </c>
      <c r="AJ492">
        <f>IF(計分!AJ492="","",計分!AJ492^2)</f>
        <v/>
      </c>
      <c r="AK492">
        <f>IF(計分!AK492="","",計分!AK492^2)</f>
        <v/>
      </c>
      <c r="AL492">
        <f>IF(計分!AL492="","",計分!AL492^2)</f>
        <v/>
      </c>
      <c r="AM492">
        <f>IF(計分!AM492="","",計分!AM492^2)</f>
        <v/>
      </c>
      <c r="AN492">
        <f>IF(計分!AN492="","",計分!AN492^2)</f>
        <v/>
      </c>
      <c r="AO492">
        <f>IF(計分!AO492="","",計分!AO492^2)</f>
        <v/>
      </c>
    </row>
    <row r="493">
      <c r="B493">
        <f>IF(計分!B493="","",計分!B493^2)</f>
        <v/>
      </c>
      <c r="C493">
        <f>IF(計分!C493="","",計分!C493^2)</f>
        <v/>
      </c>
      <c r="D493">
        <f>IF(計分!D493="","",計分!D493^2)</f>
        <v/>
      </c>
      <c r="E493">
        <f>IF(計分!E493="","",計分!E493^2)</f>
        <v/>
      </c>
      <c r="F493">
        <f>IF(計分!F493="","",計分!F493^2)</f>
        <v/>
      </c>
      <c r="G493">
        <f>IF(計分!G493="","",計分!G493^2)</f>
        <v/>
      </c>
      <c r="H493">
        <f>IF(計分!H493="","",計分!H493^2)</f>
        <v/>
      </c>
      <c r="I493">
        <f>IF(計分!I493="","",計分!I493^2)</f>
        <v/>
      </c>
      <c r="J493">
        <f>IF(計分!J493="","",計分!J493^2)</f>
        <v/>
      </c>
      <c r="K493">
        <f>IF(計分!K493="","",計分!K493^2)</f>
        <v/>
      </c>
      <c r="L493">
        <f>IF(計分!L493="","",計分!L493^2)</f>
        <v/>
      </c>
      <c r="M493">
        <f>IF(計分!M493="","",計分!M493^2)</f>
        <v/>
      </c>
      <c r="N493">
        <f>IF(計分!N493="","",計分!N493^2)</f>
        <v/>
      </c>
      <c r="O493">
        <f>IF(計分!O493="","",計分!O493^2)</f>
        <v/>
      </c>
      <c r="P493">
        <f>IF(計分!P493="","",計分!P493^2)</f>
        <v/>
      </c>
      <c r="Q493">
        <f>IF(計分!Q493="","",計分!Q493^2)</f>
        <v/>
      </c>
      <c r="R493">
        <f>IF(計分!R493="","",計分!R493^2)</f>
        <v/>
      </c>
      <c r="S493">
        <f>IF(計分!S493="","",計分!S493^2)</f>
        <v/>
      </c>
      <c r="T493">
        <f>IF(計分!T493="","",計分!T493^2)</f>
        <v/>
      </c>
      <c r="U493">
        <f>IF(計分!U493="","",計分!U493^2)</f>
        <v/>
      </c>
      <c r="V493">
        <f>IF(計分!V493="","",計分!V493^2)</f>
        <v/>
      </c>
      <c r="W493">
        <f>IF(計分!W493="","",計分!W493^2)</f>
        <v/>
      </c>
      <c r="X493">
        <f>IF(計分!X493="","",計分!X493^2)</f>
        <v/>
      </c>
      <c r="Y493">
        <f>IF(計分!Y493="","",計分!Y493^2)</f>
        <v/>
      </c>
      <c r="Z493">
        <f>IF(計分!Z493="","",計分!Z493^2)</f>
        <v/>
      </c>
      <c r="AA493">
        <f>IF(計分!AA493="","",計分!AA493^2)</f>
        <v/>
      </c>
      <c r="AB493">
        <f>IF(計分!AB493="","",計分!AB493^2)</f>
        <v/>
      </c>
      <c r="AC493">
        <f>IF(計分!AC493="","",計分!AC493^2)</f>
        <v/>
      </c>
      <c r="AD493">
        <f>IF(計分!AD493="","",計分!AD493^2)</f>
        <v/>
      </c>
      <c r="AE493">
        <f>IF(計分!AE493="","",計分!AE493^2)</f>
        <v/>
      </c>
      <c r="AF493">
        <f>IF(計分!AF493="","",計分!AF493^2)</f>
        <v/>
      </c>
      <c r="AG493">
        <f>IF(計分!AG493="","",計分!AG493^2)</f>
        <v/>
      </c>
      <c r="AH493">
        <f>IF(計分!AH493="","",計分!AH493^2)</f>
        <v/>
      </c>
      <c r="AI493">
        <f>IF(計分!AI493="","",計分!AI493^2)</f>
        <v/>
      </c>
      <c r="AJ493">
        <f>IF(計分!AJ493="","",計分!AJ493^2)</f>
        <v/>
      </c>
      <c r="AK493">
        <f>IF(計分!AK493="","",計分!AK493^2)</f>
        <v/>
      </c>
      <c r="AL493">
        <f>IF(計分!AL493="","",計分!AL493^2)</f>
        <v/>
      </c>
      <c r="AM493">
        <f>IF(計分!AM493="","",計分!AM493^2)</f>
        <v/>
      </c>
      <c r="AN493">
        <f>IF(計分!AN493="","",計分!AN493^2)</f>
        <v/>
      </c>
      <c r="AO493">
        <f>IF(計分!AO493="","",計分!AO493^2)</f>
        <v/>
      </c>
    </row>
    <row r="494">
      <c r="B494">
        <f>IF(計分!B494="","",計分!B494^2)</f>
        <v/>
      </c>
      <c r="C494">
        <f>IF(計分!C494="","",計分!C494^2)</f>
        <v/>
      </c>
      <c r="D494">
        <f>IF(計分!D494="","",計分!D494^2)</f>
        <v/>
      </c>
      <c r="E494">
        <f>IF(計分!E494="","",計分!E494^2)</f>
        <v/>
      </c>
      <c r="F494">
        <f>IF(計分!F494="","",計分!F494^2)</f>
        <v/>
      </c>
      <c r="G494">
        <f>IF(計分!G494="","",計分!G494^2)</f>
        <v/>
      </c>
      <c r="H494">
        <f>IF(計分!H494="","",計分!H494^2)</f>
        <v/>
      </c>
      <c r="I494">
        <f>IF(計分!I494="","",計分!I494^2)</f>
        <v/>
      </c>
      <c r="J494">
        <f>IF(計分!J494="","",計分!J494^2)</f>
        <v/>
      </c>
      <c r="K494">
        <f>IF(計分!K494="","",計分!K494^2)</f>
        <v/>
      </c>
      <c r="L494">
        <f>IF(計分!L494="","",計分!L494^2)</f>
        <v/>
      </c>
      <c r="M494">
        <f>IF(計分!M494="","",計分!M494^2)</f>
        <v/>
      </c>
      <c r="N494">
        <f>IF(計分!N494="","",計分!N494^2)</f>
        <v/>
      </c>
      <c r="O494">
        <f>IF(計分!O494="","",計分!O494^2)</f>
        <v/>
      </c>
      <c r="P494">
        <f>IF(計分!P494="","",計分!P494^2)</f>
        <v/>
      </c>
      <c r="Q494">
        <f>IF(計分!Q494="","",計分!Q494^2)</f>
        <v/>
      </c>
      <c r="R494">
        <f>IF(計分!R494="","",計分!R494^2)</f>
        <v/>
      </c>
      <c r="S494">
        <f>IF(計分!S494="","",計分!S494^2)</f>
        <v/>
      </c>
      <c r="T494">
        <f>IF(計分!T494="","",計分!T494^2)</f>
        <v/>
      </c>
      <c r="U494">
        <f>IF(計分!U494="","",計分!U494^2)</f>
        <v/>
      </c>
      <c r="V494">
        <f>IF(計分!V494="","",計分!V494^2)</f>
        <v/>
      </c>
      <c r="W494">
        <f>IF(計分!W494="","",計分!W494^2)</f>
        <v/>
      </c>
      <c r="X494">
        <f>IF(計分!X494="","",計分!X494^2)</f>
        <v/>
      </c>
      <c r="Y494">
        <f>IF(計分!Y494="","",計分!Y494^2)</f>
        <v/>
      </c>
      <c r="Z494">
        <f>IF(計分!Z494="","",計分!Z494^2)</f>
        <v/>
      </c>
      <c r="AA494">
        <f>IF(計分!AA494="","",計分!AA494^2)</f>
        <v/>
      </c>
      <c r="AB494">
        <f>IF(計分!AB494="","",計分!AB494^2)</f>
        <v/>
      </c>
      <c r="AC494">
        <f>IF(計分!AC494="","",計分!AC494^2)</f>
        <v/>
      </c>
      <c r="AD494">
        <f>IF(計分!AD494="","",計分!AD494^2)</f>
        <v/>
      </c>
      <c r="AE494">
        <f>IF(計分!AE494="","",計分!AE494^2)</f>
        <v/>
      </c>
      <c r="AF494">
        <f>IF(計分!AF494="","",計分!AF494^2)</f>
        <v/>
      </c>
      <c r="AG494">
        <f>IF(計分!AG494="","",計分!AG494^2)</f>
        <v/>
      </c>
      <c r="AH494">
        <f>IF(計分!AH494="","",計分!AH494^2)</f>
        <v/>
      </c>
      <c r="AI494">
        <f>IF(計分!AI494="","",計分!AI494^2)</f>
        <v/>
      </c>
      <c r="AJ494">
        <f>IF(計分!AJ494="","",計分!AJ494^2)</f>
        <v/>
      </c>
      <c r="AK494">
        <f>IF(計分!AK494="","",計分!AK494^2)</f>
        <v/>
      </c>
      <c r="AL494">
        <f>IF(計分!AL494="","",計分!AL494^2)</f>
        <v/>
      </c>
      <c r="AM494">
        <f>IF(計分!AM494="","",計分!AM494^2)</f>
        <v/>
      </c>
      <c r="AN494">
        <f>IF(計分!AN494="","",計分!AN494^2)</f>
        <v/>
      </c>
      <c r="AO494">
        <f>IF(計分!AO494="","",計分!AO494^2)</f>
        <v/>
      </c>
    </row>
    <row r="495">
      <c r="B495">
        <f>IF(計分!B495="","",計分!B495^2)</f>
        <v/>
      </c>
      <c r="C495">
        <f>IF(計分!C495="","",計分!C495^2)</f>
        <v/>
      </c>
      <c r="D495">
        <f>IF(計分!D495="","",計分!D495^2)</f>
        <v/>
      </c>
      <c r="E495">
        <f>IF(計分!E495="","",計分!E495^2)</f>
        <v/>
      </c>
      <c r="F495">
        <f>IF(計分!F495="","",計分!F495^2)</f>
        <v/>
      </c>
      <c r="G495">
        <f>IF(計分!G495="","",計分!G495^2)</f>
        <v/>
      </c>
      <c r="H495">
        <f>IF(計分!H495="","",計分!H495^2)</f>
        <v/>
      </c>
      <c r="I495">
        <f>IF(計分!I495="","",計分!I495^2)</f>
        <v/>
      </c>
      <c r="J495">
        <f>IF(計分!J495="","",計分!J495^2)</f>
        <v/>
      </c>
      <c r="K495">
        <f>IF(計分!K495="","",計分!K495^2)</f>
        <v/>
      </c>
      <c r="L495">
        <f>IF(計分!L495="","",計分!L495^2)</f>
        <v/>
      </c>
      <c r="M495">
        <f>IF(計分!M495="","",計分!M495^2)</f>
        <v/>
      </c>
      <c r="N495">
        <f>IF(計分!N495="","",計分!N495^2)</f>
        <v/>
      </c>
      <c r="O495">
        <f>IF(計分!O495="","",計分!O495^2)</f>
        <v/>
      </c>
      <c r="P495">
        <f>IF(計分!P495="","",計分!P495^2)</f>
        <v/>
      </c>
      <c r="Q495">
        <f>IF(計分!Q495="","",計分!Q495^2)</f>
        <v/>
      </c>
      <c r="R495">
        <f>IF(計分!R495="","",計分!R495^2)</f>
        <v/>
      </c>
      <c r="S495">
        <f>IF(計分!S495="","",計分!S495^2)</f>
        <v/>
      </c>
      <c r="T495">
        <f>IF(計分!T495="","",計分!T495^2)</f>
        <v/>
      </c>
      <c r="U495">
        <f>IF(計分!U495="","",計分!U495^2)</f>
        <v/>
      </c>
      <c r="V495">
        <f>IF(計分!V495="","",計分!V495^2)</f>
        <v/>
      </c>
      <c r="W495">
        <f>IF(計分!W495="","",計分!W495^2)</f>
        <v/>
      </c>
      <c r="X495">
        <f>IF(計分!X495="","",計分!X495^2)</f>
        <v/>
      </c>
      <c r="Y495">
        <f>IF(計分!Y495="","",計分!Y495^2)</f>
        <v/>
      </c>
      <c r="Z495">
        <f>IF(計分!Z495="","",計分!Z495^2)</f>
        <v/>
      </c>
      <c r="AA495">
        <f>IF(計分!AA495="","",計分!AA495^2)</f>
        <v/>
      </c>
      <c r="AB495">
        <f>IF(計分!AB495="","",計分!AB495^2)</f>
        <v/>
      </c>
      <c r="AC495">
        <f>IF(計分!AC495="","",計分!AC495^2)</f>
        <v/>
      </c>
      <c r="AD495">
        <f>IF(計分!AD495="","",計分!AD495^2)</f>
        <v/>
      </c>
      <c r="AE495">
        <f>IF(計分!AE495="","",計分!AE495^2)</f>
        <v/>
      </c>
      <c r="AF495">
        <f>IF(計分!AF495="","",計分!AF495^2)</f>
        <v/>
      </c>
      <c r="AG495">
        <f>IF(計分!AG495="","",計分!AG495^2)</f>
        <v/>
      </c>
      <c r="AH495">
        <f>IF(計分!AH495="","",計分!AH495^2)</f>
        <v/>
      </c>
      <c r="AI495">
        <f>IF(計分!AI495="","",計分!AI495^2)</f>
        <v/>
      </c>
      <c r="AJ495">
        <f>IF(計分!AJ495="","",計分!AJ495^2)</f>
        <v/>
      </c>
      <c r="AK495">
        <f>IF(計分!AK495="","",計分!AK495^2)</f>
        <v/>
      </c>
      <c r="AL495">
        <f>IF(計分!AL495="","",計分!AL495^2)</f>
        <v/>
      </c>
      <c r="AM495">
        <f>IF(計分!AM495="","",計分!AM495^2)</f>
        <v/>
      </c>
      <c r="AN495">
        <f>IF(計分!AN495="","",計分!AN495^2)</f>
        <v/>
      </c>
      <c r="AO495">
        <f>IF(計分!AO495="","",計分!AO495^2)</f>
        <v/>
      </c>
    </row>
    <row r="496">
      <c r="B496">
        <f>IF(計分!B496="","",計分!B496^2)</f>
        <v/>
      </c>
      <c r="C496">
        <f>IF(計分!C496="","",計分!C496^2)</f>
        <v/>
      </c>
      <c r="D496">
        <f>IF(計分!D496="","",計分!D496^2)</f>
        <v/>
      </c>
      <c r="E496">
        <f>IF(計分!E496="","",計分!E496^2)</f>
        <v/>
      </c>
      <c r="F496">
        <f>IF(計分!F496="","",計分!F496^2)</f>
        <v/>
      </c>
      <c r="G496">
        <f>IF(計分!G496="","",計分!G496^2)</f>
        <v/>
      </c>
      <c r="H496">
        <f>IF(計分!H496="","",計分!H496^2)</f>
        <v/>
      </c>
      <c r="I496">
        <f>IF(計分!I496="","",計分!I496^2)</f>
        <v/>
      </c>
      <c r="J496">
        <f>IF(計分!J496="","",計分!J496^2)</f>
        <v/>
      </c>
      <c r="K496">
        <f>IF(計分!K496="","",計分!K496^2)</f>
        <v/>
      </c>
      <c r="L496">
        <f>IF(計分!L496="","",計分!L496^2)</f>
        <v/>
      </c>
      <c r="M496">
        <f>IF(計分!M496="","",計分!M496^2)</f>
        <v/>
      </c>
      <c r="N496">
        <f>IF(計分!N496="","",計分!N496^2)</f>
        <v/>
      </c>
      <c r="O496">
        <f>IF(計分!O496="","",計分!O496^2)</f>
        <v/>
      </c>
      <c r="P496">
        <f>IF(計分!P496="","",計分!P496^2)</f>
        <v/>
      </c>
      <c r="Q496">
        <f>IF(計分!Q496="","",計分!Q496^2)</f>
        <v/>
      </c>
      <c r="R496">
        <f>IF(計分!R496="","",計分!R496^2)</f>
        <v/>
      </c>
      <c r="S496">
        <f>IF(計分!S496="","",計分!S496^2)</f>
        <v/>
      </c>
      <c r="T496">
        <f>IF(計分!T496="","",計分!T496^2)</f>
        <v/>
      </c>
      <c r="U496">
        <f>IF(計分!U496="","",計分!U496^2)</f>
        <v/>
      </c>
      <c r="V496">
        <f>IF(計分!V496="","",計分!V496^2)</f>
        <v/>
      </c>
      <c r="W496">
        <f>IF(計分!W496="","",計分!W496^2)</f>
        <v/>
      </c>
      <c r="X496">
        <f>IF(計分!X496="","",計分!X496^2)</f>
        <v/>
      </c>
      <c r="Y496">
        <f>IF(計分!Y496="","",計分!Y496^2)</f>
        <v/>
      </c>
      <c r="Z496">
        <f>IF(計分!Z496="","",計分!Z496^2)</f>
        <v/>
      </c>
      <c r="AA496">
        <f>IF(計分!AA496="","",計分!AA496^2)</f>
        <v/>
      </c>
      <c r="AB496">
        <f>IF(計分!AB496="","",計分!AB496^2)</f>
        <v/>
      </c>
      <c r="AC496">
        <f>IF(計分!AC496="","",計分!AC496^2)</f>
        <v/>
      </c>
      <c r="AD496">
        <f>IF(計分!AD496="","",計分!AD496^2)</f>
        <v/>
      </c>
      <c r="AE496">
        <f>IF(計分!AE496="","",計分!AE496^2)</f>
        <v/>
      </c>
      <c r="AF496">
        <f>IF(計分!AF496="","",計分!AF496^2)</f>
        <v/>
      </c>
      <c r="AG496">
        <f>IF(計分!AG496="","",計分!AG496^2)</f>
        <v/>
      </c>
      <c r="AH496">
        <f>IF(計分!AH496="","",計分!AH496^2)</f>
        <v/>
      </c>
      <c r="AI496">
        <f>IF(計分!AI496="","",計分!AI496^2)</f>
        <v/>
      </c>
      <c r="AJ496">
        <f>IF(計分!AJ496="","",計分!AJ496^2)</f>
        <v/>
      </c>
      <c r="AK496">
        <f>IF(計分!AK496="","",計分!AK496^2)</f>
        <v/>
      </c>
      <c r="AL496">
        <f>IF(計分!AL496="","",計分!AL496^2)</f>
        <v/>
      </c>
      <c r="AM496">
        <f>IF(計分!AM496="","",計分!AM496^2)</f>
        <v/>
      </c>
      <c r="AN496">
        <f>IF(計分!AN496="","",計分!AN496^2)</f>
        <v/>
      </c>
      <c r="AO496">
        <f>IF(計分!AO496="","",計分!AO496^2)</f>
        <v/>
      </c>
    </row>
    <row r="497">
      <c r="B497">
        <f>IF(計分!B497="","",計分!B497^2)</f>
        <v/>
      </c>
      <c r="C497">
        <f>IF(計分!C497="","",計分!C497^2)</f>
        <v/>
      </c>
      <c r="D497">
        <f>IF(計分!D497="","",計分!D497^2)</f>
        <v/>
      </c>
      <c r="E497">
        <f>IF(計分!E497="","",計分!E497^2)</f>
        <v/>
      </c>
      <c r="F497">
        <f>IF(計分!F497="","",計分!F497^2)</f>
        <v/>
      </c>
      <c r="G497">
        <f>IF(計分!G497="","",計分!G497^2)</f>
        <v/>
      </c>
      <c r="H497">
        <f>IF(計分!H497="","",計分!H497^2)</f>
        <v/>
      </c>
      <c r="I497">
        <f>IF(計分!I497="","",計分!I497^2)</f>
        <v/>
      </c>
      <c r="J497">
        <f>IF(計分!J497="","",計分!J497^2)</f>
        <v/>
      </c>
      <c r="K497">
        <f>IF(計分!K497="","",計分!K497^2)</f>
        <v/>
      </c>
      <c r="L497">
        <f>IF(計分!L497="","",計分!L497^2)</f>
        <v/>
      </c>
      <c r="M497">
        <f>IF(計分!M497="","",計分!M497^2)</f>
        <v/>
      </c>
      <c r="N497">
        <f>IF(計分!N497="","",計分!N497^2)</f>
        <v/>
      </c>
      <c r="O497">
        <f>IF(計分!O497="","",計分!O497^2)</f>
        <v/>
      </c>
      <c r="P497">
        <f>IF(計分!P497="","",計分!P497^2)</f>
        <v/>
      </c>
      <c r="Q497">
        <f>IF(計分!Q497="","",計分!Q497^2)</f>
        <v/>
      </c>
      <c r="R497">
        <f>IF(計分!R497="","",計分!R497^2)</f>
        <v/>
      </c>
      <c r="S497">
        <f>IF(計分!S497="","",計分!S497^2)</f>
        <v/>
      </c>
      <c r="T497">
        <f>IF(計分!T497="","",計分!T497^2)</f>
        <v/>
      </c>
      <c r="U497">
        <f>IF(計分!U497="","",計分!U497^2)</f>
        <v/>
      </c>
      <c r="V497">
        <f>IF(計分!V497="","",計分!V497^2)</f>
        <v/>
      </c>
      <c r="W497">
        <f>IF(計分!W497="","",計分!W497^2)</f>
        <v/>
      </c>
      <c r="X497">
        <f>IF(計分!X497="","",計分!X497^2)</f>
        <v/>
      </c>
      <c r="Y497">
        <f>IF(計分!Y497="","",計分!Y497^2)</f>
        <v/>
      </c>
      <c r="Z497">
        <f>IF(計分!Z497="","",計分!Z497^2)</f>
        <v/>
      </c>
      <c r="AA497">
        <f>IF(計分!AA497="","",計分!AA497^2)</f>
        <v/>
      </c>
      <c r="AB497">
        <f>IF(計分!AB497="","",計分!AB497^2)</f>
        <v/>
      </c>
      <c r="AC497">
        <f>IF(計分!AC497="","",計分!AC497^2)</f>
        <v/>
      </c>
      <c r="AD497">
        <f>IF(計分!AD497="","",計分!AD497^2)</f>
        <v/>
      </c>
      <c r="AE497">
        <f>IF(計分!AE497="","",計分!AE497^2)</f>
        <v/>
      </c>
      <c r="AF497">
        <f>IF(計分!AF497="","",計分!AF497^2)</f>
        <v/>
      </c>
      <c r="AG497">
        <f>IF(計分!AG497="","",計分!AG497^2)</f>
        <v/>
      </c>
      <c r="AH497">
        <f>IF(計分!AH497="","",計分!AH497^2)</f>
        <v/>
      </c>
      <c r="AI497">
        <f>IF(計分!AI497="","",計分!AI497^2)</f>
        <v/>
      </c>
      <c r="AJ497">
        <f>IF(計分!AJ497="","",計分!AJ497^2)</f>
        <v/>
      </c>
      <c r="AK497">
        <f>IF(計分!AK497="","",計分!AK497^2)</f>
        <v/>
      </c>
      <c r="AL497">
        <f>IF(計分!AL497="","",計分!AL497^2)</f>
        <v/>
      </c>
      <c r="AM497">
        <f>IF(計分!AM497="","",計分!AM497^2)</f>
        <v/>
      </c>
      <c r="AN497">
        <f>IF(計分!AN497="","",計分!AN497^2)</f>
        <v/>
      </c>
      <c r="AO497">
        <f>IF(計分!AO497="","",計分!AO497^2)</f>
        <v/>
      </c>
    </row>
    <row r="498">
      <c r="B498">
        <f>IF(計分!B498="","",計分!B498^2)</f>
        <v/>
      </c>
      <c r="C498">
        <f>IF(計分!C498="","",計分!C498^2)</f>
        <v/>
      </c>
      <c r="D498">
        <f>IF(計分!D498="","",計分!D498^2)</f>
        <v/>
      </c>
      <c r="E498">
        <f>IF(計分!E498="","",計分!E498^2)</f>
        <v/>
      </c>
      <c r="F498">
        <f>IF(計分!F498="","",計分!F498^2)</f>
        <v/>
      </c>
      <c r="G498">
        <f>IF(計分!G498="","",計分!G498^2)</f>
        <v/>
      </c>
      <c r="H498">
        <f>IF(計分!H498="","",計分!H498^2)</f>
        <v/>
      </c>
      <c r="I498">
        <f>IF(計分!I498="","",計分!I498^2)</f>
        <v/>
      </c>
      <c r="J498">
        <f>IF(計分!J498="","",計分!J498^2)</f>
        <v/>
      </c>
      <c r="K498">
        <f>IF(計分!K498="","",計分!K498^2)</f>
        <v/>
      </c>
      <c r="L498">
        <f>IF(計分!L498="","",計分!L498^2)</f>
        <v/>
      </c>
      <c r="M498">
        <f>IF(計分!M498="","",計分!M498^2)</f>
        <v/>
      </c>
      <c r="N498">
        <f>IF(計分!N498="","",計分!N498^2)</f>
        <v/>
      </c>
      <c r="O498">
        <f>IF(計分!O498="","",計分!O498^2)</f>
        <v/>
      </c>
      <c r="P498">
        <f>IF(計分!P498="","",計分!P498^2)</f>
        <v/>
      </c>
      <c r="Q498">
        <f>IF(計分!Q498="","",計分!Q498^2)</f>
        <v/>
      </c>
      <c r="R498">
        <f>IF(計分!R498="","",計分!R498^2)</f>
        <v/>
      </c>
      <c r="S498">
        <f>IF(計分!S498="","",計分!S498^2)</f>
        <v/>
      </c>
      <c r="T498">
        <f>IF(計分!T498="","",計分!T498^2)</f>
        <v/>
      </c>
      <c r="U498">
        <f>IF(計分!U498="","",計分!U498^2)</f>
        <v/>
      </c>
      <c r="V498">
        <f>IF(計分!V498="","",計分!V498^2)</f>
        <v/>
      </c>
      <c r="W498">
        <f>IF(計分!W498="","",計分!W498^2)</f>
        <v/>
      </c>
      <c r="X498">
        <f>IF(計分!X498="","",計分!X498^2)</f>
        <v/>
      </c>
      <c r="Y498">
        <f>IF(計分!Y498="","",計分!Y498^2)</f>
        <v/>
      </c>
      <c r="Z498">
        <f>IF(計分!Z498="","",計分!Z498^2)</f>
        <v/>
      </c>
      <c r="AA498">
        <f>IF(計分!AA498="","",計分!AA498^2)</f>
        <v/>
      </c>
      <c r="AB498">
        <f>IF(計分!AB498="","",計分!AB498^2)</f>
        <v/>
      </c>
      <c r="AC498">
        <f>IF(計分!AC498="","",計分!AC498^2)</f>
        <v/>
      </c>
      <c r="AD498">
        <f>IF(計分!AD498="","",計分!AD498^2)</f>
        <v/>
      </c>
      <c r="AE498">
        <f>IF(計分!AE498="","",計分!AE498^2)</f>
        <v/>
      </c>
      <c r="AF498">
        <f>IF(計分!AF498="","",計分!AF498^2)</f>
        <v/>
      </c>
      <c r="AG498">
        <f>IF(計分!AG498="","",計分!AG498^2)</f>
        <v/>
      </c>
      <c r="AH498">
        <f>IF(計分!AH498="","",計分!AH498^2)</f>
        <v/>
      </c>
      <c r="AI498">
        <f>IF(計分!AI498="","",計分!AI498^2)</f>
        <v/>
      </c>
      <c r="AJ498">
        <f>IF(計分!AJ498="","",計分!AJ498^2)</f>
        <v/>
      </c>
      <c r="AK498">
        <f>IF(計分!AK498="","",計分!AK498^2)</f>
        <v/>
      </c>
      <c r="AL498">
        <f>IF(計分!AL498="","",計分!AL498^2)</f>
        <v/>
      </c>
      <c r="AM498">
        <f>IF(計分!AM498="","",計分!AM498^2)</f>
        <v/>
      </c>
      <c r="AN498">
        <f>IF(計分!AN498="","",計分!AN498^2)</f>
        <v/>
      </c>
      <c r="AO498">
        <f>IF(計分!AO498="","",計分!AO498^2)</f>
        <v/>
      </c>
    </row>
    <row r="499">
      <c r="B499">
        <f>IF(計分!B499="","",計分!B499^2)</f>
        <v/>
      </c>
      <c r="C499">
        <f>IF(計分!C499="","",計分!C499^2)</f>
        <v/>
      </c>
      <c r="D499">
        <f>IF(計分!D499="","",計分!D499^2)</f>
        <v/>
      </c>
      <c r="E499">
        <f>IF(計分!E499="","",計分!E499^2)</f>
        <v/>
      </c>
      <c r="F499">
        <f>IF(計分!F499="","",計分!F499^2)</f>
        <v/>
      </c>
      <c r="G499">
        <f>IF(計分!G499="","",計分!G499^2)</f>
        <v/>
      </c>
      <c r="H499">
        <f>IF(計分!H499="","",計分!H499^2)</f>
        <v/>
      </c>
      <c r="I499">
        <f>IF(計分!I499="","",計分!I499^2)</f>
        <v/>
      </c>
      <c r="J499">
        <f>IF(計分!J499="","",計分!J499^2)</f>
        <v/>
      </c>
      <c r="K499">
        <f>IF(計分!K499="","",計分!K499^2)</f>
        <v/>
      </c>
      <c r="L499">
        <f>IF(計分!L499="","",計分!L499^2)</f>
        <v/>
      </c>
      <c r="M499">
        <f>IF(計分!M499="","",計分!M499^2)</f>
        <v/>
      </c>
      <c r="N499">
        <f>IF(計分!N499="","",計分!N499^2)</f>
        <v/>
      </c>
      <c r="O499">
        <f>IF(計分!O499="","",計分!O499^2)</f>
        <v/>
      </c>
      <c r="P499">
        <f>IF(計分!P499="","",計分!P499^2)</f>
        <v/>
      </c>
      <c r="Q499">
        <f>IF(計分!Q499="","",計分!Q499^2)</f>
        <v/>
      </c>
      <c r="R499">
        <f>IF(計分!R499="","",計分!R499^2)</f>
        <v/>
      </c>
      <c r="S499">
        <f>IF(計分!S499="","",計分!S499^2)</f>
        <v/>
      </c>
      <c r="T499">
        <f>IF(計分!T499="","",計分!T499^2)</f>
        <v/>
      </c>
      <c r="U499">
        <f>IF(計分!U499="","",計分!U499^2)</f>
        <v/>
      </c>
      <c r="V499">
        <f>IF(計分!V499="","",計分!V499^2)</f>
        <v/>
      </c>
      <c r="W499">
        <f>IF(計分!W499="","",計分!W499^2)</f>
        <v/>
      </c>
      <c r="X499">
        <f>IF(計分!X499="","",計分!X499^2)</f>
        <v/>
      </c>
      <c r="Y499">
        <f>IF(計分!Y499="","",計分!Y499^2)</f>
        <v/>
      </c>
      <c r="Z499">
        <f>IF(計分!Z499="","",計分!Z499^2)</f>
        <v/>
      </c>
      <c r="AA499">
        <f>IF(計分!AA499="","",計分!AA499^2)</f>
        <v/>
      </c>
      <c r="AB499">
        <f>IF(計分!AB499="","",計分!AB499^2)</f>
        <v/>
      </c>
      <c r="AC499">
        <f>IF(計分!AC499="","",計分!AC499^2)</f>
        <v/>
      </c>
      <c r="AD499">
        <f>IF(計分!AD499="","",計分!AD499^2)</f>
        <v/>
      </c>
      <c r="AE499">
        <f>IF(計分!AE499="","",計分!AE499^2)</f>
        <v/>
      </c>
      <c r="AF499">
        <f>IF(計分!AF499="","",計分!AF499^2)</f>
        <v/>
      </c>
      <c r="AG499">
        <f>IF(計分!AG499="","",計分!AG499^2)</f>
        <v/>
      </c>
      <c r="AH499">
        <f>IF(計分!AH499="","",計分!AH499^2)</f>
        <v/>
      </c>
      <c r="AI499">
        <f>IF(計分!AI499="","",計分!AI499^2)</f>
        <v/>
      </c>
      <c r="AJ499">
        <f>IF(計分!AJ499="","",計分!AJ499^2)</f>
        <v/>
      </c>
      <c r="AK499">
        <f>IF(計分!AK499="","",計分!AK499^2)</f>
        <v/>
      </c>
      <c r="AL499">
        <f>IF(計分!AL499="","",計分!AL499^2)</f>
        <v/>
      </c>
      <c r="AM499">
        <f>IF(計分!AM499="","",計分!AM499^2)</f>
        <v/>
      </c>
      <c r="AN499">
        <f>IF(計分!AN499="","",計分!AN499^2)</f>
        <v/>
      </c>
      <c r="AO499">
        <f>IF(計分!AO499="","",計分!AO499^2)</f>
        <v/>
      </c>
    </row>
    <row r="500">
      <c r="B500">
        <f>IF(計分!B500="","",計分!B500^2)</f>
        <v/>
      </c>
      <c r="C500">
        <f>IF(計分!C500="","",計分!C500^2)</f>
        <v/>
      </c>
      <c r="D500">
        <f>IF(計分!D500="","",計分!D500^2)</f>
        <v/>
      </c>
      <c r="E500">
        <f>IF(計分!E500="","",計分!E500^2)</f>
        <v/>
      </c>
      <c r="F500">
        <f>IF(計分!F500="","",計分!F500^2)</f>
        <v/>
      </c>
      <c r="G500">
        <f>IF(計分!G500="","",計分!G500^2)</f>
        <v/>
      </c>
      <c r="H500">
        <f>IF(計分!H500="","",計分!H500^2)</f>
        <v/>
      </c>
      <c r="I500">
        <f>IF(計分!I500="","",計分!I500^2)</f>
        <v/>
      </c>
      <c r="J500">
        <f>IF(計分!J500="","",計分!J500^2)</f>
        <v/>
      </c>
      <c r="K500">
        <f>IF(計分!K500="","",計分!K500^2)</f>
        <v/>
      </c>
      <c r="L500">
        <f>IF(計分!L500="","",計分!L500^2)</f>
        <v/>
      </c>
      <c r="M500">
        <f>IF(計分!M500="","",計分!M500^2)</f>
        <v/>
      </c>
      <c r="N500">
        <f>IF(計分!N500="","",計分!N500^2)</f>
        <v/>
      </c>
      <c r="O500">
        <f>IF(計分!O500="","",計分!O500^2)</f>
        <v/>
      </c>
      <c r="P500">
        <f>IF(計分!P500="","",計分!P500^2)</f>
        <v/>
      </c>
      <c r="Q500">
        <f>IF(計分!Q500="","",計分!Q500^2)</f>
        <v/>
      </c>
      <c r="R500">
        <f>IF(計分!R500="","",計分!R500^2)</f>
        <v/>
      </c>
      <c r="S500">
        <f>IF(計分!S500="","",計分!S500^2)</f>
        <v/>
      </c>
      <c r="T500">
        <f>IF(計分!T500="","",計分!T500^2)</f>
        <v/>
      </c>
      <c r="U500">
        <f>IF(計分!U500="","",計分!U500^2)</f>
        <v/>
      </c>
      <c r="V500">
        <f>IF(計分!V500="","",計分!V500^2)</f>
        <v/>
      </c>
      <c r="W500">
        <f>IF(計分!W500="","",計分!W500^2)</f>
        <v/>
      </c>
      <c r="X500">
        <f>IF(計分!X500="","",計分!X500^2)</f>
        <v/>
      </c>
      <c r="Y500">
        <f>IF(計分!Y500="","",計分!Y500^2)</f>
        <v/>
      </c>
      <c r="Z500">
        <f>IF(計分!Z500="","",計分!Z500^2)</f>
        <v/>
      </c>
      <c r="AA500">
        <f>IF(計分!AA500="","",計分!AA500^2)</f>
        <v/>
      </c>
      <c r="AB500">
        <f>IF(計分!AB500="","",計分!AB500^2)</f>
        <v/>
      </c>
      <c r="AC500">
        <f>IF(計分!AC500="","",計分!AC500^2)</f>
        <v/>
      </c>
      <c r="AD500">
        <f>IF(計分!AD500="","",計分!AD500^2)</f>
        <v/>
      </c>
      <c r="AE500">
        <f>IF(計分!AE500="","",計分!AE500^2)</f>
        <v/>
      </c>
      <c r="AF500">
        <f>IF(計分!AF500="","",計分!AF500^2)</f>
        <v/>
      </c>
      <c r="AG500">
        <f>IF(計分!AG500="","",計分!AG500^2)</f>
        <v/>
      </c>
      <c r="AH500">
        <f>IF(計分!AH500="","",計分!AH500^2)</f>
        <v/>
      </c>
      <c r="AI500">
        <f>IF(計分!AI500="","",計分!AI500^2)</f>
        <v/>
      </c>
      <c r="AJ500">
        <f>IF(計分!AJ500="","",計分!AJ500^2)</f>
        <v/>
      </c>
      <c r="AK500">
        <f>IF(計分!AK500="","",計分!AK500^2)</f>
        <v/>
      </c>
      <c r="AL500">
        <f>IF(計分!AL500="","",計分!AL500^2)</f>
        <v/>
      </c>
      <c r="AM500">
        <f>IF(計分!AM500="","",計分!AM500^2)</f>
        <v/>
      </c>
      <c r="AN500">
        <f>IF(計分!AN500="","",計分!AN500^2)</f>
        <v/>
      </c>
      <c r="AO500">
        <f>IF(計分!AO500="","",計分!AO500^2)</f>
        <v/>
      </c>
    </row>
    <row r="501">
      <c r="B501">
        <f>IF(計分!B501="","",計分!B501^2)</f>
        <v/>
      </c>
      <c r="C501">
        <f>IF(計分!C501="","",計分!C501^2)</f>
        <v/>
      </c>
      <c r="D501">
        <f>IF(計分!D501="","",計分!D501^2)</f>
        <v/>
      </c>
      <c r="E501">
        <f>IF(計分!E501="","",計分!E501^2)</f>
        <v/>
      </c>
      <c r="F501">
        <f>IF(計分!F501="","",計分!F501^2)</f>
        <v/>
      </c>
      <c r="G501">
        <f>IF(計分!G501="","",計分!G501^2)</f>
        <v/>
      </c>
      <c r="H501">
        <f>IF(計分!H501="","",計分!H501^2)</f>
        <v/>
      </c>
      <c r="I501">
        <f>IF(計分!I501="","",計分!I501^2)</f>
        <v/>
      </c>
      <c r="J501">
        <f>IF(計分!J501="","",計分!J501^2)</f>
        <v/>
      </c>
      <c r="K501">
        <f>IF(計分!K501="","",計分!K501^2)</f>
        <v/>
      </c>
      <c r="L501">
        <f>IF(計分!L501="","",計分!L501^2)</f>
        <v/>
      </c>
      <c r="M501">
        <f>IF(計分!M501="","",計分!M501^2)</f>
        <v/>
      </c>
      <c r="N501">
        <f>IF(計分!N501="","",計分!N501^2)</f>
        <v/>
      </c>
      <c r="O501">
        <f>IF(計分!O501="","",計分!O501^2)</f>
        <v/>
      </c>
      <c r="P501">
        <f>IF(計分!P501="","",計分!P501^2)</f>
        <v/>
      </c>
      <c r="Q501">
        <f>IF(計分!Q501="","",計分!Q501^2)</f>
        <v/>
      </c>
      <c r="R501">
        <f>IF(計分!R501="","",計分!R501^2)</f>
        <v/>
      </c>
      <c r="S501">
        <f>IF(計分!S501="","",計分!S501^2)</f>
        <v/>
      </c>
      <c r="T501">
        <f>IF(計分!T501="","",計分!T501^2)</f>
        <v/>
      </c>
      <c r="U501">
        <f>IF(計分!U501="","",計分!U501^2)</f>
        <v/>
      </c>
      <c r="V501">
        <f>IF(計分!V501="","",計分!V501^2)</f>
        <v/>
      </c>
      <c r="W501">
        <f>IF(計分!W501="","",計分!W501^2)</f>
        <v/>
      </c>
      <c r="X501">
        <f>IF(計分!X501="","",計分!X501^2)</f>
        <v/>
      </c>
      <c r="Y501">
        <f>IF(計分!Y501="","",計分!Y501^2)</f>
        <v/>
      </c>
      <c r="Z501">
        <f>IF(計分!Z501="","",計分!Z501^2)</f>
        <v/>
      </c>
      <c r="AA501">
        <f>IF(計分!AA501="","",計分!AA501^2)</f>
        <v/>
      </c>
      <c r="AB501">
        <f>IF(計分!AB501="","",計分!AB501^2)</f>
        <v/>
      </c>
      <c r="AC501">
        <f>IF(計分!AC501="","",計分!AC501^2)</f>
        <v/>
      </c>
      <c r="AD501">
        <f>IF(計分!AD501="","",計分!AD501^2)</f>
        <v/>
      </c>
      <c r="AE501">
        <f>IF(計分!AE501="","",計分!AE501^2)</f>
        <v/>
      </c>
      <c r="AF501">
        <f>IF(計分!AF501="","",計分!AF501^2)</f>
        <v/>
      </c>
      <c r="AG501">
        <f>IF(計分!AG501="","",計分!AG501^2)</f>
        <v/>
      </c>
      <c r="AH501">
        <f>IF(計分!AH501="","",計分!AH501^2)</f>
        <v/>
      </c>
      <c r="AI501">
        <f>IF(計分!AI501="","",計分!AI501^2)</f>
        <v/>
      </c>
      <c r="AJ501">
        <f>IF(計分!AJ501="","",計分!AJ501^2)</f>
        <v/>
      </c>
      <c r="AK501">
        <f>IF(計分!AK501="","",計分!AK501^2)</f>
        <v/>
      </c>
      <c r="AL501">
        <f>IF(計分!AL501="","",計分!AL501^2)</f>
        <v/>
      </c>
      <c r="AM501">
        <f>IF(計分!AM501="","",計分!AM501^2)</f>
        <v/>
      </c>
      <c r="AN501">
        <f>IF(計分!AN501="","",計分!AN501^2)</f>
        <v/>
      </c>
      <c r="AO501">
        <f>IF(計分!AO501="","",計分!AO501^2)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2026-10-22T15:59:11Z</dcterms:created>
  <dcterms:modified xmlns:dcterms="http://purl.org/dc/terms/" xmlns:xsi="http://www.w3.org/2001/XMLSchema-instance" xsi:type="dcterms:W3CDTF">2026-10-23T03:54:52Z</dcterms:modified>
</cp:coreProperties>
</file>