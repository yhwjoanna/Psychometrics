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編碼簿" sheetId="2" state="visible" r:id="rId2"/>
    <sheet xmlns:r="http://schemas.openxmlformats.org/officeDocument/2006/relationships" name="事例清單" sheetId="3" state="visible" r:id="rId3"/>
    <sheet xmlns:r="http://schemas.openxmlformats.org/officeDocument/2006/relationships" name="甲分類" sheetId="4" state="visible" r:id="rId4"/>
    <sheet xmlns:r="http://schemas.openxmlformats.org/officeDocument/2006/relationships" name="乙分類" sheetId="5" state="visible" r:id="rId5"/>
    <sheet xmlns:r="http://schemas.openxmlformats.org/officeDocument/2006/relationships" name="交叉表與κ" sheetId="6" state="visible" r:id="rId6"/>
    <sheet xmlns:r="http://schemas.openxmlformats.org/officeDocument/2006/relationships" name="標籤驗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JhengHei"/>
      <b val="1"/>
      <color rgb="007A2033"/>
      <sz val="16"/>
    </font>
    <font>
      <name val="Microsoft JhengHei"/>
      <color rgb="005F6E84"/>
      <sz val="10"/>
    </font>
    <font>
      <name val="Microsoft JhengHei"/>
      <sz val="11"/>
    </font>
    <font>
      <name val="Microsoft JhengHei"/>
      <b val="1"/>
      <color rgb="001C2F52"/>
      <sz val="13"/>
    </font>
    <font>
      <name val="Microsoft JhengHei"/>
      <b val="1"/>
      <color rgb="002F6B4C"/>
      <sz val="11"/>
    </font>
    <font>
      <name val="Microsoft JhengHei"/>
      <b val="1"/>
      <color rgb="008A5A12"/>
      <sz val="11"/>
    </font>
    <font>
      <name val="Microsoft JhengHei"/>
      <b val="1"/>
      <color rgb="00A33A32"/>
      <sz val="11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color rgb="001C2F52"/>
      <sz val="14"/>
    </font>
    <font>
      <name val="Microsoft JhengHei"/>
      <color rgb="005F6E84"/>
      <sz val="11"/>
    </font>
    <font>
      <name val="Microsoft JhengHei"/>
      <b val="1"/>
      <color rgb="007A2033"/>
      <sz val="11"/>
    </font>
    <font>
      <name val="Microsoft JhengHei"/>
      <b val="1"/>
      <color rgb="00FFFFFF"/>
      <sz val="10"/>
    </font>
    <font>
      <name val="Microsoft JhengHei"/>
      <b val="1"/>
      <sz val="11"/>
    </font>
    <font>
      <name val="Microsoft JhengHei"/>
      <b val="1"/>
      <sz val="12"/>
    </font>
  </fonts>
  <fills count="7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8F2A24"/>
      </patternFill>
    </fill>
    <fill>
      <patternFill patternType="solid">
        <fgColor rgb="001C2F52"/>
      </patternFill>
    </fill>
    <fill>
      <patternFill patternType="solid">
        <fgColor rgb="00F2EEE6"/>
      </patternFill>
    </fill>
    <fill>
      <patternFill patternType="solid">
        <fgColor rgb="00F3E3E4"/>
      </patternFill>
    </fill>
  </fills>
  <borders count="6">
    <border>
      <left/>
      <right/>
      <top/>
      <bottom/>
      <diagonal/>
    </border>
    <border>
      <left style="thin">
        <color rgb="00D9CFB9"/>
      </left>
      <right style="thin">
        <color rgb="00D9CFB9"/>
      </right>
      <top style="thin">
        <color rgb="00D9CFB9"/>
      </top>
      <bottom style="thin">
        <color rgb="00D9CFB9"/>
      </bottom>
    </border>
    <border>
      <left/>
      <right/>
      <top style="thin">
        <color rgb="00D9CFB9"/>
      </top>
      <bottom/>
      <diagonal/>
    </border>
    <border>
      <left/>
      <right style="thin">
        <color rgb="00D9CFB9"/>
      </right>
      <top style="thin">
        <color rgb="00D9CFB9"/>
      </top>
      <bottom/>
      <diagonal/>
    </border>
    <border>
      <left/>
      <right/>
      <top style="thin">
        <color rgb="00D9CFB9"/>
      </top>
      <bottom style="thin">
        <color rgb="00D9CFB9"/>
      </bottom>
      <diagonal/>
    </border>
    <border>
      <left/>
      <right style="thin">
        <color rgb="00D9CFB9"/>
      </right>
      <top style="thin">
        <color rgb="00D9CFB9"/>
      </top>
      <bottom style="thin">
        <color rgb="00D9CFB9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pivotButton="0" quotePrefix="0" xfId="0"/>
    <xf numFmtId="0" fontId="11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4" fillId="0" borderId="1" pivotButton="0" quotePrefix="0" xfId="0"/>
    <xf numFmtId="0" fontId="15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2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4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6">
    <dxf>
      <font>
        <name val="Microsoft JhengHei"/>
        <b val="1"/>
        <color rgb="00A33A32"/>
      </font>
      <fill>
        <patternFill patternType="solid">
          <fgColor rgb="00FBECEB"/>
        </patternFill>
      </fill>
    </dxf>
    <dxf>
      <font>
        <name val="Microsoft JhengHei"/>
        <strike val="1"/>
        <color rgb="009A9389"/>
      </font>
    </dxf>
    <dxf>
      <font>
        <name val="Microsoft JhengHei"/>
        <b val="1"/>
        <color rgb="002F6B4C"/>
        <sz val="12"/>
      </font>
      <fill>
        <patternFill patternType="solid">
          <fgColor rgb="00EAF4EE"/>
        </patternFill>
      </fill>
    </dxf>
    <dxf>
      <font>
        <name val="Microsoft JhengHei"/>
        <b val="1"/>
        <color rgb="008A5A12"/>
        <sz val="12"/>
      </font>
      <fill>
        <patternFill patternType="solid">
          <fgColor rgb="00FBF2E1"/>
        </patternFill>
      </fill>
    </dxf>
    <dxf>
      <font>
        <name val="Microsoft JhengHei"/>
        <b val="1"/>
        <color rgb="00A33A32"/>
        <sz val="12"/>
      </font>
      <fill>
        <patternFill patternType="solid">
          <fgColor rgb="00FBECEB"/>
        </patternFill>
      </fill>
    </dxf>
    <dxf>
      <font>
        <name val="Microsoft JhengHei"/>
        <b val="1"/>
        <color rgb="00FFFFFF"/>
        <sz val="12"/>
      </font>
      <fill>
        <patternFill patternType="solid">
          <fgColor rgb="008F2A2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>
      <c r="B1" s="1" t="inlineStr">
        <is>
          <t>期中團體作業　事例分類與 Cohen’s κ 範本</t>
        </is>
      </c>
    </row>
    <row r="2">
      <c r="B2" s="2" t="inlineStr">
        <is>
          <t>員工意向調查 HRM922　2026 Fall　國立中山大學人力資源管理研究所　王豫萱</t>
        </is>
      </c>
    </row>
    <row r="3">
      <c r="B3" s="3" t="inlineStr"/>
    </row>
    <row r="4">
      <c r="B4" s="4" t="inlineStr">
        <is>
          <t>操作步驟</t>
        </is>
      </c>
    </row>
    <row r="5">
      <c r="B5" s="3" t="inlineStr">
        <is>
          <t>1　事例清單：每一列一則事例，分情境、行為、結果三欄。課堂上使用已收集的 40 則；期中作業換成本組收集的事例</t>
        </is>
      </c>
    </row>
    <row r="6">
      <c r="B6" s="3" t="inlineStr">
        <is>
          <t>2　事例清單 E 欄篩選：太籠統、看不出行為的剔除；不屬於本構念的剔除（例如合理申訴、正當拒絕）</t>
        </is>
      </c>
    </row>
    <row r="7">
      <c r="B7" s="3" t="inlineStr">
        <is>
          <t>3　編碼簿：全組讀完保留的事例後，討論出類別，填入類別名稱、定義、納入條件、排除條件；下拉選單會固定附上「無法歸類」</t>
        </is>
      </c>
    </row>
    <row r="8">
      <c r="B8" s="3" t="inlineStr">
        <is>
          <t>4　獨立分類：甲、乙各自另存一份檔案，甲只填「甲分類」、乙只填「乙分類」，分類時不討論、不看對方的檔案</t>
        </is>
      </c>
    </row>
    <row r="9">
      <c r="B9" s="3" t="inlineStr">
        <is>
          <t>5　合併：乙把自己檔案「乙分類」的 E 欄整欄複製，貼到甲檔案「乙分類」的 E 欄（選擇性貼上：值）</t>
        </is>
      </c>
    </row>
    <row r="10">
      <c r="B10" s="3" t="inlineStr">
        <is>
          <t>6　交叉表與κ：自動算出交叉表、觀察同意率、碰巧一致率、κ、判定結果與分歧最多的組合</t>
        </is>
      </c>
    </row>
    <row r="11">
      <c r="B11" s="3" t="inlineStr">
        <is>
          <t>7　討論與修訂：不一致的事例在事例清單 J、K 欄記下討論後的決定與理由；κ 未通過時修訂編碼簿，另存新檔重新分類，企劃書附兩次結果</t>
        </is>
      </c>
    </row>
    <row r="12">
      <c r="B12" s="3" t="inlineStr">
        <is>
          <t>8　標籤驗證：分類完成後才打開，填入旁人原話，看看「玻璃心」這類標籤落在哪些類別</t>
        </is>
      </c>
    </row>
    <row r="13">
      <c r="B13" s="3" t="inlineStr"/>
    </row>
    <row r="14">
      <c r="B14" s="4" t="inlineStr">
        <is>
          <t>三位組員時</t>
        </is>
      </c>
    </row>
    <row r="15">
      <c r="B15" s="3" t="inlineStr">
        <is>
          <t>本範本計算兩人的 κ。三人時，把三人的分類欄分別貼到「編碼一致性計算器」的三人模式，可算出兩兩的 Cohen’s κ 與 Fleiss’ κ</t>
        </is>
      </c>
    </row>
    <row r="16">
      <c r="B16" s="3" t="inlineStr"/>
    </row>
    <row r="17">
      <c r="B17" s="4" t="inlineStr">
        <is>
          <t>顏色說明</t>
        </is>
      </c>
    </row>
    <row r="18">
      <c r="B18" s="5" t="inlineStr">
        <is>
          <t>黃色格子　由各組填寫</t>
        </is>
      </c>
    </row>
    <row r="19">
      <c r="B19" s="3" t="inlineStr">
        <is>
          <t>白色與灰色格子　公式自動計算，請勿修改</t>
        </is>
      </c>
    </row>
    <row r="20">
      <c r="B20" s="3" t="inlineStr"/>
    </row>
    <row r="21">
      <c r="B21" s="4" t="inlineStr">
        <is>
          <t>判定標準（Landis &amp; Koch, 1977 的慣例；本課程以 .61 為通過標準）</t>
        </is>
      </c>
    </row>
    <row r="22">
      <c r="B22" s="6" t="inlineStr">
        <is>
          <t>.61 以上　通過（.81 以上幾乎完全一致）</t>
        </is>
      </c>
    </row>
    <row r="23">
      <c r="B23" s="7" t="inlineStr">
        <is>
          <t>.41 至 .60　未通過：中等一致，修編碼簿後重新分類</t>
        </is>
      </c>
    </row>
    <row r="24">
      <c r="B24" s="8" t="inlineStr">
        <is>
          <t>.01 至 .40　不通過：一致性偏低，類別定義需重寫</t>
        </is>
      </c>
    </row>
    <row r="25">
      <c r="B25" s="9" t="inlineStr">
        <is>
          <t>0 以下　嚴重：一致程度未超過隨機一致的水準，類別沒有共識</t>
        </is>
      </c>
    </row>
    <row r="26">
      <c r="B26" s="3" t="inlineStr"/>
    </row>
    <row r="27">
      <c r="B27" s="4" t="inlineStr">
        <is>
          <t>課堂事例</t>
        </is>
      </c>
    </row>
    <row r="28">
      <c r="B28" s="3" t="inlineStr">
        <is>
          <t>事例清單的 40 則為課堂練習用的教學事例，依職場常見情境編寫，不是真實個案。期中作業開始前另存新檔，刪除第 5 列以下的事例，再填入本組收集的事例</t>
        </is>
      </c>
    </row>
    <row r="29">
      <c r="B29" s="3" t="inlineStr"/>
    </row>
    <row r="30">
      <c r="B30" s="4" t="inlineStr">
        <is>
          <t>參考文獻</t>
        </is>
      </c>
    </row>
    <row r="31">
      <c r="B31" s="10" t="inlineStr">
        <is>
          <t>Cohen, J. (1960). A coefficient of agreement for nominal scales. Educational and Psychological Measurement, 20(1), 37–46. https://doi.org/10.1177/001316446002000104</t>
        </is>
      </c>
    </row>
    <row r="32">
      <c r="B32" s="10" t="inlineStr">
        <is>
          <t>Landis, J. R., &amp; Koch, G. G. (1977). The measurement of observer agreement for categorical data. Biometrics, 33(1), 159–174. https://doi.org/10.2307/2529310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4" customWidth="1" min="3" max="3"/>
    <col width="34" customWidth="1" min="4" max="4"/>
    <col width="34" customWidth="1" min="5" max="5"/>
    <col width="14" customWidth="1" min="6" max="6"/>
  </cols>
  <sheetData>
    <row r="1">
      <c r="A1" s="11" t="inlineStr">
        <is>
          <t>編碼簿</t>
        </is>
      </c>
    </row>
    <row r="2">
      <c r="A2" s="12" t="inlineStr">
        <is>
          <t>全組讀完保留的事例後，討論出類別再填寫；類別名稱不可重複。下拉選單＝本表 B5:B14 加上最後一列的「無法歸類」</t>
        </is>
      </c>
    </row>
    <row r="4">
      <c r="A4" s="13" t="inlineStr">
        <is>
          <t>代號</t>
        </is>
      </c>
      <c r="B4" s="13" t="inlineStr">
        <is>
          <t>類別名稱</t>
        </is>
      </c>
      <c r="C4" s="13" t="inlineStr">
        <is>
          <t>定義</t>
        </is>
      </c>
      <c r="D4" s="13" t="inlineStr">
        <is>
          <t>納入條件</t>
        </is>
      </c>
      <c r="E4" s="13" t="inlineStr">
        <is>
          <t>排除條件</t>
        </is>
      </c>
      <c r="F4" s="13" t="inlineStr">
        <is>
          <t>典型事例編號</t>
        </is>
      </c>
    </row>
    <row r="5">
      <c r="A5" s="14" t="inlineStr">
        <is>
          <t>類別 1</t>
        </is>
      </c>
      <c r="B5" s="15" t="n"/>
      <c r="C5" s="15" t="n"/>
      <c r="D5" s="15" t="n"/>
      <c r="E5" s="15" t="n"/>
      <c r="F5" s="15" t="n"/>
    </row>
    <row r="6">
      <c r="A6" s="14" t="inlineStr">
        <is>
          <t>類別 2</t>
        </is>
      </c>
      <c r="B6" s="15" t="n"/>
      <c r="C6" s="15" t="n"/>
      <c r="D6" s="15" t="n"/>
      <c r="E6" s="15" t="n"/>
      <c r="F6" s="15" t="n"/>
    </row>
    <row r="7">
      <c r="A7" s="14" t="inlineStr">
        <is>
          <t>類別 3</t>
        </is>
      </c>
      <c r="B7" s="15" t="n"/>
      <c r="C7" s="15" t="n"/>
      <c r="D7" s="15" t="n"/>
      <c r="E7" s="15" t="n"/>
      <c r="F7" s="15" t="n"/>
    </row>
    <row r="8">
      <c r="A8" s="14" t="inlineStr">
        <is>
          <t>類別 4</t>
        </is>
      </c>
      <c r="B8" s="15" t="n"/>
      <c r="C8" s="15" t="n"/>
      <c r="D8" s="15" t="n"/>
      <c r="E8" s="15" t="n"/>
      <c r="F8" s="15" t="n"/>
    </row>
    <row r="9">
      <c r="A9" s="14" t="inlineStr">
        <is>
          <t>類別 5</t>
        </is>
      </c>
      <c r="B9" s="15" t="n"/>
      <c r="C9" s="15" t="n"/>
      <c r="D9" s="15" t="n"/>
      <c r="E9" s="15" t="n"/>
      <c r="F9" s="15" t="n"/>
    </row>
    <row r="10">
      <c r="A10" s="14" t="inlineStr">
        <is>
          <t>類別 6</t>
        </is>
      </c>
      <c r="B10" s="15" t="n"/>
      <c r="C10" s="15" t="n"/>
      <c r="D10" s="15" t="n"/>
      <c r="E10" s="15" t="n"/>
      <c r="F10" s="15" t="n"/>
    </row>
    <row r="11">
      <c r="A11" s="14" t="inlineStr">
        <is>
          <t>類別 7</t>
        </is>
      </c>
      <c r="B11" s="15" t="n"/>
      <c r="C11" s="15" t="n"/>
      <c r="D11" s="15" t="n"/>
      <c r="E11" s="15" t="n"/>
      <c r="F11" s="15" t="n"/>
    </row>
    <row r="12">
      <c r="A12" s="14" t="inlineStr">
        <is>
          <t>類別 8</t>
        </is>
      </c>
      <c r="B12" s="15" t="n"/>
      <c r="C12" s="15" t="n"/>
      <c r="D12" s="15" t="n"/>
      <c r="E12" s="15" t="n"/>
      <c r="F12" s="15" t="n"/>
    </row>
    <row r="13">
      <c r="A13" s="14" t="inlineStr">
        <is>
          <t>類別 9</t>
        </is>
      </c>
      <c r="B13" s="15" t="n"/>
      <c r="C13" s="15" t="n"/>
      <c r="D13" s="15" t="n"/>
      <c r="E13" s="15" t="n"/>
      <c r="F13" s="15" t="n"/>
    </row>
    <row r="14">
      <c r="A14" s="14" t="inlineStr">
        <is>
          <t>類別 10</t>
        </is>
      </c>
      <c r="B14" s="15" t="n"/>
      <c r="C14" s="15" t="n"/>
      <c r="D14" s="15" t="n"/>
      <c r="E14" s="15" t="n"/>
      <c r="F14" s="15" t="n"/>
    </row>
    <row r="15">
      <c r="A15" s="16" t="inlineStr">
        <is>
          <t>固定</t>
        </is>
      </c>
      <c r="B15" s="16" t="inlineStr">
        <is>
          <t>無法歸類</t>
        </is>
      </c>
      <c r="C15" s="16" t="inlineStr">
        <is>
          <t>看過定義後，仍無法歸入任何一類的事例</t>
        </is>
      </c>
      <c r="D15" s="16" t="n"/>
      <c r="E15" s="16" t="n"/>
      <c r="F15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34" customWidth="1" min="3" max="3"/>
    <col width="28" customWidth="1" min="4" max="4"/>
    <col width="18" customWidth="1" min="5" max="5"/>
    <col width="9" customWidth="1" min="6" max="6"/>
    <col width="16" customWidth="1" min="7" max="7"/>
    <col width="16" customWidth="1" min="8" max="8"/>
    <col width="10" customWidth="1" min="9" max="9"/>
    <col width="16" customWidth="1" min="10" max="10"/>
    <col width="28" customWidth="1" min="11" max="11"/>
  </cols>
  <sheetData>
    <row r="1">
      <c r="A1" s="11" t="inlineStr">
        <is>
          <t>事例清單</t>
        </is>
      </c>
    </row>
    <row r="2">
      <c r="A2" s="12" t="inlineStr">
        <is>
          <t>A–D 欄為事例；E 欄先篩選；G、H 欄自動帶入甲乙的分類；J、K 欄記錄討論後的決定</t>
        </is>
      </c>
    </row>
    <row r="3">
      <c r="A3" s="17">
        <f>"事例 "&amp;COUNTA(A5:A304)&amp;" 則；保留 "&amp;COUNTIF(E5:E304,"保留")&amp;" 則；甲乙都已分類 "&amp;SUMPRODUCT((G5:G304&lt;&gt;"")*(H5:H304&lt;&gt;"")*(F5:F304="是"))&amp;" 則"</f>
        <v/>
      </c>
    </row>
    <row r="4">
      <c r="A4" s="13" t="inlineStr">
        <is>
          <t>編號</t>
        </is>
      </c>
      <c r="B4" s="13" t="inlineStr">
        <is>
          <t>情境</t>
        </is>
      </c>
      <c r="C4" s="13" t="inlineStr">
        <is>
          <t>行為</t>
        </is>
      </c>
      <c r="D4" s="13" t="inlineStr">
        <is>
          <t>結果</t>
        </is>
      </c>
      <c r="E4" s="13" t="inlineStr">
        <is>
          <t>篩選</t>
        </is>
      </c>
      <c r="F4" s="13" t="inlineStr">
        <is>
          <t>納入計算</t>
        </is>
      </c>
      <c r="G4" s="13" t="inlineStr">
        <is>
          <t>甲的分類</t>
        </is>
      </c>
      <c r="H4" s="13" t="inlineStr">
        <is>
          <t>乙的分類</t>
        </is>
      </c>
      <c r="I4" s="13" t="inlineStr">
        <is>
          <t>是否一致</t>
        </is>
      </c>
      <c r="J4" s="13" t="inlineStr">
        <is>
          <t>討論後決定</t>
        </is>
      </c>
      <c r="K4" s="13" t="inlineStr">
        <is>
          <t>處理紀錄</t>
        </is>
      </c>
    </row>
    <row r="5">
      <c r="A5" s="15" t="inlineStr">
        <is>
          <t>01</t>
        </is>
      </c>
      <c r="B5" s="15" t="inlineStr">
        <is>
          <t>週會上業務主管質疑他整理的客戶名單</t>
        </is>
      </c>
      <c r="C5" s="15" t="inlineStr">
        <is>
          <t>當場眼眶泛紅，說話開始哽咽</t>
        </is>
      </c>
      <c r="D5" s="15" t="inlineStr">
        <is>
          <t>會議暫停五分鐘，後續報告改由同事代講</t>
        </is>
      </c>
      <c r="E5" s="15" t="n"/>
      <c r="F5" s="18">
        <f>IF(A5="","",IF(LEFT(E5,2)="剔除","否","是"))</f>
        <v/>
      </c>
      <c r="G5" s="18">
        <f>IF(甲分類!E5="","",甲分類!E5)</f>
        <v/>
      </c>
      <c r="H5" s="18">
        <f>IF(乙分類!E5="","",乙分類!E5)</f>
        <v/>
      </c>
      <c r="I5" s="18">
        <f>IF(OR(G5="",H5=""),"",IF(G5=H5,"一致","不一致"))</f>
        <v/>
      </c>
      <c r="J5" s="15" t="n"/>
      <c r="K5" s="15" t="n"/>
    </row>
    <row r="6">
      <c r="A6" s="15" t="inlineStr">
        <is>
          <t>02</t>
        </is>
      </c>
      <c r="B6" s="15" t="inlineStr">
        <is>
          <t>客戶在群組裡公開抱怨交期延誤</t>
        </is>
      </c>
      <c r="C6" s="15" t="inlineStr">
        <is>
          <t>在座位上沉默很久，午餐也沒去吃</t>
        </is>
      </c>
      <c r="D6" s="15" t="inlineStr">
        <is>
          <t>下午寄出的回覆信語氣很消極</t>
        </is>
      </c>
      <c r="E6" s="15" t="n"/>
      <c r="F6" s="18">
        <f>IF(A6="","",IF(LEFT(E6,2)="剔除","否","是"))</f>
        <v/>
      </c>
      <c r="G6" s="18">
        <f>IF(甲分類!E6="","",甲分類!E6)</f>
        <v/>
      </c>
      <c r="H6" s="18">
        <f>IF(乙分類!E6="","",乙分類!E6)</f>
        <v/>
      </c>
      <c r="I6" s="18">
        <f>IF(OR(G6="",H6=""),"",IF(G6=H6,"一致","不一致"))</f>
        <v/>
      </c>
      <c r="J6" s="15" t="n"/>
      <c r="K6" s="15" t="n"/>
    </row>
    <row r="7">
      <c r="A7" s="15" t="inlineStr">
        <is>
          <t>03</t>
        </is>
      </c>
      <c r="B7" s="15" t="inlineStr">
        <is>
          <t>主管退回企劃書，要求整份重寫</t>
        </is>
      </c>
      <c r="C7" s="15" t="inlineStr">
        <is>
          <t>拿著企劃書站起來大聲辯解，說主管沒看清楚</t>
        </is>
      </c>
      <c r="D7" s="15" t="inlineStr">
        <is>
          <t>辦公室氣氛很僵，主管改天才再談</t>
        </is>
      </c>
      <c r="E7" s="15" t="n"/>
      <c r="F7" s="18">
        <f>IF(A7="","",IF(LEFT(E7,2)="剔除","否","是"))</f>
        <v/>
      </c>
      <c r="G7" s="18">
        <f>IF(甲分類!E7="","",甲分類!E7)</f>
        <v/>
      </c>
      <c r="H7" s="18">
        <f>IF(乙分類!E7="","",乙分類!E7)</f>
        <v/>
      </c>
      <c r="I7" s="18">
        <f>IF(OR(G7="",H7=""),"",IF(G7=H7,"一致","不一致"))</f>
        <v/>
      </c>
      <c r="J7" s="15" t="n"/>
      <c r="K7" s="15" t="n"/>
    </row>
    <row r="8">
      <c r="A8" s="15" t="inlineStr">
        <is>
          <t>04</t>
        </is>
      </c>
      <c r="B8" s="15" t="inlineStr">
        <is>
          <t>年度考核面談拿到「待改進」</t>
        </is>
      </c>
      <c r="C8" s="15" t="inlineStr">
        <is>
          <t>面談結束後在樓梯間哭了二十分鐘</t>
        </is>
      </c>
      <c r="D8" s="15" t="inlineStr">
        <is>
          <t>回座位後整個下午沒有說話</t>
        </is>
      </c>
      <c r="E8" s="15" t="n"/>
      <c r="F8" s="18">
        <f>IF(A8="","",IF(LEFT(E8,2)="剔除","否","是"))</f>
        <v/>
      </c>
      <c r="G8" s="18">
        <f>IF(甲分類!E8="","",甲分類!E8)</f>
        <v/>
      </c>
      <c r="H8" s="18">
        <f>IF(乙分類!E8="","",乙分類!E8)</f>
        <v/>
      </c>
      <c r="I8" s="18">
        <f>IF(OR(G8="",H8=""),"",IF(G8=H8,"一致","不一致"))</f>
        <v/>
      </c>
      <c r="J8" s="15" t="n"/>
      <c r="K8" s="15" t="n"/>
    </row>
    <row r="9">
      <c r="A9" s="15" t="inlineStr">
        <is>
          <t>05</t>
        </is>
      </c>
      <c r="B9" s="15" t="inlineStr">
        <is>
          <t>資深同事在走廊提醒他文件格式不對</t>
        </is>
      </c>
      <c r="C9" s="15" t="inlineStr">
        <is>
          <t>臉一沉，回了一句「我知道」就轉身離開</t>
        </is>
      </c>
      <c r="D9" s="15" t="inlineStr">
        <is>
          <t>兩人之後一週沒有交談</t>
        </is>
      </c>
      <c r="E9" s="15" t="n"/>
      <c r="F9" s="18">
        <f>IF(A9="","",IF(LEFT(E9,2)="剔除","否","是"))</f>
        <v/>
      </c>
      <c r="G9" s="18">
        <f>IF(甲分類!E9="","",甲分類!E9)</f>
        <v/>
      </c>
      <c r="H9" s="18">
        <f>IF(乙分類!E9="","",乙分類!E9)</f>
        <v/>
      </c>
      <c r="I9" s="18">
        <f>IF(OR(G9="",H9=""),"",IF(G9=H9,"一致","不一致"))</f>
        <v/>
      </c>
      <c r="J9" s="15" t="n"/>
      <c r="K9" s="15" t="n"/>
    </row>
    <row r="10">
      <c r="A10" s="15" t="inlineStr">
        <is>
          <t>06</t>
        </is>
      </c>
      <c r="B10" s="15" t="inlineStr">
        <is>
          <t>專案檢討會上被點名進度落後</t>
        </is>
      </c>
      <c r="C10" s="15" t="inlineStr">
        <is>
          <t>說話聲音發抖，手一直握著筆</t>
        </is>
      </c>
      <c r="D10" s="15" t="inlineStr">
        <is>
          <t>報告草草結束，問題沒有討論完</t>
        </is>
      </c>
      <c r="E10" s="15" t="n"/>
      <c r="F10" s="18">
        <f>IF(A10="","",IF(LEFT(E10,2)="剔除","否","是"))</f>
        <v/>
      </c>
      <c r="G10" s="18">
        <f>IF(甲分類!E10="","",甲分類!E10)</f>
        <v/>
      </c>
      <c r="H10" s="18">
        <f>IF(乙分類!E10="","",乙分類!E10)</f>
        <v/>
      </c>
      <c r="I10" s="18">
        <f>IF(OR(G10="",H10=""),"",IF(G10=H10,"一致","不一致"))</f>
        <v/>
      </c>
      <c r="J10" s="15" t="n"/>
      <c r="K10" s="15" t="n"/>
    </row>
    <row r="11">
      <c r="A11" s="15" t="inlineStr">
        <is>
          <t>07</t>
        </is>
      </c>
      <c r="B11" s="15" t="inlineStr">
        <is>
          <t>被指出合約金額打錯</t>
        </is>
      </c>
      <c r="C11" s="15" t="inlineStr">
        <is>
          <t>當天下班前都在反覆檢查那份合約，沒辦法做別的事</t>
        </is>
      </c>
      <c r="D11" s="15" t="inlineStr">
        <is>
          <t>當天其他工作全部延到隔天</t>
        </is>
      </c>
      <c r="E11" s="15" t="n"/>
      <c r="F11" s="18">
        <f>IF(A11="","",IF(LEFT(E11,2)="剔除","否","是"))</f>
        <v/>
      </c>
      <c r="G11" s="18">
        <f>IF(甲分類!E11="","",甲分類!E11)</f>
        <v/>
      </c>
      <c r="H11" s="18">
        <f>IF(乙分類!E11="","",乙分類!E11)</f>
        <v/>
      </c>
      <c r="I11" s="18">
        <f>IF(OR(G11="",H11=""),"",IF(G11=H11,"一致","不一致"))</f>
        <v/>
      </c>
      <c r="J11" s="15" t="n"/>
      <c r="K11" s="15" t="n"/>
    </row>
    <row r="12">
      <c r="A12" s="15" t="inlineStr">
        <is>
          <t>08</t>
        </is>
      </c>
      <c r="B12" s="15" t="inlineStr">
        <is>
          <t>主管在一對一面談中說他簡報太冗長</t>
        </is>
      </c>
      <c r="C12" s="15" t="inlineStr">
        <is>
          <t>接下來三天都在重寫簡報，晚上睡不好</t>
        </is>
      </c>
      <c r="D12" s="15" t="inlineStr">
        <is>
          <t>原本排定的工作進度延後一週</t>
        </is>
      </c>
      <c r="E12" s="15" t="n"/>
      <c r="F12" s="18">
        <f>IF(A12="","",IF(LEFT(E12,2)="剔除","否","是"))</f>
        <v/>
      </c>
      <c r="G12" s="18">
        <f>IF(甲分類!E12="","",甲分類!E12)</f>
        <v/>
      </c>
      <c r="H12" s="18">
        <f>IF(乙分類!E12="","",乙分類!E12)</f>
        <v/>
      </c>
      <c r="I12" s="18">
        <f>IF(OR(G12="",H12=""),"",IF(G12=H12,"一致","不一致"))</f>
        <v/>
      </c>
      <c r="J12" s="15" t="n"/>
      <c r="K12" s="15" t="n"/>
    </row>
    <row r="13">
      <c r="A13" s="15" t="inlineStr">
        <is>
          <t>09</t>
        </is>
      </c>
      <c r="B13" s="15" t="inlineStr">
        <is>
          <t>被客戶當面批評服務態度</t>
        </is>
      </c>
      <c r="C13" s="15" t="inlineStr">
        <is>
          <t>隔天早上主動跟主管說心情還沒恢復，想先做後台工作</t>
        </is>
      </c>
      <c r="D13" s="15" t="inlineStr">
        <is>
          <t>主管安排他暫時不接觸客戶兩天</t>
        </is>
      </c>
      <c r="E13" s="15" t="n"/>
      <c r="F13" s="18">
        <f>IF(A13="","",IF(LEFT(E13,2)="剔除","否","是"))</f>
        <v/>
      </c>
      <c r="G13" s="18">
        <f>IF(甲分類!E13="","",甲分類!E13)</f>
        <v/>
      </c>
      <c r="H13" s="18">
        <f>IF(乙分類!E13="","",乙分類!E13)</f>
        <v/>
      </c>
      <c r="I13" s="18">
        <f>IF(OR(G13="",H13=""),"",IF(G13=H13,"一致","不一致"))</f>
        <v/>
      </c>
      <c r="J13" s="15" t="n"/>
      <c r="K13" s="15" t="n"/>
    </row>
    <row r="14">
      <c r="A14" s="15" t="inlineStr">
        <is>
          <t>10</t>
        </is>
      </c>
      <c r="B14" s="15" t="inlineStr">
        <is>
          <t>品管會議上被指出產品瑕疵是他漏檢</t>
        </is>
      </c>
      <c r="C14" s="15" t="inlineStr">
        <is>
          <t>會後一整週都很低落，常常一個人發呆</t>
        </is>
      </c>
      <c r="D14" s="15" t="inlineStr">
        <is>
          <t>那週的檢驗量比平常少三成</t>
        </is>
      </c>
      <c r="E14" s="15" t="n"/>
      <c r="F14" s="18">
        <f>IF(A14="","",IF(LEFT(E14,2)="剔除","否","是"))</f>
        <v/>
      </c>
      <c r="G14" s="18">
        <f>IF(甲分類!E14="","",甲分類!E14)</f>
        <v/>
      </c>
      <c r="H14" s="18">
        <f>IF(乙分類!E14="","",乙分類!E14)</f>
        <v/>
      </c>
      <c r="I14" s="18">
        <f>IF(OR(G14="",H14=""),"",IF(G14=H14,"一致","不一致"))</f>
        <v/>
      </c>
      <c r="J14" s="15" t="n"/>
      <c r="K14" s="15" t="n"/>
    </row>
    <row r="15">
      <c r="A15" s="15" t="inlineStr">
        <is>
          <t>11</t>
        </is>
      </c>
      <c r="B15" s="15" t="inlineStr">
        <is>
          <t>主管指出他的報銷單據缺漏太多，要他整份重填</t>
        </is>
      </c>
      <c r="C15" s="15" t="inlineStr">
        <is>
          <t>當天沒說什麼，隔週又向同事提起那次被退件的感受</t>
        </is>
      </c>
      <c r="D15" s="15" t="inlineStr">
        <is>
          <t>同事覺得他還在意那件事</t>
        </is>
      </c>
      <c r="E15" s="15" t="n"/>
      <c r="F15" s="18">
        <f>IF(A15="","",IF(LEFT(E15,2)="剔除","否","是"))</f>
        <v/>
      </c>
      <c r="G15" s="18">
        <f>IF(甲分類!E15="","",甲分類!E15)</f>
        <v/>
      </c>
      <c r="H15" s="18">
        <f>IF(乙分類!E15="","",乙分類!E15)</f>
        <v/>
      </c>
      <c r="I15" s="18">
        <f>IF(OR(G15="",H15=""),"",IF(G15=H15,"一致","不一致"))</f>
        <v/>
      </c>
      <c r="J15" s="15" t="n"/>
      <c r="K15" s="15" t="n"/>
    </row>
    <row r="16">
      <c r="A16" s="15" t="inlineStr">
        <is>
          <t>12</t>
        </is>
      </c>
      <c r="B16" s="15" t="inlineStr">
        <is>
          <t>試用期評估被建議加強溝通</t>
        </is>
      </c>
      <c r="C16" s="15" t="inlineStr">
        <is>
          <t>評估後一個多月，每次開會前都很緊張</t>
        </is>
      </c>
      <c r="D16" s="15" t="inlineStr">
        <is>
          <t>在會議中幾乎不發言</t>
        </is>
      </c>
      <c r="E16" s="15" t="n"/>
      <c r="F16" s="18">
        <f>IF(A16="","",IF(LEFT(E16,2)="剔除","否","是"))</f>
        <v/>
      </c>
      <c r="G16" s="18">
        <f>IF(甲分類!E16="","",甲分類!E16)</f>
        <v/>
      </c>
      <c r="H16" s="18">
        <f>IF(乙分類!E16="","",乙分類!E16)</f>
        <v/>
      </c>
      <c r="I16" s="18">
        <f>IF(OR(G16="",H16=""),"",IF(G16=H16,"一致","不一致"))</f>
        <v/>
      </c>
      <c r="J16" s="15" t="n"/>
      <c r="K16" s="15" t="n"/>
    </row>
    <row r="17">
      <c r="A17" s="15" t="inlineStr">
        <is>
          <t>13</t>
        </is>
      </c>
      <c r="B17" s="15" t="inlineStr">
        <is>
          <t>主管在專案群組裡糾正他的用詞</t>
        </is>
      </c>
      <c r="C17" s="15" t="inlineStr">
        <is>
          <t>之後把主管的訊息設成靜音，不再在群組發言</t>
        </is>
      </c>
      <c r="D17" s="15" t="inlineStr">
        <is>
          <t>重要通知漏看兩次</t>
        </is>
      </c>
      <c r="E17" s="15" t="n"/>
      <c r="F17" s="18">
        <f>IF(A17="","",IF(LEFT(E17,2)="剔除","否","是"))</f>
        <v/>
      </c>
      <c r="G17" s="18">
        <f>IF(甲分類!E17="","",甲分類!E17)</f>
        <v/>
      </c>
      <c r="H17" s="18">
        <f>IF(乙分類!E17="","",乙分類!E17)</f>
        <v/>
      </c>
      <c r="I17" s="18">
        <f>IF(OR(G17="",H17=""),"",IF(G17=H17,"一致","不一致"))</f>
        <v/>
      </c>
      <c r="J17" s="15" t="n"/>
      <c r="K17" s="15" t="n"/>
    </row>
    <row r="18">
      <c r="A18" s="15" t="inlineStr">
        <is>
          <t>14</t>
        </is>
      </c>
      <c r="B18" s="15" t="inlineStr">
        <is>
          <t>年中考核後主管約他討論改進方向</t>
        </is>
      </c>
      <c r="C18" s="15" t="inlineStr">
        <is>
          <t>連續三次以出差為理由取消面談</t>
        </is>
      </c>
      <c r="D18" s="15" t="inlineStr">
        <is>
          <t>兩個月後改進計畫仍然沒有訂出來</t>
        </is>
      </c>
      <c r="E18" s="15" t="n"/>
      <c r="F18" s="18">
        <f>IF(A18="","",IF(LEFT(E18,2)="剔除","否","是"))</f>
        <v/>
      </c>
      <c r="G18" s="18">
        <f>IF(甲分類!E18="","",甲分類!E18)</f>
        <v/>
      </c>
      <c r="H18" s="18">
        <f>IF(乙分類!E18="","",乙分類!E18)</f>
        <v/>
      </c>
      <c r="I18" s="18">
        <f>IF(OR(G18="",H18=""),"",IF(G18=H18,"一致","不一致"))</f>
        <v/>
      </c>
      <c r="J18" s="15" t="n"/>
      <c r="K18" s="15" t="n"/>
    </row>
    <row r="19">
      <c r="A19" s="15" t="inlineStr">
        <is>
          <t>15</t>
        </is>
      </c>
      <c r="B19" s="15" t="inlineStr">
        <is>
          <t>被資深同事指出程式碼有問題</t>
        </is>
      </c>
      <c r="C19" s="15" t="inlineStr">
        <is>
          <t>之後改用 Email 提問，不再當面請教那位同事</t>
        </is>
      </c>
      <c r="D19" s="15" t="inlineStr">
        <is>
          <t>問題往返時間變長，專案延遲</t>
        </is>
      </c>
      <c r="E19" s="15" t="n"/>
      <c r="F19" s="18">
        <f>IF(A19="","",IF(LEFT(E19,2)="剔除","否","是"))</f>
        <v/>
      </c>
      <c r="G19" s="18">
        <f>IF(甲分類!E19="","",甲分類!E19)</f>
        <v/>
      </c>
      <c r="H19" s="18">
        <f>IF(乙分類!E19="","",乙分類!E19)</f>
        <v/>
      </c>
      <c r="I19" s="18">
        <f>IF(OR(G19="",H19=""),"",IF(G19=H19,"一致","不一致"))</f>
        <v/>
      </c>
      <c r="J19" s="15" t="n"/>
      <c r="K19" s="15" t="n"/>
    </row>
    <row r="20">
      <c r="A20" s="15" t="inlineStr">
        <is>
          <t>16</t>
        </is>
      </c>
      <c r="B20" s="15" t="inlineStr">
        <is>
          <t>部門會議上被主管質疑數據來源</t>
        </is>
      </c>
      <c r="C20" s="15" t="inlineStr">
        <is>
          <t>之後的會議都坐到最後一排，不主動報告</t>
        </is>
      </c>
      <c r="D20" s="15" t="inlineStr">
        <is>
          <t>主管認為他不積極</t>
        </is>
      </c>
      <c r="E20" s="15" t="n"/>
      <c r="F20" s="18">
        <f>IF(A20="","",IF(LEFT(E20,2)="剔除","否","是"))</f>
        <v/>
      </c>
      <c r="G20" s="18">
        <f>IF(甲分類!E20="","",甲分類!E20)</f>
        <v/>
      </c>
      <c r="H20" s="18">
        <f>IF(乙分類!E20="","",乙分類!E20)</f>
        <v/>
      </c>
      <c r="I20" s="18">
        <f>IF(OR(G20="",H20=""),"",IF(G20=H20,"一致","不一致"))</f>
        <v/>
      </c>
      <c r="J20" s="15" t="n"/>
      <c r="K20" s="15" t="n"/>
    </row>
    <row r="21">
      <c r="A21" s="15" t="inlineStr">
        <is>
          <t>17</t>
        </is>
      </c>
      <c r="B21" s="15" t="inlineStr">
        <is>
          <t>收到同事對提案的修改建議</t>
        </is>
      </c>
      <c r="C21" s="15" t="inlineStr">
        <is>
          <t>沒有回覆，自己改了一版直接送出，沒有採用建議</t>
        </is>
      </c>
      <c r="D21" s="15" t="inlineStr">
        <is>
          <t>主管退件，要求重新整合大家意見</t>
        </is>
      </c>
      <c r="E21" s="15" t="n"/>
      <c r="F21" s="18">
        <f>IF(A21="","",IF(LEFT(E21,2)="剔除","否","是"))</f>
        <v/>
      </c>
      <c r="G21" s="18">
        <f>IF(甲分類!E21="","",甲分類!E21)</f>
        <v/>
      </c>
      <c r="H21" s="18">
        <f>IF(乙分類!E21="","",乙分類!E21)</f>
        <v/>
      </c>
      <c r="I21" s="18">
        <f>IF(OR(G21="",H21=""),"",IF(G21=H21,"一致","不一致"))</f>
        <v/>
      </c>
      <c r="J21" s="15" t="n"/>
      <c r="K21" s="15" t="n"/>
    </row>
    <row r="22">
      <c r="A22" s="15" t="inlineStr">
        <is>
          <t>18</t>
        </is>
      </c>
      <c r="B22" s="15" t="inlineStr">
        <is>
          <t>績效面談後主管建議參加簡報訓練</t>
        </is>
      </c>
      <c r="C22" s="15" t="inlineStr">
        <is>
          <t>申請調到不需要簡報的單位</t>
        </is>
      </c>
      <c r="D22" s="15" t="inlineStr">
        <is>
          <t>調動在兩個月後生效</t>
        </is>
      </c>
      <c r="E22" s="15" t="n"/>
      <c r="F22" s="18">
        <f>IF(A22="","",IF(LEFT(E22,2)="剔除","否","是"))</f>
        <v/>
      </c>
      <c r="G22" s="18">
        <f>IF(甲分類!E22="","",甲分類!E22)</f>
        <v/>
      </c>
      <c r="H22" s="18">
        <f>IF(乙分類!E22="","",乙分類!E22)</f>
        <v/>
      </c>
      <c r="I22" s="18">
        <f>IF(OR(G22="",H22=""),"",IF(G22=H22,"一致","不一致"))</f>
        <v/>
      </c>
      <c r="J22" s="15" t="n"/>
      <c r="K22" s="15" t="n"/>
    </row>
    <row r="23">
      <c r="A23" s="15" t="inlineStr">
        <is>
          <t>19</t>
        </is>
      </c>
      <c r="B23" s="15" t="inlineStr">
        <is>
          <t>主管說他的報告「還可以更好」</t>
        </is>
      </c>
      <c r="C23" s="15" t="inlineStr">
        <is>
          <t>之後交報告前都先問同事，不再直接交給主管看</t>
        </is>
      </c>
      <c r="D23" s="15" t="inlineStr">
        <is>
          <t>主管抱怨他繞過自己</t>
        </is>
      </c>
      <c r="E23" s="15" t="n"/>
      <c r="F23" s="18">
        <f>IF(A23="","",IF(LEFT(E23,2)="剔除","否","是"))</f>
        <v/>
      </c>
      <c r="G23" s="18">
        <f>IF(甲分類!E23="","",甲分類!E23)</f>
        <v/>
      </c>
      <c r="H23" s="18">
        <f>IF(乙分類!E23="","",乙分類!E23)</f>
        <v/>
      </c>
      <c r="I23" s="18">
        <f>IF(OR(G23="",H23=""),"",IF(G23=H23,"一致","不一致"))</f>
        <v/>
      </c>
      <c r="J23" s="15" t="n"/>
      <c r="K23" s="15" t="n"/>
    </row>
    <row r="24">
      <c r="A24" s="15" t="inlineStr">
        <is>
          <t>20</t>
        </is>
      </c>
      <c r="B24" s="15" t="inlineStr">
        <is>
          <t>被客戶要求更換窗口</t>
        </is>
      </c>
      <c r="C24" s="15" t="inlineStr">
        <is>
          <t>此後不再主動參加客戶相關的會議</t>
        </is>
      </c>
      <c r="D24" s="15" t="inlineStr">
        <is>
          <t>業務主管只好另外安排人力</t>
        </is>
      </c>
      <c r="E24" s="15" t="n"/>
      <c r="F24" s="18">
        <f>IF(A24="","",IF(LEFT(E24,2)="剔除","否","是"))</f>
        <v/>
      </c>
      <c r="G24" s="18">
        <f>IF(甲分類!E24="","",甲分類!E24)</f>
        <v/>
      </c>
      <c r="H24" s="18">
        <f>IF(乙分類!E24="","",乙分類!E24)</f>
        <v/>
      </c>
      <c r="I24" s="18">
        <f>IF(OR(G24="",H24=""),"",IF(G24=H24,"一致","不一致"))</f>
        <v/>
      </c>
      <c r="J24" s="15" t="n"/>
      <c r="K24" s="15" t="n"/>
    </row>
    <row r="25">
      <c r="A25" s="15" t="inlineStr">
        <is>
          <t>21</t>
        </is>
      </c>
      <c r="B25" s="15" t="inlineStr">
        <is>
          <t>被主管指出加班費申請時數有誤</t>
        </is>
      </c>
      <c r="C25" s="15" t="inlineStr">
        <is>
          <t>向人資提出申訴，附上打卡紀錄說明時數正確</t>
        </is>
      </c>
      <c r="D25" s="15" t="inlineStr">
        <is>
          <t>人資確認時數無誤，主管更正</t>
        </is>
      </c>
      <c r="E25" s="15" t="n"/>
      <c r="F25" s="18">
        <f>IF(A25="","",IF(LEFT(E25,2)="剔除","否","是"))</f>
        <v/>
      </c>
      <c r="G25" s="18">
        <f>IF(甲分類!E25="","",甲分類!E25)</f>
        <v/>
      </c>
      <c r="H25" s="18">
        <f>IF(乙分類!E25="","",乙分類!E25)</f>
        <v/>
      </c>
      <c r="I25" s="18">
        <f>IF(OR(G25="",H25=""),"",IF(G25=H25,"一致","不一致"))</f>
        <v/>
      </c>
      <c r="J25" s="15" t="n"/>
      <c r="K25" s="15" t="n"/>
    </row>
    <row r="26">
      <c r="A26" s="15" t="inlineStr">
        <is>
          <t>22</t>
        </is>
      </c>
      <c r="B26" s="15" t="inlineStr">
        <is>
          <t>被要求在週末加班完成主管漏交的報告</t>
        </is>
      </c>
      <c r="C26" s="15" t="inlineStr">
        <is>
          <t>向主管表達週末已有安排，提出週一早上完成的替代方案</t>
        </is>
      </c>
      <c r="D26" s="15" t="inlineStr">
        <is>
          <t>主管同意，報告週一交出</t>
        </is>
      </c>
      <c r="E26" s="15" t="n"/>
      <c r="F26" s="18">
        <f>IF(A26="","",IF(LEFT(E26,2)="剔除","否","是"))</f>
        <v/>
      </c>
      <c r="G26" s="18">
        <f>IF(甲分類!E26="","",甲分類!E26)</f>
        <v/>
      </c>
      <c r="H26" s="18">
        <f>IF(乙分類!E26="","",乙分類!E26)</f>
        <v/>
      </c>
      <c r="I26" s="18">
        <f>IF(OR(G26="",H26=""),"",IF(G26=H26,"一致","不一致"))</f>
        <v/>
      </c>
      <c r="J26" s="15" t="n"/>
      <c r="K26" s="15" t="n"/>
    </row>
    <row r="27">
      <c r="A27" s="15" t="inlineStr">
        <is>
          <t>23</t>
        </is>
      </c>
      <c r="B27" s="15" t="inlineStr">
        <is>
          <t>同事在茶水間開他身材的玩笑</t>
        </is>
      </c>
      <c r="C27" s="15" t="inlineStr">
        <is>
          <t>當場表示不舒服，請對方不要再說</t>
        </is>
      </c>
      <c r="D27" s="15" t="inlineStr">
        <is>
          <t>對方道歉，之後沒有再發生</t>
        </is>
      </c>
      <c r="E27" s="15" t="n"/>
      <c r="F27" s="18">
        <f>IF(A27="","",IF(LEFT(E27,2)="剔除","否","是"))</f>
        <v/>
      </c>
      <c r="G27" s="18">
        <f>IF(甲分類!E27="","",甲分類!E27)</f>
        <v/>
      </c>
      <c r="H27" s="18">
        <f>IF(乙分類!E27="","",乙分類!E27)</f>
        <v/>
      </c>
      <c r="I27" s="18">
        <f>IF(OR(G27="",H27=""),"",IF(G27=H27,"一致","不一致"))</f>
        <v/>
      </c>
      <c r="J27" s="15" t="n"/>
      <c r="K27" s="15" t="n"/>
    </row>
    <row r="28">
      <c r="A28" s="15" t="inlineStr">
        <is>
          <t>24</t>
        </is>
      </c>
      <c r="B28" s="15" t="inlineStr">
        <is>
          <t>他就是很玻璃心</t>
        </is>
      </c>
      <c r="C28" s="15" t="n"/>
      <c r="D28" s="15" t="n"/>
      <c r="E28" s="15" t="n"/>
      <c r="F28" s="18">
        <f>IF(A28="","",IF(LEFT(E28,2)="剔除","否","是"))</f>
        <v/>
      </c>
      <c r="G28" s="18">
        <f>IF(甲分類!E28="","",甲分類!E28)</f>
        <v/>
      </c>
      <c r="H28" s="18">
        <f>IF(乙分類!E28="","",乙分類!E28)</f>
        <v/>
      </c>
      <c r="I28" s="18">
        <f>IF(OR(G28="",H28=""),"",IF(G28=H28,"一致","不一致"))</f>
        <v/>
      </c>
      <c r="J28" s="15" t="n"/>
      <c r="K28" s="15" t="n"/>
    </row>
    <row r="29">
      <c r="A29" s="15" t="inlineStr">
        <is>
          <t>25</t>
        </is>
      </c>
      <c r="B29" s="15" t="inlineStr">
        <is>
          <t>新人常常這樣</t>
        </is>
      </c>
      <c r="C29" s="15" t="inlineStr">
        <is>
          <t>反應很大</t>
        </is>
      </c>
      <c r="D29" s="15" t="n"/>
      <c r="E29" s="15" t="n"/>
      <c r="F29" s="18">
        <f>IF(A29="","",IF(LEFT(E29,2)="剔除","否","是"))</f>
        <v/>
      </c>
      <c r="G29" s="18">
        <f>IF(甲分類!E29="","",甲分類!E29)</f>
        <v/>
      </c>
      <c r="H29" s="18">
        <f>IF(乙分類!E29="","",乙分類!E29)</f>
        <v/>
      </c>
      <c r="I29" s="18">
        <f>IF(OR(G29="",H29=""),"",IF(G29=H29,"一致","不一致"))</f>
        <v/>
      </c>
      <c r="J29" s="15" t="n"/>
      <c r="K29" s="15" t="n"/>
    </row>
    <row r="30">
      <c r="A30" s="15" t="inlineStr">
        <is>
          <t>26</t>
        </is>
      </c>
      <c r="B30" s="15" t="inlineStr">
        <is>
          <t>上次開會的時候</t>
        </is>
      </c>
      <c r="C30" s="15" t="inlineStr">
        <is>
          <t>他好像不太高興</t>
        </is>
      </c>
      <c r="D30" s="15" t="inlineStr">
        <is>
          <t>後來就那樣了</t>
        </is>
      </c>
      <c r="E30" s="15" t="n"/>
      <c r="F30" s="18">
        <f>IF(A30="","",IF(LEFT(E30,2)="剔除","否","是"))</f>
        <v/>
      </c>
      <c r="G30" s="18">
        <f>IF(甲分類!E30="","",甲分類!E30)</f>
        <v/>
      </c>
      <c r="H30" s="18">
        <f>IF(乙分類!E30="","",乙分類!E30)</f>
        <v/>
      </c>
      <c r="I30" s="18">
        <f>IF(OR(G30="",H30=""),"",IF(G30=H30,"一致","不一致"))</f>
        <v/>
      </c>
      <c r="J30" s="15" t="n"/>
      <c r="K30" s="15" t="n"/>
    </row>
    <row r="31">
      <c r="A31" s="15" t="inlineStr">
        <is>
          <t>27</t>
        </is>
      </c>
      <c r="B31" s="15" t="inlineStr">
        <is>
          <t>被主管指出簡報有錯字</t>
        </is>
      </c>
      <c r="C31" s="15" t="inlineStr">
        <is>
          <t>當場臉紅、說話變小聲</t>
        </is>
      </c>
      <c r="D31" s="15" t="inlineStr">
        <is>
          <t>會後跑去洗手間很久才回來</t>
        </is>
      </c>
      <c r="E31" s="15" t="n"/>
      <c r="F31" s="18">
        <f>IF(A31="","",IF(LEFT(E31,2)="剔除","否","是"))</f>
        <v/>
      </c>
      <c r="G31" s="18">
        <f>IF(甲分類!E31="","",甲分類!E31)</f>
        <v/>
      </c>
      <c r="H31" s="18">
        <f>IF(乙分類!E31="","",乙分類!E31)</f>
        <v/>
      </c>
      <c r="I31" s="18">
        <f>IF(OR(G31="",H31=""),"",IF(G31=H31,"一致","不一致"))</f>
        <v/>
      </c>
      <c r="J31" s="15" t="n"/>
      <c r="K31" s="15" t="n"/>
    </row>
    <row r="32">
      <c r="A32" s="15" t="inlineStr">
        <is>
          <t>28</t>
        </is>
      </c>
      <c r="B32" s="15" t="inlineStr">
        <is>
          <t>被主管問到專案預算為什麼超支</t>
        </is>
      </c>
      <c r="C32" s="15" t="inlineStr">
        <is>
          <t>語氣激動地說都是別的部門造成的，越講越大聲</t>
        </is>
      </c>
      <c r="D32" s="15" t="inlineStr">
        <is>
          <t>會議改期</t>
        </is>
      </c>
      <c r="E32" s="15" t="n"/>
      <c r="F32" s="18">
        <f>IF(A32="","",IF(LEFT(E32,2)="剔除","否","是"))</f>
        <v/>
      </c>
      <c r="G32" s="18">
        <f>IF(甲分類!E32="","",甲分類!E32)</f>
        <v/>
      </c>
      <c r="H32" s="18">
        <f>IF(乙分類!E32="","",乙分類!E32)</f>
        <v/>
      </c>
      <c r="I32" s="18">
        <f>IF(OR(G32="",H32=""),"",IF(G32=H32,"一致","不一致"))</f>
        <v/>
      </c>
      <c r="J32" s="15" t="n"/>
      <c r="K32" s="15" t="n"/>
    </row>
    <row r="33">
      <c r="A33" s="15" t="inlineStr">
        <is>
          <t>29</t>
        </is>
      </c>
      <c r="B33" s="15" t="inlineStr">
        <is>
          <t>被外部稽核指出流程缺失</t>
        </is>
      </c>
      <c r="C33" s="15" t="inlineStr">
        <is>
          <t>稽核期間每天加班到很晚，反覆整理文件，假日也睡不著</t>
        </is>
      </c>
      <c r="D33" s="15" t="inlineStr">
        <is>
          <t>稽核結束後請了三天病假</t>
        </is>
      </c>
      <c r="E33" s="15" t="n"/>
      <c r="F33" s="18">
        <f>IF(A33="","",IF(LEFT(E33,2)="剔除","否","是"))</f>
        <v/>
      </c>
      <c r="G33" s="18">
        <f>IF(甲分類!E33="","",甲分類!E33)</f>
        <v/>
      </c>
      <c r="H33" s="18">
        <f>IF(乙分類!E33="","",乙分類!E33)</f>
        <v/>
      </c>
      <c r="I33" s="18">
        <f>IF(OR(G33="",H33=""),"",IF(G33=H33,"一致","不一致"))</f>
        <v/>
      </c>
      <c r="J33" s="15" t="n"/>
      <c r="K33" s="15" t="n"/>
    </row>
    <row r="34">
      <c r="A34" s="15" t="inlineStr">
        <is>
          <t>30</t>
        </is>
      </c>
      <c r="B34" s="15" t="inlineStr">
        <is>
          <t>被主管說「這種錯不該犯」</t>
        </is>
      </c>
      <c r="C34" s="15" t="inlineStr">
        <is>
          <t>午休時一直在跟同事抱怨這句話，下午也還在提</t>
        </is>
      </c>
      <c r="D34" s="15" t="inlineStr">
        <is>
          <t>下午的工作幾乎沒有進度</t>
        </is>
      </c>
      <c r="E34" s="15" t="n"/>
      <c r="F34" s="18">
        <f>IF(A34="","",IF(LEFT(E34,2)="剔除","否","是"))</f>
        <v/>
      </c>
      <c r="G34" s="18">
        <f>IF(甲分類!E34="","",甲分類!E34)</f>
        <v/>
      </c>
      <c r="H34" s="18">
        <f>IF(乙分類!E34="","",乙分類!E34)</f>
        <v/>
      </c>
      <c r="I34" s="18">
        <f>IF(OR(G34="",H34=""),"",IF(G34=H34,"一致","不一致"))</f>
        <v/>
      </c>
      <c r="J34" s="15" t="n"/>
      <c r="K34" s="15" t="n"/>
    </row>
    <row r="35">
      <c r="A35" s="15" t="inlineStr">
        <is>
          <t>31</t>
        </is>
      </c>
      <c r="B35" s="15" t="inlineStr">
        <is>
          <t>被指派的同事說他交接文件寫得不清楚</t>
        </is>
      </c>
      <c r="C35" s="15" t="inlineStr">
        <is>
          <t>沉默不回應，之後交接都只用最簡短的文字</t>
        </is>
      </c>
      <c r="D35" s="15" t="inlineStr">
        <is>
          <t>後續交接出錯兩次</t>
        </is>
      </c>
      <c r="E35" s="15" t="n"/>
      <c r="F35" s="18">
        <f>IF(A35="","",IF(LEFT(E35,2)="剔除","否","是"))</f>
        <v/>
      </c>
      <c r="G35" s="18">
        <f>IF(甲分類!E35="","",甲分類!E35)</f>
        <v/>
      </c>
      <c r="H35" s="18">
        <f>IF(乙分類!E35="","",乙分類!E35)</f>
        <v/>
      </c>
      <c r="I35" s="18">
        <f>IF(OR(G35="",H35=""),"",IF(G35=H35,"一致","不一致"))</f>
        <v/>
      </c>
      <c r="J35" s="15" t="n"/>
      <c r="K35" s="15" t="n"/>
    </row>
    <row r="36">
      <c r="A36" s="15" t="inlineStr">
        <is>
          <t>32</t>
        </is>
      </c>
      <c r="B36" s="15" t="inlineStr">
        <is>
          <t>主管建議他多跟資深同事學習</t>
        </is>
      </c>
      <c r="C36" s="15" t="inlineStr">
        <is>
          <t>之後午餐刻意避開那位資深同事</t>
        </is>
      </c>
      <c r="D36" s="15" t="inlineStr">
        <is>
          <t>部門聚餐時座位也不坐在附近</t>
        </is>
      </c>
      <c r="E36" s="15" t="n"/>
      <c r="F36" s="18">
        <f>IF(A36="","",IF(LEFT(E36,2)="剔除","否","是"))</f>
        <v/>
      </c>
      <c r="G36" s="18">
        <f>IF(甲分類!E36="","",甲分類!E36)</f>
        <v/>
      </c>
      <c r="H36" s="18">
        <f>IF(乙分類!E36="","",乙分類!E36)</f>
        <v/>
      </c>
      <c r="I36" s="18">
        <f>IF(OR(G36="",H36=""),"",IF(G36=H36,"一致","不一致"))</f>
        <v/>
      </c>
      <c r="J36" s="15" t="n"/>
      <c r="K36" s="15" t="n"/>
    </row>
    <row r="37">
      <c r="A37" s="15" t="inlineStr">
        <is>
          <t>33</t>
        </is>
      </c>
      <c r="B37" s="15" t="inlineStr">
        <is>
          <t>專案結案會議中主管說他「表現普通」</t>
        </is>
      </c>
      <c r="C37" s="15" t="inlineStr">
        <is>
          <t>當天在座位上哭，同事遞衛生紙也沒有回應</t>
        </is>
      </c>
      <c r="D37" s="15" t="inlineStr">
        <is>
          <t>主管事後私下跟他道歉</t>
        </is>
      </c>
      <c r="E37" s="15" t="n"/>
      <c r="F37" s="18">
        <f>IF(A37="","",IF(LEFT(E37,2)="剔除","否","是"))</f>
        <v/>
      </c>
      <c r="G37" s="18">
        <f>IF(甲分類!E37="","",甲分類!E37)</f>
        <v/>
      </c>
      <c r="H37" s="18">
        <f>IF(乙分類!E37="","",乙分類!E37)</f>
        <v/>
      </c>
      <c r="I37" s="18">
        <f>IF(OR(G37="",H37=""),"",IF(G37=H37,"一致","不一致"))</f>
        <v/>
      </c>
      <c r="J37" s="15" t="n"/>
      <c r="K37" s="15" t="n"/>
    </row>
    <row r="38">
      <c r="A38" s="15" t="inlineStr">
        <is>
          <t>34</t>
        </is>
      </c>
      <c r="B38" s="15" t="inlineStr">
        <is>
          <t>被主管指出出貨單數量填錯</t>
        </is>
      </c>
      <c r="C38" s="15" t="inlineStr">
        <is>
          <t>之後所有單據都請同事幫忙再看一次才敢送出</t>
        </is>
      </c>
      <c r="D38" s="15" t="inlineStr">
        <is>
          <t>同事開始抱怨被打擾</t>
        </is>
      </c>
      <c r="E38" s="15" t="n"/>
      <c r="F38" s="18">
        <f>IF(A38="","",IF(LEFT(E38,2)="剔除","否","是"))</f>
        <v/>
      </c>
      <c r="G38" s="18">
        <f>IF(甲分類!E38="","",甲分類!E38)</f>
        <v/>
      </c>
      <c r="H38" s="18">
        <f>IF(乙分類!E38="","",乙分類!E38)</f>
        <v/>
      </c>
      <c r="I38" s="18">
        <f>IF(OR(G38="",H38=""),"",IF(G38=H38,"一致","不一致"))</f>
        <v/>
      </c>
      <c r="J38" s="15" t="n"/>
      <c r="K38" s="15" t="n"/>
    </row>
    <row r="39">
      <c r="A39" s="15" t="inlineStr">
        <is>
          <t>35</t>
        </is>
      </c>
      <c r="B39" s="15" t="inlineStr">
        <is>
          <t>被訓練講師在課堂上點出操作錯誤</t>
        </is>
      </c>
      <c r="C39" s="15" t="inlineStr">
        <is>
          <t>下課後跟主管說不想再參加這門訓練</t>
        </is>
      </c>
      <c r="D39" s="15" t="inlineStr">
        <is>
          <t>主管讓他改上線上課程</t>
        </is>
      </c>
      <c r="E39" s="15" t="n"/>
      <c r="F39" s="18">
        <f>IF(A39="","",IF(LEFT(E39,2)="剔除","否","是"))</f>
        <v/>
      </c>
      <c r="G39" s="18">
        <f>IF(甲分類!E39="","",甲分類!E39)</f>
        <v/>
      </c>
      <c r="H39" s="18">
        <f>IF(乙分類!E39="","",乙分類!E39)</f>
        <v/>
      </c>
      <c r="I39" s="18">
        <f>IF(OR(G39="",H39=""),"",IF(G39=H39,"一致","不一致"))</f>
        <v/>
      </c>
      <c r="J39" s="15" t="n"/>
      <c r="K39" s="15" t="n"/>
    </row>
    <row r="40">
      <c r="A40" s="15" t="inlineStr">
        <is>
          <t>36</t>
        </is>
      </c>
      <c r="B40" s="15" t="inlineStr">
        <is>
          <t>被客戶在電話裡大聲罵</t>
        </is>
      </c>
      <c r="C40" s="15" t="inlineStr">
        <is>
          <t>掛電話後手還在發抖，花了半小時才能接下一通</t>
        </is>
      </c>
      <c r="D40" s="15" t="inlineStr">
        <is>
          <t>當天接聽量比平常少一半</t>
        </is>
      </c>
      <c r="E40" s="15" t="n"/>
      <c r="F40" s="18">
        <f>IF(A40="","",IF(LEFT(E40,2)="剔除","否","是"))</f>
        <v/>
      </c>
      <c r="G40" s="18">
        <f>IF(甲分類!E40="","",甲分類!E40)</f>
        <v/>
      </c>
      <c r="H40" s="18">
        <f>IF(乙分類!E40="","",乙分類!E40)</f>
        <v/>
      </c>
      <c r="I40" s="18">
        <f>IF(OR(G40="",H40=""),"",IF(G40=H40,"一致","不一致"))</f>
        <v/>
      </c>
      <c r="J40" s="15" t="n"/>
      <c r="K40" s="15" t="n"/>
    </row>
    <row r="41">
      <c r="A41" s="15" t="inlineStr">
        <is>
          <t>37</t>
        </is>
      </c>
      <c r="B41" s="15" t="inlineStr">
        <is>
          <t>主管在全體會議上點名表揚別人、指出他的不足</t>
        </is>
      </c>
      <c r="C41" s="15" t="inlineStr">
        <is>
          <t>會後寫了一封很長的信解釋自己的努力，寄給主管</t>
        </is>
      </c>
      <c r="D41" s="15" t="inlineStr">
        <is>
          <t>主管覺得他反應過度</t>
        </is>
      </c>
      <c r="E41" s="15" t="n"/>
      <c r="F41" s="18">
        <f>IF(A41="","",IF(LEFT(E41,2)="剔除","否","是"))</f>
        <v/>
      </c>
      <c r="G41" s="18">
        <f>IF(甲分類!E41="","",甲分類!E41)</f>
        <v/>
      </c>
      <c r="H41" s="18">
        <f>IF(乙分類!E41="","",乙分類!E41)</f>
        <v/>
      </c>
      <c r="I41" s="18">
        <f>IF(OR(G41="",H41=""),"",IF(G41=H41,"一致","不一致"))</f>
        <v/>
      </c>
      <c r="J41" s="15" t="n"/>
      <c r="K41" s="15" t="n"/>
    </row>
    <row r="42">
      <c r="A42" s="15" t="inlineStr">
        <is>
          <t>38</t>
        </is>
      </c>
      <c r="B42" s="15" t="inlineStr">
        <is>
          <t>被同事指出報價單算錯</t>
        </is>
      </c>
      <c r="C42" s="15" t="inlineStr">
        <is>
          <t>之後每次遇到那位同事都低頭快步走過</t>
        </is>
      </c>
      <c r="D42" s="15" t="inlineStr">
        <is>
          <t>兩人合作的案子溝通變少</t>
        </is>
      </c>
      <c r="E42" s="15" t="n"/>
      <c r="F42" s="18">
        <f>IF(A42="","",IF(LEFT(E42,2)="剔除","否","是"))</f>
        <v/>
      </c>
      <c r="G42" s="18">
        <f>IF(甲分類!E42="","",甲分類!E42)</f>
        <v/>
      </c>
      <c r="H42" s="18">
        <f>IF(乙分類!E42="","",乙分類!E42)</f>
        <v/>
      </c>
      <c r="I42" s="18">
        <f>IF(OR(G42="",H42=""),"",IF(G42=H42,"一致","不一致"))</f>
        <v/>
      </c>
      <c r="J42" s="15" t="n"/>
      <c r="K42" s="15" t="n"/>
    </row>
    <row r="43">
      <c r="A43" s="15" t="inlineStr">
        <is>
          <t>39</t>
        </is>
      </c>
      <c r="B43" s="15" t="inlineStr">
        <is>
          <t>主管要他把簡報重做第三次</t>
        </is>
      </c>
      <c r="C43" s="15" t="inlineStr">
        <is>
          <t>默默做完，但之後兩個月都不再主動提出任何提案</t>
        </is>
      </c>
      <c r="D43" s="15" t="inlineStr">
        <is>
          <t>部門提案數減少</t>
        </is>
      </c>
      <c r="E43" s="15" t="n"/>
      <c r="F43" s="18">
        <f>IF(A43="","",IF(LEFT(E43,2)="剔除","否","是"))</f>
        <v/>
      </c>
      <c r="G43" s="18">
        <f>IF(甲分類!E43="","",甲分類!E43)</f>
        <v/>
      </c>
      <c r="H43" s="18">
        <f>IF(乙分類!E43="","",乙分類!E43)</f>
        <v/>
      </c>
      <c r="I43" s="18">
        <f>IF(OR(G43="",H43=""),"",IF(G43=H43,"一致","不一致"))</f>
        <v/>
      </c>
      <c r="J43" s="15" t="n"/>
      <c r="K43" s="15" t="n"/>
    </row>
    <row r="44">
      <c r="A44" s="15" t="inlineStr">
        <is>
          <t>40</t>
        </is>
      </c>
      <c r="B44" s="15" t="inlineStr">
        <is>
          <t>被主管要求說明遲交原因</t>
        </is>
      </c>
      <c r="C44" s="15" t="inlineStr">
        <is>
          <t>說明完原因後主動提出改善做法，下次準時完成</t>
        </is>
      </c>
      <c r="D44" s="15" t="inlineStr">
        <is>
          <t>主管認為他處理得很好</t>
        </is>
      </c>
      <c r="E44" s="15" t="n"/>
      <c r="F44" s="18">
        <f>IF(A44="","",IF(LEFT(E44,2)="剔除","否","是"))</f>
        <v/>
      </c>
      <c r="G44" s="18">
        <f>IF(甲分類!E44="","",甲分類!E44)</f>
        <v/>
      </c>
      <c r="H44" s="18">
        <f>IF(乙分類!E44="","",乙分類!E44)</f>
        <v/>
      </c>
      <c r="I44" s="18">
        <f>IF(OR(G44="",H44=""),"",IF(G44=H44,"一致","不一致"))</f>
        <v/>
      </c>
      <c r="J44" s="15" t="n"/>
      <c r="K44" s="15" t="n"/>
    </row>
    <row r="45">
      <c r="A45" s="15" t="n"/>
      <c r="B45" s="15" t="n"/>
      <c r="C45" s="15" t="n"/>
      <c r="D45" s="15" t="n"/>
      <c r="E45" s="15" t="n"/>
      <c r="F45" s="18">
        <f>IF(A45="","",IF(LEFT(E45,2)="剔除","否","是"))</f>
        <v/>
      </c>
      <c r="G45" s="18">
        <f>IF(甲分類!E45="","",甲分類!E45)</f>
        <v/>
      </c>
      <c r="H45" s="18">
        <f>IF(乙分類!E45="","",乙分類!E45)</f>
        <v/>
      </c>
      <c r="I45" s="18">
        <f>IF(OR(G45="",H45=""),"",IF(G45=H45,"一致","不一致"))</f>
        <v/>
      </c>
      <c r="J45" s="15" t="n"/>
      <c r="K45" s="15" t="n"/>
    </row>
    <row r="46">
      <c r="A46" s="15" t="n"/>
      <c r="B46" s="15" t="n"/>
      <c r="C46" s="15" t="n"/>
      <c r="D46" s="15" t="n"/>
      <c r="E46" s="15" t="n"/>
      <c r="F46" s="18">
        <f>IF(A46="","",IF(LEFT(E46,2)="剔除","否","是"))</f>
        <v/>
      </c>
      <c r="G46" s="18">
        <f>IF(甲分類!E46="","",甲分類!E46)</f>
        <v/>
      </c>
      <c r="H46" s="18">
        <f>IF(乙分類!E46="","",乙分類!E46)</f>
        <v/>
      </c>
      <c r="I46" s="18">
        <f>IF(OR(G46="",H46=""),"",IF(G46=H46,"一致","不一致"))</f>
        <v/>
      </c>
      <c r="J46" s="15" t="n"/>
      <c r="K46" s="15" t="n"/>
    </row>
    <row r="47">
      <c r="A47" s="15" t="n"/>
      <c r="B47" s="15" t="n"/>
      <c r="C47" s="15" t="n"/>
      <c r="D47" s="15" t="n"/>
      <c r="E47" s="15" t="n"/>
      <c r="F47" s="18">
        <f>IF(A47="","",IF(LEFT(E47,2)="剔除","否","是"))</f>
        <v/>
      </c>
      <c r="G47" s="18">
        <f>IF(甲分類!E47="","",甲分類!E47)</f>
        <v/>
      </c>
      <c r="H47" s="18">
        <f>IF(乙分類!E47="","",乙分類!E47)</f>
        <v/>
      </c>
      <c r="I47" s="18">
        <f>IF(OR(G47="",H47=""),"",IF(G47=H47,"一致","不一致"))</f>
        <v/>
      </c>
      <c r="J47" s="15" t="n"/>
      <c r="K47" s="15" t="n"/>
    </row>
    <row r="48">
      <c r="A48" s="15" t="n"/>
      <c r="B48" s="15" t="n"/>
      <c r="C48" s="15" t="n"/>
      <c r="D48" s="15" t="n"/>
      <c r="E48" s="15" t="n"/>
      <c r="F48" s="18">
        <f>IF(A48="","",IF(LEFT(E48,2)="剔除","否","是"))</f>
        <v/>
      </c>
      <c r="G48" s="18">
        <f>IF(甲分類!E48="","",甲分類!E48)</f>
        <v/>
      </c>
      <c r="H48" s="18">
        <f>IF(乙分類!E48="","",乙分類!E48)</f>
        <v/>
      </c>
      <c r="I48" s="18">
        <f>IF(OR(G48="",H48=""),"",IF(G48=H48,"一致","不一致"))</f>
        <v/>
      </c>
      <c r="J48" s="15" t="n"/>
      <c r="K48" s="15" t="n"/>
    </row>
    <row r="49">
      <c r="A49" s="15" t="n"/>
      <c r="B49" s="15" t="n"/>
      <c r="C49" s="15" t="n"/>
      <c r="D49" s="15" t="n"/>
      <c r="E49" s="15" t="n"/>
      <c r="F49" s="18">
        <f>IF(A49="","",IF(LEFT(E49,2)="剔除","否","是"))</f>
        <v/>
      </c>
      <c r="G49" s="18">
        <f>IF(甲分類!E49="","",甲分類!E49)</f>
        <v/>
      </c>
      <c r="H49" s="18">
        <f>IF(乙分類!E49="","",乙分類!E49)</f>
        <v/>
      </c>
      <c r="I49" s="18">
        <f>IF(OR(G49="",H49=""),"",IF(G49=H49,"一致","不一致"))</f>
        <v/>
      </c>
      <c r="J49" s="15" t="n"/>
      <c r="K49" s="15" t="n"/>
    </row>
    <row r="50">
      <c r="A50" s="15" t="n"/>
      <c r="B50" s="15" t="n"/>
      <c r="C50" s="15" t="n"/>
      <c r="D50" s="15" t="n"/>
      <c r="E50" s="15" t="n"/>
      <c r="F50" s="18">
        <f>IF(A50="","",IF(LEFT(E50,2)="剔除","否","是"))</f>
        <v/>
      </c>
      <c r="G50" s="18">
        <f>IF(甲分類!E50="","",甲分類!E50)</f>
        <v/>
      </c>
      <c r="H50" s="18">
        <f>IF(乙分類!E50="","",乙分類!E50)</f>
        <v/>
      </c>
      <c r="I50" s="18">
        <f>IF(OR(G50="",H50=""),"",IF(G50=H50,"一致","不一致"))</f>
        <v/>
      </c>
      <c r="J50" s="15" t="n"/>
      <c r="K50" s="15" t="n"/>
    </row>
    <row r="51">
      <c r="A51" s="15" t="n"/>
      <c r="B51" s="15" t="n"/>
      <c r="C51" s="15" t="n"/>
      <c r="D51" s="15" t="n"/>
      <c r="E51" s="15" t="n"/>
      <c r="F51" s="18">
        <f>IF(A51="","",IF(LEFT(E51,2)="剔除","否","是"))</f>
        <v/>
      </c>
      <c r="G51" s="18">
        <f>IF(甲分類!E51="","",甲分類!E51)</f>
        <v/>
      </c>
      <c r="H51" s="18">
        <f>IF(乙分類!E51="","",乙分類!E51)</f>
        <v/>
      </c>
      <c r="I51" s="18">
        <f>IF(OR(G51="",H51=""),"",IF(G51=H51,"一致","不一致"))</f>
        <v/>
      </c>
      <c r="J51" s="15" t="n"/>
      <c r="K51" s="15" t="n"/>
    </row>
    <row r="52">
      <c r="A52" s="15" t="n"/>
      <c r="B52" s="15" t="n"/>
      <c r="C52" s="15" t="n"/>
      <c r="D52" s="15" t="n"/>
      <c r="E52" s="15" t="n"/>
      <c r="F52" s="18">
        <f>IF(A52="","",IF(LEFT(E52,2)="剔除","否","是"))</f>
        <v/>
      </c>
      <c r="G52" s="18">
        <f>IF(甲分類!E52="","",甲分類!E52)</f>
        <v/>
      </c>
      <c r="H52" s="18">
        <f>IF(乙分類!E52="","",乙分類!E52)</f>
        <v/>
      </c>
      <c r="I52" s="18">
        <f>IF(OR(G52="",H52=""),"",IF(G52=H52,"一致","不一致"))</f>
        <v/>
      </c>
      <c r="J52" s="15" t="n"/>
      <c r="K52" s="15" t="n"/>
    </row>
    <row r="53">
      <c r="A53" s="15" t="n"/>
      <c r="B53" s="15" t="n"/>
      <c r="C53" s="15" t="n"/>
      <c r="D53" s="15" t="n"/>
      <c r="E53" s="15" t="n"/>
      <c r="F53" s="18">
        <f>IF(A53="","",IF(LEFT(E53,2)="剔除","否","是"))</f>
        <v/>
      </c>
      <c r="G53" s="18">
        <f>IF(甲分類!E53="","",甲分類!E53)</f>
        <v/>
      </c>
      <c r="H53" s="18">
        <f>IF(乙分類!E53="","",乙分類!E53)</f>
        <v/>
      </c>
      <c r="I53" s="18">
        <f>IF(OR(G53="",H53=""),"",IF(G53=H53,"一致","不一致"))</f>
        <v/>
      </c>
      <c r="J53" s="15" t="n"/>
      <c r="K53" s="15" t="n"/>
    </row>
    <row r="54">
      <c r="A54" s="15" t="n"/>
      <c r="B54" s="15" t="n"/>
      <c r="C54" s="15" t="n"/>
      <c r="D54" s="15" t="n"/>
      <c r="E54" s="15" t="n"/>
      <c r="F54" s="18">
        <f>IF(A54="","",IF(LEFT(E54,2)="剔除","否","是"))</f>
        <v/>
      </c>
      <c r="G54" s="18">
        <f>IF(甲分類!E54="","",甲分類!E54)</f>
        <v/>
      </c>
      <c r="H54" s="18">
        <f>IF(乙分類!E54="","",乙分類!E54)</f>
        <v/>
      </c>
      <c r="I54" s="18">
        <f>IF(OR(G54="",H54=""),"",IF(G54=H54,"一致","不一致"))</f>
        <v/>
      </c>
      <c r="J54" s="15" t="n"/>
      <c r="K54" s="15" t="n"/>
    </row>
    <row r="55">
      <c r="A55" s="15" t="n"/>
      <c r="B55" s="15" t="n"/>
      <c r="C55" s="15" t="n"/>
      <c r="D55" s="15" t="n"/>
      <c r="E55" s="15" t="n"/>
      <c r="F55" s="18">
        <f>IF(A55="","",IF(LEFT(E55,2)="剔除","否","是"))</f>
        <v/>
      </c>
      <c r="G55" s="18">
        <f>IF(甲分類!E55="","",甲分類!E55)</f>
        <v/>
      </c>
      <c r="H55" s="18">
        <f>IF(乙分類!E55="","",乙分類!E55)</f>
        <v/>
      </c>
      <c r="I55" s="18">
        <f>IF(OR(G55="",H55=""),"",IF(G55=H55,"一致","不一致"))</f>
        <v/>
      </c>
      <c r="J55" s="15" t="n"/>
      <c r="K55" s="15" t="n"/>
    </row>
    <row r="56">
      <c r="A56" s="15" t="n"/>
      <c r="B56" s="15" t="n"/>
      <c r="C56" s="15" t="n"/>
      <c r="D56" s="15" t="n"/>
      <c r="E56" s="15" t="n"/>
      <c r="F56" s="18">
        <f>IF(A56="","",IF(LEFT(E56,2)="剔除","否","是"))</f>
        <v/>
      </c>
      <c r="G56" s="18">
        <f>IF(甲分類!E56="","",甲分類!E56)</f>
        <v/>
      </c>
      <c r="H56" s="18">
        <f>IF(乙分類!E56="","",乙分類!E56)</f>
        <v/>
      </c>
      <c r="I56" s="18">
        <f>IF(OR(G56="",H56=""),"",IF(G56=H56,"一致","不一致"))</f>
        <v/>
      </c>
      <c r="J56" s="15" t="n"/>
      <c r="K56" s="15" t="n"/>
    </row>
    <row r="57">
      <c r="A57" s="15" t="n"/>
      <c r="B57" s="15" t="n"/>
      <c r="C57" s="15" t="n"/>
      <c r="D57" s="15" t="n"/>
      <c r="E57" s="15" t="n"/>
      <c r="F57" s="18">
        <f>IF(A57="","",IF(LEFT(E57,2)="剔除","否","是"))</f>
        <v/>
      </c>
      <c r="G57" s="18">
        <f>IF(甲分類!E57="","",甲分類!E57)</f>
        <v/>
      </c>
      <c r="H57" s="18">
        <f>IF(乙分類!E57="","",乙分類!E57)</f>
        <v/>
      </c>
      <c r="I57" s="18">
        <f>IF(OR(G57="",H57=""),"",IF(G57=H57,"一致","不一致"))</f>
        <v/>
      </c>
      <c r="J57" s="15" t="n"/>
      <c r="K57" s="15" t="n"/>
    </row>
    <row r="58">
      <c r="A58" s="15" t="n"/>
      <c r="B58" s="15" t="n"/>
      <c r="C58" s="15" t="n"/>
      <c r="D58" s="15" t="n"/>
      <c r="E58" s="15" t="n"/>
      <c r="F58" s="18">
        <f>IF(A58="","",IF(LEFT(E58,2)="剔除","否","是"))</f>
        <v/>
      </c>
      <c r="G58" s="18">
        <f>IF(甲分類!E58="","",甲分類!E58)</f>
        <v/>
      </c>
      <c r="H58" s="18">
        <f>IF(乙分類!E58="","",乙分類!E58)</f>
        <v/>
      </c>
      <c r="I58" s="18">
        <f>IF(OR(G58="",H58=""),"",IF(G58=H58,"一致","不一致"))</f>
        <v/>
      </c>
      <c r="J58" s="15" t="n"/>
      <c r="K58" s="15" t="n"/>
    </row>
    <row r="59">
      <c r="A59" s="15" t="n"/>
      <c r="B59" s="15" t="n"/>
      <c r="C59" s="15" t="n"/>
      <c r="D59" s="15" t="n"/>
      <c r="E59" s="15" t="n"/>
      <c r="F59" s="18">
        <f>IF(A59="","",IF(LEFT(E59,2)="剔除","否","是"))</f>
        <v/>
      </c>
      <c r="G59" s="18">
        <f>IF(甲分類!E59="","",甲分類!E59)</f>
        <v/>
      </c>
      <c r="H59" s="18">
        <f>IF(乙分類!E59="","",乙分類!E59)</f>
        <v/>
      </c>
      <c r="I59" s="18">
        <f>IF(OR(G59="",H59=""),"",IF(G59=H59,"一致","不一致"))</f>
        <v/>
      </c>
      <c r="J59" s="15" t="n"/>
      <c r="K59" s="15" t="n"/>
    </row>
    <row r="60">
      <c r="A60" s="15" t="n"/>
      <c r="B60" s="15" t="n"/>
      <c r="C60" s="15" t="n"/>
      <c r="D60" s="15" t="n"/>
      <c r="E60" s="15" t="n"/>
      <c r="F60" s="18">
        <f>IF(A60="","",IF(LEFT(E60,2)="剔除","否","是"))</f>
        <v/>
      </c>
      <c r="G60" s="18">
        <f>IF(甲分類!E60="","",甲分類!E60)</f>
        <v/>
      </c>
      <c r="H60" s="18">
        <f>IF(乙分類!E60="","",乙分類!E60)</f>
        <v/>
      </c>
      <c r="I60" s="18">
        <f>IF(OR(G60="",H60=""),"",IF(G60=H60,"一致","不一致"))</f>
        <v/>
      </c>
      <c r="J60" s="15" t="n"/>
      <c r="K60" s="15" t="n"/>
    </row>
    <row r="61">
      <c r="A61" s="15" t="n"/>
      <c r="B61" s="15" t="n"/>
      <c r="C61" s="15" t="n"/>
      <c r="D61" s="15" t="n"/>
      <c r="E61" s="15" t="n"/>
      <c r="F61" s="18">
        <f>IF(A61="","",IF(LEFT(E61,2)="剔除","否","是"))</f>
        <v/>
      </c>
      <c r="G61" s="18">
        <f>IF(甲分類!E61="","",甲分類!E61)</f>
        <v/>
      </c>
      <c r="H61" s="18">
        <f>IF(乙分類!E61="","",乙分類!E61)</f>
        <v/>
      </c>
      <c r="I61" s="18">
        <f>IF(OR(G61="",H61=""),"",IF(G61=H61,"一致","不一致"))</f>
        <v/>
      </c>
      <c r="J61" s="15" t="n"/>
      <c r="K61" s="15" t="n"/>
    </row>
    <row r="62">
      <c r="A62" s="15" t="n"/>
      <c r="B62" s="15" t="n"/>
      <c r="C62" s="15" t="n"/>
      <c r="D62" s="15" t="n"/>
      <c r="E62" s="15" t="n"/>
      <c r="F62" s="18">
        <f>IF(A62="","",IF(LEFT(E62,2)="剔除","否","是"))</f>
        <v/>
      </c>
      <c r="G62" s="18">
        <f>IF(甲分類!E62="","",甲分類!E62)</f>
        <v/>
      </c>
      <c r="H62" s="18">
        <f>IF(乙分類!E62="","",乙分類!E62)</f>
        <v/>
      </c>
      <c r="I62" s="18">
        <f>IF(OR(G62="",H62=""),"",IF(G62=H62,"一致","不一致"))</f>
        <v/>
      </c>
      <c r="J62" s="15" t="n"/>
      <c r="K62" s="15" t="n"/>
    </row>
    <row r="63">
      <c r="A63" s="15" t="n"/>
      <c r="B63" s="15" t="n"/>
      <c r="C63" s="15" t="n"/>
      <c r="D63" s="15" t="n"/>
      <c r="E63" s="15" t="n"/>
      <c r="F63" s="18">
        <f>IF(A63="","",IF(LEFT(E63,2)="剔除","否","是"))</f>
        <v/>
      </c>
      <c r="G63" s="18">
        <f>IF(甲分類!E63="","",甲分類!E63)</f>
        <v/>
      </c>
      <c r="H63" s="18">
        <f>IF(乙分類!E63="","",乙分類!E63)</f>
        <v/>
      </c>
      <c r="I63" s="18">
        <f>IF(OR(G63="",H63=""),"",IF(G63=H63,"一致","不一致"))</f>
        <v/>
      </c>
      <c r="J63" s="15" t="n"/>
      <c r="K63" s="15" t="n"/>
    </row>
    <row r="64">
      <c r="A64" s="15" t="n"/>
      <c r="B64" s="15" t="n"/>
      <c r="C64" s="15" t="n"/>
      <c r="D64" s="15" t="n"/>
      <c r="E64" s="15" t="n"/>
      <c r="F64" s="18">
        <f>IF(A64="","",IF(LEFT(E64,2)="剔除","否","是"))</f>
        <v/>
      </c>
      <c r="G64" s="18">
        <f>IF(甲分類!E64="","",甲分類!E64)</f>
        <v/>
      </c>
      <c r="H64" s="18">
        <f>IF(乙分類!E64="","",乙分類!E64)</f>
        <v/>
      </c>
      <c r="I64" s="18">
        <f>IF(OR(G64="",H64=""),"",IF(G64=H64,"一致","不一致"))</f>
        <v/>
      </c>
      <c r="J64" s="15" t="n"/>
      <c r="K64" s="15" t="n"/>
    </row>
    <row r="65">
      <c r="A65" s="15" t="n"/>
      <c r="B65" s="15" t="n"/>
      <c r="C65" s="15" t="n"/>
      <c r="D65" s="15" t="n"/>
      <c r="E65" s="15" t="n"/>
      <c r="F65" s="18">
        <f>IF(A65="","",IF(LEFT(E65,2)="剔除","否","是"))</f>
        <v/>
      </c>
      <c r="G65" s="18">
        <f>IF(甲分類!E65="","",甲分類!E65)</f>
        <v/>
      </c>
      <c r="H65" s="18">
        <f>IF(乙分類!E65="","",乙分類!E65)</f>
        <v/>
      </c>
      <c r="I65" s="18">
        <f>IF(OR(G65="",H65=""),"",IF(G65=H65,"一致","不一致"))</f>
        <v/>
      </c>
      <c r="J65" s="15" t="n"/>
      <c r="K65" s="15" t="n"/>
    </row>
    <row r="66">
      <c r="A66" s="15" t="n"/>
      <c r="B66" s="15" t="n"/>
      <c r="C66" s="15" t="n"/>
      <c r="D66" s="15" t="n"/>
      <c r="E66" s="15" t="n"/>
      <c r="F66" s="18">
        <f>IF(A66="","",IF(LEFT(E66,2)="剔除","否","是"))</f>
        <v/>
      </c>
      <c r="G66" s="18">
        <f>IF(甲分類!E66="","",甲分類!E66)</f>
        <v/>
      </c>
      <c r="H66" s="18">
        <f>IF(乙分類!E66="","",乙分類!E66)</f>
        <v/>
      </c>
      <c r="I66" s="18">
        <f>IF(OR(G66="",H66=""),"",IF(G66=H66,"一致","不一致"))</f>
        <v/>
      </c>
      <c r="J66" s="15" t="n"/>
      <c r="K66" s="15" t="n"/>
    </row>
    <row r="67">
      <c r="A67" s="15" t="n"/>
      <c r="B67" s="15" t="n"/>
      <c r="C67" s="15" t="n"/>
      <c r="D67" s="15" t="n"/>
      <c r="E67" s="15" t="n"/>
      <c r="F67" s="18">
        <f>IF(A67="","",IF(LEFT(E67,2)="剔除","否","是"))</f>
        <v/>
      </c>
      <c r="G67" s="18">
        <f>IF(甲分類!E67="","",甲分類!E67)</f>
        <v/>
      </c>
      <c r="H67" s="18">
        <f>IF(乙分類!E67="","",乙分類!E67)</f>
        <v/>
      </c>
      <c r="I67" s="18">
        <f>IF(OR(G67="",H67=""),"",IF(G67=H67,"一致","不一致"))</f>
        <v/>
      </c>
      <c r="J67" s="15" t="n"/>
      <c r="K67" s="15" t="n"/>
    </row>
    <row r="68">
      <c r="A68" s="15" t="n"/>
      <c r="B68" s="15" t="n"/>
      <c r="C68" s="15" t="n"/>
      <c r="D68" s="15" t="n"/>
      <c r="E68" s="15" t="n"/>
      <c r="F68" s="18">
        <f>IF(A68="","",IF(LEFT(E68,2)="剔除","否","是"))</f>
        <v/>
      </c>
      <c r="G68" s="18">
        <f>IF(甲分類!E68="","",甲分類!E68)</f>
        <v/>
      </c>
      <c r="H68" s="18">
        <f>IF(乙分類!E68="","",乙分類!E68)</f>
        <v/>
      </c>
      <c r="I68" s="18">
        <f>IF(OR(G68="",H68=""),"",IF(G68=H68,"一致","不一致"))</f>
        <v/>
      </c>
      <c r="J68" s="15" t="n"/>
      <c r="K68" s="15" t="n"/>
    </row>
    <row r="69">
      <c r="A69" s="15" t="n"/>
      <c r="B69" s="15" t="n"/>
      <c r="C69" s="15" t="n"/>
      <c r="D69" s="15" t="n"/>
      <c r="E69" s="15" t="n"/>
      <c r="F69" s="18">
        <f>IF(A69="","",IF(LEFT(E69,2)="剔除","否","是"))</f>
        <v/>
      </c>
      <c r="G69" s="18">
        <f>IF(甲分類!E69="","",甲分類!E69)</f>
        <v/>
      </c>
      <c r="H69" s="18">
        <f>IF(乙分類!E69="","",乙分類!E69)</f>
        <v/>
      </c>
      <c r="I69" s="18">
        <f>IF(OR(G69="",H69=""),"",IF(G69=H69,"一致","不一致"))</f>
        <v/>
      </c>
      <c r="J69" s="15" t="n"/>
      <c r="K69" s="15" t="n"/>
    </row>
    <row r="70">
      <c r="A70" s="15" t="n"/>
      <c r="B70" s="15" t="n"/>
      <c r="C70" s="15" t="n"/>
      <c r="D70" s="15" t="n"/>
      <c r="E70" s="15" t="n"/>
      <c r="F70" s="18">
        <f>IF(A70="","",IF(LEFT(E70,2)="剔除","否","是"))</f>
        <v/>
      </c>
      <c r="G70" s="18">
        <f>IF(甲分類!E70="","",甲分類!E70)</f>
        <v/>
      </c>
      <c r="H70" s="18">
        <f>IF(乙分類!E70="","",乙分類!E70)</f>
        <v/>
      </c>
      <c r="I70" s="18">
        <f>IF(OR(G70="",H70=""),"",IF(G70=H70,"一致","不一致"))</f>
        <v/>
      </c>
      <c r="J70" s="15" t="n"/>
      <c r="K70" s="15" t="n"/>
    </row>
    <row r="71">
      <c r="A71" s="15" t="n"/>
      <c r="B71" s="15" t="n"/>
      <c r="C71" s="15" t="n"/>
      <c r="D71" s="15" t="n"/>
      <c r="E71" s="15" t="n"/>
      <c r="F71" s="18">
        <f>IF(A71="","",IF(LEFT(E71,2)="剔除","否","是"))</f>
        <v/>
      </c>
      <c r="G71" s="18">
        <f>IF(甲分類!E71="","",甲分類!E71)</f>
        <v/>
      </c>
      <c r="H71" s="18">
        <f>IF(乙分類!E71="","",乙分類!E71)</f>
        <v/>
      </c>
      <c r="I71" s="18">
        <f>IF(OR(G71="",H71=""),"",IF(G71=H71,"一致","不一致"))</f>
        <v/>
      </c>
      <c r="J71" s="15" t="n"/>
      <c r="K71" s="15" t="n"/>
    </row>
    <row r="72">
      <c r="A72" s="15" t="n"/>
      <c r="B72" s="15" t="n"/>
      <c r="C72" s="15" t="n"/>
      <c r="D72" s="15" t="n"/>
      <c r="E72" s="15" t="n"/>
      <c r="F72" s="18">
        <f>IF(A72="","",IF(LEFT(E72,2)="剔除","否","是"))</f>
        <v/>
      </c>
      <c r="G72" s="18">
        <f>IF(甲分類!E72="","",甲分類!E72)</f>
        <v/>
      </c>
      <c r="H72" s="18">
        <f>IF(乙分類!E72="","",乙分類!E72)</f>
        <v/>
      </c>
      <c r="I72" s="18">
        <f>IF(OR(G72="",H72=""),"",IF(G72=H72,"一致","不一致"))</f>
        <v/>
      </c>
      <c r="J72" s="15" t="n"/>
      <c r="K72" s="15" t="n"/>
    </row>
    <row r="73">
      <c r="A73" s="15" t="n"/>
      <c r="B73" s="15" t="n"/>
      <c r="C73" s="15" t="n"/>
      <c r="D73" s="15" t="n"/>
      <c r="E73" s="15" t="n"/>
      <c r="F73" s="18">
        <f>IF(A73="","",IF(LEFT(E73,2)="剔除","否","是"))</f>
        <v/>
      </c>
      <c r="G73" s="18">
        <f>IF(甲分類!E73="","",甲分類!E73)</f>
        <v/>
      </c>
      <c r="H73" s="18">
        <f>IF(乙分類!E73="","",乙分類!E73)</f>
        <v/>
      </c>
      <c r="I73" s="18">
        <f>IF(OR(G73="",H73=""),"",IF(G73=H73,"一致","不一致"))</f>
        <v/>
      </c>
      <c r="J73" s="15" t="n"/>
      <c r="K73" s="15" t="n"/>
    </row>
    <row r="74">
      <c r="A74" s="15" t="n"/>
      <c r="B74" s="15" t="n"/>
      <c r="C74" s="15" t="n"/>
      <c r="D74" s="15" t="n"/>
      <c r="E74" s="15" t="n"/>
      <c r="F74" s="18">
        <f>IF(A74="","",IF(LEFT(E74,2)="剔除","否","是"))</f>
        <v/>
      </c>
      <c r="G74" s="18">
        <f>IF(甲分類!E74="","",甲分類!E74)</f>
        <v/>
      </c>
      <c r="H74" s="18">
        <f>IF(乙分類!E74="","",乙分類!E74)</f>
        <v/>
      </c>
      <c r="I74" s="18">
        <f>IF(OR(G74="",H74=""),"",IF(G74=H74,"一致","不一致"))</f>
        <v/>
      </c>
      <c r="J74" s="15" t="n"/>
      <c r="K74" s="15" t="n"/>
    </row>
    <row r="75">
      <c r="A75" s="15" t="n"/>
      <c r="B75" s="15" t="n"/>
      <c r="C75" s="15" t="n"/>
      <c r="D75" s="15" t="n"/>
      <c r="E75" s="15" t="n"/>
      <c r="F75" s="18">
        <f>IF(A75="","",IF(LEFT(E75,2)="剔除","否","是"))</f>
        <v/>
      </c>
      <c r="G75" s="18">
        <f>IF(甲分類!E75="","",甲分類!E75)</f>
        <v/>
      </c>
      <c r="H75" s="18">
        <f>IF(乙分類!E75="","",乙分類!E75)</f>
        <v/>
      </c>
      <c r="I75" s="18">
        <f>IF(OR(G75="",H75=""),"",IF(G75=H75,"一致","不一致"))</f>
        <v/>
      </c>
      <c r="J75" s="15" t="n"/>
      <c r="K75" s="15" t="n"/>
    </row>
    <row r="76">
      <c r="A76" s="15" t="n"/>
      <c r="B76" s="15" t="n"/>
      <c r="C76" s="15" t="n"/>
      <c r="D76" s="15" t="n"/>
      <c r="E76" s="15" t="n"/>
      <c r="F76" s="18">
        <f>IF(A76="","",IF(LEFT(E76,2)="剔除","否","是"))</f>
        <v/>
      </c>
      <c r="G76" s="18">
        <f>IF(甲分類!E76="","",甲分類!E76)</f>
        <v/>
      </c>
      <c r="H76" s="18">
        <f>IF(乙分類!E76="","",乙分類!E76)</f>
        <v/>
      </c>
      <c r="I76" s="18">
        <f>IF(OR(G76="",H76=""),"",IF(G76=H76,"一致","不一致"))</f>
        <v/>
      </c>
      <c r="J76" s="15" t="n"/>
      <c r="K76" s="15" t="n"/>
    </row>
    <row r="77">
      <c r="A77" s="15" t="n"/>
      <c r="B77" s="15" t="n"/>
      <c r="C77" s="15" t="n"/>
      <c r="D77" s="15" t="n"/>
      <c r="E77" s="15" t="n"/>
      <c r="F77" s="18">
        <f>IF(A77="","",IF(LEFT(E77,2)="剔除","否","是"))</f>
        <v/>
      </c>
      <c r="G77" s="18">
        <f>IF(甲分類!E77="","",甲分類!E77)</f>
        <v/>
      </c>
      <c r="H77" s="18">
        <f>IF(乙分類!E77="","",乙分類!E77)</f>
        <v/>
      </c>
      <c r="I77" s="18">
        <f>IF(OR(G77="",H77=""),"",IF(G77=H77,"一致","不一致"))</f>
        <v/>
      </c>
      <c r="J77" s="15" t="n"/>
      <c r="K77" s="15" t="n"/>
    </row>
    <row r="78">
      <c r="A78" s="15" t="n"/>
      <c r="B78" s="15" t="n"/>
      <c r="C78" s="15" t="n"/>
      <c r="D78" s="15" t="n"/>
      <c r="E78" s="15" t="n"/>
      <c r="F78" s="18">
        <f>IF(A78="","",IF(LEFT(E78,2)="剔除","否","是"))</f>
        <v/>
      </c>
      <c r="G78" s="18">
        <f>IF(甲分類!E78="","",甲分類!E78)</f>
        <v/>
      </c>
      <c r="H78" s="18">
        <f>IF(乙分類!E78="","",乙分類!E78)</f>
        <v/>
      </c>
      <c r="I78" s="18">
        <f>IF(OR(G78="",H78=""),"",IF(G78=H78,"一致","不一致"))</f>
        <v/>
      </c>
      <c r="J78" s="15" t="n"/>
      <c r="K78" s="15" t="n"/>
    </row>
    <row r="79">
      <c r="A79" s="15" t="n"/>
      <c r="B79" s="15" t="n"/>
      <c r="C79" s="15" t="n"/>
      <c r="D79" s="15" t="n"/>
      <c r="E79" s="15" t="n"/>
      <c r="F79" s="18">
        <f>IF(A79="","",IF(LEFT(E79,2)="剔除","否","是"))</f>
        <v/>
      </c>
      <c r="G79" s="18">
        <f>IF(甲分類!E79="","",甲分類!E79)</f>
        <v/>
      </c>
      <c r="H79" s="18">
        <f>IF(乙分類!E79="","",乙分類!E79)</f>
        <v/>
      </c>
      <c r="I79" s="18">
        <f>IF(OR(G79="",H79=""),"",IF(G79=H79,"一致","不一致"))</f>
        <v/>
      </c>
      <c r="J79" s="15" t="n"/>
      <c r="K79" s="15" t="n"/>
    </row>
    <row r="80">
      <c r="A80" s="15" t="n"/>
      <c r="B80" s="15" t="n"/>
      <c r="C80" s="15" t="n"/>
      <c r="D80" s="15" t="n"/>
      <c r="E80" s="15" t="n"/>
      <c r="F80" s="18">
        <f>IF(A80="","",IF(LEFT(E80,2)="剔除","否","是"))</f>
        <v/>
      </c>
      <c r="G80" s="18">
        <f>IF(甲分類!E80="","",甲分類!E80)</f>
        <v/>
      </c>
      <c r="H80" s="18">
        <f>IF(乙分類!E80="","",乙分類!E80)</f>
        <v/>
      </c>
      <c r="I80" s="18">
        <f>IF(OR(G80="",H80=""),"",IF(G80=H80,"一致","不一致"))</f>
        <v/>
      </c>
      <c r="J80" s="15" t="n"/>
      <c r="K80" s="15" t="n"/>
    </row>
    <row r="81">
      <c r="A81" s="15" t="n"/>
      <c r="B81" s="15" t="n"/>
      <c r="C81" s="15" t="n"/>
      <c r="D81" s="15" t="n"/>
      <c r="E81" s="15" t="n"/>
      <c r="F81" s="18">
        <f>IF(A81="","",IF(LEFT(E81,2)="剔除","否","是"))</f>
        <v/>
      </c>
      <c r="G81" s="18">
        <f>IF(甲分類!E81="","",甲分類!E81)</f>
        <v/>
      </c>
      <c r="H81" s="18">
        <f>IF(乙分類!E81="","",乙分類!E81)</f>
        <v/>
      </c>
      <c r="I81" s="18">
        <f>IF(OR(G81="",H81=""),"",IF(G81=H81,"一致","不一致"))</f>
        <v/>
      </c>
      <c r="J81" s="15" t="n"/>
      <c r="K81" s="15" t="n"/>
    </row>
    <row r="82">
      <c r="A82" s="15" t="n"/>
      <c r="B82" s="15" t="n"/>
      <c r="C82" s="15" t="n"/>
      <c r="D82" s="15" t="n"/>
      <c r="E82" s="15" t="n"/>
      <c r="F82" s="18">
        <f>IF(A82="","",IF(LEFT(E82,2)="剔除","否","是"))</f>
        <v/>
      </c>
      <c r="G82" s="18">
        <f>IF(甲分類!E82="","",甲分類!E82)</f>
        <v/>
      </c>
      <c r="H82" s="18">
        <f>IF(乙分類!E82="","",乙分類!E82)</f>
        <v/>
      </c>
      <c r="I82" s="18">
        <f>IF(OR(G82="",H82=""),"",IF(G82=H82,"一致","不一致"))</f>
        <v/>
      </c>
      <c r="J82" s="15" t="n"/>
      <c r="K82" s="15" t="n"/>
    </row>
    <row r="83">
      <c r="A83" s="15" t="n"/>
      <c r="B83" s="15" t="n"/>
      <c r="C83" s="15" t="n"/>
      <c r="D83" s="15" t="n"/>
      <c r="E83" s="15" t="n"/>
      <c r="F83" s="18">
        <f>IF(A83="","",IF(LEFT(E83,2)="剔除","否","是"))</f>
        <v/>
      </c>
      <c r="G83" s="18">
        <f>IF(甲分類!E83="","",甲分類!E83)</f>
        <v/>
      </c>
      <c r="H83" s="18">
        <f>IF(乙分類!E83="","",乙分類!E83)</f>
        <v/>
      </c>
      <c r="I83" s="18">
        <f>IF(OR(G83="",H83=""),"",IF(G83=H83,"一致","不一致"))</f>
        <v/>
      </c>
      <c r="J83" s="15" t="n"/>
      <c r="K83" s="15" t="n"/>
    </row>
    <row r="84">
      <c r="A84" s="15" t="n"/>
      <c r="B84" s="15" t="n"/>
      <c r="C84" s="15" t="n"/>
      <c r="D84" s="15" t="n"/>
      <c r="E84" s="15" t="n"/>
      <c r="F84" s="18">
        <f>IF(A84="","",IF(LEFT(E84,2)="剔除","否","是"))</f>
        <v/>
      </c>
      <c r="G84" s="18">
        <f>IF(甲分類!E84="","",甲分類!E84)</f>
        <v/>
      </c>
      <c r="H84" s="18">
        <f>IF(乙分類!E84="","",乙分類!E84)</f>
        <v/>
      </c>
      <c r="I84" s="18">
        <f>IF(OR(G84="",H84=""),"",IF(G84=H84,"一致","不一致"))</f>
        <v/>
      </c>
      <c r="J84" s="15" t="n"/>
      <c r="K84" s="15" t="n"/>
    </row>
    <row r="85">
      <c r="A85" s="15" t="n"/>
      <c r="B85" s="15" t="n"/>
      <c r="C85" s="15" t="n"/>
      <c r="D85" s="15" t="n"/>
      <c r="E85" s="15" t="n"/>
      <c r="F85" s="18">
        <f>IF(A85="","",IF(LEFT(E85,2)="剔除","否","是"))</f>
        <v/>
      </c>
      <c r="G85" s="18">
        <f>IF(甲分類!E85="","",甲分類!E85)</f>
        <v/>
      </c>
      <c r="H85" s="18">
        <f>IF(乙分類!E85="","",乙分類!E85)</f>
        <v/>
      </c>
      <c r="I85" s="18">
        <f>IF(OR(G85="",H85=""),"",IF(G85=H85,"一致","不一致"))</f>
        <v/>
      </c>
      <c r="J85" s="15" t="n"/>
      <c r="K85" s="15" t="n"/>
    </row>
    <row r="86">
      <c r="A86" s="15" t="n"/>
      <c r="B86" s="15" t="n"/>
      <c r="C86" s="15" t="n"/>
      <c r="D86" s="15" t="n"/>
      <c r="E86" s="15" t="n"/>
      <c r="F86" s="18">
        <f>IF(A86="","",IF(LEFT(E86,2)="剔除","否","是"))</f>
        <v/>
      </c>
      <c r="G86" s="18">
        <f>IF(甲分類!E86="","",甲分類!E86)</f>
        <v/>
      </c>
      <c r="H86" s="18">
        <f>IF(乙分類!E86="","",乙分類!E86)</f>
        <v/>
      </c>
      <c r="I86" s="18">
        <f>IF(OR(G86="",H86=""),"",IF(G86=H86,"一致","不一致"))</f>
        <v/>
      </c>
      <c r="J86" s="15" t="n"/>
      <c r="K86" s="15" t="n"/>
    </row>
    <row r="87">
      <c r="A87" s="15" t="n"/>
      <c r="B87" s="15" t="n"/>
      <c r="C87" s="15" t="n"/>
      <c r="D87" s="15" t="n"/>
      <c r="E87" s="15" t="n"/>
      <c r="F87" s="18">
        <f>IF(A87="","",IF(LEFT(E87,2)="剔除","否","是"))</f>
        <v/>
      </c>
      <c r="G87" s="18">
        <f>IF(甲分類!E87="","",甲分類!E87)</f>
        <v/>
      </c>
      <c r="H87" s="18">
        <f>IF(乙分類!E87="","",乙分類!E87)</f>
        <v/>
      </c>
      <c r="I87" s="18">
        <f>IF(OR(G87="",H87=""),"",IF(G87=H87,"一致","不一致"))</f>
        <v/>
      </c>
      <c r="J87" s="15" t="n"/>
      <c r="K87" s="15" t="n"/>
    </row>
    <row r="88">
      <c r="A88" s="15" t="n"/>
      <c r="B88" s="15" t="n"/>
      <c r="C88" s="15" t="n"/>
      <c r="D88" s="15" t="n"/>
      <c r="E88" s="15" t="n"/>
      <c r="F88" s="18">
        <f>IF(A88="","",IF(LEFT(E88,2)="剔除","否","是"))</f>
        <v/>
      </c>
      <c r="G88" s="18">
        <f>IF(甲分類!E88="","",甲分類!E88)</f>
        <v/>
      </c>
      <c r="H88" s="18">
        <f>IF(乙分類!E88="","",乙分類!E88)</f>
        <v/>
      </c>
      <c r="I88" s="18">
        <f>IF(OR(G88="",H88=""),"",IF(G88=H88,"一致","不一致"))</f>
        <v/>
      </c>
      <c r="J88" s="15" t="n"/>
      <c r="K88" s="15" t="n"/>
    </row>
    <row r="89">
      <c r="A89" s="15" t="n"/>
      <c r="B89" s="15" t="n"/>
      <c r="C89" s="15" t="n"/>
      <c r="D89" s="15" t="n"/>
      <c r="E89" s="15" t="n"/>
      <c r="F89" s="18">
        <f>IF(A89="","",IF(LEFT(E89,2)="剔除","否","是"))</f>
        <v/>
      </c>
      <c r="G89" s="18">
        <f>IF(甲分類!E89="","",甲分類!E89)</f>
        <v/>
      </c>
      <c r="H89" s="18">
        <f>IF(乙分類!E89="","",乙分類!E89)</f>
        <v/>
      </c>
      <c r="I89" s="18">
        <f>IF(OR(G89="",H89=""),"",IF(G89=H89,"一致","不一致"))</f>
        <v/>
      </c>
      <c r="J89" s="15" t="n"/>
      <c r="K89" s="15" t="n"/>
    </row>
    <row r="90">
      <c r="A90" s="15" t="n"/>
      <c r="B90" s="15" t="n"/>
      <c r="C90" s="15" t="n"/>
      <c r="D90" s="15" t="n"/>
      <c r="E90" s="15" t="n"/>
      <c r="F90" s="18">
        <f>IF(A90="","",IF(LEFT(E90,2)="剔除","否","是"))</f>
        <v/>
      </c>
      <c r="G90" s="18">
        <f>IF(甲分類!E90="","",甲分類!E90)</f>
        <v/>
      </c>
      <c r="H90" s="18">
        <f>IF(乙分類!E90="","",乙分類!E90)</f>
        <v/>
      </c>
      <c r="I90" s="18">
        <f>IF(OR(G90="",H90=""),"",IF(G90=H90,"一致","不一致"))</f>
        <v/>
      </c>
      <c r="J90" s="15" t="n"/>
      <c r="K90" s="15" t="n"/>
    </row>
    <row r="91">
      <c r="A91" s="15" t="n"/>
      <c r="B91" s="15" t="n"/>
      <c r="C91" s="15" t="n"/>
      <c r="D91" s="15" t="n"/>
      <c r="E91" s="15" t="n"/>
      <c r="F91" s="18">
        <f>IF(A91="","",IF(LEFT(E91,2)="剔除","否","是"))</f>
        <v/>
      </c>
      <c r="G91" s="18">
        <f>IF(甲分類!E91="","",甲分類!E91)</f>
        <v/>
      </c>
      <c r="H91" s="18">
        <f>IF(乙分類!E91="","",乙分類!E91)</f>
        <v/>
      </c>
      <c r="I91" s="18">
        <f>IF(OR(G91="",H91=""),"",IF(G91=H91,"一致","不一致"))</f>
        <v/>
      </c>
      <c r="J91" s="15" t="n"/>
      <c r="K91" s="15" t="n"/>
    </row>
    <row r="92">
      <c r="A92" s="15" t="n"/>
      <c r="B92" s="15" t="n"/>
      <c r="C92" s="15" t="n"/>
      <c r="D92" s="15" t="n"/>
      <c r="E92" s="15" t="n"/>
      <c r="F92" s="18">
        <f>IF(A92="","",IF(LEFT(E92,2)="剔除","否","是"))</f>
        <v/>
      </c>
      <c r="G92" s="18">
        <f>IF(甲分類!E92="","",甲分類!E92)</f>
        <v/>
      </c>
      <c r="H92" s="18">
        <f>IF(乙分類!E92="","",乙分類!E92)</f>
        <v/>
      </c>
      <c r="I92" s="18">
        <f>IF(OR(G92="",H92=""),"",IF(G92=H92,"一致","不一致"))</f>
        <v/>
      </c>
      <c r="J92" s="15" t="n"/>
      <c r="K92" s="15" t="n"/>
    </row>
    <row r="93">
      <c r="A93" s="15" t="n"/>
      <c r="B93" s="15" t="n"/>
      <c r="C93" s="15" t="n"/>
      <c r="D93" s="15" t="n"/>
      <c r="E93" s="15" t="n"/>
      <c r="F93" s="18">
        <f>IF(A93="","",IF(LEFT(E93,2)="剔除","否","是"))</f>
        <v/>
      </c>
      <c r="G93" s="18">
        <f>IF(甲分類!E93="","",甲分類!E93)</f>
        <v/>
      </c>
      <c r="H93" s="18">
        <f>IF(乙分類!E93="","",乙分類!E93)</f>
        <v/>
      </c>
      <c r="I93" s="18">
        <f>IF(OR(G93="",H93=""),"",IF(G93=H93,"一致","不一致"))</f>
        <v/>
      </c>
      <c r="J93" s="15" t="n"/>
      <c r="K93" s="15" t="n"/>
    </row>
    <row r="94">
      <c r="A94" s="15" t="n"/>
      <c r="B94" s="15" t="n"/>
      <c r="C94" s="15" t="n"/>
      <c r="D94" s="15" t="n"/>
      <c r="E94" s="15" t="n"/>
      <c r="F94" s="18">
        <f>IF(A94="","",IF(LEFT(E94,2)="剔除","否","是"))</f>
        <v/>
      </c>
      <c r="G94" s="18">
        <f>IF(甲分類!E94="","",甲分類!E94)</f>
        <v/>
      </c>
      <c r="H94" s="18">
        <f>IF(乙分類!E94="","",乙分類!E94)</f>
        <v/>
      </c>
      <c r="I94" s="18">
        <f>IF(OR(G94="",H94=""),"",IF(G94=H94,"一致","不一致"))</f>
        <v/>
      </c>
      <c r="J94" s="15" t="n"/>
      <c r="K94" s="15" t="n"/>
    </row>
    <row r="95">
      <c r="A95" s="15" t="n"/>
      <c r="B95" s="15" t="n"/>
      <c r="C95" s="15" t="n"/>
      <c r="D95" s="15" t="n"/>
      <c r="E95" s="15" t="n"/>
      <c r="F95" s="18">
        <f>IF(A95="","",IF(LEFT(E95,2)="剔除","否","是"))</f>
        <v/>
      </c>
      <c r="G95" s="18">
        <f>IF(甲分類!E95="","",甲分類!E95)</f>
        <v/>
      </c>
      <c r="H95" s="18">
        <f>IF(乙分類!E95="","",乙分類!E95)</f>
        <v/>
      </c>
      <c r="I95" s="18">
        <f>IF(OR(G95="",H95=""),"",IF(G95=H95,"一致","不一致"))</f>
        <v/>
      </c>
      <c r="J95" s="15" t="n"/>
      <c r="K95" s="15" t="n"/>
    </row>
    <row r="96">
      <c r="A96" s="15" t="n"/>
      <c r="B96" s="15" t="n"/>
      <c r="C96" s="15" t="n"/>
      <c r="D96" s="15" t="n"/>
      <c r="E96" s="15" t="n"/>
      <c r="F96" s="18">
        <f>IF(A96="","",IF(LEFT(E96,2)="剔除","否","是"))</f>
        <v/>
      </c>
      <c r="G96" s="18">
        <f>IF(甲分類!E96="","",甲分類!E96)</f>
        <v/>
      </c>
      <c r="H96" s="18">
        <f>IF(乙分類!E96="","",乙分類!E96)</f>
        <v/>
      </c>
      <c r="I96" s="18">
        <f>IF(OR(G96="",H96=""),"",IF(G96=H96,"一致","不一致"))</f>
        <v/>
      </c>
      <c r="J96" s="15" t="n"/>
      <c r="K96" s="15" t="n"/>
    </row>
    <row r="97">
      <c r="A97" s="15" t="n"/>
      <c r="B97" s="15" t="n"/>
      <c r="C97" s="15" t="n"/>
      <c r="D97" s="15" t="n"/>
      <c r="E97" s="15" t="n"/>
      <c r="F97" s="18">
        <f>IF(A97="","",IF(LEFT(E97,2)="剔除","否","是"))</f>
        <v/>
      </c>
      <c r="G97" s="18">
        <f>IF(甲分類!E97="","",甲分類!E97)</f>
        <v/>
      </c>
      <c r="H97" s="18">
        <f>IF(乙分類!E97="","",乙分類!E97)</f>
        <v/>
      </c>
      <c r="I97" s="18">
        <f>IF(OR(G97="",H97=""),"",IF(G97=H97,"一致","不一致"))</f>
        <v/>
      </c>
      <c r="J97" s="15" t="n"/>
      <c r="K97" s="15" t="n"/>
    </row>
    <row r="98">
      <c r="A98" s="15" t="n"/>
      <c r="B98" s="15" t="n"/>
      <c r="C98" s="15" t="n"/>
      <c r="D98" s="15" t="n"/>
      <c r="E98" s="15" t="n"/>
      <c r="F98" s="18">
        <f>IF(A98="","",IF(LEFT(E98,2)="剔除","否","是"))</f>
        <v/>
      </c>
      <c r="G98" s="18">
        <f>IF(甲分類!E98="","",甲分類!E98)</f>
        <v/>
      </c>
      <c r="H98" s="18">
        <f>IF(乙分類!E98="","",乙分類!E98)</f>
        <v/>
      </c>
      <c r="I98" s="18">
        <f>IF(OR(G98="",H98=""),"",IF(G98=H98,"一致","不一致"))</f>
        <v/>
      </c>
      <c r="J98" s="15" t="n"/>
      <c r="K98" s="15" t="n"/>
    </row>
    <row r="99">
      <c r="A99" s="15" t="n"/>
      <c r="B99" s="15" t="n"/>
      <c r="C99" s="15" t="n"/>
      <c r="D99" s="15" t="n"/>
      <c r="E99" s="15" t="n"/>
      <c r="F99" s="18">
        <f>IF(A99="","",IF(LEFT(E99,2)="剔除","否","是"))</f>
        <v/>
      </c>
      <c r="G99" s="18">
        <f>IF(甲分類!E99="","",甲分類!E99)</f>
        <v/>
      </c>
      <c r="H99" s="18">
        <f>IF(乙分類!E99="","",乙分類!E99)</f>
        <v/>
      </c>
      <c r="I99" s="18">
        <f>IF(OR(G99="",H99=""),"",IF(G99=H99,"一致","不一致"))</f>
        <v/>
      </c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8">
        <f>IF(A100="","",IF(LEFT(E100,2)="剔除","否","是"))</f>
        <v/>
      </c>
      <c r="G100" s="18">
        <f>IF(甲分類!E100="","",甲分類!E100)</f>
        <v/>
      </c>
      <c r="H100" s="18">
        <f>IF(乙分類!E100="","",乙分類!E100)</f>
        <v/>
      </c>
      <c r="I100" s="18">
        <f>IF(OR(G100="",H100=""),"",IF(G100=H100,"一致","不一致"))</f>
        <v/>
      </c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8">
        <f>IF(A101="","",IF(LEFT(E101,2)="剔除","否","是"))</f>
        <v/>
      </c>
      <c r="G101" s="18">
        <f>IF(甲分類!E101="","",甲分類!E101)</f>
        <v/>
      </c>
      <c r="H101" s="18">
        <f>IF(乙分類!E101="","",乙分類!E101)</f>
        <v/>
      </c>
      <c r="I101" s="18">
        <f>IF(OR(G101="",H101=""),"",IF(G101=H101,"一致","不一致"))</f>
        <v/>
      </c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8">
        <f>IF(A102="","",IF(LEFT(E102,2)="剔除","否","是"))</f>
        <v/>
      </c>
      <c r="G102" s="18">
        <f>IF(甲分類!E102="","",甲分類!E102)</f>
        <v/>
      </c>
      <c r="H102" s="18">
        <f>IF(乙分類!E102="","",乙分類!E102)</f>
        <v/>
      </c>
      <c r="I102" s="18">
        <f>IF(OR(G102="",H102=""),"",IF(G102=H102,"一致","不一致"))</f>
        <v/>
      </c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8">
        <f>IF(A103="","",IF(LEFT(E103,2)="剔除","否","是"))</f>
        <v/>
      </c>
      <c r="G103" s="18">
        <f>IF(甲分類!E103="","",甲分類!E103)</f>
        <v/>
      </c>
      <c r="H103" s="18">
        <f>IF(乙分類!E103="","",乙分類!E103)</f>
        <v/>
      </c>
      <c r="I103" s="18">
        <f>IF(OR(G103="",H103=""),"",IF(G103=H103,"一致","不一致"))</f>
        <v/>
      </c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8">
        <f>IF(A104="","",IF(LEFT(E104,2)="剔除","否","是"))</f>
        <v/>
      </c>
      <c r="G104" s="18">
        <f>IF(甲分類!E104="","",甲分類!E104)</f>
        <v/>
      </c>
      <c r="H104" s="18">
        <f>IF(乙分類!E104="","",乙分類!E104)</f>
        <v/>
      </c>
      <c r="I104" s="18">
        <f>IF(OR(G104="",H104=""),"",IF(G104=H104,"一致","不一致"))</f>
        <v/>
      </c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8">
        <f>IF(A105="","",IF(LEFT(E105,2)="剔除","否","是"))</f>
        <v/>
      </c>
      <c r="G105" s="18">
        <f>IF(甲分類!E105="","",甲分類!E105)</f>
        <v/>
      </c>
      <c r="H105" s="18">
        <f>IF(乙分類!E105="","",乙分類!E105)</f>
        <v/>
      </c>
      <c r="I105" s="18">
        <f>IF(OR(G105="",H105=""),"",IF(G105=H105,"一致","不一致"))</f>
        <v/>
      </c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8">
        <f>IF(A106="","",IF(LEFT(E106,2)="剔除","否","是"))</f>
        <v/>
      </c>
      <c r="G106" s="18">
        <f>IF(甲分類!E106="","",甲分類!E106)</f>
        <v/>
      </c>
      <c r="H106" s="18">
        <f>IF(乙分類!E106="","",乙分類!E106)</f>
        <v/>
      </c>
      <c r="I106" s="18">
        <f>IF(OR(G106="",H106=""),"",IF(G106=H106,"一致","不一致"))</f>
        <v/>
      </c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8">
        <f>IF(A107="","",IF(LEFT(E107,2)="剔除","否","是"))</f>
        <v/>
      </c>
      <c r="G107" s="18">
        <f>IF(甲分類!E107="","",甲分類!E107)</f>
        <v/>
      </c>
      <c r="H107" s="18">
        <f>IF(乙分類!E107="","",乙分類!E107)</f>
        <v/>
      </c>
      <c r="I107" s="18">
        <f>IF(OR(G107="",H107=""),"",IF(G107=H107,"一致","不一致"))</f>
        <v/>
      </c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8">
        <f>IF(A108="","",IF(LEFT(E108,2)="剔除","否","是"))</f>
        <v/>
      </c>
      <c r="G108" s="18">
        <f>IF(甲分類!E108="","",甲分類!E108)</f>
        <v/>
      </c>
      <c r="H108" s="18">
        <f>IF(乙分類!E108="","",乙分類!E108)</f>
        <v/>
      </c>
      <c r="I108" s="18">
        <f>IF(OR(G108="",H108=""),"",IF(G108=H108,"一致","不一致"))</f>
        <v/>
      </c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8">
        <f>IF(A109="","",IF(LEFT(E109,2)="剔除","否","是"))</f>
        <v/>
      </c>
      <c r="G109" s="18">
        <f>IF(甲分類!E109="","",甲分類!E109)</f>
        <v/>
      </c>
      <c r="H109" s="18">
        <f>IF(乙分類!E109="","",乙分類!E109)</f>
        <v/>
      </c>
      <c r="I109" s="18">
        <f>IF(OR(G109="",H109=""),"",IF(G109=H109,"一致","不一致"))</f>
        <v/>
      </c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8">
        <f>IF(A110="","",IF(LEFT(E110,2)="剔除","否","是"))</f>
        <v/>
      </c>
      <c r="G110" s="18">
        <f>IF(甲分類!E110="","",甲分類!E110)</f>
        <v/>
      </c>
      <c r="H110" s="18">
        <f>IF(乙分類!E110="","",乙分類!E110)</f>
        <v/>
      </c>
      <c r="I110" s="18">
        <f>IF(OR(G110="",H110=""),"",IF(G110=H110,"一致","不一致"))</f>
        <v/>
      </c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8">
        <f>IF(A111="","",IF(LEFT(E111,2)="剔除","否","是"))</f>
        <v/>
      </c>
      <c r="G111" s="18">
        <f>IF(甲分類!E111="","",甲分類!E111)</f>
        <v/>
      </c>
      <c r="H111" s="18">
        <f>IF(乙分類!E111="","",乙分類!E111)</f>
        <v/>
      </c>
      <c r="I111" s="18">
        <f>IF(OR(G111="",H111=""),"",IF(G111=H111,"一致","不一致"))</f>
        <v/>
      </c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8">
        <f>IF(A112="","",IF(LEFT(E112,2)="剔除","否","是"))</f>
        <v/>
      </c>
      <c r="G112" s="18">
        <f>IF(甲分類!E112="","",甲分類!E112)</f>
        <v/>
      </c>
      <c r="H112" s="18">
        <f>IF(乙分類!E112="","",乙分類!E112)</f>
        <v/>
      </c>
      <c r="I112" s="18">
        <f>IF(OR(G112="",H112=""),"",IF(G112=H112,"一致","不一致"))</f>
        <v/>
      </c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8">
        <f>IF(A113="","",IF(LEFT(E113,2)="剔除","否","是"))</f>
        <v/>
      </c>
      <c r="G113" s="18">
        <f>IF(甲分類!E113="","",甲分類!E113)</f>
        <v/>
      </c>
      <c r="H113" s="18">
        <f>IF(乙分類!E113="","",乙分類!E113)</f>
        <v/>
      </c>
      <c r="I113" s="18">
        <f>IF(OR(G113="",H113=""),"",IF(G113=H113,"一致","不一致"))</f>
        <v/>
      </c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8">
        <f>IF(A114="","",IF(LEFT(E114,2)="剔除","否","是"))</f>
        <v/>
      </c>
      <c r="G114" s="18">
        <f>IF(甲分類!E114="","",甲分類!E114)</f>
        <v/>
      </c>
      <c r="H114" s="18">
        <f>IF(乙分類!E114="","",乙分類!E114)</f>
        <v/>
      </c>
      <c r="I114" s="18">
        <f>IF(OR(G114="",H114=""),"",IF(G114=H114,"一致","不一致"))</f>
        <v/>
      </c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8">
        <f>IF(A115="","",IF(LEFT(E115,2)="剔除","否","是"))</f>
        <v/>
      </c>
      <c r="G115" s="18">
        <f>IF(甲分類!E115="","",甲分類!E115)</f>
        <v/>
      </c>
      <c r="H115" s="18">
        <f>IF(乙分類!E115="","",乙分類!E115)</f>
        <v/>
      </c>
      <c r="I115" s="18">
        <f>IF(OR(G115="",H115=""),"",IF(G115=H115,"一致","不一致"))</f>
        <v/>
      </c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8">
        <f>IF(A116="","",IF(LEFT(E116,2)="剔除","否","是"))</f>
        <v/>
      </c>
      <c r="G116" s="18">
        <f>IF(甲分類!E116="","",甲分類!E116)</f>
        <v/>
      </c>
      <c r="H116" s="18">
        <f>IF(乙分類!E116="","",乙分類!E116)</f>
        <v/>
      </c>
      <c r="I116" s="18">
        <f>IF(OR(G116="",H116=""),"",IF(G116=H116,"一致","不一致"))</f>
        <v/>
      </c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8">
        <f>IF(A117="","",IF(LEFT(E117,2)="剔除","否","是"))</f>
        <v/>
      </c>
      <c r="G117" s="18">
        <f>IF(甲分類!E117="","",甲分類!E117)</f>
        <v/>
      </c>
      <c r="H117" s="18">
        <f>IF(乙分類!E117="","",乙分類!E117)</f>
        <v/>
      </c>
      <c r="I117" s="18">
        <f>IF(OR(G117="",H117=""),"",IF(G117=H117,"一致","不一致"))</f>
        <v/>
      </c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8">
        <f>IF(A118="","",IF(LEFT(E118,2)="剔除","否","是"))</f>
        <v/>
      </c>
      <c r="G118" s="18">
        <f>IF(甲分類!E118="","",甲分類!E118)</f>
        <v/>
      </c>
      <c r="H118" s="18">
        <f>IF(乙分類!E118="","",乙分類!E118)</f>
        <v/>
      </c>
      <c r="I118" s="18">
        <f>IF(OR(G118="",H118=""),"",IF(G118=H118,"一致","不一致"))</f>
        <v/>
      </c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8">
        <f>IF(A119="","",IF(LEFT(E119,2)="剔除","否","是"))</f>
        <v/>
      </c>
      <c r="G119" s="18">
        <f>IF(甲分類!E119="","",甲分類!E119)</f>
        <v/>
      </c>
      <c r="H119" s="18">
        <f>IF(乙分類!E119="","",乙分類!E119)</f>
        <v/>
      </c>
      <c r="I119" s="18">
        <f>IF(OR(G119="",H119=""),"",IF(G119=H119,"一致","不一致"))</f>
        <v/>
      </c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8">
        <f>IF(A120="","",IF(LEFT(E120,2)="剔除","否","是"))</f>
        <v/>
      </c>
      <c r="G120" s="18">
        <f>IF(甲分類!E120="","",甲分類!E120)</f>
        <v/>
      </c>
      <c r="H120" s="18">
        <f>IF(乙分類!E120="","",乙分類!E120)</f>
        <v/>
      </c>
      <c r="I120" s="18">
        <f>IF(OR(G120="",H120=""),"",IF(G120=H120,"一致","不一致"))</f>
        <v/>
      </c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8">
        <f>IF(A121="","",IF(LEFT(E121,2)="剔除","否","是"))</f>
        <v/>
      </c>
      <c r="G121" s="18">
        <f>IF(甲分類!E121="","",甲分類!E121)</f>
        <v/>
      </c>
      <c r="H121" s="18">
        <f>IF(乙分類!E121="","",乙分類!E121)</f>
        <v/>
      </c>
      <c r="I121" s="18">
        <f>IF(OR(G121="",H121=""),"",IF(G121=H121,"一致","不一致"))</f>
        <v/>
      </c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8">
        <f>IF(A122="","",IF(LEFT(E122,2)="剔除","否","是"))</f>
        <v/>
      </c>
      <c r="G122" s="18">
        <f>IF(甲分類!E122="","",甲分類!E122)</f>
        <v/>
      </c>
      <c r="H122" s="18">
        <f>IF(乙分類!E122="","",乙分類!E122)</f>
        <v/>
      </c>
      <c r="I122" s="18">
        <f>IF(OR(G122="",H122=""),"",IF(G122=H122,"一致","不一致"))</f>
        <v/>
      </c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8">
        <f>IF(A123="","",IF(LEFT(E123,2)="剔除","否","是"))</f>
        <v/>
      </c>
      <c r="G123" s="18">
        <f>IF(甲分類!E123="","",甲分類!E123)</f>
        <v/>
      </c>
      <c r="H123" s="18">
        <f>IF(乙分類!E123="","",乙分類!E123)</f>
        <v/>
      </c>
      <c r="I123" s="18">
        <f>IF(OR(G123="",H123=""),"",IF(G123=H123,"一致","不一致"))</f>
        <v/>
      </c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8">
        <f>IF(A124="","",IF(LEFT(E124,2)="剔除","否","是"))</f>
        <v/>
      </c>
      <c r="G124" s="18">
        <f>IF(甲分類!E124="","",甲分類!E124)</f>
        <v/>
      </c>
      <c r="H124" s="18">
        <f>IF(乙分類!E124="","",乙分類!E124)</f>
        <v/>
      </c>
      <c r="I124" s="18">
        <f>IF(OR(G124="",H124=""),"",IF(G124=H124,"一致","不一致"))</f>
        <v/>
      </c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8">
        <f>IF(A125="","",IF(LEFT(E125,2)="剔除","否","是"))</f>
        <v/>
      </c>
      <c r="G125" s="18">
        <f>IF(甲分類!E125="","",甲分類!E125)</f>
        <v/>
      </c>
      <c r="H125" s="18">
        <f>IF(乙分類!E125="","",乙分類!E125)</f>
        <v/>
      </c>
      <c r="I125" s="18">
        <f>IF(OR(G125="",H125=""),"",IF(G125=H125,"一致","不一致"))</f>
        <v/>
      </c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8">
        <f>IF(A126="","",IF(LEFT(E126,2)="剔除","否","是"))</f>
        <v/>
      </c>
      <c r="G126" s="18">
        <f>IF(甲分類!E126="","",甲分類!E126)</f>
        <v/>
      </c>
      <c r="H126" s="18">
        <f>IF(乙分類!E126="","",乙分類!E126)</f>
        <v/>
      </c>
      <c r="I126" s="18">
        <f>IF(OR(G126="",H126=""),"",IF(G126=H126,"一致","不一致"))</f>
        <v/>
      </c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8">
        <f>IF(A127="","",IF(LEFT(E127,2)="剔除","否","是"))</f>
        <v/>
      </c>
      <c r="G127" s="18">
        <f>IF(甲分類!E127="","",甲分類!E127)</f>
        <v/>
      </c>
      <c r="H127" s="18">
        <f>IF(乙分類!E127="","",乙分類!E127)</f>
        <v/>
      </c>
      <c r="I127" s="18">
        <f>IF(OR(G127="",H127=""),"",IF(G127=H127,"一致","不一致"))</f>
        <v/>
      </c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8">
        <f>IF(A128="","",IF(LEFT(E128,2)="剔除","否","是"))</f>
        <v/>
      </c>
      <c r="G128" s="18">
        <f>IF(甲分類!E128="","",甲分類!E128)</f>
        <v/>
      </c>
      <c r="H128" s="18">
        <f>IF(乙分類!E128="","",乙分類!E128)</f>
        <v/>
      </c>
      <c r="I128" s="18">
        <f>IF(OR(G128="",H128=""),"",IF(G128=H128,"一致","不一致"))</f>
        <v/>
      </c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8">
        <f>IF(A129="","",IF(LEFT(E129,2)="剔除","否","是"))</f>
        <v/>
      </c>
      <c r="G129" s="18">
        <f>IF(甲分類!E129="","",甲分類!E129)</f>
        <v/>
      </c>
      <c r="H129" s="18">
        <f>IF(乙分類!E129="","",乙分類!E129)</f>
        <v/>
      </c>
      <c r="I129" s="18">
        <f>IF(OR(G129="",H129=""),"",IF(G129=H129,"一致","不一致"))</f>
        <v/>
      </c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8">
        <f>IF(A130="","",IF(LEFT(E130,2)="剔除","否","是"))</f>
        <v/>
      </c>
      <c r="G130" s="18">
        <f>IF(甲分類!E130="","",甲分類!E130)</f>
        <v/>
      </c>
      <c r="H130" s="18">
        <f>IF(乙分類!E130="","",乙分類!E130)</f>
        <v/>
      </c>
      <c r="I130" s="18">
        <f>IF(OR(G130="",H130=""),"",IF(G130=H130,"一致","不一致"))</f>
        <v/>
      </c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8">
        <f>IF(A131="","",IF(LEFT(E131,2)="剔除","否","是"))</f>
        <v/>
      </c>
      <c r="G131" s="18">
        <f>IF(甲分類!E131="","",甲分類!E131)</f>
        <v/>
      </c>
      <c r="H131" s="18">
        <f>IF(乙分類!E131="","",乙分類!E131)</f>
        <v/>
      </c>
      <c r="I131" s="18">
        <f>IF(OR(G131="",H131=""),"",IF(G131=H131,"一致","不一致"))</f>
        <v/>
      </c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8">
        <f>IF(A132="","",IF(LEFT(E132,2)="剔除","否","是"))</f>
        <v/>
      </c>
      <c r="G132" s="18">
        <f>IF(甲分類!E132="","",甲分類!E132)</f>
        <v/>
      </c>
      <c r="H132" s="18">
        <f>IF(乙分類!E132="","",乙分類!E132)</f>
        <v/>
      </c>
      <c r="I132" s="18">
        <f>IF(OR(G132="",H132=""),"",IF(G132=H132,"一致","不一致"))</f>
        <v/>
      </c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8">
        <f>IF(A133="","",IF(LEFT(E133,2)="剔除","否","是"))</f>
        <v/>
      </c>
      <c r="G133" s="18">
        <f>IF(甲分類!E133="","",甲分類!E133)</f>
        <v/>
      </c>
      <c r="H133" s="18">
        <f>IF(乙分類!E133="","",乙分類!E133)</f>
        <v/>
      </c>
      <c r="I133" s="18">
        <f>IF(OR(G133="",H133=""),"",IF(G133=H133,"一致","不一致"))</f>
        <v/>
      </c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8">
        <f>IF(A134="","",IF(LEFT(E134,2)="剔除","否","是"))</f>
        <v/>
      </c>
      <c r="G134" s="18">
        <f>IF(甲分類!E134="","",甲分類!E134)</f>
        <v/>
      </c>
      <c r="H134" s="18">
        <f>IF(乙分類!E134="","",乙分類!E134)</f>
        <v/>
      </c>
      <c r="I134" s="18">
        <f>IF(OR(G134="",H134=""),"",IF(G134=H134,"一致","不一致"))</f>
        <v/>
      </c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8">
        <f>IF(A135="","",IF(LEFT(E135,2)="剔除","否","是"))</f>
        <v/>
      </c>
      <c r="G135" s="18">
        <f>IF(甲分類!E135="","",甲分類!E135)</f>
        <v/>
      </c>
      <c r="H135" s="18">
        <f>IF(乙分類!E135="","",乙分類!E135)</f>
        <v/>
      </c>
      <c r="I135" s="18">
        <f>IF(OR(G135="",H135=""),"",IF(G135=H135,"一致","不一致"))</f>
        <v/>
      </c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8">
        <f>IF(A136="","",IF(LEFT(E136,2)="剔除","否","是"))</f>
        <v/>
      </c>
      <c r="G136" s="18">
        <f>IF(甲分類!E136="","",甲分類!E136)</f>
        <v/>
      </c>
      <c r="H136" s="18">
        <f>IF(乙分類!E136="","",乙分類!E136)</f>
        <v/>
      </c>
      <c r="I136" s="18">
        <f>IF(OR(G136="",H136=""),"",IF(G136=H136,"一致","不一致"))</f>
        <v/>
      </c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8">
        <f>IF(A137="","",IF(LEFT(E137,2)="剔除","否","是"))</f>
        <v/>
      </c>
      <c r="G137" s="18">
        <f>IF(甲分類!E137="","",甲分類!E137)</f>
        <v/>
      </c>
      <c r="H137" s="18">
        <f>IF(乙分類!E137="","",乙分類!E137)</f>
        <v/>
      </c>
      <c r="I137" s="18">
        <f>IF(OR(G137="",H137=""),"",IF(G137=H137,"一致","不一致"))</f>
        <v/>
      </c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8">
        <f>IF(A138="","",IF(LEFT(E138,2)="剔除","否","是"))</f>
        <v/>
      </c>
      <c r="G138" s="18">
        <f>IF(甲分類!E138="","",甲分類!E138)</f>
        <v/>
      </c>
      <c r="H138" s="18">
        <f>IF(乙分類!E138="","",乙分類!E138)</f>
        <v/>
      </c>
      <c r="I138" s="18">
        <f>IF(OR(G138="",H138=""),"",IF(G138=H138,"一致","不一致"))</f>
        <v/>
      </c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8">
        <f>IF(A139="","",IF(LEFT(E139,2)="剔除","否","是"))</f>
        <v/>
      </c>
      <c r="G139" s="18">
        <f>IF(甲分類!E139="","",甲分類!E139)</f>
        <v/>
      </c>
      <c r="H139" s="18">
        <f>IF(乙分類!E139="","",乙分類!E139)</f>
        <v/>
      </c>
      <c r="I139" s="18">
        <f>IF(OR(G139="",H139=""),"",IF(G139=H139,"一致","不一致"))</f>
        <v/>
      </c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8">
        <f>IF(A140="","",IF(LEFT(E140,2)="剔除","否","是"))</f>
        <v/>
      </c>
      <c r="G140" s="18">
        <f>IF(甲分類!E140="","",甲分類!E140)</f>
        <v/>
      </c>
      <c r="H140" s="18">
        <f>IF(乙分類!E140="","",乙分類!E140)</f>
        <v/>
      </c>
      <c r="I140" s="18">
        <f>IF(OR(G140="",H140=""),"",IF(G140=H140,"一致","不一致"))</f>
        <v/>
      </c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8">
        <f>IF(A141="","",IF(LEFT(E141,2)="剔除","否","是"))</f>
        <v/>
      </c>
      <c r="G141" s="18">
        <f>IF(甲分類!E141="","",甲分類!E141)</f>
        <v/>
      </c>
      <c r="H141" s="18">
        <f>IF(乙分類!E141="","",乙分類!E141)</f>
        <v/>
      </c>
      <c r="I141" s="18">
        <f>IF(OR(G141="",H141=""),"",IF(G141=H141,"一致","不一致"))</f>
        <v/>
      </c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8">
        <f>IF(A142="","",IF(LEFT(E142,2)="剔除","否","是"))</f>
        <v/>
      </c>
      <c r="G142" s="18">
        <f>IF(甲分類!E142="","",甲分類!E142)</f>
        <v/>
      </c>
      <c r="H142" s="18">
        <f>IF(乙分類!E142="","",乙分類!E142)</f>
        <v/>
      </c>
      <c r="I142" s="18">
        <f>IF(OR(G142="",H142=""),"",IF(G142=H142,"一致","不一致"))</f>
        <v/>
      </c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8">
        <f>IF(A143="","",IF(LEFT(E143,2)="剔除","否","是"))</f>
        <v/>
      </c>
      <c r="G143" s="18">
        <f>IF(甲分類!E143="","",甲分類!E143)</f>
        <v/>
      </c>
      <c r="H143" s="18">
        <f>IF(乙分類!E143="","",乙分類!E143)</f>
        <v/>
      </c>
      <c r="I143" s="18">
        <f>IF(OR(G143="",H143=""),"",IF(G143=H143,"一致","不一致"))</f>
        <v/>
      </c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8">
        <f>IF(A144="","",IF(LEFT(E144,2)="剔除","否","是"))</f>
        <v/>
      </c>
      <c r="G144" s="18">
        <f>IF(甲分類!E144="","",甲分類!E144)</f>
        <v/>
      </c>
      <c r="H144" s="18">
        <f>IF(乙分類!E144="","",乙分類!E144)</f>
        <v/>
      </c>
      <c r="I144" s="18">
        <f>IF(OR(G144="",H144=""),"",IF(G144=H144,"一致","不一致"))</f>
        <v/>
      </c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8">
        <f>IF(A145="","",IF(LEFT(E145,2)="剔除","否","是"))</f>
        <v/>
      </c>
      <c r="G145" s="18">
        <f>IF(甲分類!E145="","",甲分類!E145)</f>
        <v/>
      </c>
      <c r="H145" s="18">
        <f>IF(乙分類!E145="","",乙分類!E145)</f>
        <v/>
      </c>
      <c r="I145" s="18">
        <f>IF(OR(G145="",H145=""),"",IF(G145=H145,"一致","不一致"))</f>
        <v/>
      </c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8">
        <f>IF(A146="","",IF(LEFT(E146,2)="剔除","否","是"))</f>
        <v/>
      </c>
      <c r="G146" s="18">
        <f>IF(甲分類!E146="","",甲分類!E146)</f>
        <v/>
      </c>
      <c r="H146" s="18">
        <f>IF(乙分類!E146="","",乙分類!E146)</f>
        <v/>
      </c>
      <c r="I146" s="18">
        <f>IF(OR(G146="",H146=""),"",IF(G146=H146,"一致","不一致"))</f>
        <v/>
      </c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8">
        <f>IF(A147="","",IF(LEFT(E147,2)="剔除","否","是"))</f>
        <v/>
      </c>
      <c r="G147" s="18">
        <f>IF(甲分類!E147="","",甲分類!E147)</f>
        <v/>
      </c>
      <c r="H147" s="18">
        <f>IF(乙分類!E147="","",乙分類!E147)</f>
        <v/>
      </c>
      <c r="I147" s="18">
        <f>IF(OR(G147="",H147=""),"",IF(G147=H147,"一致","不一致"))</f>
        <v/>
      </c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8">
        <f>IF(A148="","",IF(LEFT(E148,2)="剔除","否","是"))</f>
        <v/>
      </c>
      <c r="G148" s="18">
        <f>IF(甲分類!E148="","",甲分類!E148)</f>
        <v/>
      </c>
      <c r="H148" s="18">
        <f>IF(乙分類!E148="","",乙分類!E148)</f>
        <v/>
      </c>
      <c r="I148" s="18">
        <f>IF(OR(G148="",H148=""),"",IF(G148=H148,"一致","不一致"))</f>
        <v/>
      </c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8">
        <f>IF(A149="","",IF(LEFT(E149,2)="剔除","否","是"))</f>
        <v/>
      </c>
      <c r="G149" s="18">
        <f>IF(甲分類!E149="","",甲分類!E149)</f>
        <v/>
      </c>
      <c r="H149" s="18">
        <f>IF(乙分類!E149="","",乙分類!E149)</f>
        <v/>
      </c>
      <c r="I149" s="18">
        <f>IF(OR(G149="",H149=""),"",IF(G149=H149,"一致","不一致"))</f>
        <v/>
      </c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8">
        <f>IF(A150="","",IF(LEFT(E150,2)="剔除","否","是"))</f>
        <v/>
      </c>
      <c r="G150" s="18">
        <f>IF(甲分類!E150="","",甲分類!E150)</f>
        <v/>
      </c>
      <c r="H150" s="18">
        <f>IF(乙分類!E150="","",乙分類!E150)</f>
        <v/>
      </c>
      <c r="I150" s="18">
        <f>IF(OR(G150="",H150=""),"",IF(G150=H150,"一致","不一致"))</f>
        <v/>
      </c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8">
        <f>IF(A151="","",IF(LEFT(E151,2)="剔除","否","是"))</f>
        <v/>
      </c>
      <c r="G151" s="18">
        <f>IF(甲分類!E151="","",甲分類!E151)</f>
        <v/>
      </c>
      <c r="H151" s="18">
        <f>IF(乙分類!E151="","",乙分類!E151)</f>
        <v/>
      </c>
      <c r="I151" s="18">
        <f>IF(OR(G151="",H151=""),"",IF(G151=H151,"一致","不一致"))</f>
        <v/>
      </c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8">
        <f>IF(A152="","",IF(LEFT(E152,2)="剔除","否","是"))</f>
        <v/>
      </c>
      <c r="G152" s="18">
        <f>IF(甲分類!E152="","",甲分類!E152)</f>
        <v/>
      </c>
      <c r="H152" s="18">
        <f>IF(乙分類!E152="","",乙分類!E152)</f>
        <v/>
      </c>
      <c r="I152" s="18">
        <f>IF(OR(G152="",H152=""),"",IF(G152=H152,"一致","不一致"))</f>
        <v/>
      </c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8">
        <f>IF(A153="","",IF(LEFT(E153,2)="剔除","否","是"))</f>
        <v/>
      </c>
      <c r="G153" s="18">
        <f>IF(甲分類!E153="","",甲分類!E153)</f>
        <v/>
      </c>
      <c r="H153" s="18">
        <f>IF(乙分類!E153="","",乙分類!E153)</f>
        <v/>
      </c>
      <c r="I153" s="18">
        <f>IF(OR(G153="",H153=""),"",IF(G153=H153,"一致","不一致"))</f>
        <v/>
      </c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8">
        <f>IF(A154="","",IF(LEFT(E154,2)="剔除","否","是"))</f>
        <v/>
      </c>
      <c r="G154" s="18">
        <f>IF(甲分類!E154="","",甲分類!E154)</f>
        <v/>
      </c>
      <c r="H154" s="18">
        <f>IF(乙分類!E154="","",乙分類!E154)</f>
        <v/>
      </c>
      <c r="I154" s="18">
        <f>IF(OR(G154="",H154=""),"",IF(G154=H154,"一致","不一致"))</f>
        <v/>
      </c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8">
        <f>IF(A155="","",IF(LEFT(E155,2)="剔除","否","是"))</f>
        <v/>
      </c>
      <c r="G155" s="18">
        <f>IF(甲分類!E155="","",甲分類!E155)</f>
        <v/>
      </c>
      <c r="H155" s="18">
        <f>IF(乙分類!E155="","",乙分類!E155)</f>
        <v/>
      </c>
      <c r="I155" s="18">
        <f>IF(OR(G155="",H155=""),"",IF(G155=H155,"一致","不一致"))</f>
        <v/>
      </c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8">
        <f>IF(A156="","",IF(LEFT(E156,2)="剔除","否","是"))</f>
        <v/>
      </c>
      <c r="G156" s="18">
        <f>IF(甲分類!E156="","",甲分類!E156)</f>
        <v/>
      </c>
      <c r="H156" s="18">
        <f>IF(乙分類!E156="","",乙分類!E156)</f>
        <v/>
      </c>
      <c r="I156" s="18">
        <f>IF(OR(G156="",H156=""),"",IF(G156=H156,"一致","不一致"))</f>
        <v/>
      </c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8">
        <f>IF(A157="","",IF(LEFT(E157,2)="剔除","否","是"))</f>
        <v/>
      </c>
      <c r="G157" s="18">
        <f>IF(甲分類!E157="","",甲分類!E157)</f>
        <v/>
      </c>
      <c r="H157" s="18">
        <f>IF(乙分類!E157="","",乙分類!E157)</f>
        <v/>
      </c>
      <c r="I157" s="18">
        <f>IF(OR(G157="",H157=""),"",IF(G157=H157,"一致","不一致"))</f>
        <v/>
      </c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8">
        <f>IF(A158="","",IF(LEFT(E158,2)="剔除","否","是"))</f>
        <v/>
      </c>
      <c r="G158" s="18">
        <f>IF(甲分類!E158="","",甲分類!E158)</f>
        <v/>
      </c>
      <c r="H158" s="18">
        <f>IF(乙分類!E158="","",乙分類!E158)</f>
        <v/>
      </c>
      <c r="I158" s="18">
        <f>IF(OR(G158="",H158=""),"",IF(G158=H158,"一致","不一致"))</f>
        <v/>
      </c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8">
        <f>IF(A159="","",IF(LEFT(E159,2)="剔除","否","是"))</f>
        <v/>
      </c>
      <c r="G159" s="18">
        <f>IF(甲分類!E159="","",甲分類!E159)</f>
        <v/>
      </c>
      <c r="H159" s="18">
        <f>IF(乙分類!E159="","",乙分類!E159)</f>
        <v/>
      </c>
      <c r="I159" s="18">
        <f>IF(OR(G159="",H159=""),"",IF(G159=H159,"一致","不一致"))</f>
        <v/>
      </c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8">
        <f>IF(A160="","",IF(LEFT(E160,2)="剔除","否","是"))</f>
        <v/>
      </c>
      <c r="G160" s="18">
        <f>IF(甲分類!E160="","",甲分類!E160)</f>
        <v/>
      </c>
      <c r="H160" s="18">
        <f>IF(乙分類!E160="","",乙分類!E160)</f>
        <v/>
      </c>
      <c r="I160" s="18">
        <f>IF(OR(G160="",H160=""),"",IF(G160=H160,"一致","不一致"))</f>
        <v/>
      </c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8">
        <f>IF(A161="","",IF(LEFT(E161,2)="剔除","否","是"))</f>
        <v/>
      </c>
      <c r="G161" s="18">
        <f>IF(甲分類!E161="","",甲分類!E161)</f>
        <v/>
      </c>
      <c r="H161" s="18">
        <f>IF(乙分類!E161="","",乙分類!E161)</f>
        <v/>
      </c>
      <c r="I161" s="18">
        <f>IF(OR(G161="",H161=""),"",IF(G161=H161,"一致","不一致"))</f>
        <v/>
      </c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8">
        <f>IF(A162="","",IF(LEFT(E162,2)="剔除","否","是"))</f>
        <v/>
      </c>
      <c r="G162" s="18">
        <f>IF(甲分類!E162="","",甲分類!E162)</f>
        <v/>
      </c>
      <c r="H162" s="18">
        <f>IF(乙分類!E162="","",乙分類!E162)</f>
        <v/>
      </c>
      <c r="I162" s="18">
        <f>IF(OR(G162="",H162=""),"",IF(G162=H162,"一致","不一致"))</f>
        <v/>
      </c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8">
        <f>IF(A163="","",IF(LEFT(E163,2)="剔除","否","是"))</f>
        <v/>
      </c>
      <c r="G163" s="18">
        <f>IF(甲分類!E163="","",甲分類!E163)</f>
        <v/>
      </c>
      <c r="H163" s="18">
        <f>IF(乙分類!E163="","",乙分類!E163)</f>
        <v/>
      </c>
      <c r="I163" s="18">
        <f>IF(OR(G163="",H163=""),"",IF(G163=H163,"一致","不一致"))</f>
        <v/>
      </c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8">
        <f>IF(A164="","",IF(LEFT(E164,2)="剔除","否","是"))</f>
        <v/>
      </c>
      <c r="G164" s="18">
        <f>IF(甲分類!E164="","",甲分類!E164)</f>
        <v/>
      </c>
      <c r="H164" s="18">
        <f>IF(乙分類!E164="","",乙分類!E164)</f>
        <v/>
      </c>
      <c r="I164" s="18">
        <f>IF(OR(G164="",H164=""),"",IF(G164=H164,"一致","不一致"))</f>
        <v/>
      </c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8">
        <f>IF(A165="","",IF(LEFT(E165,2)="剔除","否","是"))</f>
        <v/>
      </c>
      <c r="G165" s="18">
        <f>IF(甲分類!E165="","",甲分類!E165)</f>
        <v/>
      </c>
      <c r="H165" s="18">
        <f>IF(乙分類!E165="","",乙分類!E165)</f>
        <v/>
      </c>
      <c r="I165" s="18">
        <f>IF(OR(G165="",H165=""),"",IF(G165=H165,"一致","不一致"))</f>
        <v/>
      </c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8">
        <f>IF(A166="","",IF(LEFT(E166,2)="剔除","否","是"))</f>
        <v/>
      </c>
      <c r="G166" s="18">
        <f>IF(甲分類!E166="","",甲分類!E166)</f>
        <v/>
      </c>
      <c r="H166" s="18">
        <f>IF(乙分類!E166="","",乙分類!E166)</f>
        <v/>
      </c>
      <c r="I166" s="18">
        <f>IF(OR(G166="",H166=""),"",IF(G166=H166,"一致","不一致"))</f>
        <v/>
      </c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8">
        <f>IF(A167="","",IF(LEFT(E167,2)="剔除","否","是"))</f>
        <v/>
      </c>
      <c r="G167" s="18">
        <f>IF(甲分類!E167="","",甲分類!E167)</f>
        <v/>
      </c>
      <c r="H167" s="18">
        <f>IF(乙分類!E167="","",乙分類!E167)</f>
        <v/>
      </c>
      <c r="I167" s="18">
        <f>IF(OR(G167="",H167=""),"",IF(G167=H167,"一致","不一致"))</f>
        <v/>
      </c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8">
        <f>IF(A168="","",IF(LEFT(E168,2)="剔除","否","是"))</f>
        <v/>
      </c>
      <c r="G168" s="18">
        <f>IF(甲分類!E168="","",甲分類!E168)</f>
        <v/>
      </c>
      <c r="H168" s="18">
        <f>IF(乙分類!E168="","",乙分類!E168)</f>
        <v/>
      </c>
      <c r="I168" s="18">
        <f>IF(OR(G168="",H168=""),"",IF(G168=H168,"一致","不一致"))</f>
        <v/>
      </c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8">
        <f>IF(A169="","",IF(LEFT(E169,2)="剔除","否","是"))</f>
        <v/>
      </c>
      <c r="G169" s="18">
        <f>IF(甲分類!E169="","",甲分類!E169)</f>
        <v/>
      </c>
      <c r="H169" s="18">
        <f>IF(乙分類!E169="","",乙分類!E169)</f>
        <v/>
      </c>
      <c r="I169" s="18">
        <f>IF(OR(G169="",H169=""),"",IF(G169=H169,"一致","不一致"))</f>
        <v/>
      </c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8">
        <f>IF(A170="","",IF(LEFT(E170,2)="剔除","否","是"))</f>
        <v/>
      </c>
      <c r="G170" s="18">
        <f>IF(甲分類!E170="","",甲分類!E170)</f>
        <v/>
      </c>
      <c r="H170" s="18">
        <f>IF(乙分類!E170="","",乙分類!E170)</f>
        <v/>
      </c>
      <c r="I170" s="18">
        <f>IF(OR(G170="",H170=""),"",IF(G170=H170,"一致","不一致"))</f>
        <v/>
      </c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8">
        <f>IF(A171="","",IF(LEFT(E171,2)="剔除","否","是"))</f>
        <v/>
      </c>
      <c r="G171" s="18">
        <f>IF(甲分類!E171="","",甲分類!E171)</f>
        <v/>
      </c>
      <c r="H171" s="18">
        <f>IF(乙分類!E171="","",乙分類!E171)</f>
        <v/>
      </c>
      <c r="I171" s="18">
        <f>IF(OR(G171="",H171=""),"",IF(G171=H171,"一致","不一致"))</f>
        <v/>
      </c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8">
        <f>IF(A172="","",IF(LEFT(E172,2)="剔除","否","是"))</f>
        <v/>
      </c>
      <c r="G172" s="18">
        <f>IF(甲分類!E172="","",甲分類!E172)</f>
        <v/>
      </c>
      <c r="H172" s="18">
        <f>IF(乙分類!E172="","",乙分類!E172)</f>
        <v/>
      </c>
      <c r="I172" s="18">
        <f>IF(OR(G172="",H172=""),"",IF(G172=H172,"一致","不一致"))</f>
        <v/>
      </c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8">
        <f>IF(A173="","",IF(LEFT(E173,2)="剔除","否","是"))</f>
        <v/>
      </c>
      <c r="G173" s="18">
        <f>IF(甲分類!E173="","",甲分類!E173)</f>
        <v/>
      </c>
      <c r="H173" s="18">
        <f>IF(乙分類!E173="","",乙分類!E173)</f>
        <v/>
      </c>
      <c r="I173" s="18">
        <f>IF(OR(G173="",H173=""),"",IF(G173=H173,"一致","不一致"))</f>
        <v/>
      </c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8">
        <f>IF(A174="","",IF(LEFT(E174,2)="剔除","否","是"))</f>
        <v/>
      </c>
      <c r="G174" s="18">
        <f>IF(甲分類!E174="","",甲分類!E174)</f>
        <v/>
      </c>
      <c r="H174" s="18">
        <f>IF(乙分類!E174="","",乙分類!E174)</f>
        <v/>
      </c>
      <c r="I174" s="18">
        <f>IF(OR(G174="",H174=""),"",IF(G174=H174,"一致","不一致"))</f>
        <v/>
      </c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8">
        <f>IF(A175="","",IF(LEFT(E175,2)="剔除","否","是"))</f>
        <v/>
      </c>
      <c r="G175" s="18">
        <f>IF(甲分類!E175="","",甲分類!E175)</f>
        <v/>
      </c>
      <c r="H175" s="18">
        <f>IF(乙分類!E175="","",乙分類!E175)</f>
        <v/>
      </c>
      <c r="I175" s="18">
        <f>IF(OR(G175="",H175=""),"",IF(G175=H175,"一致","不一致"))</f>
        <v/>
      </c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8">
        <f>IF(A176="","",IF(LEFT(E176,2)="剔除","否","是"))</f>
        <v/>
      </c>
      <c r="G176" s="18">
        <f>IF(甲分類!E176="","",甲分類!E176)</f>
        <v/>
      </c>
      <c r="H176" s="18">
        <f>IF(乙分類!E176="","",乙分類!E176)</f>
        <v/>
      </c>
      <c r="I176" s="18">
        <f>IF(OR(G176="",H176=""),"",IF(G176=H176,"一致","不一致"))</f>
        <v/>
      </c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8">
        <f>IF(A177="","",IF(LEFT(E177,2)="剔除","否","是"))</f>
        <v/>
      </c>
      <c r="G177" s="18">
        <f>IF(甲分類!E177="","",甲分類!E177)</f>
        <v/>
      </c>
      <c r="H177" s="18">
        <f>IF(乙分類!E177="","",乙分類!E177)</f>
        <v/>
      </c>
      <c r="I177" s="18">
        <f>IF(OR(G177="",H177=""),"",IF(G177=H177,"一致","不一致"))</f>
        <v/>
      </c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8">
        <f>IF(A178="","",IF(LEFT(E178,2)="剔除","否","是"))</f>
        <v/>
      </c>
      <c r="G178" s="18">
        <f>IF(甲分類!E178="","",甲分類!E178)</f>
        <v/>
      </c>
      <c r="H178" s="18">
        <f>IF(乙分類!E178="","",乙分類!E178)</f>
        <v/>
      </c>
      <c r="I178" s="18">
        <f>IF(OR(G178="",H178=""),"",IF(G178=H178,"一致","不一致"))</f>
        <v/>
      </c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8">
        <f>IF(A179="","",IF(LEFT(E179,2)="剔除","否","是"))</f>
        <v/>
      </c>
      <c r="G179" s="18">
        <f>IF(甲分類!E179="","",甲分類!E179)</f>
        <v/>
      </c>
      <c r="H179" s="18">
        <f>IF(乙分類!E179="","",乙分類!E179)</f>
        <v/>
      </c>
      <c r="I179" s="18">
        <f>IF(OR(G179="",H179=""),"",IF(G179=H179,"一致","不一致"))</f>
        <v/>
      </c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8">
        <f>IF(A180="","",IF(LEFT(E180,2)="剔除","否","是"))</f>
        <v/>
      </c>
      <c r="G180" s="18">
        <f>IF(甲分類!E180="","",甲分類!E180)</f>
        <v/>
      </c>
      <c r="H180" s="18">
        <f>IF(乙分類!E180="","",乙分類!E180)</f>
        <v/>
      </c>
      <c r="I180" s="18">
        <f>IF(OR(G180="",H180=""),"",IF(G180=H180,"一致","不一致"))</f>
        <v/>
      </c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8">
        <f>IF(A181="","",IF(LEFT(E181,2)="剔除","否","是"))</f>
        <v/>
      </c>
      <c r="G181" s="18">
        <f>IF(甲分類!E181="","",甲分類!E181)</f>
        <v/>
      </c>
      <c r="H181" s="18">
        <f>IF(乙分類!E181="","",乙分類!E181)</f>
        <v/>
      </c>
      <c r="I181" s="18">
        <f>IF(OR(G181="",H181=""),"",IF(G181=H181,"一致","不一致"))</f>
        <v/>
      </c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8">
        <f>IF(A182="","",IF(LEFT(E182,2)="剔除","否","是"))</f>
        <v/>
      </c>
      <c r="G182" s="18">
        <f>IF(甲分類!E182="","",甲分類!E182)</f>
        <v/>
      </c>
      <c r="H182" s="18">
        <f>IF(乙分類!E182="","",乙分類!E182)</f>
        <v/>
      </c>
      <c r="I182" s="18">
        <f>IF(OR(G182="",H182=""),"",IF(G182=H182,"一致","不一致"))</f>
        <v/>
      </c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8">
        <f>IF(A183="","",IF(LEFT(E183,2)="剔除","否","是"))</f>
        <v/>
      </c>
      <c r="G183" s="18">
        <f>IF(甲分類!E183="","",甲分類!E183)</f>
        <v/>
      </c>
      <c r="H183" s="18">
        <f>IF(乙分類!E183="","",乙分類!E183)</f>
        <v/>
      </c>
      <c r="I183" s="18">
        <f>IF(OR(G183="",H183=""),"",IF(G183=H183,"一致","不一致"))</f>
        <v/>
      </c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8">
        <f>IF(A184="","",IF(LEFT(E184,2)="剔除","否","是"))</f>
        <v/>
      </c>
      <c r="G184" s="18">
        <f>IF(甲分類!E184="","",甲分類!E184)</f>
        <v/>
      </c>
      <c r="H184" s="18">
        <f>IF(乙分類!E184="","",乙分類!E184)</f>
        <v/>
      </c>
      <c r="I184" s="18">
        <f>IF(OR(G184="",H184=""),"",IF(G184=H184,"一致","不一致"))</f>
        <v/>
      </c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8">
        <f>IF(A185="","",IF(LEFT(E185,2)="剔除","否","是"))</f>
        <v/>
      </c>
      <c r="G185" s="18">
        <f>IF(甲分類!E185="","",甲分類!E185)</f>
        <v/>
      </c>
      <c r="H185" s="18">
        <f>IF(乙分類!E185="","",乙分類!E185)</f>
        <v/>
      </c>
      <c r="I185" s="18">
        <f>IF(OR(G185="",H185=""),"",IF(G185=H185,"一致","不一致"))</f>
        <v/>
      </c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8">
        <f>IF(A186="","",IF(LEFT(E186,2)="剔除","否","是"))</f>
        <v/>
      </c>
      <c r="G186" s="18">
        <f>IF(甲分類!E186="","",甲分類!E186)</f>
        <v/>
      </c>
      <c r="H186" s="18">
        <f>IF(乙分類!E186="","",乙分類!E186)</f>
        <v/>
      </c>
      <c r="I186" s="18">
        <f>IF(OR(G186="",H186=""),"",IF(G186=H186,"一致","不一致"))</f>
        <v/>
      </c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8">
        <f>IF(A187="","",IF(LEFT(E187,2)="剔除","否","是"))</f>
        <v/>
      </c>
      <c r="G187" s="18">
        <f>IF(甲分類!E187="","",甲分類!E187)</f>
        <v/>
      </c>
      <c r="H187" s="18">
        <f>IF(乙分類!E187="","",乙分類!E187)</f>
        <v/>
      </c>
      <c r="I187" s="18">
        <f>IF(OR(G187="",H187=""),"",IF(G187=H187,"一致","不一致"))</f>
        <v/>
      </c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8">
        <f>IF(A188="","",IF(LEFT(E188,2)="剔除","否","是"))</f>
        <v/>
      </c>
      <c r="G188" s="18">
        <f>IF(甲分類!E188="","",甲分類!E188)</f>
        <v/>
      </c>
      <c r="H188" s="18">
        <f>IF(乙分類!E188="","",乙分類!E188)</f>
        <v/>
      </c>
      <c r="I188" s="18">
        <f>IF(OR(G188="",H188=""),"",IF(G188=H188,"一致","不一致"))</f>
        <v/>
      </c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8">
        <f>IF(A189="","",IF(LEFT(E189,2)="剔除","否","是"))</f>
        <v/>
      </c>
      <c r="G189" s="18">
        <f>IF(甲分類!E189="","",甲分類!E189)</f>
        <v/>
      </c>
      <c r="H189" s="18">
        <f>IF(乙分類!E189="","",乙分類!E189)</f>
        <v/>
      </c>
      <c r="I189" s="18">
        <f>IF(OR(G189="",H189=""),"",IF(G189=H189,"一致","不一致"))</f>
        <v/>
      </c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8">
        <f>IF(A190="","",IF(LEFT(E190,2)="剔除","否","是"))</f>
        <v/>
      </c>
      <c r="G190" s="18">
        <f>IF(甲分類!E190="","",甲分類!E190)</f>
        <v/>
      </c>
      <c r="H190" s="18">
        <f>IF(乙分類!E190="","",乙分類!E190)</f>
        <v/>
      </c>
      <c r="I190" s="18">
        <f>IF(OR(G190="",H190=""),"",IF(G190=H190,"一致","不一致"))</f>
        <v/>
      </c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8">
        <f>IF(A191="","",IF(LEFT(E191,2)="剔除","否","是"))</f>
        <v/>
      </c>
      <c r="G191" s="18">
        <f>IF(甲分類!E191="","",甲分類!E191)</f>
        <v/>
      </c>
      <c r="H191" s="18">
        <f>IF(乙分類!E191="","",乙分類!E191)</f>
        <v/>
      </c>
      <c r="I191" s="18">
        <f>IF(OR(G191="",H191=""),"",IF(G191=H191,"一致","不一致"))</f>
        <v/>
      </c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8">
        <f>IF(A192="","",IF(LEFT(E192,2)="剔除","否","是"))</f>
        <v/>
      </c>
      <c r="G192" s="18">
        <f>IF(甲分類!E192="","",甲分類!E192)</f>
        <v/>
      </c>
      <c r="H192" s="18">
        <f>IF(乙分類!E192="","",乙分類!E192)</f>
        <v/>
      </c>
      <c r="I192" s="18">
        <f>IF(OR(G192="",H192=""),"",IF(G192=H192,"一致","不一致"))</f>
        <v/>
      </c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8">
        <f>IF(A193="","",IF(LEFT(E193,2)="剔除","否","是"))</f>
        <v/>
      </c>
      <c r="G193" s="18">
        <f>IF(甲分類!E193="","",甲分類!E193)</f>
        <v/>
      </c>
      <c r="H193" s="18">
        <f>IF(乙分類!E193="","",乙分類!E193)</f>
        <v/>
      </c>
      <c r="I193" s="18">
        <f>IF(OR(G193="",H193=""),"",IF(G193=H193,"一致","不一致"))</f>
        <v/>
      </c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8">
        <f>IF(A194="","",IF(LEFT(E194,2)="剔除","否","是"))</f>
        <v/>
      </c>
      <c r="G194" s="18">
        <f>IF(甲分類!E194="","",甲分類!E194)</f>
        <v/>
      </c>
      <c r="H194" s="18">
        <f>IF(乙分類!E194="","",乙分類!E194)</f>
        <v/>
      </c>
      <c r="I194" s="18">
        <f>IF(OR(G194="",H194=""),"",IF(G194=H194,"一致","不一致"))</f>
        <v/>
      </c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8">
        <f>IF(A195="","",IF(LEFT(E195,2)="剔除","否","是"))</f>
        <v/>
      </c>
      <c r="G195" s="18">
        <f>IF(甲分類!E195="","",甲分類!E195)</f>
        <v/>
      </c>
      <c r="H195" s="18">
        <f>IF(乙分類!E195="","",乙分類!E195)</f>
        <v/>
      </c>
      <c r="I195" s="18">
        <f>IF(OR(G195="",H195=""),"",IF(G195=H195,"一致","不一致"))</f>
        <v/>
      </c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8">
        <f>IF(A196="","",IF(LEFT(E196,2)="剔除","否","是"))</f>
        <v/>
      </c>
      <c r="G196" s="18">
        <f>IF(甲分類!E196="","",甲分類!E196)</f>
        <v/>
      </c>
      <c r="H196" s="18">
        <f>IF(乙分類!E196="","",乙分類!E196)</f>
        <v/>
      </c>
      <c r="I196" s="18">
        <f>IF(OR(G196="",H196=""),"",IF(G196=H196,"一致","不一致"))</f>
        <v/>
      </c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8">
        <f>IF(A197="","",IF(LEFT(E197,2)="剔除","否","是"))</f>
        <v/>
      </c>
      <c r="G197" s="18">
        <f>IF(甲分類!E197="","",甲分類!E197)</f>
        <v/>
      </c>
      <c r="H197" s="18">
        <f>IF(乙分類!E197="","",乙分類!E197)</f>
        <v/>
      </c>
      <c r="I197" s="18">
        <f>IF(OR(G197="",H197=""),"",IF(G197=H197,"一致","不一致"))</f>
        <v/>
      </c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8">
        <f>IF(A198="","",IF(LEFT(E198,2)="剔除","否","是"))</f>
        <v/>
      </c>
      <c r="G198" s="18">
        <f>IF(甲分類!E198="","",甲分類!E198)</f>
        <v/>
      </c>
      <c r="H198" s="18">
        <f>IF(乙分類!E198="","",乙分類!E198)</f>
        <v/>
      </c>
      <c r="I198" s="18">
        <f>IF(OR(G198="",H198=""),"",IF(G198=H198,"一致","不一致"))</f>
        <v/>
      </c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8">
        <f>IF(A199="","",IF(LEFT(E199,2)="剔除","否","是"))</f>
        <v/>
      </c>
      <c r="G199" s="18">
        <f>IF(甲分類!E199="","",甲分類!E199)</f>
        <v/>
      </c>
      <c r="H199" s="18">
        <f>IF(乙分類!E199="","",乙分類!E199)</f>
        <v/>
      </c>
      <c r="I199" s="18">
        <f>IF(OR(G199="",H199=""),"",IF(G199=H199,"一致","不一致"))</f>
        <v/>
      </c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8">
        <f>IF(A200="","",IF(LEFT(E200,2)="剔除","否","是"))</f>
        <v/>
      </c>
      <c r="G200" s="18">
        <f>IF(甲分類!E200="","",甲分類!E200)</f>
        <v/>
      </c>
      <c r="H200" s="18">
        <f>IF(乙分類!E200="","",乙分類!E200)</f>
        <v/>
      </c>
      <c r="I200" s="18">
        <f>IF(OR(G200="",H200=""),"",IF(G200=H200,"一致","不一致"))</f>
        <v/>
      </c>
      <c r="J200" s="15" t="n"/>
      <c r="K200" s="15" t="n"/>
    </row>
    <row r="201">
      <c r="A201" s="15" t="n"/>
      <c r="B201" s="15" t="n"/>
      <c r="C201" s="15" t="n"/>
      <c r="D201" s="15" t="n"/>
      <c r="E201" s="15" t="n"/>
      <c r="F201" s="18">
        <f>IF(A201="","",IF(LEFT(E201,2)="剔除","否","是"))</f>
        <v/>
      </c>
      <c r="G201" s="18">
        <f>IF(甲分類!E201="","",甲分類!E201)</f>
        <v/>
      </c>
      <c r="H201" s="18">
        <f>IF(乙分類!E201="","",乙分類!E201)</f>
        <v/>
      </c>
      <c r="I201" s="18">
        <f>IF(OR(G201="",H201=""),"",IF(G201=H201,"一致","不一致"))</f>
        <v/>
      </c>
      <c r="J201" s="15" t="n"/>
      <c r="K201" s="15" t="n"/>
    </row>
    <row r="202">
      <c r="A202" s="15" t="n"/>
      <c r="B202" s="15" t="n"/>
      <c r="C202" s="15" t="n"/>
      <c r="D202" s="15" t="n"/>
      <c r="E202" s="15" t="n"/>
      <c r="F202" s="18">
        <f>IF(A202="","",IF(LEFT(E202,2)="剔除","否","是"))</f>
        <v/>
      </c>
      <c r="G202" s="18">
        <f>IF(甲分類!E202="","",甲分類!E202)</f>
        <v/>
      </c>
      <c r="H202" s="18">
        <f>IF(乙分類!E202="","",乙分類!E202)</f>
        <v/>
      </c>
      <c r="I202" s="18">
        <f>IF(OR(G202="",H202=""),"",IF(G202=H202,"一致","不一致"))</f>
        <v/>
      </c>
      <c r="J202" s="15" t="n"/>
      <c r="K202" s="15" t="n"/>
    </row>
    <row r="203">
      <c r="A203" s="15" t="n"/>
      <c r="B203" s="15" t="n"/>
      <c r="C203" s="15" t="n"/>
      <c r="D203" s="15" t="n"/>
      <c r="E203" s="15" t="n"/>
      <c r="F203" s="18">
        <f>IF(A203="","",IF(LEFT(E203,2)="剔除","否","是"))</f>
        <v/>
      </c>
      <c r="G203" s="18">
        <f>IF(甲分類!E203="","",甲分類!E203)</f>
        <v/>
      </c>
      <c r="H203" s="18">
        <f>IF(乙分類!E203="","",乙分類!E203)</f>
        <v/>
      </c>
      <c r="I203" s="18">
        <f>IF(OR(G203="",H203=""),"",IF(G203=H203,"一致","不一致"))</f>
        <v/>
      </c>
      <c r="J203" s="15" t="n"/>
      <c r="K203" s="15" t="n"/>
    </row>
    <row r="204">
      <c r="A204" s="15" t="n"/>
      <c r="B204" s="15" t="n"/>
      <c r="C204" s="15" t="n"/>
      <c r="D204" s="15" t="n"/>
      <c r="E204" s="15" t="n"/>
      <c r="F204" s="18">
        <f>IF(A204="","",IF(LEFT(E204,2)="剔除","否","是"))</f>
        <v/>
      </c>
      <c r="G204" s="18">
        <f>IF(甲分類!E204="","",甲分類!E204)</f>
        <v/>
      </c>
      <c r="H204" s="18">
        <f>IF(乙分類!E204="","",乙分類!E204)</f>
        <v/>
      </c>
      <c r="I204" s="18">
        <f>IF(OR(G204="",H204=""),"",IF(G204=H204,"一致","不一致"))</f>
        <v/>
      </c>
      <c r="J204" s="15" t="n"/>
      <c r="K204" s="15" t="n"/>
    </row>
    <row r="205">
      <c r="A205" s="15" t="n"/>
      <c r="B205" s="15" t="n"/>
      <c r="C205" s="15" t="n"/>
      <c r="D205" s="15" t="n"/>
      <c r="E205" s="15" t="n"/>
      <c r="F205" s="18">
        <f>IF(A205="","",IF(LEFT(E205,2)="剔除","否","是"))</f>
        <v/>
      </c>
      <c r="G205" s="18">
        <f>IF(甲分類!E205="","",甲分類!E205)</f>
        <v/>
      </c>
      <c r="H205" s="18">
        <f>IF(乙分類!E205="","",乙分類!E205)</f>
        <v/>
      </c>
      <c r="I205" s="18">
        <f>IF(OR(G205="",H205=""),"",IF(G205=H205,"一致","不一致"))</f>
        <v/>
      </c>
      <c r="J205" s="15" t="n"/>
      <c r="K205" s="15" t="n"/>
    </row>
    <row r="206">
      <c r="A206" s="15" t="n"/>
      <c r="B206" s="15" t="n"/>
      <c r="C206" s="15" t="n"/>
      <c r="D206" s="15" t="n"/>
      <c r="E206" s="15" t="n"/>
      <c r="F206" s="18">
        <f>IF(A206="","",IF(LEFT(E206,2)="剔除","否","是"))</f>
        <v/>
      </c>
      <c r="G206" s="18">
        <f>IF(甲分類!E206="","",甲分類!E206)</f>
        <v/>
      </c>
      <c r="H206" s="18">
        <f>IF(乙分類!E206="","",乙分類!E206)</f>
        <v/>
      </c>
      <c r="I206" s="18">
        <f>IF(OR(G206="",H206=""),"",IF(G206=H206,"一致","不一致"))</f>
        <v/>
      </c>
      <c r="J206" s="15" t="n"/>
      <c r="K206" s="15" t="n"/>
    </row>
    <row r="207">
      <c r="A207" s="15" t="n"/>
      <c r="B207" s="15" t="n"/>
      <c r="C207" s="15" t="n"/>
      <c r="D207" s="15" t="n"/>
      <c r="E207" s="15" t="n"/>
      <c r="F207" s="18">
        <f>IF(A207="","",IF(LEFT(E207,2)="剔除","否","是"))</f>
        <v/>
      </c>
      <c r="G207" s="18">
        <f>IF(甲分類!E207="","",甲分類!E207)</f>
        <v/>
      </c>
      <c r="H207" s="18">
        <f>IF(乙分類!E207="","",乙分類!E207)</f>
        <v/>
      </c>
      <c r="I207" s="18">
        <f>IF(OR(G207="",H207=""),"",IF(G207=H207,"一致","不一致"))</f>
        <v/>
      </c>
      <c r="J207" s="15" t="n"/>
      <c r="K207" s="15" t="n"/>
    </row>
    <row r="208">
      <c r="A208" s="15" t="n"/>
      <c r="B208" s="15" t="n"/>
      <c r="C208" s="15" t="n"/>
      <c r="D208" s="15" t="n"/>
      <c r="E208" s="15" t="n"/>
      <c r="F208" s="18">
        <f>IF(A208="","",IF(LEFT(E208,2)="剔除","否","是"))</f>
        <v/>
      </c>
      <c r="G208" s="18">
        <f>IF(甲分類!E208="","",甲分類!E208)</f>
        <v/>
      </c>
      <c r="H208" s="18">
        <f>IF(乙分類!E208="","",乙分類!E208)</f>
        <v/>
      </c>
      <c r="I208" s="18">
        <f>IF(OR(G208="",H208=""),"",IF(G208=H208,"一致","不一致"))</f>
        <v/>
      </c>
      <c r="J208" s="15" t="n"/>
      <c r="K208" s="15" t="n"/>
    </row>
    <row r="209">
      <c r="A209" s="15" t="n"/>
      <c r="B209" s="15" t="n"/>
      <c r="C209" s="15" t="n"/>
      <c r="D209" s="15" t="n"/>
      <c r="E209" s="15" t="n"/>
      <c r="F209" s="18">
        <f>IF(A209="","",IF(LEFT(E209,2)="剔除","否","是"))</f>
        <v/>
      </c>
      <c r="G209" s="18">
        <f>IF(甲分類!E209="","",甲分類!E209)</f>
        <v/>
      </c>
      <c r="H209" s="18">
        <f>IF(乙分類!E209="","",乙分類!E209)</f>
        <v/>
      </c>
      <c r="I209" s="18">
        <f>IF(OR(G209="",H209=""),"",IF(G209=H209,"一致","不一致"))</f>
        <v/>
      </c>
      <c r="J209" s="15" t="n"/>
      <c r="K209" s="15" t="n"/>
    </row>
    <row r="210">
      <c r="A210" s="15" t="n"/>
      <c r="B210" s="15" t="n"/>
      <c r="C210" s="15" t="n"/>
      <c r="D210" s="15" t="n"/>
      <c r="E210" s="15" t="n"/>
      <c r="F210" s="18">
        <f>IF(A210="","",IF(LEFT(E210,2)="剔除","否","是"))</f>
        <v/>
      </c>
      <c r="G210" s="18">
        <f>IF(甲分類!E210="","",甲分類!E210)</f>
        <v/>
      </c>
      <c r="H210" s="18">
        <f>IF(乙分類!E210="","",乙分類!E210)</f>
        <v/>
      </c>
      <c r="I210" s="18">
        <f>IF(OR(G210="",H210=""),"",IF(G210=H210,"一致","不一致"))</f>
        <v/>
      </c>
      <c r="J210" s="15" t="n"/>
      <c r="K210" s="15" t="n"/>
    </row>
    <row r="211">
      <c r="A211" s="15" t="n"/>
      <c r="B211" s="15" t="n"/>
      <c r="C211" s="15" t="n"/>
      <c r="D211" s="15" t="n"/>
      <c r="E211" s="15" t="n"/>
      <c r="F211" s="18">
        <f>IF(A211="","",IF(LEFT(E211,2)="剔除","否","是"))</f>
        <v/>
      </c>
      <c r="G211" s="18">
        <f>IF(甲分類!E211="","",甲分類!E211)</f>
        <v/>
      </c>
      <c r="H211" s="18">
        <f>IF(乙分類!E211="","",乙分類!E211)</f>
        <v/>
      </c>
      <c r="I211" s="18">
        <f>IF(OR(G211="",H211=""),"",IF(G211=H211,"一致","不一致"))</f>
        <v/>
      </c>
      <c r="J211" s="15" t="n"/>
      <c r="K211" s="15" t="n"/>
    </row>
    <row r="212">
      <c r="A212" s="15" t="n"/>
      <c r="B212" s="15" t="n"/>
      <c r="C212" s="15" t="n"/>
      <c r="D212" s="15" t="n"/>
      <c r="E212" s="15" t="n"/>
      <c r="F212" s="18">
        <f>IF(A212="","",IF(LEFT(E212,2)="剔除","否","是"))</f>
        <v/>
      </c>
      <c r="G212" s="18">
        <f>IF(甲分類!E212="","",甲分類!E212)</f>
        <v/>
      </c>
      <c r="H212" s="18">
        <f>IF(乙分類!E212="","",乙分類!E212)</f>
        <v/>
      </c>
      <c r="I212" s="18">
        <f>IF(OR(G212="",H212=""),"",IF(G212=H212,"一致","不一致"))</f>
        <v/>
      </c>
      <c r="J212" s="15" t="n"/>
      <c r="K212" s="15" t="n"/>
    </row>
    <row r="213">
      <c r="A213" s="15" t="n"/>
      <c r="B213" s="15" t="n"/>
      <c r="C213" s="15" t="n"/>
      <c r="D213" s="15" t="n"/>
      <c r="E213" s="15" t="n"/>
      <c r="F213" s="18">
        <f>IF(A213="","",IF(LEFT(E213,2)="剔除","否","是"))</f>
        <v/>
      </c>
      <c r="G213" s="18">
        <f>IF(甲分類!E213="","",甲分類!E213)</f>
        <v/>
      </c>
      <c r="H213" s="18">
        <f>IF(乙分類!E213="","",乙分類!E213)</f>
        <v/>
      </c>
      <c r="I213" s="18">
        <f>IF(OR(G213="",H213=""),"",IF(G213=H213,"一致","不一致"))</f>
        <v/>
      </c>
      <c r="J213" s="15" t="n"/>
      <c r="K213" s="15" t="n"/>
    </row>
    <row r="214">
      <c r="A214" s="15" t="n"/>
      <c r="B214" s="15" t="n"/>
      <c r="C214" s="15" t="n"/>
      <c r="D214" s="15" t="n"/>
      <c r="E214" s="15" t="n"/>
      <c r="F214" s="18">
        <f>IF(A214="","",IF(LEFT(E214,2)="剔除","否","是"))</f>
        <v/>
      </c>
      <c r="G214" s="18">
        <f>IF(甲分類!E214="","",甲分類!E214)</f>
        <v/>
      </c>
      <c r="H214" s="18">
        <f>IF(乙分類!E214="","",乙分類!E214)</f>
        <v/>
      </c>
      <c r="I214" s="18">
        <f>IF(OR(G214="",H214=""),"",IF(G214=H214,"一致","不一致"))</f>
        <v/>
      </c>
      <c r="J214" s="15" t="n"/>
      <c r="K214" s="15" t="n"/>
    </row>
    <row r="215">
      <c r="A215" s="15" t="n"/>
      <c r="B215" s="15" t="n"/>
      <c r="C215" s="15" t="n"/>
      <c r="D215" s="15" t="n"/>
      <c r="E215" s="15" t="n"/>
      <c r="F215" s="18">
        <f>IF(A215="","",IF(LEFT(E215,2)="剔除","否","是"))</f>
        <v/>
      </c>
      <c r="G215" s="18">
        <f>IF(甲分類!E215="","",甲分類!E215)</f>
        <v/>
      </c>
      <c r="H215" s="18">
        <f>IF(乙分類!E215="","",乙分類!E215)</f>
        <v/>
      </c>
      <c r="I215" s="18">
        <f>IF(OR(G215="",H215=""),"",IF(G215=H215,"一致","不一致"))</f>
        <v/>
      </c>
      <c r="J215" s="15" t="n"/>
      <c r="K215" s="15" t="n"/>
    </row>
    <row r="216">
      <c r="A216" s="15" t="n"/>
      <c r="B216" s="15" t="n"/>
      <c r="C216" s="15" t="n"/>
      <c r="D216" s="15" t="n"/>
      <c r="E216" s="15" t="n"/>
      <c r="F216" s="18">
        <f>IF(A216="","",IF(LEFT(E216,2)="剔除","否","是"))</f>
        <v/>
      </c>
      <c r="G216" s="18">
        <f>IF(甲分類!E216="","",甲分類!E216)</f>
        <v/>
      </c>
      <c r="H216" s="18">
        <f>IF(乙分類!E216="","",乙分類!E216)</f>
        <v/>
      </c>
      <c r="I216" s="18">
        <f>IF(OR(G216="",H216=""),"",IF(G216=H216,"一致","不一致"))</f>
        <v/>
      </c>
      <c r="J216" s="15" t="n"/>
      <c r="K216" s="15" t="n"/>
    </row>
    <row r="217">
      <c r="A217" s="15" t="n"/>
      <c r="B217" s="15" t="n"/>
      <c r="C217" s="15" t="n"/>
      <c r="D217" s="15" t="n"/>
      <c r="E217" s="15" t="n"/>
      <c r="F217" s="18">
        <f>IF(A217="","",IF(LEFT(E217,2)="剔除","否","是"))</f>
        <v/>
      </c>
      <c r="G217" s="18">
        <f>IF(甲分類!E217="","",甲分類!E217)</f>
        <v/>
      </c>
      <c r="H217" s="18">
        <f>IF(乙分類!E217="","",乙分類!E217)</f>
        <v/>
      </c>
      <c r="I217" s="18">
        <f>IF(OR(G217="",H217=""),"",IF(G217=H217,"一致","不一致"))</f>
        <v/>
      </c>
      <c r="J217" s="15" t="n"/>
      <c r="K217" s="15" t="n"/>
    </row>
    <row r="218">
      <c r="A218" s="15" t="n"/>
      <c r="B218" s="15" t="n"/>
      <c r="C218" s="15" t="n"/>
      <c r="D218" s="15" t="n"/>
      <c r="E218" s="15" t="n"/>
      <c r="F218" s="18">
        <f>IF(A218="","",IF(LEFT(E218,2)="剔除","否","是"))</f>
        <v/>
      </c>
      <c r="G218" s="18">
        <f>IF(甲分類!E218="","",甲分類!E218)</f>
        <v/>
      </c>
      <c r="H218" s="18">
        <f>IF(乙分類!E218="","",乙分類!E218)</f>
        <v/>
      </c>
      <c r="I218" s="18">
        <f>IF(OR(G218="",H218=""),"",IF(G218=H218,"一致","不一致"))</f>
        <v/>
      </c>
      <c r="J218" s="15" t="n"/>
      <c r="K218" s="15" t="n"/>
    </row>
    <row r="219">
      <c r="A219" s="15" t="n"/>
      <c r="B219" s="15" t="n"/>
      <c r="C219" s="15" t="n"/>
      <c r="D219" s="15" t="n"/>
      <c r="E219" s="15" t="n"/>
      <c r="F219" s="18">
        <f>IF(A219="","",IF(LEFT(E219,2)="剔除","否","是"))</f>
        <v/>
      </c>
      <c r="G219" s="18">
        <f>IF(甲分類!E219="","",甲分類!E219)</f>
        <v/>
      </c>
      <c r="H219" s="18">
        <f>IF(乙分類!E219="","",乙分類!E219)</f>
        <v/>
      </c>
      <c r="I219" s="18">
        <f>IF(OR(G219="",H219=""),"",IF(G219=H219,"一致","不一致"))</f>
        <v/>
      </c>
      <c r="J219" s="15" t="n"/>
      <c r="K219" s="15" t="n"/>
    </row>
    <row r="220">
      <c r="A220" s="15" t="n"/>
      <c r="B220" s="15" t="n"/>
      <c r="C220" s="15" t="n"/>
      <c r="D220" s="15" t="n"/>
      <c r="E220" s="15" t="n"/>
      <c r="F220" s="18">
        <f>IF(A220="","",IF(LEFT(E220,2)="剔除","否","是"))</f>
        <v/>
      </c>
      <c r="G220" s="18">
        <f>IF(甲分類!E220="","",甲分類!E220)</f>
        <v/>
      </c>
      <c r="H220" s="18">
        <f>IF(乙分類!E220="","",乙分類!E220)</f>
        <v/>
      </c>
      <c r="I220" s="18">
        <f>IF(OR(G220="",H220=""),"",IF(G220=H220,"一致","不一致"))</f>
        <v/>
      </c>
      <c r="J220" s="15" t="n"/>
      <c r="K220" s="15" t="n"/>
    </row>
    <row r="221">
      <c r="A221" s="15" t="n"/>
      <c r="B221" s="15" t="n"/>
      <c r="C221" s="15" t="n"/>
      <c r="D221" s="15" t="n"/>
      <c r="E221" s="15" t="n"/>
      <c r="F221" s="18">
        <f>IF(A221="","",IF(LEFT(E221,2)="剔除","否","是"))</f>
        <v/>
      </c>
      <c r="G221" s="18">
        <f>IF(甲分類!E221="","",甲分類!E221)</f>
        <v/>
      </c>
      <c r="H221" s="18">
        <f>IF(乙分類!E221="","",乙分類!E221)</f>
        <v/>
      </c>
      <c r="I221" s="18">
        <f>IF(OR(G221="",H221=""),"",IF(G221=H221,"一致","不一致"))</f>
        <v/>
      </c>
      <c r="J221" s="15" t="n"/>
      <c r="K221" s="15" t="n"/>
    </row>
    <row r="222">
      <c r="A222" s="15" t="n"/>
      <c r="B222" s="15" t="n"/>
      <c r="C222" s="15" t="n"/>
      <c r="D222" s="15" t="n"/>
      <c r="E222" s="15" t="n"/>
      <c r="F222" s="18">
        <f>IF(A222="","",IF(LEFT(E222,2)="剔除","否","是"))</f>
        <v/>
      </c>
      <c r="G222" s="18">
        <f>IF(甲分類!E222="","",甲分類!E222)</f>
        <v/>
      </c>
      <c r="H222" s="18">
        <f>IF(乙分類!E222="","",乙分類!E222)</f>
        <v/>
      </c>
      <c r="I222" s="18">
        <f>IF(OR(G222="",H222=""),"",IF(G222=H222,"一致","不一致"))</f>
        <v/>
      </c>
      <c r="J222" s="15" t="n"/>
      <c r="K222" s="15" t="n"/>
    </row>
    <row r="223">
      <c r="A223" s="15" t="n"/>
      <c r="B223" s="15" t="n"/>
      <c r="C223" s="15" t="n"/>
      <c r="D223" s="15" t="n"/>
      <c r="E223" s="15" t="n"/>
      <c r="F223" s="18">
        <f>IF(A223="","",IF(LEFT(E223,2)="剔除","否","是"))</f>
        <v/>
      </c>
      <c r="G223" s="18">
        <f>IF(甲分類!E223="","",甲分類!E223)</f>
        <v/>
      </c>
      <c r="H223" s="18">
        <f>IF(乙分類!E223="","",乙分類!E223)</f>
        <v/>
      </c>
      <c r="I223" s="18">
        <f>IF(OR(G223="",H223=""),"",IF(G223=H223,"一致","不一致"))</f>
        <v/>
      </c>
      <c r="J223" s="15" t="n"/>
      <c r="K223" s="15" t="n"/>
    </row>
    <row r="224">
      <c r="A224" s="15" t="n"/>
      <c r="B224" s="15" t="n"/>
      <c r="C224" s="15" t="n"/>
      <c r="D224" s="15" t="n"/>
      <c r="E224" s="15" t="n"/>
      <c r="F224" s="18">
        <f>IF(A224="","",IF(LEFT(E224,2)="剔除","否","是"))</f>
        <v/>
      </c>
      <c r="G224" s="18">
        <f>IF(甲分類!E224="","",甲分類!E224)</f>
        <v/>
      </c>
      <c r="H224" s="18">
        <f>IF(乙分類!E224="","",乙分類!E224)</f>
        <v/>
      </c>
      <c r="I224" s="18">
        <f>IF(OR(G224="",H224=""),"",IF(G224=H224,"一致","不一致"))</f>
        <v/>
      </c>
      <c r="J224" s="15" t="n"/>
      <c r="K224" s="15" t="n"/>
    </row>
    <row r="225">
      <c r="A225" s="15" t="n"/>
      <c r="B225" s="15" t="n"/>
      <c r="C225" s="15" t="n"/>
      <c r="D225" s="15" t="n"/>
      <c r="E225" s="15" t="n"/>
      <c r="F225" s="18">
        <f>IF(A225="","",IF(LEFT(E225,2)="剔除","否","是"))</f>
        <v/>
      </c>
      <c r="G225" s="18">
        <f>IF(甲分類!E225="","",甲分類!E225)</f>
        <v/>
      </c>
      <c r="H225" s="18">
        <f>IF(乙分類!E225="","",乙分類!E225)</f>
        <v/>
      </c>
      <c r="I225" s="18">
        <f>IF(OR(G225="",H225=""),"",IF(G225=H225,"一致","不一致"))</f>
        <v/>
      </c>
      <c r="J225" s="15" t="n"/>
      <c r="K225" s="15" t="n"/>
    </row>
    <row r="226">
      <c r="A226" s="15" t="n"/>
      <c r="B226" s="15" t="n"/>
      <c r="C226" s="15" t="n"/>
      <c r="D226" s="15" t="n"/>
      <c r="E226" s="15" t="n"/>
      <c r="F226" s="18">
        <f>IF(A226="","",IF(LEFT(E226,2)="剔除","否","是"))</f>
        <v/>
      </c>
      <c r="G226" s="18">
        <f>IF(甲分類!E226="","",甲分類!E226)</f>
        <v/>
      </c>
      <c r="H226" s="18">
        <f>IF(乙分類!E226="","",乙分類!E226)</f>
        <v/>
      </c>
      <c r="I226" s="18">
        <f>IF(OR(G226="",H226=""),"",IF(G226=H226,"一致","不一致"))</f>
        <v/>
      </c>
      <c r="J226" s="15" t="n"/>
      <c r="K226" s="15" t="n"/>
    </row>
    <row r="227">
      <c r="A227" s="15" t="n"/>
      <c r="B227" s="15" t="n"/>
      <c r="C227" s="15" t="n"/>
      <c r="D227" s="15" t="n"/>
      <c r="E227" s="15" t="n"/>
      <c r="F227" s="18">
        <f>IF(A227="","",IF(LEFT(E227,2)="剔除","否","是"))</f>
        <v/>
      </c>
      <c r="G227" s="18">
        <f>IF(甲分類!E227="","",甲分類!E227)</f>
        <v/>
      </c>
      <c r="H227" s="18">
        <f>IF(乙分類!E227="","",乙分類!E227)</f>
        <v/>
      </c>
      <c r="I227" s="18">
        <f>IF(OR(G227="",H227=""),"",IF(G227=H227,"一致","不一致"))</f>
        <v/>
      </c>
      <c r="J227" s="15" t="n"/>
      <c r="K227" s="15" t="n"/>
    </row>
    <row r="228">
      <c r="A228" s="15" t="n"/>
      <c r="B228" s="15" t="n"/>
      <c r="C228" s="15" t="n"/>
      <c r="D228" s="15" t="n"/>
      <c r="E228" s="15" t="n"/>
      <c r="F228" s="18">
        <f>IF(A228="","",IF(LEFT(E228,2)="剔除","否","是"))</f>
        <v/>
      </c>
      <c r="G228" s="18">
        <f>IF(甲分類!E228="","",甲分類!E228)</f>
        <v/>
      </c>
      <c r="H228" s="18">
        <f>IF(乙分類!E228="","",乙分類!E228)</f>
        <v/>
      </c>
      <c r="I228" s="18">
        <f>IF(OR(G228="",H228=""),"",IF(G228=H228,"一致","不一致"))</f>
        <v/>
      </c>
      <c r="J228" s="15" t="n"/>
      <c r="K228" s="15" t="n"/>
    </row>
    <row r="229">
      <c r="A229" s="15" t="n"/>
      <c r="B229" s="15" t="n"/>
      <c r="C229" s="15" t="n"/>
      <c r="D229" s="15" t="n"/>
      <c r="E229" s="15" t="n"/>
      <c r="F229" s="18">
        <f>IF(A229="","",IF(LEFT(E229,2)="剔除","否","是"))</f>
        <v/>
      </c>
      <c r="G229" s="18">
        <f>IF(甲分類!E229="","",甲分類!E229)</f>
        <v/>
      </c>
      <c r="H229" s="18">
        <f>IF(乙分類!E229="","",乙分類!E229)</f>
        <v/>
      </c>
      <c r="I229" s="18">
        <f>IF(OR(G229="",H229=""),"",IF(G229=H229,"一致","不一致"))</f>
        <v/>
      </c>
      <c r="J229" s="15" t="n"/>
      <c r="K229" s="15" t="n"/>
    </row>
    <row r="230">
      <c r="A230" s="15" t="n"/>
      <c r="B230" s="15" t="n"/>
      <c r="C230" s="15" t="n"/>
      <c r="D230" s="15" t="n"/>
      <c r="E230" s="15" t="n"/>
      <c r="F230" s="18">
        <f>IF(A230="","",IF(LEFT(E230,2)="剔除","否","是"))</f>
        <v/>
      </c>
      <c r="G230" s="18">
        <f>IF(甲分類!E230="","",甲分類!E230)</f>
        <v/>
      </c>
      <c r="H230" s="18">
        <f>IF(乙分類!E230="","",乙分類!E230)</f>
        <v/>
      </c>
      <c r="I230" s="18">
        <f>IF(OR(G230="",H230=""),"",IF(G230=H230,"一致","不一致"))</f>
        <v/>
      </c>
      <c r="J230" s="15" t="n"/>
      <c r="K230" s="15" t="n"/>
    </row>
    <row r="231">
      <c r="A231" s="15" t="n"/>
      <c r="B231" s="15" t="n"/>
      <c r="C231" s="15" t="n"/>
      <c r="D231" s="15" t="n"/>
      <c r="E231" s="15" t="n"/>
      <c r="F231" s="18">
        <f>IF(A231="","",IF(LEFT(E231,2)="剔除","否","是"))</f>
        <v/>
      </c>
      <c r="G231" s="18">
        <f>IF(甲分類!E231="","",甲分類!E231)</f>
        <v/>
      </c>
      <c r="H231" s="18">
        <f>IF(乙分類!E231="","",乙分類!E231)</f>
        <v/>
      </c>
      <c r="I231" s="18">
        <f>IF(OR(G231="",H231=""),"",IF(G231=H231,"一致","不一致"))</f>
        <v/>
      </c>
      <c r="J231" s="15" t="n"/>
      <c r="K231" s="15" t="n"/>
    </row>
    <row r="232">
      <c r="A232" s="15" t="n"/>
      <c r="B232" s="15" t="n"/>
      <c r="C232" s="15" t="n"/>
      <c r="D232" s="15" t="n"/>
      <c r="E232" s="15" t="n"/>
      <c r="F232" s="18">
        <f>IF(A232="","",IF(LEFT(E232,2)="剔除","否","是"))</f>
        <v/>
      </c>
      <c r="G232" s="18">
        <f>IF(甲分類!E232="","",甲分類!E232)</f>
        <v/>
      </c>
      <c r="H232" s="18">
        <f>IF(乙分類!E232="","",乙分類!E232)</f>
        <v/>
      </c>
      <c r="I232" s="18">
        <f>IF(OR(G232="",H232=""),"",IF(G232=H232,"一致","不一致"))</f>
        <v/>
      </c>
      <c r="J232" s="15" t="n"/>
      <c r="K232" s="15" t="n"/>
    </row>
    <row r="233">
      <c r="A233" s="15" t="n"/>
      <c r="B233" s="15" t="n"/>
      <c r="C233" s="15" t="n"/>
      <c r="D233" s="15" t="n"/>
      <c r="E233" s="15" t="n"/>
      <c r="F233" s="18">
        <f>IF(A233="","",IF(LEFT(E233,2)="剔除","否","是"))</f>
        <v/>
      </c>
      <c r="G233" s="18">
        <f>IF(甲分類!E233="","",甲分類!E233)</f>
        <v/>
      </c>
      <c r="H233" s="18">
        <f>IF(乙分類!E233="","",乙分類!E233)</f>
        <v/>
      </c>
      <c r="I233" s="18">
        <f>IF(OR(G233="",H233=""),"",IF(G233=H233,"一致","不一致"))</f>
        <v/>
      </c>
      <c r="J233" s="15" t="n"/>
      <c r="K233" s="15" t="n"/>
    </row>
    <row r="234">
      <c r="A234" s="15" t="n"/>
      <c r="B234" s="15" t="n"/>
      <c r="C234" s="15" t="n"/>
      <c r="D234" s="15" t="n"/>
      <c r="E234" s="15" t="n"/>
      <c r="F234" s="18">
        <f>IF(A234="","",IF(LEFT(E234,2)="剔除","否","是"))</f>
        <v/>
      </c>
      <c r="G234" s="18">
        <f>IF(甲分類!E234="","",甲分類!E234)</f>
        <v/>
      </c>
      <c r="H234" s="18">
        <f>IF(乙分類!E234="","",乙分類!E234)</f>
        <v/>
      </c>
      <c r="I234" s="18">
        <f>IF(OR(G234="",H234=""),"",IF(G234=H234,"一致","不一致"))</f>
        <v/>
      </c>
      <c r="J234" s="15" t="n"/>
      <c r="K234" s="15" t="n"/>
    </row>
    <row r="235">
      <c r="A235" s="15" t="n"/>
      <c r="B235" s="15" t="n"/>
      <c r="C235" s="15" t="n"/>
      <c r="D235" s="15" t="n"/>
      <c r="E235" s="15" t="n"/>
      <c r="F235" s="18">
        <f>IF(A235="","",IF(LEFT(E235,2)="剔除","否","是"))</f>
        <v/>
      </c>
      <c r="G235" s="18">
        <f>IF(甲分類!E235="","",甲分類!E235)</f>
        <v/>
      </c>
      <c r="H235" s="18">
        <f>IF(乙分類!E235="","",乙分類!E235)</f>
        <v/>
      </c>
      <c r="I235" s="18">
        <f>IF(OR(G235="",H235=""),"",IF(G235=H235,"一致","不一致"))</f>
        <v/>
      </c>
      <c r="J235" s="15" t="n"/>
      <c r="K235" s="15" t="n"/>
    </row>
    <row r="236">
      <c r="A236" s="15" t="n"/>
      <c r="B236" s="15" t="n"/>
      <c r="C236" s="15" t="n"/>
      <c r="D236" s="15" t="n"/>
      <c r="E236" s="15" t="n"/>
      <c r="F236" s="18">
        <f>IF(A236="","",IF(LEFT(E236,2)="剔除","否","是"))</f>
        <v/>
      </c>
      <c r="G236" s="18">
        <f>IF(甲分類!E236="","",甲分類!E236)</f>
        <v/>
      </c>
      <c r="H236" s="18">
        <f>IF(乙分類!E236="","",乙分類!E236)</f>
        <v/>
      </c>
      <c r="I236" s="18">
        <f>IF(OR(G236="",H236=""),"",IF(G236=H236,"一致","不一致"))</f>
        <v/>
      </c>
      <c r="J236" s="15" t="n"/>
      <c r="K236" s="15" t="n"/>
    </row>
    <row r="237">
      <c r="A237" s="15" t="n"/>
      <c r="B237" s="15" t="n"/>
      <c r="C237" s="15" t="n"/>
      <c r="D237" s="15" t="n"/>
      <c r="E237" s="15" t="n"/>
      <c r="F237" s="18">
        <f>IF(A237="","",IF(LEFT(E237,2)="剔除","否","是"))</f>
        <v/>
      </c>
      <c r="G237" s="18">
        <f>IF(甲分類!E237="","",甲分類!E237)</f>
        <v/>
      </c>
      <c r="H237" s="18">
        <f>IF(乙分類!E237="","",乙分類!E237)</f>
        <v/>
      </c>
      <c r="I237" s="18">
        <f>IF(OR(G237="",H237=""),"",IF(G237=H237,"一致","不一致"))</f>
        <v/>
      </c>
      <c r="J237" s="15" t="n"/>
      <c r="K237" s="15" t="n"/>
    </row>
    <row r="238">
      <c r="A238" s="15" t="n"/>
      <c r="B238" s="15" t="n"/>
      <c r="C238" s="15" t="n"/>
      <c r="D238" s="15" t="n"/>
      <c r="E238" s="15" t="n"/>
      <c r="F238" s="18">
        <f>IF(A238="","",IF(LEFT(E238,2)="剔除","否","是"))</f>
        <v/>
      </c>
      <c r="G238" s="18">
        <f>IF(甲分類!E238="","",甲分類!E238)</f>
        <v/>
      </c>
      <c r="H238" s="18">
        <f>IF(乙分類!E238="","",乙分類!E238)</f>
        <v/>
      </c>
      <c r="I238" s="18">
        <f>IF(OR(G238="",H238=""),"",IF(G238=H238,"一致","不一致"))</f>
        <v/>
      </c>
      <c r="J238" s="15" t="n"/>
      <c r="K238" s="15" t="n"/>
    </row>
    <row r="239">
      <c r="A239" s="15" t="n"/>
      <c r="B239" s="15" t="n"/>
      <c r="C239" s="15" t="n"/>
      <c r="D239" s="15" t="n"/>
      <c r="E239" s="15" t="n"/>
      <c r="F239" s="18">
        <f>IF(A239="","",IF(LEFT(E239,2)="剔除","否","是"))</f>
        <v/>
      </c>
      <c r="G239" s="18">
        <f>IF(甲分類!E239="","",甲分類!E239)</f>
        <v/>
      </c>
      <c r="H239" s="18">
        <f>IF(乙分類!E239="","",乙分類!E239)</f>
        <v/>
      </c>
      <c r="I239" s="18">
        <f>IF(OR(G239="",H239=""),"",IF(G239=H239,"一致","不一致"))</f>
        <v/>
      </c>
      <c r="J239" s="15" t="n"/>
      <c r="K239" s="15" t="n"/>
    </row>
    <row r="240">
      <c r="A240" s="15" t="n"/>
      <c r="B240" s="15" t="n"/>
      <c r="C240" s="15" t="n"/>
      <c r="D240" s="15" t="n"/>
      <c r="E240" s="15" t="n"/>
      <c r="F240" s="18">
        <f>IF(A240="","",IF(LEFT(E240,2)="剔除","否","是"))</f>
        <v/>
      </c>
      <c r="G240" s="18">
        <f>IF(甲分類!E240="","",甲分類!E240)</f>
        <v/>
      </c>
      <c r="H240" s="18">
        <f>IF(乙分類!E240="","",乙分類!E240)</f>
        <v/>
      </c>
      <c r="I240" s="18">
        <f>IF(OR(G240="",H240=""),"",IF(G240=H240,"一致","不一致"))</f>
        <v/>
      </c>
      <c r="J240" s="15" t="n"/>
      <c r="K240" s="15" t="n"/>
    </row>
    <row r="241">
      <c r="A241" s="15" t="n"/>
      <c r="B241" s="15" t="n"/>
      <c r="C241" s="15" t="n"/>
      <c r="D241" s="15" t="n"/>
      <c r="E241" s="15" t="n"/>
      <c r="F241" s="18">
        <f>IF(A241="","",IF(LEFT(E241,2)="剔除","否","是"))</f>
        <v/>
      </c>
      <c r="G241" s="18">
        <f>IF(甲分類!E241="","",甲分類!E241)</f>
        <v/>
      </c>
      <c r="H241" s="18">
        <f>IF(乙分類!E241="","",乙分類!E241)</f>
        <v/>
      </c>
      <c r="I241" s="18">
        <f>IF(OR(G241="",H241=""),"",IF(G241=H241,"一致","不一致"))</f>
        <v/>
      </c>
      <c r="J241" s="15" t="n"/>
      <c r="K241" s="15" t="n"/>
    </row>
    <row r="242">
      <c r="A242" s="15" t="n"/>
      <c r="B242" s="15" t="n"/>
      <c r="C242" s="15" t="n"/>
      <c r="D242" s="15" t="n"/>
      <c r="E242" s="15" t="n"/>
      <c r="F242" s="18">
        <f>IF(A242="","",IF(LEFT(E242,2)="剔除","否","是"))</f>
        <v/>
      </c>
      <c r="G242" s="18">
        <f>IF(甲分類!E242="","",甲分類!E242)</f>
        <v/>
      </c>
      <c r="H242" s="18">
        <f>IF(乙分類!E242="","",乙分類!E242)</f>
        <v/>
      </c>
      <c r="I242" s="18">
        <f>IF(OR(G242="",H242=""),"",IF(G242=H242,"一致","不一致"))</f>
        <v/>
      </c>
      <c r="J242" s="15" t="n"/>
      <c r="K242" s="15" t="n"/>
    </row>
    <row r="243">
      <c r="A243" s="15" t="n"/>
      <c r="B243" s="15" t="n"/>
      <c r="C243" s="15" t="n"/>
      <c r="D243" s="15" t="n"/>
      <c r="E243" s="15" t="n"/>
      <c r="F243" s="18">
        <f>IF(A243="","",IF(LEFT(E243,2)="剔除","否","是"))</f>
        <v/>
      </c>
      <c r="G243" s="18">
        <f>IF(甲分類!E243="","",甲分類!E243)</f>
        <v/>
      </c>
      <c r="H243" s="18">
        <f>IF(乙分類!E243="","",乙分類!E243)</f>
        <v/>
      </c>
      <c r="I243" s="18">
        <f>IF(OR(G243="",H243=""),"",IF(G243=H243,"一致","不一致"))</f>
        <v/>
      </c>
      <c r="J243" s="15" t="n"/>
      <c r="K243" s="15" t="n"/>
    </row>
    <row r="244">
      <c r="A244" s="15" t="n"/>
      <c r="B244" s="15" t="n"/>
      <c r="C244" s="15" t="n"/>
      <c r="D244" s="15" t="n"/>
      <c r="E244" s="15" t="n"/>
      <c r="F244" s="18">
        <f>IF(A244="","",IF(LEFT(E244,2)="剔除","否","是"))</f>
        <v/>
      </c>
      <c r="G244" s="18">
        <f>IF(甲分類!E244="","",甲分類!E244)</f>
        <v/>
      </c>
      <c r="H244" s="18">
        <f>IF(乙分類!E244="","",乙分類!E244)</f>
        <v/>
      </c>
      <c r="I244" s="18">
        <f>IF(OR(G244="",H244=""),"",IF(G244=H244,"一致","不一致"))</f>
        <v/>
      </c>
      <c r="J244" s="15" t="n"/>
      <c r="K244" s="15" t="n"/>
    </row>
    <row r="245">
      <c r="A245" s="15" t="n"/>
      <c r="B245" s="15" t="n"/>
      <c r="C245" s="15" t="n"/>
      <c r="D245" s="15" t="n"/>
      <c r="E245" s="15" t="n"/>
      <c r="F245" s="18">
        <f>IF(A245="","",IF(LEFT(E245,2)="剔除","否","是"))</f>
        <v/>
      </c>
      <c r="G245" s="18">
        <f>IF(甲分類!E245="","",甲分類!E245)</f>
        <v/>
      </c>
      <c r="H245" s="18">
        <f>IF(乙分類!E245="","",乙分類!E245)</f>
        <v/>
      </c>
      <c r="I245" s="18">
        <f>IF(OR(G245="",H245=""),"",IF(G245=H245,"一致","不一致"))</f>
        <v/>
      </c>
      <c r="J245" s="15" t="n"/>
      <c r="K245" s="15" t="n"/>
    </row>
    <row r="246">
      <c r="A246" s="15" t="n"/>
      <c r="B246" s="15" t="n"/>
      <c r="C246" s="15" t="n"/>
      <c r="D246" s="15" t="n"/>
      <c r="E246" s="15" t="n"/>
      <c r="F246" s="18">
        <f>IF(A246="","",IF(LEFT(E246,2)="剔除","否","是"))</f>
        <v/>
      </c>
      <c r="G246" s="18">
        <f>IF(甲分類!E246="","",甲分類!E246)</f>
        <v/>
      </c>
      <c r="H246" s="18">
        <f>IF(乙分類!E246="","",乙分類!E246)</f>
        <v/>
      </c>
      <c r="I246" s="18">
        <f>IF(OR(G246="",H246=""),"",IF(G246=H246,"一致","不一致"))</f>
        <v/>
      </c>
      <c r="J246" s="15" t="n"/>
      <c r="K246" s="15" t="n"/>
    </row>
    <row r="247">
      <c r="A247" s="15" t="n"/>
      <c r="B247" s="15" t="n"/>
      <c r="C247" s="15" t="n"/>
      <c r="D247" s="15" t="n"/>
      <c r="E247" s="15" t="n"/>
      <c r="F247" s="18">
        <f>IF(A247="","",IF(LEFT(E247,2)="剔除","否","是"))</f>
        <v/>
      </c>
      <c r="G247" s="18">
        <f>IF(甲分類!E247="","",甲分類!E247)</f>
        <v/>
      </c>
      <c r="H247" s="18">
        <f>IF(乙分類!E247="","",乙分類!E247)</f>
        <v/>
      </c>
      <c r="I247" s="18">
        <f>IF(OR(G247="",H247=""),"",IF(G247=H247,"一致","不一致"))</f>
        <v/>
      </c>
      <c r="J247" s="15" t="n"/>
      <c r="K247" s="15" t="n"/>
    </row>
    <row r="248">
      <c r="A248" s="15" t="n"/>
      <c r="B248" s="15" t="n"/>
      <c r="C248" s="15" t="n"/>
      <c r="D248" s="15" t="n"/>
      <c r="E248" s="15" t="n"/>
      <c r="F248" s="18">
        <f>IF(A248="","",IF(LEFT(E248,2)="剔除","否","是"))</f>
        <v/>
      </c>
      <c r="G248" s="18">
        <f>IF(甲分類!E248="","",甲分類!E248)</f>
        <v/>
      </c>
      <c r="H248" s="18">
        <f>IF(乙分類!E248="","",乙分類!E248)</f>
        <v/>
      </c>
      <c r="I248" s="18">
        <f>IF(OR(G248="",H248=""),"",IF(G248=H248,"一致","不一致"))</f>
        <v/>
      </c>
      <c r="J248" s="15" t="n"/>
      <c r="K248" s="15" t="n"/>
    </row>
    <row r="249">
      <c r="A249" s="15" t="n"/>
      <c r="B249" s="15" t="n"/>
      <c r="C249" s="15" t="n"/>
      <c r="D249" s="15" t="n"/>
      <c r="E249" s="15" t="n"/>
      <c r="F249" s="18">
        <f>IF(A249="","",IF(LEFT(E249,2)="剔除","否","是"))</f>
        <v/>
      </c>
      <c r="G249" s="18">
        <f>IF(甲分類!E249="","",甲分類!E249)</f>
        <v/>
      </c>
      <c r="H249" s="18">
        <f>IF(乙分類!E249="","",乙分類!E249)</f>
        <v/>
      </c>
      <c r="I249" s="18">
        <f>IF(OR(G249="",H249=""),"",IF(G249=H249,"一致","不一致"))</f>
        <v/>
      </c>
      <c r="J249" s="15" t="n"/>
      <c r="K249" s="15" t="n"/>
    </row>
    <row r="250">
      <c r="A250" s="15" t="n"/>
      <c r="B250" s="15" t="n"/>
      <c r="C250" s="15" t="n"/>
      <c r="D250" s="15" t="n"/>
      <c r="E250" s="15" t="n"/>
      <c r="F250" s="18">
        <f>IF(A250="","",IF(LEFT(E250,2)="剔除","否","是"))</f>
        <v/>
      </c>
      <c r="G250" s="18">
        <f>IF(甲分類!E250="","",甲分類!E250)</f>
        <v/>
      </c>
      <c r="H250" s="18">
        <f>IF(乙分類!E250="","",乙分類!E250)</f>
        <v/>
      </c>
      <c r="I250" s="18">
        <f>IF(OR(G250="",H250=""),"",IF(G250=H250,"一致","不一致"))</f>
        <v/>
      </c>
      <c r="J250" s="15" t="n"/>
      <c r="K250" s="15" t="n"/>
    </row>
    <row r="251">
      <c r="A251" s="15" t="n"/>
      <c r="B251" s="15" t="n"/>
      <c r="C251" s="15" t="n"/>
      <c r="D251" s="15" t="n"/>
      <c r="E251" s="15" t="n"/>
      <c r="F251" s="18">
        <f>IF(A251="","",IF(LEFT(E251,2)="剔除","否","是"))</f>
        <v/>
      </c>
      <c r="G251" s="18">
        <f>IF(甲分類!E251="","",甲分類!E251)</f>
        <v/>
      </c>
      <c r="H251" s="18">
        <f>IF(乙分類!E251="","",乙分類!E251)</f>
        <v/>
      </c>
      <c r="I251" s="18">
        <f>IF(OR(G251="",H251=""),"",IF(G251=H251,"一致","不一致"))</f>
        <v/>
      </c>
      <c r="J251" s="15" t="n"/>
      <c r="K251" s="15" t="n"/>
    </row>
    <row r="252">
      <c r="A252" s="15" t="n"/>
      <c r="B252" s="15" t="n"/>
      <c r="C252" s="15" t="n"/>
      <c r="D252" s="15" t="n"/>
      <c r="E252" s="15" t="n"/>
      <c r="F252" s="18">
        <f>IF(A252="","",IF(LEFT(E252,2)="剔除","否","是"))</f>
        <v/>
      </c>
      <c r="G252" s="18">
        <f>IF(甲分類!E252="","",甲分類!E252)</f>
        <v/>
      </c>
      <c r="H252" s="18">
        <f>IF(乙分類!E252="","",乙分類!E252)</f>
        <v/>
      </c>
      <c r="I252" s="18">
        <f>IF(OR(G252="",H252=""),"",IF(G252=H252,"一致","不一致"))</f>
        <v/>
      </c>
      <c r="J252" s="15" t="n"/>
      <c r="K252" s="15" t="n"/>
    </row>
    <row r="253">
      <c r="A253" s="15" t="n"/>
      <c r="B253" s="15" t="n"/>
      <c r="C253" s="15" t="n"/>
      <c r="D253" s="15" t="n"/>
      <c r="E253" s="15" t="n"/>
      <c r="F253" s="18">
        <f>IF(A253="","",IF(LEFT(E253,2)="剔除","否","是"))</f>
        <v/>
      </c>
      <c r="G253" s="18">
        <f>IF(甲分類!E253="","",甲分類!E253)</f>
        <v/>
      </c>
      <c r="H253" s="18">
        <f>IF(乙分類!E253="","",乙分類!E253)</f>
        <v/>
      </c>
      <c r="I253" s="18">
        <f>IF(OR(G253="",H253=""),"",IF(G253=H253,"一致","不一致"))</f>
        <v/>
      </c>
      <c r="J253" s="15" t="n"/>
      <c r="K253" s="15" t="n"/>
    </row>
    <row r="254">
      <c r="A254" s="15" t="n"/>
      <c r="B254" s="15" t="n"/>
      <c r="C254" s="15" t="n"/>
      <c r="D254" s="15" t="n"/>
      <c r="E254" s="15" t="n"/>
      <c r="F254" s="18">
        <f>IF(A254="","",IF(LEFT(E254,2)="剔除","否","是"))</f>
        <v/>
      </c>
      <c r="G254" s="18">
        <f>IF(甲分類!E254="","",甲分類!E254)</f>
        <v/>
      </c>
      <c r="H254" s="18">
        <f>IF(乙分類!E254="","",乙分類!E254)</f>
        <v/>
      </c>
      <c r="I254" s="18">
        <f>IF(OR(G254="",H254=""),"",IF(G254=H254,"一致","不一致"))</f>
        <v/>
      </c>
      <c r="J254" s="15" t="n"/>
      <c r="K254" s="15" t="n"/>
    </row>
    <row r="255">
      <c r="A255" s="15" t="n"/>
      <c r="B255" s="15" t="n"/>
      <c r="C255" s="15" t="n"/>
      <c r="D255" s="15" t="n"/>
      <c r="E255" s="15" t="n"/>
      <c r="F255" s="18">
        <f>IF(A255="","",IF(LEFT(E255,2)="剔除","否","是"))</f>
        <v/>
      </c>
      <c r="G255" s="18">
        <f>IF(甲分類!E255="","",甲分類!E255)</f>
        <v/>
      </c>
      <c r="H255" s="18">
        <f>IF(乙分類!E255="","",乙分類!E255)</f>
        <v/>
      </c>
      <c r="I255" s="18">
        <f>IF(OR(G255="",H255=""),"",IF(G255=H255,"一致","不一致"))</f>
        <v/>
      </c>
      <c r="J255" s="15" t="n"/>
      <c r="K255" s="15" t="n"/>
    </row>
    <row r="256">
      <c r="A256" s="15" t="n"/>
      <c r="B256" s="15" t="n"/>
      <c r="C256" s="15" t="n"/>
      <c r="D256" s="15" t="n"/>
      <c r="E256" s="15" t="n"/>
      <c r="F256" s="18">
        <f>IF(A256="","",IF(LEFT(E256,2)="剔除","否","是"))</f>
        <v/>
      </c>
      <c r="G256" s="18">
        <f>IF(甲分類!E256="","",甲分類!E256)</f>
        <v/>
      </c>
      <c r="H256" s="18">
        <f>IF(乙分類!E256="","",乙分類!E256)</f>
        <v/>
      </c>
      <c r="I256" s="18">
        <f>IF(OR(G256="",H256=""),"",IF(G256=H256,"一致","不一致"))</f>
        <v/>
      </c>
      <c r="J256" s="15" t="n"/>
      <c r="K256" s="15" t="n"/>
    </row>
    <row r="257">
      <c r="A257" s="15" t="n"/>
      <c r="B257" s="15" t="n"/>
      <c r="C257" s="15" t="n"/>
      <c r="D257" s="15" t="n"/>
      <c r="E257" s="15" t="n"/>
      <c r="F257" s="18">
        <f>IF(A257="","",IF(LEFT(E257,2)="剔除","否","是"))</f>
        <v/>
      </c>
      <c r="G257" s="18">
        <f>IF(甲分類!E257="","",甲分類!E257)</f>
        <v/>
      </c>
      <c r="H257" s="18">
        <f>IF(乙分類!E257="","",乙分類!E257)</f>
        <v/>
      </c>
      <c r="I257" s="18">
        <f>IF(OR(G257="",H257=""),"",IF(G257=H257,"一致","不一致"))</f>
        <v/>
      </c>
      <c r="J257" s="15" t="n"/>
      <c r="K257" s="15" t="n"/>
    </row>
    <row r="258">
      <c r="A258" s="15" t="n"/>
      <c r="B258" s="15" t="n"/>
      <c r="C258" s="15" t="n"/>
      <c r="D258" s="15" t="n"/>
      <c r="E258" s="15" t="n"/>
      <c r="F258" s="18">
        <f>IF(A258="","",IF(LEFT(E258,2)="剔除","否","是"))</f>
        <v/>
      </c>
      <c r="G258" s="18">
        <f>IF(甲分類!E258="","",甲分類!E258)</f>
        <v/>
      </c>
      <c r="H258" s="18">
        <f>IF(乙分類!E258="","",乙分類!E258)</f>
        <v/>
      </c>
      <c r="I258" s="18">
        <f>IF(OR(G258="",H258=""),"",IF(G258=H258,"一致","不一致"))</f>
        <v/>
      </c>
      <c r="J258" s="15" t="n"/>
      <c r="K258" s="15" t="n"/>
    </row>
    <row r="259">
      <c r="A259" s="15" t="n"/>
      <c r="B259" s="15" t="n"/>
      <c r="C259" s="15" t="n"/>
      <c r="D259" s="15" t="n"/>
      <c r="E259" s="15" t="n"/>
      <c r="F259" s="18">
        <f>IF(A259="","",IF(LEFT(E259,2)="剔除","否","是"))</f>
        <v/>
      </c>
      <c r="G259" s="18">
        <f>IF(甲分類!E259="","",甲分類!E259)</f>
        <v/>
      </c>
      <c r="H259" s="18">
        <f>IF(乙分類!E259="","",乙分類!E259)</f>
        <v/>
      </c>
      <c r="I259" s="18">
        <f>IF(OR(G259="",H259=""),"",IF(G259=H259,"一致","不一致"))</f>
        <v/>
      </c>
      <c r="J259" s="15" t="n"/>
      <c r="K259" s="15" t="n"/>
    </row>
    <row r="260">
      <c r="A260" s="15" t="n"/>
      <c r="B260" s="15" t="n"/>
      <c r="C260" s="15" t="n"/>
      <c r="D260" s="15" t="n"/>
      <c r="E260" s="15" t="n"/>
      <c r="F260" s="18">
        <f>IF(A260="","",IF(LEFT(E260,2)="剔除","否","是"))</f>
        <v/>
      </c>
      <c r="G260" s="18">
        <f>IF(甲分類!E260="","",甲分類!E260)</f>
        <v/>
      </c>
      <c r="H260" s="18">
        <f>IF(乙分類!E260="","",乙分類!E260)</f>
        <v/>
      </c>
      <c r="I260" s="18">
        <f>IF(OR(G260="",H260=""),"",IF(G260=H260,"一致","不一致"))</f>
        <v/>
      </c>
      <c r="J260" s="15" t="n"/>
      <c r="K260" s="15" t="n"/>
    </row>
    <row r="261">
      <c r="A261" s="15" t="n"/>
      <c r="B261" s="15" t="n"/>
      <c r="C261" s="15" t="n"/>
      <c r="D261" s="15" t="n"/>
      <c r="E261" s="15" t="n"/>
      <c r="F261" s="18">
        <f>IF(A261="","",IF(LEFT(E261,2)="剔除","否","是"))</f>
        <v/>
      </c>
      <c r="G261" s="18">
        <f>IF(甲分類!E261="","",甲分類!E261)</f>
        <v/>
      </c>
      <c r="H261" s="18">
        <f>IF(乙分類!E261="","",乙分類!E261)</f>
        <v/>
      </c>
      <c r="I261" s="18">
        <f>IF(OR(G261="",H261=""),"",IF(G261=H261,"一致","不一致"))</f>
        <v/>
      </c>
      <c r="J261" s="15" t="n"/>
      <c r="K261" s="15" t="n"/>
    </row>
    <row r="262">
      <c r="A262" s="15" t="n"/>
      <c r="B262" s="15" t="n"/>
      <c r="C262" s="15" t="n"/>
      <c r="D262" s="15" t="n"/>
      <c r="E262" s="15" t="n"/>
      <c r="F262" s="18">
        <f>IF(A262="","",IF(LEFT(E262,2)="剔除","否","是"))</f>
        <v/>
      </c>
      <c r="G262" s="18">
        <f>IF(甲分類!E262="","",甲分類!E262)</f>
        <v/>
      </c>
      <c r="H262" s="18">
        <f>IF(乙分類!E262="","",乙分類!E262)</f>
        <v/>
      </c>
      <c r="I262" s="18">
        <f>IF(OR(G262="",H262=""),"",IF(G262=H262,"一致","不一致"))</f>
        <v/>
      </c>
      <c r="J262" s="15" t="n"/>
      <c r="K262" s="15" t="n"/>
    </row>
    <row r="263">
      <c r="A263" s="15" t="n"/>
      <c r="B263" s="15" t="n"/>
      <c r="C263" s="15" t="n"/>
      <c r="D263" s="15" t="n"/>
      <c r="E263" s="15" t="n"/>
      <c r="F263" s="18">
        <f>IF(A263="","",IF(LEFT(E263,2)="剔除","否","是"))</f>
        <v/>
      </c>
      <c r="G263" s="18">
        <f>IF(甲分類!E263="","",甲分類!E263)</f>
        <v/>
      </c>
      <c r="H263" s="18">
        <f>IF(乙分類!E263="","",乙分類!E263)</f>
        <v/>
      </c>
      <c r="I263" s="18">
        <f>IF(OR(G263="",H263=""),"",IF(G263=H263,"一致","不一致"))</f>
        <v/>
      </c>
      <c r="J263" s="15" t="n"/>
      <c r="K263" s="15" t="n"/>
    </row>
    <row r="264">
      <c r="A264" s="15" t="n"/>
      <c r="B264" s="15" t="n"/>
      <c r="C264" s="15" t="n"/>
      <c r="D264" s="15" t="n"/>
      <c r="E264" s="15" t="n"/>
      <c r="F264" s="18">
        <f>IF(A264="","",IF(LEFT(E264,2)="剔除","否","是"))</f>
        <v/>
      </c>
      <c r="G264" s="18">
        <f>IF(甲分類!E264="","",甲分類!E264)</f>
        <v/>
      </c>
      <c r="H264" s="18">
        <f>IF(乙分類!E264="","",乙分類!E264)</f>
        <v/>
      </c>
      <c r="I264" s="18">
        <f>IF(OR(G264="",H264=""),"",IF(G264=H264,"一致","不一致"))</f>
        <v/>
      </c>
      <c r="J264" s="15" t="n"/>
      <c r="K264" s="15" t="n"/>
    </row>
    <row r="265">
      <c r="A265" s="15" t="n"/>
      <c r="B265" s="15" t="n"/>
      <c r="C265" s="15" t="n"/>
      <c r="D265" s="15" t="n"/>
      <c r="E265" s="15" t="n"/>
      <c r="F265" s="18">
        <f>IF(A265="","",IF(LEFT(E265,2)="剔除","否","是"))</f>
        <v/>
      </c>
      <c r="G265" s="18">
        <f>IF(甲分類!E265="","",甲分類!E265)</f>
        <v/>
      </c>
      <c r="H265" s="18">
        <f>IF(乙分類!E265="","",乙分類!E265)</f>
        <v/>
      </c>
      <c r="I265" s="18">
        <f>IF(OR(G265="",H265=""),"",IF(G265=H265,"一致","不一致"))</f>
        <v/>
      </c>
      <c r="J265" s="15" t="n"/>
      <c r="K265" s="15" t="n"/>
    </row>
    <row r="266">
      <c r="A266" s="15" t="n"/>
      <c r="B266" s="15" t="n"/>
      <c r="C266" s="15" t="n"/>
      <c r="D266" s="15" t="n"/>
      <c r="E266" s="15" t="n"/>
      <c r="F266" s="18">
        <f>IF(A266="","",IF(LEFT(E266,2)="剔除","否","是"))</f>
        <v/>
      </c>
      <c r="G266" s="18">
        <f>IF(甲分類!E266="","",甲分類!E266)</f>
        <v/>
      </c>
      <c r="H266" s="18">
        <f>IF(乙分類!E266="","",乙分類!E266)</f>
        <v/>
      </c>
      <c r="I266" s="18">
        <f>IF(OR(G266="",H266=""),"",IF(G266=H266,"一致","不一致"))</f>
        <v/>
      </c>
      <c r="J266" s="15" t="n"/>
      <c r="K266" s="15" t="n"/>
    </row>
    <row r="267">
      <c r="A267" s="15" t="n"/>
      <c r="B267" s="15" t="n"/>
      <c r="C267" s="15" t="n"/>
      <c r="D267" s="15" t="n"/>
      <c r="E267" s="15" t="n"/>
      <c r="F267" s="18">
        <f>IF(A267="","",IF(LEFT(E267,2)="剔除","否","是"))</f>
        <v/>
      </c>
      <c r="G267" s="18">
        <f>IF(甲分類!E267="","",甲分類!E267)</f>
        <v/>
      </c>
      <c r="H267" s="18">
        <f>IF(乙分類!E267="","",乙分類!E267)</f>
        <v/>
      </c>
      <c r="I267" s="18">
        <f>IF(OR(G267="",H267=""),"",IF(G267=H267,"一致","不一致"))</f>
        <v/>
      </c>
      <c r="J267" s="15" t="n"/>
      <c r="K267" s="15" t="n"/>
    </row>
    <row r="268">
      <c r="A268" s="15" t="n"/>
      <c r="B268" s="15" t="n"/>
      <c r="C268" s="15" t="n"/>
      <c r="D268" s="15" t="n"/>
      <c r="E268" s="15" t="n"/>
      <c r="F268" s="18">
        <f>IF(A268="","",IF(LEFT(E268,2)="剔除","否","是"))</f>
        <v/>
      </c>
      <c r="G268" s="18">
        <f>IF(甲分類!E268="","",甲分類!E268)</f>
        <v/>
      </c>
      <c r="H268" s="18">
        <f>IF(乙分類!E268="","",乙分類!E268)</f>
        <v/>
      </c>
      <c r="I268" s="18">
        <f>IF(OR(G268="",H268=""),"",IF(G268=H268,"一致","不一致"))</f>
        <v/>
      </c>
      <c r="J268" s="15" t="n"/>
      <c r="K268" s="15" t="n"/>
    </row>
    <row r="269">
      <c r="A269" s="15" t="n"/>
      <c r="B269" s="15" t="n"/>
      <c r="C269" s="15" t="n"/>
      <c r="D269" s="15" t="n"/>
      <c r="E269" s="15" t="n"/>
      <c r="F269" s="18">
        <f>IF(A269="","",IF(LEFT(E269,2)="剔除","否","是"))</f>
        <v/>
      </c>
      <c r="G269" s="18">
        <f>IF(甲分類!E269="","",甲分類!E269)</f>
        <v/>
      </c>
      <c r="H269" s="18">
        <f>IF(乙分類!E269="","",乙分類!E269)</f>
        <v/>
      </c>
      <c r="I269" s="18">
        <f>IF(OR(G269="",H269=""),"",IF(G269=H269,"一致","不一致"))</f>
        <v/>
      </c>
      <c r="J269" s="15" t="n"/>
      <c r="K269" s="15" t="n"/>
    </row>
    <row r="270">
      <c r="A270" s="15" t="n"/>
      <c r="B270" s="15" t="n"/>
      <c r="C270" s="15" t="n"/>
      <c r="D270" s="15" t="n"/>
      <c r="E270" s="15" t="n"/>
      <c r="F270" s="18">
        <f>IF(A270="","",IF(LEFT(E270,2)="剔除","否","是"))</f>
        <v/>
      </c>
      <c r="G270" s="18">
        <f>IF(甲分類!E270="","",甲分類!E270)</f>
        <v/>
      </c>
      <c r="H270" s="18">
        <f>IF(乙分類!E270="","",乙分類!E270)</f>
        <v/>
      </c>
      <c r="I270" s="18">
        <f>IF(OR(G270="",H270=""),"",IF(G270=H270,"一致","不一致"))</f>
        <v/>
      </c>
      <c r="J270" s="15" t="n"/>
      <c r="K270" s="15" t="n"/>
    </row>
    <row r="271">
      <c r="A271" s="15" t="n"/>
      <c r="B271" s="15" t="n"/>
      <c r="C271" s="15" t="n"/>
      <c r="D271" s="15" t="n"/>
      <c r="E271" s="15" t="n"/>
      <c r="F271" s="18">
        <f>IF(A271="","",IF(LEFT(E271,2)="剔除","否","是"))</f>
        <v/>
      </c>
      <c r="G271" s="18">
        <f>IF(甲分類!E271="","",甲分類!E271)</f>
        <v/>
      </c>
      <c r="H271" s="18">
        <f>IF(乙分類!E271="","",乙分類!E271)</f>
        <v/>
      </c>
      <c r="I271" s="18">
        <f>IF(OR(G271="",H271=""),"",IF(G271=H271,"一致","不一致"))</f>
        <v/>
      </c>
      <c r="J271" s="15" t="n"/>
      <c r="K271" s="15" t="n"/>
    </row>
    <row r="272">
      <c r="A272" s="15" t="n"/>
      <c r="B272" s="15" t="n"/>
      <c r="C272" s="15" t="n"/>
      <c r="D272" s="15" t="n"/>
      <c r="E272" s="15" t="n"/>
      <c r="F272" s="18">
        <f>IF(A272="","",IF(LEFT(E272,2)="剔除","否","是"))</f>
        <v/>
      </c>
      <c r="G272" s="18">
        <f>IF(甲分類!E272="","",甲分類!E272)</f>
        <v/>
      </c>
      <c r="H272" s="18">
        <f>IF(乙分類!E272="","",乙分類!E272)</f>
        <v/>
      </c>
      <c r="I272" s="18">
        <f>IF(OR(G272="",H272=""),"",IF(G272=H272,"一致","不一致"))</f>
        <v/>
      </c>
      <c r="J272" s="15" t="n"/>
      <c r="K272" s="15" t="n"/>
    </row>
    <row r="273">
      <c r="A273" s="15" t="n"/>
      <c r="B273" s="15" t="n"/>
      <c r="C273" s="15" t="n"/>
      <c r="D273" s="15" t="n"/>
      <c r="E273" s="15" t="n"/>
      <c r="F273" s="18">
        <f>IF(A273="","",IF(LEFT(E273,2)="剔除","否","是"))</f>
        <v/>
      </c>
      <c r="G273" s="18">
        <f>IF(甲分類!E273="","",甲分類!E273)</f>
        <v/>
      </c>
      <c r="H273" s="18">
        <f>IF(乙分類!E273="","",乙分類!E273)</f>
        <v/>
      </c>
      <c r="I273" s="18">
        <f>IF(OR(G273="",H273=""),"",IF(G273=H273,"一致","不一致"))</f>
        <v/>
      </c>
      <c r="J273" s="15" t="n"/>
      <c r="K273" s="15" t="n"/>
    </row>
    <row r="274">
      <c r="A274" s="15" t="n"/>
      <c r="B274" s="15" t="n"/>
      <c r="C274" s="15" t="n"/>
      <c r="D274" s="15" t="n"/>
      <c r="E274" s="15" t="n"/>
      <c r="F274" s="18">
        <f>IF(A274="","",IF(LEFT(E274,2)="剔除","否","是"))</f>
        <v/>
      </c>
      <c r="G274" s="18">
        <f>IF(甲分類!E274="","",甲分類!E274)</f>
        <v/>
      </c>
      <c r="H274" s="18">
        <f>IF(乙分類!E274="","",乙分類!E274)</f>
        <v/>
      </c>
      <c r="I274" s="18">
        <f>IF(OR(G274="",H274=""),"",IF(G274=H274,"一致","不一致"))</f>
        <v/>
      </c>
      <c r="J274" s="15" t="n"/>
      <c r="K274" s="15" t="n"/>
    </row>
    <row r="275">
      <c r="A275" s="15" t="n"/>
      <c r="B275" s="15" t="n"/>
      <c r="C275" s="15" t="n"/>
      <c r="D275" s="15" t="n"/>
      <c r="E275" s="15" t="n"/>
      <c r="F275" s="18">
        <f>IF(A275="","",IF(LEFT(E275,2)="剔除","否","是"))</f>
        <v/>
      </c>
      <c r="G275" s="18">
        <f>IF(甲分類!E275="","",甲分類!E275)</f>
        <v/>
      </c>
      <c r="H275" s="18">
        <f>IF(乙分類!E275="","",乙分類!E275)</f>
        <v/>
      </c>
      <c r="I275" s="18">
        <f>IF(OR(G275="",H275=""),"",IF(G275=H275,"一致","不一致"))</f>
        <v/>
      </c>
      <c r="J275" s="15" t="n"/>
      <c r="K275" s="15" t="n"/>
    </row>
    <row r="276">
      <c r="A276" s="15" t="n"/>
      <c r="B276" s="15" t="n"/>
      <c r="C276" s="15" t="n"/>
      <c r="D276" s="15" t="n"/>
      <c r="E276" s="15" t="n"/>
      <c r="F276" s="18">
        <f>IF(A276="","",IF(LEFT(E276,2)="剔除","否","是"))</f>
        <v/>
      </c>
      <c r="G276" s="18">
        <f>IF(甲分類!E276="","",甲分類!E276)</f>
        <v/>
      </c>
      <c r="H276" s="18">
        <f>IF(乙分類!E276="","",乙分類!E276)</f>
        <v/>
      </c>
      <c r="I276" s="18">
        <f>IF(OR(G276="",H276=""),"",IF(G276=H276,"一致","不一致"))</f>
        <v/>
      </c>
      <c r="J276" s="15" t="n"/>
      <c r="K276" s="15" t="n"/>
    </row>
    <row r="277">
      <c r="A277" s="15" t="n"/>
      <c r="B277" s="15" t="n"/>
      <c r="C277" s="15" t="n"/>
      <c r="D277" s="15" t="n"/>
      <c r="E277" s="15" t="n"/>
      <c r="F277" s="18">
        <f>IF(A277="","",IF(LEFT(E277,2)="剔除","否","是"))</f>
        <v/>
      </c>
      <c r="G277" s="18">
        <f>IF(甲分類!E277="","",甲分類!E277)</f>
        <v/>
      </c>
      <c r="H277" s="18">
        <f>IF(乙分類!E277="","",乙分類!E277)</f>
        <v/>
      </c>
      <c r="I277" s="18">
        <f>IF(OR(G277="",H277=""),"",IF(G277=H277,"一致","不一致"))</f>
        <v/>
      </c>
      <c r="J277" s="15" t="n"/>
      <c r="K277" s="15" t="n"/>
    </row>
    <row r="278">
      <c r="A278" s="15" t="n"/>
      <c r="B278" s="15" t="n"/>
      <c r="C278" s="15" t="n"/>
      <c r="D278" s="15" t="n"/>
      <c r="E278" s="15" t="n"/>
      <c r="F278" s="18">
        <f>IF(A278="","",IF(LEFT(E278,2)="剔除","否","是"))</f>
        <v/>
      </c>
      <c r="G278" s="18">
        <f>IF(甲分類!E278="","",甲分類!E278)</f>
        <v/>
      </c>
      <c r="H278" s="18">
        <f>IF(乙分類!E278="","",乙分類!E278)</f>
        <v/>
      </c>
      <c r="I278" s="18">
        <f>IF(OR(G278="",H278=""),"",IF(G278=H278,"一致","不一致"))</f>
        <v/>
      </c>
      <c r="J278" s="15" t="n"/>
      <c r="K278" s="15" t="n"/>
    </row>
    <row r="279">
      <c r="A279" s="15" t="n"/>
      <c r="B279" s="15" t="n"/>
      <c r="C279" s="15" t="n"/>
      <c r="D279" s="15" t="n"/>
      <c r="E279" s="15" t="n"/>
      <c r="F279" s="18">
        <f>IF(A279="","",IF(LEFT(E279,2)="剔除","否","是"))</f>
        <v/>
      </c>
      <c r="G279" s="18">
        <f>IF(甲分類!E279="","",甲分類!E279)</f>
        <v/>
      </c>
      <c r="H279" s="18">
        <f>IF(乙分類!E279="","",乙分類!E279)</f>
        <v/>
      </c>
      <c r="I279" s="18">
        <f>IF(OR(G279="",H279=""),"",IF(G279=H279,"一致","不一致"))</f>
        <v/>
      </c>
      <c r="J279" s="15" t="n"/>
      <c r="K279" s="15" t="n"/>
    </row>
    <row r="280">
      <c r="A280" s="15" t="n"/>
      <c r="B280" s="15" t="n"/>
      <c r="C280" s="15" t="n"/>
      <c r="D280" s="15" t="n"/>
      <c r="E280" s="15" t="n"/>
      <c r="F280" s="18">
        <f>IF(A280="","",IF(LEFT(E280,2)="剔除","否","是"))</f>
        <v/>
      </c>
      <c r="G280" s="18">
        <f>IF(甲分類!E280="","",甲分類!E280)</f>
        <v/>
      </c>
      <c r="H280" s="18">
        <f>IF(乙分類!E280="","",乙分類!E280)</f>
        <v/>
      </c>
      <c r="I280" s="18">
        <f>IF(OR(G280="",H280=""),"",IF(G280=H280,"一致","不一致"))</f>
        <v/>
      </c>
      <c r="J280" s="15" t="n"/>
      <c r="K280" s="15" t="n"/>
    </row>
    <row r="281">
      <c r="A281" s="15" t="n"/>
      <c r="B281" s="15" t="n"/>
      <c r="C281" s="15" t="n"/>
      <c r="D281" s="15" t="n"/>
      <c r="E281" s="15" t="n"/>
      <c r="F281" s="18">
        <f>IF(A281="","",IF(LEFT(E281,2)="剔除","否","是"))</f>
        <v/>
      </c>
      <c r="G281" s="18">
        <f>IF(甲分類!E281="","",甲分類!E281)</f>
        <v/>
      </c>
      <c r="H281" s="18">
        <f>IF(乙分類!E281="","",乙分類!E281)</f>
        <v/>
      </c>
      <c r="I281" s="18">
        <f>IF(OR(G281="",H281=""),"",IF(G281=H281,"一致","不一致"))</f>
        <v/>
      </c>
      <c r="J281" s="15" t="n"/>
      <c r="K281" s="15" t="n"/>
    </row>
    <row r="282">
      <c r="A282" s="15" t="n"/>
      <c r="B282" s="15" t="n"/>
      <c r="C282" s="15" t="n"/>
      <c r="D282" s="15" t="n"/>
      <c r="E282" s="15" t="n"/>
      <c r="F282" s="18">
        <f>IF(A282="","",IF(LEFT(E282,2)="剔除","否","是"))</f>
        <v/>
      </c>
      <c r="G282" s="18">
        <f>IF(甲分類!E282="","",甲分類!E282)</f>
        <v/>
      </c>
      <c r="H282" s="18">
        <f>IF(乙分類!E282="","",乙分類!E282)</f>
        <v/>
      </c>
      <c r="I282" s="18">
        <f>IF(OR(G282="",H282=""),"",IF(G282=H282,"一致","不一致"))</f>
        <v/>
      </c>
      <c r="J282" s="15" t="n"/>
      <c r="K282" s="15" t="n"/>
    </row>
    <row r="283">
      <c r="A283" s="15" t="n"/>
      <c r="B283" s="15" t="n"/>
      <c r="C283" s="15" t="n"/>
      <c r="D283" s="15" t="n"/>
      <c r="E283" s="15" t="n"/>
      <c r="F283" s="18">
        <f>IF(A283="","",IF(LEFT(E283,2)="剔除","否","是"))</f>
        <v/>
      </c>
      <c r="G283" s="18">
        <f>IF(甲分類!E283="","",甲分類!E283)</f>
        <v/>
      </c>
      <c r="H283" s="18">
        <f>IF(乙分類!E283="","",乙分類!E283)</f>
        <v/>
      </c>
      <c r="I283" s="18">
        <f>IF(OR(G283="",H283=""),"",IF(G283=H283,"一致","不一致"))</f>
        <v/>
      </c>
      <c r="J283" s="15" t="n"/>
      <c r="K283" s="15" t="n"/>
    </row>
    <row r="284">
      <c r="A284" s="15" t="n"/>
      <c r="B284" s="15" t="n"/>
      <c r="C284" s="15" t="n"/>
      <c r="D284" s="15" t="n"/>
      <c r="E284" s="15" t="n"/>
      <c r="F284" s="18">
        <f>IF(A284="","",IF(LEFT(E284,2)="剔除","否","是"))</f>
        <v/>
      </c>
      <c r="G284" s="18">
        <f>IF(甲分類!E284="","",甲分類!E284)</f>
        <v/>
      </c>
      <c r="H284" s="18">
        <f>IF(乙分類!E284="","",乙分類!E284)</f>
        <v/>
      </c>
      <c r="I284" s="18">
        <f>IF(OR(G284="",H284=""),"",IF(G284=H284,"一致","不一致"))</f>
        <v/>
      </c>
      <c r="J284" s="15" t="n"/>
      <c r="K284" s="15" t="n"/>
    </row>
    <row r="285">
      <c r="A285" s="15" t="n"/>
      <c r="B285" s="15" t="n"/>
      <c r="C285" s="15" t="n"/>
      <c r="D285" s="15" t="n"/>
      <c r="E285" s="15" t="n"/>
      <c r="F285" s="18">
        <f>IF(A285="","",IF(LEFT(E285,2)="剔除","否","是"))</f>
        <v/>
      </c>
      <c r="G285" s="18">
        <f>IF(甲分類!E285="","",甲分類!E285)</f>
        <v/>
      </c>
      <c r="H285" s="18">
        <f>IF(乙分類!E285="","",乙分類!E285)</f>
        <v/>
      </c>
      <c r="I285" s="18">
        <f>IF(OR(G285="",H285=""),"",IF(G285=H285,"一致","不一致"))</f>
        <v/>
      </c>
      <c r="J285" s="15" t="n"/>
      <c r="K285" s="15" t="n"/>
    </row>
    <row r="286">
      <c r="A286" s="15" t="n"/>
      <c r="B286" s="15" t="n"/>
      <c r="C286" s="15" t="n"/>
      <c r="D286" s="15" t="n"/>
      <c r="E286" s="15" t="n"/>
      <c r="F286" s="18">
        <f>IF(A286="","",IF(LEFT(E286,2)="剔除","否","是"))</f>
        <v/>
      </c>
      <c r="G286" s="18">
        <f>IF(甲分類!E286="","",甲分類!E286)</f>
        <v/>
      </c>
      <c r="H286" s="18">
        <f>IF(乙分類!E286="","",乙分類!E286)</f>
        <v/>
      </c>
      <c r="I286" s="18">
        <f>IF(OR(G286="",H286=""),"",IF(G286=H286,"一致","不一致"))</f>
        <v/>
      </c>
      <c r="J286" s="15" t="n"/>
      <c r="K286" s="15" t="n"/>
    </row>
    <row r="287">
      <c r="A287" s="15" t="n"/>
      <c r="B287" s="15" t="n"/>
      <c r="C287" s="15" t="n"/>
      <c r="D287" s="15" t="n"/>
      <c r="E287" s="15" t="n"/>
      <c r="F287" s="18">
        <f>IF(A287="","",IF(LEFT(E287,2)="剔除","否","是"))</f>
        <v/>
      </c>
      <c r="G287" s="18">
        <f>IF(甲分類!E287="","",甲分類!E287)</f>
        <v/>
      </c>
      <c r="H287" s="18">
        <f>IF(乙分類!E287="","",乙分類!E287)</f>
        <v/>
      </c>
      <c r="I287" s="18">
        <f>IF(OR(G287="",H287=""),"",IF(G287=H287,"一致","不一致"))</f>
        <v/>
      </c>
      <c r="J287" s="15" t="n"/>
      <c r="K287" s="15" t="n"/>
    </row>
    <row r="288">
      <c r="A288" s="15" t="n"/>
      <c r="B288" s="15" t="n"/>
      <c r="C288" s="15" t="n"/>
      <c r="D288" s="15" t="n"/>
      <c r="E288" s="15" t="n"/>
      <c r="F288" s="18">
        <f>IF(A288="","",IF(LEFT(E288,2)="剔除","否","是"))</f>
        <v/>
      </c>
      <c r="G288" s="18">
        <f>IF(甲分類!E288="","",甲分類!E288)</f>
        <v/>
      </c>
      <c r="H288" s="18">
        <f>IF(乙分類!E288="","",乙分類!E288)</f>
        <v/>
      </c>
      <c r="I288" s="18">
        <f>IF(OR(G288="",H288=""),"",IF(G288=H288,"一致","不一致"))</f>
        <v/>
      </c>
      <c r="J288" s="15" t="n"/>
      <c r="K288" s="15" t="n"/>
    </row>
    <row r="289">
      <c r="A289" s="15" t="n"/>
      <c r="B289" s="15" t="n"/>
      <c r="C289" s="15" t="n"/>
      <c r="D289" s="15" t="n"/>
      <c r="E289" s="15" t="n"/>
      <c r="F289" s="18">
        <f>IF(A289="","",IF(LEFT(E289,2)="剔除","否","是"))</f>
        <v/>
      </c>
      <c r="G289" s="18">
        <f>IF(甲分類!E289="","",甲分類!E289)</f>
        <v/>
      </c>
      <c r="H289" s="18">
        <f>IF(乙分類!E289="","",乙分類!E289)</f>
        <v/>
      </c>
      <c r="I289" s="18">
        <f>IF(OR(G289="",H289=""),"",IF(G289=H289,"一致","不一致"))</f>
        <v/>
      </c>
      <c r="J289" s="15" t="n"/>
      <c r="K289" s="15" t="n"/>
    </row>
    <row r="290">
      <c r="A290" s="15" t="n"/>
      <c r="B290" s="15" t="n"/>
      <c r="C290" s="15" t="n"/>
      <c r="D290" s="15" t="n"/>
      <c r="E290" s="15" t="n"/>
      <c r="F290" s="18">
        <f>IF(A290="","",IF(LEFT(E290,2)="剔除","否","是"))</f>
        <v/>
      </c>
      <c r="G290" s="18">
        <f>IF(甲分類!E290="","",甲分類!E290)</f>
        <v/>
      </c>
      <c r="H290" s="18">
        <f>IF(乙分類!E290="","",乙分類!E290)</f>
        <v/>
      </c>
      <c r="I290" s="18">
        <f>IF(OR(G290="",H290=""),"",IF(G290=H290,"一致","不一致"))</f>
        <v/>
      </c>
      <c r="J290" s="15" t="n"/>
      <c r="K290" s="15" t="n"/>
    </row>
    <row r="291">
      <c r="A291" s="15" t="n"/>
      <c r="B291" s="15" t="n"/>
      <c r="C291" s="15" t="n"/>
      <c r="D291" s="15" t="n"/>
      <c r="E291" s="15" t="n"/>
      <c r="F291" s="18">
        <f>IF(A291="","",IF(LEFT(E291,2)="剔除","否","是"))</f>
        <v/>
      </c>
      <c r="G291" s="18">
        <f>IF(甲分類!E291="","",甲分類!E291)</f>
        <v/>
      </c>
      <c r="H291" s="18">
        <f>IF(乙分類!E291="","",乙分類!E291)</f>
        <v/>
      </c>
      <c r="I291" s="18">
        <f>IF(OR(G291="",H291=""),"",IF(G291=H291,"一致","不一致"))</f>
        <v/>
      </c>
      <c r="J291" s="15" t="n"/>
      <c r="K291" s="15" t="n"/>
    </row>
    <row r="292">
      <c r="A292" s="15" t="n"/>
      <c r="B292" s="15" t="n"/>
      <c r="C292" s="15" t="n"/>
      <c r="D292" s="15" t="n"/>
      <c r="E292" s="15" t="n"/>
      <c r="F292" s="18">
        <f>IF(A292="","",IF(LEFT(E292,2)="剔除","否","是"))</f>
        <v/>
      </c>
      <c r="G292" s="18">
        <f>IF(甲分類!E292="","",甲分類!E292)</f>
        <v/>
      </c>
      <c r="H292" s="18">
        <f>IF(乙分類!E292="","",乙分類!E292)</f>
        <v/>
      </c>
      <c r="I292" s="18">
        <f>IF(OR(G292="",H292=""),"",IF(G292=H292,"一致","不一致"))</f>
        <v/>
      </c>
      <c r="J292" s="15" t="n"/>
      <c r="K292" s="15" t="n"/>
    </row>
    <row r="293">
      <c r="A293" s="15" t="n"/>
      <c r="B293" s="15" t="n"/>
      <c r="C293" s="15" t="n"/>
      <c r="D293" s="15" t="n"/>
      <c r="E293" s="15" t="n"/>
      <c r="F293" s="18">
        <f>IF(A293="","",IF(LEFT(E293,2)="剔除","否","是"))</f>
        <v/>
      </c>
      <c r="G293" s="18">
        <f>IF(甲分類!E293="","",甲分類!E293)</f>
        <v/>
      </c>
      <c r="H293" s="18">
        <f>IF(乙分類!E293="","",乙分類!E293)</f>
        <v/>
      </c>
      <c r="I293" s="18">
        <f>IF(OR(G293="",H293=""),"",IF(G293=H293,"一致","不一致"))</f>
        <v/>
      </c>
      <c r="J293" s="15" t="n"/>
      <c r="K293" s="15" t="n"/>
    </row>
    <row r="294">
      <c r="A294" s="15" t="n"/>
      <c r="B294" s="15" t="n"/>
      <c r="C294" s="15" t="n"/>
      <c r="D294" s="15" t="n"/>
      <c r="E294" s="15" t="n"/>
      <c r="F294" s="18">
        <f>IF(A294="","",IF(LEFT(E294,2)="剔除","否","是"))</f>
        <v/>
      </c>
      <c r="G294" s="18">
        <f>IF(甲分類!E294="","",甲分類!E294)</f>
        <v/>
      </c>
      <c r="H294" s="18">
        <f>IF(乙分類!E294="","",乙分類!E294)</f>
        <v/>
      </c>
      <c r="I294" s="18">
        <f>IF(OR(G294="",H294=""),"",IF(G294=H294,"一致","不一致"))</f>
        <v/>
      </c>
      <c r="J294" s="15" t="n"/>
      <c r="K294" s="15" t="n"/>
    </row>
    <row r="295">
      <c r="A295" s="15" t="n"/>
      <c r="B295" s="15" t="n"/>
      <c r="C295" s="15" t="n"/>
      <c r="D295" s="15" t="n"/>
      <c r="E295" s="15" t="n"/>
      <c r="F295" s="18">
        <f>IF(A295="","",IF(LEFT(E295,2)="剔除","否","是"))</f>
        <v/>
      </c>
      <c r="G295" s="18">
        <f>IF(甲分類!E295="","",甲分類!E295)</f>
        <v/>
      </c>
      <c r="H295" s="18">
        <f>IF(乙分類!E295="","",乙分類!E295)</f>
        <v/>
      </c>
      <c r="I295" s="18">
        <f>IF(OR(G295="",H295=""),"",IF(G295=H295,"一致","不一致"))</f>
        <v/>
      </c>
      <c r="J295" s="15" t="n"/>
      <c r="K295" s="15" t="n"/>
    </row>
    <row r="296">
      <c r="A296" s="15" t="n"/>
      <c r="B296" s="15" t="n"/>
      <c r="C296" s="15" t="n"/>
      <c r="D296" s="15" t="n"/>
      <c r="E296" s="15" t="n"/>
      <c r="F296" s="18">
        <f>IF(A296="","",IF(LEFT(E296,2)="剔除","否","是"))</f>
        <v/>
      </c>
      <c r="G296" s="18">
        <f>IF(甲分類!E296="","",甲分類!E296)</f>
        <v/>
      </c>
      <c r="H296" s="18">
        <f>IF(乙分類!E296="","",乙分類!E296)</f>
        <v/>
      </c>
      <c r="I296" s="18">
        <f>IF(OR(G296="",H296=""),"",IF(G296=H296,"一致","不一致"))</f>
        <v/>
      </c>
      <c r="J296" s="15" t="n"/>
      <c r="K296" s="15" t="n"/>
    </row>
    <row r="297">
      <c r="A297" s="15" t="n"/>
      <c r="B297" s="15" t="n"/>
      <c r="C297" s="15" t="n"/>
      <c r="D297" s="15" t="n"/>
      <c r="E297" s="15" t="n"/>
      <c r="F297" s="18">
        <f>IF(A297="","",IF(LEFT(E297,2)="剔除","否","是"))</f>
        <v/>
      </c>
      <c r="G297" s="18">
        <f>IF(甲分類!E297="","",甲分類!E297)</f>
        <v/>
      </c>
      <c r="H297" s="18">
        <f>IF(乙分類!E297="","",乙分類!E297)</f>
        <v/>
      </c>
      <c r="I297" s="18">
        <f>IF(OR(G297="",H297=""),"",IF(G297=H297,"一致","不一致"))</f>
        <v/>
      </c>
      <c r="J297" s="15" t="n"/>
      <c r="K297" s="15" t="n"/>
    </row>
    <row r="298">
      <c r="A298" s="15" t="n"/>
      <c r="B298" s="15" t="n"/>
      <c r="C298" s="15" t="n"/>
      <c r="D298" s="15" t="n"/>
      <c r="E298" s="15" t="n"/>
      <c r="F298" s="18">
        <f>IF(A298="","",IF(LEFT(E298,2)="剔除","否","是"))</f>
        <v/>
      </c>
      <c r="G298" s="18">
        <f>IF(甲分類!E298="","",甲分類!E298)</f>
        <v/>
      </c>
      <c r="H298" s="18">
        <f>IF(乙分類!E298="","",乙分類!E298)</f>
        <v/>
      </c>
      <c r="I298" s="18">
        <f>IF(OR(G298="",H298=""),"",IF(G298=H298,"一致","不一致"))</f>
        <v/>
      </c>
      <c r="J298" s="15" t="n"/>
      <c r="K298" s="15" t="n"/>
    </row>
    <row r="299">
      <c r="A299" s="15" t="n"/>
      <c r="B299" s="15" t="n"/>
      <c r="C299" s="15" t="n"/>
      <c r="D299" s="15" t="n"/>
      <c r="E299" s="15" t="n"/>
      <c r="F299" s="18">
        <f>IF(A299="","",IF(LEFT(E299,2)="剔除","否","是"))</f>
        <v/>
      </c>
      <c r="G299" s="18">
        <f>IF(甲分類!E299="","",甲分類!E299)</f>
        <v/>
      </c>
      <c r="H299" s="18">
        <f>IF(乙分類!E299="","",乙分類!E299)</f>
        <v/>
      </c>
      <c r="I299" s="18">
        <f>IF(OR(G299="",H299=""),"",IF(G299=H299,"一致","不一致"))</f>
        <v/>
      </c>
      <c r="J299" s="15" t="n"/>
      <c r="K299" s="15" t="n"/>
    </row>
    <row r="300">
      <c r="A300" s="15" t="n"/>
      <c r="B300" s="15" t="n"/>
      <c r="C300" s="15" t="n"/>
      <c r="D300" s="15" t="n"/>
      <c r="E300" s="15" t="n"/>
      <c r="F300" s="18">
        <f>IF(A300="","",IF(LEFT(E300,2)="剔除","否","是"))</f>
        <v/>
      </c>
      <c r="G300" s="18">
        <f>IF(甲分類!E300="","",甲分類!E300)</f>
        <v/>
      </c>
      <c r="H300" s="18">
        <f>IF(乙分類!E300="","",乙分類!E300)</f>
        <v/>
      </c>
      <c r="I300" s="18">
        <f>IF(OR(G300="",H300=""),"",IF(G300=H300,"一致","不一致"))</f>
        <v/>
      </c>
      <c r="J300" s="15" t="n"/>
      <c r="K300" s="15" t="n"/>
    </row>
    <row r="301">
      <c r="A301" s="15" t="n"/>
      <c r="B301" s="15" t="n"/>
      <c r="C301" s="15" t="n"/>
      <c r="D301" s="15" t="n"/>
      <c r="E301" s="15" t="n"/>
      <c r="F301" s="18">
        <f>IF(A301="","",IF(LEFT(E301,2)="剔除","否","是"))</f>
        <v/>
      </c>
      <c r="G301" s="18">
        <f>IF(甲分類!E301="","",甲分類!E301)</f>
        <v/>
      </c>
      <c r="H301" s="18">
        <f>IF(乙分類!E301="","",乙分類!E301)</f>
        <v/>
      </c>
      <c r="I301" s="18">
        <f>IF(OR(G301="",H301=""),"",IF(G301=H301,"一致","不一致"))</f>
        <v/>
      </c>
      <c r="J301" s="15" t="n"/>
      <c r="K301" s="15" t="n"/>
    </row>
    <row r="302">
      <c r="A302" s="15" t="n"/>
      <c r="B302" s="15" t="n"/>
      <c r="C302" s="15" t="n"/>
      <c r="D302" s="15" t="n"/>
      <c r="E302" s="15" t="n"/>
      <c r="F302" s="18">
        <f>IF(A302="","",IF(LEFT(E302,2)="剔除","否","是"))</f>
        <v/>
      </c>
      <c r="G302" s="18">
        <f>IF(甲分類!E302="","",甲分類!E302)</f>
        <v/>
      </c>
      <c r="H302" s="18">
        <f>IF(乙分類!E302="","",乙分類!E302)</f>
        <v/>
      </c>
      <c r="I302" s="18">
        <f>IF(OR(G302="",H302=""),"",IF(G302=H302,"一致","不一致"))</f>
        <v/>
      </c>
      <c r="J302" s="15" t="n"/>
      <c r="K302" s="15" t="n"/>
    </row>
    <row r="303">
      <c r="A303" s="15" t="n"/>
      <c r="B303" s="15" t="n"/>
      <c r="C303" s="15" t="n"/>
      <c r="D303" s="15" t="n"/>
      <c r="E303" s="15" t="n"/>
      <c r="F303" s="18">
        <f>IF(A303="","",IF(LEFT(E303,2)="剔除","否","是"))</f>
        <v/>
      </c>
      <c r="G303" s="18">
        <f>IF(甲分類!E303="","",甲分類!E303)</f>
        <v/>
      </c>
      <c r="H303" s="18">
        <f>IF(乙分類!E303="","",乙分類!E303)</f>
        <v/>
      </c>
      <c r="I303" s="18">
        <f>IF(OR(G303="",H303=""),"",IF(G303=H303,"一致","不一致"))</f>
        <v/>
      </c>
      <c r="J303" s="15" t="n"/>
      <c r="K303" s="15" t="n"/>
    </row>
    <row r="304">
      <c r="A304" s="15" t="n"/>
      <c r="B304" s="15" t="n"/>
      <c r="C304" s="15" t="n"/>
      <c r="D304" s="15" t="n"/>
      <c r="E304" s="15" t="n"/>
      <c r="F304" s="18">
        <f>IF(A304="","",IF(LEFT(E304,2)="剔除","否","是"))</f>
        <v/>
      </c>
      <c r="G304" s="18">
        <f>IF(甲分類!E304="","",甲分類!E304)</f>
        <v/>
      </c>
      <c r="H304" s="18">
        <f>IF(乙分類!E304="","",乙分類!E304)</f>
        <v/>
      </c>
      <c r="I304" s="18">
        <f>IF(OR(G304="",H304=""),"",IF(G304=H304,"一致","不一致"))</f>
        <v/>
      </c>
      <c r="J304" s="15" t="n"/>
      <c r="K304" s="15" t="n"/>
    </row>
  </sheetData>
  <conditionalFormatting sqref="I5:I304">
    <cfRule type="expression" priority="1" dxfId="0">
      <formula>$I5="不一致"</formula>
    </cfRule>
  </conditionalFormatting>
  <conditionalFormatting sqref="A5:K304">
    <cfRule type="expression" priority="2" dxfId="1">
      <formula>LEFT($E5,2)="剔除"</formula>
    </cfRule>
  </conditionalFormatting>
  <dataValidations count="2">
    <dataValidation sqref="E5:E304" showDropDown="0" showInputMessage="0" showErrorMessage="0" allowBlank="1" type="list">
      <formula1>"保留,剔除：太籠統,剔除：不屬於本構念"</formula1>
    </dataValidation>
    <dataValidation sqref="J5:J304" showDropDown="0" showInputMessage="0" showErrorMessage="0" allowBlank="1" type="list">
      <formula1>=編碼簿!$B$5:$B$15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36" customWidth="1" min="3" max="3"/>
    <col width="30" customWidth="1" min="4" max="4"/>
    <col width="18" customWidth="1" min="5" max="5"/>
  </cols>
  <sheetData>
    <row r="1">
      <c r="A1" s="11" t="inlineStr">
        <is>
          <t>甲的分類</t>
        </is>
      </c>
    </row>
    <row r="2">
      <c r="A2" s="12" t="inlineStr">
        <is>
          <t>只由甲填寫 E 欄；分類時不討論，也不看另一位組員的檔案。剔除的事例顯示刪除線，不需分類</t>
        </is>
      </c>
    </row>
    <row r="4">
      <c r="A4" s="13" t="inlineStr">
        <is>
          <t>編號</t>
        </is>
      </c>
      <c r="B4" s="13" t="inlineStr">
        <is>
          <t>情境</t>
        </is>
      </c>
      <c r="C4" s="13" t="inlineStr">
        <is>
          <t>行為</t>
        </is>
      </c>
      <c r="D4" s="13" t="inlineStr">
        <is>
          <t>結果</t>
        </is>
      </c>
      <c r="E4" s="13" t="inlineStr">
        <is>
          <t>甲的分類</t>
        </is>
      </c>
    </row>
    <row r="5">
      <c r="A5" s="19">
        <f>IF(事例清單!A5="","",事例清單!A5)</f>
        <v/>
      </c>
      <c r="B5" s="19">
        <f>IF(事例清單!B5="","",事例清單!B5)</f>
        <v/>
      </c>
      <c r="C5" s="19">
        <f>IF(事例清單!C5="","",事例清單!C5)</f>
        <v/>
      </c>
      <c r="D5" s="19">
        <f>IF(事例清單!D5="","",事例清單!D5)</f>
        <v/>
      </c>
      <c r="E5" s="20" t="n"/>
    </row>
    <row r="6">
      <c r="A6" s="19">
        <f>IF(事例清單!A6="","",事例清單!A6)</f>
        <v/>
      </c>
      <c r="B6" s="19">
        <f>IF(事例清單!B6="","",事例清單!B6)</f>
        <v/>
      </c>
      <c r="C6" s="19">
        <f>IF(事例清單!C6="","",事例清單!C6)</f>
        <v/>
      </c>
      <c r="D6" s="19">
        <f>IF(事例清單!D6="","",事例清單!D6)</f>
        <v/>
      </c>
      <c r="E6" s="20" t="n"/>
    </row>
    <row r="7">
      <c r="A7" s="19">
        <f>IF(事例清單!A7="","",事例清單!A7)</f>
        <v/>
      </c>
      <c r="B7" s="19">
        <f>IF(事例清單!B7="","",事例清單!B7)</f>
        <v/>
      </c>
      <c r="C7" s="19">
        <f>IF(事例清單!C7="","",事例清單!C7)</f>
        <v/>
      </c>
      <c r="D7" s="19">
        <f>IF(事例清單!D7="","",事例清單!D7)</f>
        <v/>
      </c>
      <c r="E7" s="20" t="n"/>
    </row>
    <row r="8">
      <c r="A8" s="19">
        <f>IF(事例清單!A8="","",事例清單!A8)</f>
        <v/>
      </c>
      <c r="B8" s="19">
        <f>IF(事例清單!B8="","",事例清單!B8)</f>
        <v/>
      </c>
      <c r="C8" s="19">
        <f>IF(事例清單!C8="","",事例清單!C8)</f>
        <v/>
      </c>
      <c r="D8" s="19">
        <f>IF(事例清單!D8="","",事例清單!D8)</f>
        <v/>
      </c>
      <c r="E8" s="20" t="n"/>
    </row>
    <row r="9">
      <c r="A9" s="19">
        <f>IF(事例清單!A9="","",事例清單!A9)</f>
        <v/>
      </c>
      <c r="B9" s="19">
        <f>IF(事例清單!B9="","",事例清單!B9)</f>
        <v/>
      </c>
      <c r="C9" s="19">
        <f>IF(事例清單!C9="","",事例清單!C9)</f>
        <v/>
      </c>
      <c r="D9" s="19">
        <f>IF(事例清單!D9="","",事例清單!D9)</f>
        <v/>
      </c>
      <c r="E9" s="20" t="n"/>
    </row>
    <row r="10">
      <c r="A10" s="19">
        <f>IF(事例清單!A10="","",事例清單!A10)</f>
        <v/>
      </c>
      <c r="B10" s="19">
        <f>IF(事例清單!B10="","",事例清單!B10)</f>
        <v/>
      </c>
      <c r="C10" s="19">
        <f>IF(事例清單!C10="","",事例清單!C10)</f>
        <v/>
      </c>
      <c r="D10" s="19">
        <f>IF(事例清單!D10="","",事例清單!D10)</f>
        <v/>
      </c>
      <c r="E10" s="20" t="n"/>
    </row>
    <row r="11">
      <c r="A11" s="19">
        <f>IF(事例清單!A11="","",事例清單!A11)</f>
        <v/>
      </c>
      <c r="B11" s="19">
        <f>IF(事例清單!B11="","",事例清單!B11)</f>
        <v/>
      </c>
      <c r="C11" s="19">
        <f>IF(事例清單!C11="","",事例清單!C11)</f>
        <v/>
      </c>
      <c r="D11" s="19">
        <f>IF(事例清單!D11="","",事例清單!D11)</f>
        <v/>
      </c>
      <c r="E11" s="20" t="n"/>
    </row>
    <row r="12">
      <c r="A12" s="19">
        <f>IF(事例清單!A12="","",事例清單!A12)</f>
        <v/>
      </c>
      <c r="B12" s="19">
        <f>IF(事例清單!B12="","",事例清單!B12)</f>
        <v/>
      </c>
      <c r="C12" s="19">
        <f>IF(事例清單!C12="","",事例清單!C12)</f>
        <v/>
      </c>
      <c r="D12" s="19">
        <f>IF(事例清單!D12="","",事例清單!D12)</f>
        <v/>
      </c>
      <c r="E12" s="20" t="n"/>
    </row>
    <row r="13">
      <c r="A13" s="19">
        <f>IF(事例清單!A13="","",事例清單!A13)</f>
        <v/>
      </c>
      <c r="B13" s="19">
        <f>IF(事例清單!B13="","",事例清單!B13)</f>
        <v/>
      </c>
      <c r="C13" s="19">
        <f>IF(事例清單!C13="","",事例清單!C13)</f>
        <v/>
      </c>
      <c r="D13" s="19">
        <f>IF(事例清單!D13="","",事例清單!D13)</f>
        <v/>
      </c>
      <c r="E13" s="20" t="n"/>
    </row>
    <row r="14">
      <c r="A14" s="19">
        <f>IF(事例清單!A14="","",事例清單!A14)</f>
        <v/>
      </c>
      <c r="B14" s="19">
        <f>IF(事例清單!B14="","",事例清單!B14)</f>
        <v/>
      </c>
      <c r="C14" s="19">
        <f>IF(事例清單!C14="","",事例清單!C14)</f>
        <v/>
      </c>
      <c r="D14" s="19">
        <f>IF(事例清單!D14="","",事例清單!D14)</f>
        <v/>
      </c>
      <c r="E14" s="20" t="n"/>
    </row>
    <row r="15">
      <c r="A15" s="19">
        <f>IF(事例清單!A15="","",事例清單!A15)</f>
        <v/>
      </c>
      <c r="B15" s="19">
        <f>IF(事例清單!B15="","",事例清單!B15)</f>
        <v/>
      </c>
      <c r="C15" s="19">
        <f>IF(事例清單!C15="","",事例清單!C15)</f>
        <v/>
      </c>
      <c r="D15" s="19">
        <f>IF(事例清單!D15="","",事例清單!D15)</f>
        <v/>
      </c>
      <c r="E15" s="20" t="n"/>
    </row>
    <row r="16">
      <c r="A16" s="19">
        <f>IF(事例清單!A16="","",事例清單!A16)</f>
        <v/>
      </c>
      <c r="B16" s="19">
        <f>IF(事例清單!B16="","",事例清單!B16)</f>
        <v/>
      </c>
      <c r="C16" s="19">
        <f>IF(事例清單!C16="","",事例清單!C16)</f>
        <v/>
      </c>
      <c r="D16" s="19">
        <f>IF(事例清單!D16="","",事例清單!D16)</f>
        <v/>
      </c>
      <c r="E16" s="20" t="n"/>
    </row>
    <row r="17">
      <c r="A17" s="19">
        <f>IF(事例清單!A17="","",事例清單!A17)</f>
        <v/>
      </c>
      <c r="B17" s="19">
        <f>IF(事例清單!B17="","",事例清單!B17)</f>
        <v/>
      </c>
      <c r="C17" s="19">
        <f>IF(事例清單!C17="","",事例清單!C17)</f>
        <v/>
      </c>
      <c r="D17" s="19">
        <f>IF(事例清單!D17="","",事例清單!D17)</f>
        <v/>
      </c>
      <c r="E17" s="20" t="n"/>
    </row>
    <row r="18">
      <c r="A18" s="19">
        <f>IF(事例清單!A18="","",事例清單!A18)</f>
        <v/>
      </c>
      <c r="B18" s="19">
        <f>IF(事例清單!B18="","",事例清單!B18)</f>
        <v/>
      </c>
      <c r="C18" s="19">
        <f>IF(事例清單!C18="","",事例清單!C18)</f>
        <v/>
      </c>
      <c r="D18" s="19">
        <f>IF(事例清單!D18="","",事例清單!D18)</f>
        <v/>
      </c>
      <c r="E18" s="20" t="n"/>
    </row>
    <row r="19">
      <c r="A19" s="19">
        <f>IF(事例清單!A19="","",事例清單!A19)</f>
        <v/>
      </c>
      <c r="B19" s="19">
        <f>IF(事例清單!B19="","",事例清單!B19)</f>
        <v/>
      </c>
      <c r="C19" s="19">
        <f>IF(事例清單!C19="","",事例清單!C19)</f>
        <v/>
      </c>
      <c r="D19" s="19">
        <f>IF(事例清單!D19="","",事例清單!D19)</f>
        <v/>
      </c>
      <c r="E19" s="20" t="n"/>
    </row>
    <row r="20">
      <c r="A20" s="19">
        <f>IF(事例清單!A20="","",事例清單!A20)</f>
        <v/>
      </c>
      <c r="B20" s="19">
        <f>IF(事例清單!B20="","",事例清單!B20)</f>
        <v/>
      </c>
      <c r="C20" s="19">
        <f>IF(事例清單!C20="","",事例清單!C20)</f>
        <v/>
      </c>
      <c r="D20" s="19">
        <f>IF(事例清單!D20="","",事例清單!D20)</f>
        <v/>
      </c>
      <c r="E20" s="20" t="n"/>
    </row>
    <row r="21">
      <c r="A21" s="19">
        <f>IF(事例清單!A21="","",事例清單!A21)</f>
        <v/>
      </c>
      <c r="B21" s="19">
        <f>IF(事例清單!B21="","",事例清單!B21)</f>
        <v/>
      </c>
      <c r="C21" s="19">
        <f>IF(事例清單!C21="","",事例清單!C21)</f>
        <v/>
      </c>
      <c r="D21" s="19">
        <f>IF(事例清單!D21="","",事例清單!D21)</f>
        <v/>
      </c>
      <c r="E21" s="20" t="n"/>
    </row>
    <row r="22">
      <c r="A22" s="19">
        <f>IF(事例清單!A22="","",事例清單!A22)</f>
        <v/>
      </c>
      <c r="B22" s="19">
        <f>IF(事例清單!B22="","",事例清單!B22)</f>
        <v/>
      </c>
      <c r="C22" s="19">
        <f>IF(事例清單!C22="","",事例清單!C22)</f>
        <v/>
      </c>
      <c r="D22" s="19">
        <f>IF(事例清單!D22="","",事例清單!D22)</f>
        <v/>
      </c>
      <c r="E22" s="20" t="n"/>
    </row>
    <row r="23">
      <c r="A23" s="19">
        <f>IF(事例清單!A23="","",事例清單!A23)</f>
        <v/>
      </c>
      <c r="B23" s="19">
        <f>IF(事例清單!B23="","",事例清單!B23)</f>
        <v/>
      </c>
      <c r="C23" s="19">
        <f>IF(事例清單!C23="","",事例清單!C23)</f>
        <v/>
      </c>
      <c r="D23" s="19">
        <f>IF(事例清單!D23="","",事例清單!D23)</f>
        <v/>
      </c>
      <c r="E23" s="20" t="n"/>
    </row>
    <row r="24">
      <c r="A24" s="19">
        <f>IF(事例清單!A24="","",事例清單!A24)</f>
        <v/>
      </c>
      <c r="B24" s="19">
        <f>IF(事例清單!B24="","",事例清單!B24)</f>
        <v/>
      </c>
      <c r="C24" s="19">
        <f>IF(事例清單!C24="","",事例清單!C24)</f>
        <v/>
      </c>
      <c r="D24" s="19">
        <f>IF(事例清單!D24="","",事例清單!D24)</f>
        <v/>
      </c>
      <c r="E24" s="20" t="n"/>
    </row>
    <row r="25">
      <c r="A25" s="19">
        <f>IF(事例清單!A25="","",事例清單!A25)</f>
        <v/>
      </c>
      <c r="B25" s="19">
        <f>IF(事例清單!B25="","",事例清單!B25)</f>
        <v/>
      </c>
      <c r="C25" s="19">
        <f>IF(事例清單!C25="","",事例清單!C25)</f>
        <v/>
      </c>
      <c r="D25" s="19">
        <f>IF(事例清單!D25="","",事例清單!D25)</f>
        <v/>
      </c>
      <c r="E25" s="20" t="n"/>
    </row>
    <row r="26">
      <c r="A26" s="19">
        <f>IF(事例清單!A26="","",事例清單!A26)</f>
        <v/>
      </c>
      <c r="B26" s="19">
        <f>IF(事例清單!B26="","",事例清單!B26)</f>
        <v/>
      </c>
      <c r="C26" s="19">
        <f>IF(事例清單!C26="","",事例清單!C26)</f>
        <v/>
      </c>
      <c r="D26" s="19">
        <f>IF(事例清單!D26="","",事例清單!D26)</f>
        <v/>
      </c>
      <c r="E26" s="20" t="n"/>
    </row>
    <row r="27">
      <c r="A27" s="19">
        <f>IF(事例清單!A27="","",事例清單!A27)</f>
        <v/>
      </c>
      <c r="B27" s="19">
        <f>IF(事例清單!B27="","",事例清單!B27)</f>
        <v/>
      </c>
      <c r="C27" s="19">
        <f>IF(事例清單!C27="","",事例清單!C27)</f>
        <v/>
      </c>
      <c r="D27" s="19">
        <f>IF(事例清單!D27="","",事例清單!D27)</f>
        <v/>
      </c>
      <c r="E27" s="20" t="n"/>
    </row>
    <row r="28">
      <c r="A28" s="19">
        <f>IF(事例清單!A28="","",事例清單!A28)</f>
        <v/>
      </c>
      <c r="B28" s="19">
        <f>IF(事例清單!B28="","",事例清單!B28)</f>
        <v/>
      </c>
      <c r="C28" s="19">
        <f>IF(事例清單!C28="","",事例清單!C28)</f>
        <v/>
      </c>
      <c r="D28" s="19">
        <f>IF(事例清單!D28="","",事例清單!D28)</f>
        <v/>
      </c>
      <c r="E28" s="20" t="n"/>
    </row>
    <row r="29">
      <c r="A29" s="19">
        <f>IF(事例清單!A29="","",事例清單!A29)</f>
        <v/>
      </c>
      <c r="B29" s="19">
        <f>IF(事例清單!B29="","",事例清單!B29)</f>
        <v/>
      </c>
      <c r="C29" s="19">
        <f>IF(事例清單!C29="","",事例清單!C29)</f>
        <v/>
      </c>
      <c r="D29" s="19">
        <f>IF(事例清單!D29="","",事例清單!D29)</f>
        <v/>
      </c>
      <c r="E29" s="20" t="n"/>
    </row>
    <row r="30">
      <c r="A30" s="19">
        <f>IF(事例清單!A30="","",事例清單!A30)</f>
        <v/>
      </c>
      <c r="B30" s="19">
        <f>IF(事例清單!B30="","",事例清單!B30)</f>
        <v/>
      </c>
      <c r="C30" s="19">
        <f>IF(事例清單!C30="","",事例清單!C30)</f>
        <v/>
      </c>
      <c r="D30" s="19">
        <f>IF(事例清單!D30="","",事例清單!D30)</f>
        <v/>
      </c>
      <c r="E30" s="20" t="n"/>
    </row>
    <row r="31">
      <c r="A31" s="19">
        <f>IF(事例清單!A31="","",事例清單!A31)</f>
        <v/>
      </c>
      <c r="B31" s="19">
        <f>IF(事例清單!B31="","",事例清單!B31)</f>
        <v/>
      </c>
      <c r="C31" s="19">
        <f>IF(事例清單!C31="","",事例清單!C31)</f>
        <v/>
      </c>
      <c r="D31" s="19">
        <f>IF(事例清單!D31="","",事例清單!D31)</f>
        <v/>
      </c>
      <c r="E31" s="20" t="n"/>
    </row>
    <row r="32">
      <c r="A32" s="19">
        <f>IF(事例清單!A32="","",事例清單!A32)</f>
        <v/>
      </c>
      <c r="B32" s="19">
        <f>IF(事例清單!B32="","",事例清單!B32)</f>
        <v/>
      </c>
      <c r="C32" s="19">
        <f>IF(事例清單!C32="","",事例清單!C32)</f>
        <v/>
      </c>
      <c r="D32" s="19">
        <f>IF(事例清單!D32="","",事例清單!D32)</f>
        <v/>
      </c>
      <c r="E32" s="20" t="n"/>
    </row>
    <row r="33">
      <c r="A33" s="19">
        <f>IF(事例清單!A33="","",事例清單!A33)</f>
        <v/>
      </c>
      <c r="B33" s="19">
        <f>IF(事例清單!B33="","",事例清單!B33)</f>
        <v/>
      </c>
      <c r="C33" s="19">
        <f>IF(事例清單!C33="","",事例清單!C33)</f>
        <v/>
      </c>
      <c r="D33" s="19">
        <f>IF(事例清單!D33="","",事例清單!D33)</f>
        <v/>
      </c>
      <c r="E33" s="20" t="n"/>
    </row>
    <row r="34">
      <c r="A34" s="19">
        <f>IF(事例清單!A34="","",事例清單!A34)</f>
        <v/>
      </c>
      <c r="B34" s="19">
        <f>IF(事例清單!B34="","",事例清單!B34)</f>
        <v/>
      </c>
      <c r="C34" s="19">
        <f>IF(事例清單!C34="","",事例清單!C34)</f>
        <v/>
      </c>
      <c r="D34" s="19">
        <f>IF(事例清單!D34="","",事例清單!D34)</f>
        <v/>
      </c>
      <c r="E34" s="20" t="n"/>
    </row>
    <row r="35">
      <c r="A35" s="19">
        <f>IF(事例清單!A35="","",事例清單!A35)</f>
        <v/>
      </c>
      <c r="B35" s="19">
        <f>IF(事例清單!B35="","",事例清單!B35)</f>
        <v/>
      </c>
      <c r="C35" s="19">
        <f>IF(事例清單!C35="","",事例清單!C35)</f>
        <v/>
      </c>
      <c r="D35" s="19">
        <f>IF(事例清單!D35="","",事例清單!D35)</f>
        <v/>
      </c>
      <c r="E35" s="20" t="n"/>
    </row>
    <row r="36">
      <c r="A36" s="19">
        <f>IF(事例清單!A36="","",事例清單!A36)</f>
        <v/>
      </c>
      <c r="B36" s="19">
        <f>IF(事例清單!B36="","",事例清單!B36)</f>
        <v/>
      </c>
      <c r="C36" s="19">
        <f>IF(事例清單!C36="","",事例清單!C36)</f>
        <v/>
      </c>
      <c r="D36" s="19">
        <f>IF(事例清單!D36="","",事例清單!D36)</f>
        <v/>
      </c>
      <c r="E36" s="20" t="n"/>
    </row>
    <row r="37">
      <c r="A37" s="19">
        <f>IF(事例清單!A37="","",事例清單!A37)</f>
        <v/>
      </c>
      <c r="B37" s="19">
        <f>IF(事例清單!B37="","",事例清單!B37)</f>
        <v/>
      </c>
      <c r="C37" s="19">
        <f>IF(事例清單!C37="","",事例清單!C37)</f>
        <v/>
      </c>
      <c r="D37" s="19">
        <f>IF(事例清單!D37="","",事例清單!D37)</f>
        <v/>
      </c>
      <c r="E37" s="20" t="n"/>
    </row>
    <row r="38">
      <c r="A38" s="19">
        <f>IF(事例清單!A38="","",事例清單!A38)</f>
        <v/>
      </c>
      <c r="B38" s="19">
        <f>IF(事例清單!B38="","",事例清單!B38)</f>
        <v/>
      </c>
      <c r="C38" s="19">
        <f>IF(事例清單!C38="","",事例清單!C38)</f>
        <v/>
      </c>
      <c r="D38" s="19">
        <f>IF(事例清單!D38="","",事例清單!D38)</f>
        <v/>
      </c>
      <c r="E38" s="20" t="n"/>
    </row>
    <row r="39">
      <c r="A39" s="19">
        <f>IF(事例清單!A39="","",事例清單!A39)</f>
        <v/>
      </c>
      <c r="B39" s="19">
        <f>IF(事例清單!B39="","",事例清單!B39)</f>
        <v/>
      </c>
      <c r="C39" s="19">
        <f>IF(事例清單!C39="","",事例清單!C39)</f>
        <v/>
      </c>
      <c r="D39" s="19">
        <f>IF(事例清單!D39="","",事例清單!D39)</f>
        <v/>
      </c>
      <c r="E39" s="20" t="n"/>
    </row>
    <row r="40">
      <c r="A40" s="19">
        <f>IF(事例清單!A40="","",事例清單!A40)</f>
        <v/>
      </c>
      <c r="B40" s="19">
        <f>IF(事例清單!B40="","",事例清單!B40)</f>
        <v/>
      </c>
      <c r="C40" s="19">
        <f>IF(事例清單!C40="","",事例清單!C40)</f>
        <v/>
      </c>
      <c r="D40" s="19">
        <f>IF(事例清單!D40="","",事例清單!D40)</f>
        <v/>
      </c>
      <c r="E40" s="20" t="n"/>
    </row>
    <row r="41">
      <c r="A41" s="19">
        <f>IF(事例清單!A41="","",事例清單!A41)</f>
        <v/>
      </c>
      <c r="B41" s="19">
        <f>IF(事例清單!B41="","",事例清單!B41)</f>
        <v/>
      </c>
      <c r="C41" s="19">
        <f>IF(事例清單!C41="","",事例清單!C41)</f>
        <v/>
      </c>
      <c r="D41" s="19">
        <f>IF(事例清單!D41="","",事例清單!D41)</f>
        <v/>
      </c>
      <c r="E41" s="20" t="n"/>
    </row>
    <row r="42">
      <c r="A42" s="19">
        <f>IF(事例清單!A42="","",事例清單!A42)</f>
        <v/>
      </c>
      <c r="B42" s="19">
        <f>IF(事例清單!B42="","",事例清單!B42)</f>
        <v/>
      </c>
      <c r="C42" s="19">
        <f>IF(事例清單!C42="","",事例清單!C42)</f>
        <v/>
      </c>
      <c r="D42" s="19">
        <f>IF(事例清單!D42="","",事例清單!D42)</f>
        <v/>
      </c>
      <c r="E42" s="20" t="n"/>
    </row>
    <row r="43">
      <c r="A43" s="19">
        <f>IF(事例清單!A43="","",事例清單!A43)</f>
        <v/>
      </c>
      <c r="B43" s="19">
        <f>IF(事例清單!B43="","",事例清單!B43)</f>
        <v/>
      </c>
      <c r="C43" s="19">
        <f>IF(事例清單!C43="","",事例清單!C43)</f>
        <v/>
      </c>
      <c r="D43" s="19">
        <f>IF(事例清單!D43="","",事例清單!D43)</f>
        <v/>
      </c>
      <c r="E43" s="20" t="n"/>
    </row>
    <row r="44">
      <c r="A44" s="19">
        <f>IF(事例清單!A44="","",事例清單!A44)</f>
        <v/>
      </c>
      <c r="B44" s="19">
        <f>IF(事例清單!B44="","",事例清單!B44)</f>
        <v/>
      </c>
      <c r="C44" s="19">
        <f>IF(事例清單!C44="","",事例清單!C44)</f>
        <v/>
      </c>
      <c r="D44" s="19">
        <f>IF(事例清單!D44="","",事例清單!D44)</f>
        <v/>
      </c>
      <c r="E44" s="20" t="n"/>
    </row>
    <row r="45">
      <c r="A45" s="19">
        <f>IF(事例清單!A45="","",事例清單!A45)</f>
        <v/>
      </c>
      <c r="B45" s="19">
        <f>IF(事例清單!B45="","",事例清單!B45)</f>
        <v/>
      </c>
      <c r="C45" s="19">
        <f>IF(事例清單!C45="","",事例清單!C45)</f>
        <v/>
      </c>
      <c r="D45" s="19">
        <f>IF(事例清單!D45="","",事例清單!D45)</f>
        <v/>
      </c>
      <c r="E45" s="20" t="n"/>
    </row>
    <row r="46">
      <c r="A46" s="19">
        <f>IF(事例清單!A46="","",事例清單!A46)</f>
        <v/>
      </c>
      <c r="B46" s="19">
        <f>IF(事例清單!B46="","",事例清單!B46)</f>
        <v/>
      </c>
      <c r="C46" s="19">
        <f>IF(事例清單!C46="","",事例清單!C46)</f>
        <v/>
      </c>
      <c r="D46" s="19">
        <f>IF(事例清單!D46="","",事例清單!D46)</f>
        <v/>
      </c>
      <c r="E46" s="20" t="n"/>
    </row>
    <row r="47">
      <c r="A47" s="19">
        <f>IF(事例清單!A47="","",事例清單!A47)</f>
        <v/>
      </c>
      <c r="B47" s="19">
        <f>IF(事例清單!B47="","",事例清單!B47)</f>
        <v/>
      </c>
      <c r="C47" s="19">
        <f>IF(事例清單!C47="","",事例清單!C47)</f>
        <v/>
      </c>
      <c r="D47" s="19">
        <f>IF(事例清單!D47="","",事例清單!D47)</f>
        <v/>
      </c>
      <c r="E47" s="20" t="n"/>
    </row>
    <row r="48">
      <c r="A48" s="19">
        <f>IF(事例清單!A48="","",事例清單!A48)</f>
        <v/>
      </c>
      <c r="B48" s="19">
        <f>IF(事例清單!B48="","",事例清單!B48)</f>
        <v/>
      </c>
      <c r="C48" s="19">
        <f>IF(事例清單!C48="","",事例清單!C48)</f>
        <v/>
      </c>
      <c r="D48" s="19">
        <f>IF(事例清單!D48="","",事例清單!D48)</f>
        <v/>
      </c>
      <c r="E48" s="20" t="n"/>
    </row>
    <row r="49">
      <c r="A49" s="19">
        <f>IF(事例清單!A49="","",事例清單!A49)</f>
        <v/>
      </c>
      <c r="B49" s="19">
        <f>IF(事例清單!B49="","",事例清單!B49)</f>
        <v/>
      </c>
      <c r="C49" s="19">
        <f>IF(事例清單!C49="","",事例清單!C49)</f>
        <v/>
      </c>
      <c r="D49" s="19">
        <f>IF(事例清單!D49="","",事例清單!D49)</f>
        <v/>
      </c>
      <c r="E49" s="20" t="n"/>
    </row>
    <row r="50">
      <c r="A50" s="19">
        <f>IF(事例清單!A50="","",事例清單!A50)</f>
        <v/>
      </c>
      <c r="B50" s="19">
        <f>IF(事例清單!B50="","",事例清單!B50)</f>
        <v/>
      </c>
      <c r="C50" s="19">
        <f>IF(事例清單!C50="","",事例清單!C50)</f>
        <v/>
      </c>
      <c r="D50" s="19">
        <f>IF(事例清單!D50="","",事例清單!D50)</f>
        <v/>
      </c>
      <c r="E50" s="20" t="n"/>
    </row>
    <row r="51">
      <c r="A51" s="19">
        <f>IF(事例清單!A51="","",事例清單!A51)</f>
        <v/>
      </c>
      <c r="B51" s="19">
        <f>IF(事例清單!B51="","",事例清單!B51)</f>
        <v/>
      </c>
      <c r="C51" s="19">
        <f>IF(事例清單!C51="","",事例清單!C51)</f>
        <v/>
      </c>
      <c r="D51" s="19">
        <f>IF(事例清單!D51="","",事例清單!D51)</f>
        <v/>
      </c>
      <c r="E51" s="20" t="n"/>
    </row>
    <row r="52">
      <c r="A52" s="19">
        <f>IF(事例清單!A52="","",事例清單!A52)</f>
        <v/>
      </c>
      <c r="B52" s="19">
        <f>IF(事例清單!B52="","",事例清單!B52)</f>
        <v/>
      </c>
      <c r="C52" s="19">
        <f>IF(事例清單!C52="","",事例清單!C52)</f>
        <v/>
      </c>
      <c r="D52" s="19">
        <f>IF(事例清單!D52="","",事例清單!D52)</f>
        <v/>
      </c>
      <c r="E52" s="20" t="n"/>
    </row>
    <row r="53">
      <c r="A53" s="19">
        <f>IF(事例清單!A53="","",事例清單!A53)</f>
        <v/>
      </c>
      <c r="B53" s="19">
        <f>IF(事例清單!B53="","",事例清單!B53)</f>
        <v/>
      </c>
      <c r="C53" s="19">
        <f>IF(事例清單!C53="","",事例清單!C53)</f>
        <v/>
      </c>
      <c r="D53" s="19">
        <f>IF(事例清單!D53="","",事例清單!D53)</f>
        <v/>
      </c>
      <c r="E53" s="20" t="n"/>
    </row>
    <row r="54">
      <c r="A54" s="19">
        <f>IF(事例清單!A54="","",事例清單!A54)</f>
        <v/>
      </c>
      <c r="B54" s="19">
        <f>IF(事例清單!B54="","",事例清單!B54)</f>
        <v/>
      </c>
      <c r="C54" s="19">
        <f>IF(事例清單!C54="","",事例清單!C54)</f>
        <v/>
      </c>
      <c r="D54" s="19">
        <f>IF(事例清單!D54="","",事例清單!D54)</f>
        <v/>
      </c>
      <c r="E54" s="20" t="n"/>
    </row>
    <row r="55">
      <c r="A55" s="19">
        <f>IF(事例清單!A55="","",事例清單!A55)</f>
        <v/>
      </c>
      <c r="B55" s="19">
        <f>IF(事例清單!B55="","",事例清單!B55)</f>
        <v/>
      </c>
      <c r="C55" s="19">
        <f>IF(事例清單!C55="","",事例清單!C55)</f>
        <v/>
      </c>
      <c r="D55" s="19">
        <f>IF(事例清單!D55="","",事例清單!D55)</f>
        <v/>
      </c>
      <c r="E55" s="20" t="n"/>
    </row>
    <row r="56">
      <c r="A56" s="19">
        <f>IF(事例清單!A56="","",事例清單!A56)</f>
        <v/>
      </c>
      <c r="B56" s="19">
        <f>IF(事例清單!B56="","",事例清單!B56)</f>
        <v/>
      </c>
      <c r="C56" s="19">
        <f>IF(事例清單!C56="","",事例清單!C56)</f>
        <v/>
      </c>
      <c r="D56" s="19">
        <f>IF(事例清單!D56="","",事例清單!D56)</f>
        <v/>
      </c>
      <c r="E56" s="20" t="n"/>
    </row>
    <row r="57">
      <c r="A57" s="19">
        <f>IF(事例清單!A57="","",事例清單!A57)</f>
        <v/>
      </c>
      <c r="B57" s="19">
        <f>IF(事例清單!B57="","",事例清單!B57)</f>
        <v/>
      </c>
      <c r="C57" s="19">
        <f>IF(事例清單!C57="","",事例清單!C57)</f>
        <v/>
      </c>
      <c r="D57" s="19">
        <f>IF(事例清單!D57="","",事例清單!D57)</f>
        <v/>
      </c>
      <c r="E57" s="20" t="n"/>
    </row>
    <row r="58">
      <c r="A58" s="19">
        <f>IF(事例清單!A58="","",事例清單!A58)</f>
        <v/>
      </c>
      <c r="B58" s="19">
        <f>IF(事例清單!B58="","",事例清單!B58)</f>
        <v/>
      </c>
      <c r="C58" s="19">
        <f>IF(事例清單!C58="","",事例清單!C58)</f>
        <v/>
      </c>
      <c r="D58" s="19">
        <f>IF(事例清單!D58="","",事例清單!D58)</f>
        <v/>
      </c>
      <c r="E58" s="20" t="n"/>
    </row>
    <row r="59">
      <c r="A59" s="19">
        <f>IF(事例清單!A59="","",事例清單!A59)</f>
        <v/>
      </c>
      <c r="B59" s="19">
        <f>IF(事例清單!B59="","",事例清單!B59)</f>
        <v/>
      </c>
      <c r="C59" s="19">
        <f>IF(事例清單!C59="","",事例清單!C59)</f>
        <v/>
      </c>
      <c r="D59" s="19">
        <f>IF(事例清單!D59="","",事例清單!D59)</f>
        <v/>
      </c>
      <c r="E59" s="20" t="n"/>
    </row>
    <row r="60">
      <c r="A60" s="19">
        <f>IF(事例清單!A60="","",事例清單!A60)</f>
        <v/>
      </c>
      <c r="B60" s="19">
        <f>IF(事例清單!B60="","",事例清單!B60)</f>
        <v/>
      </c>
      <c r="C60" s="19">
        <f>IF(事例清單!C60="","",事例清單!C60)</f>
        <v/>
      </c>
      <c r="D60" s="19">
        <f>IF(事例清單!D60="","",事例清單!D60)</f>
        <v/>
      </c>
      <c r="E60" s="20" t="n"/>
    </row>
    <row r="61">
      <c r="A61" s="19">
        <f>IF(事例清單!A61="","",事例清單!A61)</f>
        <v/>
      </c>
      <c r="B61" s="19">
        <f>IF(事例清單!B61="","",事例清單!B61)</f>
        <v/>
      </c>
      <c r="C61" s="19">
        <f>IF(事例清單!C61="","",事例清單!C61)</f>
        <v/>
      </c>
      <c r="D61" s="19">
        <f>IF(事例清單!D61="","",事例清單!D61)</f>
        <v/>
      </c>
      <c r="E61" s="20" t="n"/>
    </row>
    <row r="62">
      <c r="A62" s="19">
        <f>IF(事例清單!A62="","",事例清單!A62)</f>
        <v/>
      </c>
      <c r="B62" s="19">
        <f>IF(事例清單!B62="","",事例清單!B62)</f>
        <v/>
      </c>
      <c r="C62" s="19">
        <f>IF(事例清單!C62="","",事例清單!C62)</f>
        <v/>
      </c>
      <c r="D62" s="19">
        <f>IF(事例清單!D62="","",事例清單!D62)</f>
        <v/>
      </c>
      <c r="E62" s="20" t="n"/>
    </row>
    <row r="63">
      <c r="A63" s="19">
        <f>IF(事例清單!A63="","",事例清單!A63)</f>
        <v/>
      </c>
      <c r="B63" s="19">
        <f>IF(事例清單!B63="","",事例清單!B63)</f>
        <v/>
      </c>
      <c r="C63" s="19">
        <f>IF(事例清單!C63="","",事例清單!C63)</f>
        <v/>
      </c>
      <c r="D63" s="19">
        <f>IF(事例清單!D63="","",事例清單!D63)</f>
        <v/>
      </c>
      <c r="E63" s="20" t="n"/>
    </row>
    <row r="64">
      <c r="A64" s="19">
        <f>IF(事例清單!A64="","",事例清單!A64)</f>
        <v/>
      </c>
      <c r="B64" s="19">
        <f>IF(事例清單!B64="","",事例清單!B64)</f>
        <v/>
      </c>
      <c r="C64" s="19">
        <f>IF(事例清單!C64="","",事例清單!C64)</f>
        <v/>
      </c>
      <c r="D64" s="19">
        <f>IF(事例清單!D64="","",事例清單!D64)</f>
        <v/>
      </c>
      <c r="E64" s="20" t="n"/>
    </row>
    <row r="65">
      <c r="A65" s="19">
        <f>IF(事例清單!A65="","",事例清單!A65)</f>
        <v/>
      </c>
      <c r="B65" s="19">
        <f>IF(事例清單!B65="","",事例清單!B65)</f>
        <v/>
      </c>
      <c r="C65" s="19">
        <f>IF(事例清單!C65="","",事例清單!C65)</f>
        <v/>
      </c>
      <c r="D65" s="19">
        <f>IF(事例清單!D65="","",事例清單!D65)</f>
        <v/>
      </c>
      <c r="E65" s="20" t="n"/>
    </row>
    <row r="66">
      <c r="A66" s="19">
        <f>IF(事例清單!A66="","",事例清單!A66)</f>
        <v/>
      </c>
      <c r="B66" s="19">
        <f>IF(事例清單!B66="","",事例清單!B66)</f>
        <v/>
      </c>
      <c r="C66" s="19">
        <f>IF(事例清單!C66="","",事例清單!C66)</f>
        <v/>
      </c>
      <c r="D66" s="19">
        <f>IF(事例清單!D66="","",事例清單!D66)</f>
        <v/>
      </c>
      <c r="E66" s="20" t="n"/>
    </row>
    <row r="67">
      <c r="A67" s="19">
        <f>IF(事例清單!A67="","",事例清單!A67)</f>
        <v/>
      </c>
      <c r="B67" s="19">
        <f>IF(事例清單!B67="","",事例清單!B67)</f>
        <v/>
      </c>
      <c r="C67" s="19">
        <f>IF(事例清單!C67="","",事例清單!C67)</f>
        <v/>
      </c>
      <c r="D67" s="19">
        <f>IF(事例清單!D67="","",事例清單!D67)</f>
        <v/>
      </c>
      <c r="E67" s="20" t="n"/>
    </row>
    <row r="68">
      <c r="A68" s="19">
        <f>IF(事例清單!A68="","",事例清單!A68)</f>
        <v/>
      </c>
      <c r="B68" s="19">
        <f>IF(事例清單!B68="","",事例清單!B68)</f>
        <v/>
      </c>
      <c r="C68" s="19">
        <f>IF(事例清單!C68="","",事例清單!C68)</f>
        <v/>
      </c>
      <c r="D68" s="19">
        <f>IF(事例清單!D68="","",事例清單!D68)</f>
        <v/>
      </c>
      <c r="E68" s="20" t="n"/>
    </row>
    <row r="69">
      <c r="A69" s="19">
        <f>IF(事例清單!A69="","",事例清單!A69)</f>
        <v/>
      </c>
      <c r="B69" s="19">
        <f>IF(事例清單!B69="","",事例清單!B69)</f>
        <v/>
      </c>
      <c r="C69" s="19">
        <f>IF(事例清單!C69="","",事例清單!C69)</f>
        <v/>
      </c>
      <c r="D69" s="19">
        <f>IF(事例清單!D69="","",事例清單!D69)</f>
        <v/>
      </c>
      <c r="E69" s="20" t="n"/>
    </row>
    <row r="70">
      <c r="A70" s="19">
        <f>IF(事例清單!A70="","",事例清單!A70)</f>
        <v/>
      </c>
      <c r="B70" s="19">
        <f>IF(事例清單!B70="","",事例清單!B70)</f>
        <v/>
      </c>
      <c r="C70" s="19">
        <f>IF(事例清單!C70="","",事例清單!C70)</f>
        <v/>
      </c>
      <c r="D70" s="19">
        <f>IF(事例清單!D70="","",事例清單!D70)</f>
        <v/>
      </c>
      <c r="E70" s="20" t="n"/>
    </row>
    <row r="71">
      <c r="A71" s="19">
        <f>IF(事例清單!A71="","",事例清單!A71)</f>
        <v/>
      </c>
      <c r="B71" s="19">
        <f>IF(事例清單!B71="","",事例清單!B71)</f>
        <v/>
      </c>
      <c r="C71" s="19">
        <f>IF(事例清單!C71="","",事例清單!C71)</f>
        <v/>
      </c>
      <c r="D71" s="19">
        <f>IF(事例清單!D71="","",事例清單!D71)</f>
        <v/>
      </c>
      <c r="E71" s="20" t="n"/>
    </row>
    <row r="72">
      <c r="A72" s="19">
        <f>IF(事例清單!A72="","",事例清單!A72)</f>
        <v/>
      </c>
      <c r="B72" s="19">
        <f>IF(事例清單!B72="","",事例清單!B72)</f>
        <v/>
      </c>
      <c r="C72" s="19">
        <f>IF(事例清單!C72="","",事例清單!C72)</f>
        <v/>
      </c>
      <c r="D72" s="19">
        <f>IF(事例清單!D72="","",事例清單!D72)</f>
        <v/>
      </c>
      <c r="E72" s="20" t="n"/>
    </row>
    <row r="73">
      <c r="A73" s="19">
        <f>IF(事例清單!A73="","",事例清單!A73)</f>
        <v/>
      </c>
      <c r="B73" s="19">
        <f>IF(事例清單!B73="","",事例清單!B73)</f>
        <v/>
      </c>
      <c r="C73" s="19">
        <f>IF(事例清單!C73="","",事例清單!C73)</f>
        <v/>
      </c>
      <c r="D73" s="19">
        <f>IF(事例清單!D73="","",事例清單!D73)</f>
        <v/>
      </c>
      <c r="E73" s="20" t="n"/>
    </row>
    <row r="74">
      <c r="A74" s="19">
        <f>IF(事例清單!A74="","",事例清單!A74)</f>
        <v/>
      </c>
      <c r="B74" s="19">
        <f>IF(事例清單!B74="","",事例清單!B74)</f>
        <v/>
      </c>
      <c r="C74" s="19">
        <f>IF(事例清單!C74="","",事例清單!C74)</f>
        <v/>
      </c>
      <c r="D74" s="19">
        <f>IF(事例清單!D74="","",事例清單!D74)</f>
        <v/>
      </c>
      <c r="E74" s="20" t="n"/>
    </row>
    <row r="75">
      <c r="A75" s="19">
        <f>IF(事例清單!A75="","",事例清單!A75)</f>
        <v/>
      </c>
      <c r="B75" s="19">
        <f>IF(事例清單!B75="","",事例清單!B75)</f>
        <v/>
      </c>
      <c r="C75" s="19">
        <f>IF(事例清單!C75="","",事例清單!C75)</f>
        <v/>
      </c>
      <c r="D75" s="19">
        <f>IF(事例清單!D75="","",事例清單!D75)</f>
        <v/>
      </c>
      <c r="E75" s="20" t="n"/>
    </row>
    <row r="76">
      <c r="A76" s="19">
        <f>IF(事例清單!A76="","",事例清單!A76)</f>
        <v/>
      </c>
      <c r="B76" s="19">
        <f>IF(事例清單!B76="","",事例清單!B76)</f>
        <v/>
      </c>
      <c r="C76" s="19">
        <f>IF(事例清單!C76="","",事例清單!C76)</f>
        <v/>
      </c>
      <c r="D76" s="19">
        <f>IF(事例清單!D76="","",事例清單!D76)</f>
        <v/>
      </c>
      <c r="E76" s="20" t="n"/>
    </row>
    <row r="77">
      <c r="A77" s="19">
        <f>IF(事例清單!A77="","",事例清單!A77)</f>
        <v/>
      </c>
      <c r="B77" s="19">
        <f>IF(事例清單!B77="","",事例清單!B77)</f>
        <v/>
      </c>
      <c r="C77" s="19">
        <f>IF(事例清單!C77="","",事例清單!C77)</f>
        <v/>
      </c>
      <c r="D77" s="19">
        <f>IF(事例清單!D77="","",事例清單!D77)</f>
        <v/>
      </c>
      <c r="E77" s="20" t="n"/>
    </row>
    <row r="78">
      <c r="A78" s="19">
        <f>IF(事例清單!A78="","",事例清單!A78)</f>
        <v/>
      </c>
      <c r="B78" s="19">
        <f>IF(事例清單!B78="","",事例清單!B78)</f>
        <v/>
      </c>
      <c r="C78" s="19">
        <f>IF(事例清單!C78="","",事例清單!C78)</f>
        <v/>
      </c>
      <c r="D78" s="19">
        <f>IF(事例清單!D78="","",事例清單!D78)</f>
        <v/>
      </c>
      <c r="E78" s="20" t="n"/>
    </row>
    <row r="79">
      <c r="A79" s="19">
        <f>IF(事例清單!A79="","",事例清單!A79)</f>
        <v/>
      </c>
      <c r="B79" s="19">
        <f>IF(事例清單!B79="","",事例清單!B79)</f>
        <v/>
      </c>
      <c r="C79" s="19">
        <f>IF(事例清單!C79="","",事例清單!C79)</f>
        <v/>
      </c>
      <c r="D79" s="19">
        <f>IF(事例清單!D79="","",事例清單!D79)</f>
        <v/>
      </c>
      <c r="E79" s="20" t="n"/>
    </row>
    <row r="80">
      <c r="A80" s="19">
        <f>IF(事例清單!A80="","",事例清單!A80)</f>
        <v/>
      </c>
      <c r="B80" s="19">
        <f>IF(事例清單!B80="","",事例清單!B80)</f>
        <v/>
      </c>
      <c r="C80" s="19">
        <f>IF(事例清單!C80="","",事例清單!C80)</f>
        <v/>
      </c>
      <c r="D80" s="19">
        <f>IF(事例清單!D80="","",事例清單!D80)</f>
        <v/>
      </c>
      <c r="E80" s="20" t="n"/>
    </row>
    <row r="81">
      <c r="A81" s="19">
        <f>IF(事例清單!A81="","",事例清單!A81)</f>
        <v/>
      </c>
      <c r="B81" s="19">
        <f>IF(事例清單!B81="","",事例清單!B81)</f>
        <v/>
      </c>
      <c r="C81" s="19">
        <f>IF(事例清單!C81="","",事例清單!C81)</f>
        <v/>
      </c>
      <c r="D81" s="19">
        <f>IF(事例清單!D81="","",事例清單!D81)</f>
        <v/>
      </c>
      <c r="E81" s="20" t="n"/>
    </row>
    <row r="82">
      <c r="A82" s="19">
        <f>IF(事例清單!A82="","",事例清單!A82)</f>
        <v/>
      </c>
      <c r="B82" s="19">
        <f>IF(事例清單!B82="","",事例清單!B82)</f>
        <v/>
      </c>
      <c r="C82" s="19">
        <f>IF(事例清單!C82="","",事例清單!C82)</f>
        <v/>
      </c>
      <c r="D82" s="19">
        <f>IF(事例清單!D82="","",事例清單!D82)</f>
        <v/>
      </c>
      <c r="E82" s="20" t="n"/>
    </row>
    <row r="83">
      <c r="A83" s="19">
        <f>IF(事例清單!A83="","",事例清單!A83)</f>
        <v/>
      </c>
      <c r="B83" s="19">
        <f>IF(事例清單!B83="","",事例清單!B83)</f>
        <v/>
      </c>
      <c r="C83" s="19">
        <f>IF(事例清單!C83="","",事例清單!C83)</f>
        <v/>
      </c>
      <c r="D83" s="19">
        <f>IF(事例清單!D83="","",事例清單!D83)</f>
        <v/>
      </c>
      <c r="E83" s="20" t="n"/>
    </row>
    <row r="84">
      <c r="A84" s="19">
        <f>IF(事例清單!A84="","",事例清單!A84)</f>
        <v/>
      </c>
      <c r="B84" s="19">
        <f>IF(事例清單!B84="","",事例清單!B84)</f>
        <v/>
      </c>
      <c r="C84" s="19">
        <f>IF(事例清單!C84="","",事例清單!C84)</f>
        <v/>
      </c>
      <c r="D84" s="19">
        <f>IF(事例清單!D84="","",事例清單!D84)</f>
        <v/>
      </c>
      <c r="E84" s="20" t="n"/>
    </row>
    <row r="85">
      <c r="A85" s="19">
        <f>IF(事例清單!A85="","",事例清單!A85)</f>
        <v/>
      </c>
      <c r="B85" s="19">
        <f>IF(事例清單!B85="","",事例清單!B85)</f>
        <v/>
      </c>
      <c r="C85" s="19">
        <f>IF(事例清單!C85="","",事例清單!C85)</f>
        <v/>
      </c>
      <c r="D85" s="19">
        <f>IF(事例清單!D85="","",事例清單!D85)</f>
        <v/>
      </c>
      <c r="E85" s="20" t="n"/>
    </row>
    <row r="86">
      <c r="A86" s="19">
        <f>IF(事例清單!A86="","",事例清單!A86)</f>
        <v/>
      </c>
      <c r="B86" s="19">
        <f>IF(事例清單!B86="","",事例清單!B86)</f>
        <v/>
      </c>
      <c r="C86" s="19">
        <f>IF(事例清單!C86="","",事例清單!C86)</f>
        <v/>
      </c>
      <c r="D86" s="19">
        <f>IF(事例清單!D86="","",事例清單!D86)</f>
        <v/>
      </c>
      <c r="E86" s="20" t="n"/>
    </row>
    <row r="87">
      <c r="A87" s="19">
        <f>IF(事例清單!A87="","",事例清單!A87)</f>
        <v/>
      </c>
      <c r="B87" s="19">
        <f>IF(事例清單!B87="","",事例清單!B87)</f>
        <v/>
      </c>
      <c r="C87" s="19">
        <f>IF(事例清單!C87="","",事例清單!C87)</f>
        <v/>
      </c>
      <c r="D87" s="19">
        <f>IF(事例清單!D87="","",事例清單!D87)</f>
        <v/>
      </c>
      <c r="E87" s="20" t="n"/>
    </row>
    <row r="88">
      <c r="A88" s="19">
        <f>IF(事例清單!A88="","",事例清單!A88)</f>
        <v/>
      </c>
      <c r="B88" s="19">
        <f>IF(事例清單!B88="","",事例清單!B88)</f>
        <v/>
      </c>
      <c r="C88" s="19">
        <f>IF(事例清單!C88="","",事例清單!C88)</f>
        <v/>
      </c>
      <c r="D88" s="19">
        <f>IF(事例清單!D88="","",事例清單!D88)</f>
        <v/>
      </c>
      <c r="E88" s="20" t="n"/>
    </row>
    <row r="89">
      <c r="A89" s="19">
        <f>IF(事例清單!A89="","",事例清單!A89)</f>
        <v/>
      </c>
      <c r="B89" s="19">
        <f>IF(事例清單!B89="","",事例清單!B89)</f>
        <v/>
      </c>
      <c r="C89" s="19">
        <f>IF(事例清單!C89="","",事例清單!C89)</f>
        <v/>
      </c>
      <c r="D89" s="19">
        <f>IF(事例清單!D89="","",事例清單!D89)</f>
        <v/>
      </c>
      <c r="E89" s="20" t="n"/>
    </row>
    <row r="90">
      <c r="A90" s="19">
        <f>IF(事例清單!A90="","",事例清單!A90)</f>
        <v/>
      </c>
      <c r="B90" s="19">
        <f>IF(事例清單!B90="","",事例清單!B90)</f>
        <v/>
      </c>
      <c r="C90" s="19">
        <f>IF(事例清單!C90="","",事例清單!C90)</f>
        <v/>
      </c>
      <c r="D90" s="19">
        <f>IF(事例清單!D90="","",事例清單!D90)</f>
        <v/>
      </c>
      <c r="E90" s="20" t="n"/>
    </row>
    <row r="91">
      <c r="A91" s="19">
        <f>IF(事例清單!A91="","",事例清單!A91)</f>
        <v/>
      </c>
      <c r="B91" s="19">
        <f>IF(事例清單!B91="","",事例清單!B91)</f>
        <v/>
      </c>
      <c r="C91" s="19">
        <f>IF(事例清單!C91="","",事例清單!C91)</f>
        <v/>
      </c>
      <c r="D91" s="19">
        <f>IF(事例清單!D91="","",事例清單!D91)</f>
        <v/>
      </c>
      <c r="E91" s="20" t="n"/>
    </row>
    <row r="92">
      <c r="A92" s="19">
        <f>IF(事例清單!A92="","",事例清單!A92)</f>
        <v/>
      </c>
      <c r="B92" s="19">
        <f>IF(事例清單!B92="","",事例清單!B92)</f>
        <v/>
      </c>
      <c r="C92" s="19">
        <f>IF(事例清單!C92="","",事例清單!C92)</f>
        <v/>
      </c>
      <c r="D92" s="19">
        <f>IF(事例清單!D92="","",事例清單!D92)</f>
        <v/>
      </c>
      <c r="E92" s="20" t="n"/>
    </row>
    <row r="93">
      <c r="A93" s="19">
        <f>IF(事例清單!A93="","",事例清單!A93)</f>
        <v/>
      </c>
      <c r="B93" s="19">
        <f>IF(事例清單!B93="","",事例清單!B93)</f>
        <v/>
      </c>
      <c r="C93" s="19">
        <f>IF(事例清單!C93="","",事例清單!C93)</f>
        <v/>
      </c>
      <c r="D93" s="19">
        <f>IF(事例清單!D93="","",事例清單!D93)</f>
        <v/>
      </c>
      <c r="E93" s="20" t="n"/>
    </row>
    <row r="94">
      <c r="A94" s="19">
        <f>IF(事例清單!A94="","",事例清單!A94)</f>
        <v/>
      </c>
      <c r="B94" s="19">
        <f>IF(事例清單!B94="","",事例清單!B94)</f>
        <v/>
      </c>
      <c r="C94" s="19">
        <f>IF(事例清單!C94="","",事例清單!C94)</f>
        <v/>
      </c>
      <c r="D94" s="19">
        <f>IF(事例清單!D94="","",事例清單!D94)</f>
        <v/>
      </c>
      <c r="E94" s="20" t="n"/>
    </row>
    <row r="95">
      <c r="A95" s="19">
        <f>IF(事例清單!A95="","",事例清單!A95)</f>
        <v/>
      </c>
      <c r="B95" s="19">
        <f>IF(事例清單!B95="","",事例清單!B95)</f>
        <v/>
      </c>
      <c r="C95" s="19">
        <f>IF(事例清單!C95="","",事例清單!C95)</f>
        <v/>
      </c>
      <c r="D95" s="19">
        <f>IF(事例清單!D95="","",事例清單!D95)</f>
        <v/>
      </c>
      <c r="E95" s="20" t="n"/>
    </row>
    <row r="96">
      <c r="A96" s="19">
        <f>IF(事例清單!A96="","",事例清單!A96)</f>
        <v/>
      </c>
      <c r="B96" s="19">
        <f>IF(事例清單!B96="","",事例清單!B96)</f>
        <v/>
      </c>
      <c r="C96" s="19">
        <f>IF(事例清單!C96="","",事例清單!C96)</f>
        <v/>
      </c>
      <c r="D96" s="19">
        <f>IF(事例清單!D96="","",事例清單!D96)</f>
        <v/>
      </c>
      <c r="E96" s="20" t="n"/>
    </row>
    <row r="97">
      <c r="A97" s="19">
        <f>IF(事例清單!A97="","",事例清單!A97)</f>
        <v/>
      </c>
      <c r="B97" s="19">
        <f>IF(事例清單!B97="","",事例清單!B97)</f>
        <v/>
      </c>
      <c r="C97" s="19">
        <f>IF(事例清單!C97="","",事例清單!C97)</f>
        <v/>
      </c>
      <c r="D97" s="19">
        <f>IF(事例清單!D97="","",事例清單!D97)</f>
        <v/>
      </c>
      <c r="E97" s="20" t="n"/>
    </row>
    <row r="98">
      <c r="A98" s="19">
        <f>IF(事例清單!A98="","",事例清單!A98)</f>
        <v/>
      </c>
      <c r="B98" s="19">
        <f>IF(事例清單!B98="","",事例清單!B98)</f>
        <v/>
      </c>
      <c r="C98" s="19">
        <f>IF(事例清單!C98="","",事例清單!C98)</f>
        <v/>
      </c>
      <c r="D98" s="19">
        <f>IF(事例清單!D98="","",事例清單!D98)</f>
        <v/>
      </c>
      <c r="E98" s="20" t="n"/>
    </row>
    <row r="99">
      <c r="A99" s="19">
        <f>IF(事例清單!A99="","",事例清單!A99)</f>
        <v/>
      </c>
      <c r="B99" s="19">
        <f>IF(事例清單!B99="","",事例清單!B99)</f>
        <v/>
      </c>
      <c r="C99" s="19">
        <f>IF(事例清單!C99="","",事例清單!C99)</f>
        <v/>
      </c>
      <c r="D99" s="19">
        <f>IF(事例清單!D99="","",事例清單!D99)</f>
        <v/>
      </c>
      <c r="E99" s="20" t="n"/>
    </row>
    <row r="100">
      <c r="A100" s="19">
        <f>IF(事例清單!A100="","",事例清單!A100)</f>
        <v/>
      </c>
      <c r="B100" s="19">
        <f>IF(事例清單!B100="","",事例清單!B100)</f>
        <v/>
      </c>
      <c r="C100" s="19">
        <f>IF(事例清單!C100="","",事例清單!C100)</f>
        <v/>
      </c>
      <c r="D100" s="19">
        <f>IF(事例清單!D100="","",事例清單!D100)</f>
        <v/>
      </c>
      <c r="E100" s="20" t="n"/>
    </row>
    <row r="101">
      <c r="A101" s="19">
        <f>IF(事例清單!A101="","",事例清單!A101)</f>
        <v/>
      </c>
      <c r="B101" s="19">
        <f>IF(事例清單!B101="","",事例清單!B101)</f>
        <v/>
      </c>
      <c r="C101" s="19">
        <f>IF(事例清單!C101="","",事例清單!C101)</f>
        <v/>
      </c>
      <c r="D101" s="19">
        <f>IF(事例清單!D101="","",事例清單!D101)</f>
        <v/>
      </c>
      <c r="E101" s="20" t="n"/>
    </row>
    <row r="102">
      <c r="A102" s="19">
        <f>IF(事例清單!A102="","",事例清單!A102)</f>
        <v/>
      </c>
      <c r="B102" s="19">
        <f>IF(事例清單!B102="","",事例清單!B102)</f>
        <v/>
      </c>
      <c r="C102" s="19">
        <f>IF(事例清單!C102="","",事例清單!C102)</f>
        <v/>
      </c>
      <c r="D102" s="19">
        <f>IF(事例清單!D102="","",事例清單!D102)</f>
        <v/>
      </c>
      <c r="E102" s="20" t="n"/>
    </row>
    <row r="103">
      <c r="A103" s="19">
        <f>IF(事例清單!A103="","",事例清單!A103)</f>
        <v/>
      </c>
      <c r="B103" s="19">
        <f>IF(事例清單!B103="","",事例清單!B103)</f>
        <v/>
      </c>
      <c r="C103" s="19">
        <f>IF(事例清單!C103="","",事例清單!C103)</f>
        <v/>
      </c>
      <c r="D103" s="19">
        <f>IF(事例清單!D103="","",事例清單!D103)</f>
        <v/>
      </c>
      <c r="E103" s="20" t="n"/>
    </row>
    <row r="104">
      <c r="A104" s="19">
        <f>IF(事例清單!A104="","",事例清單!A104)</f>
        <v/>
      </c>
      <c r="B104" s="19">
        <f>IF(事例清單!B104="","",事例清單!B104)</f>
        <v/>
      </c>
      <c r="C104" s="19">
        <f>IF(事例清單!C104="","",事例清單!C104)</f>
        <v/>
      </c>
      <c r="D104" s="19">
        <f>IF(事例清單!D104="","",事例清單!D104)</f>
        <v/>
      </c>
      <c r="E104" s="20" t="n"/>
    </row>
    <row r="105">
      <c r="A105" s="19">
        <f>IF(事例清單!A105="","",事例清單!A105)</f>
        <v/>
      </c>
      <c r="B105" s="19">
        <f>IF(事例清單!B105="","",事例清單!B105)</f>
        <v/>
      </c>
      <c r="C105" s="19">
        <f>IF(事例清單!C105="","",事例清單!C105)</f>
        <v/>
      </c>
      <c r="D105" s="19">
        <f>IF(事例清單!D105="","",事例清單!D105)</f>
        <v/>
      </c>
      <c r="E105" s="20" t="n"/>
    </row>
    <row r="106">
      <c r="A106" s="19">
        <f>IF(事例清單!A106="","",事例清單!A106)</f>
        <v/>
      </c>
      <c r="B106" s="19">
        <f>IF(事例清單!B106="","",事例清單!B106)</f>
        <v/>
      </c>
      <c r="C106" s="19">
        <f>IF(事例清單!C106="","",事例清單!C106)</f>
        <v/>
      </c>
      <c r="D106" s="19">
        <f>IF(事例清單!D106="","",事例清單!D106)</f>
        <v/>
      </c>
      <c r="E106" s="20" t="n"/>
    </row>
    <row r="107">
      <c r="A107" s="19">
        <f>IF(事例清單!A107="","",事例清單!A107)</f>
        <v/>
      </c>
      <c r="B107" s="19">
        <f>IF(事例清單!B107="","",事例清單!B107)</f>
        <v/>
      </c>
      <c r="C107" s="19">
        <f>IF(事例清單!C107="","",事例清單!C107)</f>
        <v/>
      </c>
      <c r="D107" s="19">
        <f>IF(事例清單!D107="","",事例清單!D107)</f>
        <v/>
      </c>
      <c r="E107" s="20" t="n"/>
    </row>
    <row r="108">
      <c r="A108" s="19">
        <f>IF(事例清單!A108="","",事例清單!A108)</f>
        <v/>
      </c>
      <c r="B108" s="19">
        <f>IF(事例清單!B108="","",事例清單!B108)</f>
        <v/>
      </c>
      <c r="C108" s="19">
        <f>IF(事例清單!C108="","",事例清單!C108)</f>
        <v/>
      </c>
      <c r="D108" s="19">
        <f>IF(事例清單!D108="","",事例清單!D108)</f>
        <v/>
      </c>
      <c r="E108" s="20" t="n"/>
    </row>
    <row r="109">
      <c r="A109" s="19">
        <f>IF(事例清單!A109="","",事例清單!A109)</f>
        <v/>
      </c>
      <c r="B109" s="19">
        <f>IF(事例清單!B109="","",事例清單!B109)</f>
        <v/>
      </c>
      <c r="C109" s="19">
        <f>IF(事例清單!C109="","",事例清單!C109)</f>
        <v/>
      </c>
      <c r="D109" s="19">
        <f>IF(事例清單!D109="","",事例清單!D109)</f>
        <v/>
      </c>
      <c r="E109" s="20" t="n"/>
    </row>
    <row r="110">
      <c r="A110" s="19">
        <f>IF(事例清單!A110="","",事例清單!A110)</f>
        <v/>
      </c>
      <c r="B110" s="19">
        <f>IF(事例清單!B110="","",事例清單!B110)</f>
        <v/>
      </c>
      <c r="C110" s="19">
        <f>IF(事例清單!C110="","",事例清單!C110)</f>
        <v/>
      </c>
      <c r="D110" s="19">
        <f>IF(事例清單!D110="","",事例清單!D110)</f>
        <v/>
      </c>
      <c r="E110" s="20" t="n"/>
    </row>
    <row r="111">
      <c r="A111" s="19">
        <f>IF(事例清單!A111="","",事例清單!A111)</f>
        <v/>
      </c>
      <c r="B111" s="19">
        <f>IF(事例清單!B111="","",事例清單!B111)</f>
        <v/>
      </c>
      <c r="C111" s="19">
        <f>IF(事例清單!C111="","",事例清單!C111)</f>
        <v/>
      </c>
      <c r="D111" s="19">
        <f>IF(事例清單!D111="","",事例清單!D111)</f>
        <v/>
      </c>
      <c r="E111" s="20" t="n"/>
    </row>
    <row r="112">
      <c r="A112" s="19">
        <f>IF(事例清單!A112="","",事例清單!A112)</f>
        <v/>
      </c>
      <c r="B112" s="19">
        <f>IF(事例清單!B112="","",事例清單!B112)</f>
        <v/>
      </c>
      <c r="C112" s="19">
        <f>IF(事例清單!C112="","",事例清單!C112)</f>
        <v/>
      </c>
      <c r="D112" s="19">
        <f>IF(事例清單!D112="","",事例清單!D112)</f>
        <v/>
      </c>
      <c r="E112" s="20" t="n"/>
    </row>
    <row r="113">
      <c r="A113" s="19">
        <f>IF(事例清單!A113="","",事例清單!A113)</f>
        <v/>
      </c>
      <c r="B113" s="19">
        <f>IF(事例清單!B113="","",事例清單!B113)</f>
        <v/>
      </c>
      <c r="C113" s="19">
        <f>IF(事例清單!C113="","",事例清單!C113)</f>
        <v/>
      </c>
      <c r="D113" s="19">
        <f>IF(事例清單!D113="","",事例清單!D113)</f>
        <v/>
      </c>
      <c r="E113" s="20" t="n"/>
    </row>
    <row r="114">
      <c r="A114" s="19">
        <f>IF(事例清單!A114="","",事例清單!A114)</f>
        <v/>
      </c>
      <c r="B114" s="19">
        <f>IF(事例清單!B114="","",事例清單!B114)</f>
        <v/>
      </c>
      <c r="C114" s="19">
        <f>IF(事例清單!C114="","",事例清單!C114)</f>
        <v/>
      </c>
      <c r="D114" s="19">
        <f>IF(事例清單!D114="","",事例清單!D114)</f>
        <v/>
      </c>
      <c r="E114" s="20" t="n"/>
    </row>
    <row r="115">
      <c r="A115" s="19">
        <f>IF(事例清單!A115="","",事例清單!A115)</f>
        <v/>
      </c>
      <c r="B115" s="19">
        <f>IF(事例清單!B115="","",事例清單!B115)</f>
        <v/>
      </c>
      <c r="C115" s="19">
        <f>IF(事例清單!C115="","",事例清單!C115)</f>
        <v/>
      </c>
      <c r="D115" s="19">
        <f>IF(事例清單!D115="","",事例清單!D115)</f>
        <v/>
      </c>
      <c r="E115" s="20" t="n"/>
    </row>
    <row r="116">
      <c r="A116" s="19">
        <f>IF(事例清單!A116="","",事例清單!A116)</f>
        <v/>
      </c>
      <c r="B116" s="19">
        <f>IF(事例清單!B116="","",事例清單!B116)</f>
        <v/>
      </c>
      <c r="C116" s="19">
        <f>IF(事例清單!C116="","",事例清單!C116)</f>
        <v/>
      </c>
      <c r="D116" s="19">
        <f>IF(事例清單!D116="","",事例清單!D116)</f>
        <v/>
      </c>
      <c r="E116" s="20" t="n"/>
    </row>
    <row r="117">
      <c r="A117" s="19">
        <f>IF(事例清單!A117="","",事例清單!A117)</f>
        <v/>
      </c>
      <c r="B117" s="19">
        <f>IF(事例清單!B117="","",事例清單!B117)</f>
        <v/>
      </c>
      <c r="C117" s="19">
        <f>IF(事例清單!C117="","",事例清單!C117)</f>
        <v/>
      </c>
      <c r="D117" s="19">
        <f>IF(事例清單!D117="","",事例清單!D117)</f>
        <v/>
      </c>
      <c r="E117" s="20" t="n"/>
    </row>
    <row r="118">
      <c r="A118" s="19">
        <f>IF(事例清單!A118="","",事例清單!A118)</f>
        <v/>
      </c>
      <c r="B118" s="19">
        <f>IF(事例清單!B118="","",事例清單!B118)</f>
        <v/>
      </c>
      <c r="C118" s="19">
        <f>IF(事例清單!C118="","",事例清單!C118)</f>
        <v/>
      </c>
      <c r="D118" s="19">
        <f>IF(事例清單!D118="","",事例清單!D118)</f>
        <v/>
      </c>
      <c r="E118" s="20" t="n"/>
    </row>
    <row r="119">
      <c r="A119" s="19">
        <f>IF(事例清單!A119="","",事例清單!A119)</f>
        <v/>
      </c>
      <c r="B119" s="19">
        <f>IF(事例清單!B119="","",事例清單!B119)</f>
        <v/>
      </c>
      <c r="C119" s="19">
        <f>IF(事例清單!C119="","",事例清單!C119)</f>
        <v/>
      </c>
      <c r="D119" s="19">
        <f>IF(事例清單!D119="","",事例清單!D119)</f>
        <v/>
      </c>
      <c r="E119" s="20" t="n"/>
    </row>
    <row r="120">
      <c r="A120" s="19">
        <f>IF(事例清單!A120="","",事例清單!A120)</f>
        <v/>
      </c>
      <c r="B120" s="19">
        <f>IF(事例清單!B120="","",事例清單!B120)</f>
        <v/>
      </c>
      <c r="C120" s="19">
        <f>IF(事例清單!C120="","",事例清單!C120)</f>
        <v/>
      </c>
      <c r="D120" s="19">
        <f>IF(事例清單!D120="","",事例清單!D120)</f>
        <v/>
      </c>
      <c r="E120" s="20" t="n"/>
    </row>
    <row r="121">
      <c r="A121" s="19">
        <f>IF(事例清單!A121="","",事例清單!A121)</f>
        <v/>
      </c>
      <c r="B121" s="19">
        <f>IF(事例清單!B121="","",事例清單!B121)</f>
        <v/>
      </c>
      <c r="C121" s="19">
        <f>IF(事例清單!C121="","",事例清單!C121)</f>
        <v/>
      </c>
      <c r="D121" s="19">
        <f>IF(事例清單!D121="","",事例清單!D121)</f>
        <v/>
      </c>
      <c r="E121" s="20" t="n"/>
    </row>
    <row r="122">
      <c r="A122" s="19">
        <f>IF(事例清單!A122="","",事例清單!A122)</f>
        <v/>
      </c>
      <c r="B122" s="19">
        <f>IF(事例清單!B122="","",事例清單!B122)</f>
        <v/>
      </c>
      <c r="C122" s="19">
        <f>IF(事例清單!C122="","",事例清單!C122)</f>
        <v/>
      </c>
      <c r="D122" s="19">
        <f>IF(事例清單!D122="","",事例清單!D122)</f>
        <v/>
      </c>
      <c r="E122" s="20" t="n"/>
    </row>
    <row r="123">
      <c r="A123" s="19">
        <f>IF(事例清單!A123="","",事例清單!A123)</f>
        <v/>
      </c>
      <c r="B123" s="19">
        <f>IF(事例清單!B123="","",事例清單!B123)</f>
        <v/>
      </c>
      <c r="C123" s="19">
        <f>IF(事例清單!C123="","",事例清單!C123)</f>
        <v/>
      </c>
      <c r="D123" s="19">
        <f>IF(事例清單!D123="","",事例清單!D123)</f>
        <v/>
      </c>
      <c r="E123" s="20" t="n"/>
    </row>
    <row r="124">
      <c r="A124" s="19">
        <f>IF(事例清單!A124="","",事例清單!A124)</f>
        <v/>
      </c>
      <c r="B124" s="19">
        <f>IF(事例清單!B124="","",事例清單!B124)</f>
        <v/>
      </c>
      <c r="C124" s="19">
        <f>IF(事例清單!C124="","",事例清單!C124)</f>
        <v/>
      </c>
      <c r="D124" s="19">
        <f>IF(事例清單!D124="","",事例清單!D124)</f>
        <v/>
      </c>
      <c r="E124" s="20" t="n"/>
    </row>
    <row r="125">
      <c r="A125" s="19">
        <f>IF(事例清單!A125="","",事例清單!A125)</f>
        <v/>
      </c>
      <c r="B125" s="19">
        <f>IF(事例清單!B125="","",事例清單!B125)</f>
        <v/>
      </c>
      <c r="C125" s="19">
        <f>IF(事例清單!C125="","",事例清單!C125)</f>
        <v/>
      </c>
      <c r="D125" s="19">
        <f>IF(事例清單!D125="","",事例清單!D125)</f>
        <v/>
      </c>
      <c r="E125" s="20" t="n"/>
    </row>
    <row r="126">
      <c r="A126" s="19">
        <f>IF(事例清單!A126="","",事例清單!A126)</f>
        <v/>
      </c>
      <c r="B126" s="19">
        <f>IF(事例清單!B126="","",事例清單!B126)</f>
        <v/>
      </c>
      <c r="C126" s="19">
        <f>IF(事例清單!C126="","",事例清單!C126)</f>
        <v/>
      </c>
      <c r="D126" s="19">
        <f>IF(事例清單!D126="","",事例清單!D126)</f>
        <v/>
      </c>
      <c r="E126" s="20" t="n"/>
    </row>
    <row r="127">
      <c r="A127" s="19">
        <f>IF(事例清單!A127="","",事例清單!A127)</f>
        <v/>
      </c>
      <c r="B127" s="19">
        <f>IF(事例清單!B127="","",事例清單!B127)</f>
        <v/>
      </c>
      <c r="C127" s="19">
        <f>IF(事例清單!C127="","",事例清單!C127)</f>
        <v/>
      </c>
      <c r="D127" s="19">
        <f>IF(事例清單!D127="","",事例清單!D127)</f>
        <v/>
      </c>
      <c r="E127" s="20" t="n"/>
    </row>
    <row r="128">
      <c r="A128" s="19">
        <f>IF(事例清單!A128="","",事例清單!A128)</f>
        <v/>
      </c>
      <c r="B128" s="19">
        <f>IF(事例清單!B128="","",事例清單!B128)</f>
        <v/>
      </c>
      <c r="C128" s="19">
        <f>IF(事例清單!C128="","",事例清單!C128)</f>
        <v/>
      </c>
      <c r="D128" s="19">
        <f>IF(事例清單!D128="","",事例清單!D128)</f>
        <v/>
      </c>
      <c r="E128" s="20" t="n"/>
    </row>
    <row r="129">
      <c r="A129" s="19">
        <f>IF(事例清單!A129="","",事例清單!A129)</f>
        <v/>
      </c>
      <c r="B129" s="19">
        <f>IF(事例清單!B129="","",事例清單!B129)</f>
        <v/>
      </c>
      <c r="C129" s="19">
        <f>IF(事例清單!C129="","",事例清單!C129)</f>
        <v/>
      </c>
      <c r="D129" s="19">
        <f>IF(事例清單!D129="","",事例清單!D129)</f>
        <v/>
      </c>
      <c r="E129" s="20" t="n"/>
    </row>
    <row r="130">
      <c r="A130" s="19">
        <f>IF(事例清單!A130="","",事例清單!A130)</f>
        <v/>
      </c>
      <c r="B130" s="19">
        <f>IF(事例清單!B130="","",事例清單!B130)</f>
        <v/>
      </c>
      <c r="C130" s="19">
        <f>IF(事例清單!C130="","",事例清單!C130)</f>
        <v/>
      </c>
      <c r="D130" s="19">
        <f>IF(事例清單!D130="","",事例清單!D130)</f>
        <v/>
      </c>
      <c r="E130" s="20" t="n"/>
    </row>
    <row r="131">
      <c r="A131" s="19">
        <f>IF(事例清單!A131="","",事例清單!A131)</f>
        <v/>
      </c>
      <c r="B131" s="19">
        <f>IF(事例清單!B131="","",事例清單!B131)</f>
        <v/>
      </c>
      <c r="C131" s="19">
        <f>IF(事例清單!C131="","",事例清單!C131)</f>
        <v/>
      </c>
      <c r="D131" s="19">
        <f>IF(事例清單!D131="","",事例清單!D131)</f>
        <v/>
      </c>
      <c r="E131" s="20" t="n"/>
    </row>
    <row r="132">
      <c r="A132" s="19">
        <f>IF(事例清單!A132="","",事例清單!A132)</f>
        <v/>
      </c>
      <c r="B132" s="19">
        <f>IF(事例清單!B132="","",事例清單!B132)</f>
        <v/>
      </c>
      <c r="C132" s="19">
        <f>IF(事例清單!C132="","",事例清單!C132)</f>
        <v/>
      </c>
      <c r="D132" s="19">
        <f>IF(事例清單!D132="","",事例清單!D132)</f>
        <v/>
      </c>
      <c r="E132" s="20" t="n"/>
    </row>
    <row r="133">
      <c r="A133" s="19">
        <f>IF(事例清單!A133="","",事例清單!A133)</f>
        <v/>
      </c>
      <c r="B133" s="19">
        <f>IF(事例清單!B133="","",事例清單!B133)</f>
        <v/>
      </c>
      <c r="C133" s="19">
        <f>IF(事例清單!C133="","",事例清單!C133)</f>
        <v/>
      </c>
      <c r="D133" s="19">
        <f>IF(事例清單!D133="","",事例清單!D133)</f>
        <v/>
      </c>
      <c r="E133" s="20" t="n"/>
    </row>
    <row r="134">
      <c r="A134" s="19">
        <f>IF(事例清單!A134="","",事例清單!A134)</f>
        <v/>
      </c>
      <c r="B134" s="19">
        <f>IF(事例清單!B134="","",事例清單!B134)</f>
        <v/>
      </c>
      <c r="C134" s="19">
        <f>IF(事例清單!C134="","",事例清單!C134)</f>
        <v/>
      </c>
      <c r="D134" s="19">
        <f>IF(事例清單!D134="","",事例清單!D134)</f>
        <v/>
      </c>
      <c r="E134" s="20" t="n"/>
    </row>
    <row r="135">
      <c r="A135" s="19">
        <f>IF(事例清單!A135="","",事例清單!A135)</f>
        <v/>
      </c>
      <c r="B135" s="19">
        <f>IF(事例清單!B135="","",事例清單!B135)</f>
        <v/>
      </c>
      <c r="C135" s="19">
        <f>IF(事例清單!C135="","",事例清單!C135)</f>
        <v/>
      </c>
      <c r="D135" s="19">
        <f>IF(事例清單!D135="","",事例清單!D135)</f>
        <v/>
      </c>
      <c r="E135" s="20" t="n"/>
    </row>
    <row r="136">
      <c r="A136" s="19">
        <f>IF(事例清單!A136="","",事例清單!A136)</f>
        <v/>
      </c>
      <c r="B136" s="19">
        <f>IF(事例清單!B136="","",事例清單!B136)</f>
        <v/>
      </c>
      <c r="C136" s="19">
        <f>IF(事例清單!C136="","",事例清單!C136)</f>
        <v/>
      </c>
      <c r="D136" s="19">
        <f>IF(事例清單!D136="","",事例清單!D136)</f>
        <v/>
      </c>
      <c r="E136" s="20" t="n"/>
    </row>
    <row r="137">
      <c r="A137" s="19">
        <f>IF(事例清單!A137="","",事例清單!A137)</f>
        <v/>
      </c>
      <c r="B137" s="19">
        <f>IF(事例清單!B137="","",事例清單!B137)</f>
        <v/>
      </c>
      <c r="C137" s="19">
        <f>IF(事例清單!C137="","",事例清單!C137)</f>
        <v/>
      </c>
      <c r="D137" s="19">
        <f>IF(事例清單!D137="","",事例清單!D137)</f>
        <v/>
      </c>
      <c r="E137" s="20" t="n"/>
    </row>
    <row r="138">
      <c r="A138" s="19">
        <f>IF(事例清單!A138="","",事例清單!A138)</f>
        <v/>
      </c>
      <c r="B138" s="19">
        <f>IF(事例清單!B138="","",事例清單!B138)</f>
        <v/>
      </c>
      <c r="C138" s="19">
        <f>IF(事例清單!C138="","",事例清單!C138)</f>
        <v/>
      </c>
      <c r="D138" s="19">
        <f>IF(事例清單!D138="","",事例清單!D138)</f>
        <v/>
      </c>
      <c r="E138" s="20" t="n"/>
    </row>
    <row r="139">
      <c r="A139" s="19">
        <f>IF(事例清單!A139="","",事例清單!A139)</f>
        <v/>
      </c>
      <c r="B139" s="19">
        <f>IF(事例清單!B139="","",事例清單!B139)</f>
        <v/>
      </c>
      <c r="C139" s="19">
        <f>IF(事例清單!C139="","",事例清單!C139)</f>
        <v/>
      </c>
      <c r="D139" s="19">
        <f>IF(事例清單!D139="","",事例清單!D139)</f>
        <v/>
      </c>
      <c r="E139" s="20" t="n"/>
    </row>
    <row r="140">
      <c r="A140" s="19">
        <f>IF(事例清單!A140="","",事例清單!A140)</f>
        <v/>
      </c>
      <c r="B140" s="19">
        <f>IF(事例清單!B140="","",事例清單!B140)</f>
        <v/>
      </c>
      <c r="C140" s="19">
        <f>IF(事例清單!C140="","",事例清單!C140)</f>
        <v/>
      </c>
      <c r="D140" s="19">
        <f>IF(事例清單!D140="","",事例清單!D140)</f>
        <v/>
      </c>
      <c r="E140" s="20" t="n"/>
    </row>
    <row r="141">
      <c r="A141" s="19">
        <f>IF(事例清單!A141="","",事例清單!A141)</f>
        <v/>
      </c>
      <c r="B141" s="19">
        <f>IF(事例清單!B141="","",事例清單!B141)</f>
        <v/>
      </c>
      <c r="C141" s="19">
        <f>IF(事例清單!C141="","",事例清單!C141)</f>
        <v/>
      </c>
      <c r="D141" s="19">
        <f>IF(事例清單!D141="","",事例清單!D141)</f>
        <v/>
      </c>
      <c r="E141" s="20" t="n"/>
    </row>
    <row r="142">
      <c r="A142" s="19">
        <f>IF(事例清單!A142="","",事例清單!A142)</f>
        <v/>
      </c>
      <c r="B142" s="19">
        <f>IF(事例清單!B142="","",事例清單!B142)</f>
        <v/>
      </c>
      <c r="C142" s="19">
        <f>IF(事例清單!C142="","",事例清單!C142)</f>
        <v/>
      </c>
      <c r="D142" s="19">
        <f>IF(事例清單!D142="","",事例清單!D142)</f>
        <v/>
      </c>
      <c r="E142" s="20" t="n"/>
    </row>
    <row r="143">
      <c r="A143" s="19">
        <f>IF(事例清單!A143="","",事例清單!A143)</f>
        <v/>
      </c>
      <c r="B143" s="19">
        <f>IF(事例清單!B143="","",事例清單!B143)</f>
        <v/>
      </c>
      <c r="C143" s="19">
        <f>IF(事例清單!C143="","",事例清單!C143)</f>
        <v/>
      </c>
      <c r="D143" s="19">
        <f>IF(事例清單!D143="","",事例清單!D143)</f>
        <v/>
      </c>
      <c r="E143" s="20" t="n"/>
    </row>
    <row r="144">
      <c r="A144" s="19">
        <f>IF(事例清單!A144="","",事例清單!A144)</f>
        <v/>
      </c>
      <c r="B144" s="19">
        <f>IF(事例清單!B144="","",事例清單!B144)</f>
        <v/>
      </c>
      <c r="C144" s="19">
        <f>IF(事例清單!C144="","",事例清單!C144)</f>
        <v/>
      </c>
      <c r="D144" s="19">
        <f>IF(事例清單!D144="","",事例清單!D144)</f>
        <v/>
      </c>
      <c r="E144" s="20" t="n"/>
    </row>
    <row r="145">
      <c r="A145" s="19">
        <f>IF(事例清單!A145="","",事例清單!A145)</f>
        <v/>
      </c>
      <c r="B145" s="19">
        <f>IF(事例清單!B145="","",事例清單!B145)</f>
        <v/>
      </c>
      <c r="C145" s="19">
        <f>IF(事例清單!C145="","",事例清單!C145)</f>
        <v/>
      </c>
      <c r="D145" s="19">
        <f>IF(事例清單!D145="","",事例清單!D145)</f>
        <v/>
      </c>
      <c r="E145" s="20" t="n"/>
    </row>
    <row r="146">
      <c r="A146" s="19">
        <f>IF(事例清單!A146="","",事例清單!A146)</f>
        <v/>
      </c>
      <c r="B146" s="19">
        <f>IF(事例清單!B146="","",事例清單!B146)</f>
        <v/>
      </c>
      <c r="C146" s="19">
        <f>IF(事例清單!C146="","",事例清單!C146)</f>
        <v/>
      </c>
      <c r="D146" s="19">
        <f>IF(事例清單!D146="","",事例清單!D146)</f>
        <v/>
      </c>
      <c r="E146" s="20" t="n"/>
    </row>
    <row r="147">
      <c r="A147" s="19">
        <f>IF(事例清單!A147="","",事例清單!A147)</f>
        <v/>
      </c>
      <c r="B147" s="19">
        <f>IF(事例清單!B147="","",事例清單!B147)</f>
        <v/>
      </c>
      <c r="C147" s="19">
        <f>IF(事例清單!C147="","",事例清單!C147)</f>
        <v/>
      </c>
      <c r="D147" s="19">
        <f>IF(事例清單!D147="","",事例清單!D147)</f>
        <v/>
      </c>
      <c r="E147" s="20" t="n"/>
    </row>
    <row r="148">
      <c r="A148" s="19">
        <f>IF(事例清單!A148="","",事例清單!A148)</f>
        <v/>
      </c>
      <c r="B148" s="19">
        <f>IF(事例清單!B148="","",事例清單!B148)</f>
        <v/>
      </c>
      <c r="C148" s="19">
        <f>IF(事例清單!C148="","",事例清單!C148)</f>
        <v/>
      </c>
      <c r="D148" s="19">
        <f>IF(事例清單!D148="","",事例清單!D148)</f>
        <v/>
      </c>
      <c r="E148" s="20" t="n"/>
    </row>
    <row r="149">
      <c r="A149" s="19">
        <f>IF(事例清單!A149="","",事例清單!A149)</f>
        <v/>
      </c>
      <c r="B149" s="19">
        <f>IF(事例清單!B149="","",事例清單!B149)</f>
        <v/>
      </c>
      <c r="C149" s="19">
        <f>IF(事例清單!C149="","",事例清單!C149)</f>
        <v/>
      </c>
      <c r="D149" s="19">
        <f>IF(事例清單!D149="","",事例清單!D149)</f>
        <v/>
      </c>
      <c r="E149" s="20" t="n"/>
    </row>
    <row r="150">
      <c r="A150" s="19">
        <f>IF(事例清單!A150="","",事例清單!A150)</f>
        <v/>
      </c>
      <c r="B150" s="19">
        <f>IF(事例清單!B150="","",事例清單!B150)</f>
        <v/>
      </c>
      <c r="C150" s="19">
        <f>IF(事例清單!C150="","",事例清單!C150)</f>
        <v/>
      </c>
      <c r="D150" s="19">
        <f>IF(事例清單!D150="","",事例清單!D150)</f>
        <v/>
      </c>
      <c r="E150" s="20" t="n"/>
    </row>
    <row r="151">
      <c r="A151" s="19">
        <f>IF(事例清單!A151="","",事例清單!A151)</f>
        <v/>
      </c>
      <c r="B151" s="19">
        <f>IF(事例清單!B151="","",事例清單!B151)</f>
        <v/>
      </c>
      <c r="C151" s="19">
        <f>IF(事例清單!C151="","",事例清單!C151)</f>
        <v/>
      </c>
      <c r="D151" s="19">
        <f>IF(事例清單!D151="","",事例清單!D151)</f>
        <v/>
      </c>
      <c r="E151" s="20" t="n"/>
    </row>
    <row r="152">
      <c r="A152" s="19">
        <f>IF(事例清單!A152="","",事例清單!A152)</f>
        <v/>
      </c>
      <c r="B152" s="19">
        <f>IF(事例清單!B152="","",事例清單!B152)</f>
        <v/>
      </c>
      <c r="C152" s="19">
        <f>IF(事例清單!C152="","",事例清單!C152)</f>
        <v/>
      </c>
      <c r="D152" s="19">
        <f>IF(事例清單!D152="","",事例清單!D152)</f>
        <v/>
      </c>
      <c r="E152" s="20" t="n"/>
    </row>
    <row r="153">
      <c r="A153" s="19">
        <f>IF(事例清單!A153="","",事例清單!A153)</f>
        <v/>
      </c>
      <c r="B153" s="19">
        <f>IF(事例清單!B153="","",事例清單!B153)</f>
        <v/>
      </c>
      <c r="C153" s="19">
        <f>IF(事例清單!C153="","",事例清單!C153)</f>
        <v/>
      </c>
      <c r="D153" s="19">
        <f>IF(事例清單!D153="","",事例清單!D153)</f>
        <v/>
      </c>
      <c r="E153" s="20" t="n"/>
    </row>
    <row r="154">
      <c r="A154" s="19">
        <f>IF(事例清單!A154="","",事例清單!A154)</f>
        <v/>
      </c>
      <c r="B154" s="19">
        <f>IF(事例清單!B154="","",事例清單!B154)</f>
        <v/>
      </c>
      <c r="C154" s="19">
        <f>IF(事例清單!C154="","",事例清單!C154)</f>
        <v/>
      </c>
      <c r="D154" s="19">
        <f>IF(事例清單!D154="","",事例清單!D154)</f>
        <v/>
      </c>
      <c r="E154" s="20" t="n"/>
    </row>
    <row r="155">
      <c r="A155" s="19">
        <f>IF(事例清單!A155="","",事例清單!A155)</f>
        <v/>
      </c>
      <c r="B155" s="19">
        <f>IF(事例清單!B155="","",事例清單!B155)</f>
        <v/>
      </c>
      <c r="C155" s="19">
        <f>IF(事例清單!C155="","",事例清單!C155)</f>
        <v/>
      </c>
      <c r="D155" s="19">
        <f>IF(事例清單!D155="","",事例清單!D155)</f>
        <v/>
      </c>
      <c r="E155" s="20" t="n"/>
    </row>
    <row r="156">
      <c r="A156" s="19">
        <f>IF(事例清單!A156="","",事例清單!A156)</f>
        <v/>
      </c>
      <c r="B156" s="19">
        <f>IF(事例清單!B156="","",事例清單!B156)</f>
        <v/>
      </c>
      <c r="C156" s="19">
        <f>IF(事例清單!C156="","",事例清單!C156)</f>
        <v/>
      </c>
      <c r="D156" s="19">
        <f>IF(事例清單!D156="","",事例清單!D156)</f>
        <v/>
      </c>
      <c r="E156" s="20" t="n"/>
    </row>
    <row r="157">
      <c r="A157" s="19">
        <f>IF(事例清單!A157="","",事例清單!A157)</f>
        <v/>
      </c>
      <c r="B157" s="19">
        <f>IF(事例清單!B157="","",事例清單!B157)</f>
        <v/>
      </c>
      <c r="C157" s="19">
        <f>IF(事例清單!C157="","",事例清單!C157)</f>
        <v/>
      </c>
      <c r="D157" s="19">
        <f>IF(事例清單!D157="","",事例清單!D157)</f>
        <v/>
      </c>
      <c r="E157" s="20" t="n"/>
    </row>
    <row r="158">
      <c r="A158" s="19">
        <f>IF(事例清單!A158="","",事例清單!A158)</f>
        <v/>
      </c>
      <c r="B158" s="19">
        <f>IF(事例清單!B158="","",事例清單!B158)</f>
        <v/>
      </c>
      <c r="C158" s="19">
        <f>IF(事例清單!C158="","",事例清單!C158)</f>
        <v/>
      </c>
      <c r="D158" s="19">
        <f>IF(事例清單!D158="","",事例清單!D158)</f>
        <v/>
      </c>
      <c r="E158" s="20" t="n"/>
    </row>
    <row r="159">
      <c r="A159" s="19">
        <f>IF(事例清單!A159="","",事例清單!A159)</f>
        <v/>
      </c>
      <c r="B159" s="19">
        <f>IF(事例清單!B159="","",事例清單!B159)</f>
        <v/>
      </c>
      <c r="C159" s="19">
        <f>IF(事例清單!C159="","",事例清單!C159)</f>
        <v/>
      </c>
      <c r="D159" s="19">
        <f>IF(事例清單!D159="","",事例清單!D159)</f>
        <v/>
      </c>
      <c r="E159" s="20" t="n"/>
    </row>
    <row r="160">
      <c r="A160" s="19">
        <f>IF(事例清單!A160="","",事例清單!A160)</f>
        <v/>
      </c>
      <c r="B160" s="19">
        <f>IF(事例清單!B160="","",事例清單!B160)</f>
        <v/>
      </c>
      <c r="C160" s="19">
        <f>IF(事例清單!C160="","",事例清單!C160)</f>
        <v/>
      </c>
      <c r="D160" s="19">
        <f>IF(事例清單!D160="","",事例清單!D160)</f>
        <v/>
      </c>
      <c r="E160" s="20" t="n"/>
    </row>
    <row r="161">
      <c r="A161" s="19">
        <f>IF(事例清單!A161="","",事例清單!A161)</f>
        <v/>
      </c>
      <c r="B161" s="19">
        <f>IF(事例清單!B161="","",事例清單!B161)</f>
        <v/>
      </c>
      <c r="C161" s="19">
        <f>IF(事例清單!C161="","",事例清單!C161)</f>
        <v/>
      </c>
      <c r="D161" s="19">
        <f>IF(事例清單!D161="","",事例清單!D161)</f>
        <v/>
      </c>
      <c r="E161" s="20" t="n"/>
    </row>
    <row r="162">
      <c r="A162" s="19">
        <f>IF(事例清單!A162="","",事例清單!A162)</f>
        <v/>
      </c>
      <c r="B162" s="19">
        <f>IF(事例清單!B162="","",事例清單!B162)</f>
        <v/>
      </c>
      <c r="C162" s="19">
        <f>IF(事例清單!C162="","",事例清單!C162)</f>
        <v/>
      </c>
      <c r="D162" s="19">
        <f>IF(事例清單!D162="","",事例清單!D162)</f>
        <v/>
      </c>
      <c r="E162" s="20" t="n"/>
    </row>
    <row r="163">
      <c r="A163" s="19">
        <f>IF(事例清單!A163="","",事例清單!A163)</f>
        <v/>
      </c>
      <c r="B163" s="19">
        <f>IF(事例清單!B163="","",事例清單!B163)</f>
        <v/>
      </c>
      <c r="C163" s="19">
        <f>IF(事例清單!C163="","",事例清單!C163)</f>
        <v/>
      </c>
      <c r="D163" s="19">
        <f>IF(事例清單!D163="","",事例清單!D163)</f>
        <v/>
      </c>
      <c r="E163" s="20" t="n"/>
    </row>
    <row r="164">
      <c r="A164" s="19">
        <f>IF(事例清單!A164="","",事例清單!A164)</f>
        <v/>
      </c>
      <c r="B164" s="19">
        <f>IF(事例清單!B164="","",事例清單!B164)</f>
        <v/>
      </c>
      <c r="C164" s="19">
        <f>IF(事例清單!C164="","",事例清單!C164)</f>
        <v/>
      </c>
      <c r="D164" s="19">
        <f>IF(事例清單!D164="","",事例清單!D164)</f>
        <v/>
      </c>
      <c r="E164" s="20" t="n"/>
    </row>
    <row r="165">
      <c r="A165" s="19">
        <f>IF(事例清單!A165="","",事例清單!A165)</f>
        <v/>
      </c>
      <c r="B165" s="19">
        <f>IF(事例清單!B165="","",事例清單!B165)</f>
        <v/>
      </c>
      <c r="C165" s="19">
        <f>IF(事例清單!C165="","",事例清單!C165)</f>
        <v/>
      </c>
      <c r="D165" s="19">
        <f>IF(事例清單!D165="","",事例清單!D165)</f>
        <v/>
      </c>
      <c r="E165" s="20" t="n"/>
    </row>
    <row r="166">
      <c r="A166" s="19">
        <f>IF(事例清單!A166="","",事例清單!A166)</f>
        <v/>
      </c>
      <c r="B166" s="19">
        <f>IF(事例清單!B166="","",事例清單!B166)</f>
        <v/>
      </c>
      <c r="C166" s="19">
        <f>IF(事例清單!C166="","",事例清單!C166)</f>
        <v/>
      </c>
      <c r="D166" s="19">
        <f>IF(事例清單!D166="","",事例清單!D166)</f>
        <v/>
      </c>
      <c r="E166" s="20" t="n"/>
    </row>
    <row r="167">
      <c r="A167" s="19">
        <f>IF(事例清單!A167="","",事例清單!A167)</f>
        <v/>
      </c>
      <c r="B167" s="19">
        <f>IF(事例清單!B167="","",事例清單!B167)</f>
        <v/>
      </c>
      <c r="C167" s="19">
        <f>IF(事例清單!C167="","",事例清單!C167)</f>
        <v/>
      </c>
      <c r="D167" s="19">
        <f>IF(事例清單!D167="","",事例清單!D167)</f>
        <v/>
      </c>
      <c r="E167" s="20" t="n"/>
    </row>
    <row r="168">
      <c r="A168" s="19">
        <f>IF(事例清單!A168="","",事例清單!A168)</f>
        <v/>
      </c>
      <c r="B168" s="19">
        <f>IF(事例清單!B168="","",事例清單!B168)</f>
        <v/>
      </c>
      <c r="C168" s="19">
        <f>IF(事例清單!C168="","",事例清單!C168)</f>
        <v/>
      </c>
      <c r="D168" s="19">
        <f>IF(事例清單!D168="","",事例清單!D168)</f>
        <v/>
      </c>
      <c r="E168" s="20" t="n"/>
    </row>
    <row r="169">
      <c r="A169" s="19">
        <f>IF(事例清單!A169="","",事例清單!A169)</f>
        <v/>
      </c>
      <c r="B169" s="19">
        <f>IF(事例清單!B169="","",事例清單!B169)</f>
        <v/>
      </c>
      <c r="C169" s="19">
        <f>IF(事例清單!C169="","",事例清單!C169)</f>
        <v/>
      </c>
      <c r="D169" s="19">
        <f>IF(事例清單!D169="","",事例清單!D169)</f>
        <v/>
      </c>
      <c r="E169" s="20" t="n"/>
    </row>
    <row r="170">
      <c r="A170" s="19">
        <f>IF(事例清單!A170="","",事例清單!A170)</f>
        <v/>
      </c>
      <c r="B170" s="19">
        <f>IF(事例清單!B170="","",事例清單!B170)</f>
        <v/>
      </c>
      <c r="C170" s="19">
        <f>IF(事例清單!C170="","",事例清單!C170)</f>
        <v/>
      </c>
      <c r="D170" s="19">
        <f>IF(事例清單!D170="","",事例清單!D170)</f>
        <v/>
      </c>
      <c r="E170" s="20" t="n"/>
    </row>
    <row r="171">
      <c r="A171" s="19">
        <f>IF(事例清單!A171="","",事例清單!A171)</f>
        <v/>
      </c>
      <c r="B171" s="19">
        <f>IF(事例清單!B171="","",事例清單!B171)</f>
        <v/>
      </c>
      <c r="C171" s="19">
        <f>IF(事例清單!C171="","",事例清單!C171)</f>
        <v/>
      </c>
      <c r="D171" s="19">
        <f>IF(事例清單!D171="","",事例清單!D171)</f>
        <v/>
      </c>
      <c r="E171" s="20" t="n"/>
    </row>
    <row r="172">
      <c r="A172" s="19">
        <f>IF(事例清單!A172="","",事例清單!A172)</f>
        <v/>
      </c>
      <c r="B172" s="19">
        <f>IF(事例清單!B172="","",事例清單!B172)</f>
        <v/>
      </c>
      <c r="C172" s="19">
        <f>IF(事例清單!C172="","",事例清單!C172)</f>
        <v/>
      </c>
      <c r="D172" s="19">
        <f>IF(事例清單!D172="","",事例清單!D172)</f>
        <v/>
      </c>
      <c r="E172" s="20" t="n"/>
    </row>
    <row r="173">
      <c r="A173" s="19">
        <f>IF(事例清單!A173="","",事例清單!A173)</f>
        <v/>
      </c>
      <c r="B173" s="19">
        <f>IF(事例清單!B173="","",事例清單!B173)</f>
        <v/>
      </c>
      <c r="C173" s="19">
        <f>IF(事例清單!C173="","",事例清單!C173)</f>
        <v/>
      </c>
      <c r="D173" s="19">
        <f>IF(事例清單!D173="","",事例清單!D173)</f>
        <v/>
      </c>
      <c r="E173" s="20" t="n"/>
    </row>
    <row r="174">
      <c r="A174" s="19">
        <f>IF(事例清單!A174="","",事例清單!A174)</f>
        <v/>
      </c>
      <c r="B174" s="19">
        <f>IF(事例清單!B174="","",事例清單!B174)</f>
        <v/>
      </c>
      <c r="C174" s="19">
        <f>IF(事例清單!C174="","",事例清單!C174)</f>
        <v/>
      </c>
      <c r="D174" s="19">
        <f>IF(事例清單!D174="","",事例清單!D174)</f>
        <v/>
      </c>
      <c r="E174" s="20" t="n"/>
    </row>
    <row r="175">
      <c r="A175" s="19">
        <f>IF(事例清單!A175="","",事例清單!A175)</f>
        <v/>
      </c>
      <c r="B175" s="19">
        <f>IF(事例清單!B175="","",事例清單!B175)</f>
        <v/>
      </c>
      <c r="C175" s="19">
        <f>IF(事例清單!C175="","",事例清單!C175)</f>
        <v/>
      </c>
      <c r="D175" s="19">
        <f>IF(事例清單!D175="","",事例清單!D175)</f>
        <v/>
      </c>
      <c r="E175" s="20" t="n"/>
    </row>
    <row r="176">
      <c r="A176" s="19">
        <f>IF(事例清單!A176="","",事例清單!A176)</f>
        <v/>
      </c>
      <c r="B176" s="19">
        <f>IF(事例清單!B176="","",事例清單!B176)</f>
        <v/>
      </c>
      <c r="C176" s="19">
        <f>IF(事例清單!C176="","",事例清單!C176)</f>
        <v/>
      </c>
      <c r="D176" s="19">
        <f>IF(事例清單!D176="","",事例清單!D176)</f>
        <v/>
      </c>
      <c r="E176" s="20" t="n"/>
    </row>
    <row r="177">
      <c r="A177" s="19">
        <f>IF(事例清單!A177="","",事例清單!A177)</f>
        <v/>
      </c>
      <c r="B177" s="19">
        <f>IF(事例清單!B177="","",事例清單!B177)</f>
        <v/>
      </c>
      <c r="C177" s="19">
        <f>IF(事例清單!C177="","",事例清單!C177)</f>
        <v/>
      </c>
      <c r="D177" s="19">
        <f>IF(事例清單!D177="","",事例清單!D177)</f>
        <v/>
      </c>
      <c r="E177" s="20" t="n"/>
    </row>
    <row r="178">
      <c r="A178" s="19">
        <f>IF(事例清單!A178="","",事例清單!A178)</f>
        <v/>
      </c>
      <c r="B178" s="19">
        <f>IF(事例清單!B178="","",事例清單!B178)</f>
        <v/>
      </c>
      <c r="C178" s="19">
        <f>IF(事例清單!C178="","",事例清單!C178)</f>
        <v/>
      </c>
      <c r="D178" s="19">
        <f>IF(事例清單!D178="","",事例清單!D178)</f>
        <v/>
      </c>
      <c r="E178" s="20" t="n"/>
    </row>
    <row r="179">
      <c r="A179" s="19">
        <f>IF(事例清單!A179="","",事例清單!A179)</f>
        <v/>
      </c>
      <c r="B179" s="19">
        <f>IF(事例清單!B179="","",事例清單!B179)</f>
        <v/>
      </c>
      <c r="C179" s="19">
        <f>IF(事例清單!C179="","",事例清單!C179)</f>
        <v/>
      </c>
      <c r="D179" s="19">
        <f>IF(事例清單!D179="","",事例清單!D179)</f>
        <v/>
      </c>
      <c r="E179" s="20" t="n"/>
    </row>
    <row r="180">
      <c r="A180" s="19">
        <f>IF(事例清單!A180="","",事例清單!A180)</f>
        <v/>
      </c>
      <c r="B180" s="19">
        <f>IF(事例清單!B180="","",事例清單!B180)</f>
        <v/>
      </c>
      <c r="C180" s="19">
        <f>IF(事例清單!C180="","",事例清單!C180)</f>
        <v/>
      </c>
      <c r="D180" s="19">
        <f>IF(事例清單!D180="","",事例清單!D180)</f>
        <v/>
      </c>
      <c r="E180" s="20" t="n"/>
    </row>
    <row r="181">
      <c r="A181" s="19">
        <f>IF(事例清單!A181="","",事例清單!A181)</f>
        <v/>
      </c>
      <c r="B181" s="19">
        <f>IF(事例清單!B181="","",事例清單!B181)</f>
        <v/>
      </c>
      <c r="C181" s="19">
        <f>IF(事例清單!C181="","",事例清單!C181)</f>
        <v/>
      </c>
      <c r="D181" s="19">
        <f>IF(事例清單!D181="","",事例清單!D181)</f>
        <v/>
      </c>
      <c r="E181" s="20" t="n"/>
    </row>
    <row r="182">
      <c r="A182" s="19">
        <f>IF(事例清單!A182="","",事例清單!A182)</f>
        <v/>
      </c>
      <c r="B182" s="19">
        <f>IF(事例清單!B182="","",事例清單!B182)</f>
        <v/>
      </c>
      <c r="C182" s="19">
        <f>IF(事例清單!C182="","",事例清單!C182)</f>
        <v/>
      </c>
      <c r="D182" s="19">
        <f>IF(事例清單!D182="","",事例清單!D182)</f>
        <v/>
      </c>
      <c r="E182" s="20" t="n"/>
    </row>
    <row r="183">
      <c r="A183" s="19">
        <f>IF(事例清單!A183="","",事例清單!A183)</f>
        <v/>
      </c>
      <c r="B183" s="19">
        <f>IF(事例清單!B183="","",事例清單!B183)</f>
        <v/>
      </c>
      <c r="C183" s="19">
        <f>IF(事例清單!C183="","",事例清單!C183)</f>
        <v/>
      </c>
      <c r="D183" s="19">
        <f>IF(事例清單!D183="","",事例清單!D183)</f>
        <v/>
      </c>
      <c r="E183" s="20" t="n"/>
    </row>
    <row r="184">
      <c r="A184" s="19">
        <f>IF(事例清單!A184="","",事例清單!A184)</f>
        <v/>
      </c>
      <c r="B184" s="19">
        <f>IF(事例清單!B184="","",事例清單!B184)</f>
        <v/>
      </c>
      <c r="C184" s="19">
        <f>IF(事例清單!C184="","",事例清單!C184)</f>
        <v/>
      </c>
      <c r="D184" s="19">
        <f>IF(事例清單!D184="","",事例清單!D184)</f>
        <v/>
      </c>
      <c r="E184" s="20" t="n"/>
    </row>
    <row r="185">
      <c r="A185" s="19">
        <f>IF(事例清單!A185="","",事例清單!A185)</f>
        <v/>
      </c>
      <c r="B185" s="19">
        <f>IF(事例清單!B185="","",事例清單!B185)</f>
        <v/>
      </c>
      <c r="C185" s="19">
        <f>IF(事例清單!C185="","",事例清單!C185)</f>
        <v/>
      </c>
      <c r="D185" s="19">
        <f>IF(事例清單!D185="","",事例清單!D185)</f>
        <v/>
      </c>
      <c r="E185" s="20" t="n"/>
    </row>
    <row r="186">
      <c r="A186" s="19">
        <f>IF(事例清單!A186="","",事例清單!A186)</f>
        <v/>
      </c>
      <c r="B186" s="19">
        <f>IF(事例清單!B186="","",事例清單!B186)</f>
        <v/>
      </c>
      <c r="C186" s="19">
        <f>IF(事例清單!C186="","",事例清單!C186)</f>
        <v/>
      </c>
      <c r="D186" s="19">
        <f>IF(事例清單!D186="","",事例清單!D186)</f>
        <v/>
      </c>
      <c r="E186" s="20" t="n"/>
    </row>
    <row r="187">
      <c r="A187" s="19">
        <f>IF(事例清單!A187="","",事例清單!A187)</f>
        <v/>
      </c>
      <c r="B187" s="19">
        <f>IF(事例清單!B187="","",事例清單!B187)</f>
        <v/>
      </c>
      <c r="C187" s="19">
        <f>IF(事例清單!C187="","",事例清單!C187)</f>
        <v/>
      </c>
      <c r="D187" s="19">
        <f>IF(事例清單!D187="","",事例清單!D187)</f>
        <v/>
      </c>
      <c r="E187" s="20" t="n"/>
    </row>
    <row r="188">
      <c r="A188" s="19">
        <f>IF(事例清單!A188="","",事例清單!A188)</f>
        <v/>
      </c>
      <c r="B188" s="19">
        <f>IF(事例清單!B188="","",事例清單!B188)</f>
        <v/>
      </c>
      <c r="C188" s="19">
        <f>IF(事例清單!C188="","",事例清單!C188)</f>
        <v/>
      </c>
      <c r="D188" s="19">
        <f>IF(事例清單!D188="","",事例清單!D188)</f>
        <v/>
      </c>
      <c r="E188" s="20" t="n"/>
    </row>
    <row r="189">
      <c r="A189" s="19">
        <f>IF(事例清單!A189="","",事例清單!A189)</f>
        <v/>
      </c>
      <c r="B189" s="19">
        <f>IF(事例清單!B189="","",事例清單!B189)</f>
        <v/>
      </c>
      <c r="C189" s="19">
        <f>IF(事例清單!C189="","",事例清單!C189)</f>
        <v/>
      </c>
      <c r="D189" s="19">
        <f>IF(事例清單!D189="","",事例清單!D189)</f>
        <v/>
      </c>
      <c r="E189" s="20" t="n"/>
    </row>
    <row r="190">
      <c r="A190" s="19">
        <f>IF(事例清單!A190="","",事例清單!A190)</f>
        <v/>
      </c>
      <c r="B190" s="19">
        <f>IF(事例清單!B190="","",事例清單!B190)</f>
        <v/>
      </c>
      <c r="C190" s="19">
        <f>IF(事例清單!C190="","",事例清單!C190)</f>
        <v/>
      </c>
      <c r="D190" s="19">
        <f>IF(事例清單!D190="","",事例清單!D190)</f>
        <v/>
      </c>
      <c r="E190" s="20" t="n"/>
    </row>
    <row r="191">
      <c r="A191" s="19">
        <f>IF(事例清單!A191="","",事例清單!A191)</f>
        <v/>
      </c>
      <c r="B191" s="19">
        <f>IF(事例清單!B191="","",事例清單!B191)</f>
        <v/>
      </c>
      <c r="C191" s="19">
        <f>IF(事例清單!C191="","",事例清單!C191)</f>
        <v/>
      </c>
      <c r="D191" s="19">
        <f>IF(事例清單!D191="","",事例清單!D191)</f>
        <v/>
      </c>
      <c r="E191" s="20" t="n"/>
    </row>
    <row r="192">
      <c r="A192" s="19">
        <f>IF(事例清單!A192="","",事例清單!A192)</f>
        <v/>
      </c>
      <c r="B192" s="19">
        <f>IF(事例清單!B192="","",事例清單!B192)</f>
        <v/>
      </c>
      <c r="C192" s="19">
        <f>IF(事例清單!C192="","",事例清單!C192)</f>
        <v/>
      </c>
      <c r="D192" s="19">
        <f>IF(事例清單!D192="","",事例清單!D192)</f>
        <v/>
      </c>
      <c r="E192" s="20" t="n"/>
    </row>
    <row r="193">
      <c r="A193" s="19">
        <f>IF(事例清單!A193="","",事例清單!A193)</f>
        <v/>
      </c>
      <c r="B193" s="19">
        <f>IF(事例清單!B193="","",事例清單!B193)</f>
        <v/>
      </c>
      <c r="C193" s="19">
        <f>IF(事例清單!C193="","",事例清單!C193)</f>
        <v/>
      </c>
      <c r="D193" s="19">
        <f>IF(事例清單!D193="","",事例清單!D193)</f>
        <v/>
      </c>
      <c r="E193" s="20" t="n"/>
    </row>
    <row r="194">
      <c r="A194" s="19">
        <f>IF(事例清單!A194="","",事例清單!A194)</f>
        <v/>
      </c>
      <c r="B194" s="19">
        <f>IF(事例清單!B194="","",事例清單!B194)</f>
        <v/>
      </c>
      <c r="C194" s="19">
        <f>IF(事例清單!C194="","",事例清單!C194)</f>
        <v/>
      </c>
      <c r="D194" s="19">
        <f>IF(事例清單!D194="","",事例清單!D194)</f>
        <v/>
      </c>
      <c r="E194" s="20" t="n"/>
    </row>
    <row r="195">
      <c r="A195" s="19">
        <f>IF(事例清單!A195="","",事例清單!A195)</f>
        <v/>
      </c>
      <c r="B195" s="19">
        <f>IF(事例清單!B195="","",事例清單!B195)</f>
        <v/>
      </c>
      <c r="C195" s="19">
        <f>IF(事例清單!C195="","",事例清單!C195)</f>
        <v/>
      </c>
      <c r="D195" s="19">
        <f>IF(事例清單!D195="","",事例清單!D195)</f>
        <v/>
      </c>
      <c r="E195" s="20" t="n"/>
    </row>
    <row r="196">
      <c r="A196" s="19">
        <f>IF(事例清單!A196="","",事例清單!A196)</f>
        <v/>
      </c>
      <c r="B196" s="19">
        <f>IF(事例清單!B196="","",事例清單!B196)</f>
        <v/>
      </c>
      <c r="C196" s="19">
        <f>IF(事例清單!C196="","",事例清單!C196)</f>
        <v/>
      </c>
      <c r="D196" s="19">
        <f>IF(事例清單!D196="","",事例清單!D196)</f>
        <v/>
      </c>
      <c r="E196" s="20" t="n"/>
    </row>
    <row r="197">
      <c r="A197" s="19">
        <f>IF(事例清單!A197="","",事例清單!A197)</f>
        <v/>
      </c>
      <c r="B197" s="19">
        <f>IF(事例清單!B197="","",事例清單!B197)</f>
        <v/>
      </c>
      <c r="C197" s="19">
        <f>IF(事例清單!C197="","",事例清單!C197)</f>
        <v/>
      </c>
      <c r="D197" s="19">
        <f>IF(事例清單!D197="","",事例清單!D197)</f>
        <v/>
      </c>
      <c r="E197" s="20" t="n"/>
    </row>
    <row r="198">
      <c r="A198" s="19">
        <f>IF(事例清單!A198="","",事例清單!A198)</f>
        <v/>
      </c>
      <c r="B198" s="19">
        <f>IF(事例清單!B198="","",事例清單!B198)</f>
        <v/>
      </c>
      <c r="C198" s="19">
        <f>IF(事例清單!C198="","",事例清單!C198)</f>
        <v/>
      </c>
      <c r="D198" s="19">
        <f>IF(事例清單!D198="","",事例清單!D198)</f>
        <v/>
      </c>
      <c r="E198" s="20" t="n"/>
    </row>
    <row r="199">
      <c r="A199" s="19">
        <f>IF(事例清單!A199="","",事例清單!A199)</f>
        <v/>
      </c>
      <c r="B199" s="19">
        <f>IF(事例清單!B199="","",事例清單!B199)</f>
        <v/>
      </c>
      <c r="C199" s="19">
        <f>IF(事例清單!C199="","",事例清單!C199)</f>
        <v/>
      </c>
      <c r="D199" s="19">
        <f>IF(事例清單!D199="","",事例清單!D199)</f>
        <v/>
      </c>
      <c r="E199" s="20" t="n"/>
    </row>
    <row r="200">
      <c r="A200" s="19">
        <f>IF(事例清單!A200="","",事例清單!A200)</f>
        <v/>
      </c>
      <c r="B200" s="19">
        <f>IF(事例清單!B200="","",事例清單!B200)</f>
        <v/>
      </c>
      <c r="C200" s="19">
        <f>IF(事例清單!C200="","",事例清單!C200)</f>
        <v/>
      </c>
      <c r="D200" s="19">
        <f>IF(事例清單!D200="","",事例清單!D200)</f>
        <v/>
      </c>
      <c r="E200" s="20" t="n"/>
    </row>
    <row r="201">
      <c r="A201" s="19">
        <f>IF(事例清單!A201="","",事例清單!A201)</f>
        <v/>
      </c>
      <c r="B201" s="19">
        <f>IF(事例清單!B201="","",事例清單!B201)</f>
        <v/>
      </c>
      <c r="C201" s="19">
        <f>IF(事例清單!C201="","",事例清單!C201)</f>
        <v/>
      </c>
      <c r="D201" s="19">
        <f>IF(事例清單!D201="","",事例清單!D201)</f>
        <v/>
      </c>
      <c r="E201" s="20" t="n"/>
    </row>
    <row r="202">
      <c r="A202" s="19">
        <f>IF(事例清單!A202="","",事例清單!A202)</f>
        <v/>
      </c>
      <c r="B202" s="19">
        <f>IF(事例清單!B202="","",事例清單!B202)</f>
        <v/>
      </c>
      <c r="C202" s="19">
        <f>IF(事例清單!C202="","",事例清單!C202)</f>
        <v/>
      </c>
      <c r="D202" s="19">
        <f>IF(事例清單!D202="","",事例清單!D202)</f>
        <v/>
      </c>
      <c r="E202" s="20" t="n"/>
    </row>
    <row r="203">
      <c r="A203" s="19">
        <f>IF(事例清單!A203="","",事例清單!A203)</f>
        <v/>
      </c>
      <c r="B203" s="19">
        <f>IF(事例清單!B203="","",事例清單!B203)</f>
        <v/>
      </c>
      <c r="C203" s="19">
        <f>IF(事例清單!C203="","",事例清單!C203)</f>
        <v/>
      </c>
      <c r="D203" s="19">
        <f>IF(事例清單!D203="","",事例清單!D203)</f>
        <v/>
      </c>
      <c r="E203" s="20" t="n"/>
    </row>
    <row r="204">
      <c r="A204" s="19">
        <f>IF(事例清單!A204="","",事例清單!A204)</f>
        <v/>
      </c>
      <c r="B204" s="19">
        <f>IF(事例清單!B204="","",事例清單!B204)</f>
        <v/>
      </c>
      <c r="C204" s="19">
        <f>IF(事例清單!C204="","",事例清單!C204)</f>
        <v/>
      </c>
      <c r="D204" s="19">
        <f>IF(事例清單!D204="","",事例清單!D204)</f>
        <v/>
      </c>
      <c r="E204" s="20" t="n"/>
    </row>
    <row r="205">
      <c r="A205" s="19">
        <f>IF(事例清單!A205="","",事例清單!A205)</f>
        <v/>
      </c>
      <c r="B205" s="19">
        <f>IF(事例清單!B205="","",事例清單!B205)</f>
        <v/>
      </c>
      <c r="C205" s="19">
        <f>IF(事例清單!C205="","",事例清單!C205)</f>
        <v/>
      </c>
      <c r="D205" s="19">
        <f>IF(事例清單!D205="","",事例清單!D205)</f>
        <v/>
      </c>
      <c r="E205" s="20" t="n"/>
    </row>
    <row r="206">
      <c r="A206" s="19">
        <f>IF(事例清單!A206="","",事例清單!A206)</f>
        <v/>
      </c>
      <c r="B206" s="19">
        <f>IF(事例清單!B206="","",事例清單!B206)</f>
        <v/>
      </c>
      <c r="C206" s="19">
        <f>IF(事例清單!C206="","",事例清單!C206)</f>
        <v/>
      </c>
      <c r="D206" s="19">
        <f>IF(事例清單!D206="","",事例清單!D206)</f>
        <v/>
      </c>
      <c r="E206" s="20" t="n"/>
    </row>
    <row r="207">
      <c r="A207" s="19">
        <f>IF(事例清單!A207="","",事例清單!A207)</f>
        <v/>
      </c>
      <c r="B207" s="19">
        <f>IF(事例清單!B207="","",事例清單!B207)</f>
        <v/>
      </c>
      <c r="C207" s="19">
        <f>IF(事例清單!C207="","",事例清單!C207)</f>
        <v/>
      </c>
      <c r="D207" s="19">
        <f>IF(事例清單!D207="","",事例清單!D207)</f>
        <v/>
      </c>
      <c r="E207" s="20" t="n"/>
    </row>
    <row r="208">
      <c r="A208" s="19">
        <f>IF(事例清單!A208="","",事例清單!A208)</f>
        <v/>
      </c>
      <c r="B208" s="19">
        <f>IF(事例清單!B208="","",事例清單!B208)</f>
        <v/>
      </c>
      <c r="C208" s="19">
        <f>IF(事例清單!C208="","",事例清單!C208)</f>
        <v/>
      </c>
      <c r="D208" s="19">
        <f>IF(事例清單!D208="","",事例清單!D208)</f>
        <v/>
      </c>
      <c r="E208" s="20" t="n"/>
    </row>
    <row r="209">
      <c r="A209" s="19">
        <f>IF(事例清單!A209="","",事例清單!A209)</f>
        <v/>
      </c>
      <c r="B209" s="19">
        <f>IF(事例清單!B209="","",事例清單!B209)</f>
        <v/>
      </c>
      <c r="C209" s="19">
        <f>IF(事例清單!C209="","",事例清單!C209)</f>
        <v/>
      </c>
      <c r="D209" s="19">
        <f>IF(事例清單!D209="","",事例清單!D209)</f>
        <v/>
      </c>
      <c r="E209" s="20" t="n"/>
    </row>
    <row r="210">
      <c r="A210" s="19">
        <f>IF(事例清單!A210="","",事例清單!A210)</f>
        <v/>
      </c>
      <c r="B210" s="19">
        <f>IF(事例清單!B210="","",事例清單!B210)</f>
        <v/>
      </c>
      <c r="C210" s="19">
        <f>IF(事例清單!C210="","",事例清單!C210)</f>
        <v/>
      </c>
      <c r="D210" s="19">
        <f>IF(事例清單!D210="","",事例清單!D210)</f>
        <v/>
      </c>
      <c r="E210" s="20" t="n"/>
    </row>
    <row r="211">
      <c r="A211" s="19">
        <f>IF(事例清單!A211="","",事例清單!A211)</f>
        <v/>
      </c>
      <c r="B211" s="19">
        <f>IF(事例清單!B211="","",事例清單!B211)</f>
        <v/>
      </c>
      <c r="C211" s="19">
        <f>IF(事例清單!C211="","",事例清單!C211)</f>
        <v/>
      </c>
      <c r="D211" s="19">
        <f>IF(事例清單!D211="","",事例清單!D211)</f>
        <v/>
      </c>
      <c r="E211" s="20" t="n"/>
    </row>
    <row r="212">
      <c r="A212" s="19">
        <f>IF(事例清單!A212="","",事例清單!A212)</f>
        <v/>
      </c>
      <c r="B212" s="19">
        <f>IF(事例清單!B212="","",事例清單!B212)</f>
        <v/>
      </c>
      <c r="C212" s="19">
        <f>IF(事例清單!C212="","",事例清單!C212)</f>
        <v/>
      </c>
      <c r="D212" s="19">
        <f>IF(事例清單!D212="","",事例清單!D212)</f>
        <v/>
      </c>
      <c r="E212" s="20" t="n"/>
    </row>
    <row r="213">
      <c r="A213" s="19">
        <f>IF(事例清單!A213="","",事例清單!A213)</f>
        <v/>
      </c>
      <c r="B213" s="19">
        <f>IF(事例清單!B213="","",事例清單!B213)</f>
        <v/>
      </c>
      <c r="C213" s="19">
        <f>IF(事例清單!C213="","",事例清單!C213)</f>
        <v/>
      </c>
      <c r="D213" s="19">
        <f>IF(事例清單!D213="","",事例清單!D213)</f>
        <v/>
      </c>
      <c r="E213" s="20" t="n"/>
    </row>
    <row r="214">
      <c r="A214" s="19">
        <f>IF(事例清單!A214="","",事例清單!A214)</f>
        <v/>
      </c>
      <c r="B214" s="19">
        <f>IF(事例清單!B214="","",事例清單!B214)</f>
        <v/>
      </c>
      <c r="C214" s="19">
        <f>IF(事例清單!C214="","",事例清單!C214)</f>
        <v/>
      </c>
      <c r="D214" s="19">
        <f>IF(事例清單!D214="","",事例清單!D214)</f>
        <v/>
      </c>
      <c r="E214" s="20" t="n"/>
    </row>
    <row r="215">
      <c r="A215" s="19">
        <f>IF(事例清單!A215="","",事例清單!A215)</f>
        <v/>
      </c>
      <c r="B215" s="19">
        <f>IF(事例清單!B215="","",事例清單!B215)</f>
        <v/>
      </c>
      <c r="C215" s="19">
        <f>IF(事例清單!C215="","",事例清單!C215)</f>
        <v/>
      </c>
      <c r="D215" s="19">
        <f>IF(事例清單!D215="","",事例清單!D215)</f>
        <v/>
      </c>
      <c r="E215" s="20" t="n"/>
    </row>
    <row r="216">
      <c r="A216" s="19">
        <f>IF(事例清單!A216="","",事例清單!A216)</f>
        <v/>
      </c>
      <c r="B216" s="19">
        <f>IF(事例清單!B216="","",事例清單!B216)</f>
        <v/>
      </c>
      <c r="C216" s="19">
        <f>IF(事例清單!C216="","",事例清單!C216)</f>
        <v/>
      </c>
      <c r="D216" s="19">
        <f>IF(事例清單!D216="","",事例清單!D216)</f>
        <v/>
      </c>
      <c r="E216" s="20" t="n"/>
    </row>
    <row r="217">
      <c r="A217" s="19">
        <f>IF(事例清單!A217="","",事例清單!A217)</f>
        <v/>
      </c>
      <c r="B217" s="19">
        <f>IF(事例清單!B217="","",事例清單!B217)</f>
        <v/>
      </c>
      <c r="C217" s="19">
        <f>IF(事例清單!C217="","",事例清單!C217)</f>
        <v/>
      </c>
      <c r="D217" s="19">
        <f>IF(事例清單!D217="","",事例清單!D217)</f>
        <v/>
      </c>
      <c r="E217" s="20" t="n"/>
    </row>
    <row r="218">
      <c r="A218" s="19">
        <f>IF(事例清單!A218="","",事例清單!A218)</f>
        <v/>
      </c>
      <c r="B218" s="19">
        <f>IF(事例清單!B218="","",事例清單!B218)</f>
        <v/>
      </c>
      <c r="C218" s="19">
        <f>IF(事例清單!C218="","",事例清單!C218)</f>
        <v/>
      </c>
      <c r="D218" s="19">
        <f>IF(事例清單!D218="","",事例清單!D218)</f>
        <v/>
      </c>
      <c r="E218" s="20" t="n"/>
    </row>
    <row r="219">
      <c r="A219" s="19">
        <f>IF(事例清單!A219="","",事例清單!A219)</f>
        <v/>
      </c>
      <c r="B219" s="19">
        <f>IF(事例清單!B219="","",事例清單!B219)</f>
        <v/>
      </c>
      <c r="C219" s="19">
        <f>IF(事例清單!C219="","",事例清單!C219)</f>
        <v/>
      </c>
      <c r="D219" s="19">
        <f>IF(事例清單!D219="","",事例清單!D219)</f>
        <v/>
      </c>
      <c r="E219" s="20" t="n"/>
    </row>
    <row r="220">
      <c r="A220" s="19">
        <f>IF(事例清單!A220="","",事例清單!A220)</f>
        <v/>
      </c>
      <c r="B220" s="19">
        <f>IF(事例清單!B220="","",事例清單!B220)</f>
        <v/>
      </c>
      <c r="C220" s="19">
        <f>IF(事例清單!C220="","",事例清單!C220)</f>
        <v/>
      </c>
      <c r="D220" s="19">
        <f>IF(事例清單!D220="","",事例清單!D220)</f>
        <v/>
      </c>
      <c r="E220" s="20" t="n"/>
    </row>
    <row r="221">
      <c r="A221" s="19">
        <f>IF(事例清單!A221="","",事例清單!A221)</f>
        <v/>
      </c>
      <c r="B221" s="19">
        <f>IF(事例清單!B221="","",事例清單!B221)</f>
        <v/>
      </c>
      <c r="C221" s="19">
        <f>IF(事例清單!C221="","",事例清單!C221)</f>
        <v/>
      </c>
      <c r="D221" s="19">
        <f>IF(事例清單!D221="","",事例清單!D221)</f>
        <v/>
      </c>
      <c r="E221" s="20" t="n"/>
    </row>
    <row r="222">
      <c r="A222" s="19">
        <f>IF(事例清單!A222="","",事例清單!A222)</f>
        <v/>
      </c>
      <c r="B222" s="19">
        <f>IF(事例清單!B222="","",事例清單!B222)</f>
        <v/>
      </c>
      <c r="C222" s="19">
        <f>IF(事例清單!C222="","",事例清單!C222)</f>
        <v/>
      </c>
      <c r="D222" s="19">
        <f>IF(事例清單!D222="","",事例清單!D222)</f>
        <v/>
      </c>
      <c r="E222" s="20" t="n"/>
    </row>
    <row r="223">
      <c r="A223" s="19">
        <f>IF(事例清單!A223="","",事例清單!A223)</f>
        <v/>
      </c>
      <c r="B223" s="19">
        <f>IF(事例清單!B223="","",事例清單!B223)</f>
        <v/>
      </c>
      <c r="C223" s="19">
        <f>IF(事例清單!C223="","",事例清單!C223)</f>
        <v/>
      </c>
      <c r="D223" s="19">
        <f>IF(事例清單!D223="","",事例清單!D223)</f>
        <v/>
      </c>
      <c r="E223" s="20" t="n"/>
    </row>
    <row r="224">
      <c r="A224" s="19">
        <f>IF(事例清單!A224="","",事例清單!A224)</f>
        <v/>
      </c>
      <c r="B224" s="19">
        <f>IF(事例清單!B224="","",事例清單!B224)</f>
        <v/>
      </c>
      <c r="C224" s="19">
        <f>IF(事例清單!C224="","",事例清單!C224)</f>
        <v/>
      </c>
      <c r="D224" s="19">
        <f>IF(事例清單!D224="","",事例清單!D224)</f>
        <v/>
      </c>
      <c r="E224" s="20" t="n"/>
    </row>
    <row r="225">
      <c r="A225" s="19">
        <f>IF(事例清單!A225="","",事例清單!A225)</f>
        <v/>
      </c>
      <c r="B225" s="19">
        <f>IF(事例清單!B225="","",事例清單!B225)</f>
        <v/>
      </c>
      <c r="C225" s="19">
        <f>IF(事例清單!C225="","",事例清單!C225)</f>
        <v/>
      </c>
      <c r="D225" s="19">
        <f>IF(事例清單!D225="","",事例清單!D225)</f>
        <v/>
      </c>
      <c r="E225" s="20" t="n"/>
    </row>
    <row r="226">
      <c r="A226" s="19">
        <f>IF(事例清單!A226="","",事例清單!A226)</f>
        <v/>
      </c>
      <c r="B226" s="19">
        <f>IF(事例清單!B226="","",事例清單!B226)</f>
        <v/>
      </c>
      <c r="C226" s="19">
        <f>IF(事例清單!C226="","",事例清單!C226)</f>
        <v/>
      </c>
      <c r="D226" s="19">
        <f>IF(事例清單!D226="","",事例清單!D226)</f>
        <v/>
      </c>
      <c r="E226" s="20" t="n"/>
    </row>
    <row r="227">
      <c r="A227" s="19">
        <f>IF(事例清單!A227="","",事例清單!A227)</f>
        <v/>
      </c>
      <c r="B227" s="19">
        <f>IF(事例清單!B227="","",事例清單!B227)</f>
        <v/>
      </c>
      <c r="C227" s="19">
        <f>IF(事例清單!C227="","",事例清單!C227)</f>
        <v/>
      </c>
      <c r="D227" s="19">
        <f>IF(事例清單!D227="","",事例清單!D227)</f>
        <v/>
      </c>
      <c r="E227" s="20" t="n"/>
    </row>
    <row r="228">
      <c r="A228" s="19">
        <f>IF(事例清單!A228="","",事例清單!A228)</f>
        <v/>
      </c>
      <c r="B228" s="19">
        <f>IF(事例清單!B228="","",事例清單!B228)</f>
        <v/>
      </c>
      <c r="C228" s="19">
        <f>IF(事例清單!C228="","",事例清單!C228)</f>
        <v/>
      </c>
      <c r="D228" s="19">
        <f>IF(事例清單!D228="","",事例清單!D228)</f>
        <v/>
      </c>
      <c r="E228" s="20" t="n"/>
    </row>
    <row r="229">
      <c r="A229" s="19">
        <f>IF(事例清單!A229="","",事例清單!A229)</f>
        <v/>
      </c>
      <c r="B229" s="19">
        <f>IF(事例清單!B229="","",事例清單!B229)</f>
        <v/>
      </c>
      <c r="C229" s="19">
        <f>IF(事例清單!C229="","",事例清單!C229)</f>
        <v/>
      </c>
      <c r="D229" s="19">
        <f>IF(事例清單!D229="","",事例清單!D229)</f>
        <v/>
      </c>
      <c r="E229" s="20" t="n"/>
    </row>
    <row r="230">
      <c r="A230" s="19">
        <f>IF(事例清單!A230="","",事例清單!A230)</f>
        <v/>
      </c>
      <c r="B230" s="19">
        <f>IF(事例清單!B230="","",事例清單!B230)</f>
        <v/>
      </c>
      <c r="C230" s="19">
        <f>IF(事例清單!C230="","",事例清單!C230)</f>
        <v/>
      </c>
      <c r="D230" s="19">
        <f>IF(事例清單!D230="","",事例清單!D230)</f>
        <v/>
      </c>
      <c r="E230" s="20" t="n"/>
    </row>
    <row r="231">
      <c r="A231" s="19">
        <f>IF(事例清單!A231="","",事例清單!A231)</f>
        <v/>
      </c>
      <c r="B231" s="19">
        <f>IF(事例清單!B231="","",事例清單!B231)</f>
        <v/>
      </c>
      <c r="C231" s="19">
        <f>IF(事例清單!C231="","",事例清單!C231)</f>
        <v/>
      </c>
      <c r="D231" s="19">
        <f>IF(事例清單!D231="","",事例清單!D231)</f>
        <v/>
      </c>
      <c r="E231" s="20" t="n"/>
    </row>
    <row r="232">
      <c r="A232" s="19">
        <f>IF(事例清單!A232="","",事例清單!A232)</f>
        <v/>
      </c>
      <c r="B232" s="19">
        <f>IF(事例清單!B232="","",事例清單!B232)</f>
        <v/>
      </c>
      <c r="C232" s="19">
        <f>IF(事例清單!C232="","",事例清單!C232)</f>
        <v/>
      </c>
      <c r="D232" s="19">
        <f>IF(事例清單!D232="","",事例清單!D232)</f>
        <v/>
      </c>
      <c r="E232" s="20" t="n"/>
    </row>
    <row r="233">
      <c r="A233" s="19">
        <f>IF(事例清單!A233="","",事例清單!A233)</f>
        <v/>
      </c>
      <c r="B233" s="19">
        <f>IF(事例清單!B233="","",事例清單!B233)</f>
        <v/>
      </c>
      <c r="C233" s="19">
        <f>IF(事例清單!C233="","",事例清單!C233)</f>
        <v/>
      </c>
      <c r="D233" s="19">
        <f>IF(事例清單!D233="","",事例清單!D233)</f>
        <v/>
      </c>
      <c r="E233" s="20" t="n"/>
    </row>
    <row r="234">
      <c r="A234" s="19">
        <f>IF(事例清單!A234="","",事例清單!A234)</f>
        <v/>
      </c>
      <c r="B234" s="19">
        <f>IF(事例清單!B234="","",事例清單!B234)</f>
        <v/>
      </c>
      <c r="C234" s="19">
        <f>IF(事例清單!C234="","",事例清單!C234)</f>
        <v/>
      </c>
      <c r="D234" s="19">
        <f>IF(事例清單!D234="","",事例清單!D234)</f>
        <v/>
      </c>
      <c r="E234" s="20" t="n"/>
    </row>
    <row r="235">
      <c r="A235" s="19">
        <f>IF(事例清單!A235="","",事例清單!A235)</f>
        <v/>
      </c>
      <c r="B235" s="19">
        <f>IF(事例清單!B235="","",事例清單!B235)</f>
        <v/>
      </c>
      <c r="C235" s="19">
        <f>IF(事例清單!C235="","",事例清單!C235)</f>
        <v/>
      </c>
      <c r="D235" s="19">
        <f>IF(事例清單!D235="","",事例清單!D235)</f>
        <v/>
      </c>
      <c r="E235" s="20" t="n"/>
    </row>
    <row r="236">
      <c r="A236" s="19">
        <f>IF(事例清單!A236="","",事例清單!A236)</f>
        <v/>
      </c>
      <c r="B236" s="19">
        <f>IF(事例清單!B236="","",事例清單!B236)</f>
        <v/>
      </c>
      <c r="C236" s="19">
        <f>IF(事例清單!C236="","",事例清單!C236)</f>
        <v/>
      </c>
      <c r="D236" s="19">
        <f>IF(事例清單!D236="","",事例清單!D236)</f>
        <v/>
      </c>
      <c r="E236" s="20" t="n"/>
    </row>
    <row r="237">
      <c r="A237" s="19">
        <f>IF(事例清單!A237="","",事例清單!A237)</f>
        <v/>
      </c>
      <c r="B237" s="19">
        <f>IF(事例清單!B237="","",事例清單!B237)</f>
        <v/>
      </c>
      <c r="C237" s="19">
        <f>IF(事例清單!C237="","",事例清單!C237)</f>
        <v/>
      </c>
      <c r="D237" s="19">
        <f>IF(事例清單!D237="","",事例清單!D237)</f>
        <v/>
      </c>
      <c r="E237" s="20" t="n"/>
    </row>
    <row r="238">
      <c r="A238" s="19">
        <f>IF(事例清單!A238="","",事例清單!A238)</f>
        <v/>
      </c>
      <c r="B238" s="19">
        <f>IF(事例清單!B238="","",事例清單!B238)</f>
        <v/>
      </c>
      <c r="C238" s="19">
        <f>IF(事例清單!C238="","",事例清單!C238)</f>
        <v/>
      </c>
      <c r="D238" s="19">
        <f>IF(事例清單!D238="","",事例清單!D238)</f>
        <v/>
      </c>
      <c r="E238" s="20" t="n"/>
    </row>
    <row r="239">
      <c r="A239" s="19">
        <f>IF(事例清單!A239="","",事例清單!A239)</f>
        <v/>
      </c>
      <c r="B239" s="19">
        <f>IF(事例清單!B239="","",事例清單!B239)</f>
        <v/>
      </c>
      <c r="C239" s="19">
        <f>IF(事例清單!C239="","",事例清單!C239)</f>
        <v/>
      </c>
      <c r="D239" s="19">
        <f>IF(事例清單!D239="","",事例清單!D239)</f>
        <v/>
      </c>
      <c r="E239" s="20" t="n"/>
    </row>
    <row r="240">
      <c r="A240" s="19">
        <f>IF(事例清單!A240="","",事例清單!A240)</f>
        <v/>
      </c>
      <c r="B240" s="19">
        <f>IF(事例清單!B240="","",事例清單!B240)</f>
        <v/>
      </c>
      <c r="C240" s="19">
        <f>IF(事例清單!C240="","",事例清單!C240)</f>
        <v/>
      </c>
      <c r="D240" s="19">
        <f>IF(事例清單!D240="","",事例清單!D240)</f>
        <v/>
      </c>
      <c r="E240" s="20" t="n"/>
    </row>
    <row r="241">
      <c r="A241" s="19">
        <f>IF(事例清單!A241="","",事例清單!A241)</f>
        <v/>
      </c>
      <c r="B241" s="19">
        <f>IF(事例清單!B241="","",事例清單!B241)</f>
        <v/>
      </c>
      <c r="C241" s="19">
        <f>IF(事例清單!C241="","",事例清單!C241)</f>
        <v/>
      </c>
      <c r="D241" s="19">
        <f>IF(事例清單!D241="","",事例清單!D241)</f>
        <v/>
      </c>
      <c r="E241" s="20" t="n"/>
    </row>
    <row r="242">
      <c r="A242" s="19">
        <f>IF(事例清單!A242="","",事例清單!A242)</f>
        <v/>
      </c>
      <c r="B242" s="19">
        <f>IF(事例清單!B242="","",事例清單!B242)</f>
        <v/>
      </c>
      <c r="C242" s="19">
        <f>IF(事例清單!C242="","",事例清單!C242)</f>
        <v/>
      </c>
      <c r="D242" s="19">
        <f>IF(事例清單!D242="","",事例清單!D242)</f>
        <v/>
      </c>
      <c r="E242" s="20" t="n"/>
    </row>
    <row r="243">
      <c r="A243" s="19">
        <f>IF(事例清單!A243="","",事例清單!A243)</f>
        <v/>
      </c>
      <c r="B243" s="19">
        <f>IF(事例清單!B243="","",事例清單!B243)</f>
        <v/>
      </c>
      <c r="C243" s="19">
        <f>IF(事例清單!C243="","",事例清單!C243)</f>
        <v/>
      </c>
      <c r="D243" s="19">
        <f>IF(事例清單!D243="","",事例清單!D243)</f>
        <v/>
      </c>
      <c r="E243" s="20" t="n"/>
    </row>
    <row r="244">
      <c r="A244" s="19">
        <f>IF(事例清單!A244="","",事例清單!A244)</f>
        <v/>
      </c>
      <c r="B244" s="19">
        <f>IF(事例清單!B244="","",事例清單!B244)</f>
        <v/>
      </c>
      <c r="C244" s="19">
        <f>IF(事例清單!C244="","",事例清單!C244)</f>
        <v/>
      </c>
      <c r="D244" s="19">
        <f>IF(事例清單!D244="","",事例清單!D244)</f>
        <v/>
      </c>
      <c r="E244" s="20" t="n"/>
    </row>
    <row r="245">
      <c r="A245" s="19">
        <f>IF(事例清單!A245="","",事例清單!A245)</f>
        <v/>
      </c>
      <c r="B245" s="19">
        <f>IF(事例清單!B245="","",事例清單!B245)</f>
        <v/>
      </c>
      <c r="C245" s="19">
        <f>IF(事例清單!C245="","",事例清單!C245)</f>
        <v/>
      </c>
      <c r="D245" s="19">
        <f>IF(事例清單!D245="","",事例清單!D245)</f>
        <v/>
      </c>
      <c r="E245" s="20" t="n"/>
    </row>
    <row r="246">
      <c r="A246" s="19">
        <f>IF(事例清單!A246="","",事例清單!A246)</f>
        <v/>
      </c>
      <c r="B246" s="19">
        <f>IF(事例清單!B246="","",事例清單!B246)</f>
        <v/>
      </c>
      <c r="C246" s="19">
        <f>IF(事例清單!C246="","",事例清單!C246)</f>
        <v/>
      </c>
      <c r="D246" s="19">
        <f>IF(事例清單!D246="","",事例清單!D246)</f>
        <v/>
      </c>
      <c r="E246" s="20" t="n"/>
    </row>
    <row r="247">
      <c r="A247" s="19">
        <f>IF(事例清單!A247="","",事例清單!A247)</f>
        <v/>
      </c>
      <c r="B247" s="19">
        <f>IF(事例清單!B247="","",事例清單!B247)</f>
        <v/>
      </c>
      <c r="C247" s="19">
        <f>IF(事例清單!C247="","",事例清單!C247)</f>
        <v/>
      </c>
      <c r="D247" s="19">
        <f>IF(事例清單!D247="","",事例清單!D247)</f>
        <v/>
      </c>
      <c r="E247" s="20" t="n"/>
    </row>
    <row r="248">
      <c r="A248" s="19">
        <f>IF(事例清單!A248="","",事例清單!A248)</f>
        <v/>
      </c>
      <c r="B248" s="19">
        <f>IF(事例清單!B248="","",事例清單!B248)</f>
        <v/>
      </c>
      <c r="C248" s="19">
        <f>IF(事例清單!C248="","",事例清單!C248)</f>
        <v/>
      </c>
      <c r="D248" s="19">
        <f>IF(事例清單!D248="","",事例清單!D248)</f>
        <v/>
      </c>
      <c r="E248" s="20" t="n"/>
    </row>
    <row r="249">
      <c r="A249" s="19">
        <f>IF(事例清單!A249="","",事例清單!A249)</f>
        <v/>
      </c>
      <c r="B249" s="19">
        <f>IF(事例清單!B249="","",事例清單!B249)</f>
        <v/>
      </c>
      <c r="C249" s="19">
        <f>IF(事例清單!C249="","",事例清單!C249)</f>
        <v/>
      </c>
      <c r="D249" s="19">
        <f>IF(事例清單!D249="","",事例清單!D249)</f>
        <v/>
      </c>
      <c r="E249" s="20" t="n"/>
    </row>
    <row r="250">
      <c r="A250" s="19">
        <f>IF(事例清單!A250="","",事例清單!A250)</f>
        <v/>
      </c>
      <c r="B250" s="19">
        <f>IF(事例清單!B250="","",事例清單!B250)</f>
        <v/>
      </c>
      <c r="C250" s="19">
        <f>IF(事例清單!C250="","",事例清單!C250)</f>
        <v/>
      </c>
      <c r="D250" s="19">
        <f>IF(事例清單!D250="","",事例清單!D250)</f>
        <v/>
      </c>
      <c r="E250" s="20" t="n"/>
    </row>
    <row r="251">
      <c r="A251" s="19">
        <f>IF(事例清單!A251="","",事例清單!A251)</f>
        <v/>
      </c>
      <c r="B251" s="19">
        <f>IF(事例清單!B251="","",事例清單!B251)</f>
        <v/>
      </c>
      <c r="C251" s="19">
        <f>IF(事例清單!C251="","",事例清單!C251)</f>
        <v/>
      </c>
      <c r="D251" s="19">
        <f>IF(事例清單!D251="","",事例清單!D251)</f>
        <v/>
      </c>
      <c r="E251" s="20" t="n"/>
    </row>
    <row r="252">
      <c r="A252" s="19">
        <f>IF(事例清單!A252="","",事例清單!A252)</f>
        <v/>
      </c>
      <c r="B252" s="19">
        <f>IF(事例清單!B252="","",事例清單!B252)</f>
        <v/>
      </c>
      <c r="C252" s="19">
        <f>IF(事例清單!C252="","",事例清單!C252)</f>
        <v/>
      </c>
      <c r="D252" s="19">
        <f>IF(事例清單!D252="","",事例清單!D252)</f>
        <v/>
      </c>
      <c r="E252" s="20" t="n"/>
    </row>
    <row r="253">
      <c r="A253" s="19">
        <f>IF(事例清單!A253="","",事例清單!A253)</f>
        <v/>
      </c>
      <c r="B253" s="19">
        <f>IF(事例清單!B253="","",事例清單!B253)</f>
        <v/>
      </c>
      <c r="C253" s="19">
        <f>IF(事例清單!C253="","",事例清單!C253)</f>
        <v/>
      </c>
      <c r="D253" s="19">
        <f>IF(事例清單!D253="","",事例清單!D253)</f>
        <v/>
      </c>
      <c r="E253" s="20" t="n"/>
    </row>
    <row r="254">
      <c r="A254" s="19">
        <f>IF(事例清單!A254="","",事例清單!A254)</f>
        <v/>
      </c>
      <c r="B254" s="19">
        <f>IF(事例清單!B254="","",事例清單!B254)</f>
        <v/>
      </c>
      <c r="C254" s="19">
        <f>IF(事例清單!C254="","",事例清單!C254)</f>
        <v/>
      </c>
      <c r="D254" s="19">
        <f>IF(事例清單!D254="","",事例清單!D254)</f>
        <v/>
      </c>
      <c r="E254" s="20" t="n"/>
    </row>
    <row r="255">
      <c r="A255" s="19">
        <f>IF(事例清單!A255="","",事例清單!A255)</f>
        <v/>
      </c>
      <c r="B255" s="19">
        <f>IF(事例清單!B255="","",事例清單!B255)</f>
        <v/>
      </c>
      <c r="C255" s="19">
        <f>IF(事例清單!C255="","",事例清單!C255)</f>
        <v/>
      </c>
      <c r="D255" s="19">
        <f>IF(事例清單!D255="","",事例清單!D255)</f>
        <v/>
      </c>
      <c r="E255" s="20" t="n"/>
    </row>
    <row r="256">
      <c r="A256" s="19">
        <f>IF(事例清單!A256="","",事例清單!A256)</f>
        <v/>
      </c>
      <c r="B256" s="19">
        <f>IF(事例清單!B256="","",事例清單!B256)</f>
        <v/>
      </c>
      <c r="C256" s="19">
        <f>IF(事例清單!C256="","",事例清單!C256)</f>
        <v/>
      </c>
      <c r="D256" s="19">
        <f>IF(事例清單!D256="","",事例清單!D256)</f>
        <v/>
      </c>
      <c r="E256" s="20" t="n"/>
    </row>
    <row r="257">
      <c r="A257" s="19">
        <f>IF(事例清單!A257="","",事例清單!A257)</f>
        <v/>
      </c>
      <c r="B257" s="19">
        <f>IF(事例清單!B257="","",事例清單!B257)</f>
        <v/>
      </c>
      <c r="C257" s="19">
        <f>IF(事例清單!C257="","",事例清單!C257)</f>
        <v/>
      </c>
      <c r="D257" s="19">
        <f>IF(事例清單!D257="","",事例清單!D257)</f>
        <v/>
      </c>
      <c r="E257" s="20" t="n"/>
    </row>
    <row r="258">
      <c r="A258" s="19">
        <f>IF(事例清單!A258="","",事例清單!A258)</f>
        <v/>
      </c>
      <c r="B258" s="19">
        <f>IF(事例清單!B258="","",事例清單!B258)</f>
        <v/>
      </c>
      <c r="C258" s="19">
        <f>IF(事例清單!C258="","",事例清單!C258)</f>
        <v/>
      </c>
      <c r="D258" s="19">
        <f>IF(事例清單!D258="","",事例清單!D258)</f>
        <v/>
      </c>
      <c r="E258" s="20" t="n"/>
    </row>
    <row r="259">
      <c r="A259" s="19">
        <f>IF(事例清單!A259="","",事例清單!A259)</f>
        <v/>
      </c>
      <c r="B259" s="19">
        <f>IF(事例清單!B259="","",事例清單!B259)</f>
        <v/>
      </c>
      <c r="C259" s="19">
        <f>IF(事例清單!C259="","",事例清單!C259)</f>
        <v/>
      </c>
      <c r="D259" s="19">
        <f>IF(事例清單!D259="","",事例清單!D259)</f>
        <v/>
      </c>
      <c r="E259" s="20" t="n"/>
    </row>
    <row r="260">
      <c r="A260" s="19">
        <f>IF(事例清單!A260="","",事例清單!A260)</f>
        <v/>
      </c>
      <c r="B260" s="19">
        <f>IF(事例清單!B260="","",事例清單!B260)</f>
        <v/>
      </c>
      <c r="C260" s="19">
        <f>IF(事例清單!C260="","",事例清單!C260)</f>
        <v/>
      </c>
      <c r="D260" s="19">
        <f>IF(事例清單!D260="","",事例清單!D260)</f>
        <v/>
      </c>
      <c r="E260" s="20" t="n"/>
    </row>
    <row r="261">
      <c r="A261" s="19">
        <f>IF(事例清單!A261="","",事例清單!A261)</f>
        <v/>
      </c>
      <c r="B261" s="19">
        <f>IF(事例清單!B261="","",事例清單!B261)</f>
        <v/>
      </c>
      <c r="C261" s="19">
        <f>IF(事例清單!C261="","",事例清單!C261)</f>
        <v/>
      </c>
      <c r="D261" s="19">
        <f>IF(事例清單!D261="","",事例清單!D261)</f>
        <v/>
      </c>
      <c r="E261" s="20" t="n"/>
    </row>
    <row r="262">
      <c r="A262" s="19">
        <f>IF(事例清單!A262="","",事例清單!A262)</f>
        <v/>
      </c>
      <c r="B262" s="19">
        <f>IF(事例清單!B262="","",事例清單!B262)</f>
        <v/>
      </c>
      <c r="C262" s="19">
        <f>IF(事例清單!C262="","",事例清單!C262)</f>
        <v/>
      </c>
      <c r="D262" s="19">
        <f>IF(事例清單!D262="","",事例清單!D262)</f>
        <v/>
      </c>
      <c r="E262" s="20" t="n"/>
    </row>
    <row r="263">
      <c r="A263" s="19">
        <f>IF(事例清單!A263="","",事例清單!A263)</f>
        <v/>
      </c>
      <c r="B263" s="19">
        <f>IF(事例清單!B263="","",事例清單!B263)</f>
        <v/>
      </c>
      <c r="C263" s="19">
        <f>IF(事例清單!C263="","",事例清單!C263)</f>
        <v/>
      </c>
      <c r="D263" s="19">
        <f>IF(事例清單!D263="","",事例清單!D263)</f>
        <v/>
      </c>
      <c r="E263" s="20" t="n"/>
    </row>
    <row r="264">
      <c r="A264" s="19">
        <f>IF(事例清單!A264="","",事例清單!A264)</f>
        <v/>
      </c>
      <c r="B264" s="19">
        <f>IF(事例清單!B264="","",事例清單!B264)</f>
        <v/>
      </c>
      <c r="C264" s="19">
        <f>IF(事例清單!C264="","",事例清單!C264)</f>
        <v/>
      </c>
      <c r="D264" s="19">
        <f>IF(事例清單!D264="","",事例清單!D264)</f>
        <v/>
      </c>
      <c r="E264" s="20" t="n"/>
    </row>
    <row r="265">
      <c r="A265" s="19">
        <f>IF(事例清單!A265="","",事例清單!A265)</f>
        <v/>
      </c>
      <c r="B265" s="19">
        <f>IF(事例清單!B265="","",事例清單!B265)</f>
        <v/>
      </c>
      <c r="C265" s="19">
        <f>IF(事例清單!C265="","",事例清單!C265)</f>
        <v/>
      </c>
      <c r="D265" s="19">
        <f>IF(事例清單!D265="","",事例清單!D265)</f>
        <v/>
      </c>
      <c r="E265" s="20" t="n"/>
    </row>
    <row r="266">
      <c r="A266" s="19">
        <f>IF(事例清單!A266="","",事例清單!A266)</f>
        <v/>
      </c>
      <c r="B266" s="19">
        <f>IF(事例清單!B266="","",事例清單!B266)</f>
        <v/>
      </c>
      <c r="C266" s="19">
        <f>IF(事例清單!C266="","",事例清單!C266)</f>
        <v/>
      </c>
      <c r="D266" s="19">
        <f>IF(事例清單!D266="","",事例清單!D266)</f>
        <v/>
      </c>
      <c r="E266" s="20" t="n"/>
    </row>
    <row r="267">
      <c r="A267" s="19">
        <f>IF(事例清單!A267="","",事例清單!A267)</f>
        <v/>
      </c>
      <c r="B267" s="19">
        <f>IF(事例清單!B267="","",事例清單!B267)</f>
        <v/>
      </c>
      <c r="C267" s="19">
        <f>IF(事例清單!C267="","",事例清單!C267)</f>
        <v/>
      </c>
      <c r="D267" s="19">
        <f>IF(事例清單!D267="","",事例清單!D267)</f>
        <v/>
      </c>
      <c r="E267" s="20" t="n"/>
    </row>
    <row r="268">
      <c r="A268" s="19">
        <f>IF(事例清單!A268="","",事例清單!A268)</f>
        <v/>
      </c>
      <c r="B268" s="19">
        <f>IF(事例清單!B268="","",事例清單!B268)</f>
        <v/>
      </c>
      <c r="C268" s="19">
        <f>IF(事例清單!C268="","",事例清單!C268)</f>
        <v/>
      </c>
      <c r="D268" s="19">
        <f>IF(事例清單!D268="","",事例清單!D268)</f>
        <v/>
      </c>
      <c r="E268" s="20" t="n"/>
    </row>
    <row r="269">
      <c r="A269" s="19">
        <f>IF(事例清單!A269="","",事例清單!A269)</f>
        <v/>
      </c>
      <c r="B269" s="19">
        <f>IF(事例清單!B269="","",事例清單!B269)</f>
        <v/>
      </c>
      <c r="C269" s="19">
        <f>IF(事例清單!C269="","",事例清單!C269)</f>
        <v/>
      </c>
      <c r="D269" s="19">
        <f>IF(事例清單!D269="","",事例清單!D269)</f>
        <v/>
      </c>
      <c r="E269" s="20" t="n"/>
    </row>
    <row r="270">
      <c r="A270" s="19">
        <f>IF(事例清單!A270="","",事例清單!A270)</f>
        <v/>
      </c>
      <c r="B270" s="19">
        <f>IF(事例清單!B270="","",事例清單!B270)</f>
        <v/>
      </c>
      <c r="C270" s="19">
        <f>IF(事例清單!C270="","",事例清單!C270)</f>
        <v/>
      </c>
      <c r="D270" s="19">
        <f>IF(事例清單!D270="","",事例清單!D270)</f>
        <v/>
      </c>
      <c r="E270" s="20" t="n"/>
    </row>
    <row r="271">
      <c r="A271" s="19">
        <f>IF(事例清單!A271="","",事例清單!A271)</f>
        <v/>
      </c>
      <c r="B271" s="19">
        <f>IF(事例清單!B271="","",事例清單!B271)</f>
        <v/>
      </c>
      <c r="C271" s="19">
        <f>IF(事例清單!C271="","",事例清單!C271)</f>
        <v/>
      </c>
      <c r="D271" s="19">
        <f>IF(事例清單!D271="","",事例清單!D271)</f>
        <v/>
      </c>
      <c r="E271" s="20" t="n"/>
    </row>
    <row r="272">
      <c r="A272" s="19">
        <f>IF(事例清單!A272="","",事例清單!A272)</f>
        <v/>
      </c>
      <c r="B272" s="19">
        <f>IF(事例清單!B272="","",事例清單!B272)</f>
        <v/>
      </c>
      <c r="C272" s="19">
        <f>IF(事例清單!C272="","",事例清單!C272)</f>
        <v/>
      </c>
      <c r="D272" s="19">
        <f>IF(事例清單!D272="","",事例清單!D272)</f>
        <v/>
      </c>
      <c r="E272" s="20" t="n"/>
    </row>
    <row r="273">
      <c r="A273" s="19">
        <f>IF(事例清單!A273="","",事例清單!A273)</f>
        <v/>
      </c>
      <c r="B273" s="19">
        <f>IF(事例清單!B273="","",事例清單!B273)</f>
        <v/>
      </c>
      <c r="C273" s="19">
        <f>IF(事例清單!C273="","",事例清單!C273)</f>
        <v/>
      </c>
      <c r="D273" s="19">
        <f>IF(事例清單!D273="","",事例清單!D273)</f>
        <v/>
      </c>
      <c r="E273" s="20" t="n"/>
    </row>
    <row r="274">
      <c r="A274" s="19">
        <f>IF(事例清單!A274="","",事例清單!A274)</f>
        <v/>
      </c>
      <c r="B274" s="19">
        <f>IF(事例清單!B274="","",事例清單!B274)</f>
        <v/>
      </c>
      <c r="C274" s="19">
        <f>IF(事例清單!C274="","",事例清單!C274)</f>
        <v/>
      </c>
      <c r="D274" s="19">
        <f>IF(事例清單!D274="","",事例清單!D274)</f>
        <v/>
      </c>
      <c r="E274" s="20" t="n"/>
    </row>
    <row r="275">
      <c r="A275" s="19">
        <f>IF(事例清單!A275="","",事例清單!A275)</f>
        <v/>
      </c>
      <c r="B275" s="19">
        <f>IF(事例清單!B275="","",事例清單!B275)</f>
        <v/>
      </c>
      <c r="C275" s="19">
        <f>IF(事例清單!C275="","",事例清單!C275)</f>
        <v/>
      </c>
      <c r="D275" s="19">
        <f>IF(事例清單!D275="","",事例清單!D275)</f>
        <v/>
      </c>
      <c r="E275" s="20" t="n"/>
    </row>
    <row r="276">
      <c r="A276" s="19">
        <f>IF(事例清單!A276="","",事例清單!A276)</f>
        <v/>
      </c>
      <c r="B276" s="19">
        <f>IF(事例清單!B276="","",事例清單!B276)</f>
        <v/>
      </c>
      <c r="C276" s="19">
        <f>IF(事例清單!C276="","",事例清單!C276)</f>
        <v/>
      </c>
      <c r="D276" s="19">
        <f>IF(事例清單!D276="","",事例清單!D276)</f>
        <v/>
      </c>
      <c r="E276" s="20" t="n"/>
    </row>
    <row r="277">
      <c r="A277" s="19">
        <f>IF(事例清單!A277="","",事例清單!A277)</f>
        <v/>
      </c>
      <c r="B277" s="19">
        <f>IF(事例清單!B277="","",事例清單!B277)</f>
        <v/>
      </c>
      <c r="C277" s="19">
        <f>IF(事例清單!C277="","",事例清單!C277)</f>
        <v/>
      </c>
      <c r="D277" s="19">
        <f>IF(事例清單!D277="","",事例清單!D277)</f>
        <v/>
      </c>
      <c r="E277" s="20" t="n"/>
    </row>
    <row r="278">
      <c r="A278" s="19">
        <f>IF(事例清單!A278="","",事例清單!A278)</f>
        <v/>
      </c>
      <c r="B278" s="19">
        <f>IF(事例清單!B278="","",事例清單!B278)</f>
        <v/>
      </c>
      <c r="C278" s="19">
        <f>IF(事例清單!C278="","",事例清單!C278)</f>
        <v/>
      </c>
      <c r="D278" s="19">
        <f>IF(事例清單!D278="","",事例清單!D278)</f>
        <v/>
      </c>
      <c r="E278" s="20" t="n"/>
    </row>
    <row r="279">
      <c r="A279" s="19">
        <f>IF(事例清單!A279="","",事例清單!A279)</f>
        <v/>
      </c>
      <c r="B279" s="19">
        <f>IF(事例清單!B279="","",事例清單!B279)</f>
        <v/>
      </c>
      <c r="C279" s="19">
        <f>IF(事例清單!C279="","",事例清單!C279)</f>
        <v/>
      </c>
      <c r="D279" s="19">
        <f>IF(事例清單!D279="","",事例清單!D279)</f>
        <v/>
      </c>
      <c r="E279" s="20" t="n"/>
    </row>
    <row r="280">
      <c r="A280" s="19">
        <f>IF(事例清單!A280="","",事例清單!A280)</f>
        <v/>
      </c>
      <c r="B280" s="19">
        <f>IF(事例清單!B280="","",事例清單!B280)</f>
        <v/>
      </c>
      <c r="C280" s="19">
        <f>IF(事例清單!C280="","",事例清單!C280)</f>
        <v/>
      </c>
      <c r="D280" s="19">
        <f>IF(事例清單!D280="","",事例清單!D280)</f>
        <v/>
      </c>
      <c r="E280" s="20" t="n"/>
    </row>
    <row r="281">
      <c r="A281" s="19">
        <f>IF(事例清單!A281="","",事例清單!A281)</f>
        <v/>
      </c>
      <c r="B281" s="19">
        <f>IF(事例清單!B281="","",事例清單!B281)</f>
        <v/>
      </c>
      <c r="C281" s="19">
        <f>IF(事例清單!C281="","",事例清單!C281)</f>
        <v/>
      </c>
      <c r="D281" s="19">
        <f>IF(事例清單!D281="","",事例清單!D281)</f>
        <v/>
      </c>
      <c r="E281" s="20" t="n"/>
    </row>
    <row r="282">
      <c r="A282" s="19">
        <f>IF(事例清單!A282="","",事例清單!A282)</f>
        <v/>
      </c>
      <c r="B282" s="19">
        <f>IF(事例清單!B282="","",事例清單!B282)</f>
        <v/>
      </c>
      <c r="C282" s="19">
        <f>IF(事例清單!C282="","",事例清單!C282)</f>
        <v/>
      </c>
      <c r="D282" s="19">
        <f>IF(事例清單!D282="","",事例清單!D282)</f>
        <v/>
      </c>
      <c r="E282" s="20" t="n"/>
    </row>
    <row r="283">
      <c r="A283" s="19">
        <f>IF(事例清單!A283="","",事例清單!A283)</f>
        <v/>
      </c>
      <c r="B283" s="19">
        <f>IF(事例清單!B283="","",事例清單!B283)</f>
        <v/>
      </c>
      <c r="C283" s="19">
        <f>IF(事例清單!C283="","",事例清單!C283)</f>
        <v/>
      </c>
      <c r="D283" s="19">
        <f>IF(事例清單!D283="","",事例清單!D283)</f>
        <v/>
      </c>
      <c r="E283" s="20" t="n"/>
    </row>
    <row r="284">
      <c r="A284" s="19">
        <f>IF(事例清單!A284="","",事例清單!A284)</f>
        <v/>
      </c>
      <c r="B284" s="19">
        <f>IF(事例清單!B284="","",事例清單!B284)</f>
        <v/>
      </c>
      <c r="C284" s="19">
        <f>IF(事例清單!C284="","",事例清單!C284)</f>
        <v/>
      </c>
      <c r="D284" s="19">
        <f>IF(事例清單!D284="","",事例清單!D284)</f>
        <v/>
      </c>
      <c r="E284" s="20" t="n"/>
    </row>
    <row r="285">
      <c r="A285" s="19">
        <f>IF(事例清單!A285="","",事例清單!A285)</f>
        <v/>
      </c>
      <c r="B285" s="19">
        <f>IF(事例清單!B285="","",事例清單!B285)</f>
        <v/>
      </c>
      <c r="C285" s="19">
        <f>IF(事例清單!C285="","",事例清單!C285)</f>
        <v/>
      </c>
      <c r="D285" s="19">
        <f>IF(事例清單!D285="","",事例清單!D285)</f>
        <v/>
      </c>
      <c r="E285" s="20" t="n"/>
    </row>
    <row r="286">
      <c r="A286" s="19">
        <f>IF(事例清單!A286="","",事例清單!A286)</f>
        <v/>
      </c>
      <c r="B286" s="19">
        <f>IF(事例清單!B286="","",事例清單!B286)</f>
        <v/>
      </c>
      <c r="C286" s="19">
        <f>IF(事例清單!C286="","",事例清單!C286)</f>
        <v/>
      </c>
      <c r="D286" s="19">
        <f>IF(事例清單!D286="","",事例清單!D286)</f>
        <v/>
      </c>
      <c r="E286" s="20" t="n"/>
    </row>
    <row r="287">
      <c r="A287" s="19">
        <f>IF(事例清單!A287="","",事例清單!A287)</f>
        <v/>
      </c>
      <c r="B287" s="19">
        <f>IF(事例清單!B287="","",事例清單!B287)</f>
        <v/>
      </c>
      <c r="C287" s="19">
        <f>IF(事例清單!C287="","",事例清單!C287)</f>
        <v/>
      </c>
      <c r="D287" s="19">
        <f>IF(事例清單!D287="","",事例清單!D287)</f>
        <v/>
      </c>
      <c r="E287" s="20" t="n"/>
    </row>
    <row r="288">
      <c r="A288" s="19">
        <f>IF(事例清單!A288="","",事例清單!A288)</f>
        <v/>
      </c>
      <c r="B288" s="19">
        <f>IF(事例清單!B288="","",事例清單!B288)</f>
        <v/>
      </c>
      <c r="C288" s="19">
        <f>IF(事例清單!C288="","",事例清單!C288)</f>
        <v/>
      </c>
      <c r="D288" s="19">
        <f>IF(事例清單!D288="","",事例清單!D288)</f>
        <v/>
      </c>
      <c r="E288" s="20" t="n"/>
    </row>
    <row r="289">
      <c r="A289" s="19">
        <f>IF(事例清單!A289="","",事例清單!A289)</f>
        <v/>
      </c>
      <c r="B289" s="19">
        <f>IF(事例清單!B289="","",事例清單!B289)</f>
        <v/>
      </c>
      <c r="C289" s="19">
        <f>IF(事例清單!C289="","",事例清單!C289)</f>
        <v/>
      </c>
      <c r="D289" s="19">
        <f>IF(事例清單!D289="","",事例清單!D289)</f>
        <v/>
      </c>
      <c r="E289" s="20" t="n"/>
    </row>
    <row r="290">
      <c r="A290" s="19">
        <f>IF(事例清單!A290="","",事例清單!A290)</f>
        <v/>
      </c>
      <c r="B290" s="19">
        <f>IF(事例清單!B290="","",事例清單!B290)</f>
        <v/>
      </c>
      <c r="C290" s="19">
        <f>IF(事例清單!C290="","",事例清單!C290)</f>
        <v/>
      </c>
      <c r="D290" s="19">
        <f>IF(事例清單!D290="","",事例清單!D290)</f>
        <v/>
      </c>
      <c r="E290" s="20" t="n"/>
    </row>
    <row r="291">
      <c r="A291" s="19">
        <f>IF(事例清單!A291="","",事例清單!A291)</f>
        <v/>
      </c>
      <c r="B291" s="19">
        <f>IF(事例清單!B291="","",事例清單!B291)</f>
        <v/>
      </c>
      <c r="C291" s="19">
        <f>IF(事例清單!C291="","",事例清單!C291)</f>
        <v/>
      </c>
      <c r="D291" s="19">
        <f>IF(事例清單!D291="","",事例清單!D291)</f>
        <v/>
      </c>
      <c r="E291" s="20" t="n"/>
    </row>
    <row r="292">
      <c r="A292" s="19">
        <f>IF(事例清單!A292="","",事例清單!A292)</f>
        <v/>
      </c>
      <c r="B292" s="19">
        <f>IF(事例清單!B292="","",事例清單!B292)</f>
        <v/>
      </c>
      <c r="C292" s="19">
        <f>IF(事例清單!C292="","",事例清單!C292)</f>
        <v/>
      </c>
      <c r="D292" s="19">
        <f>IF(事例清單!D292="","",事例清單!D292)</f>
        <v/>
      </c>
      <c r="E292" s="20" t="n"/>
    </row>
    <row r="293">
      <c r="A293" s="19">
        <f>IF(事例清單!A293="","",事例清單!A293)</f>
        <v/>
      </c>
      <c r="B293" s="19">
        <f>IF(事例清單!B293="","",事例清單!B293)</f>
        <v/>
      </c>
      <c r="C293" s="19">
        <f>IF(事例清單!C293="","",事例清單!C293)</f>
        <v/>
      </c>
      <c r="D293" s="19">
        <f>IF(事例清單!D293="","",事例清單!D293)</f>
        <v/>
      </c>
      <c r="E293" s="20" t="n"/>
    </row>
    <row r="294">
      <c r="A294" s="19">
        <f>IF(事例清單!A294="","",事例清單!A294)</f>
        <v/>
      </c>
      <c r="B294" s="19">
        <f>IF(事例清單!B294="","",事例清單!B294)</f>
        <v/>
      </c>
      <c r="C294" s="19">
        <f>IF(事例清單!C294="","",事例清單!C294)</f>
        <v/>
      </c>
      <c r="D294" s="19">
        <f>IF(事例清單!D294="","",事例清單!D294)</f>
        <v/>
      </c>
      <c r="E294" s="20" t="n"/>
    </row>
    <row r="295">
      <c r="A295" s="19">
        <f>IF(事例清單!A295="","",事例清單!A295)</f>
        <v/>
      </c>
      <c r="B295" s="19">
        <f>IF(事例清單!B295="","",事例清單!B295)</f>
        <v/>
      </c>
      <c r="C295" s="19">
        <f>IF(事例清單!C295="","",事例清單!C295)</f>
        <v/>
      </c>
      <c r="D295" s="19">
        <f>IF(事例清單!D295="","",事例清單!D295)</f>
        <v/>
      </c>
      <c r="E295" s="20" t="n"/>
    </row>
    <row r="296">
      <c r="A296" s="19">
        <f>IF(事例清單!A296="","",事例清單!A296)</f>
        <v/>
      </c>
      <c r="B296" s="19">
        <f>IF(事例清單!B296="","",事例清單!B296)</f>
        <v/>
      </c>
      <c r="C296" s="19">
        <f>IF(事例清單!C296="","",事例清單!C296)</f>
        <v/>
      </c>
      <c r="D296" s="19">
        <f>IF(事例清單!D296="","",事例清單!D296)</f>
        <v/>
      </c>
      <c r="E296" s="20" t="n"/>
    </row>
    <row r="297">
      <c r="A297" s="19">
        <f>IF(事例清單!A297="","",事例清單!A297)</f>
        <v/>
      </c>
      <c r="B297" s="19">
        <f>IF(事例清單!B297="","",事例清單!B297)</f>
        <v/>
      </c>
      <c r="C297" s="19">
        <f>IF(事例清單!C297="","",事例清單!C297)</f>
        <v/>
      </c>
      <c r="D297" s="19">
        <f>IF(事例清單!D297="","",事例清單!D297)</f>
        <v/>
      </c>
      <c r="E297" s="20" t="n"/>
    </row>
    <row r="298">
      <c r="A298" s="19">
        <f>IF(事例清單!A298="","",事例清單!A298)</f>
        <v/>
      </c>
      <c r="B298" s="19">
        <f>IF(事例清單!B298="","",事例清單!B298)</f>
        <v/>
      </c>
      <c r="C298" s="19">
        <f>IF(事例清單!C298="","",事例清單!C298)</f>
        <v/>
      </c>
      <c r="D298" s="19">
        <f>IF(事例清單!D298="","",事例清單!D298)</f>
        <v/>
      </c>
      <c r="E298" s="20" t="n"/>
    </row>
    <row r="299">
      <c r="A299" s="19">
        <f>IF(事例清單!A299="","",事例清單!A299)</f>
        <v/>
      </c>
      <c r="B299" s="19">
        <f>IF(事例清單!B299="","",事例清單!B299)</f>
        <v/>
      </c>
      <c r="C299" s="19">
        <f>IF(事例清單!C299="","",事例清單!C299)</f>
        <v/>
      </c>
      <c r="D299" s="19">
        <f>IF(事例清單!D299="","",事例清單!D299)</f>
        <v/>
      </c>
      <c r="E299" s="20" t="n"/>
    </row>
    <row r="300">
      <c r="A300" s="19">
        <f>IF(事例清單!A300="","",事例清單!A300)</f>
        <v/>
      </c>
      <c r="B300" s="19">
        <f>IF(事例清單!B300="","",事例清單!B300)</f>
        <v/>
      </c>
      <c r="C300" s="19">
        <f>IF(事例清單!C300="","",事例清單!C300)</f>
        <v/>
      </c>
      <c r="D300" s="19">
        <f>IF(事例清單!D300="","",事例清單!D300)</f>
        <v/>
      </c>
      <c r="E300" s="20" t="n"/>
    </row>
    <row r="301">
      <c r="A301" s="19">
        <f>IF(事例清單!A301="","",事例清單!A301)</f>
        <v/>
      </c>
      <c r="B301" s="19">
        <f>IF(事例清單!B301="","",事例清單!B301)</f>
        <v/>
      </c>
      <c r="C301" s="19">
        <f>IF(事例清單!C301="","",事例清單!C301)</f>
        <v/>
      </c>
      <c r="D301" s="19">
        <f>IF(事例清單!D301="","",事例清單!D301)</f>
        <v/>
      </c>
      <c r="E301" s="20" t="n"/>
    </row>
    <row r="302">
      <c r="A302" s="19">
        <f>IF(事例清單!A302="","",事例清單!A302)</f>
        <v/>
      </c>
      <c r="B302" s="19">
        <f>IF(事例清單!B302="","",事例清單!B302)</f>
        <v/>
      </c>
      <c r="C302" s="19">
        <f>IF(事例清單!C302="","",事例清單!C302)</f>
        <v/>
      </c>
      <c r="D302" s="19">
        <f>IF(事例清單!D302="","",事例清單!D302)</f>
        <v/>
      </c>
      <c r="E302" s="20" t="n"/>
    </row>
    <row r="303">
      <c r="A303" s="19">
        <f>IF(事例清單!A303="","",事例清單!A303)</f>
        <v/>
      </c>
      <c r="B303" s="19">
        <f>IF(事例清單!B303="","",事例清單!B303)</f>
        <v/>
      </c>
      <c r="C303" s="19">
        <f>IF(事例清單!C303="","",事例清單!C303)</f>
        <v/>
      </c>
      <c r="D303" s="19">
        <f>IF(事例清單!D303="","",事例清單!D303)</f>
        <v/>
      </c>
      <c r="E303" s="20" t="n"/>
    </row>
    <row r="304">
      <c r="A304" s="19">
        <f>IF(事例清單!A304="","",事例清單!A304)</f>
        <v/>
      </c>
      <c r="B304" s="19">
        <f>IF(事例清單!B304="","",事例清單!B304)</f>
        <v/>
      </c>
      <c r="C304" s="19">
        <f>IF(事例清單!C304="","",事例清單!C304)</f>
        <v/>
      </c>
      <c r="D304" s="19">
        <f>IF(事例清單!D304="","",事例清單!D304)</f>
        <v/>
      </c>
      <c r="E304" s="20" t="n"/>
    </row>
  </sheetData>
  <conditionalFormatting sqref="A5:E304">
    <cfRule type="expression" priority="1" dxfId="1">
      <formula>事例清單!$F5="否"</formula>
    </cfRule>
  </conditionalFormatting>
  <dataValidations count="1">
    <dataValidation sqref="E5:E304" showDropDown="0" showInputMessage="0" showErrorMessage="1" allowBlank="1" errorTitle="類別不在編碼簿中" error="請從下拉選單選擇；需要新類別時，先回編碼簿新增" type="list">
      <formula1>=編碼簿!$B$5:$B$15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36" customWidth="1" min="3" max="3"/>
    <col width="30" customWidth="1" min="4" max="4"/>
    <col width="18" customWidth="1" min="5" max="5"/>
  </cols>
  <sheetData>
    <row r="1">
      <c r="A1" s="11" t="inlineStr">
        <is>
          <t>乙的分類</t>
        </is>
      </c>
    </row>
    <row r="2">
      <c r="A2" s="12" t="inlineStr">
        <is>
          <t>只由乙填寫 E 欄；分類時不討論，也不看另一位組員的檔案。剔除的事例顯示刪除線，不需分類</t>
        </is>
      </c>
    </row>
    <row r="4">
      <c r="A4" s="13" t="inlineStr">
        <is>
          <t>編號</t>
        </is>
      </c>
      <c r="B4" s="13" t="inlineStr">
        <is>
          <t>情境</t>
        </is>
      </c>
      <c r="C4" s="13" t="inlineStr">
        <is>
          <t>行為</t>
        </is>
      </c>
      <c r="D4" s="13" t="inlineStr">
        <is>
          <t>結果</t>
        </is>
      </c>
      <c r="E4" s="13" t="inlineStr">
        <is>
          <t>乙的分類</t>
        </is>
      </c>
    </row>
    <row r="5">
      <c r="A5" s="19">
        <f>IF(事例清單!A5="","",事例清單!A5)</f>
        <v/>
      </c>
      <c r="B5" s="19">
        <f>IF(事例清單!B5="","",事例清單!B5)</f>
        <v/>
      </c>
      <c r="C5" s="19">
        <f>IF(事例清單!C5="","",事例清單!C5)</f>
        <v/>
      </c>
      <c r="D5" s="19">
        <f>IF(事例清單!D5="","",事例清單!D5)</f>
        <v/>
      </c>
      <c r="E5" s="20" t="n"/>
    </row>
    <row r="6">
      <c r="A6" s="19">
        <f>IF(事例清單!A6="","",事例清單!A6)</f>
        <v/>
      </c>
      <c r="B6" s="19">
        <f>IF(事例清單!B6="","",事例清單!B6)</f>
        <v/>
      </c>
      <c r="C6" s="19">
        <f>IF(事例清單!C6="","",事例清單!C6)</f>
        <v/>
      </c>
      <c r="D6" s="19">
        <f>IF(事例清單!D6="","",事例清單!D6)</f>
        <v/>
      </c>
      <c r="E6" s="20" t="n"/>
    </row>
    <row r="7">
      <c r="A7" s="19">
        <f>IF(事例清單!A7="","",事例清單!A7)</f>
        <v/>
      </c>
      <c r="B7" s="19">
        <f>IF(事例清單!B7="","",事例清單!B7)</f>
        <v/>
      </c>
      <c r="C7" s="19">
        <f>IF(事例清單!C7="","",事例清單!C7)</f>
        <v/>
      </c>
      <c r="D7" s="19">
        <f>IF(事例清單!D7="","",事例清單!D7)</f>
        <v/>
      </c>
      <c r="E7" s="20" t="n"/>
    </row>
    <row r="8">
      <c r="A8" s="19">
        <f>IF(事例清單!A8="","",事例清單!A8)</f>
        <v/>
      </c>
      <c r="B8" s="19">
        <f>IF(事例清單!B8="","",事例清單!B8)</f>
        <v/>
      </c>
      <c r="C8" s="19">
        <f>IF(事例清單!C8="","",事例清單!C8)</f>
        <v/>
      </c>
      <c r="D8" s="19">
        <f>IF(事例清單!D8="","",事例清單!D8)</f>
        <v/>
      </c>
      <c r="E8" s="20" t="n"/>
    </row>
    <row r="9">
      <c r="A9" s="19">
        <f>IF(事例清單!A9="","",事例清單!A9)</f>
        <v/>
      </c>
      <c r="B9" s="19">
        <f>IF(事例清單!B9="","",事例清單!B9)</f>
        <v/>
      </c>
      <c r="C9" s="19">
        <f>IF(事例清單!C9="","",事例清單!C9)</f>
        <v/>
      </c>
      <c r="D9" s="19">
        <f>IF(事例清單!D9="","",事例清單!D9)</f>
        <v/>
      </c>
      <c r="E9" s="20" t="n"/>
    </row>
    <row r="10">
      <c r="A10" s="19">
        <f>IF(事例清單!A10="","",事例清單!A10)</f>
        <v/>
      </c>
      <c r="B10" s="19">
        <f>IF(事例清單!B10="","",事例清單!B10)</f>
        <v/>
      </c>
      <c r="C10" s="19">
        <f>IF(事例清單!C10="","",事例清單!C10)</f>
        <v/>
      </c>
      <c r="D10" s="19">
        <f>IF(事例清單!D10="","",事例清單!D10)</f>
        <v/>
      </c>
      <c r="E10" s="20" t="n"/>
    </row>
    <row r="11">
      <c r="A11" s="19">
        <f>IF(事例清單!A11="","",事例清單!A11)</f>
        <v/>
      </c>
      <c r="B11" s="19">
        <f>IF(事例清單!B11="","",事例清單!B11)</f>
        <v/>
      </c>
      <c r="C11" s="19">
        <f>IF(事例清單!C11="","",事例清單!C11)</f>
        <v/>
      </c>
      <c r="D11" s="19">
        <f>IF(事例清單!D11="","",事例清單!D11)</f>
        <v/>
      </c>
      <c r="E11" s="20" t="n"/>
    </row>
    <row r="12">
      <c r="A12" s="19">
        <f>IF(事例清單!A12="","",事例清單!A12)</f>
        <v/>
      </c>
      <c r="B12" s="19">
        <f>IF(事例清單!B12="","",事例清單!B12)</f>
        <v/>
      </c>
      <c r="C12" s="19">
        <f>IF(事例清單!C12="","",事例清單!C12)</f>
        <v/>
      </c>
      <c r="D12" s="19">
        <f>IF(事例清單!D12="","",事例清單!D12)</f>
        <v/>
      </c>
      <c r="E12" s="20" t="n"/>
    </row>
    <row r="13">
      <c r="A13" s="19">
        <f>IF(事例清單!A13="","",事例清單!A13)</f>
        <v/>
      </c>
      <c r="B13" s="19">
        <f>IF(事例清單!B13="","",事例清單!B13)</f>
        <v/>
      </c>
      <c r="C13" s="19">
        <f>IF(事例清單!C13="","",事例清單!C13)</f>
        <v/>
      </c>
      <c r="D13" s="19">
        <f>IF(事例清單!D13="","",事例清單!D13)</f>
        <v/>
      </c>
      <c r="E13" s="20" t="n"/>
    </row>
    <row r="14">
      <c r="A14" s="19">
        <f>IF(事例清單!A14="","",事例清單!A14)</f>
        <v/>
      </c>
      <c r="B14" s="19">
        <f>IF(事例清單!B14="","",事例清單!B14)</f>
        <v/>
      </c>
      <c r="C14" s="19">
        <f>IF(事例清單!C14="","",事例清單!C14)</f>
        <v/>
      </c>
      <c r="D14" s="19">
        <f>IF(事例清單!D14="","",事例清單!D14)</f>
        <v/>
      </c>
      <c r="E14" s="20" t="n"/>
    </row>
    <row r="15">
      <c r="A15" s="19">
        <f>IF(事例清單!A15="","",事例清單!A15)</f>
        <v/>
      </c>
      <c r="B15" s="19">
        <f>IF(事例清單!B15="","",事例清單!B15)</f>
        <v/>
      </c>
      <c r="C15" s="19">
        <f>IF(事例清單!C15="","",事例清單!C15)</f>
        <v/>
      </c>
      <c r="D15" s="19">
        <f>IF(事例清單!D15="","",事例清單!D15)</f>
        <v/>
      </c>
      <c r="E15" s="20" t="n"/>
    </row>
    <row r="16">
      <c r="A16" s="19">
        <f>IF(事例清單!A16="","",事例清單!A16)</f>
        <v/>
      </c>
      <c r="B16" s="19">
        <f>IF(事例清單!B16="","",事例清單!B16)</f>
        <v/>
      </c>
      <c r="C16" s="19">
        <f>IF(事例清單!C16="","",事例清單!C16)</f>
        <v/>
      </c>
      <c r="D16" s="19">
        <f>IF(事例清單!D16="","",事例清單!D16)</f>
        <v/>
      </c>
      <c r="E16" s="20" t="n"/>
    </row>
    <row r="17">
      <c r="A17" s="19">
        <f>IF(事例清單!A17="","",事例清單!A17)</f>
        <v/>
      </c>
      <c r="B17" s="19">
        <f>IF(事例清單!B17="","",事例清單!B17)</f>
        <v/>
      </c>
      <c r="C17" s="19">
        <f>IF(事例清單!C17="","",事例清單!C17)</f>
        <v/>
      </c>
      <c r="D17" s="19">
        <f>IF(事例清單!D17="","",事例清單!D17)</f>
        <v/>
      </c>
      <c r="E17" s="20" t="n"/>
    </row>
    <row r="18">
      <c r="A18" s="19">
        <f>IF(事例清單!A18="","",事例清單!A18)</f>
        <v/>
      </c>
      <c r="B18" s="19">
        <f>IF(事例清單!B18="","",事例清單!B18)</f>
        <v/>
      </c>
      <c r="C18" s="19">
        <f>IF(事例清單!C18="","",事例清單!C18)</f>
        <v/>
      </c>
      <c r="D18" s="19">
        <f>IF(事例清單!D18="","",事例清單!D18)</f>
        <v/>
      </c>
      <c r="E18" s="20" t="n"/>
    </row>
    <row r="19">
      <c r="A19" s="19">
        <f>IF(事例清單!A19="","",事例清單!A19)</f>
        <v/>
      </c>
      <c r="B19" s="19">
        <f>IF(事例清單!B19="","",事例清單!B19)</f>
        <v/>
      </c>
      <c r="C19" s="19">
        <f>IF(事例清單!C19="","",事例清單!C19)</f>
        <v/>
      </c>
      <c r="D19" s="19">
        <f>IF(事例清單!D19="","",事例清單!D19)</f>
        <v/>
      </c>
      <c r="E19" s="20" t="n"/>
    </row>
    <row r="20">
      <c r="A20" s="19">
        <f>IF(事例清單!A20="","",事例清單!A20)</f>
        <v/>
      </c>
      <c r="B20" s="19">
        <f>IF(事例清單!B20="","",事例清單!B20)</f>
        <v/>
      </c>
      <c r="C20" s="19">
        <f>IF(事例清單!C20="","",事例清單!C20)</f>
        <v/>
      </c>
      <c r="D20" s="19">
        <f>IF(事例清單!D20="","",事例清單!D20)</f>
        <v/>
      </c>
      <c r="E20" s="20" t="n"/>
    </row>
    <row r="21">
      <c r="A21" s="19">
        <f>IF(事例清單!A21="","",事例清單!A21)</f>
        <v/>
      </c>
      <c r="B21" s="19">
        <f>IF(事例清單!B21="","",事例清單!B21)</f>
        <v/>
      </c>
      <c r="C21" s="19">
        <f>IF(事例清單!C21="","",事例清單!C21)</f>
        <v/>
      </c>
      <c r="D21" s="19">
        <f>IF(事例清單!D21="","",事例清單!D21)</f>
        <v/>
      </c>
      <c r="E21" s="20" t="n"/>
    </row>
    <row r="22">
      <c r="A22" s="19">
        <f>IF(事例清單!A22="","",事例清單!A22)</f>
        <v/>
      </c>
      <c r="B22" s="19">
        <f>IF(事例清單!B22="","",事例清單!B22)</f>
        <v/>
      </c>
      <c r="C22" s="19">
        <f>IF(事例清單!C22="","",事例清單!C22)</f>
        <v/>
      </c>
      <c r="D22" s="19">
        <f>IF(事例清單!D22="","",事例清單!D22)</f>
        <v/>
      </c>
      <c r="E22" s="20" t="n"/>
    </row>
    <row r="23">
      <c r="A23" s="19">
        <f>IF(事例清單!A23="","",事例清單!A23)</f>
        <v/>
      </c>
      <c r="B23" s="19">
        <f>IF(事例清單!B23="","",事例清單!B23)</f>
        <v/>
      </c>
      <c r="C23" s="19">
        <f>IF(事例清單!C23="","",事例清單!C23)</f>
        <v/>
      </c>
      <c r="D23" s="19">
        <f>IF(事例清單!D23="","",事例清單!D23)</f>
        <v/>
      </c>
      <c r="E23" s="20" t="n"/>
    </row>
    <row r="24">
      <c r="A24" s="19">
        <f>IF(事例清單!A24="","",事例清單!A24)</f>
        <v/>
      </c>
      <c r="B24" s="19">
        <f>IF(事例清單!B24="","",事例清單!B24)</f>
        <v/>
      </c>
      <c r="C24" s="19">
        <f>IF(事例清單!C24="","",事例清單!C24)</f>
        <v/>
      </c>
      <c r="D24" s="19">
        <f>IF(事例清單!D24="","",事例清單!D24)</f>
        <v/>
      </c>
      <c r="E24" s="20" t="n"/>
    </row>
    <row r="25">
      <c r="A25" s="19">
        <f>IF(事例清單!A25="","",事例清單!A25)</f>
        <v/>
      </c>
      <c r="B25" s="19">
        <f>IF(事例清單!B25="","",事例清單!B25)</f>
        <v/>
      </c>
      <c r="C25" s="19">
        <f>IF(事例清單!C25="","",事例清單!C25)</f>
        <v/>
      </c>
      <c r="D25" s="19">
        <f>IF(事例清單!D25="","",事例清單!D25)</f>
        <v/>
      </c>
      <c r="E25" s="20" t="n"/>
    </row>
    <row r="26">
      <c r="A26" s="19">
        <f>IF(事例清單!A26="","",事例清單!A26)</f>
        <v/>
      </c>
      <c r="B26" s="19">
        <f>IF(事例清單!B26="","",事例清單!B26)</f>
        <v/>
      </c>
      <c r="C26" s="19">
        <f>IF(事例清單!C26="","",事例清單!C26)</f>
        <v/>
      </c>
      <c r="D26" s="19">
        <f>IF(事例清單!D26="","",事例清單!D26)</f>
        <v/>
      </c>
      <c r="E26" s="20" t="n"/>
    </row>
    <row r="27">
      <c r="A27" s="19">
        <f>IF(事例清單!A27="","",事例清單!A27)</f>
        <v/>
      </c>
      <c r="B27" s="19">
        <f>IF(事例清單!B27="","",事例清單!B27)</f>
        <v/>
      </c>
      <c r="C27" s="19">
        <f>IF(事例清單!C27="","",事例清單!C27)</f>
        <v/>
      </c>
      <c r="D27" s="19">
        <f>IF(事例清單!D27="","",事例清單!D27)</f>
        <v/>
      </c>
      <c r="E27" s="20" t="n"/>
    </row>
    <row r="28">
      <c r="A28" s="19">
        <f>IF(事例清單!A28="","",事例清單!A28)</f>
        <v/>
      </c>
      <c r="B28" s="19">
        <f>IF(事例清單!B28="","",事例清單!B28)</f>
        <v/>
      </c>
      <c r="C28" s="19">
        <f>IF(事例清單!C28="","",事例清單!C28)</f>
        <v/>
      </c>
      <c r="D28" s="19">
        <f>IF(事例清單!D28="","",事例清單!D28)</f>
        <v/>
      </c>
      <c r="E28" s="20" t="n"/>
    </row>
    <row r="29">
      <c r="A29" s="19">
        <f>IF(事例清單!A29="","",事例清單!A29)</f>
        <v/>
      </c>
      <c r="B29" s="19">
        <f>IF(事例清單!B29="","",事例清單!B29)</f>
        <v/>
      </c>
      <c r="C29" s="19">
        <f>IF(事例清單!C29="","",事例清單!C29)</f>
        <v/>
      </c>
      <c r="D29" s="19">
        <f>IF(事例清單!D29="","",事例清單!D29)</f>
        <v/>
      </c>
      <c r="E29" s="20" t="n"/>
    </row>
    <row r="30">
      <c r="A30" s="19">
        <f>IF(事例清單!A30="","",事例清單!A30)</f>
        <v/>
      </c>
      <c r="B30" s="19">
        <f>IF(事例清單!B30="","",事例清單!B30)</f>
        <v/>
      </c>
      <c r="C30" s="19">
        <f>IF(事例清單!C30="","",事例清單!C30)</f>
        <v/>
      </c>
      <c r="D30" s="19">
        <f>IF(事例清單!D30="","",事例清單!D30)</f>
        <v/>
      </c>
      <c r="E30" s="20" t="n"/>
    </row>
    <row r="31">
      <c r="A31" s="19">
        <f>IF(事例清單!A31="","",事例清單!A31)</f>
        <v/>
      </c>
      <c r="B31" s="19">
        <f>IF(事例清單!B31="","",事例清單!B31)</f>
        <v/>
      </c>
      <c r="C31" s="19">
        <f>IF(事例清單!C31="","",事例清單!C31)</f>
        <v/>
      </c>
      <c r="D31" s="19">
        <f>IF(事例清單!D31="","",事例清單!D31)</f>
        <v/>
      </c>
      <c r="E31" s="20" t="n"/>
    </row>
    <row r="32">
      <c r="A32" s="19">
        <f>IF(事例清單!A32="","",事例清單!A32)</f>
        <v/>
      </c>
      <c r="B32" s="19">
        <f>IF(事例清單!B32="","",事例清單!B32)</f>
        <v/>
      </c>
      <c r="C32" s="19">
        <f>IF(事例清單!C32="","",事例清單!C32)</f>
        <v/>
      </c>
      <c r="D32" s="19">
        <f>IF(事例清單!D32="","",事例清單!D32)</f>
        <v/>
      </c>
      <c r="E32" s="20" t="n"/>
    </row>
    <row r="33">
      <c r="A33" s="19">
        <f>IF(事例清單!A33="","",事例清單!A33)</f>
        <v/>
      </c>
      <c r="B33" s="19">
        <f>IF(事例清單!B33="","",事例清單!B33)</f>
        <v/>
      </c>
      <c r="C33" s="19">
        <f>IF(事例清單!C33="","",事例清單!C33)</f>
        <v/>
      </c>
      <c r="D33" s="19">
        <f>IF(事例清單!D33="","",事例清單!D33)</f>
        <v/>
      </c>
      <c r="E33" s="20" t="n"/>
    </row>
    <row r="34">
      <c r="A34" s="19">
        <f>IF(事例清單!A34="","",事例清單!A34)</f>
        <v/>
      </c>
      <c r="B34" s="19">
        <f>IF(事例清單!B34="","",事例清單!B34)</f>
        <v/>
      </c>
      <c r="C34" s="19">
        <f>IF(事例清單!C34="","",事例清單!C34)</f>
        <v/>
      </c>
      <c r="D34" s="19">
        <f>IF(事例清單!D34="","",事例清單!D34)</f>
        <v/>
      </c>
      <c r="E34" s="20" t="n"/>
    </row>
    <row r="35">
      <c r="A35" s="19">
        <f>IF(事例清單!A35="","",事例清單!A35)</f>
        <v/>
      </c>
      <c r="B35" s="19">
        <f>IF(事例清單!B35="","",事例清單!B35)</f>
        <v/>
      </c>
      <c r="C35" s="19">
        <f>IF(事例清單!C35="","",事例清單!C35)</f>
        <v/>
      </c>
      <c r="D35" s="19">
        <f>IF(事例清單!D35="","",事例清單!D35)</f>
        <v/>
      </c>
      <c r="E35" s="20" t="n"/>
    </row>
    <row r="36">
      <c r="A36" s="19">
        <f>IF(事例清單!A36="","",事例清單!A36)</f>
        <v/>
      </c>
      <c r="B36" s="19">
        <f>IF(事例清單!B36="","",事例清單!B36)</f>
        <v/>
      </c>
      <c r="C36" s="19">
        <f>IF(事例清單!C36="","",事例清單!C36)</f>
        <v/>
      </c>
      <c r="D36" s="19">
        <f>IF(事例清單!D36="","",事例清單!D36)</f>
        <v/>
      </c>
      <c r="E36" s="20" t="n"/>
    </row>
    <row r="37">
      <c r="A37" s="19">
        <f>IF(事例清單!A37="","",事例清單!A37)</f>
        <v/>
      </c>
      <c r="B37" s="19">
        <f>IF(事例清單!B37="","",事例清單!B37)</f>
        <v/>
      </c>
      <c r="C37" s="19">
        <f>IF(事例清單!C37="","",事例清單!C37)</f>
        <v/>
      </c>
      <c r="D37" s="19">
        <f>IF(事例清單!D37="","",事例清單!D37)</f>
        <v/>
      </c>
      <c r="E37" s="20" t="n"/>
    </row>
    <row r="38">
      <c r="A38" s="19">
        <f>IF(事例清單!A38="","",事例清單!A38)</f>
        <v/>
      </c>
      <c r="B38" s="19">
        <f>IF(事例清單!B38="","",事例清單!B38)</f>
        <v/>
      </c>
      <c r="C38" s="19">
        <f>IF(事例清單!C38="","",事例清單!C38)</f>
        <v/>
      </c>
      <c r="D38" s="19">
        <f>IF(事例清單!D38="","",事例清單!D38)</f>
        <v/>
      </c>
      <c r="E38" s="20" t="n"/>
    </row>
    <row r="39">
      <c r="A39" s="19">
        <f>IF(事例清單!A39="","",事例清單!A39)</f>
        <v/>
      </c>
      <c r="B39" s="19">
        <f>IF(事例清單!B39="","",事例清單!B39)</f>
        <v/>
      </c>
      <c r="C39" s="19">
        <f>IF(事例清單!C39="","",事例清單!C39)</f>
        <v/>
      </c>
      <c r="D39" s="19">
        <f>IF(事例清單!D39="","",事例清單!D39)</f>
        <v/>
      </c>
      <c r="E39" s="20" t="n"/>
    </row>
    <row r="40">
      <c r="A40" s="19">
        <f>IF(事例清單!A40="","",事例清單!A40)</f>
        <v/>
      </c>
      <c r="B40" s="19">
        <f>IF(事例清單!B40="","",事例清單!B40)</f>
        <v/>
      </c>
      <c r="C40" s="19">
        <f>IF(事例清單!C40="","",事例清單!C40)</f>
        <v/>
      </c>
      <c r="D40" s="19">
        <f>IF(事例清單!D40="","",事例清單!D40)</f>
        <v/>
      </c>
      <c r="E40" s="20" t="n"/>
    </row>
    <row r="41">
      <c r="A41" s="19">
        <f>IF(事例清單!A41="","",事例清單!A41)</f>
        <v/>
      </c>
      <c r="B41" s="19">
        <f>IF(事例清單!B41="","",事例清單!B41)</f>
        <v/>
      </c>
      <c r="C41" s="19">
        <f>IF(事例清單!C41="","",事例清單!C41)</f>
        <v/>
      </c>
      <c r="D41" s="19">
        <f>IF(事例清單!D41="","",事例清單!D41)</f>
        <v/>
      </c>
      <c r="E41" s="20" t="n"/>
    </row>
    <row r="42">
      <c r="A42" s="19">
        <f>IF(事例清單!A42="","",事例清單!A42)</f>
        <v/>
      </c>
      <c r="B42" s="19">
        <f>IF(事例清單!B42="","",事例清單!B42)</f>
        <v/>
      </c>
      <c r="C42" s="19">
        <f>IF(事例清單!C42="","",事例清單!C42)</f>
        <v/>
      </c>
      <c r="D42" s="19">
        <f>IF(事例清單!D42="","",事例清單!D42)</f>
        <v/>
      </c>
      <c r="E42" s="20" t="n"/>
    </row>
    <row r="43">
      <c r="A43" s="19">
        <f>IF(事例清單!A43="","",事例清單!A43)</f>
        <v/>
      </c>
      <c r="B43" s="19">
        <f>IF(事例清單!B43="","",事例清單!B43)</f>
        <v/>
      </c>
      <c r="C43" s="19">
        <f>IF(事例清單!C43="","",事例清單!C43)</f>
        <v/>
      </c>
      <c r="D43" s="19">
        <f>IF(事例清單!D43="","",事例清單!D43)</f>
        <v/>
      </c>
      <c r="E43" s="20" t="n"/>
    </row>
    <row r="44">
      <c r="A44" s="19">
        <f>IF(事例清單!A44="","",事例清單!A44)</f>
        <v/>
      </c>
      <c r="B44" s="19">
        <f>IF(事例清單!B44="","",事例清單!B44)</f>
        <v/>
      </c>
      <c r="C44" s="19">
        <f>IF(事例清單!C44="","",事例清單!C44)</f>
        <v/>
      </c>
      <c r="D44" s="19">
        <f>IF(事例清單!D44="","",事例清單!D44)</f>
        <v/>
      </c>
      <c r="E44" s="20" t="n"/>
    </row>
    <row r="45">
      <c r="A45" s="19">
        <f>IF(事例清單!A45="","",事例清單!A45)</f>
        <v/>
      </c>
      <c r="B45" s="19">
        <f>IF(事例清單!B45="","",事例清單!B45)</f>
        <v/>
      </c>
      <c r="C45" s="19">
        <f>IF(事例清單!C45="","",事例清單!C45)</f>
        <v/>
      </c>
      <c r="D45" s="19">
        <f>IF(事例清單!D45="","",事例清單!D45)</f>
        <v/>
      </c>
      <c r="E45" s="20" t="n"/>
    </row>
    <row r="46">
      <c r="A46" s="19">
        <f>IF(事例清單!A46="","",事例清單!A46)</f>
        <v/>
      </c>
      <c r="B46" s="19">
        <f>IF(事例清單!B46="","",事例清單!B46)</f>
        <v/>
      </c>
      <c r="C46" s="19">
        <f>IF(事例清單!C46="","",事例清單!C46)</f>
        <v/>
      </c>
      <c r="D46" s="19">
        <f>IF(事例清單!D46="","",事例清單!D46)</f>
        <v/>
      </c>
      <c r="E46" s="20" t="n"/>
    </row>
    <row r="47">
      <c r="A47" s="19">
        <f>IF(事例清單!A47="","",事例清單!A47)</f>
        <v/>
      </c>
      <c r="B47" s="19">
        <f>IF(事例清單!B47="","",事例清單!B47)</f>
        <v/>
      </c>
      <c r="C47" s="19">
        <f>IF(事例清單!C47="","",事例清單!C47)</f>
        <v/>
      </c>
      <c r="D47" s="19">
        <f>IF(事例清單!D47="","",事例清單!D47)</f>
        <v/>
      </c>
      <c r="E47" s="20" t="n"/>
    </row>
    <row r="48">
      <c r="A48" s="19">
        <f>IF(事例清單!A48="","",事例清單!A48)</f>
        <v/>
      </c>
      <c r="B48" s="19">
        <f>IF(事例清單!B48="","",事例清單!B48)</f>
        <v/>
      </c>
      <c r="C48" s="19">
        <f>IF(事例清單!C48="","",事例清單!C48)</f>
        <v/>
      </c>
      <c r="D48" s="19">
        <f>IF(事例清單!D48="","",事例清單!D48)</f>
        <v/>
      </c>
      <c r="E48" s="20" t="n"/>
    </row>
    <row r="49">
      <c r="A49" s="19">
        <f>IF(事例清單!A49="","",事例清單!A49)</f>
        <v/>
      </c>
      <c r="B49" s="19">
        <f>IF(事例清單!B49="","",事例清單!B49)</f>
        <v/>
      </c>
      <c r="C49" s="19">
        <f>IF(事例清單!C49="","",事例清單!C49)</f>
        <v/>
      </c>
      <c r="D49" s="19">
        <f>IF(事例清單!D49="","",事例清單!D49)</f>
        <v/>
      </c>
      <c r="E49" s="20" t="n"/>
    </row>
    <row r="50">
      <c r="A50" s="19">
        <f>IF(事例清單!A50="","",事例清單!A50)</f>
        <v/>
      </c>
      <c r="B50" s="19">
        <f>IF(事例清單!B50="","",事例清單!B50)</f>
        <v/>
      </c>
      <c r="C50" s="19">
        <f>IF(事例清單!C50="","",事例清單!C50)</f>
        <v/>
      </c>
      <c r="D50" s="19">
        <f>IF(事例清單!D50="","",事例清單!D50)</f>
        <v/>
      </c>
      <c r="E50" s="20" t="n"/>
    </row>
    <row r="51">
      <c r="A51" s="19">
        <f>IF(事例清單!A51="","",事例清單!A51)</f>
        <v/>
      </c>
      <c r="B51" s="19">
        <f>IF(事例清單!B51="","",事例清單!B51)</f>
        <v/>
      </c>
      <c r="C51" s="19">
        <f>IF(事例清單!C51="","",事例清單!C51)</f>
        <v/>
      </c>
      <c r="D51" s="19">
        <f>IF(事例清單!D51="","",事例清單!D51)</f>
        <v/>
      </c>
      <c r="E51" s="20" t="n"/>
    </row>
    <row r="52">
      <c r="A52" s="19">
        <f>IF(事例清單!A52="","",事例清單!A52)</f>
        <v/>
      </c>
      <c r="B52" s="19">
        <f>IF(事例清單!B52="","",事例清單!B52)</f>
        <v/>
      </c>
      <c r="C52" s="19">
        <f>IF(事例清單!C52="","",事例清單!C52)</f>
        <v/>
      </c>
      <c r="D52" s="19">
        <f>IF(事例清單!D52="","",事例清單!D52)</f>
        <v/>
      </c>
      <c r="E52" s="20" t="n"/>
    </row>
    <row r="53">
      <c r="A53" s="19">
        <f>IF(事例清單!A53="","",事例清單!A53)</f>
        <v/>
      </c>
      <c r="B53" s="19">
        <f>IF(事例清單!B53="","",事例清單!B53)</f>
        <v/>
      </c>
      <c r="C53" s="19">
        <f>IF(事例清單!C53="","",事例清單!C53)</f>
        <v/>
      </c>
      <c r="D53" s="19">
        <f>IF(事例清單!D53="","",事例清單!D53)</f>
        <v/>
      </c>
      <c r="E53" s="20" t="n"/>
    </row>
    <row r="54">
      <c r="A54" s="19">
        <f>IF(事例清單!A54="","",事例清單!A54)</f>
        <v/>
      </c>
      <c r="B54" s="19">
        <f>IF(事例清單!B54="","",事例清單!B54)</f>
        <v/>
      </c>
      <c r="C54" s="19">
        <f>IF(事例清單!C54="","",事例清單!C54)</f>
        <v/>
      </c>
      <c r="D54" s="19">
        <f>IF(事例清單!D54="","",事例清單!D54)</f>
        <v/>
      </c>
      <c r="E54" s="20" t="n"/>
    </row>
    <row r="55">
      <c r="A55" s="19">
        <f>IF(事例清單!A55="","",事例清單!A55)</f>
        <v/>
      </c>
      <c r="B55" s="19">
        <f>IF(事例清單!B55="","",事例清單!B55)</f>
        <v/>
      </c>
      <c r="C55" s="19">
        <f>IF(事例清單!C55="","",事例清單!C55)</f>
        <v/>
      </c>
      <c r="D55" s="19">
        <f>IF(事例清單!D55="","",事例清單!D55)</f>
        <v/>
      </c>
      <c r="E55" s="20" t="n"/>
    </row>
    <row r="56">
      <c r="A56" s="19">
        <f>IF(事例清單!A56="","",事例清單!A56)</f>
        <v/>
      </c>
      <c r="B56" s="19">
        <f>IF(事例清單!B56="","",事例清單!B56)</f>
        <v/>
      </c>
      <c r="C56" s="19">
        <f>IF(事例清單!C56="","",事例清單!C56)</f>
        <v/>
      </c>
      <c r="D56" s="19">
        <f>IF(事例清單!D56="","",事例清單!D56)</f>
        <v/>
      </c>
      <c r="E56" s="20" t="n"/>
    </row>
    <row r="57">
      <c r="A57" s="19">
        <f>IF(事例清單!A57="","",事例清單!A57)</f>
        <v/>
      </c>
      <c r="B57" s="19">
        <f>IF(事例清單!B57="","",事例清單!B57)</f>
        <v/>
      </c>
      <c r="C57" s="19">
        <f>IF(事例清單!C57="","",事例清單!C57)</f>
        <v/>
      </c>
      <c r="D57" s="19">
        <f>IF(事例清單!D57="","",事例清單!D57)</f>
        <v/>
      </c>
      <c r="E57" s="20" t="n"/>
    </row>
    <row r="58">
      <c r="A58" s="19">
        <f>IF(事例清單!A58="","",事例清單!A58)</f>
        <v/>
      </c>
      <c r="B58" s="19">
        <f>IF(事例清單!B58="","",事例清單!B58)</f>
        <v/>
      </c>
      <c r="C58" s="19">
        <f>IF(事例清單!C58="","",事例清單!C58)</f>
        <v/>
      </c>
      <c r="D58" s="19">
        <f>IF(事例清單!D58="","",事例清單!D58)</f>
        <v/>
      </c>
      <c r="E58" s="20" t="n"/>
    </row>
    <row r="59">
      <c r="A59" s="19">
        <f>IF(事例清單!A59="","",事例清單!A59)</f>
        <v/>
      </c>
      <c r="B59" s="19">
        <f>IF(事例清單!B59="","",事例清單!B59)</f>
        <v/>
      </c>
      <c r="C59" s="19">
        <f>IF(事例清單!C59="","",事例清單!C59)</f>
        <v/>
      </c>
      <c r="D59" s="19">
        <f>IF(事例清單!D59="","",事例清單!D59)</f>
        <v/>
      </c>
      <c r="E59" s="20" t="n"/>
    </row>
    <row r="60">
      <c r="A60" s="19">
        <f>IF(事例清單!A60="","",事例清單!A60)</f>
        <v/>
      </c>
      <c r="B60" s="19">
        <f>IF(事例清單!B60="","",事例清單!B60)</f>
        <v/>
      </c>
      <c r="C60" s="19">
        <f>IF(事例清單!C60="","",事例清單!C60)</f>
        <v/>
      </c>
      <c r="D60" s="19">
        <f>IF(事例清單!D60="","",事例清單!D60)</f>
        <v/>
      </c>
      <c r="E60" s="20" t="n"/>
    </row>
    <row r="61">
      <c r="A61" s="19">
        <f>IF(事例清單!A61="","",事例清單!A61)</f>
        <v/>
      </c>
      <c r="B61" s="19">
        <f>IF(事例清單!B61="","",事例清單!B61)</f>
        <v/>
      </c>
      <c r="C61" s="19">
        <f>IF(事例清單!C61="","",事例清單!C61)</f>
        <v/>
      </c>
      <c r="D61" s="19">
        <f>IF(事例清單!D61="","",事例清單!D61)</f>
        <v/>
      </c>
      <c r="E61" s="20" t="n"/>
    </row>
    <row r="62">
      <c r="A62" s="19">
        <f>IF(事例清單!A62="","",事例清單!A62)</f>
        <v/>
      </c>
      <c r="B62" s="19">
        <f>IF(事例清單!B62="","",事例清單!B62)</f>
        <v/>
      </c>
      <c r="C62" s="19">
        <f>IF(事例清單!C62="","",事例清單!C62)</f>
        <v/>
      </c>
      <c r="D62" s="19">
        <f>IF(事例清單!D62="","",事例清單!D62)</f>
        <v/>
      </c>
      <c r="E62" s="20" t="n"/>
    </row>
    <row r="63">
      <c r="A63" s="19">
        <f>IF(事例清單!A63="","",事例清單!A63)</f>
        <v/>
      </c>
      <c r="B63" s="19">
        <f>IF(事例清單!B63="","",事例清單!B63)</f>
        <v/>
      </c>
      <c r="C63" s="19">
        <f>IF(事例清單!C63="","",事例清單!C63)</f>
        <v/>
      </c>
      <c r="D63" s="19">
        <f>IF(事例清單!D63="","",事例清單!D63)</f>
        <v/>
      </c>
      <c r="E63" s="20" t="n"/>
    </row>
    <row r="64">
      <c r="A64" s="19">
        <f>IF(事例清單!A64="","",事例清單!A64)</f>
        <v/>
      </c>
      <c r="B64" s="19">
        <f>IF(事例清單!B64="","",事例清單!B64)</f>
        <v/>
      </c>
      <c r="C64" s="19">
        <f>IF(事例清單!C64="","",事例清單!C64)</f>
        <v/>
      </c>
      <c r="D64" s="19">
        <f>IF(事例清單!D64="","",事例清單!D64)</f>
        <v/>
      </c>
      <c r="E64" s="20" t="n"/>
    </row>
    <row r="65">
      <c r="A65" s="19">
        <f>IF(事例清單!A65="","",事例清單!A65)</f>
        <v/>
      </c>
      <c r="B65" s="19">
        <f>IF(事例清單!B65="","",事例清單!B65)</f>
        <v/>
      </c>
      <c r="C65" s="19">
        <f>IF(事例清單!C65="","",事例清單!C65)</f>
        <v/>
      </c>
      <c r="D65" s="19">
        <f>IF(事例清單!D65="","",事例清單!D65)</f>
        <v/>
      </c>
      <c r="E65" s="20" t="n"/>
    </row>
    <row r="66">
      <c r="A66" s="19">
        <f>IF(事例清單!A66="","",事例清單!A66)</f>
        <v/>
      </c>
      <c r="B66" s="19">
        <f>IF(事例清單!B66="","",事例清單!B66)</f>
        <v/>
      </c>
      <c r="C66" s="19">
        <f>IF(事例清單!C66="","",事例清單!C66)</f>
        <v/>
      </c>
      <c r="D66" s="19">
        <f>IF(事例清單!D66="","",事例清單!D66)</f>
        <v/>
      </c>
      <c r="E66" s="20" t="n"/>
    </row>
    <row r="67">
      <c r="A67" s="19">
        <f>IF(事例清單!A67="","",事例清單!A67)</f>
        <v/>
      </c>
      <c r="B67" s="19">
        <f>IF(事例清單!B67="","",事例清單!B67)</f>
        <v/>
      </c>
      <c r="C67" s="19">
        <f>IF(事例清單!C67="","",事例清單!C67)</f>
        <v/>
      </c>
      <c r="D67" s="19">
        <f>IF(事例清單!D67="","",事例清單!D67)</f>
        <v/>
      </c>
      <c r="E67" s="20" t="n"/>
    </row>
    <row r="68">
      <c r="A68" s="19">
        <f>IF(事例清單!A68="","",事例清單!A68)</f>
        <v/>
      </c>
      <c r="B68" s="19">
        <f>IF(事例清單!B68="","",事例清單!B68)</f>
        <v/>
      </c>
      <c r="C68" s="19">
        <f>IF(事例清單!C68="","",事例清單!C68)</f>
        <v/>
      </c>
      <c r="D68" s="19">
        <f>IF(事例清單!D68="","",事例清單!D68)</f>
        <v/>
      </c>
      <c r="E68" s="20" t="n"/>
    </row>
    <row r="69">
      <c r="A69" s="19">
        <f>IF(事例清單!A69="","",事例清單!A69)</f>
        <v/>
      </c>
      <c r="B69" s="19">
        <f>IF(事例清單!B69="","",事例清單!B69)</f>
        <v/>
      </c>
      <c r="C69" s="19">
        <f>IF(事例清單!C69="","",事例清單!C69)</f>
        <v/>
      </c>
      <c r="D69" s="19">
        <f>IF(事例清單!D69="","",事例清單!D69)</f>
        <v/>
      </c>
      <c r="E69" s="20" t="n"/>
    </row>
    <row r="70">
      <c r="A70" s="19">
        <f>IF(事例清單!A70="","",事例清單!A70)</f>
        <v/>
      </c>
      <c r="B70" s="19">
        <f>IF(事例清單!B70="","",事例清單!B70)</f>
        <v/>
      </c>
      <c r="C70" s="19">
        <f>IF(事例清單!C70="","",事例清單!C70)</f>
        <v/>
      </c>
      <c r="D70" s="19">
        <f>IF(事例清單!D70="","",事例清單!D70)</f>
        <v/>
      </c>
      <c r="E70" s="20" t="n"/>
    </row>
    <row r="71">
      <c r="A71" s="19">
        <f>IF(事例清單!A71="","",事例清單!A71)</f>
        <v/>
      </c>
      <c r="B71" s="19">
        <f>IF(事例清單!B71="","",事例清單!B71)</f>
        <v/>
      </c>
      <c r="C71" s="19">
        <f>IF(事例清單!C71="","",事例清單!C71)</f>
        <v/>
      </c>
      <c r="D71" s="19">
        <f>IF(事例清單!D71="","",事例清單!D71)</f>
        <v/>
      </c>
      <c r="E71" s="20" t="n"/>
    </row>
    <row r="72">
      <c r="A72" s="19">
        <f>IF(事例清單!A72="","",事例清單!A72)</f>
        <v/>
      </c>
      <c r="B72" s="19">
        <f>IF(事例清單!B72="","",事例清單!B72)</f>
        <v/>
      </c>
      <c r="C72" s="19">
        <f>IF(事例清單!C72="","",事例清單!C72)</f>
        <v/>
      </c>
      <c r="D72" s="19">
        <f>IF(事例清單!D72="","",事例清單!D72)</f>
        <v/>
      </c>
      <c r="E72" s="20" t="n"/>
    </row>
    <row r="73">
      <c r="A73" s="19">
        <f>IF(事例清單!A73="","",事例清單!A73)</f>
        <v/>
      </c>
      <c r="B73" s="19">
        <f>IF(事例清單!B73="","",事例清單!B73)</f>
        <v/>
      </c>
      <c r="C73" s="19">
        <f>IF(事例清單!C73="","",事例清單!C73)</f>
        <v/>
      </c>
      <c r="D73" s="19">
        <f>IF(事例清單!D73="","",事例清單!D73)</f>
        <v/>
      </c>
      <c r="E73" s="20" t="n"/>
    </row>
    <row r="74">
      <c r="A74" s="19">
        <f>IF(事例清單!A74="","",事例清單!A74)</f>
        <v/>
      </c>
      <c r="B74" s="19">
        <f>IF(事例清單!B74="","",事例清單!B74)</f>
        <v/>
      </c>
      <c r="C74" s="19">
        <f>IF(事例清單!C74="","",事例清單!C74)</f>
        <v/>
      </c>
      <c r="D74" s="19">
        <f>IF(事例清單!D74="","",事例清單!D74)</f>
        <v/>
      </c>
      <c r="E74" s="20" t="n"/>
    </row>
    <row r="75">
      <c r="A75" s="19">
        <f>IF(事例清單!A75="","",事例清單!A75)</f>
        <v/>
      </c>
      <c r="B75" s="19">
        <f>IF(事例清單!B75="","",事例清單!B75)</f>
        <v/>
      </c>
      <c r="C75" s="19">
        <f>IF(事例清單!C75="","",事例清單!C75)</f>
        <v/>
      </c>
      <c r="D75" s="19">
        <f>IF(事例清單!D75="","",事例清單!D75)</f>
        <v/>
      </c>
      <c r="E75" s="20" t="n"/>
    </row>
    <row r="76">
      <c r="A76" s="19">
        <f>IF(事例清單!A76="","",事例清單!A76)</f>
        <v/>
      </c>
      <c r="B76" s="19">
        <f>IF(事例清單!B76="","",事例清單!B76)</f>
        <v/>
      </c>
      <c r="C76" s="19">
        <f>IF(事例清單!C76="","",事例清單!C76)</f>
        <v/>
      </c>
      <c r="D76" s="19">
        <f>IF(事例清單!D76="","",事例清單!D76)</f>
        <v/>
      </c>
      <c r="E76" s="20" t="n"/>
    </row>
    <row r="77">
      <c r="A77" s="19">
        <f>IF(事例清單!A77="","",事例清單!A77)</f>
        <v/>
      </c>
      <c r="B77" s="19">
        <f>IF(事例清單!B77="","",事例清單!B77)</f>
        <v/>
      </c>
      <c r="C77" s="19">
        <f>IF(事例清單!C77="","",事例清單!C77)</f>
        <v/>
      </c>
      <c r="D77" s="19">
        <f>IF(事例清單!D77="","",事例清單!D77)</f>
        <v/>
      </c>
      <c r="E77" s="20" t="n"/>
    </row>
    <row r="78">
      <c r="A78" s="19">
        <f>IF(事例清單!A78="","",事例清單!A78)</f>
        <v/>
      </c>
      <c r="B78" s="19">
        <f>IF(事例清單!B78="","",事例清單!B78)</f>
        <v/>
      </c>
      <c r="C78" s="19">
        <f>IF(事例清單!C78="","",事例清單!C78)</f>
        <v/>
      </c>
      <c r="D78" s="19">
        <f>IF(事例清單!D78="","",事例清單!D78)</f>
        <v/>
      </c>
      <c r="E78" s="20" t="n"/>
    </row>
    <row r="79">
      <c r="A79" s="19">
        <f>IF(事例清單!A79="","",事例清單!A79)</f>
        <v/>
      </c>
      <c r="B79" s="19">
        <f>IF(事例清單!B79="","",事例清單!B79)</f>
        <v/>
      </c>
      <c r="C79" s="19">
        <f>IF(事例清單!C79="","",事例清單!C79)</f>
        <v/>
      </c>
      <c r="D79" s="19">
        <f>IF(事例清單!D79="","",事例清單!D79)</f>
        <v/>
      </c>
      <c r="E79" s="20" t="n"/>
    </row>
    <row r="80">
      <c r="A80" s="19">
        <f>IF(事例清單!A80="","",事例清單!A80)</f>
        <v/>
      </c>
      <c r="B80" s="19">
        <f>IF(事例清單!B80="","",事例清單!B80)</f>
        <v/>
      </c>
      <c r="C80" s="19">
        <f>IF(事例清單!C80="","",事例清單!C80)</f>
        <v/>
      </c>
      <c r="D80" s="19">
        <f>IF(事例清單!D80="","",事例清單!D80)</f>
        <v/>
      </c>
      <c r="E80" s="20" t="n"/>
    </row>
    <row r="81">
      <c r="A81" s="19">
        <f>IF(事例清單!A81="","",事例清單!A81)</f>
        <v/>
      </c>
      <c r="B81" s="19">
        <f>IF(事例清單!B81="","",事例清單!B81)</f>
        <v/>
      </c>
      <c r="C81" s="19">
        <f>IF(事例清單!C81="","",事例清單!C81)</f>
        <v/>
      </c>
      <c r="D81" s="19">
        <f>IF(事例清單!D81="","",事例清單!D81)</f>
        <v/>
      </c>
      <c r="E81" s="20" t="n"/>
    </row>
    <row r="82">
      <c r="A82" s="19">
        <f>IF(事例清單!A82="","",事例清單!A82)</f>
        <v/>
      </c>
      <c r="B82" s="19">
        <f>IF(事例清單!B82="","",事例清單!B82)</f>
        <v/>
      </c>
      <c r="C82" s="19">
        <f>IF(事例清單!C82="","",事例清單!C82)</f>
        <v/>
      </c>
      <c r="D82" s="19">
        <f>IF(事例清單!D82="","",事例清單!D82)</f>
        <v/>
      </c>
      <c r="E82" s="20" t="n"/>
    </row>
    <row r="83">
      <c r="A83" s="19">
        <f>IF(事例清單!A83="","",事例清單!A83)</f>
        <v/>
      </c>
      <c r="B83" s="19">
        <f>IF(事例清單!B83="","",事例清單!B83)</f>
        <v/>
      </c>
      <c r="C83" s="19">
        <f>IF(事例清單!C83="","",事例清單!C83)</f>
        <v/>
      </c>
      <c r="D83" s="19">
        <f>IF(事例清單!D83="","",事例清單!D83)</f>
        <v/>
      </c>
      <c r="E83" s="20" t="n"/>
    </row>
    <row r="84">
      <c r="A84" s="19">
        <f>IF(事例清單!A84="","",事例清單!A84)</f>
        <v/>
      </c>
      <c r="B84" s="19">
        <f>IF(事例清單!B84="","",事例清單!B84)</f>
        <v/>
      </c>
      <c r="C84" s="19">
        <f>IF(事例清單!C84="","",事例清單!C84)</f>
        <v/>
      </c>
      <c r="D84" s="19">
        <f>IF(事例清單!D84="","",事例清單!D84)</f>
        <v/>
      </c>
      <c r="E84" s="20" t="n"/>
    </row>
    <row r="85">
      <c r="A85" s="19">
        <f>IF(事例清單!A85="","",事例清單!A85)</f>
        <v/>
      </c>
      <c r="B85" s="19">
        <f>IF(事例清單!B85="","",事例清單!B85)</f>
        <v/>
      </c>
      <c r="C85" s="19">
        <f>IF(事例清單!C85="","",事例清單!C85)</f>
        <v/>
      </c>
      <c r="D85" s="19">
        <f>IF(事例清單!D85="","",事例清單!D85)</f>
        <v/>
      </c>
      <c r="E85" s="20" t="n"/>
    </row>
    <row r="86">
      <c r="A86" s="19">
        <f>IF(事例清單!A86="","",事例清單!A86)</f>
        <v/>
      </c>
      <c r="B86" s="19">
        <f>IF(事例清單!B86="","",事例清單!B86)</f>
        <v/>
      </c>
      <c r="C86" s="19">
        <f>IF(事例清單!C86="","",事例清單!C86)</f>
        <v/>
      </c>
      <c r="D86" s="19">
        <f>IF(事例清單!D86="","",事例清單!D86)</f>
        <v/>
      </c>
      <c r="E86" s="20" t="n"/>
    </row>
    <row r="87">
      <c r="A87" s="19">
        <f>IF(事例清單!A87="","",事例清單!A87)</f>
        <v/>
      </c>
      <c r="B87" s="19">
        <f>IF(事例清單!B87="","",事例清單!B87)</f>
        <v/>
      </c>
      <c r="C87" s="19">
        <f>IF(事例清單!C87="","",事例清單!C87)</f>
        <v/>
      </c>
      <c r="D87" s="19">
        <f>IF(事例清單!D87="","",事例清單!D87)</f>
        <v/>
      </c>
      <c r="E87" s="20" t="n"/>
    </row>
    <row r="88">
      <c r="A88" s="19">
        <f>IF(事例清單!A88="","",事例清單!A88)</f>
        <v/>
      </c>
      <c r="B88" s="19">
        <f>IF(事例清單!B88="","",事例清單!B88)</f>
        <v/>
      </c>
      <c r="C88" s="19">
        <f>IF(事例清單!C88="","",事例清單!C88)</f>
        <v/>
      </c>
      <c r="D88" s="19">
        <f>IF(事例清單!D88="","",事例清單!D88)</f>
        <v/>
      </c>
      <c r="E88" s="20" t="n"/>
    </row>
    <row r="89">
      <c r="A89" s="19">
        <f>IF(事例清單!A89="","",事例清單!A89)</f>
        <v/>
      </c>
      <c r="B89" s="19">
        <f>IF(事例清單!B89="","",事例清單!B89)</f>
        <v/>
      </c>
      <c r="C89" s="19">
        <f>IF(事例清單!C89="","",事例清單!C89)</f>
        <v/>
      </c>
      <c r="D89" s="19">
        <f>IF(事例清單!D89="","",事例清單!D89)</f>
        <v/>
      </c>
      <c r="E89" s="20" t="n"/>
    </row>
    <row r="90">
      <c r="A90" s="19">
        <f>IF(事例清單!A90="","",事例清單!A90)</f>
        <v/>
      </c>
      <c r="B90" s="19">
        <f>IF(事例清單!B90="","",事例清單!B90)</f>
        <v/>
      </c>
      <c r="C90" s="19">
        <f>IF(事例清單!C90="","",事例清單!C90)</f>
        <v/>
      </c>
      <c r="D90" s="19">
        <f>IF(事例清單!D90="","",事例清單!D90)</f>
        <v/>
      </c>
      <c r="E90" s="20" t="n"/>
    </row>
    <row r="91">
      <c r="A91" s="19">
        <f>IF(事例清單!A91="","",事例清單!A91)</f>
        <v/>
      </c>
      <c r="B91" s="19">
        <f>IF(事例清單!B91="","",事例清單!B91)</f>
        <v/>
      </c>
      <c r="C91" s="19">
        <f>IF(事例清單!C91="","",事例清單!C91)</f>
        <v/>
      </c>
      <c r="D91" s="19">
        <f>IF(事例清單!D91="","",事例清單!D91)</f>
        <v/>
      </c>
      <c r="E91" s="20" t="n"/>
    </row>
    <row r="92">
      <c r="A92" s="19">
        <f>IF(事例清單!A92="","",事例清單!A92)</f>
        <v/>
      </c>
      <c r="B92" s="19">
        <f>IF(事例清單!B92="","",事例清單!B92)</f>
        <v/>
      </c>
      <c r="C92" s="19">
        <f>IF(事例清單!C92="","",事例清單!C92)</f>
        <v/>
      </c>
      <c r="D92" s="19">
        <f>IF(事例清單!D92="","",事例清單!D92)</f>
        <v/>
      </c>
      <c r="E92" s="20" t="n"/>
    </row>
    <row r="93">
      <c r="A93" s="19">
        <f>IF(事例清單!A93="","",事例清單!A93)</f>
        <v/>
      </c>
      <c r="B93" s="19">
        <f>IF(事例清單!B93="","",事例清單!B93)</f>
        <v/>
      </c>
      <c r="C93" s="19">
        <f>IF(事例清單!C93="","",事例清單!C93)</f>
        <v/>
      </c>
      <c r="D93" s="19">
        <f>IF(事例清單!D93="","",事例清單!D93)</f>
        <v/>
      </c>
      <c r="E93" s="20" t="n"/>
    </row>
    <row r="94">
      <c r="A94" s="19">
        <f>IF(事例清單!A94="","",事例清單!A94)</f>
        <v/>
      </c>
      <c r="B94" s="19">
        <f>IF(事例清單!B94="","",事例清單!B94)</f>
        <v/>
      </c>
      <c r="C94" s="19">
        <f>IF(事例清單!C94="","",事例清單!C94)</f>
        <v/>
      </c>
      <c r="D94" s="19">
        <f>IF(事例清單!D94="","",事例清單!D94)</f>
        <v/>
      </c>
      <c r="E94" s="20" t="n"/>
    </row>
    <row r="95">
      <c r="A95" s="19">
        <f>IF(事例清單!A95="","",事例清單!A95)</f>
        <v/>
      </c>
      <c r="B95" s="19">
        <f>IF(事例清單!B95="","",事例清單!B95)</f>
        <v/>
      </c>
      <c r="C95" s="19">
        <f>IF(事例清單!C95="","",事例清單!C95)</f>
        <v/>
      </c>
      <c r="D95" s="19">
        <f>IF(事例清單!D95="","",事例清單!D95)</f>
        <v/>
      </c>
      <c r="E95" s="20" t="n"/>
    </row>
    <row r="96">
      <c r="A96" s="19">
        <f>IF(事例清單!A96="","",事例清單!A96)</f>
        <v/>
      </c>
      <c r="B96" s="19">
        <f>IF(事例清單!B96="","",事例清單!B96)</f>
        <v/>
      </c>
      <c r="C96" s="19">
        <f>IF(事例清單!C96="","",事例清單!C96)</f>
        <v/>
      </c>
      <c r="D96" s="19">
        <f>IF(事例清單!D96="","",事例清單!D96)</f>
        <v/>
      </c>
      <c r="E96" s="20" t="n"/>
    </row>
    <row r="97">
      <c r="A97" s="19">
        <f>IF(事例清單!A97="","",事例清單!A97)</f>
        <v/>
      </c>
      <c r="B97" s="19">
        <f>IF(事例清單!B97="","",事例清單!B97)</f>
        <v/>
      </c>
      <c r="C97" s="19">
        <f>IF(事例清單!C97="","",事例清單!C97)</f>
        <v/>
      </c>
      <c r="D97" s="19">
        <f>IF(事例清單!D97="","",事例清單!D97)</f>
        <v/>
      </c>
      <c r="E97" s="20" t="n"/>
    </row>
    <row r="98">
      <c r="A98" s="19">
        <f>IF(事例清單!A98="","",事例清單!A98)</f>
        <v/>
      </c>
      <c r="B98" s="19">
        <f>IF(事例清單!B98="","",事例清單!B98)</f>
        <v/>
      </c>
      <c r="C98" s="19">
        <f>IF(事例清單!C98="","",事例清單!C98)</f>
        <v/>
      </c>
      <c r="D98" s="19">
        <f>IF(事例清單!D98="","",事例清單!D98)</f>
        <v/>
      </c>
      <c r="E98" s="20" t="n"/>
    </row>
    <row r="99">
      <c r="A99" s="19">
        <f>IF(事例清單!A99="","",事例清單!A99)</f>
        <v/>
      </c>
      <c r="B99" s="19">
        <f>IF(事例清單!B99="","",事例清單!B99)</f>
        <v/>
      </c>
      <c r="C99" s="19">
        <f>IF(事例清單!C99="","",事例清單!C99)</f>
        <v/>
      </c>
      <c r="D99" s="19">
        <f>IF(事例清單!D99="","",事例清單!D99)</f>
        <v/>
      </c>
      <c r="E99" s="20" t="n"/>
    </row>
    <row r="100">
      <c r="A100" s="19">
        <f>IF(事例清單!A100="","",事例清單!A100)</f>
        <v/>
      </c>
      <c r="B100" s="19">
        <f>IF(事例清單!B100="","",事例清單!B100)</f>
        <v/>
      </c>
      <c r="C100" s="19">
        <f>IF(事例清單!C100="","",事例清單!C100)</f>
        <v/>
      </c>
      <c r="D100" s="19">
        <f>IF(事例清單!D100="","",事例清單!D100)</f>
        <v/>
      </c>
      <c r="E100" s="20" t="n"/>
    </row>
    <row r="101">
      <c r="A101" s="19">
        <f>IF(事例清單!A101="","",事例清單!A101)</f>
        <v/>
      </c>
      <c r="B101" s="19">
        <f>IF(事例清單!B101="","",事例清單!B101)</f>
        <v/>
      </c>
      <c r="C101" s="19">
        <f>IF(事例清單!C101="","",事例清單!C101)</f>
        <v/>
      </c>
      <c r="D101" s="19">
        <f>IF(事例清單!D101="","",事例清單!D101)</f>
        <v/>
      </c>
      <c r="E101" s="20" t="n"/>
    </row>
    <row r="102">
      <c r="A102" s="19">
        <f>IF(事例清單!A102="","",事例清單!A102)</f>
        <v/>
      </c>
      <c r="B102" s="19">
        <f>IF(事例清單!B102="","",事例清單!B102)</f>
        <v/>
      </c>
      <c r="C102" s="19">
        <f>IF(事例清單!C102="","",事例清單!C102)</f>
        <v/>
      </c>
      <c r="D102" s="19">
        <f>IF(事例清單!D102="","",事例清單!D102)</f>
        <v/>
      </c>
      <c r="E102" s="20" t="n"/>
    </row>
    <row r="103">
      <c r="A103" s="19">
        <f>IF(事例清單!A103="","",事例清單!A103)</f>
        <v/>
      </c>
      <c r="B103" s="19">
        <f>IF(事例清單!B103="","",事例清單!B103)</f>
        <v/>
      </c>
      <c r="C103" s="19">
        <f>IF(事例清單!C103="","",事例清單!C103)</f>
        <v/>
      </c>
      <c r="D103" s="19">
        <f>IF(事例清單!D103="","",事例清單!D103)</f>
        <v/>
      </c>
      <c r="E103" s="20" t="n"/>
    </row>
    <row r="104">
      <c r="A104" s="19">
        <f>IF(事例清單!A104="","",事例清單!A104)</f>
        <v/>
      </c>
      <c r="B104" s="19">
        <f>IF(事例清單!B104="","",事例清單!B104)</f>
        <v/>
      </c>
      <c r="C104" s="19">
        <f>IF(事例清單!C104="","",事例清單!C104)</f>
        <v/>
      </c>
      <c r="D104" s="19">
        <f>IF(事例清單!D104="","",事例清單!D104)</f>
        <v/>
      </c>
      <c r="E104" s="20" t="n"/>
    </row>
    <row r="105">
      <c r="A105" s="19">
        <f>IF(事例清單!A105="","",事例清單!A105)</f>
        <v/>
      </c>
      <c r="B105" s="19">
        <f>IF(事例清單!B105="","",事例清單!B105)</f>
        <v/>
      </c>
      <c r="C105" s="19">
        <f>IF(事例清單!C105="","",事例清單!C105)</f>
        <v/>
      </c>
      <c r="D105" s="19">
        <f>IF(事例清單!D105="","",事例清單!D105)</f>
        <v/>
      </c>
      <c r="E105" s="20" t="n"/>
    </row>
    <row r="106">
      <c r="A106" s="19">
        <f>IF(事例清單!A106="","",事例清單!A106)</f>
        <v/>
      </c>
      <c r="B106" s="19">
        <f>IF(事例清單!B106="","",事例清單!B106)</f>
        <v/>
      </c>
      <c r="C106" s="19">
        <f>IF(事例清單!C106="","",事例清單!C106)</f>
        <v/>
      </c>
      <c r="D106" s="19">
        <f>IF(事例清單!D106="","",事例清單!D106)</f>
        <v/>
      </c>
      <c r="E106" s="20" t="n"/>
    </row>
    <row r="107">
      <c r="A107" s="19">
        <f>IF(事例清單!A107="","",事例清單!A107)</f>
        <v/>
      </c>
      <c r="B107" s="19">
        <f>IF(事例清單!B107="","",事例清單!B107)</f>
        <v/>
      </c>
      <c r="C107" s="19">
        <f>IF(事例清單!C107="","",事例清單!C107)</f>
        <v/>
      </c>
      <c r="D107" s="19">
        <f>IF(事例清單!D107="","",事例清單!D107)</f>
        <v/>
      </c>
      <c r="E107" s="20" t="n"/>
    </row>
    <row r="108">
      <c r="A108" s="19">
        <f>IF(事例清單!A108="","",事例清單!A108)</f>
        <v/>
      </c>
      <c r="B108" s="19">
        <f>IF(事例清單!B108="","",事例清單!B108)</f>
        <v/>
      </c>
      <c r="C108" s="19">
        <f>IF(事例清單!C108="","",事例清單!C108)</f>
        <v/>
      </c>
      <c r="D108" s="19">
        <f>IF(事例清單!D108="","",事例清單!D108)</f>
        <v/>
      </c>
      <c r="E108" s="20" t="n"/>
    </row>
    <row r="109">
      <c r="A109" s="19">
        <f>IF(事例清單!A109="","",事例清單!A109)</f>
        <v/>
      </c>
      <c r="B109" s="19">
        <f>IF(事例清單!B109="","",事例清單!B109)</f>
        <v/>
      </c>
      <c r="C109" s="19">
        <f>IF(事例清單!C109="","",事例清單!C109)</f>
        <v/>
      </c>
      <c r="D109" s="19">
        <f>IF(事例清單!D109="","",事例清單!D109)</f>
        <v/>
      </c>
      <c r="E109" s="20" t="n"/>
    </row>
    <row r="110">
      <c r="A110" s="19">
        <f>IF(事例清單!A110="","",事例清單!A110)</f>
        <v/>
      </c>
      <c r="B110" s="19">
        <f>IF(事例清單!B110="","",事例清單!B110)</f>
        <v/>
      </c>
      <c r="C110" s="19">
        <f>IF(事例清單!C110="","",事例清單!C110)</f>
        <v/>
      </c>
      <c r="D110" s="19">
        <f>IF(事例清單!D110="","",事例清單!D110)</f>
        <v/>
      </c>
      <c r="E110" s="20" t="n"/>
    </row>
    <row r="111">
      <c r="A111" s="19">
        <f>IF(事例清單!A111="","",事例清單!A111)</f>
        <v/>
      </c>
      <c r="B111" s="19">
        <f>IF(事例清單!B111="","",事例清單!B111)</f>
        <v/>
      </c>
      <c r="C111" s="19">
        <f>IF(事例清單!C111="","",事例清單!C111)</f>
        <v/>
      </c>
      <c r="D111" s="19">
        <f>IF(事例清單!D111="","",事例清單!D111)</f>
        <v/>
      </c>
      <c r="E111" s="20" t="n"/>
    </row>
    <row r="112">
      <c r="A112" s="19">
        <f>IF(事例清單!A112="","",事例清單!A112)</f>
        <v/>
      </c>
      <c r="B112" s="19">
        <f>IF(事例清單!B112="","",事例清單!B112)</f>
        <v/>
      </c>
      <c r="C112" s="19">
        <f>IF(事例清單!C112="","",事例清單!C112)</f>
        <v/>
      </c>
      <c r="D112" s="19">
        <f>IF(事例清單!D112="","",事例清單!D112)</f>
        <v/>
      </c>
      <c r="E112" s="20" t="n"/>
    </row>
    <row r="113">
      <c r="A113" s="19">
        <f>IF(事例清單!A113="","",事例清單!A113)</f>
        <v/>
      </c>
      <c r="B113" s="19">
        <f>IF(事例清單!B113="","",事例清單!B113)</f>
        <v/>
      </c>
      <c r="C113" s="19">
        <f>IF(事例清單!C113="","",事例清單!C113)</f>
        <v/>
      </c>
      <c r="D113" s="19">
        <f>IF(事例清單!D113="","",事例清單!D113)</f>
        <v/>
      </c>
      <c r="E113" s="20" t="n"/>
    </row>
    <row r="114">
      <c r="A114" s="19">
        <f>IF(事例清單!A114="","",事例清單!A114)</f>
        <v/>
      </c>
      <c r="B114" s="19">
        <f>IF(事例清單!B114="","",事例清單!B114)</f>
        <v/>
      </c>
      <c r="C114" s="19">
        <f>IF(事例清單!C114="","",事例清單!C114)</f>
        <v/>
      </c>
      <c r="D114" s="19">
        <f>IF(事例清單!D114="","",事例清單!D114)</f>
        <v/>
      </c>
      <c r="E114" s="20" t="n"/>
    </row>
    <row r="115">
      <c r="A115" s="19">
        <f>IF(事例清單!A115="","",事例清單!A115)</f>
        <v/>
      </c>
      <c r="B115" s="19">
        <f>IF(事例清單!B115="","",事例清單!B115)</f>
        <v/>
      </c>
      <c r="C115" s="19">
        <f>IF(事例清單!C115="","",事例清單!C115)</f>
        <v/>
      </c>
      <c r="D115" s="19">
        <f>IF(事例清單!D115="","",事例清單!D115)</f>
        <v/>
      </c>
      <c r="E115" s="20" t="n"/>
    </row>
    <row r="116">
      <c r="A116" s="19">
        <f>IF(事例清單!A116="","",事例清單!A116)</f>
        <v/>
      </c>
      <c r="B116" s="19">
        <f>IF(事例清單!B116="","",事例清單!B116)</f>
        <v/>
      </c>
      <c r="C116" s="19">
        <f>IF(事例清單!C116="","",事例清單!C116)</f>
        <v/>
      </c>
      <c r="D116" s="19">
        <f>IF(事例清單!D116="","",事例清單!D116)</f>
        <v/>
      </c>
      <c r="E116" s="20" t="n"/>
    </row>
    <row r="117">
      <c r="A117" s="19">
        <f>IF(事例清單!A117="","",事例清單!A117)</f>
        <v/>
      </c>
      <c r="B117" s="19">
        <f>IF(事例清單!B117="","",事例清單!B117)</f>
        <v/>
      </c>
      <c r="C117" s="19">
        <f>IF(事例清單!C117="","",事例清單!C117)</f>
        <v/>
      </c>
      <c r="D117" s="19">
        <f>IF(事例清單!D117="","",事例清單!D117)</f>
        <v/>
      </c>
      <c r="E117" s="20" t="n"/>
    </row>
    <row r="118">
      <c r="A118" s="19">
        <f>IF(事例清單!A118="","",事例清單!A118)</f>
        <v/>
      </c>
      <c r="B118" s="19">
        <f>IF(事例清單!B118="","",事例清單!B118)</f>
        <v/>
      </c>
      <c r="C118" s="19">
        <f>IF(事例清單!C118="","",事例清單!C118)</f>
        <v/>
      </c>
      <c r="D118" s="19">
        <f>IF(事例清單!D118="","",事例清單!D118)</f>
        <v/>
      </c>
      <c r="E118" s="20" t="n"/>
    </row>
    <row r="119">
      <c r="A119" s="19">
        <f>IF(事例清單!A119="","",事例清單!A119)</f>
        <v/>
      </c>
      <c r="B119" s="19">
        <f>IF(事例清單!B119="","",事例清單!B119)</f>
        <v/>
      </c>
      <c r="C119" s="19">
        <f>IF(事例清單!C119="","",事例清單!C119)</f>
        <v/>
      </c>
      <c r="D119" s="19">
        <f>IF(事例清單!D119="","",事例清單!D119)</f>
        <v/>
      </c>
      <c r="E119" s="20" t="n"/>
    </row>
    <row r="120">
      <c r="A120" s="19">
        <f>IF(事例清單!A120="","",事例清單!A120)</f>
        <v/>
      </c>
      <c r="B120" s="19">
        <f>IF(事例清單!B120="","",事例清單!B120)</f>
        <v/>
      </c>
      <c r="C120" s="19">
        <f>IF(事例清單!C120="","",事例清單!C120)</f>
        <v/>
      </c>
      <c r="D120" s="19">
        <f>IF(事例清單!D120="","",事例清單!D120)</f>
        <v/>
      </c>
      <c r="E120" s="20" t="n"/>
    </row>
    <row r="121">
      <c r="A121" s="19">
        <f>IF(事例清單!A121="","",事例清單!A121)</f>
        <v/>
      </c>
      <c r="B121" s="19">
        <f>IF(事例清單!B121="","",事例清單!B121)</f>
        <v/>
      </c>
      <c r="C121" s="19">
        <f>IF(事例清單!C121="","",事例清單!C121)</f>
        <v/>
      </c>
      <c r="D121" s="19">
        <f>IF(事例清單!D121="","",事例清單!D121)</f>
        <v/>
      </c>
      <c r="E121" s="20" t="n"/>
    </row>
    <row r="122">
      <c r="A122" s="19">
        <f>IF(事例清單!A122="","",事例清單!A122)</f>
        <v/>
      </c>
      <c r="B122" s="19">
        <f>IF(事例清單!B122="","",事例清單!B122)</f>
        <v/>
      </c>
      <c r="C122" s="19">
        <f>IF(事例清單!C122="","",事例清單!C122)</f>
        <v/>
      </c>
      <c r="D122" s="19">
        <f>IF(事例清單!D122="","",事例清單!D122)</f>
        <v/>
      </c>
      <c r="E122" s="20" t="n"/>
    </row>
    <row r="123">
      <c r="A123" s="19">
        <f>IF(事例清單!A123="","",事例清單!A123)</f>
        <v/>
      </c>
      <c r="B123" s="19">
        <f>IF(事例清單!B123="","",事例清單!B123)</f>
        <v/>
      </c>
      <c r="C123" s="19">
        <f>IF(事例清單!C123="","",事例清單!C123)</f>
        <v/>
      </c>
      <c r="D123" s="19">
        <f>IF(事例清單!D123="","",事例清單!D123)</f>
        <v/>
      </c>
      <c r="E123" s="20" t="n"/>
    </row>
    <row r="124">
      <c r="A124" s="19">
        <f>IF(事例清單!A124="","",事例清單!A124)</f>
        <v/>
      </c>
      <c r="B124" s="19">
        <f>IF(事例清單!B124="","",事例清單!B124)</f>
        <v/>
      </c>
      <c r="C124" s="19">
        <f>IF(事例清單!C124="","",事例清單!C124)</f>
        <v/>
      </c>
      <c r="D124" s="19">
        <f>IF(事例清單!D124="","",事例清單!D124)</f>
        <v/>
      </c>
      <c r="E124" s="20" t="n"/>
    </row>
    <row r="125">
      <c r="A125" s="19">
        <f>IF(事例清單!A125="","",事例清單!A125)</f>
        <v/>
      </c>
      <c r="B125" s="19">
        <f>IF(事例清單!B125="","",事例清單!B125)</f>
        <v/>
      </c>
      <c r="C125" s="19">
        <f>IF(事例清單!C125="","",事例清單!C125)</f>
        <v/>
      </c>
      <c r="D125" s="19">
        <f>IF(事例清單!D125="","",事例清單!D125)</f>
        <v/>
      </c>
      <c r="E125" s="20" t="n"/>
    </row>
    <row r="126">
      <c r="A126" s="19">
        <f>IF(事例清單!A126="","",事例清單!A126)</f>
        <v/>
      </c>
      <c r="B126" s="19">
        <f>IF(事例清單!B126="","",事例清單!B126)</f>
        <v/>
      </c>
      <c r="C126" s="19">
        <f>IF(事例清單!C126="","",事例清單!C126)</f>
        <v/>
      </c>
      <c r="D126" s="19">
        <f>IF(事例清單!D126="","",事例清單!D126)</f>
        <v/>
      </c>
      <c r="E126" s="20" t="n"/>
    </row>
    <row r="127">
      <c r="A127" s="19">
        <f>IF(事例清單!A127="","",事例清單!A127)</f>
        <v/>
      </c>
      <c r="B127" s="19">
        <f>IF(事例清單!B127="","",事例清單!B127)</f>
        <v/>
      </c>
      <c r="C127" s="19">
        <f>IF(事例清單!C127="","",事例清單!C127)</f>
        <v/>
      </c>
      <c r="D127" s="19">
        <f>IF(事例清單!D127="","",事例清單!D127)</f>
        <v/>
      </c>
      <c r="E127" s="20" t="n"/>
    </row>
    <row r="128">
      <c r="A128" s="19">
        <f>IF(事例清單!A128="","",事例清單!A128)</f>
        <v/>
      </c>
      <c r="B128" s="19">
        <f>IF(事例清單!B128="","",事例清單!B128)</f>
        <v/>
      </c>
      <c r="C128" s="19">
        <f>IF(事例清單!C128="","",事例清單!C128)</f>
        <v/>
      </c>
      <c r="D128" s="19">
        <f>IF(事例清單!D128="","",事例清單!D128)</f>
        <v/>
      </c>
      <c r="E128" s="20" t="n"/>
    </row>
    <row r="129">
      <c r="A129" s="19">
        <f>IF(事例清單!A129="","",事例清單!A129)</f>
        <v/>
      </c>
      <c r="B129" s="19">
        <f>IF(事例清單!B129="","",事例清單!B129)</f>
        <v/>
      </c>
      <c r="C129" s="19">
        <f>IF(事例清單!C129="","",事例清單!C129)</f>
        <v/>
      </c>
      <c r="D129" s="19">
        <f>IF(事例清單!D129="","",事例清單!D129)</f>
        <v/>
      </c>
      <c r="E129" s="20" t="n"/>
    </row>
    <row r="130">
      <c r="A130" s="19">
        <f>IF(事例清單!A130="","",事例清單!A130)</f>
        <v/>
      </c>
      <c r="B130" s="19">
        <f>IF(事例清單!B130="","",事例清單!B130)</f>
        <v/>
      </c>
      <c r="C130" s="19">
        <f>IF(事例清單!C130="","",事例清單!C130)</f>
        <v/>
      </c>
      <c r="D130" s="19">
        <f>IF(事例清單!D130="","",事例清單!D130)</f>
        <v/>
      </c>
      <c r="E130" s="20" t="n"/>
    </row>
    <row r="131">
      <c r="A131" s="19">
        <f>IF(事例清單!A131="","",事例清單!A131)</f>
        <v/>
      </c>
      <c r="B131" s="19">
        <f>IF(事例清單!B131="","",事例清單!B131)</f>
        <v/>
      </c>
      <c r="C131" s="19">
        <f>IF(事例清單!C131="","",事例清單!C131)</f>
        <v/>
      </c>
      <c r="D131" s="19">
        <f>IF(事例清單!D131="","",事例清單!D131)</f>
        <v/>
      </c>
      <c r="E131" s="20" t="n"/>
    </row>
    <row r="132">
      <c r="A132" s="19">
        <f>IF(事例清單!A132="","",事例清單!A132)</f>
        <v/>
      </c>
      <c r="B132" s="19">
        <f>IF(事例清單!B132="","",事例清單!B132)</f>
        <v/>
      </c>
      <c r="C132" s="19">
        <f>IF(事例清單!C132="","",事例清單!C132)</f>
        <v/>
      </c>
      <c r="D132" s="19">
        <f>IF(事例清單!D132="","",事例清單!D132)</f>
        <v/>
      </c>
      <c r="E132" s="20" t="n"/>
    </row>
    <row r="133">
      <c r="A133" s="19">
        <f>IF(事例清單!A133="","",事例清單!A133)</f>
        <v/>
      </c>
      <c r="B133" s="19">
        <f>IF(事例清單!B133="","",事例清單!B133)</f>
        <v/>
      </c>
      <c r="C133" s="19">
        <f>IF(事例清單!C133="","",事例清單!C133)</f>
        <v/>
      </c>
      <c r="D133" s="19">
        <f>IF(事例清單!D133="","",事例清單!D133)</f>
        <v/>
      </c>
      <c r="E133" s="20" t="n"/>
    </row>
    <row r="134">
      <c r="A134" s="19">
        <f>IF(事例清單!A134="","",事例清單!A134)</f>
        <v/>
      </c>
      <c r="B134" s="19">
        <f>IF(事例清單!B134="","",事例清單!B134)</f>
        <v/>
      </c>
      <c r="C134" s="19">
        <f>IF(事例清單!C134="","",事例清單!C134)</f>
        <v/>
      </c>
      <c r="D134" s="19">
        <f>IF(事例清單!D134="","",事例清單!D134)</f>
        <v/>
      </c>
      <c r="E134" s="20" t="n"/>
    </row>
    <row r="135">
      <c r="A135" s="19">
        <f>IF(事例清單!A135="","",事例清單!A135)</f>
        <v/>
      </c>
      <c r="B135" s="19">
        <f>IF(事例清單!B135="","",事例清單!B135)</f>
        <v/>
      </c>
      <c r="C135" s="19">
        <f>IF(事例清單!C135="","",事例清單!C135)</f>
        <v/>
      </c>
      <c r="D135" s="19">
        <f>IF(事例清單!D135="","",事例清單!D135)</f>
        <v/>
      </c>
      <c r="E135" s="20" t="n"/>
    </row>
    <row r="136">
      <c r="A136" s="19">
        <f>IF(事例清單!A136="","",事例清單!A136)</f>
        <v/>
      </c>
      <c r="B136" s="19">
        <f>IF(事例清單!B136="","",事例清單!B136)</f>
        <v/>
      </c>
      <c r="C136" s="19">
        <f>IF(事例清單!C136="","",事例清單!C136)</f>
        <v/>
      </c>
      <c r="D136" s="19">
        <f>IF(事例清單!D136="","",事例清單!D136)</f>
        <v/>
      </c>
      <c r="E136" s="20" t="n"/>
    </row>
    <row r="137">
      <c r="A137" s="19">
        <f>IF(事例清單!A137="","",事例清單!A137)</f>
        <v/>
      </c>
      <c r="B137" s="19">
        <f>IF(事例清單!B137="","",事例清單!B137)</f>
        <v/>
      </c>
      <c r="C137" s="19">
        <f>IF(事例清單!C137="","",事例清單!C137)</f>
        <v/>
      </c>
      <c r="D137" s="19">
        <f>IF(事例清單!D137="","",事例清單!D137)</f>
        <v/>
      </c>
      <c r="E137" s="20" t="n"/>
    </row>
    <row r="138">
      <c r="A138" s="19">
        <f>IF(事例清單!A138="","",事例清單!A138)</f>
        <v/>
      </c>
      <c r="B138" s="19">
        <f>IF(事例清單!B138="","",事例清單!B138)</f>
        <v/>
      </c>
      <c r="C138" s="19">
        <f>IF(事例清單!C138="","",事例清單!C138)</f>
        <v/>
      </c>
      <c r="D138" s="19">
        <f>IF(事例清單!D138="","",事例清單!D138)</f>
        <v/>
      </c>
      <c r="E138" s="20" t="n"/>
    </row>
    <row r="139">
      <c r="A139" s="19">
        <f>IF(事例清單!A139="","",事例清單!A139)</f>
        <v/>
      </c>
      <c r="B139" s="19">
        <f>IF(事例清單!B139="","",事例清單!B139)</f>
        <v/>
      </c>
      <c r="C139" s="19">
        <f>IF(事例清單!C139="","",事例清單!C139)</f>
        <v/>
      </c>
      <c r="D139" s="19">
        <f>IF(事例清單!D139="","",事例清單!D139)</f>
        <v/>
      </c>
      <c r="E139" s="20" t="n"/>
    </row>
    <row r="140">
      <c r="A140" s="19">
        <f>IF(事例清單!A140="","",事例清單!A140)</f>
        <v/>
      </c>
      <c r="B140" s="19">
        <f>IF(事例清單!B140="","",事例清單!B140)</f>
        <v/>
      </c>
      <c r="C140" s="19">
        <f>IF(事例清單!C140="","",事例清單!C140)</f>
        <v/>
      </c>
      <c r="D140" s="19">
        <f>IF(事例清單!D140="","",事例清單!D140)</f>
        <v/>
      </c>
      <c r="E140" s="20" t="n"/>
    </row>
    <row r="141">
      <c r="A141" s="19">
        <f>IF(事例清單!A141="","",事例清單!A141)</f>
        <v/>
      </c>
      <c r="B141" s="19">
        <f>IF(事例清單!B141="","",事例清單!B141)</f>
        <v/>
      </c>
      <c r="C141" s="19">
        <f>IF(事例清單!C141="","",事例清單!C141)</f>
        <v/>
      </c>
      <c r="D141" s="19">
        <f>IF(事例清單!D141="","",事例清單!D141)</f>
        <v/>
      </c>
      <c r="E141" s="20" t="n"/>
    </row>
    <row r="142">
      <c r="A142" s="19">
        <f>IF(事例清單!A142="","",事例清單!A142)</f>
        <v/>
      </c>
      <c r="B142" s="19">
        <f>IF(事例清單!B142="","",事例清單!B142)</f>
        <v/>
      </c>
      <c r="C142" s="19">
        <f>IF(事例清單!C142="","",事例清單!C142)</f>
        <v/>
      </c>
      <c r="D142" s="19">
        <f>IF(事例清單!D142="","",事例清單!D142)</f>
        <v/>
      </c>
      <c r="E142" s="20" t="n"/>
    </row>
    <row r="143">
      <c r="A143" s="19">
        <f>IF(事例清單!A143="","",事例清單!A143)</f>
        <v/>
      </c>
      <c r="B143" s="19">
        <f>IF(事例清單!B143="","",事例清單!B143)</f>
        <v/>
      </c>
      <c r="C143" s="19">
        <f>IF(事例清單!C143="","",事例清單!C143)</f>
        <v/>
      </c>
      <c r="D143" s="19">
        <f>IF(事例清單!D143="","",事例清單!D143)</f>
        <v/>
      </c>
      <c r="E143" s="20" t="n"/>
    </row>
    <row r="144">
      <c r="A144" s="19">
        <f>IF(事例清單!A144="","",事例清單!A144)</f>
        <v/>
      </c>
      <c r="B144" s="19">
        <f>IF(事例清單!B144="","",事例清單!B144)</f>
        <v/>
      </c>
      <c r="C144" s="19">
        <f>IF(事例清單!C144="","",事例清單!C144)</f>
        <v/>
      </c>
      <c r="D144" s="19">
        <f>IF(事例清單!D144="","",事例清單!D144)</f>
        <v/>
      </c>
      <c r="E144" s="20" t="n"/>
    </row>
    <row r="145">
      <c r="A145" s="19">
        <f>IF(事例清單!A145="","",事例清單!A145)</f>
        <v/>
      </c>
      <c r="B145" s="19">
        <f>IF(事例清單!B145="","",事例清單!B145)</f>
        <v/>
      </c>
      <c r="C145" s="19">
        <f>IF(事例清單!C145="","",事例清單!C145)</f>
        <v/>
      </c>
      <c r="D145" s="19">
        <f>IF(事例清單!D145="","",事例清單!D145)</f>
        <v/>
      </c>
      <c r="E145" s="20" t="n"/>
    </row>
    <row r="146">
      <c r="A146" s="19">
        <f>IF(事例清單!A146="","",事例清單!A146)</f>
        <v/>
      </c>
      <c r="B146" s="19">
        <f>IF(事例清單!B146="","",事例清單!B146)</f>
        <v/>
      </c>
      <c r="C146" s="19">
        <f>IF(事例清單!C146="","",事例清單!C146)</f>
        <v/>
      </c>
      <c r="D146" s="19">
        <f>IF(事例清單!D146="","",事例清單!D146)</f>
        <v/>
      </c>
      <c r="E146" s="20" t="n"/>
    </row>
    <row r="147">
      <c r="A147" s="19">
        <f>IF(事例清單!A147="","",事例清單!A147)</f>
        <v/>
      </c>
      <c r="B147" s="19">
        <f>IF(事例清單!B147="","",事例清單!B147)</f>
        <v/>
      </c>
      <c r="C147" s="19">
        <f>IF(事例清單!C147="","",事例清單!C147)</f>
        <v/>
      </c>
      <c r="D147" s="19">
        <f>IF(事例清單!D147="","",事例清單!D147)</f>
        <v/>
      </c>
      <c r="E147" s="20" t="n"/>
    </row>
    <row r="148">
      <c r="A148" s="19">
        <f>IF(事例清單!A148="","",事例清單!A148)</f>
        <v/>
      </c>
      <c r="B148" s="19">
        <f>IF(事例清單!B148="","",事例清單!B148)</f>
        <v/>
      </c>
      <c r="C148" s="19">
        <f>IF(事例清單!C148="","",事例清單!C148)</f>
        <v/>
      </c>
      <c r="D148" s="19">
        <f>IF(事例清單!D148="","",事例清單!D148)</f>
        <v/>
      </c>
      <c r="E148" s="20" t="n"/>
    </row>
    <row r="149">
      <c r="A149" s="19">
        <f>IF(事例清單!A149="","",事例清單!A149)</f>
        <v/>
      </c>
      <c r="B149" s="19">
        <f>IF(事例清單!B149="","",事例清單!B149)</f>
        <v/>
      </c>
      <c r="C149" s="19">
        <f>IF(事例清單!C149="","",事例清單!C149)</f>
        <v/>
      </c>
      <c r="D149" s="19">
        <f>IF(事例清單!D149="","",事例清單!D149)</f>
        <v/>
      </c>
      <c r="E149" s="20" t="n"/>
    </row>
    <row r="150">
      <c r="A150" s="19">
        <f>IF(事例清單!A150="","",事例清單!A150)</f>
        <v/>
      </c>
      <c r="B150" s="19">
        <f>IF(事例清單!B150="","",事例清單!B150)</f>
        <v/>
      </c>
      <c r="C150" s="19">
        <f>IF(事例清單!C150="","",事例清單!C150)</f>
        <v/>
      </c>
      <c r="D150" s="19">
        <f>IF(事例清單!D150="","",事例清單!D150)</f>
        <v/>
      </c>
      <c r="E150" s="20" t="n"/>
    </row>
    <row r="151">
      <c r="A151" s="19">
        <f>IF(事例清單!A151="","",事例清單!A151)</f>
        <v/>
      </c>
      <c r="B151" s="19">
        <f>IF(事例清單!B151="","",事例清單!B151)</f>
        <v/>
      </c>
      <c r="C151" s="19">
        <f>IF(事例清單!C151="","",事例清單!C151)</f>
        <v/>
      </c>
      <c r="D151" s="19">
        <f>IF(事例清單!D151="","",事例清單!D151)</f>
        <v/>
      </c>
      <c r="E151" s="20" t="n"/>
    </row>
    <row r="152">
      <c r="A152" s="19">
        <f>IF(事例清單!A152="","",事例清單!A152)</f>
        <v/>
      </c>
      <c r="B152" s="19">
        <f>IF(事例清單!B152="","",事例清單!B152)</f>
        <v/>
      </c>
      <c r="C152" s="19">
        <f>IF(事例清單!C152="","",事例清單!C152)</f>
        <v/>
      </c>
      <c r="D152" s="19">
        <f>IF(事例清單!D152="","",事例清單!D152)</f>
        <v/>
      </c>
      <c r="E152" s="20" t="n"/>
    </row>
    <row r="153">
      <c r="A153" s="19">
        <f>IF(事例清單!A153="","",事例清單!A153)</f>
        <v/>
      </c>
      <c r="B153" s="19">
        <f>IF(事例清單!B153="","",事例清單!B153)</f>
        <v/>
      </c>
      <c r="C153" s="19">
        <f>IF(事例清單!C153="","",事例清單!C153)</f>
        <v/>
      </c>
      <c r="D153" s="19">
        <f>IF(事例清單!D153="","",事例清單!D153)</f>
        <v/>
      </c>
      <c r="E153" s="20" t="n"/>
    </row>
    <row r="154">
      <c r="A154" s="19">
        <f>IF(事例清單!A154="","",事例清單!A154)</f>
        <v/>
      </c>
      <c r="B154" s="19">
        <f>IF(事例清單!B154="","",事例清單!B154)</f>
        <v/>
      </c>
      <c r="C154" s="19">
        <f>IF(事例清單!C154="","",事例清單!C154)</f>
        <v/>
      </c>
      <c r="D154" s="19">
        <f>IF(事例清單!D154="","",事例清單!D154)</f>
        <v/>
      </c>
      <c r="E154" s="20" t="n"/>
    </row>
    <row r="155">
      <c r="A155" s="19">
        <f>IF(事例清單!A155="","",事例清單!A155)</f>
        <v/>
      </c>
      <c r="B155" s="19">
        <f>IF(事例清單!B155="","",事例清單!B155)</f>
        <v/>
      </c>
      <c r="C155" s="19">
        <f>IF(事例清單!C155="","",事例清單!C155)</f>
        <v/>
      </c>
      <c r="D155" s="19">
        <f>IF(事例清單!D155="","",事例清單!D155)</f>
        <v/>
      </c>
      <c r="E155" s="20" t="n"/>
    </row>
    <row r="156">
      <c r="A156" s="19">
        <f>IF(事例清單!A156="","",事例清單!A156)</f>
        <v/>
      </c>
      <c r="B156" s="19">
        <f>IF(事例清單!B156="","",事例清單!B156)</f>
        <v/>
      </c>
      <c r="C156" s="19">
        <f>IF(事例清單!C156="","",事例清單!C156)</f>
        <v/>
      </c>
      <c r="D156" s="19">
        <f>IF(事例清單!D156="","",事例清單!D156)</f>
        <v/>
      </c>
      <c r="E156" s="20" t="n"/>
    </row>
    <row r="157">
      <c r="A157" s="19">
        <f>IF(事例清單!A157="","",事例清單!A157)</f>
        <v/>
      </c>
      <c r="B157" s="19">
        <f>IF(事例清單!B157="","",事例清單!B157)</f>
        <v/>
      </c>
      <c r="C157" s="19">
        <f>IF(事例清單!C157="","",事例清單!C157)</f>
        <v/>
      </c>
      <c r="D157" s="19">
        <f>IF(事例清單!D157="","",事例清單!D157)</f>
        <v/>
      </c>
      <c r="E157" s="20" t="n"/>
    </row>
    <row r="158">
      <c r="A158" s="19">
        <f>IF(事例清單!A158="","",事例清單!A158)</f>
        <v/>
      </c>
      <c r="B158" s="19">
        <f>IF(事例清單!B158="","",事例清單!B158)</f>
        <v/>
      </c>
      <c r="C158" s="19">
        <f>IF(事例清單!C158="","",事例清單!C158)</f>
        <v/>
      </c>
      <c r="D158" s="19">
        <f>IF(事例清單!D158="","",事例清單!D158)</f>
        <v/>
      </c>
      <c r="E158" s="20" t="n"/>
    </row>
    <row r="159">
      <c r="A159" s="19">
        <f>IF(事例清單!A159="","",事例清單!A159)</f>
        <v/>
      </c>
      <c r="B159" s="19">
        <f>IF(事例清單!B159="","",事例清單!B159)</f>
        <v/>
      </c>
      <c r="C159" s="19">
        <f>IF(事例清單!C159="","",事例清單!C159)</f>
        <v/>
      </c>
      <c r="D159" s="19">
        <f>IF(事例清單!D159="","",事例清單!D159)</f>
        <v/>
      </c>
      <c r="E159" s="20" t="n"/>
    </row>
    <row r="160">
      <c r="A160" s="19">
        <f>IF(事例清單!A160="","",事例清單!A160)</f>
        <v/>
      </c>
      <c r="B160" s="19">
        <f>IF(事例清單!B160="","",事例清單!B160)</f>
        <v/>
      </c>
      <c r="C160" s="19">
        <f>IF(事例清單!C160="","",事例清單!C160)</f>
        <v/>
      </c>
      <c r="D160" s="19">
        <f>IF(事例清單!D160="","",事例清單!D160)</f>
        <v/>
      </c>
      <c r="E160" s="20" t="n"/>
    </row>
    <row r="161">
      <c r="A161" s="19">
        <f>IF(事例清單!A161="","",事例清單!A161)</f>
        <v/>
      </c>
      <c r="B161" s="19">
        <f>IF(事例清單!B161="","",事例清單!B161)</f>
        <v/>
      </c>
      <c r="C161" s="19">
        <f>IF(事例清單!C161="","",事例清單!C161)</f>
        <v/>
      </c>
      <c r="D161" s="19">
        <f>IF(事例清單!D161="","",事例清單!D161)</f>
        <v/>
      </c>
      <c r="E161" s="20" t="n"/>
    </row>
    <row r="162">
      <c r="A162" s="19">
        <f>IF(事例清單!A162="","",事例清單!A162)</f>
        <v/>
      </c>
      <c r="B162" s="19">
        <f>IF(事例清單!B162="","",事例清單!B162)</f>
        <v/>
      </c>
      <c r="C162" s="19">
        <f>IF(事例清單!C162="","",事例清單!C162)</f>
        <v/>
      </c>
      <c r="D162" s="19">
        <f>IF(事例清單!D162="","",事例清單!D162)</f>
        <v/>
      </c>
      <c r="E162" s="20" t="n"/>
    </row>
    <row r="163">
      <c r="A163" s="19">
        <f>IF(事例清單!A163="","",事例清單!A163)</f>
        <v/>
      </c>
      <c r="B163" s="19">
        <f>IF(事例清單!B163="","",事例清單!B163)</f>
        <v/>
      </c>
      <c r="C163" s="19">
        <f>IF(事例清單!C163="","",事例清單!C163)</f>
        <v/>
      </c>
      <c r="D163" s="19">
        <f>IF(事例清單!D163="","",事例清單!D163)</f>
        <v/>
      </c>
      <c r="E163" s="20" t="n"/>
    </row>
    <row r="164">
      <c r="A164" s="19">
        <f>IF(事例清單!A164="","",事例清單!A164)</f>
        <v/>
      </c>
      <c r="B164" s="19">
        <f>IF(事例清單!B164="","",事例清單!B164)</f>
        <v/>
      </c>
      <c r="C164" s="19">
        <f>IF(事例清單!C164="","",事例清單!C164)</f>
        <v/>
      </c>
      <c r="D164" s="19">
        <f>IF(事例清單!D164="","",事例清單!D164)</f>
        <v/>
      </c>
      <c r="E164" s="20" t="n"/>
    </row>
    <row r="165">
      <c r="A165" s="19">
        <f>IF(事例清單!A165="","",事例清單!A165)</f>
        <v/>
      </c>
      <c r="B165" s="19">
        <f>IF(事例清單!B165="","",事例清單!B165)</f>
        <v/>
      </c>
      <c r="C165" s="19">
        <f>IF(事例清單!C165="","",事例清單!C165)</f>
        <v/>
      </c>
      <c r="D165" s="19">
        <f>IF(事例清單!D165="","",事例清單!D165)</f>
        <v/>
      </c>
      <c r="E165" s="20" t="n"/>
    </row>
    <row r="166">
      <c r="A166" s="19">
        <f>IF(事例清單!A166="","",事例清單!A166)</f>
        <v/>
      </c>
      <c r="B166" s="19">
        <f>IF(事例清單!B166="","",事例清單!B166)</f>
        <v/>
      </c>
      <c r="C166" s="19">
        <f>IF(事例清單!C166="","",事例清單!C166)</f>
        <v/>
      </c>
      <c r="D166" s="19">
        <f>IF(事例清單!D166="","",事例清單!D166)</f>
        <v/>
      </c>
      <c r="E166" s="20" t="n"/>
    </row>
    <row r="167">
      <c r="A167" s="19">
        <f>IF(事例清單!A167="","",事例清單!A167)</f>
        <v/>
      </c>
      <c r="B167" s="19">
        <f>IF(事例清單!B167="","",事例清單!B167)</f>
        <v/>
      </c>
      <c r="C167" s="19">
        <f>IF(事例清單!C167="","",事例清單!C167)</f>
        <v/>
      </c>
      <c r="D167" s="19">
        <f>IF(事例清單!D167="","",事例清單!D167)</f>
        <v/>
      </c>
      <c r="E167" s="20" t="n"/>
    </row>
    <row r="168">
      <c r="A168" s="19">
        <f>IF(事例清單!A168="","",事例清單!A168)</f>
        <v/>
      </c>
      <c r="B168" s="19">
        <f>IF(事例清單!B168="","",事例清單!B168)</f>
        <v/>
      </c>
      <c r="C168" s="19">
        <f>IF(事例清單!C168="","",事例清單!C168)</f>
        <v/>
      </c>
      <c r="D168" s="19">
        <f>IF(事例清單!D168="","",事例清單!D168)</f>
        <v/>
      </c>
      <c r="E168" s="20" t="n"/>
    </row>
    <row r="169">
      <c r="A169" s="19">
        <f>IF(事例清單!A169="","",事例清單!A169)</f>
        <v/>
      </c>
      <c r="B169" s="19">
        <f>IF(事例清單!B169="","",事例清單!B169)</f>
        <v/>
      </c>
      <c r="C169" s="19">
        <f>IF(事例清單!C169="","",事例清單!C169)</f>
        <v/>
      </c>
      <c r="D169" s="19">
        <f>IF(事例清單!D169="","",事例清單!D169)</f>
        <v/>
      </c>
      <c r="E169" s="20" t="n"/>
    </row>
    <row r="170">
      <c r="A170" s="19">
        <f>IF(事例清單!A170="","",事例清單!A170)</f>
        <v/>
      </c>
      <c r="B170" s="19">
        <f>IF(事例清單!B170="","",事例清單!B170)</f>
        <v/>
      </c>
      <c r="C170" s="19">
        <f>IF(事例清單!C170="","",事例清單!C170)</f>
        <v/>
      </c>
      <c r="D170" s="19">
        <f>IF(事例清單!D170="","",事例清單!D170)</f>
        <v/>
      </c>
      <c r="E170" s="20" t="n"/>
    </row>
    <row r="171">
      <c r="A171" s="19">
        <f>IF(事例清單!A171="","",事例清單!A171)</f>
        <v/>
      </c>
      <c r="B171" s="19">
        <f>IF(事例清單!B171="","",事例清單!B171)</f>
        <v/>
      </c>
      <c r="C171" s="19">
        <f>IF(事例清單!C171="","",事例清單!C171)</f>
        <v/>
      </c>
      <c r="D171" s="19">
        <f>IF(事例清單!D171="","",事例清單!D171)</f>
        <v/>
      </c>
      <c r="E171" s="20" t="n"/>
    </row>
    <row r="172">
      <c r="A172" s="19">
        <f>IF(事例清單!A172="","",事例清單!A172)</f>
        <v/>
      </c>
      <c r="B172" s="19">
        <f>IF(事例清單!B172="","",事例清單!B172)</f>
        <v/>
      </c>
      <c r="C172" s="19">
        <f>IF(事例清單!C172="","",事例清單!C172)</f>
        <v/>
      </c>
      <c r="D172" s="19">
        <f>IF(事例清單!D172="","",事例清單!D172)</f>
        <v/>
      </c>
      <c r="E172" s="20" t="n"/>
    </row>
    <row r="173">
      <c r="A173" s="19">
        <f>IF(事例清單!A173="","",事例清單!A173)</f>
        <v/>
      </c>
      <c r="B173" s="19">
        <f>IF(事例清單!B173="","",事例清單!B173)</f>
        <v/>
      </c>
      <c r="C173" s="19">
        <f>IF(事例清單!C173="","",事例清單!C173)</f>
        <v/>
      </c>
      <c r="D173" s="19">
        <f>IF(事例清單!D173="","",事例清單!D173)</f>
        <v/>
      </c>
      <c r="E173" s="20" t="n"/>
    </row>
    <row r="174">
      <c r="A174" s="19">
        <f>IF(事例清單!A174="","",事例清單!A174)</f>
        <v/>
      </c>
      <c r="B174" s="19">
        <f>IF(事例清單!B174="","",事例清單!B174)</f>
        <v/>
      </c>
      <c r="C174" s="19">
        <f>IF(事例清單!C174="","",事例清單!C174)</f>
        <v/>
      </c>
      <c r="D174" s="19">
        <f>IF(事例清單!D174="","",事例清單!D174)</f>
        <v/>
      </c>
      <c r="E174" s="20" t="n"/>
    </row>
    <row r="175">
      <c r="A175" s="19">
        <f>IF(事例清單!A175="","",事例清單!A175)</f>
        <v/>
      </c>
      <c r="B175" s="19">
        <f>IF(事例清單!B175="","",事例清單!B175)</f>
        <v/>
      </c>
      <c r="C175" s="19">
        <f>IF(事例清單!C175="","",事例清單!C175)</f>
        <v/>
      </c>
      <c r="D175" s="19">
        <f>IF(事例清單!D175="","",事例清單!D175)</f>
        <v/>
      </c>
      <c r="E175" s="20" t="n"/>
    </row>
    <row r="176">
      <c r="A176" s="19">
        <f>IF(事例清單!A176="","",事例清單!A176)</f>
        <v/>
      </c>
      <c r="B176" s="19">
        <f>IF(事例清單!B176="","",事例清單!B176)</f>
        <v/>
      </c>
      <c r="C176" s="19">
        <f>IF(事例清單!C176="","",事例清單!C176)</f>
        <v/>
      </c>
      <c r="D176" s="19">
        <f>IF(事例清單!D176="","",事例清單!D176)</f>
        <v/>
      </c>
      <c r="E176" s="20" t="n"/>
    </row>
    <row r="177">
      <c r="A177" s="19">
        <f>IF(事例清單!A177="","",事例清單!A177)</f>
        <v/>
      </c>
      <c r="B177" s="19">
        <f>IF(事例清單!B177="","",事例清單!B177)</f>
        <v/>
      </c>
      <c r="C177" s="19">
        <f>IF(事例清單!C177="","",事例清單!C177)</f>
        <v/>
      </c>
      <c r="D177" s="19">
        <f>IF(事例清單!D177="","",事例清單!D177)</f>
        <v/>
      </c>
      <c r="E177" s="20" t="n"/>
    </row>
    <row r="178">
      <c r="A178" s="19">
        <f>IF(事例清單!A178="","",事例清單!A178)</f>
        <v/>
      </c>
      <c r="B178" s="19">
        <f>IF(事例清單!B178="","",事例清單!B178)</f>
        <v/>
      </c>
      <c r="C178" s="19">
        <f>IF(事例清單!C178="","",事例清單!C178)</f>
        <v/>
      </c>
      <c r="D178" s="19">
        <f>IF(事例清單!D178="","",事例清單!D178)</f>
        <v/>
      </c>
      <c r="E178" s="20" t="n"/>
    </row>
    <row r="179">
      <c r="A179" s="19">
        <f>IF(事例清單!A179="","",事例清單!A179)</f>
        <v/>
      </c>
      <c r="B179" s="19">
        <f>IF(事例清單!B179="","",事例清單!B179)</f>
        <v/>
      </c>
      <c r="C179" s="19">
        <f>IF(事例清單!C179="","",事例清單!C179)</f>
        <v/>
      </c>
      <c r="D179" s="19">
        <f>IF(事例清單!D179="","",事例清單!D179)</f>
        <v/>
      </c>
      <c r="E179" s="20" t="n"/>
    </row>
    <row r="180">
      <c r="A180" s="19">
        <f>IF(事例清單!A180="","",事例清單!A180)</f>
        <v/>
      </c>
      <c r="B180" s="19">
        <f>IF(事例清單!B180="","",事例清單!B180)</f>
        <v/>
      </c>
      <c r="C180" s="19">
        <f>IF(事例清單!C180="","",事例清單!C180)</f>
        <v/>
      </c>
      <c r="D180" s="19">
        <f>IF(事例清單!D180="","",事例清單!D180)</f>
        <v/>
      </c>
      <c r="E180" s="20" t="n"/>
    </row>
    <row r="181">
      <c r="A181" s="19">
        <f>IF(事例清單!A181="","",事例清單!A181)</f>
        <v/>
      </c>
      <c r="B181" s="19">
        <f>IF(事例清單!B181="","",事例清單!B181)</f>
        <v/>
      </c>
      <c r="C181" s="19">
        <f>IF(事例清單!C181="","",事例清單!C181)</f>
        <v/>
      </c>
      <c r="D181" s="19">
        <f>IF(事例清單!D181="","",事例清單!D181)</f>
        <v/>
      </c>
      <c r="E181" s="20" t="n"/>
    </row>
    <row r="182">
      <c r="A182" s="19">
        <f>IF(事例清單!A182="","",事例清單!A182)</f>
        <v/>
      </c>
      <c r="B182" s="19">
        <f>IF(事例清單!B182="","",事例清單!B182)</f>
        <v/>
      </c>
      <c r="C182" s="19">
        <f>IF(事例清單!C182="","",事例清單!C182)</f>
        <v/>
      </c>
      <c r="D182" s="19">
        <f>IF(事例清單!D182="","",事例清單!D182)</f>
        <v/>
      </c>
      <c r="E182" s="20" t="n"/>
    </row>
    <row r="183">
      <c r="A183" s="19">
        <f>IF(事例清單!A183="","",事例清單!A183)</f>
        <v/>
      </c>
      <c r="B183" s="19">
        <f>IF(事例清單!B183="","",事例清單!B183)</f>
        <v/>
      </c>
      <c r="C183" s="19">
        <f>IF(事例清單!C183="","",事例清單!C183)</f>
        <v/>
      </c>
      <c r="D183" s="19">
        <f>IF(事例清單!D183="","",事例清單!D183)</f>
        <v/>
      </c>
      <c r="E183" s="20" t="n"/>
    </row>
    <row r="184">
      <c r="A184" s="19">
        <f>IF(事例清單!A184="","",事例清單!A184)</f>
        <v/>
      </c>
      <c r="B184" s="19">
        <f>IF(事例清單!B184="","",事例清單!B184)</f>
        <v/>
      </c>
      <c r="C184" s="19">
        <f>IF(事例清單!C184="","",事例清單!C184)</f>
        <v/>
      </c>
      <c r="D184" s="19">
        <f>IF(事例清單!D184="","",事例清單!D184)</f>
        <v/>
      </c>
      <c r="E184" s="20" t="n"/>
    </row>
    <row r="185">
      <c r="A185" s="19">
        <f>IF(事例清單!A185="","",事例清單!A185)</f>
        <v/>
      </c>
      <c r="B185" s="19">
        <f>IF(事例清單!B185="","",事例清單!B185)</f>
        <v/>
      </c>
      <c r="C185" s="19">
        <f>IF(事例清單!C185="","",事例清單!C185)</f>
        <v/>
      </c>
      <c r="D185" s="19">
        <f>IF(事例清單!D185="","",事例清單!D185)</f>
        <v/>
      </c>
      <c r="E185" s="20" t="n"/>
    </row>
    <row r="186">
      <c r="A186" s="19">
        <f>IF(事例清單!A186="","",事例清單!A186)</f>
        <v/>
      </c>
      <c r="B186" s="19">
        <f>IF(事例清單!B186="","",事例清單!B186)</f>
        <v/>
      </c>
      <c r="C186" s="19">
        <f>IF(事例清單!C186="","",事例清單!C186)</f>
        <v/>
      </c>
      <c r="D186" s="19">
        <f>IF(事例清單!D186="","",事例清單!D186)</f>
        <v/>
      </c>
      <c r="E186" s="20" t="n"/>
    </row>
    <row r="187">
      <c r="A187" s="19">
        <f>IF(事例清單!A187="","",事例清單!A187)</f>
        <v/>
      </c>
      <c r="B187" s="19">
        <f>IF(事例清單!B187="","",事例清單!B187)</f>
        <v/>
      </c>
      <c r="C187" s="19">
        <f>IF(事例清單!C187="","",事例清單!C187)</f>
        <v/>
      </c>
      <c r="D187" s="19">
        <f>IF(事例清單!D187="","",事例清單!D187)</f>
        <v/>
      </c>
      <c r="E187" s="20" t="n"/>
    </row>
    <row r="188">
      <c r="A188" s="19">
        <f>IF(事例清單!A188="","",事例清單!A188)</f>
        <v/>
      </c>
      <c r="B188" s="19">
        <f>IF(事例清單!B188="","",事例清單!B188)</f>
        <v/>
      </c>
      <c r="C188" s="19">
        <f>IF(事例清單!C188="","",事例清單!C188)</f>
        <v/>
      </c>
      <c r="D188" s="19">
        <f>IF(事例清單!D188="","",事例清單!D188)</f>
        <v/>
      </c>
      <c r="E188" s="20" t="n"/>
    </row>
    <row r="189">
      <c r="A189" s="19">
        <f>IF(事例清單!A189="","",事例清單!A189)</f>
        <v/>
      </c>
      <c r="B189" s="19">
        <f>IF(事例清單!B189="","",事例清單!B189)</f>
        <v/>
      </c>
      <c r="C189" s="19">
        <f>IF(事例清單!C189="","",事例清單!C189)</f>
        <v/>
      </c>
      <c r="D189" s="19">
        <f>IF(事例清單!D189="","",事例清單!D189)</f>
        <v/>
      </c>
      <c r="E189" s="20" t="n"/>
    </row>
    <row r="190">
      <c r="A190" s="19">
        <f>IF(事例清單!A190="","",事例清單!A190)</f>
        <v/>
      </c>
      <c r="B190" s="19">
        <f>IF(事例清單!B190="","",事例清單!B190)</f>
        <v/>
      </c>
      <c r="C190" s="19">
        <f>IF(事例清單!C190="","",事例清單!C190)</f>
        <v/>
      </c>
      <c r="D190" s="19">
        <f>IF(事例清單!D190="","",事例清單!D190)</f>
        <v/>
      </c>
      <c r="E190" s="20" t="n"/>
    </row>
    <row r="191">
      <c r="A191" s="19">
        <f>IF(事例清單!A191="","",事例清單!A191)</f>
        <v/>
      </c>
      <c r="B191" s="19">
        <f>IF(事例清單!B191="","",事例清單!B191)</f>
        <v/>
      </c>
      <c r="C191" s="19">
        <f>IF(事例清單!C191="","",事例清單!C191)</f>
        <v/>
      </c>
      <c r="D191" s="19">
        <f>IF(事例清單!D191="","",事例清單!D191)</f>
        <v/>
      </c>
      <c r="E191" s="20" t="n"/>
    </row>
    <row r="192">
      <c r="A192" s="19">
        <f>IF(事例清單!A192="","",事例清單!A192)</f>
        <v/>
      </c>
      <c r="B192" s="19">
        <f>IF(事例清單!B192="","",事例清單!B192)</f>
        <v/>
      </c>
      <c r="C192" s="19">
        <f>IF(事例清單!C192="","",事例清單!C192)</f>
        <v/>
      </c>
      <c r="D192" s="19">
        <f>IF(事例清單!D192="","",事例清單!D192)</f>
        <v/>
      </c>
      <c r="E192" s="20" t="n"/>
    </row>
    <row r="193">
      <c r="A193" s="19">
        <f>IF(事例清單!A193="","",事例清單!A193)</f>
        <v/>
      </c>
      <c r="B193" s="19">
        <f>IF(事例清單!B193="","",事例清單!B193)</f>
        <v/>
      </c>
      <c r="C193" s="19">
        <f>IF(事例清單!C193="","",事例清單!C193)</f>
        <v/>
      </c>
      <c r="D193" s="19">
        <f>IF(事例清單!D193="","",事例清單!D193)</f>
        <v/>
      </c>
      <c r="E193" s="20" t="n"/>
    </row>
    <row r="194">
      <c r="A194" s="19">
        <f>IF(事例清單!A194="","",事例清單!A194)</f>
        <v/>
      </c>
      <c r="B194" s="19">
        <f>IF(事例清單!B194="","",事例清單!B194)</f>
        <v/>
      </c>
      <c r="C194" s="19">
        <f>IF(事例清單!C194="","",事例清單!C194)</f>
        <v/>
      </c>
      <c r="D194" s="19">
        <f>IF(事例清單!D194="","",事例清單!D194)</f>
        <v/>
      </c>
      <c r="E194" s="20" t="n"/>
    </row>
    <row r="195">
      <c r="A195" s="19">
        <f>IF(事例清單!A195="","",事例清單!A195)</f>
        <v/>
      </c>
      <c r="B195" s="19">
        <f>IF(事例清單!B195="","",事例清單!B195)</f>
        <v/>
      </c>
      <c r="C195" s="19">
        <f>IF(事例清單!C195="","",事例清單!C195)</f>
        <v/>
      </c>
      <c r="D195" s="19">
        <f>IF(事例清單!D195="","",事例清單!D195)</f>
        <v/>
      </c>
      <c r="E195" s="20" t="n"/>
    </row>
    <row r="196">
      <c r="A196" s="19">
        <f>IF(事例清單!A196="","",事例清單!A196)</f>
        <v/>
      </c>
      <c r="B196" s="19">
        <f>IF(事例清單!B196="","",事例清單!B196)</f>
        <v/>
      </c>
      <c r="C196" s="19">
        <f>IF(事例清單!C196="","",事例清單!C196)</f>
        <v/>
      </c>
      <c r="D196" s="19">
        <f>IF(事例清單!D196="","",事例清單!D196)</f>
        <v/>
      </c>
      <c r="E196" s="20" t="n"/>
    </row>
    <row r="197">
      <c r="A197" s="19">
        <f>IF(事例清單!A197="","",事例清單!A197)</f>
        <v/>
      </c>
      <c r="B197" s="19">
        <f>IF(事例清單!B197="","",事例清單!B197)</f>
        <v/>
      </c>
      <c r="C197" s="19">
        <f>IF(事例清單!C197="","",事例清單!C197)</f>
        <v/>
      </c>
      <c r="D197" s="19">
        <f>IF(事例清單!D197="","",事例清單!D197)</f>
        <v/>
      </c>
      <c r="E197" s="20" t="n"/>
    </row>
    <row r="198">
      <c r="A198" s="19">
        <f>IF(事例清單!A198="","",事例清單!A198)</f>
        <v/>
      </c>
      <c r="B198" s="19">
        <f>IF(事例清單!B198="","",事例清單!B198)</f>
        <v/>
      </c>
      <c r="C198" s="19">
        <f>IF(事例清單!C198="","",事例清單!C198)</f>
        <v/>
      </c>
      <c r="D198" s="19">
        <f>IF(事例清單!D198="","",事例清單!D198)</f>
        <v/>
      </c>
      <c r="E198" s="20" t="n"/>
    </row>
    <row r="199">
      <c r="A199" s="19">
        <f>IF(事例清單!A199="","",事例清單!A199)</f>
        <v/>
      </c>
      <c r="B199" s="19">
        <f>IF(事例清單!B199="","",事例清單!B199)</f>
        <v/>
      </c>
      <c r="C199" s="19">
        <f>IF(事例清單!C199="","",事例清單!C199)</f>
        <v/>
      </c>
      <c r="D199" s="19">
        <f>IF(事例清單!D199="","",事例清單!D199)</f>
        <v/>
      </c>
      <c r="E199" s="20" t="n"/>
    </row>
    <row r="200">
      <c r="A200" s="19">
        <f>IF(事例清單!A200="","",事例清單!A200)</f>
        <v/>
      </c>
      <c r="B200" s="19">
        <f>IF(事例清單!B200="","",事例清單!B200)</f>
        <v/>
      </c>
      <c r="C200" s="19">
        <f>IF(事例清單!C200="","",事例清單!C200)</f>
        <v/>
      </c>
      <c r="D200" s="19">
        <f>IF(事例清單!D200="","",事例清單!D200)</f>
        <v/>
      </c>
      <c r="E200" s="20" t="n"/>
    </row>
    <row r="201">
      <c r="A201" s="19">
        <f>IF(事例清單!A201="","",事例清單!A201)</f>
        <v/>
      </c>
      <c r="B201" s="19">
        <f>IF(事例清單!B201="","",事例清單!B201)</f>
        <v/>
      </c>
      <c r="C201" s="19">
        <f>IF(事例清單!C201="","",事例清單!C201)</f>
        <v/>
      </c>
      <c r="D201" s="19">
        <f>IF(事例清單!D201="","",事例清單!D201)</f>
        <v/>
      </c>
      <c r="E201" s="20" t="n"/>
    </row>
    <row r="202">
      <c r="A202" s="19">
        <f>IF(事例清單!A202="","",事例清單!A202)</f>
        <v/>
      </c>
      <c r="B202" s="19">
        <f>IF(事例清單!B202="","",事例清單!B202)</f>
        <v/>
      </c>
      <c r="C202" s="19">
        <f>IF(事例清單!C202="","",事例清單!C202)</f>
        <v/>
      </c>
      <c r="D202" s="19">
        <f>IF(事例清單!D202="","",事例清單!D202)</f>
        <v/>
      </c>
      <c r="E202" s="20" t="n"/>
    </row>
    <row r="203">
      <c r="A203" s="19">
        <f>IF(事例清單!A203="","",事例清單!A203)</f>
        <v/>
      </c>
      <c r="B203" s="19">
        <f>IF(事例清單!B203="","",事例清單!B203)</f>
        <v/>
      </c>
      <c r="C203" s="19">
        <f>IF(事例清單!C203="","",事例清單!C203)</f>
        <v/>
      </c>
      <c r="D203" s="19">
        <f>IF(事例清單!D203="","",事例清單!D203)</f>
        <v/>
      </c>
      <c r="E203" s="20" t="n"/>
    </row>
    <row r="204">
      <c r="A204" s="19">
        <f>IF(事例清單!A204="","",事例清單!A204)</f>
        <v/>
      </c>
      <c r="B204" s="19">
        <f>IF(事例清單!B204="","",事例清單!B204)</f>
        <v/>
      </c>
      <c r="C204" s="19">
        <f>IF(事例清單!C204="","",事例清單!C204)</f>
        <v/>
      </c>
      <c r="D204" s="19">
        <f>IF(事例清單!D204="","",事例清單!D204)</f>
        <v/>
      </c>
      <c r="E204" s="20" t="n"/>
    </row>
    <row r="205">
      <c r="A205" s="19">
        <f>IF(事例清單!A205="","",事例清單!A205)</f>
        <v/>
      </c>
      <c r="B205" s="19">
        <f>IF(事例清單!B205="","",事例清單!B205)</f>
        <v/>
      </c>
      <c r="C205" s="19">
        <f>IF(事例清單!C205="","",事例清單!C205)</f>
        <v/>
      </c>
      <c r="D205" s="19">
        <f>IF(事例清單!D205="","",事例清單!D205)</f>
        <v/>
      </c>
      <c r="E205" s="20" t="n"/>
    </row>
    <row r="206">
      <c r="A206" s="19">
        <f>IF(事例清單!A206="","",事例清單!A206)</f>
        <v/>
      </c>
      <c r="B206" s="19">
        <f>IF(事例清單!B206="","",事例清單!B206)</f>
        <v/>
      </c>
      <c r="C206" s="19">
        <f>IF(事例清單!C206="","",事例清單!C206)</f>
        <v/>
      </c>
      <c r="D206" s="19">
        <f>IF(事例清單!D206="","",事例清單!D206)</f>
        <v/>
      </c>
      <c r="E206" s="20" t="n"/>
    </row>
    <row r="207">
      <c r="A207" s="19">
        <f>IF(事例清單!A207="","",事例清單!A207)</f>
        <v/>
      </c>
      <c r="B207" s="19">
        <f>IF(事例清單!B207="","",事例清單!B207)</f>
        <v/>
      </c>
      <c r="C207" s="19">
        <f>IF(事例清單!C207="","",事例清單!C207)</f>
        <v/>
      </c>
      <c r="D207" s="19">
        <f>IF(事例清單!D207="","",事例清單!D207)</f>
        <v/>
      </c>
      <c r="E207" s="20" t="n"/>
    </row>
    <row r="208">
      <c r="A208" s="19">
        <f>IF(事例清單!A208="","",事例清單!A208)</f>
        <v/>
      </c>
      <c r="B208" s="19">
        <f>IF(事例清單!B208="","",事例清單!B208)</f>
        <v/>
      </c>
      <c r="C208" s="19">
        <f>IF(事例清單!C208="","",事例清單!C208)</f>
        <v/>
      </c>
      <c r="D208" s="19">
        <f>IF(事例清單!D208="","",事例清單!D208)</f>
        <v/>
      </c>
      <c r="E208" s="20" t="n"/>
    </row>
    <row r="209">
      <c r="A209" s="19">
        <f>IF(事例清單!A209="","",事例清單!A209)</f>
        <v/>
      </c>
      <c r="B209" s="19">
        <f>IF(事例清單!B209="","",事例清單!B209)</f>
        <v/>
      </c>
      <c r="C209" s="19">
        <f>IF(事例清單!C209="","",事例清單!C209)</f>
        <v/>
      </c>
      <c r="D209" s="19">
        <f>IF(事例清單!D209="","",事例清單!D209)</f>
        <v/>
      </c>
      <c r="E209" s="20" t="n"/>
    </row>
    <row r="210">
      <c r="A210" s="19">
        <f>IF(事例清單!A210="","",事例清單!A210)</f>
        <v/>
      </c>
      <c r="B210" s="19">
        <f>IF(事例清單!B210="","",事例清單!B210)</f>
        <v/>
      </c>
      <c r="C210" s="19">
        <f>IF(事例清單!C210="","",事例清單!C210)</f>
        <v/>
      </c>
      <c r="D210" s="19">
        <f>IF(事例清單!D210="","",事例清單!D210)</f>
        <v/>
      </c>
      <c r="E210" s="20" t="n"/>
    </row>
    <row r="211">
      <c r="A211" s="19">
        <f>IF(事例清單!A211="","",事例清單!A211)</f>
        <v/>
      </c>
      <c r="B211" s="19">
        <f>IF(事例清單!B211="","",事例清單!B211)</f>
        <v/>
      </c>
      <c r="C211" s="19">
        <f>IF(事例清單!C211="","",事例清單!C211)</f>
        <v/>
      </c>
      <c r="D211" s="19">
        <f>IF(事例清單!D211="","",事例清單!D211)</f>
        <v/>
      </c>
      <c r="E211" s="20" t="n"/>
    </row>
    <row r="212">
      <c r="A212" s="19">
        <f>IF(事例清單!A212="","",事例清單!A212)</f>
        <v/>
      </c>
      <c r="B212" s="19">
        <f>IF(事例清單!B212="","",事例清單!B212)</f>
        <v/>
      </c>
      <c r="C212" s="19">
        <f>IF(事例清單!C212="","",事例清單!C212)</f>
        <v/>
      </c>
      <c r="D212" s="19">
        <f>IF(事例清單!D212="","",事例清單!D212)</f>
        <v/>
      </c>
      <c r="E212" s="20" t="n"/>
    </row>
    <row r="213">
      <c r="A213" s="19">
        <f>IF(事例清單!A213="","",事例清單!A213)</f>
        <v/>
      </c>
      <c r="B213" s="19">
        <f>IF(事例清單!B213="","",事例清單!B213)</f>
        <v/>
      </c>
      <c r="C213" s="19">
        <f>IF(事例清單!C213="","",事例清單!C213)</f>
        <v/>
      </c>
      <c r="D213" s="19">
        <f>IF(事例清單!D213="","",事例清單!D213)</f>
        <v/>
      </c>
      <c r="E213" s="20" t="n"/>
    </row>
    <row r="214">
      <c r="A214" s="19">
        <f>IF(事例清單!A214="","",事例清單!A214)</f>
        <v/>
      </c>
      <c r="B214" s="19">
        <f>IF(事例清單!B214="","",事例清單!B214)</f>
        <v/>
      </c>
      <c r="C214" s="19">
        <f>IF(事例清單!C214="","",事例清單!C214)</f>
        <v/>
      </c>
      <c r="D214" s="19">
        <f>IF(事例清單!D214="","",事例清單!D214)</f>
        <v/>
      </c>
      <c r="E214" s="20" t="n"/>
    </row>
    <row r="215">
      <c r="A215" s="19">
        <f>IF(事例清單!A215="","",事例清單!A215)</f>
        <v/>
      </c>
      <c r="B215" s="19">
        <f>IF(事例清單!B215="","",事例清單!B215)</f>
        <v/>
      </c>
      <c r="C215" s="19">
        <f>IF(事例清單!C215="","",事例清單!C215)</f>
        <v/>
      </c>
      <c r="D215" s="19">
        <f>IF(事例清單!D215="","",事例清單!D215)</f>
        <v/>
      </c>
      <c r="E215" s="20" t="n"/>
    </row>
    <row r="216">
      <c r="A216" s="19">
        <f>IF(事例清單!A216="","",事例清單!A216)</f>
        <v/>
      </c>
      <c r="B216" s="19">
        <f>IF(事例清單!B216="","",事例清單!B216)</f>
        <v/>
      </c>
      <c r="C216" s="19">
        <f>IF(事例清單!C216="","",事例清單!C216)</f>
        <v/>
      </c>
      <c r="D216" s="19">
        <f>IF(事例清單!D216="","",事例清單!D216)</f>
        <v/>
      </c>
      <c r="E216" s="20" t="n"/>
    </row>
    <row r="217">
      <c r="A217" s="19">
        <f>IF(事例清單!A217="","",事例清單!A217)</f>
        <v/>
      </c>
      <c r="B217" s="19">
        <f>IF(事例清單!B217="","",事例清單!B217)</f>
        <v/>
      </c>
      <c r="C217" s="19">
        <f>IF(事例清單!C217="","",事例清單!C217)</f>
        <v/>
      </c>
      <c r="D217" s="19">
        <f>IF(事例清單!D217="","",事例清單!D217)</f>
        <v/>
      </c>
      <c r="E217" s="20" t="n"/>
    </row>
    <row r="218">
      <c r="A218" s="19">
        <f>IF(事例清單!A218="","",事例清單!A218)</f>
        <v/>
      </c>
      <c r="B218" s="19">
        <f>IF(事例清單!B218="","",事例清單!B218)</f>
        <v/>
      </c>
      <c r="C218" s="19">
        <f>IF(事例清單!C218="","",事例清單!C218)</f>
        <v/>
      </c>
      <c r="D218" s="19">
        <f>IF(事例清單!D218="","",事例清單!D218)</f>
        <v/>
      </c>
      <c r="E218" s="20" t="n"/>
    </row>
    <row r="219">
      <c r="A219" s="19">
        <f>IF(事例清單!A219="","",事例清單!A219)</f>
        <v/>
      </c>
      <c r="B219" s="19">
        <f>IF(事例清單!B219="","",事例清單!B219)</f>
        <v/>
      </c>
      <c r="C219" s="19">
        <f>IF(事例清單!C219="","",事例清單!C219)</f>
        <v/>
      </c>
      <c r="D219" s="19">
        <f>IF(事例清單!D219="","",事例清單!D219)</f>
        <v/>
      </c>
      <c r="E219" s="20" t="n"/>
    </row>
    <row r="220">
      <c r="A220" s="19">
        <f>IF(事例清單!A220="","",事例清單!A220)</f>
        <v/>
      </c>
      <c r="B220" s="19">
        <f>IF(事例清單!B220="","",事例清單!B220)</f>
        <v/>
      </c>
      <c r="C220" s="19">
        <f>IF(事例清單!C220="","",事例清單!C220)</f>
        <v/>
      </c>
      <c r="D220" s="19">
        <f>IF(事例清單!D220="","",事例清單!D220)</f>
        <v/>
      </c>
      <c r="E220" s="20" t="n"/>
    </row>
    <row r="221">
      <c r="A221" s="19">
        <f>IF(事例清單!A221="","",事例清單!A221)</f>
        <v/>
      </c>
      <c r="B221" s="19">
        <f>IF(事例清單!B221="","",事例清單!B221)</f>
        <v/>
      </c>
      <c r="C221" s="19">
        <f>IF(事例清單!C221="","",事例清單!C221)</f>
        <v/>
      </c>
      <c r="D221" s="19">
        <f>IF(事例清單!D221="","",事例清單!D221)</f>
        <v/>
      </c>
      <c r="E221" s="20" t="n"/>
    </row>
    <row r="222">
      <c r="A222" s="19">
        <f>IF(事例清單!A222="","",事例清單!A222)</f>
        <v/>
      </c>
      <c r="B222" s="19">
        <f>IF(事例清單!B222="","",事例清單!B222)</f>
        <v/>
      </c>
      <c r="C222" s="19">
        <f>IF(事例清單!C222="","",事例清單!C222)</f>
        <v/>
      </c>
      <c r="D222" s="19">
        <f>IF(事例清單!D222="","",事例清單!D222)</f>
        <v/>
      </c>
      <c r="E222" s="20" t="n"/>
    </row>
    <row r="223">
      <c r="A223" s="19">
        <f>IF(事例清單!A223="","",事例清單!A223)</f>
        <v/>
      </c>
      <c r="B223" s="19">
        <f>IF(事例清單!B223="","",事例清單!B223)</f>
        <v/>
      </c>
      <c r="C223" s="19">
        <f>IF(事例清單!C223="","",事例清單!C223)</f>
        <v/>
      </c>
      <c r="D223" s="19">
        <f>IF(事例清單!D223="","",事例清單!D223)</f>
        <v/>
      </c>
      <c r="E223" s="20" t="n"/>
    </row>
    <row r="224">
      <c r="A224" s="19">
        <f>IF(事例清單!A224="","",事例清單!A224)</f>
        <v/>
      </c>
      <c r="B224" s="19">
        <f>IF(事例清單!B224="","",事例清單!B224)</f>
        <v/>
      </c>
      <c r="C224" s="19">
        <f>IF(事例清單!C224="","",事例清單!C224)</f>
        <v/>
      </c>
      <c r="D224" s="19">
        <f>IF(事例清單!D224="","",事例清單!D224)</f>
        <v/>
      </c>
      <c r="E224" s="20" t="n"/>
    </row>
    <row r="225">
      <c r="A225" s="19">
        <f>IF(事例清單!A225="","",事例清單!A225)</f>
        <v/>
      </c>
      <c r="B225" s="19">
        <f>IF(事例清單!B225="","",事例清單!B225)</f>
        <v/>
      </c>
      <c r="C225" s="19">
        <f>IF(事例清單!C225="","",事例清單!C225)</f>
        <v/>
      </c>
      <c r="D225" s="19">
        <f>IF(事例清單!D225="","",事例清單!D225)</f>
        <v/>
      </c>
      <c r="E225" s="20" t="n"/>
    </row>
    <row r="226">
      <c r="A226" s="19">
        <f>IF(事例清單!A226="","",事例清單!A226)</f>
        <v/>
      </c>
      <c r="B226" s="19">
        <f>IF(事例清單!B226="","",事例清單!B226)</f>
        <v/>
      </c>
      <c r="C226" s="19">
        <f>IF(事例清單!C226="","",事例清單!C226)</f>
        <v/>
      </c>
      <c r="D226" s="19">
        <f>IF(事例清單!D226="","",事例清單!D226)</f>
        <v/>
      </c>
      <c r="E226" s="20" t="n"/>
    </row>
    <row r="227">
      <c r="A227" s="19">
        <f>IF(事例清單!A227="","",事例清單!A227)</f>
        <v/>
      </c>
      <c r="B227" s="19">
        <f>IF(事例清單!B227="","",事例清單!B227)</f>
        <v/>
      </c>
      <c r="C227" s="19">
        <f>IF(事例清單!C227="","",事例清單!C227)</f>
        <v/>
      </c>
      <c r="D227" s="19">
        <f>IF(事例清單!D227="","",事例清單!D227)</f>
        <v/>
      </c>
      <c r="E227" s="20" t="n"/>
    </row>
    <row r="228">
      <c r="A228" s="19">
        <f>IF(事例清單!A228="","",事例清單!A228)</f>
        <v/>
      </c>
      <c r="B228" s="19">
        <f>IF(事例清單!B228="","",事例清單!B228)</f>
        <v/>
      </c>
      <c r="C228" s="19">
        <f>IF(事例清單!C228="","",事例清單!C228)</f>
        <v/>
      </c>
      <c r="D228" s="19">
        <f>IF(事例清單!D228="","",事例清單!D228)</f>
        <v/>
      </c>
      <c r="E228" s="20" t="n"/>
    </row>
    <row r="229">
      <c r="A229" s="19">
        <f>IF(事例清單!A229="","",事例清單!A229)</f>
        <v/>
      </c>
      <c r="B229" s="19">
        <f>IF(事例清單!B229="","",事例清單!B229)</f>
        <v/>
      </c>
      <c r="C229" s="19">
        <f>IF(事例清單!C229="","",事例清單!C229)</f>
        <v/>
      </c>
      <c r="D229" s="19">
        <f>IF(事例清單!D229="","",事例清單!D229)</f>
        <v/>
      </c>
      <c r="E229" s="20" t="n"/>
    </row>
    <row r="230">
      <c r="A230" s="19">
        <f>IF(事例清單!A230="","",事例清單!A230)</f>
        <v/>
      </c>
      <c r="B230" s="19">
        <f>IF(事例清單!B230="","",事例清單!B230)</f>
        <v/>
      </c>
      <c r="C230" s="19">
        <f>IF(事例清單!C230="","",事例清單!C230)</f>
        <v/>
      </c>
      <c r="D230" s="19">
        <f>IF(事例清單!D230="","",事例清單!D230)</f>
        <v/>
      </c>
      <c r="E230" s="20" t="n"/>
    </row>
    <row r="231">
      <c r="A231" s="19">
        <f>IF(事例清單!A231="","",事例清單!A231)</f>
        <v/>
      </c>
      <c r="B231" s="19">
        <f>IF(事例清單!B231="","",事例清單!B231)</f>
        <v/>
      </c>
      <c r="C231" s="19">
        <f>IF(事例清單!C231="","",事例清單!C231)</f>
        <v/>
      </c>
      <c r="D231" s="19">
        <f>IF(事例清單!D231="","",事例清單!D231)</f>
        <v/>
      </c>
      <c r="E231" s="20" t="n"/>
    </row>
    <row r="232">
      <c r="A232" s="19">
        <f>IF(事例清單!A232="","",事例清單!A232)</f>
        <v/>
      </c>
      <c r="B232" s="19">
        <f>IF(事例清單!B232="","",事例清單!B232)</f>
        <v/>
      </c>
      <c r="C232" s="19">
        <f>IF(事例清單!C232="","",事例清單!C232)</f>
        <v/>
      </c>
      <c r="D232" s="19">
        <f>IF(事例清單!D232="","",事例清單!D232)</f>
        <v/>
      </c>
      <c r="E232" s="20" t="n"/>
    </row>
    <row r="233">
      <c r="A233" s="19">
        <f>IF(事例清單!A233="","",事例清單!A233)</f>
        <v/>
      </c>
      <c r="B233" s="19">
        <f>IF(事例清單!B233="","",事例清單!B233)</f>
        <v/>
      </c>
      <c r="C233" s="19">
        <f>IF(事例清單!C233="","",事例清單!C233)</f>
        <v/>
      </c>
      <c r="D233" s="19">
        <f>IF(事例清單!D233="","",事例清單!D233)</f>
        <v/>
      </c>
      <c r="E233" s="20" t="n"/>
    </row>
    <row r="234">
      <c r="A234" s="19">
        <f>IF(事例清單!A234="","",事例清單!A234)</f>
        <v/>
      </c>
      <c r="B234" s="19">
        <f>IF(事例清單!B234="","",事例清單!B234)</f>
        <v/>
      </c>
      <c r="C234" s="19">
        <f>IF(事例清單!C234="","",事例清單!C234)</f>
        <v/>
      </c>
      <c r="D234" s="19">
        <f>IF(事例清單!D234="","",事例清單!D234)</f>
        <v/>
      </c>
      <c r="E234" s="20" t="n"/>
    </row>
    <row r="235">
      <c r="A235" s="19">
        <f>IF(事例清單!A235="","",事例清單!A235)</f>
        <v/>
      </c>
      <c r="B235" s="19">
        <f>IF(事例清單!B235="","",事例清單!B235)</f>
        <v/>
      </c>
      <c r="C235" s="19">
        <f>IF(事例清單!C235="","",事例清單!C235)</f>
        <v/>
      </c>
      <c r="D235" s="19">
        <f>IF(事例清單!D235="","",事例清單!D235)</f>
        <v/>
      </c>
      <c r="E235" s="20" t="n"/>
    </row>
    <row r="236">
      <c r="A236" s="19">
        <f>IF(事例清單!A236="","",事例清單!A236)</f>
        <v/>
      </c>
      <c r="B236" s="19">
        <f>IF(事例清單!B236="","",事例清單!B236)</f>
        <v/>
      </c>
      <c r="C236" s="19">
        <f>IF(事例清單!C236="","",事例清單!C236)</f>
        <v/>
      </c>
      <c r="D236" s="19">
        <f>IF(事例清單!D236="","",事例清單!D236)</f>
        <v/>
      </c>
      <c r="E236" s="20" t="n"/>
    </row>
    <row r="237">
      <c r="A237" s="19">
        <f>IF(事例清單!A237="","",事例清單!A237)</f>
        <v/>
      </c>
      <c r="B237" s="19">
        <f>IF(事例清單!B237="","",事例清單!B237)</f>
        <v/>
      </c>
      <c r="C237" s="19">
        <f>IF(事例清單!C237="","",事例清單!C237)</f>
        <v/>
      </c>
      <c r="D237" s="19">
        <f>IF(事例清單!D237="","",事例清單!D237)</f>
        <v/>
      </c>
      <c r="E237" s="20" t="n"/>
    </row>
    <row r="238">
      <c r="A238" s="19">
        <f>IF(事例清單!A238="","",事例清單!A238)</f>
        <v/>
      </c>
      <c r="B238" s="19">
        <f>IF(事例清單!B238="","",事例清單!B238)</f>
        <v/>
      </c>
      <c r="C238" s="19">
        <f>IF(事例清單!C238="","",事例清單!C238)</f>
        <v/>
      </c>
      <c r="D238" s="19">
        <f>IF(事例清單!D238="","",事例清單!D238)</f>
        <v/>
      </c>
      <c r="E238" s="20" t="n"/>
    </row>
    <row r="239">
      <c r="A239" s="19">
        <f>IF(事例清單!A239="","",事例清單!A239)</f>
        <v/>
      </c>
      <c r="B239" s="19">
        <f>IF(事例清單!B239="","",事例清單!B239)</f>
        <v/>
      </c>
      <c r="C239" s="19">
        <f>IF(事例清單!C239="","",事例清單!C239)</f>
        <v/>
      </c>
      <c r="D239" s="19">
        <f>IF(事例清單!D239="","",事例清單!D239)</f>
        <v/>
      </c>
      <c r="E239" s="20" t="n"/>
    </row>
    <row r="240">
      <c r="A240" s="19">
        <f>IF(事例清單!A240="","",事例清單!A240)</f>
        <v/>
      </c>
      <c r="B240" s="19">
        <f>IF(事例清單!B240="","",事例清單!B240)</f>
        <v/>
      </c>
      <c r="C240" s="19">
        <f>IF(事例清單!C240="","",事例清單!C240)</f>
        <v/>
      </c>
      <c r="D240" s="19">
        <f>IF(事例清單!D240="","",事例清單!D240)</f>
        <v/>
      </c>
      <c r="E240" s="20" t="n"/>
    </row>
    <row r="241">
      <c r="A241" s="19">
        <f>IF(事例清單!A241="","",事例清單!A241)</f>
        <v/>
      </c>
      <c r="B241" s="19">
        <f>IF(事例清單!B241="","",事例清單!B241)</f>
        <v/>
      </c>
      <c r="C241" s="19">
        <f>IF(事例清單!C241="","",事例清單!C241)</f>
        <v/>
      </c>
      <c r="D241" s="19">
        <f>IF(事例清單!D241="","",事例清單!D241)</f>
        <v/>
      </c>
      <c r="E241" s="20" t="n"/>
    </row>
    <row r="242">
      <c r="A242" s="19">
        <f>IF(事例清單!A242="","",事例清單!A242)</f>
        <v/>
      </c>
      <c r="B242" s="19">
        <f>IF(事例清單!B242="","",事例清單!B242)</f>
        <v/>
      </c>
      <c r="C242" s="19">
        <f>IF(事例清單!C242="","",事例清單!C242)</f>
        <v/>
      </c>
      <c r="D242" s="19">
        <f>IF(事例清單!D242="","",事例清單!D242)</f>
        <v/>
      </c>
      <c r="E242" s="20" t="n"/>
    </row>
    <row r="243">
      <c r="A243" s="19">
        <f>IF(事例清單!A243="","",事例清單!A243)</f>
        <v/>
      </c>
      <c r="B243" s="19">
        <f>IF(事例清單!B243="","",事例清單!B243)</f>
        <v/>
      </c>
      <c r="C243" s="19">
        <f>IF(事例清單!C243="","",事例清單!C243)</f>
        <v/>
      </c>
      <c r="D243" s="19">
        <f>IF(事例清單!D243="","",事例清單!D243)</f>
        <v/>
      </c>
      <c r="E243" s="20" t="n"/>
    </row>
    <row r="244">
      <c r="A244" s="19">
        <f>IF(事例清單!A244="","",事例清單!A244)</f>
        <v/>
      </c>
      <c r="B244" s="19">
        <f>IF(事例清單!B244="","",事例清單!B244)</f>
        <v/>
      </c>
      <c r="C244" s="19">
        <f>IF(事例清單!C244="","",事例清單!C244)</f>
        <v/>
      </c>
      <c r="D244" s="19">
        <f>IF(事例清單!D244="","",事例清單!D244)</f>
        <v/>
      </c>
      <c r="E244" s="20" t="n"/>
    </row>
    <row r="245">
      <c r="A245" s="19">
        <f>IF(事例清單!A245="","",事例清單!A245)</f>
        <v/>
      </c>
      <c r="B245" s="19">
        <f>IF(事例清單!B245="","",事例清單!B245)</f>
        <v/>
      </c>
      <c r="C245" s="19">
        <f>IF(事例清單!C245="","",事例清單!C245)</f>
        <v/>
      </c>
      <c r="D245" s="19">
        <f>IF(事例清單!D245="","",事例清單!D245)</f>
        <v/>
      </c>
      <c r="E245" s="20" t="n"/>
    </row>
    <row r="246">
      <c r="A246" s="19">
        <f>IF(事例清單!A246="","",事例清單!A246)</f>
        <v/>
      </c>
      <c r="B246" s="19">
        <f>IF(事例清單!B246="","",事例清單!B246)</f>
        <v/>
      </c>
      <c r="C246" s="19">
        <f>IF(事例清單!C246="","",事例清單!C246)</f>
        <v/>
      </c>
      <c r="D246" s="19">
        <f>IF(事例清單!D246="","",事例清單!D246)</f>
        <v/>
      </c>
      <c r="E246" s="20" t="n"/>
    </row>
    <row r="247">
      <c r="A247" s="19">
        <f>IF(事例清單!A247="","",事例清單!A247)</f>
        <v/>
      </c>
      <c r="B247" s="19">
        <f>IF(事例清單!B247="","",事例清單!B247)</f>
        <v/>
      </c>
      <c r="C247" s="19">
        <f>IF(事例清單!C247="","",事例清單!C247)</f>
        <v/>
      </c>
      <c r="D247" s="19">
        <f>IF(事例清單!D247="","",事例清單!D247)</f>
        <v/>
      </c>
      <c r="E247" s="20" t="n"/>
    </row>
    <row r="248">
      <c r="A248" s="19">
        <f>IF(事例清單!A248="","",事例清單!A248)</f>
        <v/>
      </c>
      <c r="B248" s="19">
        <f>IF(事例清單!B248="","",事例清單!B248)</f>
        <v/>
      </c>
      <c r="C248" s="19">
        <f>IF(事例清單!C248="","",事例清單!C248)</f>
        <v/>
      </c>
      <c r="D248" s="19">
        <f>IF(事例清單!D248="","",事例清單!D248)</f>
        <v/>
      </c>
      <c r="E248" s="20" t="n"/>
    </row>
    <row r="249">
      <c r="A249" s="19">
        <f>IF(事例清單!A249="","",事例清單!A249)</f>
        <v/>
      </c>
      <c r="B249" s="19">
        <f>IF(事例清單!B249="","",事例清單!B249)</f>
        <v/>
      </c>
      <c r="C249" s="19">
        <f>IF(事例清單!C249="","",事例清單!C249)</f>
        <v/>
      </c>
      <c r="D249" s="19">
        <f>IF(事例清單!D249="","",事例清單!D249)</f>
        <v/>
      </c>
      <c r="E249" s="20" t="n"/>
    </row>
    <row r="250">
      <c r="A250" s="19">
        <f>IF(事例清單!A250="","",事例清單!A250)</f>
        <v/>
      </c>
      <c r="B250" s="19">
        <f>IF(事例清單!B250="","",事例清單!B250)</f>
        <v/>
      </c>
      <c r="C250" s="19">
        <f>IF(事例清單!C250="","",事例清單!C250)</f>
        <v/>
      </c>
      <c r="D250" s="19">
        <f>IF(事例清單!D250="","",事例清單!D250)</f>
        <v/>
      </c>
      <c r="E250" s="20" t="n"/>
    </row>
    <row r="251">
      <c r="A251" s="19">
        <f>IF(事例清單!A251="","",事例清單!A251)</f>
        <v/>
      </c>
      <c r="B251" s="19">
        <f>IF(事例清單!B251="","",事例清單!B251)</f>
        <v/>
      </c>
      <c r="C251" s="19">
        <f>IF(事例清單!C251="","",事例清單!C251)</f>
        <v/>
      </c>
      <c r="D251" s="19">
        <f>IF(事例清單!D251="","",事例清單!D251)</f>
        <v/>
      </c>
      <c r="E251" s="20" t="n"/>
    </row>
    <row r="252">
      <c r="A252" s="19">
        <f>IF(事例清單!A252="","",事例清單!A252)</f>
        <v/>
      </c>
      <c r="B252" s="19">
        <f>IF(事例清單!B252="","",事例清單!B252)</f>
        <v/>
      </c>
      <c r="C252" s="19">
        <f>IF(事例清單!C252="","",事例清單!C252)</f>
        <v/>
      </c>
      <c r="D252" s="19">
        <f>IF(事例清單!D252="","",事例清單!D252)</f>
        <v/>
      </c>
      <c r="E252" s="20" t="n"/>
    </row>
    <row r="253">
      <c r="A253" s="19">
        <f>IF(事例清單!A253="","",事例清單!A253)</f>
        <v/>
      </c>
      <c r="B253" s="19">
        <f>IF(事例清單!B253="","",事例清單!B253)</f>
        <v/>
      </c>
      <c r="C253" s="19">
        <f>IF(事例清單!C253="","",事例清單!C253)</f>
        <v/>
      </c>
      <c r="D253" s="19">
        <f>IF(事例清單!D253="","",事例清單!D253)</f>
        <v/>
      </c>
      <c r="E253" s="20" t="n"/>
    </row>
    <row r="254">
      <c r="A254" s="19">
        <f>IF(事例清單!A254="","",事例清單!A254)</f>
        <v/>
      </c>
      <c r="B254" s="19">
        <f>IF(事例清單!B254="","",事例清單!B254)</f>
        <v/>
      </c>
      <c r="C254" s="19">
        <f>IF(事例清單!C254="","",事例清單!C254)</f>
        <v/>
      </c>
      <c r="D254" s="19">
        <f>IF(事例清單!D254="","",事例清單!D254)</f>
        <v/>
      </c>
      <c r="E254" s="20" t="n"/>
    </row>
    <row r="255">
      <c r="A255" s="19">
        <f>IF(事例清單!A255="","",事例清單!A255)</f>
        <v/>
      </c>
      <c r="B255" s="19">
        <f>IF(事例清單!B255="","",事例清單!B255)</f>
        <v/>
      </c>
      <c r="C255" s="19">
        <f>IF(事例清單!C255="","",事例清單!C255)</f>
        <v/>
      </c>
      <c r="D255" s="19">
        <f>IF(事例清單!D255="","",事例清單!D255)</f>
        <v/>
      </c>
      <c r="E255" s="20" t="n"/>
    </row>
    <row r="256">
      <c r="A256" s="19">
        <f>IF(事例清單!A256="","",事例清單!A256)</f>
        <v/>
      </c>
      <c r="B256" s="19">
        <f>IF(事例清單!B256="","",事例清單!B256)</f>
        <v/>
      </c>
      <c r="C256" s="19">
        <f>IF(事例清單!C256="","",事例清單!C256)</f>
        <v/>
      </c>
      <c r="D256" s="19">
        <f>IF(事例清單!D256="","",事例清單!D256)</f>
        <v/>
      </c>
      <c r="E256" s="20" t="n"/>
    </row>
    <row r="257">
      <c r="A257" s="19">
        <f>IF(事例清單!A257="","",事例清單!A257)</f>
        <v/>
      </c>
      <c r="B257" s="19">
        <f>IF(事例清單!B257="","",事例清單!B257)</f>
        <v/>
      </c>
      <c r="C257" s="19">
        <f>IF(事例清單!C257="","",事例清單!C257)</f>
        <v/>
      </c>
      <c r="D257" s="19">
        <f>IF(事例清單!D257="","",事例清單!D257)</f>
        <v/>
      </c>
      <c r="E257" s="20" t="n"/>
    </row>
    <row r="258">
      <c r="A258" s="19">
        <f>IF(事例清單!A258="","",事例清單!A258)</f>
        <v/>
      </c>
      <c r="B258" s="19">
        <f>IF(事例清單!B258="","",事例清單!B258)</f>
        <v/>
      </c>
      <c r="C258" s="19">
        <f>IF(事例清單!C258="","",事例清單!C258)</f>
        <v/>
      </c>
      <c r="D258" s="19">
        <f>IF(事例清單!D258="","",事例清單!D258)</f>
        <v/>
      </c>
      <c r="E258" s="20" t="n"/>
    </row>
    <row r="259">
      <c r="A259" s="19">
        <f>IF(事例清單!A259="","",事例清單!A259)</f>
        <v/>
      </c>
      <c r="B259" s="19">
        <f>IF(事例清單!B259="","",事例清單!B259)</f>
        <v/>
      </c>
      <c r="C259" s="19">
        <f>IF(事例清單!C259="","",事例清單!C259)</f>
        <v/>
      </c>
      <c r="D259" s="19">
        <f>IF(事例清單!D259="","",事例清單!D259)</f>
        <v/>
      </c>
      <c r="E259" s="20" t="n"/>
    </row>
    <row r="260">
      <c r="A260" s="19">
        <f>IF(事例清單!A260="","",事例清單!A260)</f>
        <v/>
      </c>
      <c r="B260" s="19">
        <f>IF(事例清單!B260="","",事例清單!B260)</f>
        <v/>
      </c>
      <c r="C260" s="19">
        <f>IF(事例清單!C260="","",事例清單!C260)</f>
        <v/>
      </c>
      <c r="D260" s="19">
        <f>IF(事例清單!D260="","",事例清單!D260)</f>
        <v/>
      </c>
      <c r="E260" s="20" t="n"/>
    </row>
    <row r="261">
      <c r="A261" s="19">
        <f>IF(事例清單!A261="","",事例清單!A261)</f>
        <v/>
      </c>
      <c r="B261" s="19">
        <f>IF(事例清單!B261="","",事例清單!B261)</f>
        <v/>
      </c>
      <c r="C261" s="19">
        <f>IF(事例清單!C261="","",事例清單!C261)</f>
        <v/>
      </c>
      <c r="D261" s="19">
        <f>IF(事例清單!D261="","",事例清單!D261)</f>
        <v/>
      </c>
      <c r="E261" s="20" t="n"/>
    </row>
    <row r="262">
      <c r="A262" s="19">
        <f>IF(事例清單!A262="","",事例清單!A262)</f>
        <v/>
      </c>
      <c r="B262" s="19">
        <f>IF(事例清單!B262="","",事例清單!B262)</f>
        <v/>
      </c>
      <c r="C262" s="19">
        <f>IF(事例清單!C262="","",事例清單!C262)</f>
        <v/>
      </c>
      <c r="D262" s="19">
        <f>IF(事例清單!D262="","",事例清單!D262)</f>
        <v/>
      </c>
      <c r="E262" s="20" t="n"/>
    </row>
    <row r="263">
      <c r="A263" s="19">
        <f>IF(事例清單!A263="","",事例清單!A263)</f>
        <v/>
      </c>
      <c r="B263" s="19">
        <f>IF(事例清單!B263="","",事例清單!B263)</f>
        <v/>
      </c>
      <c r="C263" s="19">
        <f>IF(事例清單!C263="","",事例清單!C263)</f>
        <v/>
      </c>
      <c r="D263" s="19">
        <f>IF(事例清單!D263="","",事例清單!D263)</f>
        <v/>
      </c>
      <c r="E263" s="20" t="n"/>
    </row>
    <row r="264">
      <c r="A264" s="19">
        <f>IF(事例清單!A264="","",事例清單!A264)</f>
        <v/>
      </c>
      <c r="B264" s="19">
        <f>IF(事例清單!B264="","",事例清單!B264)</f>
        <v/>
      </c>
      <c r="C264" s="19">
        <f>IF(事例清單!C264="","",事例清單!C264)</f>
        <v/>
      </c>
      <c r="D264" s="19">
        <f>IF(事例清單!D264="","",事例清單!D264)</f>
        <v/>
      </c>
      <c r="E264" s="20" t="n"/>
    </row>
    <row r="265">
      <c r="A265" s="19">
        <f>IF(事例清單!A265="","",事例清單!A265)</f>
        <v/>
      </c>
      <c r="B265" s="19">
        <f>IF(事例清單!B265="","",事例清單!B265)</f>
        <v/>
      </c>
      <c r="C265" s="19">
        <f>IF(事例清單!C265="","",事例清單!C265)</f>
        <v/>
      </c>
      <c r="D265" s="19">
        <f>IF(事例清單!D265="","",事例清單!D265)</f>
        <v/>
      </c>
      <c r="E265" s="20" t="n"/>
    </row>
    <row r="266">
      <c r="A266" s="19">
        <f>IF(事例清單!A266="","",事例清單!A266)</f>
        <v/>
      </c>
      <c r="B266" s="19">
        <f>IF(事例清單!B266="","",事例清單!B266)</f>
        <v/>
      </c>
      <c r="C266" s="19">
        <f>IF(事例清單!C266="","",事例清單!C266)</f>
        <v/>
      </c>
      <c r="D266" s="19">
        <f>IF(事例清單!D266="","",事例清單!D266)</f>
        <v/>
      </c>
      <c r="E266" s="20" t="n"/>
    </row>
    <row r="267">
      <c r="A267" s="19">
        <f>IF(事例清單!A267="","",事例清單!A267)</f>
        <v/>
      </c>
      <c r="B267" s="19">
        <f>IF(事例清單!B267="","",事例清單!B267)</f>
        <v/>
      </c>
      <c r="C267" s="19">
        <f>IF(事例清單!C267="","",事例清單!C267)</f>
        <v/>
      </c>
      <c r="D267" s="19">
        <f>IF(事例清單!D267="","",事例清單!D267)</f>
        <v/>
      </c>
      <c r="E267" s="20" t="n"/>
    </row>
    <row r="268">
      <c r="A268" s="19">
        <f>IF(事例清單!A268="","",事例清單!A268)</f>
        <v/>
      </c>
      <c r="B268" s="19">
        <f>IF(事例清單!B268="","",事例清單!B268)</f>
        <v/>
      </c>
      <c r="C268" s="19">
        <f>IF(事例清單!C268="","",事例清單!C268)</f>
        <v/>
      </c>
      <c r="D268" s="19">
        <f>IF(事例清單!D268="","",事例清單!D268)</f>
        <v/>
      </c>
      <c r="E268" s="20" t="n"/>
    </row>
    <row r="269">
      <c r="A269" s="19">
        <f>IF(事例清單!A269="","",事例清單!A269)</f>
        <v/>
      </c>
      <c r="B269" s="19">
        <f>IF(事例清單!B269="","",事例清單!B269)</f>
        <v/>
      </c>
      <c r="C269" s="19">
        <f>IF(事例清單!C269="","",事例清單!C269)</f>
        <v/>
      </c>
      <c r="D269" s="19">
        <f>IF(事例清單!D269="","",事例清單!D269)</f>
        <v/>
      </c>
      <c r="E269" s="20" t="n"/>
    </row>
    <row r="270">
      <c r="A270" s="19">
        <f>IF(事例清單!A270="","",事例清單!A270)</f>
        <v/>
      </c>
      <c r="B270" s="19">
        <f>IF(事例清單!B270="","",事例清單!B270)</f>
        <v/>
      </c>
      <c r="C270" s="19">
        <f>IF(事例清單!C270="","",事例清單!C270)</f>
        <v/>
      </c>
      <c r="D270" s="19">
        <f>IF(事例清單!D270="","",事例清單!D270)</f>
        <v/>
      </c>
      <c r="E270" s="20" t="n"/>
    </row>
    <row r="271">
      <c r="A271" s="19">
        <f>IF(事例清單!A271="","",事例清單!A271)</f>
        <v/>
      </c>
      <c r="B271" s="19">
        <f>IF(事例清單!B271="","",事例清單!B271)</f>
        <v/>
      </c>
      <c r="C271" s="19">
        <f>IF(事例清單!C271="","",事例清單!C271)</f>
        <v/>
      </c>
      <c r="D271" s="19">
        <f>IF(事例清單!D271="","",事例清單!D271)</f>
        <v/>
      </c>
      <c r="E271" s="20" t="n"/>
    </row>
    <row r="272">
      <c r="A272" s="19">
        <f>IF(事例清單!A272="","",事例清單!A272)</f>
        <v/>
      </c>
      <c r="B272" s="19">
        <f>IF(事例清單!B272="","",事例清單!B272)</f>
        <v/>
      </c>
      <c r="C272" s="19">
        <f>IF(事例清單!C272="","",事例清單!C272)</f>
        <v/>
      </c>
      <c r="D272" s="19">
        <f>IF(事例清單!D272="","",事例清單!D272)</f>
        <v/>
      </c>
      <c r="E272" s="20" t="n"/>
    </row>
    <row r="273">
      <c r="A273" s="19">
        <f>IF(事例清單!A273="","",事例清單!A273)</f>
        <v/>
      </c>
      <c r="B273" s="19">
        <f>IF(事例清單!B273="","",事例清單!B273)</f>
        <v/>
      </c>
      <c r="C273" s="19">
        <f>IF(事例清單!C273="","",事例清單!C273)</f>
        <v/>
      </c>
      <c r="D273" s="19">
        <f>IF(事例清單!D273="","",事例清單!D273)</f>
        <v/>
      </c>
      <c r="E273" s="20" t="n"/>
    </row>
    <row r="274">
      <c r="A274" s="19">
        <f>IF(事例清單!A274="","",事例清單!A274)</f>
        <v/>
      </c>
      <c r="B274" s="19">
        <f>IF(事例清單!B274="","",事例清單!B274)</f>
        <v/>
      </c>
      <c r="C274" s="19">
        <f>IF(事例清單!C274="","",事例清單!C274)</f>
        <v/>
      </c>
      <c r="D274" s="19">
        <f>IF(事例清單!D274="","",事例清單!D274)</f>
        <v/>
      </c>
      <c r="E274" s="20" t="n"/>
    </row>
    <row r="275">
      <c r="A275" s="19">
        <f>IF(事例清單!A275="","",事例清單!A275)</f>
        <v/>
      </c>
      <c r="B275" s="19">
        <f>IF(事例清單!B275="","",事例清單!B275)</f>
        <v/>
      </c>
      <c r="C275" s="19">
        <f>IF(事例清單!C275="","",事例清單!C275)</f>
        <v/>
      </c>
      <c r="D275" s="19">
        <f>IF(事例清單!D275="","",事例清單!D275)</f>
        <v/>
      </c>
      <c r="E275" s="20" t="n"/>
    </row>
    <row r="276">
      <c r="A276" s="19">
        <f>IF(事例清單!A276="","",事例清單!A276)</f>
        <v/>
      </c>
      <c r="B276" s="19">
        <f>IF(事例清單!B276="","",事例清單!B276)</f>
        <v/>
      </c>
      <c r="C276" s="19">
        <f>IF(事例清單!C276="","",事例清單!C276)</f>
        <v/>
      </c>
      <c r="D276" s="19">
        <f>IF(事例清單!D276="","",事例清單!D276)</f>
        <v/>
      </c>
      <c r="E276" s="20" t="n"/>
    </row>
    <row r="277">
      <c r="A277" s="19">
        <f>IF(事例清單!A277="","",事例清單!A277)</f>
        <v/>
      </c>
      <c r="B277" s="19">
        <f>IF(事例清單!B277="","",事例清單!B277)</f>
        <v/>
      </c>
      <c r="C277" s="19">
        <f>IF(事例清單!C277="","",事例清單!C277)</f>
        <v/>
      </c>
      <c r="D277" s="19">
        <f>IF(事例清單!D277="","",事例清單!D277)</f>
        <v/>
      </c>
      <c r="E277" s="20" t="n"/>
    </row>
    <row r="278">
      <c r="A278" s="19">
        <f>IF(事例清單!A278="","",事例清單!A278)</f>
        <v/>
      </c>
      <c r="B278" s="19">
        <f>IF(事例清單!B278="","",事例清單!B278)</f>
        <v/>
      </c>
      <c r="C278" s="19">
        <f>IF(事例清單!C278="","",事例清單!C278)</f>
        <v/>
      </c>
      <c r="D278" s="19">
        <f>IF(事例清單!D278="","",事例清單!D278)</f>
        <v/>
      </c>
      <c r="E278" s="20" t="n"/>
    </row>
    <row r="279">
      <c r="A279" s="19">
        <f>IF(事例清單!A279="","",事例清單!A279)</f>
        <v/>
      </c>
      <c r="B279" s="19">
        <f>IF(事例清單!B279="","",事例清單!B279)</f>
        <v/>
      </c>
      <c r="C279" s="19">
        <f>IF(事例清單!C279="","",事例清單!C279)</f>
        <v/>
      </c>
      <c r="D279" s="19">
        <f>IF(事例清單!D279="","",事例清單!D279)</f>
        <v/>
      </c>
      <c r="E279" s="20" t="n"/>
    </row>
    <row r="280">
      <c r="A280" s="19">
        <f>IF(事例清單!A280="","",事例清單!A280)</f>
        <v/>
      </c>
      <c r="B280" s="19">
        <f>IF(事例清單!B280="","",事例清單!B280)</f>
        <v/>
      </c>
      <c r="C280" s="19">
        <f>IF(事例清單!C280="","",事例清單!C280)</f>
        <v/>
      </c>
      <c r="D280" s="19">
        <f>IF(事例清單!D280="","",事例清單!D280)</f>
        <v/>
      </c>
      <c r="E280" s="20" t="n"/>
    </row>
    <row r="281">
      <c r="A281" s="19">
        <f>IF(事例清單!A281="","",事例清單!A281)</f>
        <v/>
      </c>
      <c r="B281" s="19">
        <f>IF(事例清單!B281="","",事例清單!B281)</f>
        <v/>
      </c>
      <c r="C281" s="19">
        <f>IF(事例清單!C281="","",事例清單!C281)</f>
        <v/>
      </c>
      <c r="D281" s="19">
        <f>IF(事例清單!D281="","",事例清單!D281)</f>
        <v/>
      </c>
      <c r="E281" s="20" t="n"/>
    </row>
    <row r="282">
      <c r="A282" s="19">
        <f>IF(事例清單!A282="","",事例清單!A282)</f>
        <v/>
      </c>
      <c r="B282" s="19">
        <f>IF(事例清單!B282="","",事例清單!B282)</f>
        <v/>
      </c>
      <c r="C282" s="19">
        <f>IF(事例清單!C282="","",事例清單!C282)</f>
        <v/>
      </c>
      <c r="D282" s="19">
        <f>IF(事例清單!D282="","",事例清單!D282)</f>
        <v/>
      </c>
      <c r="E282" s="20" t="n"/>
    </row>
    <row r="283">
      <c r="A283" s="19">
        <f>IF(事例清單!A283="","",事例清單!A283)</f>
        <v/>
      </c>
      <c r="B283" s="19">
        <f>IF(事例清單!B283="","",事例清單!B283)</f>
        <v/>
      </c>
      <c r="C283" s="19">
        <f>IF(事例清單!C283="","",事例清單!C283)</f>
        <v/>
      </c>
      <c r="D283" s="19">
        <f>IF(事例清單!D283="","",事例清單!D283)</f>
        <v/>
      </c>
      <c r="E283" s="20" t="n"/>
    </row>
    <row r="284">
      <c r="A284" s="19">
        <f>IF(事例清單!A284="","",事例清單!A284)</f>
        <v/>
      </c>
      <c r="B284" s="19">
        <f>IF(事例清單!B284="","",事例清單!B284)</f>
        <v/>
      </c>
      <c r="C284" s="19">
        <f>IF(事例清單!C284="","",事例清單!C284)</f>
        <v/>
      </c>
      <c r="D284" s="19">
        <f>IF(事例清單!D284="","",事例清單!D284)</f>
        <v/>
      </c>
      <c r="E284" s="20" t="n"/>
    </row>
    <row r="285">
      <c r="A285" s="19">
        <f>IF(事例清單!A285="","",事例清單!A285)</f>
        <v/>
      </c>
      <c r="B285" s="19">
        <f>IF(事例清單!B285="","",事例清單!B285)</f>
        <v/>
      </c>
      <c r="C285" s="19">
        <f>IF(事例清單!C285="","",事例清單!C285)</f>
        <v/>
      </c>
      <c r="D285" s="19">
        <f>IF(事例清單!D285="","",事例清單!D285)</f>
        <v/>
      </c>
      <c r="E285" s="20" t="n"/>
    </row>
    <row r="286">
      <c r="A286" s="19">
        <f>IF(事例清單!A286="","",事例清單!A286)</f>
        <v/>
      </c>
      <c r="B286" s="19">
        <f>IF(事例清單!B286="","",事例清單!B286)</f>
        <v/>
      </c>
      <c r="C286" s="19">
        <f>IF(事例清單!C286="","",事例清單!C286)</f>
        <v/>
      </c>
      <c r="D286" s="19">
        <f>IF(事例清單!D286="","",事例清單!D286)</f>
        <v/>
      </c>
      <c r="E286" s="20" t="n"/>
    </row>
    <row r="287">
      <c r="A287" s="19">
        <f>IF(事例清單!A287="","",事例清單!A287)</f>
        <v/>
      </c>
      <c r="B287" s="19">
        <f>IF(事例清單!B287="","",事例清單!B287)</f>
        <v/>
      </c>
      <c r="C287" s="19">
        <f>IF(事例清單!C287="","",事例清單!C287)</f>
        <v/>
      </c>
      <c r="D287" s="19">
        <f>IF(事例清單!D287="","",事例清單!D287)</f>
        <v/>
      </c>
      <c r="E287" s="20" t="n"/>
    </row>
    <row r="288">
      <c r="A288" s="19">
        <f>IF(事例清單!A288="","",事例清單!A288)</f>
        <v/>
      </c>
      <c r="B288" s="19">
        <f>IF(事例清單!B288="","",事例清單!B288)</f>
        <v/>
      </c>
      <c r="C288" s="19">
        <f>IF(事例清單!C288="","",事例清單!C288)</f>
        <v/>
      </c>
      <c r="D288" s="19">
        <f>IF(事例清單!D288="","",事例清單!D288)</f>
        <v/>
      </c>
      <c r="E288" s="20" t="n"/>
    </row>
    <row r="289">
      <c r="A289" s="19">
        <f>IF(事例清單!A289="","",事例清單!A289)</f>
        <v/>
      </c>
      <c r="B289" s="19">
        <f>IF(事例清單!B289="","",事例清單!B289)</f>
        <v/>
      </c>
      <c r="C289" s="19">
        <f>IF(事例清單!C289="","",事例清單!C289)</f>
        <v/>
      </c>
      <c r="D289" s="19">
        <f>IF(事例清單!D289="","",事例清單!D289)</f>
        <v/>
      </c>
      <c r="E289" s="20" t="n"/>
    </row>
    <row r="290">
      <c r="A290" s="19">
        <f>IF(事例清單!A290="","",事例清單!A290)</f>
        <v/>
      </c>
      <c r="B290" s="19">
        <f>IF(事例清單!B290="","",事例清單!B290)</f>
        <v/>
      </c>
      <c r="C290" s="19">
        <f>IF(事例清單!C290="","",事例清單!C290)</f>
        <v/>
      </c>
      <c r="D290" s="19">
        <f>IF(事例清單!D290="","",事例清單!D290)</f>
        <v/>
      </c>
      <c r="E290" s="20" t="n"/>
    </row>
    <row r="291">
      <c r="A291" s="19">
        <f>IF(事例清單!A291="","",事例清單!A291)</f>
        <v/>
      </c>
      <c r="B291" s="19">
        <f>IF(事例清單!B291="","",事例清單!B291)</f>
        <v/>
      </c>
      <c r="C291" s="19">
        <f>IF(事例清單!C291="","",事例清單!C291)</f>
        <v/>
      </c>
      <c r="D291" s="19">
        <f>IF(事例清單!D291="","",事例清單!D291)</f>
        <v/>
      </c>
      <c r="E291" s="20" t="n"/>
    </row>
    <row r="292">
      <c r="A292" s="19">
        <f>IF(事例清單!A292="","",事例清單!A292)</f>
        <v/>
      </c>
      <c r="B292" s="19">
        <f>IF(事例清單!B292="","",事例清單!B292)</f>
        <v/>
      </c>
      <c r="C292" s="19">
        <f>IF(事例清單!C292="","",事例清單!C292)</f>
        <v/>
      </c>
      <c r="D292" s="19">
        <f>IF(事例清單!D292="","",事例清單!D292)</f>
        <v/>
      </c>
      <c r="E292" s="20" t="n"/>
    </row>
    <row r="293">
      <c r="A293" s="19">
        <f>IF(事例清單!A293="","",事例清單!A293)</f>
        <v/>
      </c>
      <c r="B293" s="19">
        <f>IF(事例清單!B293="","",事例清單!B293)</f>
        <v/>
      </c>
      <c r="C293" s="19">
        <f>IF(事例清單!C293="","",事例清單!C293)</f>
        <v/>
      </c>
      <c r="D293" s="19">
        <f>IF(事例清單!D293="","",事例清單!D293)</f>
        <v/>
      </c>
      <c r="E293" s="20" t="n"/>
    </row>
    <row r="294">
      <c r="A294" s="19">
        <f>IF(事例清單!A294="","",事例清單!A294)</f>
        <v/>
      </c>
      <c r="B294" s="19">
        <f>IF(事例清單!B294="","",事例清單!B294)</f>
        <v/>
      </c>
      <c r="C294" s="19">
        <f>IF(事例清單!C294="","",事例清單!C294)</f>
        <v/>
      </c>
      <c r="D294" s="19">
        <f>IF(事例清單!D294="","",事例清單!D294)</f>
        <v/>
      </c>
      <c r="E294" s="20" t="n"/>
    </row>
    <row r="295">
      <c r="A295" s="19">
        <f>IF(事例清單!A295="","",事例清單!A295)</f>
        <v/>
      </c>
      <c r="B295" s="19">
        <f>IF(事例清單!B295="","",事例清單!B295)</f>
        <v/>
      </c>
      <c r="C295" s="19">
        <f>IF(事例清單!C295="","",事例清單!C295)</f>
        <v/>
      </c>
      <c r="D295" s="19">
        <f>IF(事例清單!D295="","",事例清單!D295)</f>
        <v/>
      </c>
      <c r="E295" s="20" t="n"/>
    </row>
    <row r="296">
      <c r="A296" s="19">
        <f>IF(事例清單!A296="","",事例清單!A296)</f>
        <v/>
      </c>
      <c r="B296" s="19">
        <f>IF(事例清單!B296="","",事例清單!B296)</f>
        <v/>
      </c>
      <c r="C296" s="19">
        <f>IF(事例清單!C296="","",事例清單!C296)</f>
        <v/>
      </c>
      <c r="D296" s="19">
        <f>IF(事例清單!D296="","",事例清單!D296)</f>
        <v/>
      </c>
      <c r="E296" s="20" t="n"/>
    </row>
    <row r="297">
      <c r="A297" s="19">
        <f>IF(事例清單!A297="","",事例清單!A297)</f>
        <v/>
      </c>
      <c r="B297" s="19">
        <f>IF(事例清單!B297="","",事例清單!B297)</f>
        <v/>
      </c>
      <c r="C297" s="19">
        <f>IF(事例清單!C297="","",事例清單!C297)</f>
        <v/>
      </c>
      <c r="D297" s="19">
        <f>IF(事例清單!D297="","",事例清單!D297)</f>
        <v/>
      </c>
      <c r="E297" s="20" t="n"/>
    </row>
    <row r="298">
      <c r="A298" s="19">
        <f>IF(事例清單!A298="","",事例清單!A298)</f>
        <v/>
      </c>
      <c r="B298" s="19">
        <f>IF(事例清單!B298="","",事例清單!B298)</f>
        <v/>
      </c>
      <c r="C298" s="19">
        <f>IF(事例清單!C298="","",事例清單!C298)</f>
        <v/>
      </c>
      <c r="D298" s="19">
        <f>IF(事例清單!D298="","",事例清單!D298)</f>
        <v/>
      </c>
      <c r="E298" s="20" t="n"/>
    </row>
    <row r="299">
      <c r="A299" s="19">
        <f>IF(事例清單!A299="","",事例清單!A299)</f>
        <v/>
      </c>
      <c r="B299" s="19">
        <f>IF(事例清單!B299="","",事例清單!B299)</f>
        <v/>
      </c>
      <c r="C299" s="19">
        <f>IF(事例清單!C299="","",事例清單!C299)</f>
        <v/>
      </c>
      <c r="D299" s="19">
        <f>IF(事例清單!D299="","",事例清單!D299)</f>
        <v/>
      </c>
      <c r="E299" s="20" t="n"/>
    </row>
    <row r="300">
      <c r="A300" s="19">
        <f>IF(事例清單!A300="","",事例清單!A300)</f>
        <v/>
      </c>
      <c r="B300" s="19">
        <f>IF(事例清單!B300="","",事例清單!B300)</f>
        <v/>
      </c>
      <c r="C300" s="19">
        <f>IF(事例清單!C300="","",事例清單!C300)</f>
        <v/>
      </c>
      <c r="D300" s="19">
        <f>IF(事例清單!D300="","",事例清單!D300)</f>
        <v/>
      </c>
      <c r="E300" s="20" t="n"/>
    </row>
    <row r="301">
      <c r="A301" s="19">
        <f>IF(事例清單!A301="","",事例清單!A301)</f>
        <v/>
      </c>
      <c r="B301" s="19">
        <f>IF(事例清單!B301="","",事例清單!B301)</f>
        <v/>
      </c>
      <c r="C301" s="19">
        <f>IF(事例清單!C301="","",事例清單!C301)</f>
        <v/>
      </c>
      <c r="D301" s="19">
        <f>IF(事例清單!D301="","",事例清單!D301)</f>
        <v/>
      </c>
      <c r="E301" s="20" t="n"/>
    </row>
    <row r="302">
      <c r="A302" s="19">
        <f>IF(事例清單!A302="","",事例清單!A302)</f>
        <v/>
      </c>
      <c r="B302" s="19">
        <f>IF(事例清單!B302="","",事例清單!B302)</f>
        <v/>
      </c>
      <c r="C302" s="19">
        <f>IF(事例清單!C302="","",事例清單!C302)</f>
        <v/>
      </c>
      <c r="D302" s="19">
        <f>IF(事例清單!D302="","",事例清單!D302)</f>
        <v/>
      </c>
      <c r="E302" s="20" t="n"/>
    </row>
    <row r="303">
      <c r="A303" s="19">
        <f>IF(事例清單!A303="","",事例清單!A303)</f>
        <v/>
      </c>
      <c r="B303" s="19">
        <f>IF(事例清單!B303="","",事例清單!B303)</f>
        <v/>
      </c>
      <c r="C303" s="19">
        <f>IF(事例清單!C303="","",事例清單!C303)</f>
        <v/>
      </c>
      <c r="D303" s="19">
        <f>IF(事例清單!D303="","",事例清單!D303)</f>
        <v/>
      </c>
      <c r="E303" s="20" t="n"/>
    </row>
    <row r="304">
      <c r="A304" s="19">
        <f>IF(事例清單!A304="","",事例清單!A304)</f>
        <v/>
      </c>
      <c r="B304" s="19">
        <f>IF(事例清單!B304="","",事例清單!B304)</f>
        <v/>
      </c>
      <c r="C304" s="19">
        <f>IF(事例清單!C304="","",事例清單!C304)</f>
        <v/>
      </c>
      <c r="D304" s="19">
        <f>IF(事例清單!D304="","",事例清單!D304)</f>
        <v/>
      </c>
      <c r="E304" s="20" t="n"/>
    </row>
  </sheetData>
  <conditionalFormatting sqref="A5:E304">
    <cfRule type="expression" priority="1" dxfId="1">
      <formula>事例清單!$F5="否"</formula>
    </cfRule>
  </conditionalFormatting>
  <dataValidations count="1">
    <dataValidation sqref="E5:E304" showDropDown="0" showInputMessage="0" showErrorMessage="1" allowBlank="1" errorTitle="類別不在編碼簿中" error="請從下拉選單選擇；需要新類別時，先回編碼簿新增" type="list">
      <formula1>=編碼簿!$B$5:$B$15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hidden="1" width="13" customWidth="1" min="14" max="14"/>
    <col hidden="1" width="13" customWidth="1" min="15" max="15"/>
    <col hidden="1" width="13" customWidth="1" min="16" max="16"/>
  </cols>
  <sheetData>
    <row r="1">
      <c r="A1" s="11" t="inlineStr">
        <is>
          <t>交叉表與 Cohen’s κ（自動計算，請勿修改）</t>
        </is>
      </c>
    </row>
    <row r="2">
      <c r="A2" s="12" t="inlineStr">
        <is>
          <t>橫列是甲的分類，直欄是乙的分類；粉紅色對角線是兩人歸到同一類的事例數</t>
        </is>
      </c>
    </row>
    <row r="4">
      <c r="A4" s="21" t="inlineStr">
        <is>
          <t>甲 ＼ 乙</t>
        </is>
      </c>
      <c r="B4" s="21">
        <f>IF(編碼簿!$B$5="","",編碼簿!$B$5)</f>
        <v/>
      </c>
      <c r="C4" s="21">
        <f>IF(編碼簿!$B$6="","",編碼簿!$B$6)</f>
        <v/>
      </c>
      <c r="D4" s="21">
        <f>IF(編碼簿!$B$7="","",編碼簿!$B$7)</f>
        <v/>
      </c>
      <c r="E4" s="21">
        <f>IF(編碼簿!$B$8="","",編碼簿!$B$8)</f>
        <v/>
      </c>
      <c r="F4" s="21">
        <f>IF(編碼簿!$B$9="","",編碼簿!$B$9)</f>
        <v/>
      </c>
      <c r="G4" s="21">
        <f>IF(編碼簿!$B$10="","",編碼簿!$B$10)</f>
        <v/>
      </c>
      <c r="H4" s="21">
        <f>IF(編碼簿!$B$11="","",編碼簿!$B$11)</f>
        <v/>
      </c>
      <c r="I4" s="21">
        <f>IF(編碼簿!$B$12="","",編碼簿!$B$12)</f>
        <v/>
      </c>
      <c r="J4" s="21">
        <f>IF(編碼簿!$B$13="","",編碼簿!$B$13)</f>
        <v/>
      </c>
      <c r="K4" s="21">
        <f>IF(編碼簿!$B$14="","",編碼簿!$B$14)</f>
        <v/>
      </c>
      <c r="L4" s="21">
        <f>IF(編碼簿!$B$15="","",編碼簿!$B$15)</f>
        <v/>
      </c>
      <c r="M4" s="21" t="inlineStr">
        <is>
          <t>甲合計</t>
        </is>
      </c>
    </row>
    <row r="5">
      <c r="A5" s="21">
        <f>IF(編碼簿!$B$5="","",編碼簿!$B$5)</f>
        <v/>
      </c>
      <c r="B5" s="22">
        <f>IF(OR($A5="",B$4=""),"",COUNTIFS(事例清單!$G$5:$G$304,$A5,事例清單!$H$5:$H$304,B$4,事例清單!$F$5:$F$304,"是"))</f>
        <v/>
      </c>
      <c r="C5" s="14">
        <f>IF(OR($A5="",C$4=""),"",COUNTIFS(事例清單!$G$5:$G$304,$A5,事例清單!$H$5:$H$304,C$4,事例清單!$F$5:$F$304,"是"))</f>
        <v/>
      </c>
      <c r="D5" s="14">
        <f>IF(OR($A5="",D$4=""),"",COUNTIFS(事例清單!$G$5:$G$304,$A5,事例清單!$H$5:$H$304,D$4,事例清單!$F$5:$F$304,"是"))</f>
        <v/>
      </c>
      <c r="E5" s="14">
        <f>IF(OR($A5="",E$4=""),"",COUNTIFS(事例清單!$G$5:$G$304,$A5,事例清單!$H$5:$H$304,E$4,事例清單!$F$5:$F$304,"是"))</f>
        <v/>
      </c>
      <c r="F5" s="14">
        <f>IF(OR($A5="",F$4=""),"",COUNTIFS(事例清單!$G$5:$G$304,$A5,事例清單!$H$5:$H$304,F$4,事例清單!$F$5:$F$304,"是"))</f>
        <v/>
      </c>
      <c r="G5" s="14">
        <f>IF(OR($A5="",G$4=""),"",COUNTIFS(事例清單!$G$5:$G$304,$A5,事例清單!$H$5:$H$304,G$4,事例清單!$F$5:$F$304,"是"))</f>
        <v/>
      </c>
      <c r="H5" s="14">
        <f>IF(OR($A5="",H$4=""),"",COUNTIFS(事例清單!$G$5:$G$304,$A5,事例清單!$H$5:$H$304,H$4,事例清單!$F$5:$F$304,"是"))</f>
        <v/>
      </c>
      <c r="I5" s="14">
        <f>IF(OR($A5="",I$4=""),"",COUNTIFS(事例清單!$G$5:$G$304,$A5,事例清單!$H$5:$H$304,I$4,事例清單!$F$5:$F$304,"是"))</f>
        <v/>
      </c>
      <c r="J5" s="14">
        <f>IF(OR($A5="",J$4=""),"",COUNTIFS(事例清單!$G$5:$G$304,$A5,事例清單!$H$5:$H$304,J$4,事例清單!$F$5:$F$304,"是"))</f>
        <v/>
      </c>
      <c r="K5" s="14">
        <f>IF(OR($A5="",K$4=""),"",COUNTIFS(事例清單!$G$5:$G$304,$A5,事例清單!$H$5:$H$304,K$4,事例清單!$F$5:$F$304,"是"))</f>
        <v/>
      </c>
      <c r="L5" s="14">
        <f>IF(OR($A5="",L$4=""),"",COUNTIFS(事例清單!$G$5:$G$304,$A5,事例清單!$H$5:$H$304,L$4,事例清單!$F$5:$F$304,"是"))</f>
        <v/>
      </c>
      <c r="M5" s="23">
        <f>IF($A5="","",SUM(B5:L5))</f>
        <v/>
      </c>
      <c r="N5">
        <f>IF(OR($A$5="",C$4=""),"","甲歸「"&amp;$A$5&amp;"」、乙歸「"&amp;C$4&amp;"」")</f>
        <v/>
      </c>
      <c r="O5">
        <f>IF(N5="",0,C5)</f>
        <v/>
      </c>
      <c r="P5">
        <f>IF($A5="",0,N(M5)*N(B16))</f>
        <v/>
      </c>
    </row>
    <row r="6">
      <c r="A6" s="21">
        <f>IF(編碼簿!$B$6="","",編碼簿!$B$6)</f>
        <v/>
      </c>
      <c r="B6" s="14">
        <f>IF(OR($A6="",B$4=""),"",COUNTIFS(事例清單!$G$5:$G$304,$A6,事例清單!$H$5:$H$304,B$4,事例清單!$F$5:$F$304,"是"))</f>
        <v/>
      </c>
      <c r="C6" s="22">
        <f>IF(OR($A6="",C$4=""),"",COUNTIFS(事例清單!$G$5:$G$304,$A6,事例清單!$H$5:$H$304,C$4,事例清單!$F$5:$F$304,"是"))</f>
        <v/>
      </c>
      <c r="D6" s="14">
        <f>IF(OR($A6="",D$4=""),"",COUNTIFS(事例清單!$G$5:$G$304,$A6,事例清單!$H$5:$H$304,D$4,事例清單!$F$5:$F$304,"是"))</f>
        <v/>
      </c>
      <c r="E6" s="14">
        <f>IF(OR($A6="",E$4=""),"",COUNTIFS(事例清單!$G$5:$G$304,$A6,事例清單!$H$5:$H$304,E$4,事例清單!$F$5:$F$304,"是"))</f>
        <v/>
      </c>
      <c r="F6" s="14">
        <f>IF(OR($A6="",F$4=""),"",COUNTIFS(事例清單!$G$5:$G$304,$A6,事例清單!$H$5:$H$304,F$4,事例清單!$F$5:$F$304,"是"))</f>
        <v/>
      </c>
      <c r="G6" s="14">
        <f>IF(OR($A6="",G$4=""),"",COUNTIFS(事例清單!$G$5:$G$304,$A6,事例清單!$H$5:$H$304,G$4,事例清單!$F$5:$F$304,"是"))</f>
        <v/>
      </c>
      <c r="H6" s="14">
        <f>IF(OR($A6="",H$4=""),"",COUNTIFS(事例清單!$G$5:$G$304,$A6,事例清單!$H$5:$H$304,H$4,事例清單!$F$5:$F$304,"是"))</f>
        <v/>
      </c>
      <c r="I6" s="14">
        <f>IF(OR($A6="",I$4=""),"",COUNTIFS(事例清單!$G$5:$G$304,$A6,事例清單!$H$5:$H$304,I$4,事例清單!$F$5:$F$304,"是"))</f>
        <v/>
      </c>
      <c r="J6" s="14">
        <f>IF(OR($A6="",J$4=""),"",COUNTIFS(事例清單!$G$5:$G$304,$A6,事例清單!$H$5:$H$304,J$4,事例清單!$F$5:$F$304,"是"))</f>
        <v/>
      </c>
      <c r="K6" s="14">
        <f>IF(OR($A6="",K$4=""),"",COUNTIFS(事例清單!$G$5:$G$304,$A6,事例清單!$H$5:$H$304,K$4,事例清單!$F$5:$F$304,"是"))</f>
        <v/>
      </c>
      <c r="L6" s="14">
        <f>IF(OR($A6="",L$4=""),"",COUNTIFS(事例清單!$G$5:$G$304,$A6,事例清單!$H$5:$H$304,L$4,事例清單!$F$5:$F$304,"是"))</f>
        <v/>
      </c>
      <c r="M6" s="23">
        <f>IF($A6="","",SUM(B6:L6))</f>
        <v/>
      </c>
      <c r="N6">
        <f>IF(OR($A$5="",D$4=""),"","甲歸「"&amp;$A$5&amp;"」、乙歸「"&amp;D$4&amp;"」")</f>
        <v/>
      </c>
      <c r="O6">
        <f>IF(N6="",0,D5)</f>
        <v/>
      </c>
      <c r="P6">
        <f>IF($A6="",0,N(M6)*N(C16))</f>
        <v/>
      </c>
    </row>
    <row r="7">
      <c r="A7" s="21">
        <f>IF(編碼簿!$B$7="","",編碼簿!$B$7)</f>
        <v/>
      </c>
      <c r="B7" s="14">
        <f>IF(OR($A7="",B$4=""),"",COUNTIFS(事例清單!$G$5:$G$304,$A7,事例清單!$H$5:$H$304,B$4,事例清單!$F$5:$F$304,"是"))</f>
        <v/>
      </c>
      <c r="C7" s="14">
        <f>IF(OR($A7="",C$4=""),"",COUNTIFS(事例清單!$G$5:$G$304,$A7,事例清單!$H$5:$H$304,C$4,事例清單!$F$5:$F$304,"是"))</f>
        <v/>
      </c>
      <c r="D7" s="22">
        <f>IF(OR($A7="",D$4=""),"",COUNTIFS(事例清單!$G$5:$G$304,$A7,事例清單!$H$5:$H$304,D$4,事例清單!$F$5:$F$304,"是"))</f>
        <v/>
      </c>
      <c r="E7" s="14">
        <f>IF(OR($A7="",E$4=""),"",COUNTIFS(事例清單!$G$5:$G$304,$A7,事例清單!$H$5:$H$304,E$4,事例清單!$F$5:$F$304,"是"))</f>
        <v/>
      </c>
      <c r="F7" s="14">
        <f>IF(OR($A7="",F$4=""),"",COUNTIFS(事例清單!$G$5:$G$304,$A7,事例清單!$H$5:$H$304,F$4,事例清單!$F$5:$F$304,"是"))</f>
        <v/>
      </c>
      <c r="G7" s="14">
        <f>IF(OR($A7="",G$4=""),"",COUNTIFS(事例清單!$G$5:$G$304,$A7,事例清單!$H$5:$H$304,G$4,事例清單!$F$5:$F$304,"是"))</f>
        <v/>
      </c>
      <c r="H7" s="14">
        <f>IF(OR($A7="",H$4=""),"",COUNTIFS(事例清單!$G$5:$G$304,$A7,事例清單!$H$5:$H$304,H$4,事例清單!$F$5:$F$304,"是"))</f>
        <v/>
      </c>
      <c r="I7" s="14">
        <f>IF(OR($A7="",I$4=""),"",COUNTIFS(事例清單!$G$5:$G$304,$A7,事例清單!$H$5:$H$304,I$4,事例清單!$F$5:$F$304,"是"))</f>
        <v/>
      </c>
      <c r="J7" s="14">
        <f>IF(OR($A7="",J$4=""),"",COUNTIFS(事例清單!$G$5:$G$304,$A7,事例清單!$H$5:$H$304,J$4,事例清單!$F$5:$F$304,"是"))</f>
        <v/>
      </c>
      <c r="K7" s="14">
        <f>IF(OR($A7="",K$4=""),"",COUNTIFS(事例清單!$G$5:$G$304,$A7,事例清單!$H$5:$H$304,K$4,事例清單!$F$5:$F$304,"是"))</f>
        <v/>
      </c>
      <c r="L7" s="14">
        <f>IF(OR($A7="",L$4=""),"",COUNTIFS(事例清單!$G$5:$G$304,$A7,事例清單!$H$5:$H$304,L$4,事例清單!$F$5:$F$304,"是"))</f>
        <v/>
      </c>
      <c r="M7" s="23">
        <f>IF($A7="","",SUM(B7:L7))</f>
        <v/>
      </c>
      <c r="N7">
        <f>IF(OR($A$5="",E$4=""),"","甲歸「"&amp;$A$5&amp;"」、乙歸「"&amp;E$4&amp;"」")</f>
        <v/>
      </c>
      <c r="O7">
        <f>IF(N7="",0,E5)</f>
        <v/>
      </c>
      <c r="P7">
        <f>IF($A7="",0,N(M7)*N(D16))</f>
        <v/>
      </c>
    </row>
    <row r="8">
      <c r="A8" s="21">
        <f>IF(編碼簿!$B$8="","",編碼簿!$B$8)</f>
        <v/>
      </c>
      <c r="B8" s="14">
        <f>IF(OR($A8="",B$4=""),"",COUNTIFS(事例清單!$G$5:$G$304,$A8,事例清單!$H$5:$H$304,B$4,事例清單!$F$5:$F$304,"是"))</f>
        <v/>
      </c>
      <c r="C8" s="14">
        <f>IF(OR($A8="",C$4=""),"",COUNTIFS(事例清單!$G$5:$G$304,$A8,事例清單!$H$5:$H$304,C$4,事例清單!$F$5:$F$304,"是"))</f>
        <v/>
      </c>
      <c r="D8" s="14">
        <f>IF(OR($A8="",D$4=""),"",COUNTIFS(事例清單!$G$5:$G$304,$A8,事例清單!$H$5:$H$304,D$4,事例清單!$F$5:$F$304,"是"))</f>
        <v/>
      </c>
      <c r="E8" s="22">
        <f>IF(OR($A8="",E$4=""),"",COUNTIFS(事例清單!$G$5:$G$304,$A8,事例清單!$H$5:$H$304,E$4,事例清單!$F$5:$F$304,"是"))</f>
        <v/>
      </c>
      <c r="F8" s="14">
        <f>IF(OR($A8="",F$4=""),"",COUNTIFS(事例清單!$G$5:$G$304,$A8,事例清單!$H$5:$H$304,F$4,事例清單!$F$5:$F$304,"是"))</f>
        <v/>
      </c>
      <c r="G8" s="14">
        <f>IF(OR($A8="",G$4=""),"",COUNTIFS(事例清單!$G$5:$G$304,$A8,事例清單!$H$5:$H$304,G$4,事例清單!$F$5:$F$304,"是"))</f>
        <v/>
      </c>
      <c r="H8" s="14">
        <f>IF(OR($A8="",H$4=""),"",COUNTIFS(事例清單!$G$5:$G$304,$A8,事例清單!$H$5:$H$304,H$4,事例清單!$F$5:$F$304,"是"))</f>
        <v/>
      </c>
      <c r="I8" s="14">
        <f>IF(OR($A8="",I$4=""),"",COUNTIFS(事例清單!$G$5:$G$304,$A8,事例清單!$H$5:$H$304,I$4,事例清單!$F$5:$F$304,"是"))</f>
        <v/>
      </c>
      <c r="J8" s="14">
        <f>IF(OR($A8="",J$4=""),"",COUNTIFS(事例清單!$G$5:$G$304,$A8,事例清單!$H$5:$H$304,J$4,事例清單!$F$5:$F$304,"是"))</f>
        <v/>
      </c>
      <c r="K8" s="14">
        <f>IF(OR($A8="",K$4=""),"",COUNTIFS(事例清單!$G$5:$G$304,$A8,事例清單!$H$5:$H$304,K$4,事例清單!$F$5:$F$304,"是"))</f>
        <v/>
      </c>
      <c r="L8" s="14">
        <f>IF(OR($A8="",L$4=""),"",COUNTIFS(事例清單!$G$5:$G$304,$A8,事例清單!$H$5:$H$304,L$4,事例清單!$F$5:$F$304,"是"))</f>
        <v/>
      </c>
      <c r="M8" s="23">
        <f>IF($A8="","",SUM(B8:L8))</f>
        <v/>
      </c>
      <c r="N8">
        <f>IF(OR($A$5="",F$4=""),"","甲歸「"&amp;$A$5&amp;"」、乙歸「"&amp;F$4&amp;"」")</f>
        <v/>
      </c>
      <c r="O8">
        <f>IF(N8="",0,F5)</f>
        <v/>
      </c>
      <c r="P8">
        <f>IF($A8="",0,N(M8)*N(E16))</f>
        <v/>
      </c>
    </row>
    <row r="9">
      <c r="A9" s="21">
        <f>IF(編碼簿!$B$9="","",編碼簿!$B$9)</f>
        <v/>
      </c>
      <c r="B9" s="14">
        <f>IF(OR($A9="",B$4=""),"",COUNTIFS(事例清單!$G$5:$G$304,$A9,事例清單!$H$5:$H$304,B$4,事例清單!$F$5:$F$304,"是"))</f>
        <v/>
      </c>
      <c r="C9" s="14">
        <f>IF(OR($A9="",C$4=""),"",COUNTIFS(事例清單!$G$5:$G$304,$A9,事例清單!$H$5:$H$304,C$4,事例清單!$F$5:$F$304,"是"))</f>
        <v/>
      </c>
      <c r="D9" s="14">
        <f>IF(OR($A9="",D$4=""),"",COUNTIFS(事例清單!$G$5:$G$304,$A9,事例清單!$H$5:$H$304,D$4,事例清單!$F$5:$F$304,"是"))</f>
        <v/>
      </c>
      <c r="E9" s="14">
        <f>IF(OR($A9="",E$4=""),"",COUNTIFS(事例清單!$G$5:$G$304,$A9,事例清單!$H$5:$H$304,E$4,事例清單!$F$5:$F$304,"是"))</f>
        <v/>
      </c>
      <c r="F9" s="22">
        <f>IF(OR($A9="",F$4=""),"",COUNTIFS(事例清單!$G$5:$G$304,$A9,事例清單!$H$5:$H$304,F$4,事例清單!$F$5:$F$304,"是"))</f>
        <v/>
      </c>
      <c r="G9" s="14">
        <f>IF(OR($A9="",G$4=""),"",COUNTIFS(事例清單!$G$5:$G$304,$A9,事例清單!$H$5:$H$304,G$4,事例清單!$F$5:$F$304,"是"))</f>
        <v/>
      </c>
      <c r="H9" s="14">
        <f>IF(OR($A9="",H$4=""),"",COUNTIFS(事例清單!$G$5:$G$304,$A9,事例清單!$H$5:$H$304,H$4,事例清單!$F$5:$F$304,"是"))</f>
        <v/>
      </c>
      <c r="I9" s="14">
        <f>IF(OR($A9="",I$4=""),"",COUNTIFS(事例清單!$G$5:$G$304,$A9,事例清單!$H$5:$H$304,I$4,事例清單!$F$5:$F$304,"是"))</f>
        <v/>
      </c>
      <c r="J9" s="14">
        <f>IF(OR($A9="",J$4=""),"",COUNTIFS(事例清單!$G$5:$G$304,$A9,事例清單!$H$5:$H$304,J$4,事例清單!$F$5:$F$304,"是"))</f>
        <v/>
      </c>
      <c r="K9" s="14">
        <f>IF(OR($A9="",K$4=""),"",COUNTIFS(事例清單!$G$5:$G$304,$A9,事例清單!$H$5:$H$304,K$4,事例清單!$F$5:$F$304,"是"))</f>
        <v/>
      </c>
      <c r="L9" s="14">
        <f>IF(OR($A9="",L$4=""),"",COUNTIFS(事例清單!$G$5:$G$304,$A9,事例清單!$H$5:$H$304,L$4,事例清單!$F$5:$F$304,"是"))</f>
        <v/>
      </c>
      <c r="M9" s="23">
        <f>IF($A9="","",SUM(B9:L9))</f>
        <v/>
      </c>
      <c r="N9">
        <f>IF(OR($A$5="",G$4=""),"","甲歸「"&amp;$A$5&amp;"」、乙歸「"&amp;G$4&amp;"」")</f>
        <v/>
      </c>
      <c r="O9">
        <f>IF(N9="",0,G5)</f>
        <v/>
      </c>
      <c r="P9">
        <f>IF($A9="",0,N(M9)*N(F16))</f>
        <v/>
      </c>
    </row>
    <row r="10">
      <c r="A10" s="21">
        <f>IF(編碼簿!$B$10="","",編碼簿!$B$10)</f>
        <v/>
      </c>
      <c r="B10" s="14">
        <f>IF(OR($A10="",B$4=""),"",COUNTIFS(事例清單!$G$5:$G$304,$A10,事例清單!$H$5:$H$304,B$4,事例清單!$F$5:$F$304,"是"))</f>
        <v/>
      </c>
      <c r="C10" s="14">
        <f>IF(OR($A10="",C$4=""),"",COUNTIFS(事例清單!$G$5:$G$304,$A10,事例清單!$H$5:$H$304,C$4,事例清單!$F$5:$F$304,"是"))</f>
        <v/>
      </c>
      <c r="D10" s="14">
        <f>IF(OR($A10="",D$4=""),"",COUNTIFS(事例清單!$G$5:$G$304,$A10,事例清單!$H$5:$H$304,D$4,事例清單!$F$5:$F$304,"是"))</f>
        <v/>
      </c>
      <c r="E10" s="14">
        <f>IF(OR($A10="",E$4=""),"",COUNTIFS(事例清單!$G$5:$G$304,$A10,事例清單!$H$5:$H$304,E$4,事例清單!$F$5:$F$304,"是"))</f>
        <v/>
      </c>
      <c r="F10" s="14">
        <f>IF(OR($A10="",F$4=""),"",COUNTIFS(事例清單!$G$5:$G$304,$A10,事例清單!$H$5:$H$304,F$4,事例清單!$F$5:$F$304,"是"))</f>
        <v/>
      </c>
      <c r="G10" s="22">
        <f>IF(OR($A10="",G$4=""),"",COUNTIFS(事例清單!$G$5:$G$304,$A10,事例清單!$H$5:$H$304,G$4,事例清單!$F$5:$F$304,"是"))</f>
        <v/>
      </c>
      <c r="H10" s="14">
        <f>IF(OR($A10="",H$4=""),"",COUNTIFS(事例清單!$G$5:$G$304,$A10,事例清單!$H$5:$H$304,H$4,事例清單!$F$5:$F$304,"是"))</f>
        <v/>
      </c>
      <c r="I10" s="14">
        <f>IF(OR($A10="",I$4=""),"",COUNTIFS(事例清單!$G$5:$G$304,$A10,事例清單!$H$5:$H$304,I$4,事例清單!$F$5:$F$304,"是"))</f>
        <v/>
      </c>
      <c r="J10" s="14">
        <f>IF(OR($A10="",J$4=""),"",COUNTIFS(事例清單!$G$5:$G$304,$A10,事例清單!$H$5:$H$304,J$4,事例清單!$F$5:$F$304,"是"))</f>
        <v/>
      </c>
      <c r="K10" s="14">
        <f>IF(OR($A10="",K$4=""),"",COUNTIFS(事例清單!$G$5:$G$304,$A10,事例清單!$H$5:$H$304,K$4,事例清單!$F$5:$F$304,"是"))</f>
        <v/>
      </c>
      <c r="L10" s="14">
        <f>IF(OR($A10="",L$4=""),"",COUNTIFS(事例清單!$G$5:$G$304,$A10,事例清單!$H$5:$H$304,L$4,事例清單!$F$5:$F$304,"是"))</f>
        <v/>
      </c>
      <c r="M10" s="23">
        <f>IF($A10="","",SUM(B10:L10))</f>
        <v/>
      </c>
      <c r="N10">
        <f>IF(OR($A$5="",H$4=""),"","甲歸「"&amp;$A$5&amp;"」、乙歸「"&amp;H$4&amp;"」")</f>
        <v/>
      </c>
      <c r="O10">
        <f>IF(N10="",0,H5)</f>
        <v/>
      </c>
      <c r="P10">
        <f>IF($A10="",0,N(M10)*N(G16))</f>
        <v/>
      </c>
    </row>
    <row r="11">
      <c r="A11" s="21">
        <f>IF(編碼簿!$B$11="","",編碼簿!$B$11)</f>
        <v/>
      </c>
      <c r="B11" s="14">
        <f>IF(OR($A11="",B$4=""),"",COUNTIFS(事例清單!$G$5:$G$304,$A11,事例清單!$H$5:$H$304,B$4,事例清單!$F$5:$F$304,"是"))</f>
        <v/>
      </c>
      <c r="C11" s="14">
        <f>IF(OR($A11="",C$4=""),"",COUNTIFS(事例清單!$G$5:$G$304,$A11,事例清單!$H$5:$H$304,C$4,事例清單!$F$5:$F$304,"是"))</f>
        <v/>
      </c>
      <c r="D11" s="14">
        <f>IF(OR($A11="",D$4=""),"",COUNTIFS(事例清單!$G$5:$G$304,$A11,事例清單!$H$5:$H$304,D$4,事例清單!$F$5:$F$304,"是"))</f>
        <v/>
      </c>
      <c r="E11" s="14">
        <f>IF(OR($A11="",E$4=""),"",COUNTIFS(事例清單!$G$5:$G$304,$A11,事例清單!$H$5:$H$304,E$4,事例清單!$F$5:$F$304,"是"))</f>
        <v/>
      </c>
      <c r="F11" s="14">
        <f>IF(OR($A11="",F$4=""),"",COUNTIFS(事例清單!$G$5:$G$304,$A11,事例清單!$H$5:$H$304,F$4,事例清單!$F$5:$F$304,"是"))</f>
        <v/>
      </c>
      <c r="G11" s="14">
        <f>IF(OR($A11="",G$4=""),"",COUNTIFS(事例清單!$G$5:$G$304,$A11,事例清單!$H$5:$H$304,G$4,事例清單!$F$5:$F$304,"是"))</f>
        <v/>
      </c>
      <c r="H11" s="22">
        <f>IF(OR($A11="",H$4=""),"",COUNTIFS(事例清單!$G$5:$G$304,$A11,事例清單!$H$5:$H$304,H$4,事例清單!$F$5:$F$304,"是"))</f>
        <v/>
      </c>
      <c r="I11" s="14">
        <f>IF(OR($A11="",I$4=""),"",COUNTIFS(事例清單!$G$5:$G$304,$A11,事例清單!$H$5:$H$304,I$4,事例清單!$F$5:$F$304,"是"))</f>
        <v/>
      </c>
      <c r="J11" s="14">
        <f>IF(OR($A11="",J$4=""),"",COUNTIFS(事例清單!$G$5:$G$304,$A11,事例清單!$H$5:$H$304,J$4,事例清單!$F$5:$F$304,"是"))</f>
        <v/>
      </c>
      <c r="K11" s="14">
        <f>IF(OR($A11="",K$4=""),"",COUNTIFS(事例清單!$G$5:$G$304,$A11,事例清單!$H$5:$H$304,K$4,事例清單!$F$5:$F$304,"是"))</f>
        <v/>
      </c>
      <c r="L11" s="14">
        <f>IF(OR($A11="",L$4=""),"",COUNTIFS(事例清單!$G$5:$G$304,$A11,事例清單!$H$5:$H$304,L$4,事例清單!$F$5:$F$304,"是"))</f>
        <v/>
      </c>
      <c r="M11" s="23">
        <f>IF($A11="","",SUM(B11:L11))</f>
        <v/>
      </c>
      <c r="N11">
        <f>IF(OR($A$5="",I$4=""),"","甲歸「"&amp;$A$5&amp;"」、乙歸「"&amp;I$4&amp;"」")</f>
        <v/>
      </c>
      <c r="O11">
        <f>IF(N11="",0,I5)</f>
        <v/>
      </c>
      <c r="P11">
        <f>IF($A11="",0,N(M11)*N(H16))</f>
        <v/>
      </c>
    </row>
    <row r="12">
      <c r="A12" s="21">
        <f>IF(編碼簿!$B$12="","",編碼簿!$B$12)</f>
        <v/>
      </c>
      <c r="B12" s="14">
        <f>IF(OR($A12="",B$4=""),"",COUNTIFS(事例清單!$G$5:$G$304,$A12,事例清單!$H$5:$H$304,B$4,事例清單!$F$5:$F$304,"是"))</f>
        <v/>
      </c>
      <c r="C12" s="14">
        <f>IF(OR($A12="",C$4=""),"",COUNTIFS(事例清單!$G$5:$G$304,$A12,事例清單!$H$5:$H$304,C$4,事例清單!$F$5:$F$304,"是"))</f>
        <v/>
      </c>
      <c r="D12" s="14">
        <f>IF(OR($A12="",D$4=""),"",COUNTIFS(事例清單!$G$5:$G$304,$A12,事例清單!$H$5:$H$304,D$4,事例清單!$F$5:$F$304,"是"))</f>
        <v/>
      </c>
      <c r="E12" s="14">
        <f>IF(OR($A12="",E$4=""),"",COUNTIFS(事例清單!$G$5:$G$304,$A12,事例清單!$H$5:$H$304,E$4,事例清單!$F$5:$F$304,"是"))</f>
        <v/>
      </c>
      <c r="F12" s="14">
        <f>IF(OR($A12="",F$4=""),"",COUNTIFS(事例清單!$G$5:$G$304,$A12,事例清單!$H$5:$H$304,F$4,事例清單!$F$5:$F$304,"是"))</f>
        <v/>
      </c>
      <c r="G12" s="14">
        <f>IF(OR($A12="",G$4=""),"",COUNTIFS(事例清單!$G$5:$G$304,$A12,事例清單!$H$5:$H$304,G$4,事例清單!$F$5:$F$304,"是"))</f>
        <v/>
      </c>
      <c r="H12" s="14">
        <f>IF(OR($A12="",H$4=""),"",COUNTIFS(事例清單!$G$5:$G$304,$A12,事例清單!$H$5:$H$304,H$4,事例清單!$F$5:$F$304,"是"))</f>
        <v/>
      </c>
      <c r="I12" s="22">
        <f>IF(OR($A12="",I$4=""),"",COUNTIFS(事例清單!$G$5:$G$304,$A12,事例清單!$H$5:$H$304,I$4,事例清單!$F$5:$F$304,"是"))</f>
        <v/>
      </c>
      <c r="J12" s="14">
        <f>IF(OR($A12="",J$4=""),"",COUNTIFS(事例清單!$G$5:$G$304,$A12,事例清單!$H$5:$H$304,J$4,事例清單!$F$5:$F$304,"是"))</f>
        <v/>
      </c>
      <c r="K12" s="14">
        <f>IF(OR($A12="",K$4=""),"",COUNTIFS(事例清單!$G$5:$G$304,$A12,事例清單!$H$5:$H$304,K$4,事例清單!$F$5:$F$304,"是"))</f>
        <v/>
      </c>
      <c r="L12" s="14">
        <f>IF(OR($A12="",L$4=""),"",COUNTIFS(事例清單!$G$5:$G$304,$A12,事例清單!$H$5:$H$304,L$4,事例清單!$F$5:$F$304,"是"))</f>
        <v/>
      </c>
      <c r="M12" s="23">
        <f>IF($A12="","",SUM(B12:L12))</f>
        <v/>
      </c>
      <c r="N12">
        <f>IF(OR($A$5="",J$4=""),"","甲歸「"&amp;$A$5&amp;"」、乙歸「"&amp;J$4&amp;"」")</f>
        <v/>
      </c>
      <c r="O12">
        <f>IF(N12="",0,J5)</f>
        <v/>
      </c>
      <c r="P12">
        <f>IF($A12="",0,N(M12)*N(I16))</f>
        <v/>
      </c>
    </row>
    <row r="13">
      <c r="A13" s="21">
        <f>IF(編碼簿!$B$13="","",編碼簿!$B$13)</f>
        <v/>
      </c>
      <c r="B13" s="14">
        <f>IF(OR($A13="",B$4=""),"",COUNTIFS(事例清單!$G$5:$G$304,$A13,事例清單!$H$5:$H$304,B$4,事例清單!$F$5:$F$304,"是"))</f>
        <v/>
      </c>
      <c r="C13" s="14">
        <f>IF(OR($A13="",C$4=""),"",COUNTIFS(事例清單!$G$5:$G$304,$A13,事例清單!$H$5:$H$304,C$4,事例清單!$F$5:$F$304,"是"))</f>
        <v/>
      </c>
      <c r="D13" s="14">
        <f>IF(OR($A13="",D$4=""),"",COUNTIFS(事例清單!$G$5:$G$304,$A13,事例清單!$H$5:$H$304,D$4,事例清單!$F$5:$F$304,"是"))</f>
        <v/>
      </c>
      <c r="E13" s="14">
        <f>IF(OR($A13="",E$4=""),"",COUNTIFS(事例清單!$G$5:$G$304,$A13,事例清單!$H$5:$H$304,E$4,事例清單!$F$5:$F$304,"是"))</f>
        <v/>
      </c>
      <c r="F13" s="14">
        <f>IF(OR($A13="",F$4=""),"",COUNTIFS(事例清單!$G$5:$G$304,$A13,事例清單!$H$5:$H$304,F$4,事例清單!$F$5:$F$304,"是"))</f>
        <v/>
      </c>
      <c r="G13" s="14">
        <f>IF(OR($A13="",G$4=""),"",COUNTIFS(事例清單!$G$5:$G$304,$A13,事例清單!$H$5:$H$304,G$4,事例清單!$F$5:$F$304,"是"))</f>
        <v/>
      </c>
      <c r="H13" s="14">
        <f>IF(OR($A13="",H$4=""),"",COUNTIFS(事例清單!$G$5:$G$304,$A13,事例清單!$H$5:$H$304,H$4,事例清單!$F$5:$F$304,"是"))</f>
        <v/>
      </c>
      <c r="I13" s="14">
        <f>IF(OR($A13="",I$4=""),"",COUNTIFS(事例清單!$G$5:$G$304,$A13,事例清單!$H$5:$H$304,I$4,事例清單!$F$5:$F$304,"是"))</f>
        <v/>
      </c>
      <c r="J13" s="22">
        <f>IF(OR($A13="",J$4=""),"",COUNTIFS(事例清單!$G$5:$G$304,$A13,事例清單!$H$5:$H$304,J$4,事例清單!$F$5:$F$304,"是"))</f>
        <v/>
      </c>
      <c r="K13" s="14">
        <f>IF(OR($A13="",K$4=""),"",COUNTIFS(事例清單!$G$5:$G$304,$A13,事例清單!$H$5:$H$304,K$4,事例清單!$F$5:$F$304,"是"))</f>
        <v/>
      </c>
      <c r="L13" s="14">
        <f>IF(OR($A13="",L$4=""),"",COUNTIFS(事例清單!$G$5:$G$304,$A13,事例清單!$H$5:$H$304,L$4,事例清單!$F$5:$F$304,"是"))</f>
        <v/>
      </c>
      <c r="M13" s="23">
        <f>IF($A13="","",SUM(B13:L13))</f>
        <v/>
      </c>
      <c r="N13">
        <f>IF(OR($A$5="",K$4=""),"","甲歸「"&amp;$A$5&amp;"」、乙歸「"&amp;K$4&amp;"」")</f>
        <v/>
      </c>
      <c r="O13">
        <f>IF(N13="",0,K5)</f>
        <v/>
      </c>
      <c r="P13">
        <f>IF($A13="",0,N(M13)*N(J16))</f>
        <v/>
      </c>
    </row>
    <row r="14">
      <c r="A14" s="21">
        <f>IF(編碼簿!$B$14="","",編碼簿!$B$14)</f>
        <v/>
      </c>
      <c r="B14" s="14">
        <f>IF(OR($A14="",B$4=""),"",COUNTIFS(事例清單!$G$5:$G$304,$A14,事例清單!$H$5:$H$304,B$4,事例清單!$F$5:$F$304,"是"))</f>
        <v/>
      </c>
      <c r="C14" s="14">
        <f>IF(OR($A14="",C$4=""),"",COUNTIFS(事例清單!$G$5:$G$304,$A14,事例清單!$H$5:$H$304,C$4,事例清單!$F$5:$F$304,"是"))</f>
        <v/>
      </c>
      <c r="D14" s="14">
        <f>IF(OR($A14="",D$4=""),"",COUNTIFS(事例清單!$G$5:$G$304,$A14,事例清單!$H$5:$H$304,D$4,事例清單!$F$5:$F$304,"是"))</f>
        <v/>
      </c>
      <c r="E14" s="14">
        <f>IF(OR($A14="",E$4=""),"",COUNTIFS(事例清單!$G$5:$G$304,$A14,事例清單!$H$5:$H$304,E$4,事例清單!$F$5:$F$304,"是"))</f>
        <v/>
      </c>
      <c r="F14" s="14">
        <f>IF(OR($A14="",F$4=""),"",COUNTIFS(事例清單!$G$5:$G$304,$A14,事例清單!$H$5:$H$304,F$4,事例清單!$F$5:$F$304,"是"))</f>
        <v/>
      </c>
      <c r="G14" s="14">
        <f>IF(OR($A14="",G$4=""),"",COUNTIFS(事例清單!$G$5:$G$304,$A14,事例清單!$H$5:$H$304,G$4,事例清單!$F$5:$F$304,"是"))</f>
        <v/>
      </c>
      <c r="H14" s="14">
        <f>IF(OR($A14="",H$4=""),"",COUNTIFS(事例清單!$G$5:$G$304,$A14,事例清單!$H$5:$H$304,H$4,事例清單!$F$5:$F$304,"是"))</f>
        <v/>
      </c>
      <c r="I14" s="14">
        <f>IF(OR($A14="",I$4=""),"",COUNTIFS(事例清單!$G$5:$G$304,$A14,事例清單!$H$5:$H$304,I$4,事例清單!$F$5:$F$304,"是"))</f>
        <v/>
      </c>
      <c r="J14" s="14">
        <f>IF(OR($A14="",J$4=""),"",COUNTIFS(事例清單!$G$5:$G$304,$A14,事例清單!$H$5:$H$304,J$4,事例清單!$F$5:$F$304,"是"))</f>
        <v/>
      </c>
      <c r="K14" s="22">
        <f>IF(OR($A14="",K$4=""),"",COUNTIFS(事例清單!$G$5:$G$304,$A14,事例清單!$H$5:$H$304,K$4,事例清單!$F$5:$F$304,"是"))</f>
        <v/>
      </c>
      <c r="L14" s="14">
        <f>IF(OR($A14="",L$4=""),"",COUNTIFS(事例清單!$G$5:$G$304,$A14,事例清單!$H$5:$H$304,L$4,事例清單!$F$5:$F$304,"是"))</f>
        <v/>
      </c>
      <c r="M14" s="23">
        <f>IF($A14="","",SUM(B14:L14))</f>
        <v/>
      </c>
      <c r="N14">
        <f>IF(OR($A$5="",L$4=""),"","甲歸「"&amp;$A$5&amp;"」、乙歸「"&amp;L$4&amp;"」")</f>
        <v/>
      </c>
      <c r="O14">
        <f>IF(N14="",0,L5)</f>
        <v/>
      </c>
      <c r="P14">
        <f>IF($A14="",0,N(M14)*N(K16))</f>
        <v/>
      </c>
    </row>
    <row r="15">
      <c r="A15" s="21">
        <f>IF(編碼簿!$B$15="","",編碼簿!$B$15)</f>
        <v/>
      </c>
      <c r="B15" s="14">
        <f>IF(OR($A15="",B$4=""),"",COUNTIFS(事例清單!$G$5:$G$304,$A15,事例清單!$H$5:$H$304,B$4,事例清單!$F$5:$F$304,"是"))</f>
        <v/>
      </c>
      <c r="C15" s="14">
        <f>IF(OR($A15="",C$4=""),"",COUNTIFS(事例清單!$G$5:$G$304,$A15,事例清單!$H$5:$H$304,C$4,事例清單!$F$5:$F$304,"是"))</f>
        <v/>
      </c>
      <c r="D15" s="14">
        <f>IF(OR($A15="",D$4=""),"",COUNTIFS(事例清單!$G$5:$G$304,$A15,事例清單!$H$5:$H$304,D$4,事例清單!$F$5:$F$304,"是"))</f>
        <v/>
      </c>
      <c r="E15" s="14">
        <f>IF(OR($A15="",E$4=""),"",COUNTIFS(事例清單!$G$5:$G$304,$A15,事例清單!$H$5:$H$304,E$4,事例清單!$F$5:$F$304,"是"))</f>
        <v/>
      </c>
      <c r="F15" s="14">
        <f>IF(OR($A15="",F$4=""),"",COUNTIFS(事例清單!$G$5:$G$304,$A15,事例清單!$H$5:$H$304,F$4,事例清單!$F$5:$F$304,"是"))</f>
        <v/>
      </c>
      <c r="G15" s="14">
        <f>IF(OR($A15="",G$4=""),"",COUNTIFS(事例清單!$G$5:$G$304,$A15,事例清單!$H$5:$H$304,G$4,事例清單!$F$5:$F$304,"是"))</f>
        <v/>
      </c>
      <c r="H15" s="14">
        <f>IF(OR($A15="",H$4=""),"",COUNTIFS(事例清單!$G$5:$G$304,$A15,事例清單!$H$5:$H$304,H$4,事例清單!$F$5:$F$304,"是"))</f>
        <v/>
      </c>
      <c r="I15" s="14">
        <f>IF(OR($A15="",I$4=""),"",COUNTIFS(事例清單!$G$5:$G$304,$A15,事例清單!$H$5:$H$304,I$4,事例清單!$F$5:$F$304,"是"))</f>
        <v/>
      </c>
      <c r="J15" s="14">
        <f>IF(OR($A15="",J$4=""),"",COUNTIFS(事例清單!$G$5:$G$304,$A15,事例清單!$H$5:$H$304,J$4,事例清單!$F$5:$F$304,"是"))</f>
        <v/>
      </c>
      <c r="K15" s="14">
        <f>IF(OR($A15="",K$4=""),"",COUNTIFS(事例清單!$G$5:$G$304,$A15,事例清單!$H$5:$H$304,K$4,事例清單!$F$5:$F$304,"是"))</f>
        <v/>
      </c>
      <c r="L15" s="22">
        <f>IF(OR($A15="",L$4=""),"",COUNTIFS(事例清單!$G$5:$G$304,$A15,事例清單!$H$5:$H$304,L$4,事例清單!$F$5:$F$304,"是"))</f>
        <v/>
      </c>
      <c r="M15" s="23">
        <f>IF($A15="","",SUM(B15:L15))</f>
        <v/>
      </c>
      <c r="N15">
        <f>IF(OR($A$6="",B$4=""),"","甲歸「"&amp;$A$6&amp;"」、乙歸「"&amp;B$4&amp;"」")</f>
        <v/>
      </c>
      <c r="O15">
        <f>IF(N15="",0,B6)</f>
        <v/>
      </c>
      <c r="P15">
        <f>IF($A15="",0,N(M15)*N(L16))</f>
        <v/>
      </c>
    </row>
    <row r="16">
      <c r="A16" s="21" t="inlineStr">
        <is>
          <t>乙合計</t>
        </is>
      </c>
      <c r="B16" s="23">
        <f>IF(B$4="","",SUM(B5:B15))</f>
        <v/>
      </c>
      <c r="C16" s="23">
        <f>IF(C$4="","",SUM(C5:C15))</f>
        <v/>
      </c>
      <c r="D16" s="23">
        <f>IF(D$4="","",SUM(D5:D15))</f>
        <v/>
      </c>
      <c r="E16" s="23">
        <f>IF(E$4="","",SUM(E5:E15))</f>
        <v/>
      </c>
      <c r="F16" s="23">
        <f>IF(F$4="","",SUM(F5:F15))</f>
        <v/>
      </c>
      <c r="G16" s="23">
        <f>IF(G$4="","",SUM(G5:G15))</f>
        <v/>
      </c>
      <c r="H16" s="23">
        <f>IF(H$4="","",SUM(H5:H15))</f>
        <v/>
      </c>
      <c r="I16" s="23">
        <f>IF(I$4="","",SUM(I5:I15))</f>
        <v/>
      </c>
      <c r="J16" s="23">
        <f>IF(J$4="","",SUM(J5:J15))</f>
        <v/>
      </c>
      <c r="K16" s="23">
        <f>IF(K$4="","",SUM(K5:K15))</f>
        <v/>
      </c>
      <c r="L16" s="23">
        <f>IF(L$4="","",SUM(L5:L15))</f>
        <v/>
      </c>
      <c r="M16" s="23">
        <f>SUM(B5:L15)</f>
        <v/>
      </c>
      <c r="N16">
        <f>IF(OR($A$6="",D$4=""),"","甲歸「"&amp;$A$6&amp;"」、乙歸「"&amp;D$4&amp;"」")</f>
        <v/>
      </c>
      <c r="O16">
        <f>IF(N16="",0,D6)</f>
        <v/>
      </c>
    </row>
    <row r="17">
      <c r="A17" s="24" t="inlineStr">
        <is>
          <t>結果</t>
        </is>
      </c>
      <c r="N17">
        <f>IF(OR($A$6="",E$4=""),"","甲歸「"&amp;$A$6&amp;"」、乙歸「"&amp;E$4&amp;"」")</f>
        <v/>
      </c>
      <c r="O17">
        <f>IF(N17="",0,E6)</f>
        <v/>
      </c>
    </row>
    <row r="18">
      <c r="A18" s="25" t="inlineStr">
        <is>
          <t>事例總數 N</t>
        </is>
      </c>
      <c r="B18" s="26">
        <f>M16</f>
        <v/>
      </c>
      <c r="C18" s="27" t="inlineStr">
        <is>
          <t>保留、且甲乙都已分類的事例</t>
        </is>
      </c>
      <c r="N18">
        <f>IF(OR($A$6="",F$4=""),"","甲歸「"&amp;$A$6&amp;"」、乙歸「"&amp;F$4&amp;"」")</f>
        <v/>
      </c>
      <c r="O18">
        <f>IF(N18="",0,F6)</f>
        <v/>
      </c>
    </row>
    <row r="19">
      <c r="A19" s="25" t="inlineStr">
        <is>
          <t>對角線事例數</t>
        </is>
      </c>
      <c r="B19" s="26">
        <f>SUM(B5,C6,D7,E8,F9,G10,H11,I12,J13,K14,L15)</f>
        <v/>
      </c>
      <c r="C19" s="27" t="inlineStr">
        <is>
          <t>兩人歸到同一類</t>
        </is>
      </c>
      <c r="N19">
        <f>IF(OR($A$6="",G$4=""),"","甲歸「"&amp;$A$6&amp;"」、乙歸「"&amp;G$4&amp;"」")</f>
        <v/>
      </c>
      <c r="O19">
        <f>IF(N19="",0,G6)</f>
        <v/>
      </c>
    </row>
    <row r="20">
      <c r="A20" s="25" t="inlineStr">
        <is>
          <t>觀察同意率</t>
        </is>
      </c>
      <c r="B20" s="28">
        <f>IF(B18=0,"",B19/B18)</f>
        <v/>
      </c>
      <c r="C20" s="27" t="inlineStr">
        <is>
          <t>對角線事例數 ÷ N</t>
        </is>
      </c>
      <c r="N20">
        <f>IF(OR($A$6="",H$4=""),"","甲歸「"&amp;$A$6&amp;"」、乙歸「"&amp;H$4&amp;"」")</f>
        <v/>
      </c>
      <c r="O20">
        <f>IF(N20="",0,H6)</f>
        <v/>
      </c>
    </row>
    <row r="21">
      <c r="A21" s="25" t="inlineStr">
        <is>
          <t>碰巧一致率</t>
        </is>
      </c>
      <c r="B21" s="28">
        <f>IF(B18=0,"",SUM(P5:P15)/B18^2)</f>
        <v/>
      </c>
      <c r="C21" s="27" t="inlineStr">
        <is>
          <t>各類（甲合計 × 乙合計）加總，再除以 N²</t>
        </is>
      </c>
      <c r="N21">
        <f>IF(OR($A$6="",I$4=""),"","甲歸「"&amp;$A$6&amp;"」、乙歸「"&amp;I$4&amp;"」")</f>
        <v/>
      </c>
      <c r="O21">
        <f>IF(N21="",0,I6)</f>
        <v/>
      </c>
    </row>
    <row r="22">
      <c r="A22" s="25" t="inlineStr">
        <is>
          <t>Cohen’s κ</t>
        </is>
      </c>
      <c r="B22" s="28">
        <f>IF(B18=0,"",IF(B21&gt;=1,"無法計算",(B20-B21)/(1-B21)))</f>
        <v/>
      </c>
      <c r="C22" s="27" t="inlineStr">
        <is>
          <t>（觀察同意率 − 碰巧一致率）÷（1 − 碰巧一致率）</t>
        </is>
      </c>
      <c r="N22">
        <f>IF(OR($A$6="",J$4=""),"","甲歸「"&amp;$A$6&amp;"」、乙歸「"&amp;J$4&amp;"」")</f>
        <v/>
      </c>
      <c r="O22">
        <f>IF(N22="",0,J6)</f>
        <v/>
      </c>
    </row>
    <row r="23">
      <c r="A23" s="25" t="inlineStr">
        <is>
          <t>判定</t>
        </is>
      </c>
      <c r="B23" s="29">
        <f>IF(B22="","請先完成甲乙分類",IF(B22="無法計算","無法計算：所有事例都在同一類",IF(B22&gt;=0.81,"通過：幾乎完全一致",IF(B22&gt;=0.61,"通過：高度一致",IF(B22&gt;=0.41,"未通過：中等一致，修編碼簿後重新分類",IF(B22&gt;0,"不通過：一致性偏低，類別定義需重寫","嚴重：一致程度未超過隨機一致的水準"))))))</f>
        <v/>
      </c>
      <c r="C23" s="30" t="n"/>
      <c r="D23" s="30" t="n"/>
      <c r="E23" s="30" t="n"/>
      <c r="F23" s="30" t="n"/>
      <c r="G23" s="30" t="n"/>
      <c r="H23" s="30" t="n"/>
      <c r="I23" s="30" t="n"/>
      <c r="J23" s="31" t="n"/>
      <c r="N23">
        <f>IF(OR($A$6="",K$4=""),"","甲歸「"&amp;$A$6&amp;"」、乙歸「"&amp;K$4&amp;"」")</f>
        <v/>
      </c>
      <c r="O23">
        <f>IF(N23="",0,K6)</f>
        <v/>
      </c>
    </row>
    <row r="24">
      <c r="A24" s="25" t="inlineStr">
        <is>
          <t>分歧最多的組合</t>
        </is>
      </c>
      <c r="B24" s="29">
        <f>IF(OR(B18=0,MAX(O5:O200)=0),"無",INDEX(N5:N200,MATCH(MAX(O5:O200),O5:O200,0))&amp;"，共 "&amp;MAX(O5:O200)&amp;" 則")</f>
        <v/>
      </c>
      <c r="C24" s="30" t="n"/>
      <c r="D24" s="30" t="n"/>
      <c r="E24" s="30" t="n"/>
      <c r="F24" s="30" t="n"/>
      <c r="G24" s="30" t="n"/>
      <c r="H24" s="30" t="n"/>
      <c r="I24" s="30" t="n"/>
      <c r="J24" s="31" t="n"/>
      <c r="N24">
        <f>IF(OR($A$6="",L$4=""),"","甲歸「"&amp;$A$6&amp;"」、乙歸「"&amp;L$4&amp;"」")</f>
        <v/>
      </c>
      <c r="O24">
        <f>IF(N24="",0,L6)</f>
        <v/>
      </c>
    </row>
    <row r="25">
      <c r="A25" s="25" t="inlineStr">
        <is>
          <t>只有一人分類</t>
        </is>
      </c>
      <c r="B25" s="26">
        <f>SUMPRODUCT((事例清單!F5:F304="是")*((事例清單!G5:G304="")&lt;&gt;(事例清單!H5:H304="")))</f>
        <v/>
      </c>
      <c r="C25" s="27" t="inlineStr">
        <is>
          <t>大於 0 表示有事例只有一人分類，這些事例沒有納入計算</t>
        </is>
      </c>
      <c r="N25">
        <f>IF(OR($A$7="",B$4=""),"","甲歸「"&amp;$A$7&amp;"」、乙歸「"&amp;B$4&amp;"」")</f>
        <v/>
      </c>
      <c r="O25">
        <f>IF(N25="",0,B7)</f>
        <v/>
      </c>
    </row>
    <row r="26">
      <c r="A26" s="25" t="inlineStr">
        <is>
          <t>未納入計算</t>
        </is>
      </c>
      <c r="B26" s="26">
        <f>SUMPRODUCT((事例清單!F5:F304="是")*(事例清單!G5:G304&lt;&gt;"")*(事例清單!H5:H304&lt;&gt;""))-B18</f>
        <v/>
      </c>
      <c r="C26" s="27" t="inlineStr">
        <is>
          <t>大於 0 表示有分類不在編碼簿中</t>
        </is>
      </c>
      <c r="N26">
        <f>IF(OR($A$7="",C$4=""),"","甲歸「"&amp;$A$7&amp;"」、乙歸「"&amp;C$4&amp;"」")</f>
        <v/>
      </c>
      <c r="O26">
        <f>IF(N26="",0,C7)</f>
        <v/>
      </c>
    </row>
    <row r="27">
      <c r="N27">
        <f>IF(OR($A$7="",E$4=""),"","甲歸「"&amp;$A$7&amp;"」、乙歸「"&amp;E$4&amp;"」")</f>
        <v/>
      </c>
      <c r="O27">
        <f>IF(N27="",0,E7)</f>
        <v/>
      </c>
    </row>
    <row r="28">
      <c r="N28">
        <f>IF(OR($A$7="",F$4=""),"","甲歸「"&amp;$A$7&amp;"」、乙歸「"&amp;F$4&amp;"」")</f>
        <v/>
      </c>
      <c r="O28">
        <f>IF(N28="",0,F7)</f>
        <v/>
      </c>
    </row>
    <row r="29">
      <c r="N29">
        <f>IF(OR($A$7="",G$4=""),"","甲歸「"&amp;$A$7&amp;"」、乙歸「"&amp;G$4&amp;"」")</f>
        <v/>
      </c>
      <c r="O29">
        <f>IF(N29="",0,G7)</f>
        <v/>
      </c>
    </row>
    <row r="30">
      <c r="N30">
        <f>IF(OR($A$7="",H$4=""),"","甲歸「"&amp;$A$7&amp;"」、乙歸「"&amp;H$4&amp;"」")</f>
        <v/>
      </c>
      <c r="O30">
        <f>IF(N30="",0,H7)</f>
        <v/>
      </c>
    </row>
    <row r="31">
      <c r="N31">
        <f>IF(OR($A$7="",I$4=""),"","甲歸「"&amp;$A$7&amp;"」、乙歸「"&amp;I$4&amp;"」")</f>
        <v/>
      </c>
      <c r="O31">
        <f>IF(N31="",0,I7)</f>
        <v/>
      </c>
    </row>
    <row r="32">
      <c r="N32">
        <f>IF(OR($A$7="",J$4=""),"","甲歸「"&amp;$A$7&amp;"」、乙歸「"&amp;J$4&amp;"」")</f>
        <v/>
      </c>
      <c r="O32">
        <f>IF(N32="",0,J7)</f>
        <v/>
      </c>
    </row>
    <row r="33">
      <c r="N33">
        <f>IF(OR($A$7="",K$4=""),"","甲歸「"&amp;$A$7&amp;"」、乙歸「"&amp;K$4&amp;"」")</f>
        <v/>
      </c>
      <c r="O33">
        <f>IF(N33="",0,K7)</f>
        <v/>
      </c>
    </row>
    <row r="34">
      <c r="N34">
        <f>IF(OR($A$7="",L$4=""),"","甲歸「"&amp;$A$7&amp;"」、乙歸「"&amp;L$4&amp;"」")</f>
        <v/>
      </c>
      <c r="O34">
        <f>IF(N34="",0,L7)</f>
        <v/>
      </c>
    </row>
    <row r="35">
      <c r="N35">
        <f>IF(OR($A$8="",B$4=""),"","甲歸「"&amp;$A$8&amp;"」、乙歸「"&amp;B$4&amp;"」")</f>
        <v/>
      </c>
      <c r="O35">
        <f>IF(N35="",0,B8)</f>
        <v/>
      </c>
    </row>
    <row r="36">
      <c r="N36">
        <f>IF(OR($A$8="",C$4=""),"","甲歸「"&amp;$A$8&amp;"」、乙歸「"&amp;C$4&amp;"」")</f>
        <v/>
      </c>
      <c r="O36">
        <f>IF(N36="",0,C8)</f>
        <v/>
      </c>
    </row>
    <row r="37">
      <c r="N37">
        <f>IF(OR($A$8="",D$4=""),"","甲歸「"&amp;$A$8&amp;"」、乙歸「"&amp;D$4&amp;"」")</f>
        <v/>
      </c>
      <c r="O37">
        <f>IF(N37="",0,D8)</f>
        <v/>
      </c>
    </row>
    <row r="38">
      <c r="N38">
        <f>IF(OR($A$8="",F$4=""),"","甲歸「"&amp;$A$8&amp;"」、乙歸「"&amp;F$4&amp;"」")</f>
        <v/>
      </c>
      <c r="O38">
        <f>IF(N38="",0,F8)</f>
        <v/>
      </c>
    </row>
    <row r="39">
      <c r="N39">
        <f>IF(OR($A$8="",G$4=""),"","甲歸「"&amp;$A$8&amp;"」、乙歸「"&amp;G$4&amp;"」")</f>
        <v/>
      </c>
      <c r="O39">
        <f>IF(N39="",0,G8)</f>
        <v/>
      </c>
    </row>
    <row r="40">
      <c r="N40">
        <f>IF(OR($A$8="",H$4=""),"","甲歸「"&amp;$A$8&amp;"」、乙歸「"&amp;H$4&amp;"」")</f>
        <v/>
      </c>
      <c r="O40">
        <f>IF(N40="",0,H8)</f>
        <v/>
      </c>
    </row>
    <row r="41">
      <c r="N41">
        <f>IF(OR($A$8="",I$4=""),"","甲歸「"&amp;$A$8&amp;"」、乙歸「"&amp;I$4&amp;"」")</f>
        <v/>
      </c>
      <c r="O41">
        <f>IF(N41="",0,I8)</f>
        <v/>
      </c>
    </row>
    <row r="42">
      <c r="N42">
        <f>IF(OR($A$8="",J$4=""),"","甲歸「"&amp;$A$8&amp;"」、乙歸「"&amp;J$4&amp;"」")</f>
        <v/>
      </c>
      <c r="O42">
        <f>IF(N42="",0,J8)</f>
        <v/>
      </c>
    </row>
    <row r="43">
      <c r="N43">
        <f>IF(OR($A$8="",K$4=""),"","甲歸「"&amp;$A$8&amp;"」、乙歸「"&amp;K$4&amp;"」")</f>
        <v/>
      </c>
      <c r="O43">
        <f>IF(N43="",0,K8)</f>
        <v/>
      </c>
    </row>
    <row r="44">
      <c r="N44">
        <f>IF(OR($A$8="",L$4=""),"","甲歸「"&amp;$A$8&amp;"」、乙歸「"&amp;L$4&amp;"」")</f>
        <v/>
      </c>
      <c r="O44">
        <f>IF(N44="",0,L8)</f>
        <v/>
      </c>
    </row>
    <row r="45">
      <c r="N45">
        <f>IF(OR($A$9="",B$4=""),"","甲歸「"&amp;$A$9&amp;"」、乙歸「"&amp;B$4&amp;"」")</f>
        <v/>
      </c>
      <c r="O45">
        <f>IF(N45="",0,B9)</f>
        <v/>
      </c>
    </row>
    <row r="46">
      <c r="N46">
        <f>IF(OR($A$9="",C$4=""),"","甲歸「"&amp;$A$9&amp;"」、乙歸「"&amp;C$4&amp;"」")</f>
        <v/>
      </c>
      <c r="O46">
        <f>IF(N46="",0,C9)</f>
        <v/>
      </c>
    </row>
    <row r="47">
      <c r="N47">
        <f>IF(OR($A$9="",D$4=""),"","甲歸「"&amp;$A$9&amp;"」、乙歸「"&amp;D$4&amp;"」")</f>
        <v/>
      </c>
      <c r="O47">
        <f>IF(N47="",0,D9)</f>
        <v/>
      </c>
    </row>
    <row r="48">
      <c r="N48">
        <f>IF(OR($A$9="",E$4=""),"","甲歸「"&amp;$A$9&amp;"」、乙歸「"&amp;E$4&amp;"」")</f>
        <v/>
      </c>
      <c r="O48">
        <f>IF(N48="",0,E9)</f>
        <v/>
      </c>
    </row>
    <row r="49">
      <c r="N49">
        <f>IF(OR($A$9="",G$4=""),"","甲歸「"&amp;$A$9&amp;"」、乙歸「"&amp;G$4&amp;"」")</f>
        <v/>
      </c>
      <c r="O49">
        <f>IF(N49="",0,G9)</f>
        <v/>
      </c>
    </row>
    <row r="50">
      <c r="N50">
        <f>IF(OR($A$9="",H$4=""),"","甲歸「"&amp;$A$9&amp;"」、乙歸「"&amp;H$4&amp;"」")</f>
        <v/>
      </c>
      <c r="O50">
        <f>IF(N50="",0,H9)</f>
        <v/>
      </c>
    </row>
    <row r="51">
      <c r="N51">
        <f>IF(OR($A$9="",I$4=""),"","甲歸「"&amp;$A$9&amp;"」、乙歸「"&amp;I$4&amp;"」")</f>
        <v/>
      </c>
      <c r="O51">
        <f>IF(N51="",0,I9)</f>
        <v/>
      </c>
    </row>
    <row r="52">
      <c r="N52">
        <f>IF(OR($A$9="",J$4=""),"","甲歸「"&amp;$A$9&amp;"」、乙歸「"&amp;J$4&amp;"」")</f>
        <v/>
      </c>
      <c r="O52">
        <f>IF(N52="",0,J9)</f>
        <v/>
      </c>
    </row>
    <row r="53">
      <c r="N53">
        <f>IF(OR($A$9="",K$4=""),"","甲歸「"&amp;$A$9&amp;"」、乙歸「"&amp;K$4&amp;"」")</f>
        <v/>
      </c>
      <c r="O53">
        <f>IF(N53="",0,K9)</f>
        <v/>
      </c>
    </row>
    <row r="54">
      <c r="N54">
        <f>IF(OR($A$9="",L$4=""),"","甲歸「"&amp;$A$9&amp;"」、乙歸「"&amp;L$4&amp;"」")</f>
        <v/>
      </c>
      <c r="O54">
        <f>IF(N54="",0,L9)</f>
        <v/>
      </c>
    </row>
    <row r="55">
      <c r="N55">
        <f>IF(OR($A$10="",B$4=""),"","甲歸「"&amp;$A$10&amp;"」、乙歸「"&amp;B$4&amp;"」")</f>
        <v/>
      </c>
      <c r="O55">
        <f>IF(N55="",0,B10)</f>
        <v/>
      </c>
    </row>
    <row r="56">
      <c r="N56">
        <f>IF(OR($A$10="",C$4=""),"","甲歸「"&amp;$A$10&amp;"」、乙歸「"&amp;C$4&amp;"」")</f>
        <v/>
      </c>
      <c r="O56">
        <f>IF(N56="",0,C10)</f>
        <v/>
      </c>
    </row>
    <row r="57">
      <c r="N57">
        <f>IF(OR($A$10="",D$4=""),"","甲歸「"&amp;$A$10&amp;"」、乙歸「"&amp;D$4&amp;"」")</f>
        <v/>
      </c>
      <c r="O57">
        <f>IF(N57="",0,D10)</f>
        <v/>
      </c>
    </row>
    <row r="58">
      <c r="N58">
        <f>IF(OR($A$10="",E$4=""),"","甲歸「"&amp;$A$10&amp;"」、乙歸「"&amp;E$4&amp;"」")</f>
        <v/>
      </c>
      <c r="O58">
        <f>IF(N58="",0,E10)</f>
        <v/>
      </c>
    </row>
    <row r="59">
      <c r="N59">
        <f>IF(OR($A$10="",F$4=""),"","甲歸「"&amp;$A$10&amp;"」、乙歸「"&amp;F$4&amp;"」")</f>
        <v/>
      </c>
      <c r="O59">
        <f>IF(N59="",0,F10)</f>
        <v/>
      </c>
    </row>
    <row r="60">
      <c r="N60">
        <f>IF(OR($A$10="",H$4=""),"","甲歸「"&amp;$A$10&amp;"」、乙歸「"&amp;H$4&amp;"」")</f>
        <v/>
      </c>
      <c r="O60">
        <f>IF(N60="",0,H10)</f>
        <v/>
      </c>
    </row>
    <row r="61">
      <c r="N61">
        <f>IF(OR($A$10="",I$4=""),"","甲歸「"&amp;$A$10&amp;"」、乙歸「"&amp;I$4&amp;"」")</f>
        <v/>
      </c>
      <c r="O61">
        <f>IF(N61="",0,I10)</f>
        <v/>
      </c>
    </row>
    <row r="62">
      <c r="N62">
        <f>IF(OR($A$10="",J$4=""),"","甲歸「"&amp;$A$10&amp;"」、乙歸「"&amp;J$4&amp;"」")</f>
        <v/>
      </c>
      <c r="O62">
        <f>IF(N62="",0,J10)</f>
        <v/>
      </c>
    </row>
    <row r="63">
      <c r="N63">
        <f>IF(OR($A$10="",K$4=""),"","甲歸「"&amp;$A$10&amp;"」、乙歸「"&amp;K$4&amp;"」")</f>
        <v/>
      </c>
      <c r="O63">
        <f>IF(N63="",0,K10)</f>
        <v/>
      </c>
    </row>
    <row r="64">
      <c r="N64">
        <f>IF(OR($A$10="",L$4=""),"","甲歸「"&amp;$A$10&amp;"」、乙歸「"&amp;L$4&amp;"」")</f>
        <v/>
      </c>
      <c r="O64">
        <f>IF(N64="",0,L10)</f>
        <v/>
      </c>
    </row>
    <row r="65">
      <c r="N65">
        <f>IF(OR($A$11="",B$4=""),"","甲歸「"&amp;$A$11&amp;"」、乙歸「"&amp;B$4&amp;"」")</f>
        <v/>
      </c>
      <c r="O65">
        <f>IF(N65="",0,B11)</f>
        <v/>
      </c>
    </row>
    <row r="66">
      <c r="N66">
        <f>IF(OR($A$11="",C$4=""),"","甲歸「"&amp;$A$11&amp;"」、乙歸「"&amp;C$4&amp;"」")</f>
        <v/>
      </c>
      <c r="O66">
        <f>IF(N66="",0,C11)</f>
        <v/>
      </c>
    </row>
    <row r="67">
      <c r="N67">
        <f>IF(OR($A$11="",D$4=""),"","甲歸「"&amp;$A$11&amp;"」、乙歸「"&amp;D$4&amp;"」")</f>
        <v/>
      </c>
      <c r="O67">
        <f>IF(N67="",0,D11)</f>
        <v/>
      </c>
    </row>
    <row r="68">
      <c r="N68">
        <f>IF(OR($A$11="",E$4=""),"","甲歸「"&amp;$A$11&amp;"」、乙歸「"&amp;E$4&amp;"」")</f>
        <v/>
      </c>
      <c r="O68">
        <f>IF(N68="",0,E11)</f>
        <v/>
      </c>
    </row>
    <row r="69">
      <c r="N69">
        <f>IF(OR($A$11="",F$4=""),"","甲歸「"&amp;$A$11&amp;"」、乙歸「"&amp;F$4&amp;"」")</f>
        <v/>
      </c>
      <c r="O69">
        <f>IF(N69="",0,F11)</f>
        <v/>
      </c>
    </row>
    <row r="70">
      <c r="N70">
        <f>IF(OR($A$11="",G$4=""),"","甲歸「"&amp;$A$11&amp;"」、乙歸「"&amp;G$4&amp;"」")</f>
        <v/>
      </c>
      <c r="O70">
        <f>IF(N70="",0,G11)</f>
        <v/>
      </c>
    </row>
    <row r="71">
      <c r="N71">
        <f>IF(OR($A$11="",I$4=""),"","甲歸「"&amp;$A$11&amp;"」、乙歸「"&amp;I$4&amp;"」")</f>
        <v/>
      </c>
      <c r="O71">
        <f>IF(N71="",0,I11)</f>
        <v/>
      </c>
    </row>
    <row r="72">
      <c r="N72">
        <f>IF(OR($A$11="",J$4=""),"","甲歸「"&amp;$A$11&amp;"」、乙歸「"&amp;J$4&amp;"」")</f>
        <v/>
      </c>
      <c r="O72">
        <f>IF(N72="",0,J11)</f>
        <v/>
      </c>
    </row>
    <row r="73">
      <c r="N73">
        <f>IF(OR($A$11="",K$4=""),"","甲歸「"&amp;$A$11&amp;"」、乙歸「"&amp;K$4&amp;"」")</f>
        <v/>
      </c>
      <c r="O73">
        <f>IF(N73="",0,K11)</f>
        <v/>
      </c>
    </row>
    <row r="74">
      <c r="N74">
        <f>IF(OR($A$11="",L$4=""),"","甲歸「"&amp;$A$11&amp;"」、乙歸「"&amp;L$4&amp;"」")</f>
        <v/>
      </c>
      <c r="O74">
        <f>IF(N74="",0,L11)</f>
        <v/>
      </c>
    </row>
    <row r="75">
      <c r="N75">
        <f>IF(OR($A$12="",B$4=""),"","甲歸「"&amp;$A$12&amp;"」、乙歸「"&amp;B$4&amp;"」")</f>
        <v/>
      </c>
      <c r="O75">
        <f>IF(N75="",0,B12)</f>
        <v/>
      </c>
    </row>
    <row r="76">
      <c r="N76">
        <f>IF(OR($A$12="",C$4=""),"","甲歸「"&amp;$A$12&amp;"」、乙歸「"&amp;C$4&amp;"」")</f>
        <v/>
      </c>
      <c r="O76">
        <f>IF(N76="",0,C12)</f>
        <v/>
      </c>
    </row>
    <row r="77">
      <c r="N77">
        <f>IF(OR($A$12="",D$4=""),"","甲歸「"&amp;$A$12&amp;"」、乙歸「"&amp;D$4&amp;"」")</f>
        <v/>
      </c>
      <c r="O77">
        <f>IF(N77="",0,D12)</f>
        <v/>
      </c>
    </row>
    <row r="78">
      <c r="N78">
        <f>IF(OR($A$12="",E$4=""),"","甲歸「"&amp;$A$12&amp;"」、乙歸「"&amp;E$4&amp;"」")</f>
        <v/>
      </c>
      <c r="O78">
        <f>IF(N78="",0,E12)</f>
        <v/>
      </c>
    </row>
    <row r="79">
      <c r="N79">
        <f>IF(OR($A$12="",F$4=""),"","甲歸「"&amp;$A$12&amp;"」、乙歸「"&amp;F$4&amp;"」")</f>
        <v/>
      </c>
      <c r="O79">
        <f>IF(N79="",0,F12)</f>
        <v/>
      </c>
    </row>
    <row r="80">
      <c r="N80">
        <f>IF(OR($A$12="",G$4=""),"","甲歸「"&amp;$A$12&amp;"」、乙歸「"&amp;G$4&amp;"」")</f>
        <v/>
      </c>
      <c r="O80">
        <f>IF(N80="",0,G12)</f>
        <v/>
      </c>
    </row>
    <row r="81">
      <c r="N81">
        <f>IF(OR($A$12="",H$4=""),"","甲歸「"&amp;$A$12&amp;"」、乙歸「"&amp;H$4&amp;"」")</f>
        <v/>
      </c>
      <c r="O81">
        <f>IF(N81="",0,H12)</f>
        <v/>
      </c>
    </row>
    <row r="82">
      <c r="N82">
        <f>IF(OR($A$12="",J$4=""),"","甲歸「"&amp;$A$12&amp;"」、乙歸「"&amp;J$4&amp;"」")</f>
        <v/>
      </c>
      <c r="O82">
        <f>IF(N82="",0,J12)</f>
        <v/>
      </c>
    </row>
    <row r="83">
      <c r="N83">
        <f>IF(OR($A$12="",K$4=""),"","甲歸「"&amp;$A$12&amp;"」、乙歸「"&amp;K$4&amp;"」")</f>
        <v/>
      </c>
      <c r="O83">
        <f>IF(N83="",0,K12)</f>
        <v/>
      </c>
    </row>
    <row r="84">
      <c r="N84">
        <f>IF(OR($A$12="",L$4=""),"","甲歸「"&amp;$A$12&amp;"」、乙歸「"&amp;L$4&amp;"」")</f>
        <v/>
      </c>
      <c r="O84">
        <f>IF(N84="",0,L12)</f>
        <v/>
      </c>
    </row>
    <row r="85">
      <c r="N85">
        <f>IF(OR($A$13="",B$4=""),"","甲歸「"&amp;$A$13&amp;"」、乙歸「"&amp;B$4&amp;"」")</f>
        <v/>
      </c>
      <c r="O85">
        <f>IF(N85="",0,B13)</f>
        <v/>
      </c>
    </row>
    <row r="86">
      <c r="N86">
        <f>IF(OR($A$13="",C$4=""),"","甲歸「"&amp;$A$13&amp;"」、乙歸「"&amp;C$4&amp;"」")</f>
        <v/>
      </c>
      <c r="O86">
        <f>IF(N86="",0,C13)</f>
        <v/>
      </c>
    </row>
    <row r="87">
      <c r="N87">
        <f>IF(OR($A$13="",D$4=""),"","甲歸「"&amp;$A$13&amp;"」、乙歸「"&amp;D$4&amp;"」")</f>
        <v/>
      </c>
      <c r="O87">
        <f>IF(N87="",0,D13)</f>
        <v/>
      </c>
    </row>
    <row r="88">
      <c r="N88">
        <f>IF(OR($A$13="",E$4=""),"","甲歸「"&amp;$A$13&amp;"」、乙歸「"&amp;E$4&amp;"」")</f>
        <v/>
      </c>
      <c r="O88">
        <f>IF(N88="",0,E13)</f>
        <v/>
      </c>
    </row>
    <row r="89">
      <c r="N89">
        <f>IF(OR($A$13="",F$4=""),"","甲歸「"&amp;$A$13&amp;"」、乙歸「"&amp;F$4&amp;"」")</f>
        <v/>
      </c>
      <c r="O89">
        <f>IF(N89="",0,F13)</f>
        <v/>
      </c>
    </row>
    <row r="90">
      <c r="N90">
        <f>IF(OR($A$13="",G$4=""),"","甲歸「"&amp;$A$13&amp;"」、乙歸「"&amp;G$4&amp;"」")</f>
        <v/>
      </c>
      <c r="O90">
        <f>IF(N90="",0,G13)</f>
        <v/>
      </c>
    </row>
    <row r="91">
      <c r="N91">
        <f>IF(OR($A$13="",H$4=""),"","甲歸「"&amp;$A$13&amp;"」、乙歸「"&amp;H$4&amp;"」")</f>
        <v/>
      </c>
      <c r="O91">
        <f>IF(N91="",0,H13)</f>
        <v/>
      </c>
    </row>
    <row r="92">
      <c r="N92">
        <f>IF(OR($A$13="",I$4=""),"","甲歸「"&amp;$A$13&amp;"」、乙歸「"&amp;I$4&amp;"」")</f>
        <v/>
      </c>
      <c r="O92">
        <f>IF(N92="",0,I13)</f>
        <v/>
      </c>
    </row>
    <row r="93">
      <c r="N93">
        <f>IF(OR($A$13="",K$4=""),"","甲歸「"&amp;$A$13&amp;"」、乙歸「"&amp;K$4&amp;"」")</f>
        <v/>
      </c>
      <c r="O93">
        <f>IF(N93="",0,K13)</f>
        <v/>
      </c>
    </row>
    <row r="94">
      <c r="N94">
        <f>IF(OR($A$13="",L$4=""),"","甲歸「"&amp;$A$13&amp;"」、乙歸「"&amp;L$4&amp;"」")</f>
        <v/>
      </c>
      <c r="O94">
        <f>IF(N94="",0,L13)</f>
        <v/>
      </c>
    </row>
    <row r="95">
      <c r="N95">
        <f>IF(OR($A$14="",B$4=""),"","甲歸「"&amp;$A$14&amp;"」、乙歸「"&amp;B$4&amp;"」")</f>
        <v/>
      </c>
      <c r="O95">
        <f>IF(N95="",0,B14)</f>
        <v/>
      </c>
    </row>
    <row r="96">
      <c r="N96">
        <f>IF(OR($A$14="",C$4=""),"","甲歸「"&amp;$A$14&amp;"」、乙歸「"&amp;C$4&amp;"」")</f>
        <v/>
      </c>
      <c r="O96">
        <f>IF(N96="",0,C14)</f>
        <v/>
      </c>
    </row>
    <row r="97">
      <c r="N97">
        <f>IF(OR($A$14="",D$4=""),"","甲歸「"&amp;$A$14&amp;"」、乙歸「"&amp;D$4&amp;"」")</f>
        <v/>
      </c>
      <c r="O97">
        <f>IF(N97="",0,D14)</f>
        <v/>
      </c>
    </row>
    <row r="98">
      <c r="N98">
        <f>IF(OR($A$14="",E$4=""),"","甲歸「"&amp;$A$14&amp;"」、乙歸「"&amp;E$4&amp;"」")</f>
        <v/>
      </c>
      <c r="O98">
        <f>IF(N98="",0,E14)</f>
        <v/>
      </c>
    </row>
    <row r="99">
      <c r="N99">
        <f>IF(OR($A$14="",F$4=""),"","甲歸「"&amp;$A$14&amp;"」、乙歸「"&amp;F$4&amp;"」")</f>
        <v/>
      </c>
      <c r="O99">
        <f>IF(N99="",0,F14)</f>
        <v/>
      </c>
    </row>
    <row r="100">
      <c r="N100">
        <f>IF(OR($A$14="",G$4=""),"","甲歸「"&amp;$A$14&amp;"」、乙歸「"&amp;G$4&amp;"」")</f>
        <v/>
      </c>
      <c r="O100">
        <f>IF(N100="",0,G14)</f>
        <v/>
      </c>
    </row>
    <row r="101">
      <c r="N101">
        <f>IF(OR($A$14="",H$4=""),"","甲歸「"&amp;$A$14&amp;"」、乙歸「"&amp;H$4&amp;"」")</f>
        <v/>
      </c>
      <c r="O101">
        <f>IF(N101="",0,H14)</f>
        <v/>
      </c>
    </row>
    <row r="102">
      <c r="N102">
        <f>IF(OR($A$14="",I$4=""),"","甲歸「"&amp;$A$14&amp;"」、乙歸「"&amp;I$4&amp;"」")</f>
        <v/>
      </c>
      <c r="O102">
        <f>IF(N102="",0,I14)</f>
        <v/>
      </c>
    </row>
    <row r="103">
      <c r="N103">
        <f>IF(OR($A$14="",J$4=""),"","甲歸「"&amp;$A$14&amp;"」、乙歸「"&amp;J$4&amp;"」")</f>
        <v/>
      </c>
      <c r="O103">
        <f>IF(N103="",0,J14)</f>
        <v/>
      </c>
    </row>
    <row r="104">
      <c r="N104">
        <f>IF(OR($A$14="",L$4=""),"","甲歸「"&amp;$A$14&amp;"」、乙歸「"&amp;L$4&amp;"」")</f>
        <v/>
      </c>
      <c r="O104">
        <f>IF(N104="",0,L14)</f>
        <v/>
      </c>
    </row>
    <row r="105">
      <c r="N105">
        <f>IF(OR($A$15="",B$4=""),"","甲歸「"&amp;$A$15&amp;"」、乙歸「"&amp;B$4&amp;"」")</f>
        <v/>
      </c>
      <c r="O105">
        <f>IF(N105="",0,B15)</f>
        <v/>
      </c>
    </row>
    <row r="106">
      <c r="N106">
        <f>IF(OR($A$15="",C$4=""),"","甲歸「"&amp;$A$15&amp;"」、乙歸「"&amp;C$4&amp;"」")</f>
        <v/>
      </c>
      <c r="O106">
        <f>IF(N106="",0,C15)</f>
        <v/>
      </c>
    </row>
    <row r="107">
      <c r="N107">
        <f>IF(OR($A$15="",D$4=""),"","甲歸「"&amp;$A$15&amp;"」、乙歸「"&amp;D$4&amp;"」")</f>
        <v/>
      </c>
      <c r="O107">
        <f>IF(N107="",0,D15)</f>
        <v/>
      </c>
    </row>
    <row r="108">
      <c r="N108">
        <f>IF(OR($A$15="",E$4=""),"","甲歸「"&amp;$A$15&amp;"」、乙歸「"&amp;E$4&amp;"」")</f>
        <v/>
      </c>
      <c r="O108">
        <f>IF(N108="",0,E15)</f>
        <v/>
      </c>
    </row>
    <row r="109">
      <c r="N109">
        <f>IF(OR($A$15="",F$4=""),"","甲歸「"&amp;$A$15&amp;"」、乙歸「"&amp;F$4&amp;"」")</f>
        <v/>
      </c>
      <c r="O109">
        <f>IF(N109="",0,F15)</f>
        <v/>
      </c>
    </row>
    <row r="110">
      <c r="N110">
        <f>IF(OR($A$15="",G$4=""),"","甲歸「"&amp;$A$15&amp;"」、乙歸「"&amp;G$4&amp;"」")</f>
        <v/>
      </c>
      <c r="O110">
        <f>IF(N110="",0,G15)</f>
        <v/>
      </c>
    </row>
    <row r="111">
      <c r="N111">
        <f>IF(OR($A$15="",H$4=""),"","甲歸「"&amp;$A$15&amp;"」、乙歸「"&amp;H$4&amp;"」")</f>
        <v/>
      </c>
      <c r="O111">
        <f>IF(N111="",0,H15)</f>
        <v/>
      </c>
    </row>
    <row r="112">
      <c r="N112">
        <f>IF(OR($A$15="",I$4=""),"","甲歸「"&amp;$A$15&amp;"」、乙歸「"&amp;I$4&amp;"」")</f>
        <v/>
      </c>
      <c r="O112">
        <f>IF(N112="",0,I15)</f>
        <v/>
      </c>
    </row>
    <row r="113">
      <c r="N113">
        <f>IF(OR($A$15="",J$4=""),"","甲歸「"&amp;$A$15&amp;"」、乙歸「"&amp;J$4&amp;"」")</f>
        <v/>
      </c>
      <c r="O113">
        <f>IF(N113="",0,J15)</f>
        <v/>
      </c>
    </row>
    <row r="114">
      <c r="N114">
        <f>IF(OR($A$15="",K$4=""),"","甲歸「"&amp;$A$15&amp;"」、乙歸「"&amp;K$4&amp;"」")</f>
        <v/>
      </c>
      <c r="O114">
        <f>IF(N114="",0,K15)</f>
        <v/>
      </c>
    </row>
  </sheetData>
  <mergeCells count="11">
    <mergeCell ref="C26:J26"/>
    <mergeCell ref="C21:J21"/>
    <mergeCell ref="C20:J20"/>
    <mergeCell ref="C25:J25"/>
    <mergeCell ref="C24:J24"/>
    <mergeCell ref="B23:J23"/>
    <mergeCell ref="C22:J22"/>
    <mergeCell ref="C19:J19"/>
    <mergeCell ref="C23:J23"/>
    <mergeCell ref="B24:J24"/>
    <mergeCell ref="C18:J18"/>
  </mergeCells>
  <conditionalFormatting sqref="B22">
    <cfRule type="expression" priority="1" dxfId="2">
      <formula>AND(ISNUMBER($B$22),$B$22&gt;=0.61)</formula>
    </cfRule>
    <cfRule type="expression" priority="2" dxfId="3">
      <formula>AND(ISNUMBER($B$22),$B$22&gt;=0.41,$B$22&lt;0.61)</formula>
    </cfRule>
    <cfRule type="expression" priority="3" dxfId="4">
      <formula>AND(ISNUMBER($B$22),$B$22&gt;0,$B$22&lt;0.41)</formula>
    </cfRule>
    <cfRule type="expression" priority="4" dxfId="5">
      <formula>OR($B$22="無法計算",AND(ISNUMBER($B$22),$B$22&lt;=0))</formula>
    </cfRule>
  </conditionalFormatting>
  <conditionalFormatting sqref="B23:J23">
    <cfRule type="expression" priority="5" dxfId="2">
      <formula>AND(ISNUMBER($B$22),$B$22&gt;=0.61)</formula>
    </cfRule>
    <cfRule type="expression" priority="6" dxfId="3">
      <formula>AND(ISNUMBER($B$22),$B$22&gt;=0.41,$B$22&lt;0.61)</formula>
    </cfRule>
    <cfRule type="expression" priority="7" dxfId="4">
      <formula>AND(ISNUMBER($B$22),$B$22&gt;0,$B$22&lt;0.41)</formula>
    </cfRule>
    <cfRule type="expression" priority="8" dxfId="5">
      <formula>OR($B$22="無法計算",AND(ISNUMBER($B$22),$B$22&lt;=0))</formula>
    </cfRule>
  </conditionalFormatting>
  <conditionalFormatting sqref="B25:B26">
    <cfRule type="expression" priority="9" dxfId="4">
      <formula>B25&gt;0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4" customWidth="1" min="3" max="3"/>
    <col width="13" customWidth="1" min="4" max="4"/>
    <col width="22" customWidth="1" min="6" max="6"/>
    <col width="16" customWidth="1" min="7" max="7"/>
    <col width="16" customWidth="1" min="8" max="8"/>
  </cols>
  <sheetData>
    <row r="1">
      <c r="A1" s="11" t="inlineStr">
        <is>
          <t>標籤驗證（分類完成後才看）</t>
        </is>
      </c>
    </row>
    <row r="2">
      <c r="A2" s="12" t="inlineStr">
        <is>
          <t>填入事例當時旁人的原話，檢驗流行語這個標籤，實際落在哪些類別的行為上</t>
        </is>
      </c>
    </row>
    <row r="4">
      <c r="A4" s="13" t="inlineStr">
        <is>
          <t>編號</t>
        </is>
      </c>
      <c r="B4" s="13" t="inlineStr">
        <is>
          <t>最後採用的分類</t>
        </is>
      </c>
      <c r="C4" s="13" t="inlineStr">
        <is>
          <t>旁人原話</t>
        </is>
      </c>
      <c r="D4" s="13" t="inlineStr">
        <is>
          <t>含「玻璃心」</t>
        </is>
      </c>
      <c r="F4" s="32" t="inlineStr">
        <is>
          <t>要檢驗的標籤</t>
        </is>
      </c>
      <c r="G4" s="33" t="inlineStr">
        <is>
          <t>玻璃心</t>
        </is>
      </c>
    </row>
    <row r="5">
      <c r="A5" s="18">
        <f>IF(事例清單!A5="","",事例清單!A5)</f>
        <v/>
      </c>
      <c r="B5" s="18">
        <f>IF(事例清單!F5&lt;&gt;"是","",IF(事例清單!J5&lt;&gt;"",事例清單!J5,IF(事例清單!I5="一致",事例清單!G5,"")))</f>
        <v/>
      </c>
      <c r="C5" s="15" t="inlineStr">
        <is>
          <t>他也太玻璃心了吧，講一句就哭</t>
        </is>
      </c>
      <c r="D5" s="18">
        <f>IF(C5="","",IF(ISNUMBER(SEARCH($G$4,C5)),"有",""))</f>
        <v/>
      </c>
    </row>
    <row r="6">
      <c r="A6" s="18">
        <f>IF(事例清單!A6="","",事例清單!A6)</f>
        <v/>
      </c>
      <c r="B6" s="18">
        <f>IF(事例清單!F6&lt;&gt;"是","",IF(事例清單!J6&lt;&gt;"",事例清單!J6,IF(事例清單!I6="一致",事例清單!G6,"")))</f>
        <v/>
      </c>
      <c r="C6" s="15" t="inlineStr">
        <is>
          <t>被客戶念一句就這樣，新人都經不起</t>
        </is>
      </c>
      <c r="D6" s="18">
        <f>IF(C6="","",IF(ISNUMBER(SEARCH($G$4,C6)),"有",""))</f>
        <v/>
      </c>
      <c r="F6" s="13" t="inlineStr">
        <is>
          <t>類別</t>
        </is>
      </c>
      <c r="G6" s="13" t="inlineStr">
        <is>
          <t>事例數</t>
        </is>
      </c>
      <c r="H6" s="13" t="inlineStr">
        <is>
          <t>被貼上標籤</t>
        </is>
      </c>
    </row>
    <row r="7">
      <c r="A7" s="18">
        <f>IF(事例清單!A7="","",事例清單!A7)</f>
        <v/>
      </c>
      <c r="B7" s="18">
        <f>IF(事例清單!F7&lt;&gt;"是","",IF(事例清單!J7&lt;&gt;"",事例清單!J7,IF(事例清單!I7="一致",事例清單!G7,"")))</f>
        <v/>
      </c>
      <c r="C7" s="15" t="inlineStr">
        <is>
          <t>草莓族就是這樣，碰一下就爛</t>
        </is>
      </c>
      <c r="D7" s="18">
        <f>IF(C7="","",IF(ISNUMBER(SEARCH($G$4,C7)),"有",""))</f>
        <v/>
      </c>
      <c r="F7" s="14">
        <f>IF(編碼簿!$B$5="","",編碼簿!$B$5)</f>
        <v/>
      </c>
      <c r="G7" s="14">
        <f>IF(F7="","",COUNTIF($B$5:$B$304,F7))</f>
        <v/>
      </c>
      <c r="H7" s="14">
        <f>IF(F7="","",COUNTIFS($B$5:$B$304,F7,$D$5:$D$304,"有"))</f>
        <v/>
      </c>
    </row>
    <row r="8">
      <c r="A8" s="18">
        <f>IF(事例清單!A8="","",事例清單!A8)</f>
        <v/>
      </c>
      <c r="B8" s="18">
        <f>IF(事例清單!F8&lt;&gt;"是","",IF(事例清單!J8&lt;&gt;"",事例清單!J8,IF(事例清單!I8="一致",事例清單!G8,"")))</f>
        <v/>
      </c>
      <c r="C8" s="15" t="inlineStr">
        <is>
          <t>太脆弱了，以後怎麼帶人</t>
        </is>
      </c>
      <c r="D8" s="18">
        <f>IF(C8="","",IF(ISNUMBER(SEARCH($G$4,C8)),"有",""))</f>
        <v/>
      </c>
      <c r="F8" s="14">
        <f>IF(編碼簿!$B$6="","",編碼簿!$B$6)</f>
        <v/>
      </c>
      <c r="G8" s="14">
        <f>IF(F8="","",COUNTIF($B$5:$B$304,F8))</f>
        <v/>
      </c>
      <c r="H8" s="14">
        <f>IF(F8="","",COUNTIFS($B$5:$B$304,F8,$D$5:$D$304,"有"))</f>
        <v/>
      </c>
    </row>
    <row r="9">
      <c r="A9" s="18">
        <f>IF(事例清單!A9="","",事例清單!A9)</f>
        <v/>
      </c>
      <c r="B9" s="18">
        <f>IF(事例清單!F9&lt;&gt;"是","",IF(事例清單!J9&lt;&gt;"",事例清單!J9,IF(事例清單!I9="一致",事例清單!G9,"")))</f>
        <v/>
      </c>
      <c r="C9" s="15" t="inlineStr">
        <is>
          <t>他就是玻璃心</t>
        </is>
      </c>
      <c r="D9" s="18">
        <f>IF(C9="","",IF(ISNUMBER(SEARCH($G$4,C9)),"有",""))</f>
        <v/>
      </c>
      <c r="F9" s="14">
        <f>IF(編碼簿!$B$7="","",編碼簿!$B$7)</f>
        <v/>
      </c>
      <c r="G9" s="14">
        <f>IF(F9="","",COUNTIF($B$5:$B$304,F9))</f>
        <v/>
      </c>
      <c r="H9" s="14">
        <f>IF(F9="","",COUNTIFS($B$5:$B$304,F9,$D$5:$D$304,"有"))</f>
        <v/>
      </c>
    </row>
    <row r="10">
      <c r="A10" s="18">
        <f>IF(事例清單!A10="","",事例清單!A10)</f>
        <v/>
      </c>
      <c r="B10" s="18">
        <f>IF(事例清單!F10&lt;&gt;"是","",IF(事例清單!J10&lt;&gt;"",事例清單!J10,IF(事例清單!I10="一致",事例清單!G10,"")))</f>
        <v/>
      </c>
      <c r="C10" s="15" t="inlineStr">
        <is>
          <t>被保護得太好了吧</t>
        </is>
      </c>
      <c r="D10" s="18">
        <f>IF(C10="","",IF(ISNUMBER(SEARCH($G$4,C10)),"有",""))</f>
        <v/>
      </c>
      <c r="F10" s="14">
        <f>IF(編碼簿!$B$8="","",編碼簿!$B$8)</f>
        <v/>
      </c>
      <c r="G10" s="14">
        <f>IF(F10="","",COUNTIF($B$5:$B$304,F10))</f>
        <v/>
      </c>
      <c r="H10" s="14">
        <f>IF(F10="","",COUNTIFS($B$5:$B$304,F10,$D$5:$D$304,"有"))</f>
        <v/>
      </c>
    </row>
    <row r="11">
      <c r="A11" s="18">
        <f>IF(事例清單!A11="","",事例清單!A11)</f>
        <v/>
      </c>
      <c r="B11" s="18">
        <f>IF(事例清單!F11&lt;&gt;"是","",IF(事例清單!J11&lt;&gt;"",事例清單!J11,IF(事例清單!I11="一致",事例清單!G11,"")))</f>
        <v/>
      </c>
      <c r="C11" s="15" t="inlineStr">
        <is>
          <t>玻璃心，一點小事想那麼久</t>
        </is>
      </c>
      <c r="D11" s="18">
        <f>IF(C11="","",IF(ISNUMBER(SEARCH($G$4,C11)),"有",""))</f>
        <v/>
      </c>
      <c r="F11" s="14">
        <f>IF(編碼簿!$B$9="","",編碼簿!$B$9)</f>
        <v/>
      </c>
      <c r="G11" s="14">
        <f>IF(F11="","",COUNTIF($B$5:$B$304,F11))</f>
        <v/>
      </c>
      <c r="H11" s="14">
        <f>IF(F11="","",COUNTIFS($B$5:$B$304,F11,$D$5:$D$304,"有"))</f>
        <v/>
      </c>
    </row>
    <row r="12">
      <c r="A12" s="18">
        <f>IF(事例清單!A12="","",事例清單!A12)</f>
        <v/>
      </c>
      <c r="B12" s="18">
        <f>IF(事例清單!F12&lt;&gt;"是","",IF(事例清單!J12&lt;&gt;"",事例清單!J12,IF(事例清單!I12="一致",事例清單!G12,"")))</f>
        <v/>
      </c>
      <c r="C12" s="15" t="inlineStr">
        <is>
          <t>想太多了，這麼不禁念</t>
        </is>
      </c>
      <c r="D12" s="18">
        <f>IF(C12="","",IF(ISNUMBER(SEARCH($G$4,C12)),"有",""))</f>
        <v/>
      </c>
      <c r="F12" s="14">
        <f>IF(編碼簿!$B$10="","",編碼簿!$B$10)</f>
        <v/>
      </c>
      <c r="G12" s="14">
        <f>IF(F12="","",COUNTIF($B$5:$B$304,F12))</f>
        <v/>
      </c>
      <c r="H12" s="14">
        <f>IF(F12="","",COUNTIFS($B$5:$B$304,F12,$D$5:$D$304,"有"))</f>
        <v/>
      </c>
    </row>
    <row r="13">
      <c r="A13" s="18">
        <f>IF(事例清單!A13="","",事例清單!A13)</f>
        <v/>
      </c>
      <c r="B13" s="18">
        <f>IF(事例清單!F13&lt;&gt;"是","",IF(事例清單!J13&lt;&gt;"",事例清單!J13,IF(事例清單!I13="一致",事例清單!G13,"")))</f>
        <v/>
      </c>
      <c r="C13" s="15" t="inlineStr">
        <is>
          <t>現在的年輕人真的比較玻璃心</t>
        </is>
      </c>
      <c r="D13" s="18">
        <f>IF(C13="","",IF(ISNUMBER(SEARCH($G$4,C13)),"有",""))</f>
        <v/>
      </c>
      <c r="F13" s="14">
        <f>IF(編碼簿!$B$11="","",編碼簿!$B$11)</f>
        <v/>
      </c>
      <c r="G13" s="14">
        <f>IF(F13="","",COUNTIF($B$5:$B$304,F13))</f>
        <v/>
      </c>
      <c r="H13" s="14">
        <f>IF(F13="","",COUNTIFS($B$5:$B$304,F13,$D$5:$D$304,"有"))</f>
        <v/>
      </c>
    </row>
    <row r="14">
      <c r="A14" s="18">
        <f>IF(事例清單!A14="","",事例清單!A14)</f>
        <v/>
      </c>
      <c r="B14" s="18">
        <f>IF(事例清單!F14&lt;&gt;"是","",IF(事例清單!J14&lt;&gt;"",事例清單!J14,IF(事例清單!I14="一致",事例清單!G14,"")))</f>
        <v/>
      </c>
      <c r="C14" s="15" t="inlineStr">
        <is>
          <t>心太軟，做品管不適合</t>
        </is>
      </c>
      <c r="D14" s="18">
        <f>IF(C14="","",IF(ISNUMBER(SEARCH($G$4,C14)),"有",""))</f>
        <v/>
      </c>
      <c r="F14" s="14">
        <f>IF(編碼簿!$B$12="","",編碼簿!$B$12)</f>
        <v/>
      </c>
      <c r="G14" s="14">
        <f>IF(F14="","",COUNTIF($B$5:$B$304,F14))</f>
        <v/>
      </c>
      <c r="H14" s="14">
        <f>IF(F14="","",COUNTIFS($B$5:$B$304,F14,$D$5:$D$304,"有"))</f>
        <v/>
      </c>
    </row>
    <row r="15">
      <c r="A15" s="18">
        <f>IF(事例清單!A15="","",事例清單!A15)</f>
        <v/>
      </c>
      <c r="B15" s="18">
        <f>IF(事例清單!F15&lt;&gt;"是","",IF(事例清單!J15&lt;&gt;"",事例清單!J15,IF(事例清單!I15="一致",事例清單!G15,"")))</f>
        <v/>
      </c>
      <c r="C15" s="15" t="inlineStr">
        <is>
          <t>記仇喔，玻璃心</t>
        </is>
      </c>
      <c r="D15" s="18">
        <f>IF(C15="","",IF(ISNUMBER(SEARCH($G$4,C15)),"有",""))</f>
        <v/>
      </c>
      <c r="F15" s="14">
        <f>IF(編碼簿!$B$13="","",編碼簿!$B$13)</f>
        <v/>
      </c>
      <c r="G15" s="14">
        <f>IF(F15="","",COUNTIF($B$5:$B$304,F15))</f>
        <v/>
      </c>
      <c r="H15" s="14">
        <f>IF(F15="","",COUNTIFS($B$5:$B$304,F15,$D$5:$D$304,"有"))</f>
        <v/>
      </c>
    </row>
    <row r="16">
      <c r="A16" s="18">
        <f>IF(事例清單!A16="","",事例清單!A16)</f>
        <v/>
      </c>
      <c r="B16" s="18">
        <f>IF(事例清單!F16&lt;&gt;"是","",IF(事例清單!J16&lt;&gt;"",事例清單!J16,IF(事例清單!I16="一致",事例清單!G16,"")))</f>
        <v/>
      </c>
      <c r="C16" s="15" t="inlineStr">
        <is>
          <t>太敏感了</t>
        </is>
      </c>
      <c r="D16" s="18">
        <f>IF(C16="","",IF(ISNUMBER(SEARCH($G$4,C16)),"有",""))</f>
        <v/>
      </c>
      <c r="F16" s="14">
        <f>IF(編碼簿!$B$14="","",編碼簿!$B$14)</f>
        <v/>
      </c>
      <c r="G16" s="14">
        <f>IF(F16="","",COUNTIF($B$5:$B$304,F16))</f>
        <v/>
      </c>
      <c r="H16" s="14">
        <f>IF(F16="","",COUNTIFS($B$5:$B$304,F16,$D$5:$D$304,"有"))</f>
        <v/>
      </c>
    </row>
    <row r="17">
      <c r="A17" s="18">
        <f>IF(事例清單!A17="","",事例清單!A17)</f>
        <v/>
      </c>
      <c r="B17" s="18">
        <f>IF(事例清單!F17&lt;&gt;"是","",IF(事例清單!J17&lt;&gt;"",事例清單!J17,IF(事例清單!I17="一致",事例清單!G17,"")))</f>
        <v/>
      </c>
      <c r="C17" s="15" t="inlineStr">
        <is>
          <t>玻璃心，講一下就封鎖</t>
        </is>
      </c>
      <c r="D17" s="18">
        <f>IF(C17="","",IF(ISNUMBER(SEARCH($G$4,C17)),"有",""))</f>
        <v/>
      </c>
      <c r="F17" s="14">
        <f>IF(編碼簿!$B$15="","",編碼簿!$B$15)</f>
        <v/>
      </c>
      <c r="G17" s="14">
        <f>IF(F17="","",COUNTIF($B$5:$B$304,F17))</f>
        <v/>
      </c>
      <c r="H17" s="14">
        <f>IF(F17="","",COUNTIFS($B$5:$B$304,F17,$D$5:$D$304,"有"))</f>
        <v/>
      </c>
    </row>
    <row r="18">
      <c r="A18" s="18">
        <f>IF(事例清單!A18="","",事例清單!A18)</f>
        <v/>
      </c>
      <c r="B18" s="18">
        <f>IF(事例清單!F18&lt;&gt;"是","",IF(事例清單!J18&lt;&gt;"",事例清單!J18,IF(事例清單!I18="一致",事例清單!G18,"")))</f>
        <v/>
      </c>
      <c r="C18" s="15" t="inlineStr">
        <is>
          <t>躲什麼，就是玻璃心</t>
        </is>
      </c>
      <c r="D18" s="18">
        <f>IF(C18="","",IF(ISNUMBER(SEARCH($G$4,C18)),"有",""))</f>
        <v/>
      </c>
    </row>
    <row r="19">
      <c r="A19" s="18">
        <f>IF(事例清單!A19="","",事例清單!A19)</f>
        <v/>
      </c>
      <c r="B19" s="18">
        <f>IF(事例清單!F19&lt;&gt;"是","",IF(事例清單!J19&lt;&gt;"",事例清單!J19,IF(事例清單!I19="一致",事例清單!G19,"")))</f>
        <v/>
      </c>
      <c r="C19" s="15" t="inlineStr">
        <is>
          <t>草莓族，不敢面對</t>
        </is>
      </c>
      <c r="D19" s="18">
        <f>IF(C19="","",IF(ISNUMBER(SEARCH($G$4,C19)),"有",""))</f>
        <v/>
      </c>
      <c r="F19" s="27" t="inlineStr">
        <is>
          <t>標籤集中在哪幾類，代表大家用這個詞時，主要指的是哪些行為；標籤分散在各類，代表這個詞的意思很廣</t>
        </is>
      </c>
    </row>
    <row r="20">
      <c r="A20" s="18">
        <f>IF(事例清單!A20="","",事例清單!A20)</f>
        <v/>
      </c>
      <c r="B20" s="18">
        <f>IF(事例清單!F20&lt;&gt;"是","",IF(事例清單!J20&lt;&gt;"",事例清單!J20,IF(事例清單!I20="一致",事例清單!G20,"")))</f>
        <v/>
      </c>
      <c r="C20" s="15" t="inlineStr">
        <is>
          <t>玻璃心又愛面子</t>
        </is>
      </c>
      <c r="D20" s="18">
        <f>IF(C20="","",IF(ISNUMBER(SEARCH($G$4,C20)),"有",""))</f>
        <v/>
      </c>
    </row>
    <row r="21">
      <c r="A21" s="18">
        <f>IF(事例清單!A21="","",事例清單!A21)</f>
        <v/>
      </c>
      <c r="B21" s="18">
        <f>IF(事例清單!F21&lt;&gt;"是","",IF(事例清單!J21&lt;&gt;"",事例清單!J21,IF(事例清單!I21="一致",事例清單!G21,"")))</f>
        <v/>
      </c>
      <c r="C21" s="15" t="inlineStr">
        <is>
          <t>他就是聽不得別人講</t>
        </is>
      </c>
      <c r="D21" s="18">
        <f>IF(C21="","",IF(ISNUMBER(SEARCH($G$4,C21)),"有",""))</f>
        <v/>
      </c>
    </row>
    <row r="22">
      <c r="A22" s="18">
        <f>IF(事例清單!A22="","",事例清單!A22)</f>
        <v/>
      </c>
      <c r="B22" s="18">
        <f>IF(事例清單!F22&lt;&gt;"是","",IF(事例清單!J22&lt;&gt;"",事例清單!J22,IF(事例清單!I22="一致",事例清單!G22,"")))</f>
        <v/>
      </c>
      <c r="C22" s="15" t="inlineStr">
        <is>
          <t>受不了一點批評就想走</t>
        </is>
      </c>
      <c r="D22" s="18">
        <f>IF(C22="","",IF(ISNUMBER(SEARCH($G$4,C22)),"有",""))</f>
        <v/>
      </c>
    </row>
    <row r="23">
      <c r="A23" s="18">
        <f>IF(事例清單!A23="","",事例清單!A23)</f>
        <v/>
      </c>
      <c r="B23" s="18">
        <f>IF(事例清單!F23&lt;&gt;"是","",IF(事例清單!J23&lt;&gt;"",事例清單!J23,IF(事例清單!I23="一致",事例清單!G23,"")))</f>
        <v/>
      </c>
      <c r="C23" s="15" t="inlineStr">
        <is>
          <t>玻璃心</t>
        </is>
      </c>
      <c r="D23" s="18">
        <f>IF(C23="","",IF(ISNUMBER(SEARCH($G$4,C23)),"有",""))</f>
        <v/>
      </c>
    </row>
    <row r="24">
      <c r="A24" s="18">
        <f>IF(事例清單!A24="","",事例清單!A24)</f>
        <v/>
      </c>
      <c r="B24" s="18">
        <f>IF(事例清單!F24&lt;&gt;"是","",IF(事例清單!J24&lt;&gt;"",事例清單!J24,IF(事例清單!I24="一致",事例清單!G24,"")))</f>
        <v/>
      </c>
      <c r="C24" s="15" t="inlineStr">
        <is>
          <t>太脆弱</t>
        </is>
      </c>
      <c r="D24" s="18">
        <f>IF(C24="","",IF(ISNUMBER(SEARCH($G$4,C24)),"有",""))</f>
        <v/>
      </c>
    </row>
    <row r="25">
      <c r="A25" s="18">
        <f>IF(事例清單!A25="","",事例清單!A25)</f>
        <v/>
      </c>
      <c r="B25" s="18">
        <f>IF(事例清單!F25&lt;&gt;"是","",IF(事例清單!J25&lt;&gt;"",事例清單!J25,IF(事例清單!I25="一致",事例清單!G25,"")))</f>
        <v/>
      </c>
      <c r="C25" s="15" t="inlineStr">
        <is>
          <t>他好玻璃心，連這個也要申訴</t>
        </is>
      </c>
      <c r="D25" s="18">
        <f>IF(C25="","",IF(ISNUMBER(SEARCH($G$4,C25)),"有",""))</f>
        <v/>
      </c>
    </row>
    <row r="26">
      <c r="A26" s="18">
        <f>IF(事例清單!A26="","",事例清單!A26)</f>
        <v/>
      </c>
      <c r="B26" s="18">
        <f>IF(事例清單!F26&lt;&gt;"是","",IF(事例清單!J26&lt;&gt;"",事例清單!J26,IF(事例清單!I26="一致",事例清單!G26,"")))</f>
        <v/>
      </c>
      <c r="C26" s="15" t="inlineStr">
        <is>
          <t>這年輕人很玻璃心，叫一下都不行</t>
        </is>
      </c>
      <c r="D26" s="18">
        <f>IF(C26="","",IF(ISNUMBER(SEARCH($G$4,C26)),"有",""))</f>
        <v/>
      </c>
    </row>
    <row r="27">
      <c r="A27" s="18">
        <f>IF(事例清單!A27="","",事例清單!A27)</f>
        <v/>
      </c>
      <c r="B27" s="18">
        <f>IF(事例清單!F27&lt;&gt;"是","",IF(事例清單!J27&lt;&gt;"",事例清單!J27,IF(事例清單!I27="一致",事例清單!G27,"")))</f>
        <v/>
      </c>
      <c r="C27" s="15" t="inlineStr">
        <is>
          <t>開個玩笑也不行，玻璃心</t>
        </is>
      </c>
      <c r="D27" s="18">
        <f>IF(C27="","",IF(ISNUMBER(SEARCH($G$4,C27)),"有",""))</f>
        <v/>
      </c>
    </row>
    <row r="28">
      <c r="A28" s="18">
        <f>IF(事例清單!A28="","",事例清單!A28)</f>
        <v/>
      </c>
      <c r="B28" s="18">
        <f>IF(事例清單!F28&lt;&gt;"是","",IF(事例清單!J28&lt;&gt;"",事例清單!J28,IF(事例清單!I28="一致",事例清單!G28,"")))</f>
        <v/>
      </c>
      <c r="C28" s="15" t="inlineStr">
        <is>
          <t>大家都知道</t>
        </is>
      </c>
      <c r="D28" s="18">
        <f>IF(C28="","",IF(ISNUMBER(SEARCH($G$4,C28)),"有",""))</f>
        <v/>
      </c>
    </row>
    <row r="29">
      <c r="A29" s="18">
        <f>IF(事例清單!A29="","",事例清單!A29)</f>
        <v/>
      </c>
      <c r="B29" s="18">
        <f>IF(事例清單!F29&lt;&gt;"是","",IF(事例清單!J29&lt;&gt;"",事例清單!J29,IF(事例清單!I29="一致",事例清單!G29,"")))</f>
        <v/>
      </c>
      <c r="C29" s="15" t="n"/>
      <c r="D29" s="18">
        <f>IF(C29="","",IF(ISNUMBER(SEARCH($G$4,C29)),"有",""))</f>
        <v/>
      </c>
    </row>
    <row r="30">
      <c r="A30" s="18">
        <f>IF(事例清單!A30="","",事例清單!A30)</f>
        <v/>
      </c>
      <c r="B30" s="18">
        <f>IF(事例清單!F30&lt;&gt;"是","",IF(事例清單!J30&lt;&gt;"",事例清單!J30,IF(事例清單!I30="一致",事例清單!G30,"")))</f>
        <v/>
      </c>
      <c r="C30" s="15" t="inlineStr">
        <is>
          <t>玻璃心吧</t>
        </is>
      </c>
      <c r="D30" s="18">
        <f>IF(C30="","",IF(ISNUMBER(SEARCH($G$4,C30)),"有",""))</f>
        <v/>
      </c>
    </row>
    <row r="31">
      <c r="A31" s="18">
        <f>IF(事例清單!A31="","",事例清單!A31)</f>
        <v/>
      </c>
      <c r="B31" s="18">
        <f>IF(事例清單!F31&lt;&gt;"是","",IF(事例清單!J31&lt;&gt;"",事例清單!J31,IF(事例清單!I31="一致",事例清單!G31,"")))</f>
        <v/>
      </c>
      <c r="C31" s="15" t="inlineStr">
        <is>
          <t>這也要難過</t>
        </is>
      </c>
      <c r="D31" s="18">
        <f>IF(C31="","",IF(ISNUMBER(SEARCH($G$4,C31)),"有",""))</f>
        <v/>
      </c>
    </row>
    <row r="32">
      <c r="A32" s="18">
        <f>IF(事例清單!A32="","",事例清單!A32)</f>
        <v/>
      </c>
      <c r="B32" s="18">
        <f>IF(事例清單!F32&lt;&gt;"是","",IF(事例清單!J32&lt;&gt;"",事例清單!J32,IF(事例清單!I32="一致",事例清單!G32,"")))</f>
        <v/>
      </c>
      <c r="C32" s="15" t="inlineStr">
        <is>
          <t>情緒控管很差</t>
        </is>
      </c>
      <c r="D32" s="18">
        <f>IF(C32="","",IF(ISNUMBER(SEARCH($G$4,C32)),"有",""))</f>
        <v/>
      </c>
    </row>
    <row r="33">
      <c r="A33" s="18">
        <f>IF(事例清單!A33="","",事例清單!A33)</f>
        <v/>
      </c>
      <c r="B33" s="18">
        <f>IF(事例清單!F33&lt;&gt;"是","",IF(事例清單!J33&lt;&gt;"",事例清單!J33,IF(事例清單!I33="一致",事例清單!G33,"")))</f>
        <v/>
      </c>
      <c r="C33" s="15" t="inlineStr">
        <is>
          <t>太認真也是一種玻璃心</t>
        </is>
      </c>
      <c r="D33" s="18">
        <f>IF(C33="","",IF(ISNUMBER(SEARCH($G$4,C33)),"有",""))</f>
        <v/>
      </c>
    </row>
    <row r="34">
      <c r="A34" s="18">
        <f>IF(事例清單!A34="","",事例清單!A34)</f>
        <v/>
      </c>
      <c r="B34" s="18">
        <f>IF(事例清單!F34&lt;&gt;"是","",IF(事例清單!J34&lt;&gt;"",事例清單!J34,IF(事例清單!I34="一致",事例清單!G34,"")))</f>
        <v/>
      </c>
      <c r="C34" s="15" t="inlineStr">
        <is>
          <t>就是玻璃心</t>
        </is>
      </c>
      <c r="D34" s="18">
        <f>IF(C34="","",IF(ISNUMBER(SEARCH($G$4,C34)),"有",""))</f>
        <v/>
      </c>
    </row>
    <row r="35">
      <c r="A35" s="18">
        <f>IF(事例清單!A35="","",事例清單!A35)</f>
        <v/>
      </c>
      <c r="B35" s="18">
        <f>IF(事例清單!F35&lt;&gt;"是","",IF(事例清單!J35&lt;&gt;"",事例清單!J35,IF(事例清單!I35="一致",事例清單!G35,"")))</f>
        <v/>
      </c>
      <c r="C35" s="15" t="inlineStr">
        <is>
          <t>被唸一次就擺爛</t>
        </is>
      </c>
      <c r="D35" s="18">
        <f>IF(C35="","",IF(ISNUMBER(SEARCH($G$4,C35)),"有",""))</f>
        <v/>
      </c>
    </row>
    <row r="36">
      <c r="A36" s="18">
        <f>IF(事例清單!A36="","",事例清單!A36)</f>
        <v/>
      </c>
      <c r="B36" s="18">
        <f>IF(事例清單!F36&lt;&gt;"是","",IF(事例清單!J36&lt;&gt;"",事例清單!J36,IF(事例清單!I36="一致",事例清單!G36,"")))</f>
        <v/>
      </c>
      <c r="C36" s="15" t="inlineStr">
        <is>
          <t>心眼小又玻璃心</t>
        </is>
      </c>
      <c r="D36" s="18">
        <f>IF(C36="","",IF(ISNUMBER(SEARCH($G$4,C36)),"有",""))</f>
        <v/>
      </c>
    </row>
    <row r="37">
      <c r="A37" s="18">
        <f>IF(事例清單!A37="","",事例清單!A37)</f>
        <v/>
      </c>
      <c r="B37" s="18">
        <f>IF(事例清單!F37&lt;&gt;"是","",IF(事例清單!J37&lt;&gt;"",事例清單!J37,IF(事例清單!I37="一致",事例清單!G37,"")))</f>
        <v/>
      </c>
      <c r="C37" s="15" t="inlineStr">
        <is>
          <t>太玻璃心了</t>
        </is>
      </c>
      <c r="D37" s="18">
        <f>IF(C37="","",IF(ISNUMBER(SEARCH($G$4,C37)),"有",""))</f>
        <v/>
      </c>
    </row>
    <row r="38">
      <c r="A38" s="18">
        <f>IF(事例清單!A38="","",事例清單!A38)</f>
        <v/>
      </c>
      <c r="B38" s="18">
        <f>IF(事例清單!F38&lt;&gt;"是","",IF(事例清單!J38&lt;&gt;"",事例清單!J38,IF(事例清單!I38="一致",事例清單!G38,"")))</f>
        <v/>
      </c>
      <c r="C38" s="15" t="inlineStr">
        <is>
          <t>被罵一次就怕成這樣</t>
        </is>
      </c>
      <c r="D38" s="18">
        <f>IF(C38="","",IF(ISNUMBER(SEARCH($G$4,C38)),"有",""))</f>
        <v/>
      </c>
    </row>
    <row r="39">
      <c r="A39" s="18">
        <f>IF(事例清單!A39="","",事例清單!A39)</f>
        <v/>
      </c>
      <c r="B39" s="18">
        <f>IF(事例清單!F39&lt;&gt;"是","",IF(事例清單!J39&lt;&gt;"",事例清單!J39,IF(事例清單!I39="一致",事例清單!G39,"")))</f>
        <v/>
      </c>
      <c r="C39" s="15" t="inlineStr">
        <is>
          <t>玻璃心，以後怎麼升遷</t>
        </is>
      </c>
      <c r="D39" s="18">
        <f>IF(C39="","",IF(ISNUMBER(SEARCH($G$4,C39)),"有",""))</f>
        <v/>
      </c>
    </row>
    <row r="40">
      <c r="A40" s="18">
        <f>IF(事例清單!A40="","",事例清單!A40)</f>
        <v/>
      </c>
      <c r="B40" s="18">
        <f>IF(事例清單!F40&lt;&gt;"是","",IF(事例清單!J40&lt;&gt;"",事例清單!J40,IF(事例清單!I40="一致",事例清單!G40,"")))</f>
        <v/>
      </c>
      <c r="C40" s="15" t="inlineStr">
        <is>
          <t>這樣就受不了</t>
        </is>
      </c>
      <c r="D40" s="18">
        <f>IF(C40="","",IF(ISNUMBER(SEARCH($G$4,C40)),"有",""))</f>
        <v/>
      </c>
    </row>
    <row r="41">
      <c r="A41" s="18">
        <f>IF(事例清單!A41="","",事例清單!A41)</f>
        <v/>
      </c>
      <c r="B41" s="18">
        <f>IF(事例清單!F41&lt;&gt;"是","",IF(事例清單!J41&lt;&gt;"",事例清單!J41,IF(事例清單!I41="一致",事例清單!G41,"")))</f>
        <v/>
      </c>
      <c r="C41" s="15" t="inlineStr">
        <is>
          <t>玻璃心又愛計較</t>
        </is>
      </c>
      <c r="D41" s="18">
        <f>IF(C41="","",IF(ISNUMBER(SEARCH($G$4,C41)),"有",""))</f>
        <v/>
      </c>
    </row>
    <row r="42">
      <c r="A42" s="18">
        <f>IF(事例清單!A42="","",事例清單!A42)</f>
        <v/>
      </c>
      <c r="B42" s="18">
        <f>IF(事例清單!F42&lt;&gt;"是","",IF(事例清單!J42&lt;&gt;"",事例清單!J42,IF(事例清單!I42="一致",事例清單!G42,"")))</f>
        <v/>
      </c>
      <c r="C42" s="15" t="inlineStr">
        <is>
          <t>玻璃心</t>
        </is>
      </c>
      <c r="D42" s="18">
        <f>IF(C42="","",IF(ISNUMBER(SEARCH($G$4,C42)),"有",""))</f>
        <v/>
      </c>
    </row>
    <row r="43">
      <c r="A43" s="18">
        <f>IF(事例清單!A43="","",事例清單!A43)</f>
        <v/>
      </c>
      <c r="B43" s="18">
        <f>IF(事例清單!F43&lt;&gt;"是","",IF(事例清單!J43&lt;&gt;"",事例清單!J43,IF(事例清單!I43="一致",事例清單!G43,"")))</f>
        <v/>
      </c>
      <c r="C43" s="15" t="inlineStr">
        <is>
          <t>被打槍就不敢動</t>
        </is>
      </c>
      <c r="D43" s="18">
        <f>IF(C43="","",IF(ISNUMBER(SEARCH($G$4,C43)),"有",""))</f>
        <v/>
      </c>
    </row>
    <row r="44">
      <c r="A44" s="18">
        <f>IF(事例清單!A44="","",事例清單!A44)</f>
        <v/>
      </c>
      <c r="B44" s="18">
        <f>IF(事例清單!F44&lt;&gt;"是","",IF(事例清單!J44&lt;&gt;"",事例清單!J44,IF(事例清單!I44="一致",事例清單!G44,"")))</f>
        <v/>
      </c>
      <c r="C44" s="15" t="inlineStr">
        <is>
          <t>他不算玻璃心吧</t>
        </is>
      </c>
      <c r="D44" s="18">
        <f>IF(C44="","",IF(ISNUMBER(SEARCH($G$4,C44)),"有",""))</f>
        <v/>
      </c>
    </row>
    <row r="45">
      <c r="A45" s="18">
        <f>IF(事例清單!A45="","",事例清單!A45)</f>
        <v/>
      </c>
      <c r="B45" s="18">
        <f>IF(事例清單!F45&lt;&gt;"是","",IF(事例清單!J45&lt;&gt;"",事例清單!J45,IF(事例清單!I45="一致",事例清單!G45,"")))</f>
        <v/>
      </c>
      <c r="C45" s="15" t="n"/>
      <c r="D45" s="18">
        <f>IF(C45="","",IF(ISNUMBER(SEARCH($G$4,C45)),"有",""))</f>
        <v/>
      </c>
    </row>
    <row r="46">
      <c r="A46" s="18">
        <f>IF(事例清單!A46="","",事例清單!A46)</f>
        <v/>
      </c>
      <c r="B46" s="18">
        <f>IF(事例清單!F46&lt;&gt;"是","",IF(事例清單!J46&lt;&gt;"",事例清單!J46,IF(事例清單!I46="一致",事例清單!G46,"")))</f>
        <v/>
      </c>
      <c r="C46" s="15" t="n"/>
      <c r="D46" s="18">
        <f>IF(C46="","",IF(ISNUMBER(SEARCH($G$4,C46)),"有",""))</f>
        <v/>
      </c>
    </row>
    <row r="47">
      <c r="A47" s="18">
        <f>IF(事例清單!A47="","",事例清單!A47)</f>
        <v/>
      </c>
      <c r="B47" s="18">
        <f>IF(事例清單!F47&lt;&gt;"是","",IF(事例清單!J47&lt;&gt;"",事例清單!J47,IF(事例清單!I47="一致",事例清單!G47,"")))</f>
        <v/>
      </c>
      <c r="C47" s="15" t="n"/>
      <c r="D47" s="18">
        <f>IF(C47="","",IF(ISNUMBER(SEARCH($G$4,C47)),"有",""))</f>
        <v/>
      </c>
    </row>
    <row r="48">
      <c r="A48" s="18">
        <f>IF(事例清單!A48="","",事例清單!A48)</f>
        <v/>
      </c>
      <c r="B48" s="18">
        <f>IF(事例清單!F48&lt;&gt;"是","",IF(事例清單!J48&lt;&gt;"",事例清單!J48,IF(事例清單!I48="一致",事例清單!G48,"")))</f>
        <v/>
      </c>
      <c r="C48" s="15" t="n"/>
      <c r="D48" s="18">
        <f>IF(C48="","",IF(ISNUMBER(SEARCH($G$4,C48)),"有",""))</f>
        <v/>
      </c>
    </row>
    <row r="49">
      <c r="A49" s="18">
        <f>IF(事例清單!A49="","",事例清單!A49)</f>
        <v/>
      </c>
      <c r="B49" s="18">
        <f>IF(事例清單!F49&lt;&gt;"是","",IF(事例清單!J49&lt;&gt;"",事例清單!J49,IF(事例清單!I49="一致",事例清單!G49,"")))</f>
        <v/>
      </c>
      <c r="C49" s="15" t="n"/>
      <c r="D49" s="18">
        <f>IF(C49="","",IF(ISNUMBER(SEARCH($G$4,C49)),"有",""))</f>
        <v/>
      </c>
    </row>
    <row r="50">
      <c r="A50" s="18">
        <f>IF(事例清單!A50="","",事例清單!A50)</f>
        <v/>
      </c>
      <c r="B50" s="18">
        <f>IF(事例清單!F50&lt;&gt;"是","",IF(事例清單!J50&lt;&gt;"",事例清單!J50,IF(事例清單!I50="一致",事例清單!G50,"")))</f>
        <v/>
      </c>
      <c r="C50" s="15" t="n"/>
      <c r="D50" s="18">
        <f>IF(C50="","",IF(ISNUMBER(SEARCH($G$4,C50)),"有",""))</f>
        <v/>
      </c>
    </row>
    <row r="51">
      <c r="A51" s="18">
        <f>IF(事例清單!A51="","",事例清單!A51)</f>
        <v/>
      </c>
      <c r="B51" s="18">
        <f>IF(事例清單!F51&lt;&gt;"是","",IF(事例清單!J51&lt;&gt;"",事例清單!J51,IF(事例清單!I51="一致",事例清單!G51,"")))</f>
        <v/>
      </c>
      <c r="C51" s="15" t="n"/>
      <c r="D51" s="18">
        <f>IF(C51="","",IF(ISNUMBER(SEARCH($G$4,C51)),"有",""))</f>
        <v/>
      </c>
    </row>
    <row r="52">
      <c r="A52" s="18">
        <f>IF(事例清單!A52="","",事例清單!A52)</f>
        <v/>
      </c>
      <c r="B52" s="18">
        <f>IF(事例清單!F52&lt;&gt;"是","",IF(事例清單!J52&lt;&gt;"",事例清單!J52,IF(事例清單!I52="一致",事例清單!G52,"")))</f>
        <v/>
      </c>
      <c r="C52" s="15" t="n"/>
      <c r="D52" s="18">
        <f>IF(C52="","",IF(ISNUMBER(SEARCH($G$4,C52)),"有",""))</f>
        <v/>
      </c>
    </row>
    <row r="53">
      <c r="A53" s="18">
        <f>IF(事例清單!A53="","",事例清單!A53)</f>
        <v/>
      </c>
      <c r="B53" s="18">
        <f>IF(事例清單!F53&lt;&gt;"是","",IF(事例清單!J53&lt;&gt;"",事例清單!J53,IF(事例清單!I53="一致",事例清單!G53,"")))</f>
        <v/>
      </c>
      <c r="C53" s="15" t="n"/>
      <c r="D53" s="18">
        <f>IF(C53="","",IF(ISNUMBER(SEARCH($G$4,C53)),"有",""))</f>
        <v/>
      </c>
    </row>
    <row r="54">
      <c r="A54" s="18">
        <f>IF(事例清單!A54="","",事例清單!A54)</f>
        <v/>
      </c>
      <c r="B54" s="18">
        <f>IF(事例清單!F54&lt;&gt;"是","",IF(事例清單!J54&lt;&gt;"",事例清單!J54,IF(事例清單!I54="一致",事例清單!G54,"")))</f>
        <v/>
      </c>
      <c r="C54" s="15" t="n"/>
      <c r="D54" s="18">
        <f>IF(C54="","",IF(ISNUMBER(SEARCH($G$4,C54)),"有",""))</f>
        <v/>
      </c>
    </row>
    <row r="55">
      <c r="A55" s="18">
        <f>IF(事例清單!A55="","",事例清單!A55)</f>
        <v/>
      </c>
      <c r="B55" s="18">
        <f>IF(事例清單!F55&lt;&gt;"是","",IF(事例清單!J55&lt;&gt;"",事例清單!J55,IF(事例清單!I55="一致",事例清單!G55,"")))</f>
        <v/>
      </c>
      <c r="C55" s="15" t="n"/>
      <c r="D55" s="18">
        <f>IF(C55="","",IF(ISNUMBER(SEARCH($G$4,C55)),"有",""))</f>
        <v/>
      </c>
    </row>
    <row r="56">
      <c r="A56" s="18">
        <f>IF(事例清單!A56="","",事例清單!A56)</f>
        <v/>
      </c>
      <c r="B56" s="18">
        <f>IF(事例清單!F56&lt;&gt;"是","",IF(事例清單!J56&lt;&gt;"",事例清單!J56,IF(事例清單!I56="一致",事例清單!G56,"")))</f>
        <v/>
      </c>
      <c r="C56" s="15" t="n"/>
      <c r="D56" s="18">
        <f>IF(C56="","",IF(ISNUMBER(SEARCH($G$4,C56)),"有",""))</f>
        <v/>
      </c>
    </row>
    <row r="57">
      <c r="A57" s="18">
        <f>IF(事例清單!A57="","",事例清單!A57)</f>
        <v/>
      </c>
      <c r="B57" s="18">
        <f>IF(事例清單!F57&lt;&gt;"是","",IF(事例清單!J57&lt;&gt;"",事例清單!J57,IF(事例清單!I57="一致",事例清單!G57,"")))</f>
        <v/>
      </c>
      <c r="C57" s="15" t="n"/>
      <c r="D57" s="18">
        <f>IF(C57="","",IF(ISNUMBER(SEARCH($G$4,C57)),"有",""))</f>
        <v/>
      </c>
    </row>
    <row r="58">
      <c r="A58" s="18">
        <f>IF(事例清單!A58="","",事例清單!A58)</f>
        <v/>
      </c>
      <c r="B58" s="18">
        <f>IF(事例清單!F58&lt;&gt;"是","",IF(事例清單!J58&lt;&gt;"",事例清單!J58,IF(事例清單!I58="一致",事例清單!G58,"")))</f>
        <v/>
      </c>
      <c r="C58" s="15" t="n"/>
      <c r="D58" s="18">
        <f>IF(C58="","",IF(ISNUMBER(SEARCH($G$4,C58)),"有",""))</f>
        <v/>
      </c>
    </row>
    <row r="59">
      <c r="A59" s="18">
        <f>IF(事例清單!A59="","",事例清單!A59)</f>
        <v/>
      </c>
      <c r="B59" s="18">
        <f>IF(事例清單!F59&lt;&gt;"是","",IF(事例清單!J59&lt;&gt;"",事例清單!J59,IF(事例清單!I59="一致",事例清單!G59,"")))</f>
        <v/>
      </c>
      <c r="C59" s="15" t="n"/>
      <c r="D59" s="18">
        <f>IF(C59="","",IF(ISNUMBER(SEARCH($G$4,C59)),"有",""))</f>
        <v/>
      </c>
    </row>
    <row r="60">
      <c r="A60" s="18">
        <f>IF(事例清單!A60="","",事例清單!A60)</f>
        <v/>
      </c>
      <c r="B60" s="18">
        <f>IF(事例清單!F60&lt;&gt;"是","",IF(事例清單!J60&lt;&gt;"",事例清單!J60,IF(事例清單!I60="一致",事例清單!G60,"")))</f>
        <v/>
      </c>
      <c r="C60" s="15" t="n"/>
      <c r="D60" s="18">
        <f>IF(C60="","",IF(ISNUMBER(SEARCH($G$4,C60)),"有",""))</f>
        <v/>
      </c>
    </row>
    <row r="61">
      <c r="A61" s="18">
        <f>IF(事例清單!A61="","",事例清單!A61)</f>
        <v/>
      </c>
      <c r="B61" s="18">
        <f>IF(事例清單!F61&lt;&gt;"是","",IF(事例清單!J61&lt;&gt;"",事例清單!J61,IF(事例清單!I61="一致",事例清單!G61,"")))</f>
        <v/>
      </c>
      <c r="C61" s="15" t="n"/>
      <c r="D61" s="18">
        <f>IF(C61="","",IF(ISNUMBER(SEARCH($G$4,C61)),"有",""))</f>
        <v/>
      </c>
    </row>
    <row r="62">
      <c r="A62" s="18">
        <f>IF(事例清單!A62="","",事例清單!A62)</f>
        <v/>
      </c>
      <c r="B62" s="18">
        <f>IF(事例清單!F62&lt;&gt;"是","",IF(事例清單!J62&lt;&gt;"",事例清單!J62,IF(事例清單!I62="一致",事例清單!G62,"")))</f>
        <v/>
      </c>
      <c r="C62" s="15" t="n"/>
      <c r="D62" s="18">
        <f>IF(C62="","",IF(ISNUMBER(SEARCH($G$4,C62)),"有",""))</f>
        <v/>
      </c>
    </row>
    <row r="63">
      <c r="A63" s="18">
        <f>IF(事例清單!A63="","",事例清單!A63)</f>
        <v/>
      </c>
      <c r="B63" s="18">
        <f>IF(事例清單!F63&lt;&gt;"是","",IF(事例清單!J63&lt;&gt;"",事例清單!J63,IF(事例清單!I63="一致",事例清單!G63,"")))</f>
        <v/>
      </c>
      <c r="C63" s="15" t="n"/>
      <c r="D63" s="18">
        <f>IF(C63="","",IF(ISNUMBER(SEARCH($G$4,C63)),"有",""))</f>
        <v/>
      </c>
    </row>
    <row r="64">
      <c r="A64" s="18">
        <f>IF(事例清單!A64="","",事例清單!A64)</f>
        <v/>
      </c>
      <c r="B64" s="18">
        <f>IF(事例清單!F64&lt;&gt;"是","",IF(事例清單!J64&lt;&gt;"",事例清單!J64,IF(事例清單!I64="一致",事例清單!G64,"")))</f>
        <v/>
      </c>
      <c r="C64" s="15" t="n"/>
      <c r="D64" s="18">
        <f>IF(C64="","",IF(ISNUMBER(SEARCH($G$4,C64)),"有",""))</f>
        <v/>
      </c>
    </row>
    <row r="65">
      <c r="A65" s="18">
        <f>IF(事例清單!A65="","",事例清單!A65)</f>
        <v/>
      </c>
      <c r="B65" s="18">
        <f>IF(事例清單!F65&lt;&gt;"是","",IF(事例清單!J65&lt;&gt;"",事例清單!J65,IF(事例清單!I65="一致",事例清單!G65,"")))</f>
        <v/>
      </c>
      <c r="C65" s="15" t="n"/>
      <c r="D65" s="18">
        <f>IF(C65="","",IF(ISNUMBER(SEARCH($G$4,C65)),"有",""))</f>
        <v/>
      </c>
    </row>
    <row r="66">
      <c r="A66" s="18">
        <f>IF(事例清單!A66="","",事例清單!A66)</f>
        <v/>
      </c>
      <c r="B66" s="18">
        <f>IF(事例清單!F66&lt;&gt;"是","",IF(事例清單!J66&lt;&gt;"",事例清單!J66,IF(事例清單!I66="一致",事例清單!G66,"")))</f>
        <v/>
      </c>
      <c r="C66" s="15" t="n"/>
      <c r="D66" s="18">
        <f>IF(C66="","",IF(ISNUMBER(SEARCH($G$4,C66)),"有",""))</f>
        <v/>
      </c>
    </row>
    <row r="67">
      <c r="A67" s="18">
        <f>IF(事例清單!A67="","",事例清單!A67)</f>
        <v/>
      </c>
      <c r="B67" s="18">
        <f>IF(事例清單!F67&lt;&gt;"是","",IF(事例清單!J67&lt;&gt;"",事例清單!J67,IF(事例清單!I67="一致",事例清單!G67,"")))</f>
        <v/>
      </c>
      <c r="C67" s="15" t="n"/>
      <c r="D67" s="18">
        <f>IF(C67="","",IF(ISNUMBER(SEARCH($G$4,C67)),"有",""))</f>
        <v/>
      </c>
    </row>
    <row r="68">
      <c r="A68" s="18">
        <f>IF(事例清單!A68="","",事例清單!A68)</f>
        <v/>
      </c>
      <c r="B68" s="18">
        <f>IF(事例清單!F68&lt;&gt;"是","",IF(事例清單!J68&lt;&gt;"",事例清單!J68,IF(事例清單!I68="一致",事例清單!G68,"")))</f>
        <v/>
      </c>
      <c r="C68" s="15" t="n"/>
      <c r="D68" s="18">
        <f>IF(C68="","",IF(ISNUMBER(SEARCH($G$4,C68)),"有",""))</f>
        <v/>
      </c>
    </row>
    <row r="69">
      <c r="A69" s="18">
        <f>IF(事例清單!A69="","",事例清單!A69)</f>
        <v/>
      </c>
      <c r="B69" s="18">
        <f>IF(事例清單!F69&lt;&gt;"是","",IF(事例清單!J69&lt;&gt;"",事例清單!J69,IF(事例清單!I69="一致",事例清單!G69,"")))</f>
        <v/>
      </c>
      <c r="C69" s="15" t="n"/>
      <c r="D69" s="18">
        <f>IF(C69="","",IF(ISNUMBER(SEARCH($G$4,C69)),"有",""))</f>
        <v/>
      </c>
    </row>
    <row r="70">
      <c r="A70" s="18">
        <f>IF(事例清單!A70="","",事例清單!A70)</f>
        <v/>
      </c>
      <c r="B70" s="18">
        <f>IF(事例清單!F70&lt;&gt;"是","",IF(事例清單!J70&lt;&gt;"",事例清單!J70,IF(事例清單!I70="一致",事例清單!G70,"")))</f>
        <v/>
      </c>
      <c r="C70" s="15" t="n"/>
      <c r="D70" s="18">
        <f>IF(C70="","",IF(ISNUMBER(SEARCH($G$4,C70)),"有",""))</f>
        <v/>
      </c>
    </row>
    <row r="71">
      <c r="A71" s="18">
        <f>IF(事例清單!A71="","",事例清單!A71)</f>
        <v/>
      </c>
      <c r="B71" s="18">
        <f>IF(事例清單!F71&lt;&gt;"是","",IF(事例清單!J71&lt;&gt;"",事例清單!J71,IF(事例清單!I71="一致",事例清單!G71,"")))</f>
        <v/>
      </c>
      <c r="C71" s="15" t="n"/>
      <c r="D71" s="18">
        <f>IF(C71="","",IF(ISNUMBER(SEARCH($G$4,C71)),"有",""))</f>
        <v/>
      </c>
    </row>
    <row r="72">
      <c r="A72" s="18">
        <f>IF(事例清單!A72="","",事例清單!A72)</f>
        <v/>
      </c>
      <c r="B72" s="18">
        <f>IF(事例清單!F72&lt;&gt;"是","",IF(事例清單!J72&lt;&gt;"",事例清單!J72,IF(事例清單!I72="一致",事例清單!G72,"")))</f>
        <v/>
      </c>
      <c r="C72" s="15" t="n"/>
      <c r="D72" s="18">
        <f>IF(C72="","",IF(ISNUMBER(SEARCH($G$4,C72)),"有",""))</f>
        <v/>
      </c>
    </row>
    <row r="73">
      <c r="A73" s="18">
        <f>IF(事例清單!A73="","",事例清單!A73)</f>
        <v/>
      </c>
      <c r="B73" s="18">
        <f>IF(事例清單!F73&lt;&gt;"是","",IF(事例清單!J73&lt;&gt;"",事例清單!J73,IF(事例清單!I73="一致",事例清單!G73,"")))</f>
        <v/>
      </c>
      <c r="C73" s="15" t="n"/>
      <c r="D73" s="18">
        <f>IF(C73="","",IF(ISNUMBER(SEARCH($G$4,C73)),"有",""))</f>
        <v/>
      </c>
    </row>
    <row r="74">
      <c r="A74" s="18">
        <f>IF(事例清單!A74="","",事例清單!A74)</f>
        <v/>
      </c>
      <c r="B74" s="18">
        <f>IF(事例清單!F74&lt;&gt;"是","",IF(事例清單!J74&lt;&gt;"",事例清單!J74,IF(事例清單!I74="一致",事例清單!G74,"")))</f>
        <v/>
      </c>
      <c r="C74" s="15" t="n"/>
      <c r="D74" s="18">
        <f>IF(C74="","",IF(ISNUMBER(SEARCH($G$4,C74)),"有",""))</f>
        <v/>
      </c>
    </row>
    <row r="75">
      <c r="A75" s="18">
        <f>IF(事例清單!A75="","",事例清單!A75)</f>
        <v/>
      </c>
      <c r="B75" s="18">
        <f>IF(事例清單!F75&lt;&gt;"是","",IF(事例清單!J75&lt;&gt;"",事例清單!J75,IF(事例清單!I75="一致",事例清單!G75,"")))</f>
        <v/>
      </c>
      <c r="C75" s="15" t="n"/>
      <c r="D75" s="18">
        <f>IF(C75="","",IF(ISNUMBER(SEARCH($G$4,C75)),"有",""))</f>
        <v/>
      </c>
    </row>
    <row r="76">
      <c r="A76" s="18">
        <f>IF(事例清單!A76="","",事例清單!A76)</f>
        <v/>
      </c>
      <c r="B76" s="18">
        <f>IF(事例清單!F76&lt;&gt;"是","",IF(事例清單!J76&lt;&gt;"",事例清單!J76,IF(事例清單!I76="一致",事例清單!G76,"")))</f>
        <v/>
      </c>
      <c r="C76" s="15" t="n"/>
      <c r="D76" s="18">
        <f>IF(C76="","",IF(ISNUMBER(SEARCH($G$4,C76)),"有",""))</f>
        <v/>
      </c>
    </row>
    <row r="77">
      <c r="A77" s="18">
        <f>IF(事例清單!A77="","",事例清單!A77)</f>
        <v/>
      </c>
      <c r="B77" s="18">
        <f>IF(事例清單!F77&lt;&gt;"是","",IF(事例清單!J77&lt;&gt;"",事例清單!J77,IF(事例清單!I77="一致",事例清單!G77,"")))</f>
        <v/>
      </c>
      <c r="C77" s="15" t="n"/>
      <c r="D77" s="18">
        <f>IF(C77="","",IF(ISNUMBER(SEARCH($G$4,C77)),"有",""))</f>
        <v/>
      </c>
    </row>
    <row r="78">
      <c r="A78" s="18">
        <f>IF(事例清單!A78="","",事例清單!A78)</f>
        <v/>
      </c>
      <c r="B78" s="18">
        <f>IF(事例清單!F78&lt;&gt;"是","",IF(事例清單!J78&lt;&gt;"",事例清單!J78,IF(事例清單!I78="一致",事例清單!G78,"")))</f>
        <v/>
      </c>
      <c r="C78" s="15" t="n"/>
      <c r="D78" s="18">
        <f>IF(C78="","",IF(ISNUMBER(SEARCH($G$4,C78)),"有",""))</f>
        <v/>
      </c>
    </row>
    <row r="79">
      <c r="A79" s="18">
        <f>IF(事例清單!A79="","",事例清單!A79)</f>
        <v/>
      </c>
      <c r="B79" s="18">
        <f>IF(事例清單!F79&lt;&gt;"是","",IF(事例清單!J79&lt;&gt;"",事例清單!J79,IF(事例清單!I79="一致",事例清單!G79,"")))</f>
        <v/>
      </c>
      <c r="C79" s="15" t="n"/>
      <c r="D79" s="18">
        <f>IF(C79="","",IF(ISNUMBER(SEARCH($G$4,C79)),"有",""))</f>
        <v/>
      </c>
    </row>
    <row r="80">
      <c r="A80" s="18">
        <f>IF(事例清單!A80="","",事例清單!A80)</f>
        <v/>
      </c>
      <c r="B80" s="18">
        <f>IF(事例清單!F80&lt;&gt;"是","",IF(事例清單!J80&lt;&gt;"",事例清單!J80,IF(事例清單!I80="一致",事例清單!G80,"")))</f>
        <v/>
      </c>
      <c r="C80" s="15" t="n"/>
      <c r="D80" s="18">
        <f>IF(C80="","",IF(ISNUMBER(SEARCH($G$4,C80)),"有",""))</f>
        <v/>
      </c>
    </row>
    <row r="81">
      <c r="A81" s="18">
        <f>IF(事例清單!A81="","",事例清單!A81)</f>
        <v/>
      </c>
      <c r="B81" s="18">
        <f>IF(事例清單!F81&lt;&gt;"是","",IF(事例清單!J81&lt;&gt;"",事例清單!J81,IF(事例清單!I81="一致",事例清單!G81,"")))</f>
        <v/>
      </c>
      <c r="C81" s="15" t="n"/>
      <c r="D81" s="18">
        <f>IF(C81="","",IF(ISNUMBER(SEARCH($G$4,C81)),"有",""))</f>
        <v/>
      </c>
    </row>
    <row r="82">
      <c r="A82" s="18">
        <f>IF(事例清單!A82="","",事例清單!A82)</f>
        <v/>
      </c>
      <c r="B82" s="18">
        <f>IF(事例清單!F82&lt;&gt;"是","",IF(事例清單!J82&lt;&gt;"",事例清單!J82,IF(事例清單!I82="一致",事例清單!G82,"")))</f>
        <v/>
      </c>
      <c r="C82" s="15" t="n"/>
      <c r="D82" s="18">
        <f>IF(C82="","",IF(ISNUMBER(SEARCH($G$4,C82)),"有",""))</f>
        <v/>
      </c>
    </row>
    <row r="83">
      <c r="A83" s="18">
        <f>IF(事例清單!A83="","",事例清單!A83)</f>
        <v/>
      </c>
      <c r="B83" s="18">
        <f>IF(事例清單!F83&lt;&gt;"是","",IF(事例清單!J83&lt;&gt;"",事例清單!J83,IF(事例清單!I83="一致",事例清單!G83,"")))</f>
        <v/>
      </c>
      <c r="C83" s="15" t="n"/>
      <c r="D83" s="18">
        <f>IF(C83="","",IF(ISNUMBER(SEARCH($G$4,C83)),"有",""))</f>
        <v/>
      </c>
    </row>
    <row r="84">
      <c r="A84" s="18">
        <f>IF(事例清單!A84="","",事例清單!A84)</f>
        <v/>
      </c>
      <c r="B84" s="18">
        <f>IF(事例清單!F84&lt;&gt;"是","",IF(事例清單!J84&lt;&gt;"",事例清單!J84,IF(事例清單!I84="一致",事例清單!G84,"")))</f>
        <v/>
      </c>
      <c r="C84" s="15" t="n"/>
      <c r="D84" s="18">
        <f>IF(C84="","",IF(ISNUMBER(SEARCH($G$4,C84)),"有",""))</f>
        <v/>
      </c>
    </row>
    <row r="85">
      <c r="A85" s="18">
        <f>IF(事例清單!A85="","",事例清單!A85)</f>
        <v/>
      </c>
      <c r="B85" s="18">
        <f>IF(事例清單!F85&lt;&gt;"是","",IF(事例清單!J85&lt;&gt;"",事例清單!J85,IF(事例清單!I85="一致",事例清單!G85,"")))</f>
        <v/>
      </c>
      <c r="C85" s="15" t="n"/>
      <c r="D85" s="18">
        <f>IF(C85="","",IF(ISNUMBER(SEARCH($G$4,C85)),"有",""))</f>
        <v/>
      </c>
    </row>
    <row r="86">
      <c r="A86" s="18">
        <f>IF(事例清單!A86="","",事例清單!A86)</f>
        <v/>
      </c>
      <c r="B86" s="18">
        <f>IF(事例清單!F86&lt;&gt;"是","",IF(事例清單!J86&lt;&gt;"",事例清單!J86,IF(事例清單!I86="一致",事例清單!G86,"")))</f>
        <v/>
      </c>
      <c r="C86" s="15" t="n"/>
      <c r="D86" s="18">
        <f>IF(C86="","",IF(ISNUMBER(SEARCH($G$4,C86)),"有",""))</f>
        <v/>
      </c>
    </row>
    <row r="87">
      <c r="A87" s="18">
        <f>IF(事例清單!A87="","",事例清單!A87)</f>
        <v/>
      </c>
      <c r="B87" s="18">
        <f>IF(事例清單!F87&lt;&gt;"是","",IF(事例清單!J87&lt;&gt;"",事例清單!J87,IF(事例清單!I87="一致",事例清單!G87,"")))</f>
        <v/>
      </c>
      <c r="C87" s="15" t="n"/>
      <c r="D87" s="18">
        <f>IF(C87="","",IF(ISNUMBER(SEARCH($G$4,C87)),"有",""))</f>
        <v/>
      </c>
    </row>
    <row r="88">
      <c r="A88" s="18">
        <f>IF(事例清單!A88="","",事例清單!A88)</f>
        <v/>
      </c>
      <c r="B88" s="18">
        <f>IF(事例清單!F88&lt;&gt;"是","",IF(事例清單!J88&lt;&gt;"",事例清單!J88,IF(事例清單!I88="一致",事例清單!G88,"")))</f>
        <v/>
      </c>
      <c r="C88" s="15" t="n"/>
      <c r="D88" s="18">
        <f>IF(C88="","",IF(ISNUMBER(SEARCH($G$4,C88)),"有",""))</f>
        <v/>
      </c>
    </row>
    <row r="89">
      <c r="A89" s="18">
        <f>IF(事例清單!A89="","",事例清單!A89)</f>
        <v/>
      </c>
      <c r="B89" s="18">
        <f>IF(事例清單!F89&lt;&gt;"是","",IF(事例清單!J89&lt;&gt;"",事例清單!J89,IF(事例清單!I89="一致",事例清單!G89,"")))</f>
        <v/>
      </c>
      <c r="C89" s="15" t="n"/>
      <c r="D89" s="18">
        <f>IF(C89="","",IF(ISNUMBER(SEARCH($G$4,C89)),"有",""))</f>
        <v/>
      </c>
    </row>
    <row r="90">
      <c r="A90" s="18">
        <f>IF(事例清單!A90="","",事例清單!A90)</f>
        <v/>
      </c>
      <c r="B90" s="18">
        <f>IF(事例清單!F90&lt;&gt;"是","",IF(事例清單!J90&lt;&gt;"",事例清單!J90,IF(事例清單!I90="一致",事例清單!G90,"")))</f>
        <v/>
      </c>
      <c r="C90" s="15" t="n"/>
      <c r="D90" s="18">
        <f>IF(C90="","",IF(ISNUMBER(SEARCH($G$4,C90)),"有",""))</f>
        <v/>
      </c>
    </row>
    <row r="91">
      <c r="A91" s="18">
        <f>IF(事例清單!A91="","",事例清單!A91)</f>
        <v/>
      </c>
      <c r="B91" s="18">
        <f>IF(事例清單!F91&lt;&gt;"是","",IF(事例清單!J91&lt;&gt;"",事例清單!J91,IF(事例清單!I91="一致",事例清單!G91,"")))</f>
        <v/>
      </c>
      <c r="C91" s="15" t="n"/>
      <c r="D91" s="18">
        <f>IF(C91="","",IF(ISNUMBER(SEARCH($G$4,C91)),"有",""))</f>
        <v/>
      </c>
    </row>
    <row r="92">
      <c r="A92" s="18">
        <f>IF(事例清單!A92="","",事例清單!A92)</f>
        <v/>
      </c>
      <c r="B92" s="18">
        <f>IF(事例清單!F92&lt;&gt;"是","",IF(事例清單!J92&lt;&gt;"",事例清單!J92,IF(事例清單!I92="一致",事例清單!G92,"")))</f>
        <v/>
      </c>
      <c r="C92" s="15" t="n"/>
      <c r="D92" s="18">
        <f>IF(C92="","",IF(ISNUMBER(SEARCH($G$4,C92)),"有",""))</f>
        <v/>
      </c>
    </row>
    <row r="93">
      <c r="A93" s="18">
        <f>IF(事例清單!A93="","",事例清單!A93)</f>
        <v/>
      </c>
      <c r="B93" s="18">
        <f>IF(事例清單!F93&lt;&gt;"是","",IF(事例清單!J93&lt;&gt;"",事例清單!J93,IF(事例清單!I93="一致",事例清單!G93,"")))</f>
        <v/>
      </c>
      <c r="C93" s="15" t="n"/>
      <c r="D93" s="18">
        <f>IF(C93="","",IF(ISNUMBER(SEARCH($G$4,C93)),"有",""))</f>
        <v/>
      </c>
    </row>
    <row r="94">
      <c r="A94" s="18">
        <f>IF(事例清單!A94="","",事例清單!A94)</f>
        <v/>
      </c>
      <c r="B94" s="18">
        <f>IF(事例清單!F94&lt;&gt;"是","",IF(事例清單!J94&lt;&gt;"",事例清單!J94,IF(事例清單!I94="一致",事例清單!G94,"")))</f>
        <v/>
      </c>
      <c r="C94" s="15" t="n"/>
      <c r="D94" s="18">
        <f>IF(C94="","",IF(ISNUMBER(SEARCH($G$4,C94)),"有",""))</f>
        <v/>
      </c>
    </row>
    <row r="95">
      <c r="A95" s="18">
        <f>IF(事例清單!A95="","",事例清單!A95)</f>
        <v/>
      </c>
      <c r="B95" s="18">
        <f>IF(事例清單!F95&lt;&gt;"是","",IF(事例清單!J95&lt;&gt;"",事例清單!J95,IF(事例清單!I95="一致",事例清單!G95,"")))</f>
        <v/>
      </c>
      <c r="C95" s="15" t="n"/>
      <c r="D95" s="18">
        <f>IF(C95="","",IF(ISNUMBER(SEARCH($G$4,C95)),"有",""))</f>
        <v/>
      </c>
    </row>
    <row r="96">
      <c r="A96" s="18">
        <f>IF(事例清單!A96="","",事例清單!A96)</f>
        <v/>
      </c>
      <c r="B96" s="18">
        <f>IF(事例清單!F96&lt;&gt;"是","",IF(事例清單!J96&lt;&gt;"",事例清單!J96,IF(事例清單!I96="一致",事例清單!G96,"")))</f>
        <v/>
      </c>
      <c r="C96" s="15" t="n"/>
      <c r="D96" s="18">
        <f>IF(C96="","",IF(ISNUMBER(SEARCH($G$4,C96)),"有",""))</f>
        <v/>
      </c>
    </row>
    <row r="97">
      <c r="A97" s="18">
        <f>IF(事例清單!A97="","",事例清單!A97)</f>
        <v/>
      </c>
      <c r="B97" s="18">
        <f>IF(事例清單!F97&lt;&gt;"是","",IF(事例清單!J97&lt;&gt;"",事例清單!J97,IF(事例清單!I97="一致",事例清單!G97,"")))</f>
        <v/>
      </c>
      <c r="C97" s="15" t="n"/>
      <c r="D97" s="18">
        <f>IF(C97="","",IF(ISNUMBER(SEARCH($G$4,C97)),"有",""))</f>
        <v/>
      </c>
    </row>
    <row r="98">
      <c r="A98" s="18">
        <f>IF(事例清單!A98="","",事例清單!A98)</f>
        <v/>
      </c>
      <c r="B98" s="18">
        <f>IF(事例清單!F98&lt;&gt;"是","",IF(事例清單!J98&lt;&gt;"",事例清單!J98,IF(事例清單!I98="一致",事例清單!G98,"")))</f>
        <v/>
      </c>
      <c r="C98" s="15" t="n"/>
      <c r="D98" s="18">
        <f>IF(C98="","",IF(ISNUMBER(SEARCH($G$4,C98)),"有",""))</f>
        <v/>
      </c>
    </row>
    <row r="99">
      <c r="A99" s="18">
        <f>IF(事例清單!A99="","",事例清單!A99)</f>
        <v/>
      </c>
      <c r="B99" s="18">
        <f>IF(事例清單!F99&lt;&gt;"是","",IF(事例清單!J99&lt;&gt;"",事例清單!J99,IF(事例清單!I99="一致",事例清單!G99,"")))</f>
        <v/>
      </c>
      <c r="C99" s="15" t="n"/>
      <c r="D99" s="18">
        <f>IF(C99="","",IF(ISNUMBER(SEARCH($G$4,C99)),"有",""))</f>
        <v/>
      </c>
    </row>
    <row r="100">
      <c r="A100" s="18">
        <f>IF(事例清單!A100="","",事例清單!A100)</f>
        <v/>
      </c>
      <c r="B100" s="18">
        <f>IF(事例清單!F100&lt;&gt;"是","",IF(事例清單!J100&lt;&gt;"",事例清單!J100,IF(事例清單!I100="一致",事例清單!G100,"")))</f>
        <v/>
      </c>
      <c r="C100" s="15" t="n"/>
      <c r="D100" s="18">
        <f>IF(C100="","",IF(ISNUMBER(SEARCH($G$4,C100)),"有",""))</f>
        <v/>
      </c>
    </row>
    <row r="101">
      <c r="A101" s="18">
        <f>IF(事例清單!A101="","",事例清單!A101)</f>
        <v/>
      </c>
      <c r="B101" s="18">
        <f>IF(事例清單!F101&lt;&gt;"是","",IF(事例清單!J101&lt;&gt;"",事例清單!J101,IF(事例清單!I101="一致",事例清單!G101,"")))</f>
        <v/>
      </c>
      <c r="C101" s="15" t="n"/>
      <c r="D101" s="18">
        <f>IF(C101="","",IF(ISNUMBER(SEARCH($G$4,C101)),"有",""))</f>
        <v/>
      </c>
    </row>
    <row r="102">
      <c r="A102" s="18">
        <f>IF(事例清單!A102="","",事例清單!A102)</f>
        <v/>
      </c>
      <c r="B102" s="18">
        <f>IF(事例清單!F102&lt;&gt;"是","",IF(事例清單!J102&lt;&gt;"",事例清單!J102,IF(事例清單!I102="一致",事例清單!G102,"")))</f>
        <v/>
      </c>
      <c r="C102" s="15" t="n"/>
      <c r="D102" s="18">
        <f>IF(C102="","",IF(ISNUMBER(SEARCH($G$4,C102)),"有",""))</f>
        <v/>
      </c>
    </row>
    <row r="103">
      <c r="A103" s="18">
        <f>IF(事例清單!A103="","",事例清單!A103)</f>
        <v/>
      </c>
      <c r="B103" s="18">
        <f>IF(事例清單!F103&lt;&gt;"是","",IF(事例清單!J103&lt;&gt;"",事例清單!J103,IF(事例清單!I103="一致",事例清單!G103,"")))</f>
        <v/>
      </c>
      <c r="C103" s="15" t="n"/>
      <c r="D103" s="18">
        <f>IF(C103="","",IF(ISNUMBER(SEARCH($G$4,C103)),"有",""))</f>
        <v/>
      </c>
    </row>
    <row r="104">
      <c r="A104" s="18">
        <f>IF(事例清單!A104="","",事例清單!A104)</f>
        <v/>
      </c>
      <c r="B104" s="18">
        <f>IF(事例清單!F104&lt;&gt;"是","",IF(事例清單!J104&lt;&gt;"",事例清單!J104,IF(事例清單!I104="一致",事例清單!G104,"")))</f>
        <v/>
      </c>
      <c r="C104" s="15" t="n"/>
      <c r="D104" s="18">
        <f>IF(C104="","",IF(ISNUMBER(SEARCH($G$4,C104)),"有",""))</f>
        <v/>
      </c>
    </row>
    <row r="105">
      <c r="A105" s="18">
        <f>IF(事例清單!A105="","",事例清單!A105)</f>
        <v/>
      </c>
      <c r="B105" s="18">
        <f>IF(事例清單!F105&lt;&gt;"是","",IF(事例清單!J105&lt;&gt;"",事例清單!J105,IF(事例清單!I105="一致",事例清單!G105,"")))</f>
        <v/>
      </c>
      <c r="C105" s="15" t="n"/>
      <c r="D105" s="18">
        <f>IF(C105="","",IF(ISNUMBER(SEARCH($G$4,C105)),"有",""))</f>
        <v/>
      </c>
    </row>
    <row r="106">
      <c r="A106" s="18">
        <f>IF(事例清單!A106="","",事例清單!A106)</f>
        <v/>
      </c>
      <c r="B106" s="18">
        <f>IF(事例清單!F106&lt;&gt;"是","",IF(事例清單!J106&lt;&gt;"",事例清單!J106,IF(事例清單!I106="一致",事例清單!G106,"")))</f>
        <v/>
      </c>
      <c r="C106" s="15" t="n"/>
      <c r="D106" s="18">
        <f>IF(C106="","",IF(ISNUMBER(SEARCH($G$4,C106)),"有",""))</f>
        <v/>
      </c>
    </row>
    <row r="107">
      <c r="A107" s="18">
        <f>IF(事例清單!A107="","",事例清單!A107)</f>
        <v/>
      </c>
      <c r="B107" s="18">
        <f>IF(事例清單!F107&lt;&gt;"是","",IF(事例清單!J107&lt;&gt;"",事例清單!J107,IF(事例清單!I107="一致",事例清單!G107,"")))</f>
        <v/>
      </c>
      <c r="C107" s="15" t="n"/>
      <c r="D107" s="18">
        <f>IF(C107="","",IF(ISNUMBER(SEARCH($G$4,C107)),"有",""))</f>
        <v/>
      </c>
    </row>
    <row r="108">
      <c r="A108" s="18">
        <f>IF(事例清單!A108="","",事例清單!A108)</f>
        <v/>
      </c>
      <c r="B108" s="18">
        <f>IF(事例清單!F108&lt;&gt;"是","",IF(事例清單!J108&lt;&gt;"",事例清單!J108,IF(事例清單!I108="一致",事例清單!G108,"")))</f>
        <v/>
      </c>
      <c r="C108" s="15" t="n"/>
      <c r="D108" s="18">
        <f>IF(C108="","",IF(ISNUMBER(SEARCH($G$4,C108)),"有",""))</f>
        <v/>
      </c>
    </row>
    <row r="109">
      <c r="A109" s="18">
        <f>IF(事例清單!A109="","",事例清單!A109)</f>
        <v/>
      </c>
      <c r="B109" s="18">
        <f>IF(事例清單!F109&lt;&gt;"是","",IF(事例清單!J109&lt;&gt;"",事例清單!J109,IF(事例清單!I109="一致",事例清單!G109,"")))</f>
        <v/>
      </c>
      <c r="C109" s="15" t="n"/>
      <c r="D109" s="18">
        <f>IF(C109="","",IF(ISNUMBER(SEARCH($G$4,C109)),"有",""))</f>
        <v/>
      </c>
    </row>
    <row r="110">
      <c r="A110" s="18">
        <f>IF(事例清單!A110="","",事例清單!A110)</f>
        <v/>
      </c>
      <c r="B110" s="18">
        <f>IF(事例清單!F110&lt;&gt;"是","",IF(事例清單!J110&lt;&gt;"",事例清單!J110,IF(事例清單!I110="一致",事例清單!G110,"")))</f>
        <v/>
      </c>
      <c r="C110" s="15" t="n"/>
      <c r="D110" s="18">
        <f>IF(C110="","",IF(ISNUMBER(SEARCH($G$4,C110)),"有",""))</f>
        <v/>
      </c>
    </row>
    <row r="111">
      <c r="A111" s="18">
        <f>IF(事例清單!A111="","",事例清單!A111)</f>
        <v/>
      </c>
      <c r="B111" s="18">
        <f>IF(事例清單!F111&lt;&gt;"是","",IF(事例清單!J111&lt;&gt;"",事例清單!J111,IF(事例清單!I111="一致",事例清單!G111,"")))</f>
        <v/>
      </c>
      <c r="C111" s="15" t="n"/>
      <c r="D111" s="18">
        <f>IF(C111="","",IF(ISNUMBER(SEARCH($G$4,C111)),"有",""))</f>
        <v/>
      </c>
    </row>
    <row r="112">
      <c r="A112" s="18">
        <f>IF(事例清單!A112="","",事例清單!A112)</f>
        <v/>
      </c>
      <c r="B112" s="18">
        <f>IF(事例清單!F112&lt;&gt;"是","",IF(事例清單!J112&lt;&gt;"",事例清單!J112,IF(事例清單!I112="一致",事例清單!G112,"")))</f>
        <v/>
      </c>
      <c r="C112" s="15" t="n"/>
      <c r="D112" s="18">
        <f>IF(C112="","",IF(ISNUMBER(SEARCH($G$4,C112)),"有",""))</f>
        <v/>
      </c>
    </row>
    <row r="113">
      <c r="A113" s="18">
        <f>IF(事例清單!A113="","",事例清單!A113)</f>
        <v/>
      </c>
      <c r="B113" s="18">
        <f>IF(事例清單!F113&lt;&gt;"是","",IF(事例清單!J113&lt;&gt;"",事例清單!J113,IF(事例清單!I113="一致",事例清單!G113,"")))</f>
        <v/>
      </c>
      <c r="C113" s="15" t="n"/>
      <c r="D113" s="18">
        <f>IF(C113="","",IF(ISNUMBER(SEARCH($G$4,C113)),"有",""))</f>
        <v/>
      </c>
    </row>
    <row r="114">
      <c r="A114" s="18">
        <f>IF(事例清單!A114="","",事例清單!A114)</f>
        <v/>
      </c>
      <c r="B114" s="18">
        <f>IF(事例清單!F114&lt;&gt;"是","",IF(事例清單!J114&lt;&gt;"",事例清單!J114,IF(事例清單!I114="一致",事例清單!G114,"")))</f>
        <v/>
      </c>
      <c r="C114" s="15" t="n"/>
      <c r="D114" s="18">
        <f>IF(C114="","",IF(ISNUMBER(SEARCH($G$4,C114)),"有",""))</f>
        <v/>
      </c>
    </row>
    <row r="115">
      <c r="A115" s="18">
        <f>IF(事例清單!A115="","",事例清單!A115)</f>
        <v/>
      </c>
      <c r="B115" s="18">
        <f>IF(事例清單!F115&lt;&gt;"是","",IF(事例清單!J115&lt;&gt;"",事例清單!J115,IF(事例清單!I115="一致",事例清單!G115,"")))</f>
        <v/>
      </c>
      <c r="C115" s="15" t="n"/>
      <c r="D115" s="18">
        <f>IF(C115="","",IF(ISNUMBER(SEARCH($G$4,C115)),"有",""))</f>
        <v/>
      </c>
    </row>
    <row r="116">
      <c r="A116" s="18">
        <f>IF(事例清單!A116="","",事例清單!A116)</f>
        <v/>
      </c>
      <c r="B116" s="18">
        <f>IF(事例清單!F116&lt;&gt;"是","",IF(事例清單!J116&lt;&gt;"",事例清單!J116,IF(事例清單!I116="一致",事例清單!G116,"")))</f>
        <v/>
      </c>
      <c r="C116" s="15" t="n"/>
      <c r="D116" s="18">
        <f>IF(C116="","",IF(ISNUMBER(SEARCH($G$4,C116)),"有",""))</f>
        <v/>
      </c>
    </row>
    <row r="117">
      <c r="A117" s="18">
        <f>IF(事例清單!A117="","",事例清單!A117)</f>
        <v/>
      </c>
      <c r="B117" s="18">
        <f>IF(事例清單!F117&lt;&gt;"是","",IF(事例清單!J117&lt;&gt;"",事例清單!J117,IF(事例清單!I117="一致",事例清單!G117,"")))</f>
        <v/>
      </c>
      <c r="C117" s="15" t="n"/>
      <c r="D117" s="18">
        <f>IF(C117="","",IF(ISNUMBER(SEARCH($G$4,C117)),"有",""))</f>
        <v/>
      </c>
    </row>
    <row r="118">
      <c r="A118" s="18">
        <f>IF(事例清單!A118="","",事例清單!A118)</f>
        <v/>
      </c>
      <c r="B118" s="18">
        <f>IF(事例清單!F118&lt;&gt;"是","",IF(事例清單!J118&lt;&gt;"",事例清單!J118,IF(事例清單!I118="一致",事例清單!G118,"")))</f>
        <v/>
      </c>
      <c r="C118" s="15" t="n"/>
      <c r="D118" s="18">
        <f>IF(C118="","",IF(ISNUMBER(SEARCH($G$4,C118)),"有",""))</f>
        <v/>
      </c>
    </row>
    <row r="119">
      <c r="A119" s="18">
        <f>IF(事例清單!A119="","",事例清單!A119)</f>
        <v/>
      </c>
      <c r="B119" s="18">
        <f>IF(事例清單!F119&lt;&gt;"是","",IF(事例清單!J119&lt;&gt;"",事例清單!J119,IF(事例清單!I119="一致",事例清單!G119,"")))</f>
        <v/>
      </c>
      <c r="C119" s="15" t="n"/>
      <c r="D119" s="18">
        <f>IF(C119="","",IF(ISNUMBER(SEARCH($G$4,C119)),"有",""))</f>
        <v/>
      </c>
    </row>
    <row r="120">
      <c r="A120" s="18">
        <f>IF(事例清單!A120="","",事例清單!A120)</f>
        <v/>
      </c>
      <c r="B120" s="18">
        <f>IF(事例清單!F120&lt;&gt;"是","",IF(事例清單!J120&lt;&gt;"",事例清單!J120,IF(事例清單!I120="一致",事例清單!G120,"")))</f>
        <v/>
      </c>
      <c r="C120" s="15" t="n"/>
      <c r="D120" s="18">
        <f>IF(C120="","",IF(ISNUMBER(SEARCH($G$4,C120)),"有",""))</f>
        <v/>
      </c>
    </row>
    <row r="121">
      <c r="A121" s="18">
        <f>IF(事例清單!A121="","",事例清單!A121)</f>
        <v/>
      </c>
      <c r="B121" s="18">
        <f>IF(事例清單!F121&lt;&gt;"是","",IF(事例清單!J121&lt;&gt;"",事例清單!J121,IF(事例清單!I121="一致",事例清單!G121,"")))</f>
        <v/>
      </c>
      <c r="C121" s="15" t="n"/>
      <c r="D121" s="18">
        <f>IF(C121="","",IF(ISNUMBER(SEARCH($G$4,C121)),"有",""))</f>
        <v/>
      </c>
    </row>
    <row r="122">
      <c r="A122" s="18">
        <f>IF(事例清單!A122="","",事例清單!A122)</f>
        <v/>
      </c>
      <c r="B122" s="18">
        <f>IF(事例清單!F122&lt;&gt;"是","",IF(事例清單!J122&lt;&gt;"",事例清單!J122,IF(事例清單!I122="一致",事例清單!G122,"")))</f>
        <v/>
      </c>
      <c r="C122" s="15" t="n"/>
      <c r="D122" s="18">
        <f>IF(C122="","",IF(ISNUMBER(SEARCH($G$4,C122)),"有",""))</f>
        <v/>
      </c>
    </row>
    <row r="123">
      <c r="A123" s="18">
        <f>IF(事例清單!A123="","",事例清單!A123)</f>
        <v/>
      </c>
      <c r="B123" s="18">
        <f>IF(事例清單!F123&lt;&gt;"是","",IF(事例清單!J123&lt;&gt;"",事例清單!J123,IF(事例清單!I123="一致",事例清單!G123,"")))</f>
        <v/>
      </c>
      <c r="C123" s="15" t="n"/>
      <c r="D123" s="18">
        <f>IF(C123="","",IF(ISNUMBER(SEARCH($G$4,C123)),"有",""))</f>
        <v/>
      </c>
    </row>
    <row r="124">
      <c r="A124" s="18">
        <f>IF(事例清單!A124="","",事例清單!A124)</f>
        <v/>
      </c>
      <c r="B124" s="18">
        <f>IF(事例清單!F124&lt;&gt;"是","",IF(事例清單!J124&lt;&gt;"",事例清單!J124,IF(事例清單!I124="一致",事例清單!G124,"")))</f>
        <v/>
      </c>
      <c r="C124" s="15" t="n"/>
      <c r="D124" s="18">
        <f>IF(C124="","",IF(ISNUMBER(SEARCH($G$4,C124)),"有",""))</f>
        <v/>
      </c>
    </row>
    <row r="125">
      <c r="A125" s="18">
        <f>IF(事例清單!A125="","",事例清單!A125)</f>
        <v/>
      </c>
      <c r="B125" s="18">
        <f>IF(事例清單!F125&lt;&gt;"是","",IF(事例清單!J125&lt;&gt;"",事例清單!J125,IF(事例清單!I125="一致",事例清單!G125,"")))</f>
        <v/>
      </c>
      <c r="C125" s="15" t="n"/>
      <c r="D125" s="18">
        <f>IF(C125="","",IF(ISNUMBER(SEARCH($G$4,C125)),"有",""))</f>
        <v/>
      </c>
    </row>
    <row r="126">
      <c r="A126" s="18">
        <f>IF(事例清單!A126="","",事例清單!A126)</f>
        <v/>
      </c>
      <c r="B126" s="18">
        <f>IF(事例清單!F126&lt;&gt;"是","",IF(事例清單!J126&lt;&gt;"",事例清單!J126,IF(事例清單!I126="一致",事例清單!G126,"")))</f>
        <v/>
      </c>
      <c r="C126" s="15" t="n"/>
      <c r="D126" s="18">
        <f>IF(C126="","",IF(ISNUMBER(SEARCH($G$4,C126)),"有",""))</f>
        <v/>
      </c>
    </row>
    <row r="127">
      <c r="A127" s="18">
        <f>IF(事例清單!A127="","",事例清單!A127)</f>
        <v/>
      </c>
      <c r="B127" s="18">
        <f>IF(事例清單!F127&lt;&gt;"是","",IF(事例清單!J127&lt;&gt;"",事例清單!J127,IF(事例清單!I127="一致",事例清單!G127,"")))</f>
        <v/>
      </c>
      <c r="C127" s="15" t="n"/>
      <c r="D127" s="18">
        <f>IF(C127="","",IF(ISNUMBER(SEARCH($G$4,C127)),"有",""))</f>
        <v/>
      </c>
    </row>
    <row r="128">
      <c r="A128" s="18">
        <f>IF(事例清單!A128="","",事例清單!A128)</f>
        <v/>
      </c>
      <c r="B128" s="18">
        <f>IF(事例清單!F128&lt;&gt;"是","",IF(事例清單!J128&lt;&gt;"",事例清單!J128,IF(事例清單!I128="一致",事例清單!G128,"")))</f>
        <v/>
      </c>
      <c r="C128" s="15" t="n"/>
      <c r="D128" s="18">
        <f>IF(C128="","",IF(ISNUMBER(SEARCH($G$4,C128)),"有",""))</f>
        <v/>
      </c>
    </row>
    <row r="129">
      <c r="A129" s="18">
        <f>IF(事例清單!A129="","",事例清單!A129)</f>
        <v/>
      </c>
      <c r="B129" s="18">
        <f>IF(事例清單!F129&lt;&gt;"是","",IF(事例清單!J129&lt;&gt;"",事例清單!J129,IF(事例清單!I129="一致",事例清單!G129,"")))</f>
        <v/>
      </c>
      <c r="C129" s="15" t="n"/>
      <c r="D129" s="18">
        <f>IF(C129="","",IF(ISNUMBER(SEARCH($G$4,C129)),"有",""))</f>
        <v/>
      </c>
    </row>
    <row r="130">
      <c r="A130" s="18">
        <f>IF(事例清單!A130="","",事例清單!A130)</f>
        <v/>
      </c>
      <c r="B130" s="18">
        <f>IF(事例清單!F130&lt;&gt;"是","",IF(事例清單!J130&lt;&gt;"",事例清單!J130,IF(事例清單!I130="一致",事例清單!G130,"")))</f>
        <v/>
      </c>
      <c r="C130" s="15" t="n"/>
      <c r="D130" s="18">
        <f>IF(C130="","",IF(ISNUMBER(SEARCH($G$4,C130)),"有",""))</f>
        <v/>
      </c>
    </row>
    <row r="131">
      <c r="A131" s="18">
        <f>IF(事例清單!A131="","",事例清單!A131)</f>
        <v/>
      </c>
      <c r="B131" s="18">
        <f>IF(事例清單!F131&lt;&gt;"是","",IF(事例清單!J131&lt;&gt;"",事例清單!J131,IF(事例清單!I131="一致",事例清單!G131,"")))</f>
        <v/>
      </c>
      <c r="C131" s="15" t="n"/>
      <c r="D131" s="18">
        <f>IF(C131="","",IF(ISNUMBER(SEARCH($G$4,C131)),"有",""))</f>
        <v/>
      </c>
    </row>
    <row r="132">
      <c r="A132" s="18">
        <f>IF(事例清單!A132="","",事例清單!A132)</f>
        <v/>
      </c>
      <c r="B132" s="18">
        <f>IF(事例清單!F132&lt;&gt;"是","",IF(事例清單!J132&lt;&gt;"",事例清單!J132,IF(事例清單!I132="一致",事例清單!G132,"")))</f>
        <v/>
      </c>
      <c r="C132" s="15" t="n"/>
      <c r="D132" s="18">
        <f>IF(C132="","",IF(ISNUMBER(SEARCH($G$4,C132)),"有",""))</f>
        <v/>
      </c>
    </row>
    <row r="133">
      <c r="A133" s="18">
        <f>IF(事例清單!A133="","",事例清單!A133)</f>
        <v/>
      </c>
      <c r="B133" s="18">
        <f>IF(事例清單!F133&lt;&gt;"是","",IF(事例清單!J133&lt;&gt;"",事例清單!J133,IF(事例清單!I133="一致",事例清單!G133,"")))</f>
        <v/>
      </c>
      <c r="C133" s="15" t="n"/>
      <c r="D133" s="18">
        <f>IF(C133="","",IF(ISNUMBER(SEARCH($G$4,C133)),"有",""))</f>
        <v/>
      </c>
    </row>
    <row r="134">
      <c r="A134" s="18">
        <f>IF(事例清單!A134="","",事例清單!A134)</f>
        <v/>
      </c>
      <c r="B134" s="18">
        <f>IF(事例清單!F134&lt;&gt;"是","",IF(事例清單!J134&lt;&gt;"",事例清單!J134,IF(事例清單!I134="一致",事例清單!G134,"")))</f>
        <v/>
      </c>
      <c r="C134" s="15" t="n"/>
      <c r="D134" s="18">
        <f>IF(C134="","",IF(ISNUMBER(SEARCH($G$4,C134)),"有",""))</f>
        <v/>
      </c>
    </row>
    <row r="135">
      <c r="A135" s="18">
        <f>IF(事例清單!A135="","",事例清單!A135)</f>
        <v/>
      </c>
      <c r="B135" s="18">
        <f>IF(事例清單!F135&lt;&gt;"是","",IF(事例清單!J135&lt;&gt;"",事例清單!J135,IF(事例清單!I135="一致",事例清單!G135,"")))</f>
        <v/>
      </c>
      <c r="C135" s="15" t="n"/>
      <c r="D135" s="18">
        <f>IF(C135="","",IF(ISNUMBER(SEARCH($G$4,C135)),"有",""))</f>
        <v/>
      </c>
    </row>
    <row r="136">
      <c r="A136" s="18">
        <f>IF(事例清單!A136="","",事例清單!A136)</f>
        <v/>
      </c>
      <c r="B136" s="18">
        <f>IF(事例清單!F136&lt;&gt;"是","",IF(事例清單!J136&lt;&gt;"",事例清單!J136,IF(事例清單!I136="一致",事例清單!G136,"")))</f>
        <v/>
      </c>
      <c r="C136" s="15" t="n"/>
      <c r="D136" s="18">
        <f>IF(C136="","",IF(ISNUMBER(SEARCH($G$4,C136)),"有",""))</f>
        <v/>
      </c>
    </row>
    <row r="137">
      <c r="A137" s="18">
        <f>IF(事例清單!A137="","",事例清單!A137)</f>
        <v/>
      </c>
      <c r="B137" s="18">
        <f>IF(事例清單!F137&lt;&gt;"是","",IF(事例清單!J137&lt;&gt;"",事例清單!J137,IF(事例清單!I137="一致",事例清單!G137,"")))</f>
        <v/>
      </c>
      <c r="C137" s="15" t="n"/>
      <c r="D137" s="18">
        <f>IF(C137="","",IF(ISNUMBER(SEARCH($G$4,C137)),"有",""))</f>
        <v/>
      </c>
    </row>
    <row r="138">
      <c r="A138" s="18">
        <f>IF(事例清單!A138="","",事例清單!A138)</f>
        <v/>
      </c>
      <c r="B138" s="18">
        <f>IF(事例清單!F138&lt;&gt;"是","",IF(事例清單!J138&lt;&gt;"",事例清單!J138,IF(事例清單!I138="一致",事例清單!G138,"")))</f>
        <v/>
      </c>
      <c r="C138" s="15" t="n"/>
      <c r="D138" s="18">
        <f>IF(C138="","",IF(ISNUMBER(SEARCH($G$4,C138)),"有",""))</f>
        <v/>
      </c>
    </row>
    <row r="139">
      <c r="A139" s="18">
        <f>IF(事例清單!A139="","",事例清單!A139)</f>
        <v/>
      </c>
      <c r="B139" s="18">
        <f>IF(事例清單!F139&lt;&gt;"是","",IF(事例清單!J139&lt;&gt;"",事例清單!J139,IF(事例清單!I139="一致",事例清單!G139,"")))</f>
        <v/>
      </c>
      <c r="C139" s="15" t="n"/>
      <c r="D139" s="18">
        <f>IF(C139="","",IF(ISNUMBER(SEARCH($G$4,C139)),"有",""))</f>
        <v/>
      </c>
    </row>
    <row r="140">
      <c r="A140" s="18">
        <f>IF(事例清單!A140="","",事例清單!A140)</f>
        <v/>
      </c>
      <c r="B140" s="18">
        <f>IF(事例清單!F140&lt;&gt;"是","",IF(事例清單!J140&lt;&gt;"",事例清單!J140,IF(事例清單!I140="一致",事例清單!G140,"")))</f>
        <v/>
      </c>
      <c r="C140" s="15" t="n"/>
      <c r="D140" s="18">
        <f>IF(C140="","",IF(ISNUMBER(SEARCH($G$4,C140)),"有",""))</f>
        <v/>
      </c>
    </row>
    <row r="141">
      <c r="A141" s="18">
        <f>IF(事例清單!A141="","",事例清單!A141)</f>
        <v/>
      </c>
      <c r="B141" s="18">
        <f>IF(事例清單!F141&lt;&gt;"是","",IF(事例清單!J141&lt;&gt;"",事例清單!J141,IF(事例清單!I141="一致",事例清單!G141,"")))</f>
        <v/>
      </c>
      <c r="C141" s="15" t="n"/>
      <c r="D141" s="18">
        <f>IF(C141="","",IF(ISNUMBER(SEARCH($G$4,C141)),"有",""))</f>
        <v/>
      </c>
    </row>
    <row r="142">
      <c r="A142" s="18">
        <f>IF(事例清單!A142="","",事例清單!A142)</f>
        <v/>
      </c>
      <c r="B142" s="18">
        <f>IF(事例清單!F142&lt;&gt;"是","",IF(事例清單!J142&lt;&gt;"",事例清單!J142,IF(事例清單!I142="一致",事例清單!G142,"")))</f>
        <v/>
      </c>
      <c r="C142" s="15" t="n"/>
      <c r="D142" s="18">
        <f>IF(C142="","",IF(ISNUMBER(SEARCH($G$4,C142)),"有",""))</f>
        <v/>
      </c>
    </row>
    <row r="143">
      <c r="A143" s="18">
        <f>IF(事例清單!A143="","",事例清單!A143)</f>
        <v/>
      </c>
      <c r="B143" s="18">
        <f>IF(事例清單!F143&lt;&gt;"是","",IF(事例清單!J143&lt;&gt;"",事例清單!J143,IF(事例清單!I143="一致",事例清單!G143,"")))</f>
        <v/>
      </c>
      <c r="C143" s="15" t="n"/>
      <c r="D143" s="18">
        <f>IF(C143="","",IF(ISNUMBER(SEARCH($G$4,C143)),"有",""))</f>
        <v/>
      </c>
    </row>
    <row r="144">
      <c r="A144" s="18">
        <f>IF(事例清單!A144="","",事例清單!A144)</f>
        <v/>
      </c>
      <c r="B144" s="18">
        <f>IF(事例清單!F144&lt;&gt;"是","",IF(事例清單!J144&lt;&gt;"",事例清單!J144,IF(事例清單!I144="一致",事例清單!G144,"")))</f>
        <v/>
      </c>
      <c r="C144" s="15" t="n"/>
      <c r="D144" s="18">
        <f>IF(C144="","",IF(ISNUMBER(SEARCH($G$4,C144)),"有",""))</f>
        <v/>
      </c>
    </row>
    <row r="145">
      <c r="A145" s="18">
        <f>IF(事例清單!A145="","",事例清單!A145)</f>
        <v/>
      </c>
      <c r="B145" s="18">
        <f>IF(事例清單!F145&lt;&gt;"是","",IF(事例清單!J145&lt;&gt;"",事例清單!J145,IF(事例清單!I145="一致",事例清單!G145,"")))</f>
        <v/>
      </c>
      <c r="C145" s="15" t="n"/>
      <c r="D145" s="18">
        <f>IF(C145="","",IF(ISNUMBER(SEARCH($G$4,C145)),"有",""))</f>
        <v/>
      </c>
    </row>
    <row r="146">
      <c r="A146" s="18">
        <f>IF(事例清單!A146="","",事例清單!A146)</f>
        <v/>
      </c>
      <c r="B146" s="18">
        <f>IF(事例清單!F146&lt;&gt;"是","",IF(事例清單!J146&lt;&gt;"",事例清單!J146,IF(事例清單!I146="一致",事例清單!G146,"")))</f>
        <v/>
      </c>
      <c r="C146" s="15" t="n"/>
      <c r="D146" s="18">
        <f>IF(C146="","",IF(ISNUMBER(SEARCH($G$4,C146)),"有",""))</f>
        <v/>
      </c>
    </row>
    <row r="147">
      <c r="A147" s="18">
        <f>IF(事例清單!A147="","",事例清單!A147)</f>
        <v/>
      </c>
      <c r="B147" s="18">
        <f>IF(事例清單!F147&lt;&gt;"是","",IF(事例清單!J147&lt;&gt;"",事例清單!J147,IF(事例清單!I147="一致",事例清單!G147,"")))</f>
        <v/>
      </c>
      <c r="C147" s="15" t="n"/>
      <c r="D147" s="18">
        <f>IF(C147="","",IF(ISNUMBER(SEARCH($G$4,C147)),"有",""))</f>
        <v/>
      </c>
    </row>
    <row r="148">
      <c r="A148" s="18">
        <f>IF(事例清單!A148="","",事例清單!A148)</f>
        <v/>
      </c>
      <c r="B148" s="18">
        <f>IF(事例清單!F148&lt;&gt;"是","",IF(事例清單!J148&lt;&gt;"",事例清單!J148,IF(事例清單!I148="一致",事例清單!G148,"")))</f>
        <v/>
      </c>
      <c r="C148" s="15" t="n"/>
      <c r="D148" s="18">
        <f>IF(C148="","",IF(ISNUMBER(SEARCH($G$4,C148)),"有",""))</f>
        <v/>
      </c>
    </row>
    <row r="149">
      <c r="A149" s="18">
        <f>IF(事例清單!A149="","",事例清單!A149)</f>
        <v/>
      </c>
      <c r="B149" s="18">
        <f>IF(事例清單!F149&lt;&gt;"是","",IF(事例清單!J149&lt;&gt;"",事例清單!J149,IF(事例清單!I149="一致",事例清單!G149,"")))</f>
        <v/>
      </c>
      <c r="C149" s="15" t="n"/>
      <c r="D149" s="18">
        <f>IF(C149="","",IF(ISNUMBER(SEARCH($G$4,C149)),"有",""))</f>
        <v/>
      </c>
    </row>
    <row r="150">
      <c r="A150" s="18">
        <f>IF(事例清單!A150="","",事例清單!A150)</f>
        <v/>
      </c>
      <c r="B150" s="18">
        <f>IF(事例清單!F150&lt;&gt;"是","",IF(事例清單!J150&lt;&gt;"",事例清單!J150,IF(事例清單!I150="一致",事例清單!G150,"")))</f>
        <v/>
      </c>
      <c r="C150" s="15" t="n"/>
      <c r="D150" s="18">
        <f>IF(C150="","",IF(ISNUMBER(SEARCH($G$4,C150)),"有",""))</f>
        <v/>
      </c>
    </row>
    <row r="151">
      <c r="A151" s="18">
        <f>IF(事例清單!A151="","",事例清單!A151)</f>
        <v/>
      </c>
      <c r="B151" s="18">
        <f>IF(事例清單!F151&lt;&gt;"是","",IF(事例清單!J151&lt;&gt;"",事例清單!J151,IF(事例清單!I151="一致",事例清單!G151,"")))</f>
        <v/>
      </c>
      <c r="C151" s="15" t="n"/>
      <c r="D151" s="18">
        <f>IF(C151="","",IF(ISNUMBER(SEARCH($G$4,C151)),"有",""))</f>
        <v/>
      </c>
    </row>
    <row r="152">
      <c r="A152" s="18">
        <f>IF(事例清單!A152="","",事例清單!A152)</f>
        <v/>
      </c>
      <c r="B152" s="18">
        <f>IF(事例清單!F152&lt;&gt;"是","",IF(事例清單!J152&lt;&gt;"",事例清單!J152,IF(事例清單!I152="一致",事例清單!G152,"")))</f>
        <v/>
      </c>
      <c r="C152" s="15" t="n"/>
      <c r="D152" s="18">
        <f>IF(C152="","",IF(ISNUMBER(SEARCH($G$4,C152)),"有",""))</f>
        <v/>
      </c>
    </row>
    <row r="153">
      <c r="A153" s="18">
        <f>IF(事例清單!A153="","",事例清單!A153)</f>
        <v/>
      </c>
      <c r="B153" s="18">
        <f>IF(事例清單!F153&lt;&gt;"是","",IF(事例清單!J153&lt;&gt;"",事例清單!J153,IF(事例清單!I153="一致",事例清單!G153,"")))</f>
        <v/>
      </c>
      <c r="C153" s="15" t="n"/>
      <c r="D153" s="18">
        <f>IF(C153="","",IF(ISNUMBER(SEARCH($G$4,C153)),"有",""))</f>
        <v/>
      </c>
    </row>
    <row r="154">
      <c r="A154" s="18">
        <f>IF(事例清單!A154="","",事例清單!A154)</f>
        <v/>
      </c>
      <c r="B154" s="18">
        <f>IF(事例清單!F154&lt;&gt;"是","",IF(事例清單!J154&lt;&gt;"",事例清單!J154,IF(事例清單!I154="一致",事例清單!G154,"")))</f>
        <v/>
      </c>
      <c r="C154" s="15" t="n"/>
      <c r="D154" s="18">
        <f>IF(C154="","",IF(ISNUMBER(SEARCH($G$4,C154)),"有",""))</f>
        <v/>
      </c>
    </row>
    <row r="155">
      <c r="A155" s="18">
        <f>IF(事例清單!A155="","",事例清單!A155)</f>
        <v/>
      </c>
      <c r="B155" s="18">
        <f>IF(事例清單!F155&lt;&gt;"是","",IF(事例清單!J155&lt;&gt;"",事例清單!J155,IF(事例清單!I155="一致",事例清單!G155,"")))</f>
        <v/>
      </c>
      <c r="C155" s="15" t="n"/>
      <c r="D155" s="18">
        <f>IF(C155="","",IF(ISNUMBER(SEARCH($G$4,C155)),"有",""))</f>
        <v/>
      </c>
    </row>
    <row r="156">
      <c r="A156" s="18">
        <f>IF(事例清單!A156="","",事例清單!A156)</f>
        <v/>
      </c>
      <c r="B156" s="18">
        <f>IF(事例清單!F156&lt;&gt;"是","",IF(事例清單!J156&lt;&gt;"",事例清單!J156,IF(事例清單!I156="一致",事例清單!G156,"")))</f>
        <v/>
      </c>
      <c r="C156" s="15" t="n"/>
      <c r="D156" s="18">
        <f>IF(C156="","",IF(ISNUMBER(SEARCH($G$4,C156)),"有",""))</f>
        <v/>
      </c>
    </row>
    <row r="157">
      <c r="A157" s="18">
        <f>IF(事例清單!A157="","",事例清單!A157)</f>
        <v/>
      </c>
      <c r="B157" s="18">
        <f>IF(事例清單!F157&lt;&gt;"是","",IF(事例清單!J157&lt;&gt;"",事例清單!J157,IF(事例清單!I157="一致",事例清單!G157,"")))</f>
        <v/>
      </c>
      <c r="C157" s="15" t="n"/>
      <c r="D157" s="18">
        <f>IF(C157="","",IF(ISNUMBER(SEARCH($G$4,C157)),"有",""))</f>
        <v/>
      </c>
    </row>
    <row r="158">
      <c r="A158" s="18">
        <f>IF(事例清單!A158="","",事例清單!A158)</f>
        <v/>
      </c>
      <c r="B158" s="18">
        <f>IF(事例清單!F158&lt;&gt;"是","",IF(事例清單!J158&lt;&gt;"",事例清單!J158,IF(事例清單!I158="一致",事例清單!G158,"")))</f>
        <v/>
      </c>
      <c r="C158" s="15" t="n"/>
      <c r="D158" s="18">
        <f>IF(C158="","",IF(ISNUMBER(SEARCH($G$4,C158)),"有",""))</f>
        <v/>
      </c>
    </row>
    <row r="159">
      <c r="A159" s="18">
        <f>IF(事例清單!A159="","",事例清單!A159)</f>
        <v/>
      </c>
      <c r="B159" s="18">
        <f>IF(事例清單!F159&lt;&gt;"是","",IF(事例清單!J159&lt;&gt;"",事例清單!J159,IF(事例清單!I159="一致",事例清單!G159,"")))</f>
        <v/>
      </c>
      <c r="C159" s="15" t="n"/>
      <c r="D159" s="18">
        <f>IF(C159="","",IF(ISNUMBER(SEARCH($G$4,C159)),"有",""))</f>
        <v/>
      </c>
    </row>
    <row r="160">
      <c r="A160" s="18">
        <f>IF(事例清單!A160="","",事例清單!A160)</f>
        <v/>
      </c>
      <c r="B160" s="18">
        <f>IF(事例清單!F160&lt;&gt;"是","",IF(事例清單!J160&lt;&gt;"",事例清單!J160,IF(事例清單!I160="一致",事例清單!G160,"")))</f>
        <v/>
      </c>
      <c r="C160" s="15" t="n"/>
      <c r="D160" s="18">
        <f>IF(C160="","",IF(ISNUMBER(SEARCH($G$4,C160)),"有",""))</f>
        <v/>
      </c>
    </row>
    <row r="161">
      <c r="A161" s="18">
        <f>IF(事例清單!A161="","",事例清單!A161)</f>
        <v/>
      </c>
      <c r="B161" s="18">
        <f>IF(事例清單!F161&lt;&gt;"是","",IF(事例清單!J161&lt;&gt;"",事例清單!J161,IF(事例清單!I161="一致",事例清單!G161,"")))</f>
        <v/>
      </c>
      <c r="C161" s="15" t="n"/>
      <c r="D161" s="18">
        <f>IF(C161="","",IF(ISNUMBER(SEARCH($G$4,C161)),"有",""))</f>
        <v/>
      </c>
    </row>
    <row r="162">
      <c r="A162" s="18">
        <f>IF(事例清單!A162="","",事例清單!A162)</f>
        <v/>
      </c>
      <c r="B162" s="18">
        <f>IF(事例清單!F162&lt;&gt;"是","",IF(事例清單!J162&lt;&gt;"",事例清單!J162,IF(事例清單!I162="一致",事例清單!G162,"")))</f>
        <v/>
      </c>
      <c r="C162" s="15" t="n"/>
      <c r="D162" s="18">
        <f>IF(C162="","",IF(ISNUMBER(SEARCH($G$4,C162)),"有",""))</f>
        <v/>
      </c>
    </row>
    <row r="163">
      <c r="A163" s="18">
        <f>IF(事例清單!A163="","",事例清單!A163)</f>
        <v/>
      </c>
      <c r="B163" s="18">
        <f>IF(事例清單!F163&lt;&gt;"是","",IF(事例清單!J163&lt;&gt;"",事例清單!J163,IF(事例清單!I163="一致",事例清單!G163,"")))</f>
        <v/>
      </c>
      <c r="C163" s="15" t="n"/>
      <c r="D163" s="18">
        <f>IF(C163="","",IF(ISNUMBER(SEARCH($G$4,C163)),"有",""))</f>
        <v/>
      </c>
    </row>
    <row r="164">
      <c r="A164" s="18">
        <f>IF(事例清單!A164="","",事例清單!A164)</f>
        <v/>
      </c>
      <c r="B164" s="18">
        <f>IF(事例清單!F164&lt;&gt;"是","",IF(事例清單!J164&lt;&gt;"",事例清單!J164,IF(事例清單!I164="一致",事例清單!G164,"")))</f>
        <v/>
      </c>
      <c r="C164" s="15" t="n"/>
      <c r="D164" s="18">
        <f>IF(C164="","",IF(ISNUMBER(SEARCH($G$4,C164)),"有",""))</f>
        <v/>
      </c>
    </row>
    <row r="165">
      <c r="A165" s="18">
        <f>IF(事例清單!A165="","",事例清單!A165)</f>
        <v/>
      </c>
      <c r="B165" s="18">
        <f>IF(事例清單!F165&lt;&gt;"是","",IF(事例清單!J165&lt;&gt;"",事例清單!J165,IF(事例清單!I165="一致",事例清單!G165,"")))</f>
        <v/>
      </c>
      <c r="C165" s="15" t="n"/>
      <c r="D165" s="18">
        <f>IF(C165="","",IF(ISNUMBER(SEARCH($G$4,C165)),"有",""))</f>
        <v/>
      </c>
    </row>
    <row r="166">
      <c r="A166" s="18">
        <f>IF(事例清單!A166="","",事例清單!A166)</f>
        <v/>
      </c>
      <c r="B166" s="18">
        <f>IF(事例清單!F166&lt;&gt;"是","",IF(事例清單!J166&lt;&gt;"",事例清單!J166,IF(事例清單!I166="一致",事例清單!G166,"")))</f>
        <v/>
      </c>
      <c r="C166" s="15" t="n"/>
      <c r="D166" s="18">
        <f>IF(C166="","",IF(ISNUMBER(SEARCH($G$4,C166)),"有",""))</f>
        <v/>
      </c>
    </row>
    <row r="167">
      <c r="A167" s="18">
        <f>IF(事例清單!A167="","",事例清單!A167)</f>
        <v/>
      </c>
      <c r="B167" s="18">
        <f>IF(事例清單!F167&lt;&gt;"是","",IF(事例清單!J167&lt;&gt;"",事例清單!J167,IF(事例清單!I167="一致",事例清單!G167,"")))</f>
        <v/>
      </c>
      <c r="C167" s="15" t="n"/>
      <c r="D167" s="18">
        <f>IF(C167="","",IF(ISNUMBER(SEARCH($G$4,C167)),"有",""))</f>
        <v/>
      </c>
    </row>
    <row r="168">
      <c r="A168" s="18">
        <f>IF(事例清單!A168="","",事例清單!A168)</f>
        <v/>
      </c>
      <c r="B168" s="18">
        <f>IF(事例清單!F168&lt;&gt;"是","",IF(事例清單!J168&lt;&gt;"",事例清單!J168,IF(事例清單!I168="一致",事例清單!G168,"")))</f>
        <v/>
      </c>
      <c r="C168" s="15" t="n"/>
      <c r="D168" s="18">
        <f>IF(C168="","",IF(ISNUMBER(SEARCH($G$4,C168)),"有",""))</f>
        <v/>
      </c>
    </row>
    <row r="169">
      <c r="A169" s="18">
        <f>IF(事例清單!A169="","",事例清單!A169)</f>
        <v/>
      </c>
      <c r="B169" s="18">
        <f>IF(事例清單!F169&lt;&gt;"是","",IF(事例清單!J169&lt;&gt;"",事例清單!J169,IF(事例清單!I169="一致",事例清單!G169,"")))</f>
        <v/>
      </c>
      <c r="C169" s="15" t="n"/>
      <c r="D169" s="18">
        <f>IF(C169="","",IF(ISNUMBER(SEARCH($G$4,C169)),"有",""))</f>
        <v/>
      </c>
    </row>
    <row r="170">
      <c r="A170" s="18">
        <f>IF(事例清單!A170="","",事例清單!A170)</f>
        <v/>
      </c>
      <c r="B170" s="18">
        <f>IF(事例清單!F170&lt;&gt;"是","",IF(事例清單!J170&lt;&gt;"",事例清單!J170,IF(事例清單!I170="一致",事例清單!G170,"")))</f>
        <v/>
      </c>
      <c r="C170" s="15" t="n"/>
      <c r="D170" s="18">
        <f>IF(C170="","",IF(ISNUMBER(SEARCH($G$4,C170)),"有",""))</f>
        <v/>
      </c>
    </row>
    <row r="171">
      <c r="A171" s="18">
        <f>IF(事例清單!A171="","",事例清單!A171)</f>
        <v/>
      </c>
      <c r="B171" s="18">
        <f>IF(事例清單!F171&lt;&gt;"是","",IF(事例清單!J171&lt;&gt;"",事例清單!J171,IF(事例清單!I171="一致",事例清單!G171,"")))</f>
        <v/>
      </c>
      <c r="C171" s="15" t="n"/>
      <c r="D171" s="18">
        <f>IF(C171="","",IF(ISNUMBER(SEARCH($G$4,C171)),"有",""))</f>
        <v/>
      </c>
    </row>
    <row r="172">
      <c r="A172" s="18">
        <f>IF(事例清單!A172="","",事例清單!A172)</f>
        <v/>
      </c>
      <c r="B172" s="18">
        <f>IF(事例清單!F172&lt;&gt;"是","",IF(事例清單!J172&lt;&gt;"",事例清單!J172,IF(事例清單!I172="一致",事例清單!G172,"")))</f>
        <v/>
      </c>
      <c r="C172" s="15" t="n"/>
      <c r="D172" s="18">
        <f>IF(C172="","",IF(ISNUMBER(SEARCH($G$4,C172)),"有",""))</f>
        <v/>
      </c>
    </row>
    <row r="173">
      <c r="A173" s="18">
        <f>IF(事例清單!A173="","",事例清單!A173)</f>
        <v/>
      </c>
      <c r="B173" s="18">
        <f>IF(事例清單!F173&lt;&gt;"是","",IF(事例清單!J173&lt;&gt;"",事例清單!J173,IF(事例清單!I173="一致",事例清單!G173,"")))</f>
        <v/>
      </c>
      <c r="C173" s="15" t="n"/>
      <c r="D173" s="18">
        <f>IF(C173="","",IF(ISNUMBER(SEARCH($G$4,C173)),"有",""))</f>
        <v/>
      </c>
    </row>
    <row r="174">
      <c r="A174" s="18">
        <f>IF(事例清單!A174="","",事例清單!A174)</f>
        <v/>
      </c>
      <c r="B174" s="18">
        <f>IF(事例清單!F174&lt;&gt;"是","",IF(事例清單!J174&lt;&gt;"",事例清單!J174,IF(事例清單!I174="一致",事例清單!G174,"")))</f>
        <v/>
      </c>
      <c r="C174" s="15" t="n"/>
      <c r="D174" s="18">
        <f>IF(C174="","",IF(ISNUMBER(SEARCH($G$4,C174)),"有",""))</f>
        <v/>
      </c>
    </row>
    <row r="175">
      <c r="A175" s="18">
        <f>IF(事例清單!A175="","",事例清單!A175)</f>
        <v/>
      </c>
      <c r="B175" s="18">
        <f>IF(事例清單!F175&lt;&gt;"是","",IF(事例清單!J175&lt;&gt;"",事例清單!J175,IF(事例清單!I175="一致",事例清單!G175,"")))</f>
        <v/>
      </c>
      <c r="C175" s="15" t="n"/>
      <c r="D175" s="18">
        <f>IF(C175="","",IF(ISNUMBER(SEARCH($G$4,C175)),"有",""))</f>
        <v/>
      </c>
    </row>
    <row r="176">
      <c r="A176" s="18">
        <f>IF(事例清單!A176="","",事例清單!A176)</f>
        <v/>
      </c>
      <c r="B176" s="18">
        <f>IF(事例清單!F176&lt;&gt;"是","",IF(事例清單!J176&lt;&gt;"",事例清單!J176,IF(事例清單!I176="一致",事例清單!G176,"")))</f>
        <v/>
      </c>
      <c r="C176" s="15" t="n"/>
      <c r="D176" s="18">
        <f>IF(C176="","",IF(ISNUMBER(SEARCH($G$4,C176)),"有",""))</f>
        <v/>
      </c>
    </row>
    <row r="177">
      <c r="A177" s="18">
        <f>IF(事例清單!A177="","",事例清單!A177)</f>
        <v/>
      </c>
      <c r="B177" s="18">
        <f>IF(事例清單!F177&lt;&gt;"是","",IF(事例清單!J177&lt;&gt;"",事例清單!J177,IF(事例清單!I177="一致",事例清單!G177,"")))</f>
        <v/>
      </c>
      <c r="C177" s="15" t="n"/>
      <c r="D177" s="18">
        <f>IF(C177="","",IF(ISNUMBER(SEARCH($G$4,C177)),"有",""))</f>
        <v/>
      </c>
    </row>
    <row r="178">
      <c r="A178" s="18">
        <f>IF(事例清單!A178="","",事例清單!A178)</f>
        <v/>
      </c>
      <c r="B178" s="18">
        <f>IF(事例清單!F178&lt;&gt;"是","",IF(事例清單!J178&lt;&gt;"",事例清單!J178,IF(事例清單!I178="一致",事例清單!G178,"")))</f>
        <v/>
      </c>
      <c r="C178" s="15" t="n"/>
      <c r="D178" s="18">
        <f>IF(C178="","",IF(ISNUMBER(SEARCH($G$4,C178)),"有",""))</f>
        <v/>
      </c>
    </row>
    <row r="179">
      <c r="A179" s="18">
        <f>IF(事例清單!A179="","",事例清單!A179)</f>
        <v/>
      </c>
      <c r="B179" s="18">
        <f>IF(事例清單!F179&lt;&gt;"是","",IF(事例清單!J179&lt;&gt;"",事例清單!J179,IF(事例清單!I179="一致",事例清單!G179,"")))</f>
        <v/>
      </c>
      <c r="C179" s="15" t="n"/>
      <c r="D179" s="18">
        <f>IF(C179="","",IF(ISNUMBER(SEARCH($G$4,C179)),"有",""))</f>
        <v/>
      </c>
    </row>
    <row r="180">
      <c r="A180" s="18">
        <f>IF(事例清單!A180="","",事例清單!A180)</f>
        <v/>
      </c>
      <c r="B180" s="18">
        <f>IF(事例清單!F180&lt;&gt;"是","",IF(事例清單!J180&lt;&gt;"",事例清單!J180,IF(事例清單!I180="一致",事例清單!G180,"")))</f>
        <v/>
      </c>
      <c r="C180" s="15" t="n"/>
      <c r="D180" s="18">
        <f>IF(C180="","",IF(ISNUMBER(SEARCH($G$4,C180)),"有",""))</f>
        <v/>
      </c>
    </row>
    <row r="181">
      <c r="A181" s="18">
        <f>IF(事例清單!A181="","",事例清單!A181)</f>
        <v/>
      </c>
      <c r="B181" s="18">
        <f>IF(事例清單!F181&lt;&gt;"是","",IF(事例清單!J181&lt;&gt;"",事例清單!J181,IF(事例清單!I181="一致",事例清單!G181,"")))</f>
        <v/>
      </c>
      <c r="C181" s="15" t="n"/>
      <c r="D181" s="18">
        <f>IF(C181="","",IF(ISNUMBER(SEARCH($G$4,C181)),"有",""))</f>
        <v/>
      </c>
    </row>
    <row r="182">
      <c r="A182" s="18">
        <f>IF(事例清單!A182="","",事例清單!A182)</f>
        <v/>
      </c>
      <c r="B182" s="18">
        <f>IF(事例清單!F182&lt;&gt;"是","",IF(事例清單!J182&lt;&gt;"",事例清單!J182,IF(事例清單!I182="一致",事例清單!G182,"")))</f>
        <v/>
      </c>
      <c r="C182" s="15" t="n"/>
      <c r="D182" s="18">
        <f>IF(C182="","",IF(ISNUMBER(SEARCH($G$4,C182)),"有",""))</f>
        <v/>
      </c>
    </row>
    <row r="183">
      <c r="A183" s="18">
        <f>IF(事例清單!A183="","",事例清單!A183)</f>
        <v/>
      </c>
      <c r="B183" s="18">
        <f>IF(事例清單!F183&lt;&gt;"是","",IF(事例清單!J183&lt;&gt;"",事例清單!J183,IF(事例清單!I183="一致",事例清單!G183,"")))</f>
        <v/>
      </c>
      <c r="C183" s="15" t="n"/>
      <c r="D183" s="18">
        <f>IF(C183="","",IF(ISNUMBER(SEARCH($G$4,C183)),"有",""))</f>
        <v/>
      </c>
    </row>
    <row r="184">
      <c r="A184" s="18">
        <f>IF(事例清單!A184="","",事例清單!A184)</f>
        <v/>
      </c>
      <c r="B184" s="18">
        <f>IF(事例清單!F184&lt;&gt;"是","",IF(事例清單!J184&lt;&gt;"",事例清單!J184,IF(事例清單!I184="一致",事例清單!G184,"")))</f>
        <v/>
      </c>
      <c r="C184" s="15" t="n"/>
      <c r="D184" s="18">
        <f>IF(C184="","",IF(ISNUMBER(SEARCH($G$4,C184)),"有",""))</f>
        <v/>
      </c>
    </row>
    <row r="185">
      <c r="A185" s="18">
        <f>IF(事例清單!A185="","",事例清單!A185)</f>
        <v/>
      </c>
      <c r="B185" s="18">
        <f>IF(事例清單!F185&lt;&gt;"是","",IF(事例清單!J185&lt;&gt;"",事例清單!J185,IF(事例清單!I185="一致",事例清單!G185,"")))</f>
        <v/>
      </c>
      <c r="C185" s="15" t="n"/>
      <c r="D185" s="18">
        <f>IF(C185="","",IF(ISNUMBER(SEARCH($G$4,C185)),"有",""))</f>
        <v/>
      </c>
    </row>
    <row r="186">
      <c r="A186" s="18">
        <f>IF(事例清單!A186="","",事例清單!A186)</f>
        <v/>
      </c>
      <c r="B186" s="18">
        <f>IF(事例清單!F186&lt;&gt;"是","",IF(事例清單!J186&lt;&gt;"",事例清單!J186,IF(事例清單!I186="一致",事例清單!G186,"")))</f>
        <v/>
      </c>
      <c r="C186" s="15" t="n"/>
      <c r="D186" s="18">
        <f>IF(C186="","",IF(ISNUMBER(SEARCH($G$4,C186)),"有",""))</f>
        <v/>
      </c>
    </row>
    <row r="187">
      <c r="A187" s="18">
        <f>IF(事例清單!A187="","",事例清單!A187)</f>
        <v/>
      </c>
      <c r="B187" s="18">
        <f>IF(事例清單!F187&lt;&gt;"是","",IF(事例清單!J187&lt;&gt;"",事例清單!J187,IF(事例清單!I187="一致",事例清單!G187,"")))</f>
        <v/>
      </c>
      <c r="C187" s="15" t="n"/>
      <c r="D187" s="18">
        <f>IF(C187="","",IF(ISNUMBER(SEARCH($G$4,C187)),"有",""))</f>
        <v/>
      </c>
    </row>
    <row r="188">
      <c r="A188" s="18">
        <f>IF(事例清單!A188="","",事例清單!A188)</f>
        <v/>
      </c>
      <c r="B188" s="18">
        <f>IF(事例清單!F188&lt;&gt;"是","",IF(事例清單!J188&lt;&gt;"",事例清單!J188,IF(事例清單!I188="一致",事例清單!G188,"")))</f>
        <v/>
      </c>
      <c r="C188" s="15" t="n"/>
      <c r="D188" s="18">
        <f>IF(C188="","",IF(ISNUMBER(SEARCH($G$4,C188)),"有",""))</f>
        <v/>
      </c>
    </row>
    <row r="189">
      <c r="A189" s="18">
        <f>IF(事例清單!A189="","",事例清單!A189)</f>
        <v/>
      </c>
      <c r="B189" s="18">
        <f>IF(事例清單!F189&lt;&gt;"是","",IF(事例清單!J189&lt;&gt;"",事例清單!J189,IF(事例清單!I189="一致",事例清單!G189,"")))</f>
        <v/>
      </c>
      <c r="C189" s="15" t="n"/>
      <c r="D189" s="18">
        <f>IF(C189="","",IF(ISNUMBER(SEARCH($G$4,C189)),"有",""))</f>
        <v/>
      </c>
    </row>
    <row r="190">
      <c r="A190" s="18">
        <f>IF(事例清單!A190="","",事例清單!A190)</f>
        <v/>
      </c>
      <c r="B190" s="18">
        <f>IF(事例清單!F190&lt;&gt;"是","",IF(事例清單!J190&lt;&gt;"",事例清單!J190,IF(事例清單!I190="一致",事例清單!G190,"")))</f>
        <v/>
      </c>
      <c r="C190" s="15" t="n"/>
      <c r="D190" s="18">
        <f>IF(C190="","",IF(ISNUMBER(SEARCH($G$4,C190)),"有",""))</f>
        <v/>
      </c>
    </row>
    <row r="191">
      <c r="A191" s="18">
        <f>IF(事例清單!A191="","",事例清單!A191)</f>
        <v/>
      </c>
      <c r="B191" s="18">
        <f>IF(事例清單!F191&lt;&gt;"是","",IF(事例清單!J191&lt;&gt;"",事例清單!J191,IF(事例清單!I191="一致",事例清單!G191,"")))</f>
        <v/>
      </c>
      <c r="C191" s="15" t="n"/>
      <c r="D191" s="18">
        <f>IF(C191="","",IF(ISNUMBER(SEARCH($G$4,C191)),"有",""))</f>
        <v/>
      </c>
    </row>
    <row r="192">
      <c r="A192" s="18">
        <f>IF(事例清單!A192="","",事例清單!A192)</f>
        <v/>
      </c>
      <c r="B192" s="18">
        <f>IF(事例清單!F192&lt;&gt;"是","",IF(事例清單!J192&lt;&gt;"",事例清單!J192,IF(事例清單!I192="一致",事例清單!G192,"")))</f>
        <v/>
      </c>
      <c r="C192" s="15" t="n"/>
      <c r="D192" s="18">
        <f>IF(C192="","",IF(ISNUMBER(SEARCH($G$4,C192)),"有",""))</f>
        <v/>
      </c>
    </row>
    <row r="193">
      <c r="A193" s="18">
        <f>IF(事例清單!A193="","",事例清單!A193)</f>
        <v/>
      </c>
      <c r="B193" s="18">
        <f>IF(事例清單!F193&lt;&gt;"是","",IF(事例清單!J193&lt;&gt;"",事例清單!J193,IF(事例清單!I193="一致",事例清單!G193,"")))</f>
        <v/>
      </c>
      <c r="C193" s="15" t="n"/>
      <c r="D193" s="18">
        <f>IF(C193="","",IF(ISNUMBER(SEARCH($G$4,C193)),"有",""))</f>
        <v/>
      </c>
    </row>
    <row r="194">
      <c r="A194" s="18">
        <f>IF(事例清單!A194="","",事例清單!A194)</f>
        <v/>
      </c>
      <c r="B194" s="18">
        <f>IF(事例清單!F194&lt;&gt;"是","",IF(事例清單!J194&lt;&gt;"",事例清單!J194,IF(事例清單!I194="一致",事例清單!G194,"")))</f>
        <v/>
      </c>
      <c r="C194" s="15" t="n"/>
      <c r="D194" s="18">
        <f>IF(C194="","",IF(ISNUMBER(SEARCH($G$4,C194)),"有",""))</f>
        <v/>
      </c>
    </row>
    <row r="195">
      <c r="A195" s="18">
        <f>IF(事例清單!A195="","",事例清單!A195)</f>
        <v/>
      </c>
      <c r="B195" s="18">
        <f>IF(事例清單!F195&lt;&gt;"是","",IF(事例清單!J195&lt;&gt;"",事例清單!J195,IF(事例清單!I195="一致",事例清單!G195,"")))</f>
        <v/>
      </c>
      <c r="C195" s="15" t="n"/>
      <c r="D195" s="18">
        <f>IF(C195="","",IF(ISNUMBER(SEARCH($G$4,C195)),"有",""))</f>
        <v/>
      </c>
    </row>
    <row r="196">
      <c r="A196" s="18">
        <f>IF(事例清單!A196="","",事例清單!A196)</f>
        <v/>
      </c>
      <c r="B196" s="18">
        <f>IF(事例清單!F196&lt;&gt;"是","",IF(事例清單!J196&lt;&gt;"",事例清單!J196,IF(事例清單!I196="一致",事例清單!G196,"")))</f>
        <v/>
      </c>
      <c r="C196" s="15" t="n"/>
      <c r="D196" s="18">
        <f>IF(C196="","",IF(ISNUMBER(SEARCH($G$4,C196)),"有",""))</f>
        <v/>
      </c>
    </row>
    <row r="197">
      <c r="A197" s="18">
        <f>IF(事例清單!A197="","",事例清單!A197)</f>
        <v/>
      </c>
      <c r="B197" s="18">
        <f>IF(事例清單!F197&lt;&gt;"是","",IF(事例清單!J197&lt;&gt;"",事例清單!J197,IF(事例清單!I197="一致",事例清單!G197,"")))</f>
        <v/>
      </c>
      <c r="C197" s="15" t="n"/>
      <c r="D197" s="18">
        <f>IF(C197="","",IF(ISNUMBER(SEARCH($G$4,C197)),"有",""))</f>
        <v/>
      </c>
    </row>
    <row r="198">
      <c r="A198" s="18">
        <f>IF(事例清單!A198="","",事例清單!A198)</f>
        <v/>
      </c>
      <c r="B198" s="18">
        <f>IF(事例清單!F198&lt;&gt;"是","",IF(事例清單!J198&lt;&gt;"",事例清單!J198,IF(事例清單!I198="一致",事例清單!G198,"")))</f>
        <v/>
      </c>
      <c r="C198" s="15" t="n"/>
      <c r="D198" s="18">
        <f>IF(C198="","",IF(ISNUMBER(SEARCH($G$4,C198)),"有",""))</f>
        <v/>
      </c>
    </row>
    <row r="199">
      <c r="A199" s="18">
        <f>IF(事例清單!A199="","",事例清單!A199)</f>
        <v/>
      </c>
      <c r="B199" s="18">
        <f>IF(事例清單!F199&lt;&gt;"是","",IF(事例清單!J199&lt;&gt;"",事例清單!J199,IF(事例清單!I199="一致",事例清單!G199,"")))</f>
        <v/>
      </c>
      <c r="C199" s="15" t="n"/>
      <c r="D199" s="18">
        <f>IF(C199="","",IF(ISNUMBER(SEARCH($G$4,C199)),"有",""))</f>
        <v/>
      </c>
    </row>
    <row r="200">
      <c r="A200" s="18">
        <f>IF(事例清單!A200="","",事例清單!A200)</f>
        <v/>
      </c>
      <c r="B200" s="18">
        <f>IF(事例清單!F200&lt;&gt;"是","",IF(事例清單!J200&lt;&gt;"",事例清單!J200,IF(事例清單!I200="一致",事例清單!G200,"")))</f>
        <v/>
      </c>
      <c r="C200" s="15" t="n"/>
      <c r="D200" s="18">
        <f>IF(C200="","",IF(ISNUMBER(SEARCH($G$4,C200)),"有",""))</f>
        <v/>
      </c>
    </row>
    <row r="201">
      <c r="A201" s="18">
        <f>IF(事例清單!A201="","",事例清單!A201)</f>
        <v/>
      </c>
      <c r="B201" s="18">
        <f>IF(事例清單!F201&lt;&gt;"是","",IF(事例清單!J201&lt;&gt;"",事例清單!J201,IF(事例清單!I201="一致",事例清單!G201,"")))</f>
        <v/>
      </c>
      <c r="C201" s="15" t="n"/>
      <c r="D201" s="18">
        <f>IF(C201="","",IF(ISNUMBER(SEARCH($G$4,C201)),"有",""))</f>
        <v/>
      </c>
    </row>
    <row r="202">
      <c r="A202" s="18">
        <f>IF(事例清單!A202="","",事例清單!A202)</f>
        <v/>
      </c>
      <c r="B202" s="18">
        <f>IF(事例清單!F202&lt;&gt;"是","",IF(事例清單!J202&lt;&gt;"",事例清單!J202,IF(事例清單!I202="一致",事例清單!G202,"")))</f>
        <v/>
      </c>
      <c r="C202" s="15" t="n"/>
      <c r="D202" s="18">
        <f>IF(C202="","",IF(ISNUMBER(SEARCH($G$4,C202)),"有",""))</f>
        <v/>
      </c>
    </row>
    <row r="203">
      <c r="A203" s="18">
        <f>IF(事例清單!A203="","",事例清單!A203)</f>
        <v/>
      </c>
      <c r="B203" s="18">
        <f>IF(事例清單!F203&lt;&gt;"是","",IF(事例清單!J203&lt;&gt;"",事例清單!J203,IF(事例清單!I203="一致",事例清單!G203,"")))</f>
        <v/>
      </c>
      <c r="C203" s="15" t="n"/>
      <c r="D203" s="18">
        <f>IF(C203="","",IF(ISNUMBER(SEARCH($G$4,C203)),"有",""))</f>
        <v/>
      </c>
    </row>
    <row r="204">
      <c r="A204" s="18">
        <f>IF(事例清單!A204="","",事例清單!A204)</f>
        <v/>
      </c>
      <c r="B204" s="18">
        <f>IF(事例清單!F204&lt;&gt;"是","",IF(事例清單!J204&lt;&gt;"",事例清單!J204,IF(事例清單!I204="一致",事例清單!G204,"")))</f>
        <v/>
      </c>
      <c r="C204" s="15" t="n"/>
      <c r="D204" s="18">
        <f>IF(C204="","",IF(ISNUMBER(SEARCH($G$4,C204)),"有",""))</f>
        <v/>
      </c>
    </row>
    <row r="205">
      <c r="A205" s="18">
        <f>IF(事例清單!A205="","",事例清單!A205)</f>
        <v/>
      </c>
      <c r="B205" s="18">
        <f>IF(事例清單!F205&lt;&gt;"是","",IF(事例清單!J205&lt;&gt;"",事例清單!J205,IF(事例清單!I205="一致",事例清單!G205,"")))</f>
        <v/>
      </c>
      <c r="C205" s="15" t="n"/>
      <c r="D205" s="18">
        <f>IF(C205="","",IF(ISNUMBER(SEARCH($G$4,C205)),"有",""))</f>
        <v/>
      </c>
    </row>
    <row r="206">
      <c r="A206" s="18">
        <f>IF(事例清單!A206="","",事例清單!A206)</f>
        <v/>
      </c>
      <c r="B206" s="18">
        <f>IF(事例清單!F206&lt;&gt;"是","",IF(事例清單!J206&lt;&gt;"",事例清單!J206,IF(事例清單!I206="一致",事例清單!G206,"")))</f>
        <v/>
      </c>
      <c r="C206" s="15" t="n"/>
      <c r="D206" s="18">
        <f>IF(C206="","",IF(ISNUMBER(SEARCH($G$4,C206)),"有",""))</f>
        <v/>
      </c>
    </row>
    <row r="207">
      <c r="A207" s="18">
        <f>IF(事例清單!A207="","",事例清單!A207)</f>
        <v/>
      </c>
      <c r="B207" s="18">
        <f>IF(事例清單!F207&lt;&gt;"是","",IF(事例清單!J207&lt;&gt;"",事例清單!J207,IF(事例清單!I207="一致",事例清單!G207,"")))</f>
        <v/>
      </c>
      <c r="C207" s="15" t="n"/>
      <c r="D207" s="18">
        <f>IF(C207="","",IF(ISNUMBER(SEARCH($G$4,C207)),"有",""))</f>
        <v/>
      </c>
    </row>
    <row r="208">
      <c r="A208" s="18">
        <f>IF(事例清單!A208="","",事例清單!A208)</f>
        <v/>
      </c>
      <c r="B208" s="18">
        <f>IF(事例清單!F208&lt;&gt;"是","",IF(事例清單!J208&lt;&gt;"",事例清單!J208,IF(事例清單!I208="一致",事例清單!G208,"")))</f>
        <v/>
      </c>
      <c r="C208" s="15" t="n"/>
      <c r="D208" s="18">
        <f>IF(C208="","",IF(ISNUMBER(SEARCH($G$4,C208)),"有",""))</f>
        <v/>
      </c>
    </row>
    <row r="209">
      <c r="A209" s="18">
        <f>IF(事例清單!A209="","",事例清單!A209)</f>
        <v/>
      </c>
      <c r="B209" s="18">
        <f>IF(事例清單!F209&lt;&gt;"是","",IF(事例清單!J209&lt;&gt;"",事例清單!J209,IF(事例清單!I209="一致",事例清單!G209,"")))</f>
        <v/>
      </c>
      <c r="C209" s="15" t="n"/>
      <c r="D209" s="18">
        <f>IF(C209="","",IF(ISNUMBER(SEARCH($G$4,C209)),"有",""))</f>
        <v/>
      </c>
    </row>
    <row r="210">
      <c r="A210" s="18">
        <f>IF(事例清單!A210="","",事例清單!A210)</f>
        <v/>
      </c>
      <c r="B210" s="18">
        <f>IF(事例清單!F210&lt;&gt;"是","",IF(事例清單!J210&lt;&gt;"",事例清單!J210,IF(事例清單!I210="一致",事例清單!G210,"")))</f>
        <v/>
      </c>
      <c r="C210" s="15" t="n"/>
      <c r="D210" s="18">
        <f>IF(C210="","",IF(ISNUMBER(SEARCH($G$4,C210)),"有",""))</f>
        <v/>
      </c>
    </row>
    <row r="211">
      <c r="A211" s="18">
        <f>IF(事例清單!A211="","",事例清單!A211)</f>
        <v/>
      </c>
      <c r="B211" s="18">
        <f>IF(事例清單!F211&lt;&gt;"是","",IF(事例清單!J211&lt;&gt;"",事例清單!J211,IF(事例清單!I211="一致",事例清單!G211,"")))</f>
        <v/>
      </c>
      <c r="C211" s="15" t="n"/>
      <c r="D211" s="18">
        <f>IF(C211="","",IF(ISNUMBER(SEARCH($G$4,C211)),"有",""))</f>
        <v/>
      </c>
    </row>
    <row r="212">
      <c r="A212" s="18">
        <f>IF(事例清單!A212="","",事例清單!A212)</f>
        <v/>
      </c>
      <c r="B212" s="18">
        <f>IF(事例清單!F212&lt;&gt;"是","",IF(事例清單!J212&lt;&gt;"",事例清單!J212,IF(事例清單!I212="一致",事例清單!G212,"")))</f>
        <v/>
      </c>
      <c r="C212" s="15" t="n"/>
      <c r="D212" s="18">
        <f>IF(C212="","",IF(ISNUMBER(SEARCH($G$4,C212)),"有",""))</f>
        <v/>
      </c>
    </row>
    <row r="213">
      <c r="A213" s="18">
        <f>IF(事例清單!A213="","",事例清單!A213)</f>
        <v/>
      </c>
      <c r="B213" s="18">
        <f>IF(事例清單!F213&lt;&gt;"是","",IF(事例清單!J213&lt;&gt;"",事例清單!J213,IF(事例清單!I213="一致",事例清單!G213,"")))</f>
        <v/>
      </c>
      <c r="C213" s="15" t="n"/>
      <c r="D213" s="18">
        <f>IF(C213="","",IF(ISNUMBER(SEARCH($G$4,C213)),"有",""))</f>
        <v/>
      </c>
    </row>
    <row r="214">
      <c r="A214" s="18">
        <f>IF(事例清單!A214="","",事例清單!A214)</f>
        <v/>
      </c>
      <c r="B214" s="18">
        <f>IF(事例清單!F214&lt;&gt;"是","",IF(事例清單!J214&lt;&gt;"",事例清單!J214,IF(事例清單!I214="一致",事例清單!G214,"")))</f>
        <v/>
      </c>
      <c r="C214" s="15" t="n"/>
      <c r="D214" s="18">
        <f>IF(C214="","",IF(ISNUMBER(SEARCH($G$4,C214)),"有",""))</f>
        <v/>
      </c>
    </row>
    <row r="215">
      <c r="A215" s="18">
        <f>IF(事例清單!A215="","",事例清單!A215)</f>
        <v/>
      </c>
      <c r="B215" s="18">
        <f>IF(事例清單!F215&lt;&gt;"是","",IF(事例清單!J215&lt;&gt;"",事例清單!J215,IF(事例清單!I215="一致",事例清單!G215,"")))</f>
        <v/>
      </c>
      <c r="C215" s="15" t="n"/>
      <c r="D215" s="18">
        <f>IF(C215="","",IF(ISNUMBER(SEARCH($G$4,C215)),"有",""))</f>
        <v/>
      </c>
    </row>
    <row r="216">
      <c r="A216" s="18">
        <f>IF(事例清單!A216="","",事例清單!A216)</f>
        <v/>
      </c>
      <c r="B216" s="18">
        <f>IF(事例清單!F216&lt;&gt;"是","",IF(事例清單!J216&lt;&gt;"",事例清單!J216,IF(事例清單!I216="一致",事例清單!G216,"")))</f>
        <v/>
      </c>
      <c r="C216" s="15" t="n"/>
      <c r="D216" s="18">
        <f>IF(C216="","",IF(ISNUMBER(SEARCH($G$4,C216)),"有",""))</f>
        <v/>
      </c>
    </row>
    <row r="217">
      <c r="A217" s="18">
        <f>IF(事例清單!A217="","",事例清單!A217)</f>
        <v/>
      </c>
      <c r="B217" s="18">
        <f>IF(事例清單!F217&lt;&gt;"是","",IF(事例清單!J217&lt;&gt;"",事例清單!J217,IF(事例清單!I217="一致",事例清單!G217,"")))</f>
        <v/>
      </c>
      <c r="C217" s="15" t="n"/>
      <c r="D217" s="18">
        <f>IF(C217="","",IF(ISNUMBER(SEARCH($G$4,C217)),"有",""))</f>
        <v/>
      </c>
    </row>
    <row r="218">
      <c r="A218" s="18">
        <f>IF(事例清單!A218="","",事例清單!A218)</f>
        <v/>
      </c>
      <c r="B218" s="18">
        <f>IF(事例清單!F218&lt;&gt;"是","",IF(事例清單!J218&lt;&gt;"",事例清單!J218,IF(事例清單!I218="一致",事例清單!G218,"")))</f>
        <v/>
      </c>
      <c r="C218" s="15" t="n"/>
      <c r="D218" s="18">
        <f>IF(C218="","",IF(ISNUMBER(SEARCH($G$4,C218)),"有",""))</f>
        <v/>
      </c>
    </row>
    <row r="219">
      <c r="A219" s="18">
        <f>IF(事例清單!A219="","",事例清單!A219)</f>
        <v/>
      </c>
      <c r="B219" s="18">
        <f>IF(事例清單!F219&lt;&gt;"是","",IF(事例清單!J219&lt;&gt;"",事例清單!J219,IF(事例清單!I219="一致",事例清單!G219,"")))</f>
        <v/>
      </c>
      <c r="C219" s="15" t="n"/>
      <c r="D219" s="18">
        <f>IF(C219="","",IF(ISNUMBER(SEARCH($G$4,C219)),"有",""))</f>
        <v/>
      </c>
    </row>
    <row r="220">
      <c r="A220" s="18">
        <f>IF(事例清單!A220="","",事例清單!A220)</f>
        <v/>
      </c>
      <c r="B220" s="18">
        <f>IF(事例清單!F220&lt;&gt;"是","",IF(事例清單!J220&lt;&gt;"",事例清單!J220,IF(事例清單!I220="一致",事例清單!G220,"")))</f>
        <v/>
      </c>
      <c r="C220" s="15" t="n"/>
      <c r="D220" s="18">
        <f>IF(C220="","",IF(ISNUMBER(SEARCH($G$4,C220)),"有",""))</f>
        <v/>
      </c>
    </row>
    <row r="221">
      <c r="A221" s="18">
        <f>IF(事例清單!A221="","",事例清單!A221)</f>
        <v/>
      </c>
      <c r="B221" s="18">
        <f>IF(事例清單!F221&lt;&gt;"是","",IF(事例清單!J221&lt;&gt;"",事例清單!J221,IF(事例清單!I221="一致",事例清單!G221,"")))</f>
        <v/>
      </c>
      <c r="C221" s="15" t="n"/>
      <c r="D221" s="18">
        <f>IF(C221="","",IF(ISNUMBER(SEARCH($G$4,C221)),"有",""))</f>
        <v/>
      </c>
    </row>
    <row r="222">
      <c r="A222" s="18">
        <f>IF(事例清單!A222="","",事例清單!A222)</f>
        <v/>
      </c>
      <c r="B222" s="18">
        <f>IF(事例清單!F222&lt;&gt;"是","",IF(事例清單!J222&lt;&gt;"",事例清單!J222,IF(事例清單!I222="一致",事例清單!G222,"")))</f>
        <v/>
      </c>
      <c r="C222" s="15" t="n"/>
      <c r="D222" s="18">
        <f>IF(C222="","",IF(ISNUMBER(SEARCH($G$4,C222)),"有",""))</f>
        <v/>
      </c>
    </row>
    <row r="223">
      <c r="A223" s="18">
        <f>IF(事例清單!A223="","",事例清單!A223)</f>
        <v/>
      </c>
      <c r="B223" s="18">
        <f>IF(事例清單!F223&lt;&gt;"是","",IF(事例清單!J223&lt;&gt;"",事例清單!J223,IF(事例清單!I223="一致",事例清單!G223,"")))</f>
        <v/>
      </c>
      <c r="C223" s="15" t="n"/>
      <c r="D223" s="18">
        <f>IF(C223="","",IF(ISNUMBER(SEARCH($G$4,C223)),"有",""))</f>
        <v/>
      </c>
    </row>
    <row r="224">
      <c r="A224" s="18">
        <f>IF(事例清單!A224="","",事例清單!A224)</f>
        <v/>
      </c>
      <c r="B224" s="18">
        <f>IF(事例清單!F224&lt;&gt;"是","",IF(事例清單!J224&lt;&gt;"",事例清單!J224,IF(事例清單!I224="一致",事例清單!G224,"")))</f>
        <v/>
      </c>
      <c r="C224" s="15" t="n"/>
      <c r="D224" s="18">
        <f>IF(C224="","",IF(ISNUMBER(SEARCH($G$4,C224)),"有",""))</f>
        <v/>
      </c>
    </row>
    <row r="225">
      <c r="A225" s="18">
        <f>IF(事例清單!A225="","",事例清單!A225)</f>
        <v/>
      </c>
      <c r="B225" s="18">
        <f>IF(事例清單!F225&lt;&gt;"是","",IF(事例清單!J225&lt;&gt;"",事例清單!J225,IF(事例清單!I225="一致",事例清單!G225,"")))</f>
        <v/>
      </c>
      <c r="C225" s="15" t="n"/>
      <c r="D225" s="18">
        <f>IF(C225="","",IF(ISNUMBER(SEARCH($G$4,C225)),"有",""))</f>
        <v/>
      </c>
    </row>
    <row r="226">
      <c r="A226" s="18">
        <f>IF(事例清單!A226="","",事例清單!A226)</f>
        <v/>
      </c>
      <c r="B226" s="18">
        <f>IF(事例清單!F226&lt;&gt;"是","",IF(事例清單!J226&lt;&gt;"",事例清單!J226,IF(事例清單!I226="一致",事例清單!G226,"")))</f>
        <v/>
      </c>
      <c r="C226" s="15" t="n"/>
      <c r="D226" s="18">
        <f>IF(C226="","",IF(ISNUMBER(SEARCH($G$4,C226)),"有",""))</f>
        <v/>
      </c>
    </row>
    <row r="227">
      <c r="A227" s="18">
        <f>IF(事例清單!A227="","",事例清單!A227)</f>
        <v/>
      </c>
      <c r="B227" s="18">
        <f>IF(事例清單!F227&lt;&gt;"是","",IF(事例清單!J227&lt;&gt;"",事例清單!J227,IF(事例清單!I227="一致",事例清單!G227,"")))</f>
        <v/>
      </c>
      <c r="C227" s="15" t="n"/>
      <c r="D227" s="18">
        <f>IF(C227="","",IF(ISNUMBER(SEARCH($G$4,C227)),"有",""))</f>
        <v/>
      </c>
    </row>
    <row r="228">
      <c r="A228" s="18">
        <f>IF(事例清單!A228="","",事例清單!A228)</f>
        <v/>
      </c>
      <c r="B228" s="18">
        <f>IF(事例清單!F228&lt;&gt;"是","",IF(事例清單!J228&lt;&gt;"",事例清單!J228,IF(事例清單!I228="一致",事例清單!G228,"")))</f>
        <v/>
      </c>
      <c r="C228" s="15" t="n"/>
      <c r="D228" s="18">
        <f>IF(C228="","",IF(ISNUMBER(SEARCH($G$4,C228)),"有",""))</f>
        <v/>
      </c>
    </row>
    <row r="229">
      <c r="A229" s="18">
        <f>IF(事例清單!A229="","",事例清單!A229)</f>
        <v/>
      </c>
      <c r="B229" s="18">
        <f>IF(事例清單!F229&lt;&gt;"是","",IF(事例清單!J229&lt;&gt;"",事例清單!J229,IF(事例清單!I229="一致",事例清單!G229,"")))</f>
        <v/>
      </c>
      <c r="C229" s="15" t="n"/>
      <c r="D229" s="18">
        <f>IF(C229="","",IF(ISNUMBER(SEARCH($G$4,C229)),"有",""))</f>
        <v/>
      </c>
    </row>
    <row r="230">
      <c r="A230" s="18">
        <f>IF(事例清單!A230="","",事例清單!A230)</f>
        <v/>
      </c>
      <c r="B230" s="18">
        <f>IF(事例清單!F230&lt;&gt;"是","",IF(事例清單!J230&lt;&gt;"",事例清單!J230,IF(事例清單!I230="一致",事例清單!G230,"")))</f>
        <v/>
      </c>
      <c r="C230" s="15" t="n"/>
      <c r="D230" s="18">
        <f>IF(C230="","",IF(ISNUMBER(SEARCH($G$4,C230)),"有",""))</f>
        <v/>
      </c>
    </row>
    <row r="231">
      <c r="A231" s="18">
        <f>IF(事例清單!A231="","",事例清單!A231)</f>
        <v/>
      </c>
      <c r="B231" s="18">
        <f>IF(事例清單!F231&lt;&gt;"是","",IF(事例清單!J231&lt;&gt;"",事例清單!J231,IF(事例清單!I231="一致",事例清單!G231,"")))</f>
        <v/>
      </c>
      <c r="C231" s="15" t="n"/>
      <c r="D231" s="18">
        <f>IF(C231="","",IF(ISNUMBER(SEARCH($G$4,C231)),"有",""))</f>
        <v/>
      </c>
    </row>
    <row r="232">
      <c r="A232" s="18">
        <f>IF(事例清單!A232="","",事例清單!A232)</f>
        <v/>
      </c>
      <c r="B232" s="18">
        <f>IF(事例清單!F232&lt;&gt;"是","",IF(事例清單!J232&lt;&gt;"",事例清單!J232,IF(事例清單!I232="一致",事例清單!G232,"")))</f>
        <v/>
      </c>
      <c r="C232" s="15" t="n"/>
      <c r="D232" s="18">
        <f>IF(C232="","",IF(ISNUMBER(SEARCH($G$4,C232)),"有",""))</f>
        <v/>
      </c>
    </row>
    <row r="233">
      <c r="A233" s="18">
        <f>IF(事例清單!A233="","",事例清單!A233)</f>
        <v/>
      </c>
      <c r="B233" s="18">
        <f>IF(事例清單!F233&lt;&gt;"是","",IF(事例清單!J233&lt;&gt;"",事例清單!J233,IF(事例清單!I233="一致",事例清單!G233,"")))</f>
        <v/>
      </c>
      <c r="C233" s="15" t="n"/>
      <c r="D233" s="18">
        <f>IF(C233="","",IF(ISNUMBER(SEARCH($G$4,C233)),"有",""))</f>
        <v/>
      </c>
    </row>
    <row r="234">
      <c r="A234" s="18">
        <f>IF(事例清單!A234="","",事例清單!A234)</f>
        <v/>
      </c>
      <c r="B234" s="18">
        <f>IF(事例清單!F234&lt;&gt;"是","",IF(事例清單!J234&lt;&gt;"",事例清單!J234,IF(事例清單!I234="一致",事例清單!G234,"")))</f>
        <v/>
      </c>
      <c r="C234" s="15" t="n"/>
      <c r="D234" s="18">
        <f>IF(C234="","",IF(ISNUMBER(SEARCH($G$4,C234)),"有",""))</f>
        <v/>
      </c>
    </row>
    <row r="235">
      <c r="A235" s="18">
        <f>IF(事例清單!A235="","",事例清單!A235)</f>
        <v/>
      </c>
      <c r="B235" s="18">
        <f>IF(事例清單!F235&lt;&gt;"是","",IF(事例清單!J235&lt;&gt;"",事例清單!J235,IF(事例清單!I235="一致",事例清單!G235,"")))</f>
        <v/>
      </c>
      <c r="C235" s="15" t="n"/>
      <c r="D235" s="18">
        <f>IF(C235="","",IF(ISNUMBER(SEARCH($G$4,C235)),"有",""))</f>
        <v/>
      </c>
    </row>
    <row r="236">
      <c r="A236" s="18">
        <f>IF(事例清單!A236="","",事例清單!A236)</f>
        <v/>
      </c>
      <c r="B236" s="18">
        <f>IF(事例清單!F236&lt;&gt;"是","",IF(事例清單!J236&lt;&gt;"",事例清單!J236,IF(事例清單!I236="一致",事例清單!G236,"")))</f>
        <v/>
      </c>
      <c r="C236" s="15" t="n"/>
      <c r="D236" s="18">
        <f>IF(C236="","",IF(ISNUMBER(SEARCH($G$4,C236)),"有",""))</f>
        <v/>
      </c>
    </row>
    <row r="237">
      <c r="A237" s="18">
        <f>IF(事例清單!A237="","",事例清單!A237)</f>
        <v/>
      </c>
      <c r="B237" s="18">
        <f>IF(事例清單!F237&lt;&gt;"是","",IF(事例清單!J237&lt;&gt;"",事例清單!J237,IF(事例清單!I237="一致",事例清單!G237,"")))</f>
        <v/>
      </c>
      <c r="C237" s="15" t="n"/>
      <c r="D237" s="18">
        <f>IF(C237="","",IF(ISNUMBER(SEARCH($G$4,C237)),"有",""))</f>
        <v/>
      </c>
    </row>
    <row r="238">
      <c r="A238" s="18">
        <f>IF(事例清單!A238="","",事例清單!A238)</f>
        <v/>
      </c>
      <c r="B238" s="18">
        <f>IF(事例清單!F238&lt;&gt;"是","",IF(事例清單!J238&lt;&gt;"",事例清單!J238,IF(事例清單!I238="一致",事例清單!G238,"")))</f>
        <v/>
      </c>
      <c r="C238" s="15" t="n"/>
      <c r="D238" s="18">
        <f>IF(C238="","",IF(ISNUMBER(SEARCH($G$4,C238)),"有",""))</f>
        <v/>
      </c>
    </row>
    <row r="239">
      <c r="A239" s="18">
        <f>IF(事例清單!A239="","",事例清單!A239)</f>
        <v/>
      </c>
      <c r="B239" s="18">
        <f>IF(事例清單!F239&lt;&gt;"是","",IF(事例清單!J239&lt;&gt;"",事例清單!J239,IF(事例清單!I239="一致",事例清單!G239,"")))</f>
        <v/>
      </c>
      <c r="C239" s="15" t="n"/>
      <c r="D239" s="18">
        <f>IF(C239="","",IF(ISNUMBER(SEARCH($G$4,C239)),"有",""))</f>
        <v/>
      </c>
    </row>
    <row r="240">
      <c r="A240" s="18">
        <f>IF(事例清單!A240="","",事例清單!A240)</f>
        <v/>
      </c>
      <c r="B240" s="18">
        <f>IF(事例清單!F240&lt;&gt;"是","",IF(事例清單!J240&lt;&gt;"",事例清單!J240,IF(事例清單!I240="一致",事例清單!G240,"")))</f>
        <v/>
      </c>
      <c r="C240" s="15" t="n"/>
      <c r="D240" s="18">
        <f>IF(C240="","",IF(ISNUMBER(SEARCH($G$4,C240)),"有",""))</f>
        <v/>
      </c>
    </row>
    <row r="241">
      <c r="A241" s="18">
        <f>IF(事例清單!A241="","",事例清單!A241)</f>
        <v/>
      </c>
      <c r="B241" s="18">
        <f>IF(事例清單!F241&lt;&gt;"是","",IF(事例清單!J241&lt;&gt;"",事例清單!J241,IF(事例清單!I241="一致",事例清單!G241,"")))</f>
        <v/>
      </c>
      <c r="C241" s="15" t="n"/>
      <c r="D241" s="18">
        <f>IF(C241="","",IF(ISNUMBER(SEARCH($G$4,C241)),"有",""))</f>
        <v/>
      </c>
    </row>
    <row r="242">
      <c r="A242" s="18">
        <f>IF(事例清單!A242="","",事例清單!A242)</f>
        <v/>
      </c>
      <c r="B242" s="18">
        <f>IF(事例清單!F242&lt;&gt;"是","",IF(事例清單!J242&lt;&gt;"",事例清單!J242,IF(事例清單!I242="一致",事例清單!G242,"")))</f>
        <v/>
      </c>
      <c r="C242" s="15" t="n"/>
      <c r="D242" s="18">
        <f>IF(C242="","",IF(ISNUMBER(SEARCH($G$4,C242)),"有",""))</f>
        <v/>
      </c>
    </row>
    <row r="243">
      <c r="A243" s="18">
        <f>IF(事例清單!A243="","",事例清單!A243)</f>
        <v/>
      </c>
      <c r="B243" s="18">
        <f>IF(事例清單!F243&lt;&gt;"是","",IF(事例清單!J243&lt;&gt;"",事例清單!J243,IF(事例清單!I243="一致",事例清單!G243,"")))</f>
        <v/>
      </c>
      <c r="C243" s="15" t="n"/>
      <c r="D243" s="18">
        <f>IF(C243="","",IF(ISNUMBER(SEARCH($G$4,C243)),"有",""))</f>
        <v/>
      </c>
    </row>
    <row r="244">
      <c r="A244" s="18">
        <f>IF(事例清單!A244="","",事例清單!A244)</f>
        <v/>
      </c>
      <c r="B244" s="18">
        <f>IF(事例清單!F244&lt;&gt;"是","",IF(事例清單!J244&lt;&gt;"",事例清單!J244,IF(事例清單!I244="一致",事例清單!G244,"")))</f>
        <v/>
      </c>
      <c r="C244" s="15" t="n"/>
      <c r="D244" s="18">
        <f>IF(C244="","",IF(ISNUMBER(SEARCH($G$4,C244)),"有",""))</f>
        <v/>
      </c>
    </row>
    <row r="245">
      <c r="A245" s="18">
        <f>IF(事例清單!A245="","",事例清單!A245)</f>
        <v/>
      </c>
      <c r="B245" s="18">
        <f>IF(事例清單!F245&lt;&gt;"是","",IF(事例清單!J245&lt;&gt;"",事例清單!J245,IF(事例清單!I245="一致",事例清單!G245,"")))</f>
        <v/>
      </c>
      <c r="C245" s="15" t="n"/>
      <c r="D245" s="18">
        <f>IF(C245="","",IF(ISNUMBER(SEARCH($G$4,C245)),"有",""))</f>
        <v/>
      </c>
    </row>
    <row r="246">
      <c r="A246" s="18">
        <f>IF(事例清單!A246="","",事例清單!A246)</f>
        <v/>
      </c>
      <c r="B246" s="18">
        <f>IF(事例清單!F246&lt;&gt;"是","",IF(事例清單!J246&lt;&gt;"",事例清單!J246,IF(事例清單!I246="一致",事例清單!G246,"")))</f>
        <v/>
      </c>
      <c r="C246" s="15" t="n"/>
      <c r="D246" s="18">
        <f>IF(C246="","",IF(ISNUMBER(SEARCH($G$4,C246)),"有",""))</f>
        <v/>
      </c>
    </row>
    <row r="247">
      <c r="A247" s="18">
        <f>IF(事例清單!A247="","",事例清單!A247)</f>
        <v/>
      </c>
      <c r="B247" s="18">
        <f>IF(事例清單!F247&lt;&gt;"是","",IF(事例清單!J247&lt;&gt;"",事例清單!J247,IF(事例清單!I247="一致",事例清單!G247,"")))</f>
        <v/>
      </c>
      <c r="C247" s="15" t="n"/>
      <c r="D247" s="18">
        <f>IF(C247="","",IF(ISNUMBER(SEARCH($G$4,C247)),"有",""))</f>
        <v/>
      </c>
    </row>
    <row r="248">
      <c r="A248" s="18">
        <f>IF(事例清單!A248="","",事例清單!A248)</f>
        <v/>
      </c>
      <c r="B248" s="18">
        <f>IF(事例清單!F248&lt;&gt;"是","",IF(事例清單!J248&lt;&gt;"",事例清單!J248,IF(事例清單!I248="一致",事例清單!G248,"")))</f>
        <v/>
      </c>
      <c r="C248" s="15" t="n"/>
      <c r="D248" s="18">
        <f>IF(C248="","",IF(ISNUMBER(SEARCH($G$4,C248)),"有",""))</f>
        <v/>
      </c>
    </row>
    <row r="249">
      <c r="A249" s="18">
        <f>IF(事例清單!A249="","",事例清單!A249)</f>
        <v/>
      </c>
      <c r="B249" s="18">
        <f>IF(事例清單!F249&lt;&gt;"是","",IF(事例清單!J249&lt;&gt;"",事例清單!J249,IF(事例清單!I249="一致",事例清單!G249,"")))</f>
        <v/>
      </c>
      <c r="C249" s="15" t="n"/>
      <c r="D249" s="18">
        <f>IF(C249="","",IF(ISNUMBER(SEARCH($G$4,C249)),"有",""))</f>
        <v/>
      </c>
    </row>
    <row r="250">
      <c r="A250" s="18">
        <f>IF(事例清單!A250="","",事例清單!A250)</f>
        <v/>
      </c>
      <c r="B250" s="18">
        <f>IF(事例清單!F250&lt;&gt;"是","",IF(事例清單!J250&lt;&gt;"",事例清單!J250,IF(事例清單!I250="一致",事例清單!G250,"")))</f>
        <v/>
      </c>
      <c r="C250" s="15" t="n"/>
      <c r="D250" s="18">
        <f>IF(C250="","",IF(ISNUMBER(SEARCH($G$4,C250)),"有",""))</f>
        <v/>
      </c>
    </row>
    <row r="251">
      <c r="A251" s="18">
        <f>IF(事例清單!A251="","",事例清單!A251)</f>
        <v/>
      </c>
      <c r="B251" s="18">
        <f>IF(事例清單!F251&lt;&gt;"是","",IF(事例清單!J251&lt;&gt;"",事例清單!J251,IF(事例清單!I251="一致",事例清單!G251,"")))</f>
        <v/>
      </c>
      <c r="C251" s="15" t="n"/>
      <c r="D251" s="18">
        <f>IF(C251="","",IF(ISNUMBER(SEARCH($G$4,C251)),"有",""))</f>
        <v/>
      </c>
    </row>
    <row r="252">
      <c r="A252" s="18">
        <f>IF(事例清單!A252="","",事例清單!A252)</f>
        <v/>
      </c>
      <c r="B252" s="18">
        <f>IF(事例清單!F252&lt;&gt;"是","",IF(事例清單!J252&lt;&gt;"",事例清單!J252,IF(事例清單!I252="一致",事例清單!G252,"")))</f>
        <v/>
      </c>
      <c r="C252" s="15" t="n"/>
      <c r="D252" s="18">
        <f>IF(C252="","",IF(ISNUMBER(SEARCH($G$4,C252)),"有",""))</f>
        <v/>
      </c>
    </row>
    <row r="253">
      <c r="A253" s="18">
        <f>IF(事例清單!A253="","",事例清單!A253)</f>
        <v/>
      </c>
      <c r="B253" s="18">
        <f>IF(事例清單!F253&lt;&gt;"是","",IF(事例清單!J253&lt;&gt;"",事例清單!J253,IF(事例清單!I253="一致",事例清單!G253,"")))</f>
        <v/>
      </c>
      <c r="C253" s="15" t="n"/>
      <c r="D253" s="18">
        <f>IF(C253="","",IF(ISNUMBER(SEARCH($G$4,C253)),"有",""))</f>
        <v/>
      </c>
    </row>
    <row r="254">
      <c r="A254" s="18">
        <f>IF(事例清單!A254="","",事例清單!A254)</f>
        <v/>
      </c>
      <c r="B254" s="18">
        <f>IF(事例清單!F254&lt;&gt;"是","",IF(事例清單!J254&lt;&gt;"",事例清單!J254,IF(事例清單!I254="一致",事例清單!G254,"")))</f>
        <v/>
      </c>
      <c r="C254" s="15" t="n"/>
      <c r="D254" s="18">
        <f>IF(C254="","",IF(ISNUMBER(SEARCH($G$4,C254)),"有",""))</f>
        <v/>
      </c>
    </row>
    <row r="255">
      <c r="A255" s="18">
        <f>IF(事例清單!A255="","",事例清單!A255)</f>
        <v/>
      </c>
      <c r="B255" s="18">
        <f>IF(事例清單!F255&lt;&gt;"是","",IF(事例清單!J255&lt;&gt;"",事例清單!J255,IF(事例清單!I255="一致",事例清單!G255,"")))</f>
        <v/>
      </c>
      <c r="C255" s="15" t="n"/>
      <c r="D255" s="18">
        <f>IF(C255="","",IF(ISNUMBER(SEARCH($G$4,C255)),"有",""))</f>
        <v/>
      </c>
    </row>
    <row r="256">
      <c r="A256" s="18">
        <f>IF(事例清單!A256="","",事例清單!A256)</f>
        <v/>
      </c>
      <c r="B256" s="18">
        <f>IF(事例清單!F256&lt;&gt;"是","",IF(事例清單!J256&lt;&gt;"",事例清單!J256,IF(事例清單!I256="一致",事例清單!G256,"")))</f>
        <v/>
      </c>
      <c r="C256" s="15" t="n"/>
      <c r="D256" s="18">
        <f>IF(C256="","",IF(ISNUMBER(SEARCH($G$4,C256)),"有",""))</f>
        <v/>
      </c>
    </row>
    <row r="257">
      <c r="A257" s="18">
        <f>IF(事例清單!A257="","",事例清單!A257)</f>
        <v/>
      </c>
      <c r="B257" s="18">
        <f>IF(事例清單!F257&lt;&gt;"是","",IF(事例清單!J257&lt;&gt;"",事例清單!J257,IF(事例清單!I257="一致",事例清單!G257,"")))</f>
        <v/>
      </c>
      <c r="C257" s="15" t="n"/>
      <c r="D257" s="18">
        <f>IF(C257="","",IF(ISNUMBER(SEARCH($G$4,C257)),"有",""))</f>
        <v/>
      </c>
    </row>
    <row r="258">
      <c r="A258" s="18">
        <f>IF(事例清單!A258="","",事例清單!A258)</f>
        <v/>
      </c>
      <c r="B258" s="18">
        <f>IF(事例清單!F258&lt;&gt;"是","",IF(事例清單!J258&lt;&gt;"",事例清單!J258,IF(事例清單!I258="一致",事例清單!G258,"")))</f>
        <v/>
      </c>
      <c r="C258" s="15" t="n"/>
      <c r="D258" s="18">
        <f>IF(C258="","",IF(ISNUMBER(SEARCH($G$4,C258)),"有",""))</f>
        <v/>
      </c>
    </row>
    <row r="259">
      <c r="A259" s="18">
        <f>IF(事例清單!A259="","",事例清單!A259)</f>
        <v/>
      </c>
      <c r="B259" s="18">
        <f>IF(事例清單!F259&lt;&gt;"是","",IF(事例清單!J259&lt;&gt;"",事例清單!J259,IF(事例清單!I259="一致",事例清單!G259,"")))</f>
        <v/>
      </c>
      <c r="C259" s="15" t="n"/>
      <c r="D259" s="18">
        <f>IF(C259="","",IF(ISNUMBER(SEARCH($G$4,C259)),"有",""))</f>
        <v/>
      </c>
    </row>
    <row r="260">
      <c r="A260" s="18">
        <f>IF(事例清單!A260="","",事例清單!A260)</f>
        <v/>
      </c>
      <c r="B260" s="18">
        <f>IF(事例清單!F260&lt;&gt;"是","",IF(事例清單!J260&lt;&gt;"",事例清單!J260,IF(事例清單!I260="一致",事例清單!G260,"")))</f>
        <v/>
      </c>
      <c r="C260" s="15" t="n"/>
      <c r="D260" s="18">
        <f>IF(C260="","",IF(ISNUMBER(SEARCH($G$4,C260)),"有",""))</f>
        <v/>
      </c>
    </row>
    <row r="261">
      <c r="A261" s="18">
        <f>IF(事例清單!A261="","",事例清單!A261)</f>
        <v/>
      </c>
      <c r="B261" s="18">
        <f>IF(事例清單!F261&lt;&gt;"是","",IF(事例清單!J261&lt;&gt;"",事例清單!J261,IF(事例清單!I261="一致",事例清單!G261,"")))</f>
        <v/>
      </c>
      <c r="C261" s="15" t="n"/>
      <c r="D261" s="18">
        <f>IF(C261="","",IF(ISNUMBER(SEARCH($G$4,C261)),"有",""))</f>
        <v/>
      </c>
    </row>
    <row r="262">
      <c r="A262" s="18">
        <f>IF(事例清單!A262="","",事例清單!A262)</f>
        <v/>
      </c>
      <c r="B262" s="18">
        <f>IF(事例清單!F262&lt;&gt;"是","",IF(事例清單!J262&lt;&gt;"",事例清單!J262,IF(事例清單!I262="一致",事例清單!G262,"")))</f>
        <v/>
      </c>
      <c r="C262" s="15" t="n"/>
      <c r="D262" s="18">
        <f>IF(C262="","",IF(ISNUMBER(SEARCH($G$4,C262)),"有",""))</f>
        <v/>
      </c>
    </row>
    <row r="263">
      <c r="A263" s="18">
        <f>IF(事例清單!A263="","",事例清單!A263)</f>
        <v/>
      </c>
      <c r="B263" s="18">
        <f>IF(事例清單!F263&lt;&gt;"是","",IF(事例清單!J263&lt;&gt;"",事例清單!J263,IF(事例清單!I263="一致",事例清單!G263,"")))</f>
        <v/>
      </c>
      <c r="C263" s="15" t="n"/>
      <c r="D263" s="18">
        <f>IF(C263="","",IF(ISNUMBER(SEARCH($G$4,C263)),"有",""))</f>
        <v/>
      </c>
    </row>
    <row r="264">
      <c r="A264" s="18">
        <f>IF(事例清單!A264="","",事例清單!A264)</f>
        <v/>
      </c>
      <c r="B264" s="18">
        <f>IF(事例清單!F264&lt;&gt;"是","",IF(事例清單!J264&lt;&gt;"",事例清單!J264,IF(事例清單!I264="一致",事例清單!G264,"")))</f>
        <v/>
      </c>
      <c r="C264" s="15" t="n"/>
      <c r="D264" s="18">
        <f>IF(C264="","",IF(ISNUMBER(SEARCH($G$4,C264)),"有",""))</f>
        <v/>
      </c>
    </row>
    <row r="265">
      <c r="A265" s="18">
        <f>IF(事例清單!A265="","",事例清單!A265)</f>
        <v/>
      </c>
      <c r="B265" s="18">
        <f>IF(事例清單!F265&lt;&gt;"是","",IF(事例清單!J265&lt;&gt;"",事例清單!J265,IF(事例清單!I265="一致",事例清單!G265,"")))</f>
        <v/>
      </c>
      <c r="C265" s="15" t="n"/>
      <c r="D265" s="18">
        <f>IF(C265="","",IF(ISNUMBER(SEARCH($G$4,C265)),"有",""))</f>
        <v/>
      </c>
    </row>
    <row r="266">
      <c r="A266" s="18">
        <f>IF(事例清單!A266="","",事例清單!A266)</f>
        <v/>
      </c>
      <c r="B266" s="18">
        <f>IF(事例清單!F266&lt;&gt;"是","",IF(事例清單!J266&lt;&gt;"",事例清單!J266,IF(事例清單!I266="一致",事例清單!G266,"")))</f>
        <v/>
      </c>
      <c r="C266" s="15" t="n"/>
      <c r="D266" s="18">
        <f>IF(C266="","",IF(ISNUMBER(SEARCH($G$4,C266)),"有",""))</f>
        <v/>
      </c>
    </row>
    <row r="267">
      <c r="A267" s="18">
        <f>IF(事例清單!A267="","",事例清單!A267)</f>
        <v/>
      </c>
      <c r="B267" s="18">
        <f>IF(事例清單!F267&lt;&gt;"是","",IF(事例清單!J267&lt;&gt;"",事例清單!J267,IF(事例清單!I267="一致",事例清單!G267,"")))</f>
        <v/>
      </c>
      <c r="C267" s="15" t="n"/>
      <c r="D267" s="18">
        <f>IF(C267="","",IF(ISNUMBER(SEARCH($G$4,C267)),"有",""))</f>
        <v/>
      </c>
    </row>
    <row r="268">
      <c r="A268" s="18">
        <f>IF(事例清單!A268="","",事例清單!A268)</f>
        <v/>
      </c>
      <c r="B268" s="18">
        <f>IF(事例清單!F268&lt;&gt;"是","",IF(事例清單!J268&lt;&gt;"",事例清單!J268,IF(事例清單!I268="一致",事例清單!G268,"")))</f>
        <v/>
      </c>
      <c r="C268" s="15" t="n"/>
      <c r="D268" s="18">
        <f>IF(C268="","",IF(ISNUMBER(SEARCH($G$4,C268)),"有",""))</f>
        <v/>
      </c>
    </row>
    <row r="269">
      <c r="A269" s="18">
        <f>IF(事例清單!A269="","",事例清單!A269)</f>
        <v/>
      </c>
      <c r="B269" s="18">
        <f>IF(事例清單!F269&lt;&gt;"是","",IF(事例清單!J269&lt;&gt;"",事例清單!J269,IF(事例清單!I269="一致",事例清單!G269,"")))</f>
        <v/>
      </c>
      <c r="C269" s="15" t="n"/>
      <c r="D269" s="18">
        <f>IF(C269="","",IF(ISNUMBER(SEARCH($G$4,C269)),"有",""))</f>
        <v/>
      </c>
    </row>
    <row r="270">
      <c r="A270" s="18">
        <f>IF(事例清單!A270="","",事例清單!A270)</f>
        <v/>
      </c>
      <c r="B270" s="18">
        <f>IF(事例清單!F270&lt;&gt;"是","",IF(事例清單!J270&lt;&gt;"",事例清單!J270,IF(事例清單!I270="一致",事例清單!G270,"")))</f>
        <v/>
      </c>
      <c r="C270" s="15" t="n"/>
      <c r="D270" s="18">
        <f>IF(C270="","",IF(ISNUMBER(SEARCH($G$4,C270)),"有",""))</f>
        <v/>
      </c>
    </row>
    <row r="271">
      <c r="A271" s="18">
        <f>IF(事例清單!A271="","",事例清單!A271)</f>
        <v/>
      </c>
      <c r="B271" s="18">
        <f>IF(事例清單!F271&lt;&gt;"是","",IF(事例清單!J271&lt;&gt;"",事例清單!J271,IF(事例清單!I271="一致",事例清單!G271,"")))</f>
        <v/>
      </c>
      <c r="C271" s="15" t="n"/>
      <c r="D271" s="18">
        <f>IF(C271="","",IF(ISNUMBER(SEARCH($G$4,C271)),"有",""))</f>
        <v/>
      </c>
    </row>
    <row r="272">
      <c r="A272" s="18">
        <f>IF(事例清單!A272="","",事例清單!A272)</f>
        <v/>
      </c>
      <c r="B272" s="18">
        <f>IF(事例清單!F272&lt;&gt;"是","",IF(事例清單!J272&lt;&gt;"",事例清單!J272,IF(事例清單!I272="一致",事例清單!G272,"")))</f>
        <v/>
      </c>
      <c r="C272" s="15" t="n"/>
      <c r="D272" s="18">
        <f>IF(C272="","",IF(ISNUMBER(SEARCH($G$4,C272)),"有",""))</f>
        <v/>
      </c>
    </row>
    <row r="273">
      <c r="A273" s="18">
        <f>IF(事例清單!A273="","",事例清單!A273)</f>
        <v/>
      </c>
      <c r="B273" s="18">
        <f>IF(事例清單!F273&lt;&gt;"是","",IF(事例清單!J273&lt;&gt;"",事例清單!J273,IF(事例清單!I273="一致",事例清單!G273,"")))</f>
        <v/>
      </c>
      <c r="C273" s="15" t="n"/>
      <c r="D273" s="18">
        <f>IF(C273="","",IF(ISNUMBER(SEARCH($G$4,C273)),"有",""))</f>
        <v/>
      </c>
    </row>
    <row r="274">
      <c r="A274" s="18">
        <f>IF(事例清單!A274="","",事例清單!A274)</f>
        <v/>
      </c>
      <c r="B274" s="18">
        <f>IF(事例清單!F274&lt;&gt;"是","",IF(事例清單!J274&lt;&gt;"",事例清單!J274,IF(事例清單!I274="一致",事例清單!G274,"")))</f>
        <v/>
      </c>
      <c r="C274" s="15" t="n"/>
      <c r="D274" s="18">
        <f>IF(C274="","",IF(ISNUMBER(SEARCH($G$4,C274)),"有",""))</f>
        <v/>
      </c>
    </row>
    <row r="275">
      <c r="A275" s="18">
        <f>IF(事例清單!A275="","",事例清單!A275)</f>
        <v/>
      </c>
      <c r="B275" s="18">
        <f>IF(事例清單!F275&lt;&gt;"是","",IF(事例清單!J275&lt;&gt;"",事例清單!J275,IF(事例清單!I275="一致",事例清單!G275,"")))</f>
        <v/>
      </c>
      <c r="C275" s="15" t="n"/>
      <c r="D275" s="18">
        <f>IF(C275="","",IF(ISNUMBER(SEARCH($G$4,C275)),"有",""))</f>
        <v/>
      </c>
    </row>
    <row r="276">
      <c r="A276" s="18">
        <f>IF(事例清單!A276="","",事例清單!A276)</f>
        <v/>
      </c>
      <c r="B276" s="18">
        <f>IF(事例清單!F276&lt;&gt;"是","",IF(事例清單!J276&lt;&gt;"",事例清單!J276,IF(事例清單!I276="一致",事例清單!G276,"")))</f>
        <v/>
      </c>
      <c r="C276" s="15" t="n"/>
      <c r="D276" s="18">
        <f>IF(C276="","",IF(ISNUMBER(SEARCH($G$4,C276)),"有",""))</f>
        <v/>
      </c>
    </row>
    <row r="277">
      <c r="A277" s="18">
        <f>IF(事例清單!A277="","",事例清單!A277)</f>
        <v/>
      </c>
      <c r="B277" s="18">
        <f>IF(事例清單!F277&lt;&gt;"是","",IF(事例清單!J277&lt;&gt;"",事例清單!J277,IF(事例清單!I277="一致",事例清單!G277,"")))</f>
        <v/>
      </c>
      <c r="C277" s="15" t="n"/>
      <c r="D277" s="18">
        <f>IF(C277="","",IF(ISNUMBER(SEARCH($G$4,C277)),"有",""))</f>
        <v/>
      </c>
    </row>
    <row r="278">
      <c r="A278" s="18">
        <f>IF(事例清單!A278="","",事例清單!A278)</f>
        <v/>
      </c>
      <c r="B278" s="18">
        <f>IF(事例清單!F278&lt;&gt;"是","",IF(事例清單!J278&lt;&gt;"",事例清單!J278,IF(事例清單!I278="一致",事例清單!G278,"")))</f>
        <v/>
      </c>
      <c r="C278" s="15" t="n"/>
      <c r="D278" s="18">
        <f>IF(C278="","",IF(ISNUMBER(SEARCH($G$4,C278)),"有",""))</f>
        <v/>
      </c>
    </row>
    <row r="279">
      <c r="A279" s="18">
        <f>IF(事例清單!A279="","",事例清單!A279)</f>
        <v/>
      </c>
      <c r="B279" s="18">
        <f>IF(事例清單!F279&lt;&gt;"是","",IF(事例清單!J279&lt;&gt;"",事例清單!J279,IF(事例清單!I279="一致",事例清單!G279,"")))</f>
        <v/>
      </c>
      <c r="C279" s="15" t="n"/>
      <c r="D279" s="18">
        <f>IF(C279="","",IF(ISNUMBER(SEARCH($G$4,C279)),"有",""))</f>
        <v/>
      </c>
    </row>
    <row r="280">
      <c r="A280" s="18">
        <f>IF(事例清單!A280="","",事例清單!A280)</f>
        <v/>
      </c>
      <c r="B280" s="18">
        <f>IF(事例清單!F280&lt;&gt;"是","",IF(事例清單!J280&lt;&gt;"",事例清單!J280,IF(事例清單!I280="一致",事例清單!G280,"")))</f>
        <v/>
      </c>
      <c r="C280" s="15" t="n"/>
      <c r="D280" s="18">
        <f>IF(C280="","",IF(ISNUMBER(SEARCH($G$4,C280)),"有",""))</f>
        <v/>
      </c>
    </row>
    <row r="281">
      <c r="A281" s="18">
        <f>IF(事例清單!A281="","",事例清單!A281)</f>
        <v/>
      </c>
      <c r="B281" s="18">
        <f>IF(事例清單!F281&lt;&gt;"是","",IF(事例清單!J281&lt;&gt;"",事例清單!J281,IF(事例清單!I281="一致",事例清單!G281,"")))</f>
        <v/>
      </c>
      <c r="C281" s="15" t="n"/>
      <c r="D281" s="18">
        <f>IF(C281="","",IF(ISNUMBER(SEARCH($G$4,C281)),"有",""))</f>
        <v/>
      </c>
    </row>
    <row r="282">
      <c r="A282" s="18">
        <f>IF(事例清單!A282="","",事例清單!A282)</f>
        <v/>
      </c>
      <c r="B282" s="18">
        <f>IF(事例清單!F282&lt;&gt;"是","",IF(事例清單!J282&lt;&gt;"",事例清單!J282,IF(事例清單!I282="一致",事例清單!G282,"")))</f>
        <v/>
      </c>
      <c r="C282" s="15" t="n"/>
      <c r="D282" s="18">
        <f>IF(C282="","",IF(ISNUMBER(SEARCH($G$4,C282)),"有",""))</f>
        <v/>
      </c>
    </row>
    <row r="283">
      <c r="A283" s="18">
        <f>IF(事例清單!A283="","",事例清單!A283)</f>
        <v/>
      </c>
      <c r="B283" s="18">
        <f>IF(事例清單!F283&lt;&gt;"是","",IF(事例清單!J283&lt;&gt;"",事例清單!J283,IF(事例清單!I283="一致",事例清單!G283,"")))</f>
        <v/>
      </c>
      <c r="C283" s="15" t="n"/>
      <c r="D283" s="18">
        <f>IF(C283="","",IF(ISNUMBER(SEARCH($G$4,C283)),"有",""))</f>
        <v/>
      </c>
    </row>
    <row r="284">
      <c r="A284" s="18">
        <f>IF(事例清單!A284="","",事例清單!A284)</f>
        <v/>
      </c>
      <c r="B284" s="18">
        <f>IF(事例清單!F284&lt;&gt;"是","",IF(事例清單!J284&lt;&gt;"",事例清單!J284,IF(事例清單!I284="一致",事例清單!G284,"")))</f>
        <v/>
      </c>
      <c r="C284" s="15" t="n"/>
      <c r="D284" s="18">
        <f>IF(C284="","",IF(ISNUMBER(SEARCH($G$4,C284)),"有",""))</f>
        <v/>
      </c>
    </row>
    <row r="285">
      <c r="A285" s="18">
        <f>IF(事例清單!A285="","",事例清單!A285)</f>
        <v/>
      </c>
      <c r="B285" s="18">
        <f>IF(事例清單!F285&lt;&gt;"是","",IF(事例清單!J285&lt;&gt;"",事例清單!J285,IF(事例清單!I285="一致",事例清單!G285,"")))</f>
        <v/>
      </c>
      <c r="C285" s="15" t="n"/>
      <c r="D285" s="18">
        <f>IF(C285="","",IF(ISNUMBER(SEARCH($G$4,C285)),"有",""))</f>
        <v/>
      </c>
    </row>
    <row r="286">
      <c r="A286" s="18">
        <f>IF(事例清單!A286="","",事例清單!A286)</f>
        <v/>
      </c>
      <c r="B286" s="18">
        <f>IF(事例清單!F286&lt;&gt;"是","",IF(事例清單!J286&lt;&gt;"",事例清單!J286,IF(事例清單!I286="一致",事例清單!G286,"")))</f>
        <v/>
      </c>
      <c r="C286" s="15" t="n"/>
      <c r="D286" s="18">
        <f>IF(C286="","",IF(ISNUMBER(SEARCH($G$4,C286)),"有",""))</f>
        <v/>
      </c>
    </row>
    <row r="287">
      <c r="A287" s="18">
        <f>IF(事例清單!A287="","",事例清單!A287)</f>
        <v/>
      </c>
      <c r="B287" s="18">
        <f>IF(事例清單!F287&lt;&gt;"是","",IF(事例清單!J287&lt;&gt;"",事例清單!J287,IF(事例清單!I287="一致",事例清單!G287,"")))</f>
        <v/>
      </c>
      <c r="C287" s="15" t="n"/>
      <c r="D287" s="18">
        <f>IF(C287="","",IF(ISNUMBER(SEARCH($G$4,C287)),"有",""))</f>
        <v/>
      </c>
    </row>
    <row r="288">
      <c r="A288" s="18">
        <f>IF(事例清單!A288="","",事例清單!A288)</f>
        <v/>
      </c>
      <c r="B288" s="18">
        <f>IF(事例清單!F288&lt;&gt;"是","",IF(事例清單!J288&lt;&gt;"",事例清單!J288,IF(事例清單!I288="一致",事例清單!G288,"")))</f>
        <v/>
      </c>
      <c r="C288" s="15" t="n"/>
      <c r="D288" s="18">
        <f>IF(C288="","",IF(ISNUMBER(SEARCH($G$4,C288)),"有",""))</f>
        <v/>
      </c>
    </row>
    <row r="289">
      <c r="A289" s="18">
        <f>IF(事例清單!A289="","",事例清單!A289)</f>
        <v/>
      </c>
      <c r="B289" s="18">
        <f>IF(事例清單!F289&lt;&gt;"是","",IF(事例清單!J289&lt;&gt;"",事例清單!J289,IF(事例清單!I289="一致",事例清單!G289,"")))</f>
        <v/>
      </c>
      <c r="C289" s="15" t="n"/>
      <c r="D289" s="18">
        <f>IF(C289="","",IF(ISNUMBER(SEARCH($G$4,C289)),"有",""))</f>
        <v/>
      </c>
    </row>
    <row r="290">
      <c r="A290" s="18">
        <f>IF(事例清單!A290="","",事例清單!A290)</f>
        <v/>
      </c>
      <c r="B290" s="18">
        <f>IF(事例清單!F290&lt;&gt;"是","",IF(事例清單!J290&lt;&gt;"",事例清單!J290,IF(事例清單!I290="一致",事例清單!G290,"")))</f>
        <v/>
      </c>
      <c r="C290" s="15" t="n"/>
      <c r="D290" s="18">
        <f>IF(C290="","",IF(ISNUMBER(SEARCH($G$4,C290)),"有",""))</f>
        <v/>
      </c>
    </row>
    <row r="291">
      <c r="A291" s="18">
        <f>IF(事例清單!A291="","",事例清單!A291)</f>
        <v/>
      </c>
      <c r="B291" s="18">
        <f>IF(事例清單!F291&lt;&gt;"是","",IF(事例清單!J291&lt;&gt;"",事例清單!J291,IF(事例清單!I291="一致",事例清單!G291,"")))</f>
        <v/>
      </c>
      <c r="C291" s="15" t="n"/>
      <c r="D291" s="18">
        <f>IF(C291="","",IF(ISNUMBER(SEARCH($G$4,C291)),"有",""))</f>
        <v/>
      </c>
    </row>
    <row r="292">
      <c r="A292" s="18">
        <f>IF(事例清單!A292="","",事例清單!A292)</f>
        <v/>
      </c>
      <c r="B292" s="18">
        <f>IF(事例清單!F292&lt;&gt;"是","",IF(事例清單!J292&lt;&gt;"",事例清單!J292,IF(事例清單!I292="一致",事例清單!G292,"")))</f>
        <v/>
      </c>
      <c r="C292" s="15" t="n"/>
      <c r="D292" s="18">
        <f>IF(C292="","",IF(ISNUMBER(SEARCH($G$4,C292)),"有",""))</f>
        <v/>
      </c>
    </row>
    <row r="293">
      <c r="A293" s="18">
        <f>IF(事例清單!A293="","",事例清單!A293)</f>
        <v/>
      </c>
      <c r="B293" s="18">
        <f>IF(事例清單!F293&lt;&gt;"是","",IF(事例清單!J293&lt;&gt;"",事例清單!J293,IF(事例清單!I293="一致",事例清單!G293,"")))</f>
        <v/>
      </c>
      <c r="C293" s="15" t="n"/>
      <c r="D293" s="18">
        <f>IF(C293="","",IF(ISNUMBER(SEARCH($G$4,C293)),"有",""))</f>
        <v/>
      </c>
    </row>
    <row r="294">
      <c r="A294" s="18">
        <f>IF(事例清單!A294="","",事例清單!A294)</f>
        <v/>
      </c>
      <c r="B294" s="18">
        <f>IF(事例清單!F294&lt;&gt;"是","",IF(事例清單!J294&lt;&gt;"",事例清單!J294,IF(事例清單!I294="一致",事例清單!G294,"")))</f>
        <v/>
      </c>
      <c r="C294" s="15" t="n"/>
      <c r="D294" s="18">
        <f>IF(C294="","",IF(ISNUMBER(SEARCH($G$4,C294)),"有",""))</f>
        <v/>
      </c>
    </row>
    <row r="295">
      <c r="A295" s="18">
        <f>IF(事例清單!A295="","",事例清單!A295)</f>
        <v/>
      </c>
      <c r="B295" s="18">
        <f>IF(事例清單!F295&lt;&gt;"是","",IF(事例清單!J295&lt;&gt;"",事例清單!J295,IF(事例清單!I295="一致",事例清單!G295,"")))</f>
        <v/>
      </c>
      <c r="C295" s="15" t="n"/>
      <c r="D295" s="18">
        <f>IF(C295="","",IF(ISNUMBER(SEARCH($G$4,C295)),"有",""))</f>
        <v/>
      </c>
    </row>
    <row r="296">
      <c r="A296" s="18">
        <f>IF(事例清單!A296="","",事例清單!A296)</f>
        <v/>
      </c>
      <c r="B296" s="18">
        <f>IF(事例清單!F296&lt;&gt;"是","",IF(事例清單!J296&lt;&gt;"",事例清單!J296,IF(事例清單!I296="一致",事例清單!G296,"")))</f>
        <v/>
      </c>
      <c r="C296" s="15" t="n"/>
      <c r="D296" s="18">
        <f>IF(C296="","",IF(ISNUMBER(SEARCH($G$4,C296)),"有",""))</f>
        <v/>
      </c>
    </row>
    <row r="297">
      <c r="A297" s="18">
        <f>IF(事例清單!A297="","",事例清單!A297)</f>
        <v/>
      </c>
      <c r="B297" s="18">
        <f>IF(事例清單!F297&lt;&gt;"是","",IF(事例清單!J297&lt;&gt;"",事例清單!J297,IF(事例清單!I297="一致",事例清單!G297,"")))</f>
        <v/>
      </c>
      <c r="C297" s="15" t="n"/>
      <c r="D297" s="18">
        <f>IF(C297="","",IF(ISNUMBER(SEARCH($G$4,C297)),"有",""))</f>
        <v/>
      </c>
    </row>
    <row r="298">
      <c r="A298" s="18">
        <f>IF(事例清單!A298="","",事例清單!A298)</f>
        <v/>
      </c>
      <c r="B298" s="18">
        <f>IF(事例清單!F298&lt;&gt;"是","",IF(事例清單!J298&lt;&gt;"",事例清單!J298,IF(事例清單!I298="一致",事例清單!G298,"")))</f>
        <v/>
      </c>
      <c r="C298" s="15" t="n"/>
      <c r="D298" s="18">
        <f>IF(C298="","",IF(ISNUMBER(SEARCH($G$4,C298)),"有",""))</f>
        <v/>
      </c>
    </row>
    <row r="299">
      <c r="A299" s="18">
        <f>IF(事例清單!A299="","",事例清單!A299)</f>
        <v/>
      </c>
      <c r="B299" s="18">
        <f>IF(事例清單!F299&lt;&gt;"是","",IF(事例清單!J299&lt;&gt;"",事例清單!J299,IF(事例清單!I299="一致",事例清單!G299,"")))</f>
        <v/>
      </c>
      <c r="C299" s="15" t="n"/>
      <c r="D299" s="18">
        <f>IF(C299="","",IF(ISNUMBER(SEARCH($G$4,C299)),"有",""))</f>
        <v/>
      </c>
    </row>
    <row r="300">
      <c r="A300" s="18">
        <f>IF(事例清單!A300="","",事例清單!A300)</f>
        <v/>
      </c>
      <c r="B300" s="18">
        <f>IF(事例清單!F300&lt;&gt;"是","",IF(事例清單!J300&lt;&gt;"",事例清單!J300,IF(事例清單!I300="一致",事例清單!G300,"")))</f>
        <v/>
      </c>
      <c r="C300" s="15" t="n"/>
      <c r="D300" s="18">
        <f>IF(C300="","",IF(ISNUMBER(SEARCH($G$4,C300)),"有",""))</f>
        <v/>
      </c>
    </row>
    <row r="301">
      <c r="A301" s="18">
        <f>IF(事例清單!A301="","",事例清單!A301)</f>
        <v/>
      </c>
      <c r="B301" s="18">
        <f>IF(事例清單!F301&lt;&gt;"是","",IF(事例清單!J301&lt;&gt;"",事例清單!J301,IF(事例清單!I301="一致",事例清單!G301,"")))</f>
        <v/>
      </c>
      <c r="C301" s="15" t="n"/>
      <c r="D301" s="18">
        <f>IF(C301="","",IF(ISNUMBER(SEARCH($G$4,C301)),"有",""))</f>
        <v/>
      </c>
    </row>
    <row r="302">
      <c r="A302" s="18">
        <f>IF(事例清單!A302="","",事例清單!A302)</f>
        <v/>
      </c>
      <c r="B302" s="18">
        <f>IF(事例清單!F302&lt;&gt;"是","",IF(事例清單!J302&lt;&gt;"",事例清單!J302,IF(事例清單!I302="一致",事例清單!G302,"")))</f>
        <v/>
      </c>
      <c r="C302" s="15" t="n"/>
      <c r="D302" s="18">
        <f>IF(C302="","",IF(ISNUMBER(SEARCH($G$4,C302)),"有",""))</f>
        <v/>
      </c>
    </row>
    <row r="303">
      <c r="A303" s="18">
        <f>IF(事例清單!A303="","",事例清單!A303)</f>
        <v/>
      </c>
      <c r="B303" s="18">
        <f>IF(事例清單!F303&lt;&gt;"是","",IF(事例清單!J303&lt;&gt;"",事例清單!J303,IF(事例清單!I303="一致",事例清單!G303,"")))</f>
        <v/>
      </c>
      <c r="C303" s="15" t="n"/>
      <c r="D303" s="18">
        <f>IF(C303="","",IF(ISNUMBER(SEARCH($G$4,C303)),"有",""))</f>
        <v/>
      </c>
    </row>
    <row r="304">
      <c r="A304" s="18">
        <f>IF(事例清單!A304="","",事例清單!A304)</f>
        <v/>
      </c>
      <c r="B304" s="18">
        <f>IF(事例清單!F304&lt;&gt;"是","",IF(事例清單!J304&lt;&gt;"",事例清單!J304,IF(事例清單!I304="一致",事例清單!G304,"")))</f>
        <v/>
      </c>
      <c r="C304" s="15" t="n"/>
      <c r="D304" s="18">
        <f>IF(C304="","",IF(ISNUMBER(SEARCH($G$4,C304)),"有",""))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2026-10-02T10:23:02Z</dcterms:created>
  <dcterms:modified xmlns:dcterms="http://purl.org/dc/terms/" xmlns:xsi="http://www.w3.org/2001/XMLSchema-instance" xsi:type="dcterms:W3CDTF">2026-10-02T10:23:03Z</dcterms:modified>
</cp:coreProperties>
</file>